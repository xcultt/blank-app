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BD9E0AB-66D5-4F5D-8893-69B563E4108B}" xr6:coauthVersionLast="47" xr6:coauthVersionMax="47" xr10:uidLastSave="{00000000-0000-0000-0000-000000000000}"/>
  <bookViews>
    <workbookView xWindow="-105" yWindow="0" windowWidth="14610" windowHeight="15585" activeTab="1" xr2:uid="{23C0A157-3CAD-4698-9BF7-2C8E2EA11329}"/>
  </bookViews>
  <sheets>
    <sheet name="กู้" sheetId="6" r:id="rId1"/>
    <sheet name="Sheet" sheetId="2" r:id="rId2"/>
  </sheets>
  <definedNames>
    <definedName name="_xlnm._FilterDatabase" localSheetId="1" hidden="1">Sheet!$AJ$2:$AJ$321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2" l="1"/>
  <c r="B169" i="2" l="1"/>
  <c r="B170" i="2"/>
  <c r="I34" i="2" l="1"/>
  <c r="F34" i="2"/>
  <c r="G34" i="2" s="1"/>
  <c r="D34" i="2"/>
  <c r="E34" i="2" s="1"/>
  <c r="B34" i="2"/>
  <c r="V34" i="2" s="1"/>
  <c r="I33" i="2"/>
  <c r="K33" i="2" s="1"/>
  <c r="F33" i="2"/>
  <c r="G33" i="2" s="1"/>
  <c r="D33" i="2"/>
  <c r="E33" i="2" s="1"/>
  <c r="B33" i="2"/>
  <c r="V33" i="2" s="1"/>
  <c r="I32" i="2"/>
  <c r="F32" i="2"/>
  <c r="G32" i="2" s="1"/>
  <c r="D32" i="2"/>
  <c r="E32" i="2" s="1"/>
  <c r="B32" i="2"/>
  <c r="V32" i="2" s="1"/>
  <c r="I31" i="2"/>
  <c r="L31" i="2" s="1"/>
  <c r="F31" i="2"/>
  <c r="G31" i="2" s="1"/>
  <c r="D31" i="2"/>
  <c r="E31" i="2" s="1"/>
  <c r="B31" i="2"/>
  <c r="V31" i="2" s="1"/>
  <c r="I30" i="2"/>
  <c r="F30" i="2"/>
  <c r="G30" i="2" s="1"/>
  <c r="D30" i="2"/>
  <c r="E30" i="2" s="1"/>
  <c r="B30" i="2"/>
  <c r="V30" i="2" s="1"/>
  <c r="I29" i="2"/>
  <c r="K29" i="2" s="1"/>
  <c r="F29" i="2"/>
  <c r="G29" i="2" s="1"/>
  <c r="D29" i="2"/>
  <c r="E29" i="2" s="1"/>
  <c r="B29" i="2"/>
  <c r="V29" i="2" s="1"/>
  <c r="I28" i="2"/>
  <c r="J28" i="2" s="1"/>
  <c r="F28" i="2"/>
  <c r="G28" i="2" s="1"/>
  <c r="D28" i="2"/>
  <c r="E28" i="2" s="1"/>
  <c r="B28" i="2"/>
  <c r="V28" i="2" s="1"/>
  <c r="I27" i="2"/>
  <c r="J27" i="2" s="1"/>
  <c r="F27" i="2"/>
  <c r="G27" i="2" s="1"/>
  <c r="D27" i="2"/>
  <c r="E27" i="2" s="1"/>
  <c r="B27" i="2"/>
  <c r="V27" i="2" s="1"/>
  <c r="I26" i="2"/>
  <c r="J26" i="2" s="1"/>
  <c r="F26" i="2"/>
  <c r="G26" i="2" s="1"/>
  <c r="D26" i="2"/>
  <c r="E26" i="2" s="1"/>
  <c r="B26" i="2"/>
  <c r="V26" i="2" s="1"/>
  <c r="I25" i="2"/>
  <c r="F25" i="2"/>
  <c r="G25" i="2" s="1"/>
  <c r="D25" i="2"/>
  <c r="E25" i="2" s="1"/>
  <c r="B25" i="2"/>
  <c r="V25" i="2" s="1"/>
  <c r="I24" i="2"/>
  <c r="J24" i="2" s="1"/>
  <c r="F24" i="2"/>
  <c r="G24" i="2" s="1"/>
  <c r="D24" i="2"/>
  <c r="E24" i="2" s="1"/>
  <c r="B24" i="2"/>
  <c r="V24" i="2" s="1"/>
  <c r="I23" i="2"/>
  <c r="J23" i="2" s="1"/>
  <c r="F23" i="2"/>
  <c r="G23" i="2" s="1"/>
  <c r="D23" i="2"/>
  <c r="E23" i="2" s="1"/>
  <c r="B23" i="2"/>
  <c r="V23" i="2" s="1"/>
  <c r="I22" i="2"/>
  <c r="F22" i="2"/>
  <c r="G22" i="2" s="1"/>
  <c r="D22" i="2"/>
  <c r="E22" i="2" s="1"/>
  <c r="B22" i="2"/>
  <c r="V22" i="2" s="1"/>
  <c r="I21" i="2"/>
  <c r="K21" i="2" s="1"/>
  <c r="F21" i="2"/>
  <c r="G21" i="2" s="1"/>
  <c r="D21" i="2"/>
  <c r="E21" i="2" s="1"/>
  <c r="B21" i="2"/>
  <c r="V21" i="2" s="1"/>
  <c r="I20" i="2"/>
  <c r="F20" i="2"/>
  <c r="G20" i="2" s="1"/>
  <c r="D20" i="2"/>
  <c r="E20" i="2" s="1"/>
  <c r="B20" i="2"/>
  <c r="V20" i="2" s="1"/>
  <c r="I19" i="2"/>
  <c r="K19" i="2" s="1"/>
  <c r="F19" i="2"/>
  <c r="G19" i="2" s="1"/>
  <c r="D19" i="2"/>
  <c r="E19" i="2" s="1"/>
  <c r="B19" i="2"/>
  <c r="V19" i="2" s="1"/>
  <c r="I18" i="2"/>
  <c r="F18" i="2"/>
  <c r="G18" i="2" s="1"/>
  <c r="D18" i="2"/>
  <c r="E18" i="2" s="1"/>
  <c r="B18" i="2"/>
  <c r="V18" i="2" s="1"/>
  <c r="I17" i="2"/>
  <c r="F17" i="2"/>
  <c r="G17" i="2" s="1"/>
  <c r="D17" i="2"/>
  <c r="E17" i="2" s="1"/>
  <c r="B17" i="2"/>
  <c r="V17" i="2" s="1"/>
  <c r="I16" i="2"/>
  <c r="L16" i="2" s="1"/>
  <c r="F16" i="2"/>
  <c r="G16" i="2" s="1"/>
  <c r="D16" i="2"/>
  <c r="E16" i="2" s="1"/>
  <c r="B16" i="2"/>
  <c r="V16" i="2" s="1"/>
  <c r="I15" i="2"/>
  <c r="F15" i="2"/>
  <c r="G15" i="2" s="1"/>
  <c r="D15" i="2"/>
  <c r="E15" i="2" s="1"/>
  <c r="B15" i="2"/>
  <c r="V15" i="2" s="1"/>
  <c r="I14" i="2"/>
  <c r="L14" i="2" s="1"/>
  <c r="F14" i="2"/>
  <c r="G14" i="2" s="1"/>
  <c r="D14" i="2"/>
  <c r="E14" i="2" s="1"/>
  <c r="B14" i="2"/>
  <c r="V14" i="2" s="1"/>
  <c r="I13" i="2"/>
  <c r="F13" i="2"/>
  <c r="G13" i="2" s="1"/>
  <c r="D13" i="2"/>
  <c r="E13" i="2" s="1"/>
  <c r="B13" i="2"/>
  <c r="V13" i="2" s="1"/>
  <c r="I12" i="2"/>
  <c r="F12" i="2"/>
  <c r="G12" i="2" s="1"/>
  <c r="D12" i="2"/>
  <c r="E12" i="2" s="1"/>
  <c r="B12" i="2"/>
  <c r="V12" i="2" s="1"/>
  <c r="I11" i="2"/>
  <c r="L11" i="2" s="1"/>
  <c r="F11" i="2"/>
  <c r="G11" i="2" s="1"/>
  <c r="D11" i="2"/>
  <c r="E11" i="2" s="1"/>
  <c r="B11" i="2"/>
  <c r="V11" i="2" s="1"/>
  <c r="I10" i="2"/>
  <c r="L10" i="2" s="1"/>
  <c r="F10" i="2"/>
  <c r="G10" i="2" s="1"/>
  <c r="D10" i="2"/>
  <c r="E10" i="2" s="1"/>
  <c r="B10" i="2"/>
  <c r="V10" i="2" s="1"/>
  <c r="I9" i="2"/>
  <c r="J9" i="2" s="1"/>
  <c r="F9" i="2"/>
  <c r="G9" i="2" s="1"/>
  <c r="D9" i="2"/>
  <c r="E9" i="2" s="1"/>
  <c r="B9" i="2"/>
  <c r="V9" i="2" s="1"/>
  <c r="I8" i="2"/>
  <c r="L8" i="2" s="1"/>
  <c r="F8" i="2"/>
  <c r="G8" i="2" s="1"/>
  <c r="D8" i="2"/>
  <c r="E8" i="2" s="1"/>
  <c r="B8" i="2"/>
  <c r="V8" i="2" s="1"/>
  <c r="I7" i="2"/>
  <c r="J7" i="2" s="1"/>
  <c r="F7" i="2"/>
  <c r="G7" i="2" s="1"/>
  <c r="D7" i="2"/>
  <c r="E7" i="2" s="1"/>
  <c r="B7" i="2"/>
  <c r="V7" i="2" s="1"/>
  <c r="I6" i="2"/>
  <c r="F6" i="2"/>
  <c r="G6" i="2" s="1"/>
  <c r="D6" i="2"/>
  <c r="E6" i="2" s="1"/>
  <c r="B6" i="2"/>
  <c r="V6" i="2" s="1"/>
  <c r="I5" i="2"/>
  <c r="J5" i="2" s="1"/>
  <c r="F5" i="2"/>
  <c r="G5" i="2" s="1"/>
  <c r="D5" i="2"/>
  <c r="E5" i="2" s="1"/>
  <c r="B5" i="2"/>
  <c r="V5" i="2" s="1"/>
  <c r="I4" i="2"/>
  <c r="L4" i="2" s="1"/>
  <c r="F4" i="2"/>
  <c r="G4" i="2" s="1"/>
  <c r="D4" i="2"/>
  <c r="E4" i="2" s="1"/>
  <c r="B4" i="2"/>
  <c r="V4" i="2" s="1"/>
  <c r="I3" i="2"/>
  <c r="J3" i="2" s="1"/>
  <c r="F3" i="2"/>
  <c r="G3" i="2" s="1"/>
  <c r="D3" i="2"/>
  <c r="E3" i="2" s="1"/>
  <c r="B3" i="2"/>
  <c r="V3" i="2" s="1"/>
  <c r="B2" i="2"/>
  <c r="I2" i="2" s="1"/>
  <c r="L2" i="2" s="1"/>
  <c r="AM530" i="2"/>
  <c r="AM559" i="2"/>
  <c r="AM561" i="2"/>
  <c r="AM572" i="2"/>
  <c r="AM576" i="2"/>
  <c r="AM580" i="2"/>
  <c r="AM585" i="2"/>
  <c r="AM587" i="2"/>
  <c r="AM589" i="2"/>
  <c r="AM592" i="2"/>
  <c r="AM594" i="2"/>
  <c r="AM597" i="2"/>
  <c r="AM599" i="2"/>
  <c r="AM601" i="2"/>
  <c r="AM603" i="2"/>
  <c r="AM605" i="2"/>
  <c r="AM616" i="2"/>
  <c r="AM619" i="2"/>
  <c r="AM623" i="2"/>
  <c r="AM626" i="2"/>
  <c r="AM628" i="2"/>
  <c r="AM630" i="2"/>
  <c r="AM632" i="2"/>
  <c r="AM634" i="2"/>
  <c r="AM637" i="2"/>
  <c r="AM640" i="2"/>
  <c r="AM643" i="2"/>
  <c r="AM645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3" i="2"/>
  <c r="AM994" i="2"/>
  <c r="AM995" i="2"/>
  <c r="AM996" i="2"/>
  <c r="AM997" i="2"/>
  <c r="AM998" i="2"/>
  <c r="AM999" i="2"/>
  <c r="AM1000" i="2"/>
  <c r="B501" i="2"/>
  <c r="V501" i="2" s="1"/>
  <c r="D501" i="2"/>
  <c r="E501" i="2" s="1"/>
  <c r="F501" i="2"/>
  <c r="G501" i="2" s="1"/>
  <c r="I501" i="2"/>
  <c r="L501" i="2" s="1"/>
  <c r="B502" i="2"/>
  <c r="V502" i="2" s="1"/>
  <c r="D502" i="2"/>
  <c r="E502" i="2" s="1"/>
  <c r="F502" i="2"/>
  <c r="G502" i="2" s="1"/>
  <c r="I502" i="2"/>
  <c r="B503" i="2"/>
  <c r="V503" i="2" s="1"/>
  <c r="D503" i="2"/>
  <c r="E503" i="2" s="1"/>
  <c r="F503" i="2"/>
  <c r="G503" i="2" s="1"/>
  <c r="I503" i="2"/>
  <c r="L503" i="2" s="1"/>
  <c r="B504" i="2"/>
  <c r="V504" i="2" s="1"/>
  <c r="D504" i="2"/>
  <c r="E504" i="2" s="1"/>
  <c r="F504" i="2"/>
  <c r="G504" i="2" s="1"/>
  <c r="I504" i="2"/>
  <c r="J504" i="2" s="1"/>
  <c r="B505" i="2"/>
  <c r="V505" i="2" s="1"/>
  <c r="D505" i="2"/>
  <c r="E505" i="2" s="1"/>
  <c r="F505" i="2"/>
  <c r="G505" i="2" s="1"/>
  <c r="I505" i="2"/>
  <c r="L505" i="2" s="1"/>
  <c r="B506" i="2"/>
  <c r="V506" i="2" s="1"/>
  <c r="D506" i="2"/>
  <c r="E506" i="2" s="1"/>
  <c r="F506" i="2"/>
  <c r="G506" i="2" s="1"/>
  <c r="I506" i="2"/>
  <c r="B507" i="2"/>
  <c r="V507" i="2" s="1"/>
  <c r="D507" i="2"/>
  <c r="E507" i="2" s="1"/>
  <c r="F507" i="2"/>
  <c r="G507" i="2" s="1"/>
  <c r="I507" i="2"/>
  <c r="L507" i="2" s="1"/>
  <c r="B508" i="2"/>
  <c r="V508" i="2" s="1"/>
  <c r="D508" i="2"/>
  <c r="E508" i="2" s="1"/>
  <c r="F508" i="2"/>
  <c r="G508" i="2" s="1"/>
  <c r="I508" i="2"/>
  <c r="J508" i="2" s="1"/>
  <c r="B509" i="2"/>
  <c r="V509" i="2" s="1"/>
  <c r="D509" i="2"/>
  <c r="E509" i="2" s="1"/>
  <c r="F509" i="2"/>
  <c r="G509" i="2" s="1"/>
  <c r="I509" i="2"/>
  <c r="L509" i="2" s="1"/>
  <c r="B510" i="2"/>
  <c r="V510" i="2" s="1"/>
  <c r="D510" i="2"/>
  <c r="E510" i="2" s="1"/>
  <c r="F510" i="2"/>
  <c r="G510" i="2" s="1"/>
  <c r="I510" i="2"/>
  <c r="B511" i="2"/>
  <c r="V511" i="2" s="1"/>
  <c r="D511" i="2"/>
  <c r="E511" i="2" s="1"/>
  <c r="F511" i="2"/>
  <c r="G511" i="2" s="1"/>
  <c r="I511" i="2"/>
  <c r="B512" i="2"/>
  <c r="V512" i="2" s="1"/>
  <c r="D512" i="2"/>
  <c r="E512" i="2" s="1"/>
  <c r="F512" i="2"/>
  <c r="G512" i="2" s="1"/>
  <c r="I512" i="2"/>
  <c r="J512" i="2" s="1"/>
  <c r="B513" i="2"/>
  <c r="V513" i="2" s="1"/>
  <c r="D513" i="2"/>
  <c r="E513" i="2" s="1"/>
  <c r="F513" i="2"/>
  <c r="G513" i="2" s="1"/>
  <c r="I513" i="2"/>
  <c r="L513" i="2" s="1"/>
  <c r="B514" i="2"/>
  <c r="V514" i="2" s="1"/>
  <c r="D514" i="2"/>
  <c r="E514" i="2" s="1"/>
  <c r="F514" i="2"/>
  <c r="G514" i="2" s="1"/>
  <c r="I514" i="2"/>
  <c r="K514" i="2" s="1"/>
  <c r="B515" i="2"/>
  <c r="V515" i="2" s="1"/>
  <c r="D515" i="2"/>
  <c r="E515" i="2" s="1"/>
  <c r="F515" i="2"/>
  <c r="G515" i="2" s="1"/>
  <c r="I515" i="2"/>
  <c r="K515" i="2" s="1"/>
  <c r="B516" i="2"/>
  <c r="V516" i="2" s="1"/>
  <c r="D516" i="2"/>
  <c r="E516" i="2" s="1"/>
  <c r="F516" i="2"/>
  <c r="G516" i="2" s="1"/>
  <c r="I516" i="2"/>
  <c r="J516" i="2" s="1"/>
  <c r="B517" i="2"/>
  <c r="V517" i="2" s="1"/>
  <c r="D517" i="2"/>
  <c r="E517" i="2" s="1"/>
  <c r="F517" i="2"/>
  <c r="G517" i="2" s="1"/>
  <c r="I517" i="2"/>
  <c r="L517" i="2" s="1"/>
  <c r="B518" i="2"/>
  <c r="V518" i="2" s="1"/>
  <c r="D518" i="2"/>
  <c r="E518" i="2" s="1"/>
  <c r="F518" i="2"/>
  <c r="G518" i="2" s="1"/>
  <c r="I518" i="2"/>
  <c r="K518" i="2" s="1"/>
  <c r="B519" i="2"/>
  <c r="V519" i="2" s="1"/>
  <c r="D519" i="2"/>
  <c r="E519" i="2" s="1"/>
  <c r="F519" i="2"/>
  <c r="G519" i="2" s="1"/>
  <c r="I519" i="2"/>
  <c r="K519" i="2" s="1"/>
  <c r="B520" i="2"/>
  <c r="V520" i="2" s="1"/>
  <c r="D520" i="2"/>
  <c r="E520" i="2" s="1"/>
  <c r="F520" i="2"/>
  <c r="G520" i="2" s="1"/>
  <c r="I520" i="2"/>
  <c r="J520" i="2" s="1"/>
  <c r="B521" i="2"/>
  <c r="V521" i="2" s="1"/>
  <c r="D521" i="2"/>
  <c r="E521" i="2" s="1"/>
  <c r="F521" i="2"/>
  <c r="G521" i="2" s="1"/>
  <c r="I521" i="2"/>
  <c r="L521" i="2" s="1"/>
  <c r="B522" i="2"/>
  <c r="V522" i="2" s="1"/>
  <c r="D522" i="2"/>
  <c r="E522" i="2" s="1"/>
  <c r="F522" i="2"/>
  <c r="G522" i="2" s="1"/>
  <c r="I522" i="2"/>
  <c r="K522" i="2" s="1"/>
  <c r="B523" i="2"/>
  <c r="V523" i="2" s="1"/>
  <c r="D523" i="2"/>
  <c r="E523" i="2" s="1"/>
  <c r="F523" i="2"/>
  <c r="G523" i="2" s="1"/>
  <c r="I523" i="2"/>
  <c r="K523" i="2" s="1"/>
  <c r="B524" i="2"/>
  <c r="V524" i="2" s="1"/>
  <c r="D524" i="2"/>
  <c r="E524" i="2" s="1"/>
  <c r="F524" i="2"/>
  <c r="G524" i="2" s="1"/>
  <c r="I524" i="2"/>
  <c r="J524" i="2" s="1"/>
  <c r="B525" i="2"/>
  <c r="V525" i="2" s="1"/>
  <c r="D525" i="2"/>
  <c r="E525" i="2" s="1"/>
  <c r="F525" i="2"/>
  <c r="G525" i="2" s="1"/>
  <c r="I525" i="2"/>
  <c r="K525" i="2" s="1"/>
  <c r="B526" i="2"/>
  <c r="V526" i="2" s="1"/>
  <c r="D526" i="2"/>
  <c r="E526" i="2" s="1"/>
  <c r="F526" i="2"/>
  <c r="G526" i="2" s="1"/>
  <c r="I526" i="2"/>
  <c r="K526" i="2" s="1"/>
  <c r="B527" i="2"/>
  <c r="V527" i="2" s="1"/>
  <c r="D527" i="2"/>
  <c r="E527" i="2" s="1"/>
  <c r="F527" i="2"/>
  <c r="G527" i="2" s="1"/>
  <c r="I527" i="2"/>
  <c r="K527" i="2" s="1"/>
  <c r="B528" i="2"/>
  <c r="V528" i="2" s="1"/>
  <c r="D528" i="2"/>
  <c r="E528" i="2" s="1"/>
  <c r="F528" i="2"/>
  <c r="G528" i="2" s="1"/>
  <c r="I528" i="2"/>
  <c r="J528" i="2" s="1"/>
  <c r="B529" i="2"/>
  <c r="V529" i="2" s="1"/>
  <c r="D529" i="2"/>
  <c r="E529" i="2" s="1"/>
  <c r="F529" i="2"/>
  <c r="G529" i="2" s="1"/>
  <c r="I529" i="2"/>
  <c r="K529" i="2" s="1"/>
  <c r="B530" i="2"/>
  <c r="V530" i="2" s="1"/>
  <c r="D530" i="2"/>
  <c r="E530" i="2" s="1"/>
  <c r="F530" i="2"/>
  <c r="G530" i="2" s="1"/>
  <c r="I530" i="2"/>
  <c r="K530" i="2" s="1"/>
  <c r="B531" i="2"/>
  <c r="V531" i="2" s="1"/>
  <c r="D531" i="2"/>
  <c r="E531" i="2" s="1"/>
  <c r="F531" i="2"/>
  <c r="G531" i="2" s="1"/>
  <c r="I531" i="2"/>
  <c r="K531" i="2" s="1"/>
  <c r="B532" i="2"/>
  <c r="V532" i="2" s="1"/>
  <c r="D532" i="2"/>
  <c r="E532" i="2" s="1"/>
  <c r="F532" i="2"/>
  <c r="G532" i="2" s="1"/>
  <c r="I532" i="2"/>
  <c r="J532" i="2" s="1"/>
  <c r="B533" i="2"/>
  <c r="V533" i="2" s="1"/>
  <c r="D533" i="2"/>
  <c r="E533" i="2" s="1"/>
  <c r="F533" i="2"/>
  <c r="G533" i="2" s="1"/>
  <c r="I533" i="2"/>
  <c r="K533" i="2" s="1"/>
  <c r="B534" i="2"/>
  <c r="V534" i="2" s="1"/>
  <c r="D534" i="2"/>
  <c r="E534" i="2" s="1"/>
  <c r="F534" i="2"/>
  <c r="G534" i="2" s="1"/>
  <c r="I534" i="2"/>
  <c r="K534" i="2" s="1"/>
  <c r="B535" i="2"/>
  <c r="V535" i="2" s="1"/>
  <c r="D535" i="2"/>
  <c r="E535" i="2" s="1"/>
  <c r="F535" i="2"/>
  <c r="G535" i="2" s="1"/>
  <c r="I535" i="2"/>
  <c r="K535" i="2" s="1"/>
  <c r="B536" i="2"/>
  <c r="V536" i="2" s="1"/>
  <c r="D536" i="2"/>
  <c r="E536" i="2" s="1"/>
  <c r="F536" i="2"/>
  <c r="G536" i="2" s="1"/>
  <c r="I536" i="2"/>
  <c r="J536" i="2" s="1"/>
  <c r="B537" i="2"/>
  <c r="V537" i="2" s="1"/>
  <c r="D537" i="2"/>
  <c r="E537" i="2" s="1"/>
  <c r="F537" i="2"/>
  <c r="G537" i="2" s="1"/>
  <c r="I537" i="2"/>
  <c r="J537" i="2" s="1"/>
  <c r="B538" i="2"/>
  <c r="V538" i="2" s="1"/>
  <c r="D538" i="2"/>
  <c r="E538" i="2" s="1"/>
  <c r="F538" i="2"/>
  <c r="G538" i="2" s="1"/>
  <c r="I538" i="2"/>
  <c r="J538" i="2" s="1"/>
  <c r="B539" i="2"/>
  <c r="V539" i="2" s="1"/>
  <c r="D539" i="2"/>
  <c r="E539" i="2" s="1"/>
  <c r="F539" i="2"/>
  <c r="G539" i="2" s="1"/>
  <c r="I539" i="2"/>
  <c r="J539" i="2" s="1"/>
  <c r="B540" i="2"/>
  <c r="V540" i="2" s="1"/>
  <c r="D540" i="2"/>
  <c r="E540" i="2" s="1"/>
  <c r="F540" i="2"/>
  <c r="G540" i="2" s="1"/>
  <c r="I540" i="2"/>
  <c r="J540" i="2" s="1"/>
  <c r="B541" i="2"/>
  <c r="V541" i="2" s="1"/>
  <c r="D541" i="2"/>
  <c r="E541" i="2" s="1"/>
  <c r="F541" i="2"/>
  <c r="G541" i="2" s="1"/>
  <c r="I541" i="2"/>
  <c r="B542" i="2"/>
  <c r="V542" i="2" s="1"/>
  <c r="D542" i="2"/>
  <c r="E542" i="2" s="1"/>
  <c r="F542" i="2"/>
  <c r="G542" i="2" s="1"/>
  <c r="I542" i="2"/>
  <c r="B543" i="2"/>
  <c r="V543" i="2" s="1"/>
  <c r="D543" i="2"/>
  <c r="E543" i="2" s="1"/>
  <c r="F543" i="2"/>
  <c r="G543" i="2" s="1"/>
  <c r="I543" i="2"/>
  <c r="J543" i="2" s="1"/>
  <c r="B544" i="2"/>
  <c r="V544" i="2" s="1"/>
  <c r="D544" i="2"/>
  <c r="E544" i="2" s="1"/>
  <c r="F544" i="2"/>
  <c r="G544" i="2" s="1"/>
  <c r="I544" i="2"/>
  <c r="B545" i="2"/>
  <c r="V545" i="2" s="1"/>
  <c r="D545" i="2"/>
  <c r="E545" i="2" s="1"/>
  <c r="F545" i="2"/>
  <c r="G545" i="2" s="1"/>
  <c r="I545" i="2"/>
  <c r="K545" i="2" s="1"/>
  <c r="B546" i="2"/>
  <c r="V546" i="2" s="1"/>
  <c r="D546" i="2"/>
  <c r="E546" i="2" s="1"/>
  <c r="F546" i="2"/>
  <c r="G546" i="2" s="1"/>
  <c r="I546" i="2"/>
  <c r="K546" i="2" s="1"/>
  <c r="B547" i="2"/>
  <c r="V547" i="2" s="1"/>
  <c r="D547" i="2"/>
  <c r="E547" i="2" s="1"/>
  <c r="F547" i="2"/>
  <c r="G547" i="2" s="1"/>
  <c r="I547" i="2"/>
  <c r="B548" i="2"/>
  <c r="V548" i="2" s="1"/>
  <c r="D548" i="2"/>
  <c r="E548" i="2" s="1"/>
  <c r="F548" i="2"/>
  <c r="G548" i="2" s="1"/>
  <c r="I548" i="2"/>
  <c r="J548" i="2" s="1"/>
  <c r="B549" i="2"/>
  <c r="V549" i="2" s="1"/>
  <c r="D549" i="2"/>
  <c r="E549" i="2" s="1"/>
  <c r="F549" i="2"/>
  <c r="G549" i="2" s="1"/>
  <c r="I549" i="2"/>
  <c r="K549" i="2" s="1"/>
  <c r="B550" i="2"/>
  <c r="V550" i="2" s="1"/>
  <c r="D550" i="2"/>
  <c r="E550" i="2" s="1"/>
  <c r="F550" i="2"/>
  <c r="G550" i="2" s="1"/>
  <c r="I550" i="2"/>
  <c r="K550" i="2" s="1"/>
  <c r="B551" i="2"/>
  <c r="V551" i="2" s="1"/>
  <c r="D551" i="2"/>
  <c r="E551" i="2" s="1"/>
  <c r="F551" i="2"/>
  <c r="G551" i="2" s="1"/>
  <c r="I551" i="2"/>
  <c r="J551" i="2" s="1"/>
  <c r="B552" i="2"/>
  <c r="V552" i="2" s="1"/>
  <c r="D552" i="2"/>
  <c r="E552" i="2" s="1"/>
  <c r="F552" i="2"/>
  <c r="G552" i="2" s="1"/>
  <c r="I552" i="2"/>
  <c r="B553" i="2"/>
  <c r="V553" i="2" s="1"/>
  <c r="D553" i="2"/>
  <c r="E553" i="2" s="1"/>
  <c r="F553" i="2"/>
  <c r="G553" i="2" s="1"/>
  <c r="I553" i="2"/>
  <c r="J553" i="2" s="1"/>
  <c r="B554" i="2"/>
  <c r="V554" i="2" s="1"/>
  <c r="D554" i="2"/>
  <c r="E554" i="2" s="1"/>
  <c r="F554" i="2"/>
  <c r="G554" i="2" s="1"/>
  <c r="I554" i="2"/>
  <c r="J554" i="2" s="1"/>
  <c r="B555" i="2"/>
  <c r="V555" i="2" s="1"/>
  <c r="D555" i="2"/>
  <c r="E555" i="2" s="1"/>
  <c r="F555" i="2"/>
  <c r="G555" i="2" s="1"/>
  <c r="I555" i="2"/>
  <c r="K555" i="2" s="1"/>
  <c r="B556" i="2"/>
  <c r="V556" i="2" s="1"/>
  <c r="D556" i="2"/>
  <c r="E556" i="2" s="1"/>
  <c r="F556" i="2"/>
  <c r="G556" i="2" s="1"/>
  <c r="I556" i="2"/>
  <c r="K556" i="2" s="1"/>
  <c r="B557" i="2"/>
  <c r="V557" i="2" s="1"/>
  <c r="D557" i="2"/>
  <c r="E557" i="2" s="1"/>
  <c r="F557" i="2"/>
  <c r="G557" i="2" s="1"/>
  <c r="I557" i="2"/>
  <c r="J557" i="2" s="1"/>
  <c r="B558" i="2"/>
  <c r="V558" i="2" s="1"/>
  <c r="D558" i="2"/>
  <c r="E558" i="2" s="1"/>
  <c r="F558" i="2"/>
  <c r="G558" i="2" s="1"/>
  <c r="I558" i="2"/>
  <c r="K558" i="2" s="1"/>
  <c r="B559" i="2"/>
  <c r="V559" i="2" s="1"/>
  <c r="D559" i="2"/>
  <c r="E559" i="2" s="1"/>
  <c r="F559" i="2"/>
  <c r="G559" i="2" s="1"/>
  <c r="I559" i="2"/>
  <c r="J559" i="2" s="1"/>
  <c r="B560" i="2"/>
  <c r="V560" i="2" s="1"/>
  <c r="D560" i="2"/>
  <c r="E560" i="2" s="1"/>
  <c r="F560" i="2"/>
  <c r="G560" i="2" s="1"/>
  <c r="I560" i="2"/>
  <c r="B561" i="2"/>
  <c r="V561" i="2" s="1"/>
  <c r="D561" i="2"/>
  <c r="E561" i="2" s="1"/>
  <c r="F561" i="2"/>
  <c r="G561" i="2" s="1"/>
  <c r="I561" i="2"/>
  <c r="B562" i="2"/>
  <c r="V562" i="2" s="1"/>
  <c r="D562" i="2"/>
  <c r="E562" i="2" s="1"/>
  <c r="F562" i="2"/>
  <c r="G562" i="2" s="1"/>
  <c r="I562" i="2"/>
  <c r="K562" i="2" s="1"/>
  <c r="B563" i="2"/>
  <c r="V563" i="2" s="1"/>
  <c r="D563" i="2"/>
  <c r="E563" i="2" s="1"/>
  <c r="F563" i="2"/>
  <c r="G563" i="2" s="1"/>
  <c r="I563" i="2"/>
  <c r="J563" i="2" s="1"/>
  <c r="B564" i="2"/>
  <c r="V564" i="2" s="1"/>
  <c r="D564" i="2"/>
  <c r="E564" i="2" s="1"/>
  <c r="F564" i="2"/>
  <c r="G564" i="2" s="1"/>
  <c r="I564" i="2"/>
  <c r="J564" i="2" s="1"/>
  <c r="B565" i="2"/>
  <c r="V565" i="2" s="1"/>
  <c r="D565" i="2"/>
  <c r="E565" i="2" s="1"/>
  <c r="F565" i="2"/>
  <c r="G565" i="2" s="1"/>
  <c r="I565" i="2"/>
  <c r="J565" i="2" s="1"/>
  <c r="B566" i="2"/>
  <c r="V566" i="2" s="1"/>
  <c r="D566" i="2"/>
  <c r="E566" i="2" s="1"/>
  <c r="F566" i="2"/>
  <c r="G566" i="2" s="1"/>
  <c r="I566" i="2"/>
  <c r="K566" i="2" s="1"/>
  <c r="B567" i="2"/>
  <c r="V567" i="2" s="1"/>
  <c r="D567" i="2"/>
  <c r="E567" i="2" s="1"/>
  <c r="F567" i="2"/>
  <c r="G567" i="2" s="1"/>
  <c r="I567" i="2"/>
  <c r="K567" i="2" s="1"/>
  <c r="B568" i="2"/>
  <c r="V568" i="2" s="1"/>
  <c r="D568" i="2"/>
  <c r="E568" i="2" s="1"/>
  <c r="F568" i="2"/>
  <c r="G568" i="2" s="1"/>
  <c r="I568" i="2"/>
  <c r="J568" i="2" s="1"/>
  <c r="B569" i="2"/>
  <c r="V569" i="2" s="1"/>
  <c r="D569" i="2"/>
  <c r="E569" i="2" s="1"/>
  <c r="F569" i="2"/>
  <c r="G569" i="2" s="1"/>
  <c r="I569" i="2"/>
  <c r="J569" i="2" s="1"/>
  <c r="B570" i="2"/>
  <c r="V570" i="2" s="1"/>
  <c r="D570" i="2"/>
  <c r="E570" i="2" s="1"/>
  <c r="F570" i="2"/>
  <c r="G570" i="2" s="1"/>
  <c r="I570" i="2"/>
  <c r="L570" i="2" s="1"/>
  <c r="B571" i="2"/>
  <c r="V571" i="2" s="1"/>
  <c r="D571" i="2"/>
  <c r="E571" i="2" s="1"/>
  <c r="F571" i="2"/>
  <c r="G571" i="2" s="1"/>
  <c r="I571" i="2"/>
  <c r="L571" i="2" s="1"/>
  <c r="B572" i="2"/>
  <c r="V572" i="2" s="1"/>
  <c r="D572" i="2"/>
  <c r="E572" i="2" s="1"/>
  <c r="F572" i="2"/>
  <c r="G572" i="2" s="1"/>
  <c r="I572" i="2"/>
  <c r="B573" i="2"/>
  <c r="V573" i="2" s="1"/>
  <c r="D573" i="2"/>
  <c r="E573" i="2" s="1"/>
  <c r="F573" i="2"/>
  <c r="G573" i="2" s="1"/>
  <c r="I573" i="2"/>
  <c r="B574" i="2"/>
  <c r="V574" i="2" s="1"/>
  <c r="D574" i="2"/>
  <c r="E574" i="2" s="1"/>
  <c r="F574" i="2"/>
  <c r="G574" i="2" s="1"/>
  <c r="I574" i="2"/>
  <c r="J574" i="2" s="1"/>
  <c r="B575" i="2"/>
  <c r="V575" i="2" s="1"/>
  <c r="D575" i="2"/>
  <c r="E575" i="2" s="1"/>
  <c r="F575" i="2"/>
  <c r="G575" i="2" s="1"/>
  <c r="I575" i="2"/>
  <c r="L575" i="2" s="1"/>
  <c r="B576" i="2"/>
  <c r="V576" i="2" s="1"/>
  <c r="D576" i="2"/>
  <c r="E576" i="2" s="1"/>
  <c r="F576" i="2"/>
  <c r="G576" i="2" s="1"/>
  <c r="I576" i="2"/>
  <c r="B577" i="2"/>
  <c r="V577" i="2" s="1"/>
  <c r="D577" i="2"/>
  <c r="E577" i="2" s="1"/>
  <c r="F577" i="2"/>
  <c r="G577" i="2" s="1"/>
  <c r="I577" i="2"/>
  <c r="B578" i="2"/>
  <c r="V578" i="2" s="1"/>
  <c r="D578" i="2"/>
  <c r="E578" i="2" s="1"/>
  <c r="F578" i="2"/>
  <c r="G578" i="2" s="1"/>
  <c r="I578" i="2"/>
  <c r="B579" i="2"/>
  <c r="V579" i="2" s="1"/>
  <c r="D579" i="2"/>
  <c r="E579" i="2" s="1"/>
  <c r="F579" i="2"/>
  <c r="G579" i="2" s="1"/>
  <c r="I579" i="2"/>
  <c r="L579" i="2" s="1"/>
  <c r="B580" i="2"/>
  <c r="V580" i="2" s="1"/>
  <c r="D580" i="2"/>
  <c r="E580" i="2" s="1"/>
  <c r="F580" i="2"/>
  <c r="G580" i="2" s="1"/>
  <c r="I580" i="2"/>
  <c r="B581" i="2"/>
  <c r="V581" i="2" s="1"/>
  <c r="D581" i="2"/>
  <c r="E581" i="2" s="1"/>
  <c r="F581" i="2"/>
  <c r="G581" i="2" s="1"/>
  <c r="I581" i="2"/>
  <c r="L581" i="2" s="1"/>
  <c r="B582" i="2"/>
  <c r="V582" i="2" s="1"/>
  <c r="D582" i="2"/>
  <c r="E582" i="2" s="1"/>
  <c r="F582" i="2"/>
  <c r="G582" i="2" s="1"/>
  <c r="I582" i="2"/>
  <c r="K582" i="2" s="1"/>
  <c r="B583" i="2"/>
  <c r="V583" i="2" s="1"/>
  <c r="D583" i="2"/>
  <c r="E583" i="2" s="1"/>
  <c r="F583" i="2"/>
  <c r="G583" i="2" s="1"/>
  <c r="I583" i="2"/>
  <c r="L583" i="2" s="1"/>
  <c r="B584" i="2"/>
  <c r="V584" i="2" s="1"/>
  <c r="D584" i="2"/>
  <c r="E584" i="2" s="1"/>
  <c r="F584" i="2"/>
  <c r="G584" i="2" s="1"/>
  <c r="I584" i="2"/>
  <c r="L584" i="2" s="1"/>
  <c r="B585" i="2"/>
  <c r="V585" i="2" s="1"/>
  <c r="D585" i="2"/>
  <c r="E585" i="2" s="1"/>
  <c r="F585" i="2"/>
  <c r="G585" i="2" s="1"/>
  <c r="I585" i="2"/>
  <c r="L585" i="2" s="1"/>
  <c r="B586" i="2"/>
  <c r="V586" i="2" s="1"/>
  <c r="D586" i="2"/>
  <c r="E586" i="2" s="1"/>
  <c r="F586" i="2"/>
  <c r="G586" i="2" s="1"/>
  <c r="I586" i="2"/>
  <c r="K586" i="2" s="1"/>
  <c r="B587" i="2"/>
  <c r="V587" i="2" s="1"/>
  <c r="D587" i="2"/>
  <c r="E587" i="2" s="1"/>
  <c r="F587" i="2"/>
  <c r="G587" i="2" s="1"/>
  <c r="I587" i="2"/>
  <c r="K587" i="2" s="1"/>
  <c r="B588" i="2"/>
  <c r="V588" i="2" s="1"/>
  <c r="D588" i="2"/>
  <c r="E588" i="2" s="1"/>
  <c r="F588" i="2"/>
  <c r="G588" i="2" s="1"/>
  <c r="I588" i="2"/>
  <c r="J588" i="2" s="1"/>
  <c r="B589" i="2"/>
  <c r="V589" i="2" s="1"/>
  <c r="D589" i="2"/>
  <c r="E589" i="2" s="1"/>
  <c r="F589" i="2"/>
  <c r="G589" i="2" s="1"/>
  <c r="I589" i="2"/>
  <c r="L589" i="2" s="1"/>
  <c r="B590" i="2"/>
  <c r="V590" i="2" s="1"/>
  <c r="D590" i="2"/>
  <c r="E590" i="2" s="1"/>
  <c r="F590" i="2"/>
  <c r="G590" i="2" s="1"/>
  <c r="I590" i="2"/>
  <c r="J590" i="2" s="1"/>
  <c r="B591" i="2"/>
  <c r="V591" i="2" s="1"/>
  <c r="D591" i="2"/>
  <c r="E591" i="2" s="1"/>
  <c r="F591" i="2"/>
  <c r="G591" i="2" s="1"/>
  <c r="I591" i="2"/>
  <c r="B592" i="2"/>
  <c r="V592" i="2" s="1"/>
  <c r="D592" i="2"/>
  <c r="E592" i="2" s="1"/>
  <c r="F592" i="2"/>
  <c r="G592" i="2" s="1"/>
  <c r="I592" i="2"/>
  <c r="J592" i="2" s="1"/>
  <c r="B593" i="2"/>
  <c r="V593" i="2" s="1"/>
  <c r="D593" i="2"/>
  <c r="E593" i="2" s="1"/>
  <c r="F593" i="2"/>
  <c r="G593" i="2" s="1"/>
  <c r="I593" i="2"/>
  <c r="J593" i="2" s="1"/>
  <c r="B594" i="2"/>
  <c r="V594" i="2" s="1"/>
  <c r="D594" i="2"/>
  <c r="E594" i="2" s="1"/>
  <c r="F594" i="2"/>
  <c r="G594" i="2" s="1"/>
  <c r="I594" i="2"/>
  <c r="J594" i="2" s="1"/>
  <c r="B595" i="2"/>
  <c r="V595" i="2" s="1"/>
  <c r="D595" i="2"/>
  <c r="E595" i="2" s="1"/>
  <c r="F595" i="2"/>
  <c r="G595" i="2" s="1"/>
  <c r="I595" i="2"/>
  <c r="J595" i="2" s="1"/>
  <c r="B596" i="2"/>
  <c r="V596" i="2" s="1"/>
  <c r="D596" i="2"/>
  <c r="E596" i="2" s="1"/>
  <c r="F596" i="2"/>
  <c r="G596" i="2" s="1"/>
  <c r="I596" i="2"/>
  <c r="K596" i="2" s="1"/>
  <c r="B597" i="2"/>
  <c r="V597" i="2" s="1"/>
  <c r="D597" i="2"/>
  <c r="E597" i="2" s="1"/>
  <c r="F597" i="2"/>
  <c r="G597" i="2" s="1"/>
  <c r="I597" i="2"/>
  <c r="B598" i="2"/>
  <c r="V598" i="2" s="1"/>
  <c r="D598" i="2"/>
  <c r="E598" i="2" s="1"/>
  <c r="F598" i="2"/>
  <c r="G598" i="2" s="1"/>
  <c r="I598" i="2"/>
  <c r="J598" i="2" s="1"/>
  <c r="B599" i="2"/>
  <c r="V599" i="2" s="1"/>
  <c r="D599" i="2"/>
  <c r="E599" i="2" s="1"/>
  <c r="F599" i="2"/>
  <c r="G599" i="2" s="1"/>
  <c r="I599" i="2"/>
  <c r="B600" i="2"/>
  <c r="V600" i="2" s="1"/>
  <c r="D600" i="2"/>
  <c r="E600" i="2" s="1"/>
  <c r="F600" i="2"/>
  <c r="G600" i="2" s="1"/>
  <c r="I600" i="2"/>
  <c r="B601" i="2"/>
  <c r="V601" i="2" s="1"/>
  <c r="D601" i="2"/>
  <c r="E601" i="2" s="1"/>
  <c r="F601" i="2"/>
  <c r="G601" i="2" s="1"/>
  <c r="I601" i="2"/>
  <c r="K601" i="2" s="1"/>
  <c r="B602" i="2"/>
  <c r="V602" i="2" s="1"/>
  <c r="D602" i="2"/>
  <c r="E602" i="2" s="1"/>
  <c r="F602" i="2"/>
  <c r="G602" i="2" s="1"/>
  <c r="I602" i="2"/>
  <c r="B603" i="2"/>
  <c r="V603" i="2" s="1"/>
  <c r="D603" i="2"/>
  <c r="E603" i="2" s="1"/>
  <c r="F603" i="2"/>
  <c r="G603" i="2" s="1"/>
  <c r="I603" i="2"/>
  <c r="J603" i="2" s="1"/>
  <c r="B604" i="2"/>
  <c r="V604" i="2" s="1"/>
  <c r="D604" i="2"/>
  <c r="E604" i="2" s="1"/>
  <c r="F604" i="2"/>
  <c r="G604" i="2" s="1"/>
  <c r="I604" i="2"/>
  <c r="B605" i="2"/>
  <c r="V605" i="2" s="1"/>
  <c r="D605" i="2"/>
  <c r="E605" i="2" s="1"/>
  <c r="F605" i="2"/>
  <c r="G605" i="2" s="1"/>
  <c r="I605" i="2"/>
  <c r="K605" i="2" s="1"/>
  <c r="B606" i="2"/>
  <c r="V606" i="2" s="1"/>
  <c r="D606" i="2"/>
  <c r="E606" i="2" s="1"/>
  <c r="F606" i="2"/>
  <c r="G606" i="2" s="1"/>
  <c r="I606" i="2"/>
  <c r="J606" i="2" s="1"/>
  <c r="B607" i="2"/>
  <c r="V607" i="2" s="1"/>
  <c r="D607" i="2"/>
  <c r="E607" i="2" s="1"/>
  <c r="F607" i="2"/>
  <c r="G607" i="2" s="1"/>
  <c r="I607" i="2"/>
  <c r="J607" i="2" s="1"/>
  <c r="B608" i="2"/>
  <c r="V608" i="2" s="1"/>
  <c r="D608" i="2"/>
  <c r="E608" i="2" s="1"/>
  <c r="F608" i="2"/>
  <c r="G608" i="2" s="1"/>
  <c r="I608" i="2"/>
  <c r="B609" i="2"/>
  <c r="V609" i="2" s="1"/>
  <c r="D609" i="2"/>
  <c r="E609" i="2" s="1"/>
  <c r="F609" i="2"/>
  <c r="G609" i="2" s="1"/>
  <c r="I609" i="2"/>
  <c r="J609" i="2" s="1"/>
  <c r="B610" i="2"/>
  <c r="V610" i="2" s="1"/>
  <c r="D610" i="2"/>
  <c r="E610" i="2" s="1"/>
  <c r="F610" i="2"/>
  <c r="G610" i="2" s="1"/>
  <c r="I610" i="2"/>
  <c r="B611" i="2"/>
  <c r="V611" i="2" s="1"/>
  <c r="D611" i="2"/>
  <c r="E611" i="2" s="1"/>
  <c r="F611" i="2"/>
  <c r="G611" i="2" s="1"/>
  <c r="I611" i="2"/>
  <c r="L611" i="2" s="1"/>
  <c r="B612" i="2"/>
  <c r="V612" i="2" s="1"/>
  <c r="D612" i="2"/>
  <c r="E612" i="2" s="1"/>
  <c r="F612" i="2"/>
  <c r="G612" i="2" s="1"/>
  <c r="I612" i="2"/>
  <c r="L612" i="2" s="1"/>
  <c r="B613" i="2"/>
  <c r="V613" i="2" s="1"/>
  <c r="D613" i="2"/>
  <c r="E613" i="2" s="1"/>
  <c r="F613" i="2"/>
  <c r="G613" i="2" s="1"/>
  <c r="I613" i="2"/>
  <c r="J613" i="2" s="1"/>
  <c r="B614" i="2"/>
  <c r="V614" i="2" s="1"/>
  <c r="D614" i="2"/>
  <c r="E614" i="2" s="1"/>
  <c r="F614" i="2"/>
  <c r="G614" i="2" s="1"/>
  <c r="I614" i="2"/>
  <c r="L614" i="2" s="1"/>
  <c r="B615" i="2"/>
  <c r="V615" i="2" s="1"/>
  <c r="D615" i="2"/>
  <c r="E615" i="2" s="1"/>
  <c r="F615" i="2"/>
  <c r="G615" i="2" s="1"/>
  <c r="I615" i="2"/>
  <c r="B616" i="2"/>
  <c r="V616" i="2" s="1"/>
  <c r="D616" i="2"/>
  <c r="E616" i="2" s="1"/>
  <c r="F616" i="2"/>
  <c r="G616" i="2" s="1"/>
  <c r="I616" i="2"/>
  <c r="L616" i="2" s="1"/>
  <c r="B617" i="2"/>
  <c r="V617" i="2" s="1"/>
  <c r="D617" i="2"/>
  <c r="E617" i="2" s="1"/>
  <c r="F617" i="2"/>
  <c r="G617" i="2" s="1"/>
  <c r="I617" i="2"/>
  <c r="J617" i="2" s="1"/>
  <c r="B618" i="2"/>
  <c r="V618" i="2" s="1"/>
  <c r="D618" i="2"/>
  <c r="E618" i="2" s="1"/>
  <c r="F618" i="2"/>
  <c r="G618" i="2" s="1"/>
  <c r="I618" i="2"/>
  <c r="J618" i="2" s="1"/>
  <c r="B619" i="2"/>
  <c r="V619" i="2" s="1"/>
  <c r="D619" i="2"/>
  <c r="E619" i="2" s="1"/>
  <c r="F619" i="2"/>
  <c r="G619" i="2" s="1"/>
  <c r="I619" i="2"/>
  <c r="J619" i="2" s="1"/>
  <c r="B620" i="2"/>
  <c r="V620" i="2" s="1"/>
  <c r="D620" i="2"/>
  <c r="E620" i="2" s="1"/>
  <c r="F620" i="2"/>
  <c r="G620" i="2" s="1"/>
  <c r="I620" i="2"/>
  <c r="J620" i="2" s="1"/>
  <c r="B621" i="2"/>
  <c r="V621" i="2" s="1"/>
  <c r="D621" i="2"/>
  <c r="E621" i="2" s="1"/>
  <c r="F621" i="2"/>
  <c r="G621" i="2" s="1"/>
  <c r="I621" i="2"/>
  <c r="J621" i="2" s="1"/>
  <c r="B622" i="2"/>
  <c r="V622" i="2" s="1"/>
  <c r="D622" i="2"/>
  <c r="E622" i="2" s="1"/>
  <c r="F622" i="2"/>
  <c r="G622" i="2" s="1"/>
  <c r="I622" i="2"/>
  <c r="B623" i="2"/>
  <c r="V623" i="2" s="1"/>
  <c r="D623" i="2"/>
  <c r="E623" i="2" s="1"/>
  <c r="F623" i="2"/>
  <c r="G623" i="2" s="1"/>
  <c r="I623" i="2"/>
  <c r="L623" i="2" s="1"/>
  <c r="B624" i="2"/>
  <c r="V624" i="2" s="1"/>
  <c r="D624" i="2"/>
  <c r="E624" i="2" s="1"/>
  <c r="F624" i="2"/>
  <c r="G624" i="2" s="1"/>
  <c r="I624" i="2"/>
  <c r="B625" i="2"/>
  <c r="V625" i="2" s="1"/>
  <c r="D625" i="2"/>
  <c r="E625" i="2" s="1"/>
  <c r="F625" i="2"/>
  <c r="G625" i="2" s="1"/>
  <c r="I625" i="2"/>
  <c r="K625" i="2" s="1"/>
  <c r="B626" i="2"/>
  <c r="V626" i="2" s="1"/>
  <c r="D626" i="2"/>
  <c r="E626" i="2" s="1"/>
  <c r="F626" i="2"/>
  <c r="G626" i="2" s="1"/>
  <c r="I626" i="2"/>
  <c r="B627" i="2"/>
  <c r="V627" i="2" s="1"/>
  <c r="D627" i="2"/>
  <c r="E627" i="2" s="1"/>
  <c r="F627" i="2"/>
  <c r="G627" i="2" s="1"/>
  <c r="I627" i="2"/>
  <c r="L627" i="2" s="1"/>
  <c r="B628" i="2"/>
  <c r="V628" i="2" s="1"/>
  <c r="D628" i="2"/>
  <c r="E628" i="2" s="1"/>
  <c r="F628" i="2"/>
  <c r="G628" i="2" s="1"/>
  <c r="I628" i="2"/>
  <c r="L628" i="2" s="1"/>
  <c r="B629" i="2"/>
  <c r="V629" i="2" s="1"/>
  <c r="D629" i="2"/>
  <c r="E629" i="2" s="1"/>
  <c r="F629" i="2"/>
  <c r="G629" i="2" s="1"/>
  <c r="I629" i="2"/>
  <c r="B630" i="2"/>
  <c r="V630" i="2" s="1"/>
  <c r="D630" i="2"/>
  <c r="E630" i="2" s="1"/>
  <c r="F630" i="2"/>
  <c r="G630" i="2" s="1"/>
  <c r="I630" i="2"/>
  <c r="L630" i="2" s="1"/>
  <c r="B631" i="2"/>
  <c r="V631" i="2" s="1"/>
  <c r="D631" i="2"/>
  <c r="E631" i="2" s="1"/>
  <c r="F631" i="2"/>
  <c r="G631" i="2" s="1"/>
  <c r="I631" i="2"/>
  <c r="J631" i="2" s="1"/>
  <c r="B632" i="2"/>
  <c r="V632" i="2" s="1"/>
  <c r="D632" i="2"/>
  <c r="E632" i="2" s="1"/>
  <c r="F632" i="2"/>
  <c r="G632" i="2" s="1"/>
  <c r="I632" i="2"/>
  <c r="L632" i="2" s="1"/>
  <c r="B633" i="2"/>
  <c r="V633" i="2" s="1"/>
  <c r="D633" i="2"/>
  <c r="E633" i="2" s="1"/>
  <c r="F633" i="2"/>
  <c r="G633" i="2" s="1"/>
  <c r="I633" i="2"/>
  <c r="B634" i="2"/>
  <c r="V634" i="2" s="1"/>
  <c r="D634" i="2"/>
  <c r="E634" i="2" s="1"/>
  <c r="F634" i="2"/>
  <c r="G634" i="2" s="1"/>
  <c r="I634" i="2"/>
  <c r="L634" i="2" s="1"/>
  <c r="B635" i="2"/>
  <c r="V635" i="2" s="1"/>
  <c r="D635" i="2"/>
  <c r="E635" i="2" s="1"/>
  <c r="F635" i="2"/>
  <c r="G635" i="2" s="1"/>
  <c r="I635" i="2"/>
  <c r="J635" i="2" s="1"/>
  <c r="B636" i="2"/>
  <c r="V636" i="2" s="1"/>
  <c r="D636" i="2"/>
  <c r="E636" i="2" s="1"/>
  <c r="F636" i="2"/>
  <c r="G636" i="2" s="1"/>
  <c r="I636" i="2"/>
  <c r="L636" i="2" s="1"/>
  <c r="B637" i="2"/>
  <c r="V637" i="2" s="1"/>
  <c r="D637" i="2"/>
  <c r="E637" i="2" s="1"/>
  <c r="F637" i="2"/>
  <c r="G637" i="2" s="1"/>
  <c r="I637" i="2"/>
  <c r="J637" i="2" s="1"/>
  <c r="L637" i="2"/>
  <c r="B638" i="2"/>
  <c r="V638" i="2" s="1"/>
  <c r="D638" i="2"/>
  <c r="E638" i="2" s="1"/>
  <c r="F638" i="2"/>
  <c r="G638" i="2" s="1"/>
  <c r="I638" i="2"/>
  <c r="L638" i="2" s="1"/>
  <c r="B639" i="2"/>
  <c r="V639" i="2" s="1"/>
  <c r="D639" i="2"/>
  <c r="E639" i="2" s="1"/>
  <c r="F639" i="2"/>
  <c r="G639" i="2" s="1"/>
  <c r="I639" i="2"/>
  <c r="J639" i="2" s="1"/>
  <c r="B640" i="2"/>
  <c r="V640" i="2" s="1"/>
  <c r="D640" i="2"/>
  <c r="E640" i="2" s="1"/>
  <c r="F640" i="2"/>
  <c r="G640" i="2" s="1"/>
  <c r="I640" i="2"/>
  <c r="L640" i="2" s="1"/>
  <c r="B641" i="2"/>
  <c r="V641" i="2" s="1"/>
  <c r="D641" i="2"/>
  <c r="E641" i="2" s="1"/>
  <c r="F641" i="2"/>
  <c r="G641" i="2" s="1"/>
  <c r="I641" i="2"/>
  <c r="J641" i="2" s="1"/>
  <c r="B642" i="2"/>
  <c r="V642" i="2" s="1"/>
  <c r="D642" i="2"/>
  <c r="E642" i="2" s="1"/>
  <c r="F642" i="2"/>
  <c r="G642" i="2" s="1"/>
  <c r="I642" i="2"/>
  <c r="L642" i="2" s="1"/>
  <c r="B643" i="2"/>
  <c r="V643" i="2" s="1"/>
  <c r="D643" i="2"/>
  <c r="E643" i="2" s="1"/>
  <c r="F643" i="2"/>
  <c r="G643" i="2" s="1"/>
  <c r="I643" i="2"/>
  <c r="J643" i="2" s="1"/>
  <c r="B644" i="2"/>
  <c r="V644" i="2" s="1"/>
  <c r="D644" i="2"/>
  <c r="E644" i="2" s="1"/>
  <c r="F644" i="2"/>
  <c r="G644" i="2" s="1"/>
  <c r="I644" i="2"/>
  <c r="L644" i="2" s="1"/>
  <c r="B645" i="2"/>
  <c r="V645" i="2" s="1"/>
  <c r="D645" i="2"/>
  <c r="E645" i="2" s="1"/>
  <c r="F645" i="2"/>
  <c r="G645" i="2" s="1"/>
  <c r="I645" i="2"/>
  <c r="L645" i="2" s="1"/>
  <c r="B646" i="2"/>
  <c r="V646" i="2" s="1"/>
  <c r="D646" i="2"/>
  <c r="E646" i="2" s="1"/>
  <c r="F646" i="2"/>
  <c r="G646" i="2" s="1"/>
  <c r="I646" i="2"/>
  <c r="L646" i="2" s="1"/>
  <c r="B647" i="2"/>
  <c r="V647" i="2" s="1"/>
  <c r="D647" i="2"/>
  <c r="E647" i="2" s="1"/>
  <c r="F647" i="2"/>
  <c r="G647" i="2" s="1"/>
  <c r="I647" i="2"/>
  <c r="J647" i="2" s="1"/>
  <c r="B648" i="2"/>
  <c r="V648" i="2" s="1"/>
  <c r="D648" i="2"/>
  <c r="E648" i="2" s="1"/>
  <c r="F648" i="2"/>
  <c r="G648" i="2" s="1"/>
  <c r="I648" i="2"/>
  <c r="J648" i="2" s="1"/>
  <c r="B649" i="2"/>
  <c r="V649" i="2" s="1"/>
  <c r="D649" i="2"/>
  <c r="E649" i="2" s="1"/>
  <c r="F649" i="2"/>
  <c r="G649" i="2" s="1"/>
  <c r="I649" i="2"/>
  <c r="J649" i="2" s="1"/>
  <c r="B650" i="2"/>
  <c r="V650" i="2" s="1"/>
  <c r="D650" i="2"/>
  <c r="E650" i="2" s="1"/>
  <c r="F650" i="2"/>
  <c r="G650" i="2" s="1"/>
  <c r="I650" i="2"/>
  <c r="J650" i="2" s="1"/>
  <c r="B651" i="2"/>
  <c r="V651" i="2" s="1"/>
  <c r="D651" i="2"/>
  <c r="E651" i="2" s="1"/>
  <c r="F651" i="2"/>
  <c r="G651" i="2" s="1"/>
  <c r="I651" i="2"/>
  <c r="J651" i="2" s="1"/>
  <c r="B652" i="2"/>
  <c r="V652" i="2" s="1"/>
  <c r="D652" i="2"/>
  <c r="E652" i="2" s="1"/>
  <c r="F652" i="2"/>
  <c r="G652" i="2" s="1"/>
  <c r="I652" i="2"/>
  <c r="J652" i="2" s="1"/>
  <c r="B653" i="2"/>
  <c r="V653" i="2" s="1"/>
  <c r="D653" i="2"/>
  <c r="E653" i="2" s="1"/>
  <c r="F653" i="2"/>
  <c r="G653" i="2" s="1"/>
  <c r="I653" i="2"/>
  <c r="B654" i="2"/>
  <c r="V654" i="2" s="1"/>
  <c r="D654" i="2"/>
  <c r="E654" i="2" s="1"/>
  <c r="F654" i="2"/>
  <c r="G654" i="2" s="1"/>
  <c r="I654" i="2"/>
  <c r="J654" i="2" s="1"/>
  <c r="B655" i="2"/>
  <c r="V655" i="2" s="1"/>
  <c r="D655" i="2"/>
  <c r="E655" i="2" s="1"/>
  <c r="F655" i="2"/>
  <c r="G655" i="2" s="1"/>
  <c r="I655" i="2"/>
  <c r="J655" i="2" s="1"/>
  <c r="B656" i="2"/>
  <c r="V656" i="2" s="1"/>
  <c r="D656" i="2"/>
  <c r="E656" i="2" s="1"/>
  <c r="F656" i="2"/>
  <c r="G656" i="2" s="1"/>
  <c r="I656" i="2"/>
  <c r="J656" i="2" s="1"/>
  <c r="B657" i="2"/>
  <c r="V657" i="2" s="1"/>
  <c r="D657" i="2"/>
  <c r="E657" i="2" s="1"/>
  <c r="F657" i="2"/>
  <c r="G657" i="2" s="1"/>
  <c r="I657" i="2"/>
  <c r="K657" i="2"/>
  <c r="B658" i="2"/>
  <c r="V658" i="2" s="1"/>
  <c r="D658" i="2"/>
  <c r="E658" i="2" s="1"/>
  <c r="F658" i="2"/>
  <c r="G658" i="2" s="1"/>
  <c r="I658" i="2"/>
  <c r="B659" i="2"/>
  <c r="V659" i="2" s="1"/>
  <c r="D659" i="2"/>
  <c r="E659" i="2" s="1"/>
  <c r="F659" i="2"/>
  <c r="G659" i="2" s="1"/>
  <c r="I659" i="2"/>
  <c r="J659" i="2" s="1"/>
  <c r="B660" i="2"/>
  <c r="V660" i="2" s="1"/>
  <c r="D660" i="2"/>
  <c r="E660" i="2" s="1"/>
  <c r="F660" i="2"/>
  <c r="G660" i="2" s="1"/>
  <c r="I660" i="2"/>
  <c r="J660" i="2" s="1"/>
  <c r="B661" i="2"/>
  <c r="V661" i="2" s="1"/>
  <c r="D661" i="2"/>
  <c r="E661" i="2" s="1"/>
  <c r="F661" i="2"/>
  <c r="G661" i="2" s="1"/>
  <c r="I661" i="2"/>
  <c r="K661" i="2" s="1"/>
  <c r="B662" i="2"/>
  <c r="V662" i="2" s="1"/>
  <c r="D662" i="2"/>
  <c r="E662" i="2" s="1"/>
  <c r="F662" i="2"/>
  <c r="G662" i="2" s="1"/>
  <c r="I662" i="2"/>
  <c r="B663" i="2"/>
  <c r="V663" i="2" s="1"/>
  <c r="D663" i="2"/>
  <c r="E663" i="2" s="1"/>
  <c r="F663" i="2"/>
  <c r="G663" i="2" s="1"/>
  <c r="I663" i="2"/>
  <c r="L663" i="2" s="1"/>
  <c r="B664" i="2"/>
  <c r="V664" i="2" s="1"/>
  <c r="D664" i="2"/>
  <c r="E664" i="2" s="1"/>
  <c r="F664" i="2"/>
  <c r="G664" i="2" s="1"/>
  <c r="I664" i="2"/>
  <c r="B665" i="2"/>
  <c r="V665" i="2" s="1"/>
  <c r="D665" i="2"/>
  <c r="E665" i="2" s="1"/>
  <c r="F665" i="2"/>
  <c r="G665" i="2" s="1"/>
  <c r="I665" i="2"/>
  <c r="K665" i="2" s="1"/>
  <c r="B666" i="2"/>
  <c r="V666" i="2" s="1"/>
  <c r="D666" i="2"/>
  <c r="E666" i="2" s="1"/>
  <c r="F666" i="2"/>
  <c r="G666" i="2" s="1"/>
  <c r="I666" i="2"/>
  <c r="B667" i="2"/>
  <c r="V667" i="2" s="1"/>
  <c r="D667" i="2"/>
  <c r="E667" i="2" s="1"/>
  <c r="F667" i="2"/>
  <c r="G667" i="2" s="1"/>
  <c r="I667" i="2"/>
  <c r="L667" i="2" s="1"/>
  <c r="B668" i="2"/>
  <c r="V668" i="2" s="1"/>
  <c r="D668" i="2"/>
  <c r="E668" i="2" s="1"/>
  <c r="F668" i="2"/>
  <c r="G668" i="2" s="1"/>
  <c r="I668" i="2"/>
  <c r="L668" i="2" s="1"/>
  <c r="B669" i="2"/>
  <c r="V669" i="2" s="1"/>
  <c r="D669" i="2"/>
  <c r="E669" i="2" s="1"/>
  <c r="F669" i="2"/>
  <c r="G669" i="2" s="1"/>
  <c r="I669" i="2"/>
  <c r="K669" i="2" s="1"/>
  <c r="B670" i="2"/>
  <c r="D670" i="2"/>
  <c r="E670" i="2" s="1"/>
  <c r="F670" i="2"/>
  <c r="G670" i="2" s="1"/>
  <c r="I670" i="2"/>
  <c r="V670" i="2"/>
  <c r="B671" i="2"/>
  <c r="V671" i="2" s="1"/>
  <c r="D671" i="2"/>
  <c r="E671" i="2" s="1"/>
  <c r="F671" i="2"/>
  <c r="G671" i="2" s="1"/>
  <c r="I671" i="2"/>
  <c r="B672" i="2"/>
  <c r="V672" i="2" s="1"/>
  <c r="D672" i="2"/>
  <c r="E672" i="2" s="1"/>
  <c r="F672" i="2"/>
  <c r="G672" i="2" s="1"/>
  <c r="I672" i="2"/>
  <c r="L672" i="2" s="1"/>
  <c r="B673" i="2"/>
  <c r="V673" i="2" s="1"/>
  <c r="D673" i="2"/>
  <c r="E673" i="2" s="1"/>
  <c r="F673" i="2"/>
  <c r="G673" i="2" s="1"/>
  <c r="I673" i="2"/>
  <c r="L673" i="2" s="1"/>
  <c r="B674" i="2"/>
  <c r="V674" i="2" s="1"/>
  <c r="D674" i="2"/>
  <c r="E674" i="2" s="1"/>
  <c r="F674" i="2"/>
  <c r="G674" i="2" s="1"/>
  <c r="I674" i="2"/>
  <c r="L674" i="2" s="1"/>
  <c r="B675" i="2"/>
  <c r="V675" i="2" s="1"/>
  <c r="D675" i="2"/>
  <c r="E675" i="2" s="1"/>
  <c r="F675" i="2"/>
  <c r="G675" i="2" s="1"/>
  <c r="I675" i="2"/>
  <c r="B676" i="2"/>
  <c r="V676" i="2" s="1"/>
  <c r="D676" i="2"/>
  <c r="E676" i="2" s="1"/>
  <c r="F676" i="2"/>
  <c r="G676" i="2" s="1"/>
  <c r="I676" i="2"/>
  <c r="B677" i="2"/>
  <c r="V677" i="2" s="1"/>
  <c r="D677" i="2"/>
  <c r="E677" i="2" s="1"/>
  <c r="F677" i="2"/>
  <c r="G677" i="2" s="1"/>
  <c r="I677" i="2"/>
  <c r="J677" i="2" s="1"/>
  <c r="B678" i="2"/>
  <c r="V678" i="2" s="1"/>
  <c r="D678" i="2"/>
  <c r="E678" i="2" s="1"/>
  <c r="F678" i="2"/>
  <c r="G678" i="2" s="1"/>
  <c r="I678" i="2"/>
  <c r="L678" i="2" s="1"/>
  <c r="B679" i="2"/>
  <c r="V679" i="2" s="1"/>
  <c r="D679" i="2"/>
  <c r="E679" i="2" s="1"/>
  <c r="F679" i="2"/>
  <c r="G679" i="2" s="1"/>
  <c r="I679" i="2"/>
  <c r="B680" i="2"/>
  <c r="V680" i="2" s="1"/>
  <c r="D680" i="2"/>
  <c r="E680" i="2" s="1"/>
  <c r="F680" i="2"/>
  <c r="G680" i="2" s="1"/>
  <c r="I680" i="2"/>
  <c r="L680" i="2" s="1"/>
  <c r="B681" i="2"/>
  <c r="V681" i="2" s="1"/>
  <c r="D681" i="2"/>
  <c r="E681" i="2" s="1"/>
  <c r="F681" i="2"/>
  <c r="G681" i="2" s="1"/>
  <c r="I681" i="2"/>
  <c r="J681" i="2" s="1"/>
  <c r="K681" i="2"/>
  <c r="B682" i="2"/>
  <c r="V682" i="2" s="1"/>
  <c r="D682" i="2"/>
  <c r="E682" i="2" s="1"/>
  <c r="F682" i="2"/>
  <c r="G682" i="2" s="1"/>
  <c r="I682" i="2"/>
  <c r="K682" i="2" s="1"/>
  <c r="B683" i="2"/>
  <c r="V683" i="2" s="1"/>
  <c r="D683" i="2"/>
  <c r="E683" i="2" s="1"/>
  <c r="F683" i="2"/>
  <c r="G683" i="2" s="1"/>
  <c r="I683" i="2"/>
  <c r="B684" i="2"/>
  <c r="V684" i="2" s="1"/>
  <c r="D684" i="2"/>
  <c r="E684" i="2" s="1"/>
  <c r="F684" i="2"/>
  <c r="G684" i="2" s="1"/>
  <c r="I684" i="2"/>
  <c r="K684" i="2" s="1"/>
  <c r="B685" i="2"/>
  <c r="V685" i="2" s="1"/>
  <c r="D685" i="2"/>
  <c r="E685" i="2" s="1"/>
  <c r="F685" i="2"/>
  <c r="G685" i="2" s="1"/>
  <c r="I685" i="2"/>
  <c r="L685" i="2" s="1"/>
  <c r="B686" i="2"/>
  <c r="V686" i="2" s="1"/>
  <c r="D686" i="2"/>
  <c r="E686" i="2" s="1"/>
  <c r="F686" i="2"/>
  <c r="G686" i="2" s="1"/>
  <c r="I686" i="2"/>
  <c r="L686" i="2" s="1"/>
  <c r="B687" i="2"/>
  <c r="V687" i="2" s="1"/>
  <c r="D687" i="2"/>
  <c r="E687" i="2" s="1"/>
  <c r="F687" i="2"/>
  <c r="G687" i="2" s="1"/>
  <c r="I687" i="2"/>
  <c r="B688" i="2"/>
  <c r="V688" i="2" s="1"/>
  <c r="D688" i="2"/>
  <c r="E688" i="2" s="1"/>
  <c r="F688" i="2"/>
  <c r="G688" i="2" s="1"/>
  <c r="I688" i="2"/>
  <c r="J688" i="2" s="1"/>
  <c r="B689" i="2"/>
  <c r="V689" i="2" s="1"/>
  <c r="D689" i="2"/>
  <c r="E689" i="2" s="1"/>
  <c r="F689" i="2"/>
  <c r="G689" i="2" s="1"/>
  <c r="I689" i="2"/>
  <c r="J689" i="2" s="1"/>
  <c r="B690" i="2"/>
  <c r="V690" i="2" s="1"/>
  <c r="D690" i="2"/>
  <c r="E690" i="2" s="1"/>
  <c r="F690" i="2"/>
  <c r="G690" i="2" s="1"/>
  <c r="I690" i="2"/>
  <c r="B691" i="2"/>
  <c r="V691" i="2" s="1"/>
  <c r="D691" i="2"/>
  <c r="E691" i="2" s="1"/>
  <c r="F691" i="2"/>
  <c r="G691" i="2" s="1"/>
  <c r="I691" i="2"/>
  <c r="B692" i="2"/>
  <c r="V692" i="2" s="1"/>
  <c r="D692" i="2"/>
  <c r="E692" i="2" s="1"/>
  <c r="F692" i="2"/>
  <c r="G692" i="2" s="1"/>
  <c r="I692" i="2"/>
  <c r="J692" i="2" s="1"/>
  <c r="B693" i="2"/>
  <c r="V693" i="2" s="1"/>
  <c r="D693" i="2"/>
  <c r="E693" i="2" s="1"/>
  <c r="F693" i="2"/>
  <c r="G693" i="2" s="1"/>
  <c r="I693" i="2"/>
  <c r="L693" i="2" s="1"/>
  <c r="K693" i="2"/>
  <c r="B694" i="2"/>
  <c r="V694" i="2" s="1"/>
  <c r="D694" i="2"/>
  <c r="E694" i="2" s="1"/>
  <c r="F694" i="2"/>
  <c r="G694" i="2" s="1"/>
  <c r="I694" i="2"/>
  <c r="L694" i="2" s="1"/>
  <c r="B695" i="2"/>
  <c r="V695" i="2" s="1"/>
  <c r="D695" i="2"/>
  <c r="E695" i="2" s="1"/>
  <c r="F695" i="2"/>
  <c r="G695" i="2" s="1"/>
  <c r="I695" i="2"/>
  <c r="K695" i="2" s="1"/>
  <c r="B696" i="2"/>
  <c r="V696" i="2" s="1"/>
  <c r="D696" i="2"/>
  <c r="E696" i="2" s="1"/>
  <c r="F696" i="2"/>
  <c r="G696" i="2" s="1"/>
  <c r="I696" i="2"/>
  <c r="L696" i="2" s="1"/>
  <c r="B697" i="2"/>
  <c r="V697" i="2" s="1"/>
  <c r="D697" i="2"/>
  <c r="E697" i="2" s="1"/>
  <c r="F697" i="2"/>
  <c r="G697" i="2" s="1"/>
  <c r="I697" i="2"/>
  <c r="K697" i="2" s="1"/>
  <c r="B698" i="2"/>
  <c r="V698" i="2" s="1"/>
  <c r="D698" i="2"/>
  <c r="E698" i="2" s="1"/>
  <c r="F698" i="2"/>
  <c r="G698" i="2" s="1"/>
  <c r="I698" i="2"/>
  <c r="K698" i="2" s="1"/>
  <c r="B699" i="2"/>
  <c r="V699" i="2" s="1"/>
  <c r="D699" i="2"/>
  <c r="E699" i="2" s="1"/>
  <c r="F699" i="2"/>
  <c r="G699" i="2" s="1"/>
  <c r="I699" i="2"/>
  <c r="K699" i="2" s="1"/>
  <c r="B700" i="2"/>
  <c r="V700" i="2" s="1"/>
  <c r="D700" i="2"/>
  <c r="E700" i="2" s="1"/>
  <c r="F700" i="2"/>
  <c r="G700" i="2" s="1"/>
  <c r="I700" i="2"/>
  <c r="J700" i="2" s="1"/>
  <c r="B701" i="2"/>
  <c r="V701" i="2" s="1"/>
  <c r="D701" i="2"/>
  <c r="E701" i="2" s="1"/>
  <c r="F701" i="2"/>
  <c r="G701" i="2" s="1"/>
  <c r="I701" i="2"/>
  <c r="L701" i="2" s="1"/>
  <c r="B702" i="2"/>
  <c r="V702" i="2" s="1"/>
  <c r="D702" i="2"/>
  <c r="E702" i="2" s="1"/>
  <c r="F702" i="2"/>
  <c r="G702" i="2" s="1"/>
  <c r="I702" i="2"/>
  <c r="K702" i="2" s="1"/>
  <c r="B703" i="2"/>
  <c r="V703" i="2" s="1"/>
  <c r="D703" i="2"/>
  <c r="E703" i="2" s="1"/>
  <c r="F703" i="2"/>
  <c r="G703" i="2" s="1"/>
  <c r="I703" i="2"/>
  <c r="L703" i="2" s="1"/>
  <c r="B704" i="2"/>
  <c r="V704" i="2" s="1"/>
  <c r="D704" i="2"/>
  <c r="E704" i="2" s="1"/>
  <c r="F704" i="2"/>
  <c r="G704" i="2" s="1"/>
  <c r="I704" i="2"/>
  <c r="J704" i="2" s="1"/>
  <c r="B705" i="2"/>
  <c r="V705" i="2" s="1"/>
  <c r="D705" i="2"/>
  <c r="E705" i="2" s="1"/>
  <c r="F705" i="2"/>
  <c r="G705" i="2" s="1"/>
  <c r="I705" i="2"/>
  <c r="B706" i="2"/>
  <c r="V706" i="2" s="1"/>
  <c r="D706" i="2"/>
  <c r="E706" i="2" s="1"/>
  <c r="F706" i="2"/>
  <c r="G706" i="2" s="1"/>
  <c r="I706" i="2"/>
  <c r="J706" i="2" s="1"/>
  <c r="B707" i="2"/>
  <c r="V707" i="2" s="1"/>
  <c r="D707" i="2"/>
  <c r="E707" i="2" s="1"/>
  <c r="F707" i="2"/>
  <c r="G707" i="2" s="1"/>
  <c r="I707" i="2"/>
  <c r="L707" i="2" s="1"/>
  <c r="B708" i="2"/>
  <c r="V708" i="2" s="1"/>
  <c r="D708" i="2"/>
  <c r="E708" i="2" s="1"/>
  <c r="F708" i="2"/>
  <c r="G708" i="2" s="1"/>
  <c r="I708" i="2"/>
  <c r="J708" i="2" s="1"/>
  <c r="B709" i="2"/>
  <c r="V709" i="2" s="1"/>
  <c r="D709" i="2"/>
  <c r="E709" i="2" s="1"/>
  <c r="F709" i="2"/>
  <c r="G709" i="2" s="1"/>
  <c r="I709" i="2"/>
  <c r="K709" i="2" s="1"/>
  <c r="B710" i="2"/>
  <c r="V710" i="2" s="1"/>
  <c r="D710" i="2"/>
  <c r="E710" i="2" s="1"/>
  <c r="F710" i="2"/>
  <c r="G710" i="2" s="1"/>
  <c r="I710" i="2"/>
  <c r="J710" i="2" s="1"/>
  <c r="B711" i="2"/>
  <c r="V711" i="2" s="1"/>
  <c r="D711" i="2"/>
  <c r="E711" i="2" s="1"/>
  <c r="F711" i="2"/>
  <c r="G711" i="2" s="1"/>
  <c r="I711" i="2"/>
  <c r="L711" i="2" s="1"/>
  <c r="B712" i="2"/>
  <c r="V712" i="2" s="1"/>
  <c r="D712" i="2"/>
  <c r="E712" i="2" s="1"/>
  <c r="F712" i="2"/>
  <c r="G712" i="2" s="1"/>
  <c r="I712" i="2"/>
  <c r="J712" i="2" s="1"/>
  <c r="B713" i="2"/>
  <c r="V713" i="2" s="1"/>
  <c r="D713" i="2"/>
  <c r="E713" i="2" s="1"/>
  <c r="F713" i="2"/>
  <c r="G713" i="2" s="1"/>
  <c r="I713" i="2"/>
  <c r="K713" i="2" s="1"/>
  <c r="B714" i="2"/>
  <c r="V714" i="2" s="1"/>
  <c r="D714" i="2"/>
  <c r="E714" i="2" s="1"/>
  <c r="F714" i="2"/>
  <c r="G714" i="2" s="1"/>
  <c r="I714" i="2"/>
  <c r="J714" i="2" s="1"/>
  <c r="B715" i="2"/>
  <c r="V715" i="2" s="1"/>
  <c r="D715" i="2"/>
  <c r="E715" i="2" s="1"/>
  <c r="F715" i="2"/>
  <c r="G715" i="2" s="1"/>
  <c r="I715" i="2"/>
  <c r="J715" i="2" s="1"/>
  <c r="B716" i="2"/>
  <c r="V716" i="2" s="1"/>
  <c r="D716" i="2"/>
  <c r="E716" i="2" s="1"/>
  <c r="F716" i="2"/>
  <c r="G716" i="2" s="1"/>
  <c r="I716" i="2"/>
  <c r="L716" i="2"/>
  <c r="B717" i="2"/>
  <c r="V717" i="2" s="1"/>
  <c r="D717" i="2"/>
  <c r="E717" i="2" s="1"/>
  <c r="F717" i="2"/>
  <c r="G717" i="2" s="1"/>
  <c r="I717" i="2"/>
  <c r="B718" i="2"/>
  <c r="V718" i="2" s="1"/>
  <c r="D718" i="2"/>
  <c r="E718" i="2" s="1"/>
  <c r="F718" i="2"/>
  <c r="G718" i="2" s="1"/>
  <c r="I718" i="2"/>
  <c r="J718" i="2" s="1"/>
  <c r="B719" i="2"/>
  <c r="V719" i="2" s="1"/>
  <c r="D719" i="2"/>
  <c r="E719" i="2" s="1"/>
  <c r="F719" i="2"/>
  <c r="G719" i="2" s="1"/>
  <c r="I719" i="2"/>
  <c r="K719" i="2" s="1"/>
  <c r="B720" i="2"/>
  <c r="V720" i="2" s="1"/>
  <c r="D720" i="2"/>
  <c r="E720" i="2" s="1"/>
  <c r="F720" i="2"/>
  <c r="G720" i="2" s="1"/>
  <c r="I720" i="2"/>
  <c r="J720" i="2" s="1"/>
  <c r="B721" i="2"/>
  <c r="V721" i="2" s="1"/>
  <c r="D721" i="2"/>
  <c r="E721" i="2" s="1"/>
  <c r="F721" i="2"/>
  <c r="G721" i="2" s="1"/>
  <c r="I721" i="2"/>
  <c r="J721" i="2" s="1"/>
  <c r="B722" i="2"/>
  <c r="V722" i="2" s="1"/>
  <c r="D722" i="2"/>
  <c r="E722" i="2" s="1"/>
  <c r="F722" i="2"/>
  <c r="G722" i="2" s="1"/>
  <c r="I722" i="2"/>
  <c r="J722" i="2" s="1"/>
  <c r="B723" i="2"/>
  <c r="V723" i="2" s="1"/>
  <c r="D723" i="2"/>
  <c r="E723" i="2" s="1"/>
  <c r="F723" i="2"/>
  <c r="G723" i="2" s="1"/>
  <c r="I723" i="2"/>
  <c r="B724" i="2"/>
  <c r="V724" i="2" s="1"/>
  <c r="D724" i="2"/>
  <c r="E724" i="2" s="1"/>
  <c r="F724" i="2"/>
  <c r="G724" i="2" s="1"/>
  <c r="I724" i="2"/>
  <c r="B725" i="2"/>
  <c r="V725" i="2" s="1"/>
  <c r="D725" i="2"/>
  <c r="E725" i="2" s="1"/>
  <c r="F725" i="2"/>
  <c r="G725" i="2" s="1"/>
  <c r="I725" i="2"/>
  <c r="J725" i="2" s="1"/>
  <c r="B726" i="2"/>
  <c r="V726" i="2" s="1"/>
  <c r="D726" i="2"/>
  <c r="E726" i="2" s="1"/>
  <c r="F726" i="2"/>
  <c r="G726" i="2" s="1"/>
  <c r="I726" i="2"/>
  <c r="B727" i="2"/>
  <c r="V727" i="2" s="1"/>
  <c r="D727" i="2"/>
  <c r="E727" i="2" s="1"/>
  <c r="F727" i="2"/>
  <c r="G727" i="2" s="1"/>
  <c r="I727" i="2"/>
  <c r="B728" i="2"/>
  <c r="V728" i="2" s="1"/>
  <c r="D728" i="2"/>
  <c r="E728" i="2" s="1"/>
  <c r="F728" i="2"/>
  <c r="G728" i="2" s="1"/>
  <c r="I728" i="2"/>
  <c r="J728" i="2" s="1"/>
  <c r="B729" i="2"/>
  <c r="V729" i="2" s="1"/>
  <c r="D729" i="2"/>
  <c r="E729" i="2" s="1"/>
  <c r="F729" i="2"/>
  <c r="G729" i="2" s="1"/>
  <c r="I729" i="2"/>
  <c r="K729" i="2" s="1"/>
  <c r="B730" i="2"/>
  <c r="V730" i="2" s="1"/>
  <c r="D730" i="2"/>
  <c r="E730" i="2" s="1"/>
  <c r="F730" i="2"/>
  <c r="G730" i="2" s="1"/>
  <c r="I730" i="2"/>
  <c r="K730" i="2" s="1"/>
  <c r="B731" i="2"/>
  <c r="V731" i="2" s="1"/>
  <c r="D731" i="2"/>
  <c r="E731" i="2" s="1"/>
  <c r="F731" i="2"/>
  <c r="G731" i="2" s="1"/>
  <c r="I731" i="2"/>
  <c r="B732" i="2"/>
  <c r="V732" i="2" s="1"/>
  <c r="D732" i="2"/>
  <c r="E732" i="2" s="1"/>
  <c r="F732" i="2"/>
  <c r="G732" i="2" s="1"/>
  <c r="I732" i="2"/>
  <c r="K732" i="2" s="1"/>
  <c r="B733" i="2"/>
  <c r="V733" i="2" s="1"/>
  <c r="D733" i="2"/>
  <c r="E733" i="2" s="1"/>
  <c r="F733" i="2"/>
  <c r="G733" i="2" s="1"/>
  <c r="I733" i="2"/>
  <c r="L733" i="2" s="1"/>
  <c r="B734" i="2"/>
  <c r="V734" i="2" s="1"/>
  <c r="D734" i="2"/>
  <c r="E734" i="2" s="1"/>
  <c r="F734" i="2"/>
  <c r="G734" i="2" s="1"/>
  <c r="I734" i="2"/>
  <c r="K734" i="2" s="1"/>
  <c r="B735" i="2"/>
  <c r="V735" i="2" s="1"/>
  <c r="D735" i="2"/>
  <c r="E735" i="2" s="1"/>
  <c r="F735" i="2"/>
  <c r="G735" i="2" s="1"/>
  <c r="I735" i="2"/>
  <c r="J735" i="2" s="1"/>
  <c r="K735" i="2"/>
  <c r="B736" i="2"/>
  <c r="D736" i="2"/>
  <c r="E736" i="2" s="1"/>
  <c r="F736" i="2"/>
  <c r="G736" i="2" s="1"/>
  <c r="I736" i="2"/>
  <c r="K736" i="2" s="1"/>
  <c r="V736" i="2"/>
  <c r="B737" i="2"/>
  <c r="V737" i="2" s="1"/>
  <c r="D737" i="2"/>
  <c r="E737" i="2" s="1"/>
  <c r="F737" i="2"/>
  <c r="G737" i="2" s="1"/>
  <c r="I737" i="2"/>
  <c r="B738" i="2"/>
  <c r="V738" i="2" s="1"/>
  <c r="D738" i="2"/>
  <c r="E738" i="2" s="1"/>
  <c r="F738" i="2"/>
  <c r="G738" i="2" s="1"/>
  <c r="I738" i="2"/>
  <c r="B739" i="2"/>
  <c r="V739" i="2" s="1"/>
  <c r="D739" i="2"/>
  <c r="E739" i="2" s="1"/>
  <c r="F739" i="2"/>
  <c r="G739" i="2" s="1"/>
  <c r="I739" i="2"/>
  <c r="J739" i="2" s="1"/>
  <c r="B740" i="2"/>
  <c r="V740" i="2" s="1"/>
  <c r="D740" i="2"/>
  <c r="E740" i="2" s="1"/>
  <c r="F740" i="2"/>
  <c r="G740" i="2" s="1"/>
  <c r="I740" i="2"/>
  <c r="L740" i="2" s="1"/>
  <c r="B741" i="2"/>
  <c r="V741" i="2" s="1"/>
  <c r="D741" i="2"/>
  <c r="E741" i="2" s="1"/>
  <c r="F741" i="2"/>
  <c r="G741" i="2" s="1"/>
  <c r="I741" i="2"/>
  <c r="B742" i="2"/>
  <c r="V742" i="2" s="1"/>
  <c r="D742" i="2"/>
  <c r="E742" i="2" s="1"/>
  <c r="F742" i="2"/>
  <c r="G742" i="2" s="1"/>
  <c r="I742" i="2"/>
  <c r="B743" i="2"/>
  <c r="V743" i="2" s="1"/>
  <c r="D743" i="2"/>
  <c r="E743" i="2" s="1"/>
  <c r="F743" i="2"/>
  <c r="G743" i="2" s="1"/>
  <c r="I743" i="2"/>
  <c r="J743" i="2" s="1"/>
  <c r="B744" i="2"/>
  <c r="V744" i="2" s="1"/>
  <c r="D744" i="2"/>
  <c r="E744" i="2" s="1"/>
  <c r="F744" i="2"/>
  <c r="G744" i="2" s="1"/>
  <c r="I744" i="2"/>
  <c r="K744" i="2" s="1"/>
  <c r="B745" i="2"/>
  <c r="V745" i="2" s="1"/>
  <c r="D745" i="2"/>
  <c r="E745" i="2" s="1"/>
  <c r="F745" i="2"/>
  <c r="G745" i="2" s="1"/>
  <c r="I745" i="2"/>
  <c r="B746" i="2"/>
  <c r="V746" i="2" s="1"/>
  <c r="D746" i="2"/>
  <c r="E746" i="2" s="1"/>
  <c r="F746" i="2"/>
  <c r="G746" i="2" s="1"/>
  <c r="I746" i="2"/>
  <c r="B747" i="2"/>
  <c r="V747" i="2" s="1"/>
  <c r="D747" i="2"/>
  <c r="E747" i="2" s="1"/>
  <c r="F747" i="2"/>
  <c r="G747" i="2" s="1"/>
  <c r="I747" i="2"/>
  <c r="J747" i="2" s="1"/>
  <c r="B748" i="2"/>
  <c r="V748" i="2" s="1"/>
  <c r="D748" i="2"/>
  <c r="E748" i="2" s="1"/>
  <c r="F748" i="2"/>
  <c r="G748" i="2" s="1"/>
  <c r="I748" i="2"/>
  <c r="J748" i="2" s="1"/>
  <c r="B749" i="2"/>
  <c r="V749" i="2" s="1"/>
  <c r="D749" i="2"/>
  <c r="E749" i="2" s="1"/>
  <c r="F749" i="2"/>
  <c r="G749" i="2" s="1"/>
  <c r="I749" i="2"/>
  <c r="B750" i="2"/>
  <c r="V750" i="2" s="1"/>
  <c r="D750" i="2"/>
  <c r="E750" i="2" s="1"/>
  <c r="F750" i="2"/>
  <c r="G750" i="2" s="1"/>
  <c r="I750" i="2"/>
  <c r="B751" i="2"/>
  <c r="V751" i="2" s="1"/>
  <c r="D751" i="2"/>
  <c r="E751" i="2" s="1"/>
  <c r="F751" i="2"/>
  <c r="G751" i="2" s="1"/>
  <c r="I751" i="2"/>
  <c r="J751" i="2" s="1"/>
  <c r="B752" i="2"/>
  <c r="V752" i="2" s="1"/>
  <c r="D752" i="2"/>
  <c r="E752" i="2" s="1"/>
  <c r="F752" i="2"/>
  <c r="G752" i="2" s="1"/>
  <c r="I752" i="2"/>
  <c r="J752" i="2" s="1"/>
  <c r="B753" i="2"/>
  <c r="V753" i="2" s="1"/>
  <c r="D753" i="2"/>
  <c r="E753" i="2" s="1"/>
  <c r="F753" i="2"/>
  <c r="G753" i="2" s="1"/>
  <c r="I753" i="2"/>
  <c r="B754" i="2"/>
  <c r="V754" i="2" s="1"/>
  <c r="D754" i="2"/>
  <c r="E754" i="2" s="1"/>
  <c r="F754" i="2"/>
  <c r="G754" i="2" s="1"/>
  <c r="I754" i="2"/>
  <c r="B755" i="2"/>
  <c r="V755" i="2" s="1"/>
  <c r="D755" i="2"/>
  <c r="E755" i="2" s="1"/>
  <c r="F755" i="2"/>
  <c r="G755" i="2" s="1"/>
  <c r="I755" i="2"/>
  <c r="J755" i="2" s="1"/>
  <c r="B756" i="2"/>
  <c r="V756" i="2" s="1"/>
  <c r="D756" i="2"/>
  <c r="E756" i="2" s="1"/>
  <c r="F756" i="2"/>
  <c r="G756" i="2" s="1"/>
  <c r="I756" i="2"/>
  <c r="K756" i="2" s="1"/>
  <c r="B757" i="2"/>
  <c r="V757" i="2" s="1"/>
  <c r="D757" i="2"/>
  <c r="E757" i="2" s="1"/>
  <c r="F757" i="2"/>
  <c r="G757" i="2" s="1"/>
  <c r="I757" i="2"/>
  <c r="B758" i="2"/>
  <c r="V758" i="2" s="1"/>
  <c r="D758" i="2"/>
  <c r="E758" i="2" s="1"/>
  <c r="F758" i="2"/>
  <c r="G758" i="2" s="1"/>
  <c r="I758" i="2"/>
  <c r="B759" i="2"/>
  <c r="V759" i="2" s="1"/>
  <c r="D759" i="2"/>
  <c r="E759" i="2" s="1"/>
  <c r="F759" i="2"/>
  <c r="G759" i="2" s="1"/>
  <c r="I759" i="2"/>
  <c r="J759" i="2" s="1"/>
  <c r="B760" i="2"/>
  <c r="V760" i="2" s="1"/>
  <c r="D760" i="2"/>
  <c r="E760" i="2" s="1"/>
  <c r="F760" i="2"/>
  <c r="G760" i="2" s="1"/>
  <c r="I760" i="2"/>
  <c r="J760" i="2" s="1"/>
  <c r="B761" i="2"/>
  <c r="V761" i="2" s="1"/>
  <c r="D761" i="2"/>
  <c r="E761" i="2" s="1"/>
  <c r="F761" i="2"/>
  <c r="G761" i="2" s="1"/>
  <c r="I761" i="2"/>
  <c r="L761" i="2" s="1"/>
  <c r="B762" i="2"/>
  <c r="V762" i="2" s="1"/>
  <c r="D762" i="2"/>
  <c r="E762" i="2" s="1"/>
  <c r="F762" i="2"/>
  <c r="G762" i="2" s="1"/>
  <c r="I762" i="2"/>
  <c r="B763" i="2"/>
  <c r="V763" i="2" s="1"/>
  <c r="D763" i="2"/>
  <c r="E763" i="2" s="1"/>
  <c r="F763" i="2"/>
  <c r="G763" i="2" s="1"/>
  <c r="I763" i="2"/>
  <c r="J763" i="2" s="1"/>
  <c r="B764" i="2"/>
  <c r="V764" i="2" s="1"/>
  <c r="D764" i="2"/>
  <c r="E764" i="2" s="1"/>
  <c r="F764" i="2"/>
  <c r="G764" i="2" s="1"/>
  <c r="I764" i="2"/>
  <c r="B765" i="2"/>
  <c r="V765" i="2" s="1"/>
  <c r="D765" i="2"/>
  <c r="E765" i="2" s="1"/>
  <c r="F765" i="2"/>
  <c r="G765" i="2" s="1"/>
  <c r="I765" i="2"/>
  <c r="B766" i="2"/>
  <c r="V766" i="2" s="1"/>
  <c r="D766" i="2"/>
  <c r="E766" i="2" s="1"/>
  <c r="F766" i="2"/>
  <c r="G766" i="2" s="1"/>
  <c r="I766" i="2"/>
  <c r="B767" i="2"/>
  <c r="V767" i="2" s="1"/>
  <c r="D767" i="2"/>
  <c r="E767" i="2" s="1"/>
  <c r="F767" i="2"/>
  <c r="G767" i="2" s="1"/>
  <c r="I767" i="2"/>
  <c r="J767" i="2" s="1"/>
  <c r="B768" i="2"/>
  <c r="V768" i="2" s="1"/>
  <c r="D768" i="2"/>
  <c r="E768" i="2" s="1"/>
  <c r="F768" i="2"/>
  <c r="G768" i="2" s="1"/>
  <c r="I768" i="2"/>
  <c r="K768" i="2" s="1"/>
  <c r="B769" i="2"/>
  <c r="V769" i="2" s="1"/>
  <c r="D769" i="2"/>
  <c r="E769" i="2" s="1"/>
  <c r="F769" i="2"/>
  <c r="G769" i="2" s="1"/>
  <c r="I769" i="2"/>
  <c r="K769" i="2" s="1"/>
  <c r="B770" i="2"/>
  <c r="V770" i="2" s="1"/>
  <c r="D770" i="2"/>
  <c r="E770" i="2" s="1"/>
  <c r="F770" i="2"/>
  <c r="G770" i="2" s="1"/>
  <c r="I770" i="2"/>
  <c r="B771" i="2"/>
  <c r="V771" i="2" s="1"/>
  <c r="D771" i="2"/>
  <c r="E771" i="2" s="1"/>
  <c r="F771" i="2"/>
  <c r="G771" i="2" s="1"/>
  <c r="I771" i="2"/>
  <c r="B772" i="2"/>
  <c r="V772" i="2" s="1"/>
  <c r="D772" i="2"/>
  <c r="E772" i="2" s="1"/>
  <c r="F772" i="2"/>
  <c r="G772" i="2" s="1"/>
  <c r="I772" i="2"/>
  <c r="L772" i="2" s="1"/>
  <c r="B773" i="2"/>
  <c r="V773" i="2" s="1"/>
  <c r="D773" i="2"/>
  <c r="E773" i="2" s="1"/>
  <c r="F773" i="2"/>
  <c r="G773" i="2" s="1"/>
  <c r="I773" i="2"/>
  <c r="B774" i="2"/>
  <c r="V774" i="2" s="1"/>
  <c r="D774" i="2"/>
  <c r="E774" i="2" s="1"/>
  <c r="F774" i="2"/>
  <c r="G774" i="2" s="1"/>
  <c r="I774" i="2"/>
  <c r="K774" i="2" s="1"/>
  <c r="B775" i="2"/>
  <c r="V775" i="2" s="1"/>
  <c r="D775" i="2"/>
  <c r="E775" i="2" s="1"/>
  <c r="F775" i="2"/>
  <c r="G775" i="2" s="1"/>
  <c r="I775" i="2"/>
  <c r="B776" i="2"/>
  <c r="V776" i="2" s="1"/>
  <c r="D776" i="2"/>
  <c r="E776" i="2" s="1"/>
  <c r="F776" i="2"/>
  <c r="G776" i="2" s="1"/>
  <c r="I776" i="2"/>
  <c r="L776" i="2" s="1"/>
  <c r="B777" i="2"/>
  <c r="V777" i="2" s="1"/>
  <c r="D777" i="2"/>
  <c r="E777" i="2" s="1"/>
  <c r="F777" i="2"/>
  <c r="G777" i="2" s="1"/>
  <c r="I777" i="2"/>
  <c r="L777" i="2" s="1"/>
  <c r="B778" i="2"/>
  <c r="V778" i="2" s="1"/>
  <c r="D778" i="2"/>
  <c r="E778" i="2" s="1"/>
  <c r="F778" i="2"/>
  <c r="G778" i="2" s="1"/>
  <c r="I778" i="2"/>
  <c r="K778" i="2" s="1"/>
  <c r="B779" i="2"/>
  <c r="V779" i="2" s="1"/>
  <c r="D779" i="2"/>
  <c r="E779" i="2" s="1"/>
  <c r="F779" i="2"/>
  <c r="G779" i="2" s="1"/>
  <c r="I779" i="2"/>
  <c r="B780" i="2"/>
  <c r="V780" i="2" s="1"/>
  <c r="D780" i="2"/>
  <c r="E780" i="2" s="1"/>
  <c r="F780" i="2"/>
  <c r="G780" i="2" s="1"/>
  <c r="I780" i="2"/>
  <c r="B781" i="2"/>
  <c r="V781" i="2" s="1"/>
  <c r="D781" i="2"/>
  <c r="E781" i="2" s="1"/>
  <c r="F781" i="2"/>
  <c r="G781" i="2" s="1"/>
  <c r="I781" i="2"/>
  <c r="L781" i="2" s="1"/>
  <c r="B782" i="2"/>
  <c r="V782" i="2" s="1"/>
  <c r="D782" i="2"/>
  <c r="E782" i="2" s="1"/>
  <c r="F782" i="2"/>
  <c r="G782" i="2" s="1"/>
  <c r="I782" i="2"/>
  <c r="K782" i="2" s="1"/>
  <c r="B783" i="2"/>
  <c r="V783" i="2" s="1"/>
  <c r="D783" i="2"/>
  <c r="E783" i="2" s="1"/>
  <c r="F783" i="2"/>
  <c r="G783" i="2" s="1"/>
  <c r="I783" i="2"/>
  <c r="J783" i="2" s="1"/>
  <c r="B784" i="2"/>
  <c r="V784" i="2" s="1"/>
  <c r="D784" i="2"/>
  <c r="E784" i="2" s="1"/>
  <c r="F784" i="2"/>
  <c r="G784" i="2" s="1"/>
  <c r="I784" i="2"/>
  <c r="L784" i="2" s="1"/>
  <c r="B785" i="2"/>
  <c r="V785" i="2" s="1"/>
  <c r="D785" i="2"/>
  <c r="E785" i="2" s="1"/>
  <c r="F785" i="2"/>
  <c r="G785" i="2" s="1"/>
  <c r="I785" i="2"/>
  <c r="L785" i="2" s="1"/>
  <c r="B786" i="2"/>
  <c r="V786" i="2" s="1"/>
  <c r="D786" i="2"/>
  <c r="E786" i="2" s="1"/>
  <c r="F786" i="2"/>
  <c r="G786" i="2" s="1"/>
  <c r="I786" i="2"/>
  <c r="K786" i="2" s="1"/>
  <c r="B787" i="2"/>
  <c r="V787" i="2" s="1"/>
  <c r="D787" i="2"/>
  <c r="E787" i="2" s="1"/>
  <c r="F787" i="2"/>
  <c r="G787" i="2" s="1"/>
  <c r="I787" i="2"/>
  <c r="B788" i="2"/>
  <c r="V788" i="2" s="1"/>
  <c r="D788" i="2"/>
  <c r="E788" i="2" s="1"/>
  <c r="F788" i="2"/>
  <c r="G788" i="2" s="1"/>
  <c r="I788" i="2"/>
  <c r="L788" i="2" s="1"/>
  <c r="B789" i="2"/>
  <c r="V789" i="2" s="1"/>
  <c r="D789" i="2"/>
  <c r="E789" i="2" s="1"/>
  <c r="F789" i="2"/>
  <c r="G789" i="2" s="1"/>
  <c r="I789" i="2"/>
  <c r="L789" i="2" s="1"/>
  <c r="B790" i="2"/>
  <c r="V790" i="2" s="1"/>
  <c r="D790" i="2"/>
  <c r="E790" i="2" s="1"/>
  <c r="F790" i="2"/>
  <c r="G790" i="2" s="1"/>
  <c r="I790" i="2"/>
  <c r="K790" i="2" s="1"/>
  <c r="B791" i="2"/>
  <c r="V791" i="2" s="1"/>
  <c r="D791" i="2"/>
  <c r="E791" i="2" s="1"/>
  <c r="F791" i="2"/>
  <c r="G791" i="2" s="1"/>
  <c r="I791" i="2"/>
  <c r="B792" i="2"/>
  <c r="V792" i="2" s="1"/>
  <c r="D792" i="2"/>
  <c r="E792" i="2" s="1"/>
  <c r="F792" i="2"/>
  <c r="G792" i="2" s="1"/>
  <c r="I792" i="2"/>
  <c r="L792" i="2" s="1"/>
  <c r="B793" i="2"/>
  <c r="V793" i="2" s="1"/>
  <c r="D793" i="2"/>
  <c r="E793" i="2" s="1"/>
  <c r="F793" i="2"/>
  <c r="G793" i="2" s="1"/>
  <c r="I793" i="2"/>
  <c r="B794" i="2"/>
  <c r="V794" i="2" s="1"/>
  <c r="D794" i="2"/>
  <c r="E794" i="2" s="1"/>
  <c r="F794" i="2"/>
  <c r="G794" i="2" s="1"/>
  <c r="I794" i="2"/>
  <c r="K794" i="2" s="1"/>
  <c r="B795" i="2"/>
  <c r="V795" i="2" s="1"/>
  <c r="D795" i="2"/>
  <c r="E795" i="2" s="1"/>
  <c r="F795" i="2"/>
  <c r="G795" i="2" s="1"/>
  <c r="I795" i="2"/>
  <c r="L795" i="2" s="1"/>
  <c r="B796" i="2"/>
  <c r="V796" i="2" s="1"/>
  <c r="D796" i="2"/>
  <c r="E796" i="2" s="1"/>
  <c r="F796" i="2"/>
  <c r="G796" i="2" s="1"/>
  <c r="I796" i="2"/>
  <c r="L796" i="2" s="1"/>
  <c r="B797" i="2"/>
  <c r="V797" i="2" s="1"/>
  <c r="D797" i="2"/>
  <c r="E797" i="2" s="1"/>
  <c r="F797" i="2"/>
  <c r="G797" i="2" s="1"/>
  <c r="I797" i="2"/>
  <c r="B798" i="2"/>
  <c r="V798" i="2" s="1"/>
  <c r="D798" i="2"/>
  <c r="E798" i="2" s="1"/>
  <c r="F798" i="2"/>
  <c r="G798" i="2" s="1"/>
  <c r="I798" i="2"/>
  <c r="K798" i="2" s="1"/>
  <c r="B799" i="2"/>
  <c r="V799" i="2" s="1"/>
  <c r="D799" i="2"/>
  <c r="E799" i="2" s="1"/>
  <c r="F799" i="2"/>
  <c r="G799" i="2" s="1"/>
  <c r="I799" i="2"/>
  <c r="L799" i="2" s="1"/>
  <c r="B800" i="2"/>
  <c r="V800" i="2" s="1"/>
  <c r="D800" i="2"/>
  <c r="E800" i="2" s="1"/>
  <c r="F800" i="2"/>
  <c r="G800" i="2" s="1"/>
  <c r="I800" i="2"/>
  <c r="L800" i="2"/>
  <c r="B801" i="2"/>
  <c r="V801" i="2" s="1"/>
  <c r="D801" i="2"/>
  <c r="E801" i="2" s="1"/>
  <c r="F801" i="2"/>
  <c r="G801" i="2" s="1"/>
  <c r="I801" i="2"/>
  <c r="B802" i="2"/>
  <c r="V802" i="2" s="1"/>
  <c r="D802" i="2"/>
  <c r="E802" i="2" s="1"/>
  <c r="F802" i="2"/>
  <c r="G802" i="2" s="1"/>
  <c r="I802" i="2"/>
  <c r="L802" i="2" s="1"/>
  <c r="B803" i="2"/>
  <c r="V803" i="2" s="1"/>
  <c r="D803" i="2"/>
  <c r="E803" i="2" s="1"/>
  <c r="F803" i="2"/>
  <c r="G803" i="2" s="1"/>
  <c r="I803" i="2"/>
  <c r="L803" i="2" s="1"/>
  <c r="B804" i="2"/>
  <c r="V804" i="2" s="1"/>
  <c r="D804" i="2"/>
  <c r="E804" i="2" s="1"/>
  <c r="F804" i="2"/>
  <c r="G804" i="2" s="1"/>
  <c r="I804" i="2"/>
  <c r="J804" i="2" s="1"/>
  <c r="B805" i="2"/>
  <c r="V805" i="2" s="1"/>
  <c r="D805" i="2"/>
  <c r="E805" i="2" s="1"/>
  <c r="F805" i="2"/>
  <c r="G805" i="2" s="1"/>
  <c r="I805" i="2"/>
  <c r="K805" i="2" s="1"/>
  <c r="B806" i="2"/>
  <c r="V806" i="2" s="1"/>
  <c r="D806" i="2"/>
  <c r="E806" i="2" s="1"/>
  <c r="F806" i="2"/>
  <c r="G806" i="2" s="1"/>
  <c r="I806" i="2"/>
  <c r="L806" i="2" s="1"/>
  <c r="B807" i="2"/>
  <c r="V807" i="2" s="1"/>
  <c r="D807" i="2"/>
  <c r="E807" i="2" s="1"/>
  <c r="F807" i="2"/>
  <c r="G807" i="2" s="1"/>
  <c r="I807" i="2"/>
  <c r="L807" i="2" s="1"/>
  <c r="B808" i="2"/>
  <c r="V808" i="2" s="1"/>
  <c r="D808" i="2"/>
  <c r="E808" i="2" s="1"/>
  <c r="F808" i="2"/>
  <c r="G808" i="2" s="1"/>
  <c r="I808" i="2"/>
  <c r="J808" i="2" s="1"/>
  <c r="B809" i="2"/>
  <c r="V809" i="2" s="1"/>
  <c r="D809" i="2"/>
  <c r="E809" i="2" s="1"/>
  <c r="F809" i="2"/>
  <c r="G809" i="2" s="1"/>
  <c r="I809" i="2"/>
  <c r="L809" i="2" s="1"/>
  <c r="B810" i="2"/>
  <c r="V810" i="2" s="1"/>
  <c r="D810" i="2"/>
  <c r="E810" i="2" s="1"/>
  <c r="F810" i="2"/>
  <c r="G810" i="2" s="1"/>
  <c r="I810" i="2"/>
  <c r="L810" i="2" s="1"/>
  <c r="B811" i="2"/>
  <c r="V811" i="2" s="1"/>
  <c r="D811" i="2"/>
  <c r="E811" i="2" s="1"/>
  <c r="F811" i="2"/>
  <c r="G811" i="2" s="1"/>
  <c r="I811" i="2"/>
  <c r="J811" i="2" s="1"/>
  <c r="B812" i="2"/>
  <c r="V812" i="2" s="1"/>
  <c r="D812" i="2"/>
  <c r="E812" i="2" s="1"/>
  <c r="F812" i="2"/>
  <c r="G812" i="2" s="1"/>
  <c r="I812" i="2"/>
  <c r="K812" i="2" s="1"/>
  <c r="B813" i="2"/>
  <c r="V813" i="2" s="1"/>
  <c r="D813" i="2"/>
  <c r="E813" i="2" s="1"/>
  <c r="F813" i="2"/>
  <c r="G813" i="2" s="1"/>
  <c r="I813" i="2"/>
  <c r="J813" i="2" s="1"/>
  <c r="B814" i="2"/>
  <c r="V814" i="2" s="1"/>
  <c r="D814" i="2"/>
  <c r="E814" i="2" s="1"/>
  <c r="F814" i="2"/>
  <c r="G814" i="2" s="1"/>
  <c r="I814" i="2"/>
  <c r="B815" i="2"/>
  <c r="V815" i="2" s="1"/>
  <c r="D815" i="2"/>
  <c r="E815" i="2" s="1"/>
  <c r="F815" i="2"/>
  <c r="G815" i="2" s="1"/>
  <c r="I815" i="2"/>
  <c r="J815" i="2" s="1"/>
  <c r="B816" i="2"/>
  <c r="V816" i="2" s="1"/>
  <c r="D816" i="2"/>
  <c r="E816" i="2" s="1"/>
  <c r="F816" i="2"/>
  <c r="G816" i="2" s="1"/>
  <c r="I816" i="2"/>
  <c r="K816" i="2" s="1"/>
  <c r="B817" i="2"/>
  <c r="V817" i="2" s="1"/>
  <c r="D817" i="2"/>
  <c r="E817" i="2" s="1"/>
  <c r="F817" i="2"/>
  <c r="G817" i="2" s="1"/>
  <c r="I817" i="2"/>
  <c r="K817" i="2" s="1"/>
  <c r="B818" i="2"/>
  <c r="V818" i="2" s="1"/>
  <c r="D818" i="2"/>
  <c r="E818" i="2" s="1"/>
  <c r="F818" i="2"/>
  <c r="G818" i="2" s="1"/>
  <c r="I818" i="2"/>
  <c r="L818" i="2" s="1"/>
  <c r="B819" i="2"/>
  <c r="V819" i="2" s="1"/>
  <c r="D819" i="2"/>
  <c r="E819" i="2" s="1"/>
  <c r="F819" i="2"/>
  <c r="G819" i="2" s="1"/>
  <c r="I819" i="2"/>
  <c r="J819" i="2" s="1"/>
  <c r="B820" i="2"/>
  <c r="V820" i="2" s="1"/>
  <c r="D820" i="2"/>
  <c r="E820" i="2" s="1"/>
  <c r="F820" i="2"/>
  <c r="G820" i="2" s="1"/>
  <c r="I820" i="2"/>
  <c r="J820" i="2" s="1"/>
  <c r="B821" i="2"/>
  <c r="V821" i="2" s="1"/>
  <c r="D821" i="2"/>
  <c r="E821" i="2" s="1"/>
  <c r="F821" i="2"/>
  <c r="G821" i="2" s="1"/>
  <c r="I821" i="2"/>
  <c r="K821" i="2" s="1"/>
  <c r="B822" i="2"/>
  <c r="V822" i="2" s="1"/>
  <c r="D822" i="2"/>
  <c r="E822" i="2" s="1"/>
  <c r="F822" i="2"/>
  <c r="G822" i="2" s="1"/>
  <c r="I822" i="2"/>
  <c r="J822" i="2" s="1"/>
  <c r="B823" i="2"/>
  <c r="V823" i="2" s="1"/>
  <c r="D823" i="2"/>
  <c r="E823" i="2" s="1"/>
  <c r="F823" i="2"/>
  <c r="G823" i="2" s="1"/>
  <c r="I823" i="2"/>
  <c r="J823" i="2" s="1"/>
  <c r="B824" i="2"/>
  <c r="V824" i="2" s="1"/>
  <c r="D824" i="2"/>
  <c r="E824" i="2" s="1"/>
  <c r="F824" i="2"/>
  <c r="G824" i="2" s="1"/>
  <c r="I824" i="2"/>
  <c r="L824" i="2" s="1"/>
  <c r="B825" i="2"/>
  <c r="V825" i="2" s="1"/>
  <c r="D825" i="2"/>
  <c r="E825" i="2" s="1"/>
  <c r="F825" i="2"/>
  <c r="G825" i="2" s="1"/>
  <c r="I825" i="2"/>
  <c r="K825" i="2" s="1"/>
  <c r="B826" i="2"/>
  <c r="V826" i="2" s="1"/>
  <c r="D826" i="2"/>
  <c r="E826" i="2" s="1"/>
  <c r="F826" i="2"/>
  <c r="G826" i="2" s="1"/>
  <c r="I826" i="2"/>
  <c r="K826" i="2" s="1"/>
  <c r="B827" i="2"/>
  <c r="V827" i="2" s="1"/>
  <c r="D827" i="2"/>
  <c r="E827" i="2" s="1"/>
  <c r="F827" i="2"/>
  <c r="G827" i="2" s="1"/>
  <c r="I827" i="2"/>
  <c r="B828" i="2"/>
  <c r="V828" i="2" s="1"/>
  <c r="D828" i="2"/>
  <c r="E828" i="2" s="1"/>
  <c r="F828" i="2"/>
  <c r="G828" i="2" s="1"/>
  <c r="I828" i="2"/>
  <c r="B829" i="2"/>
  <c r="V829" i="2" s="1"/>
  <c r="D829" i="2"/>
  <c r="E829" i="2" s="1"/>
  <c r="F829" i="2"/>
  <c r="G829" i="2" s="1"/>
  <c r="I829" i="2"/>
  <c r="B830" i="2"/>
  <c r="V830" i="2" s="1"/>
  <c r="D830" i="2"/>
  <c r="E830" i="2" s="1"/>
  <c r="F830" i="2"/>
  <c r="G830" i="2" s="1"/>
  <c r="I830" i="2"/>
  <c r="B831" i="2"/>
  <c r="V831" i="2" s="1"/>
  <c r="D831" i="2"/>
  <c r="E831" i="2" s="1"/>
  <c r="F831" i="2"/>
  <c r="G831" i="2" s="1"/>
  <c r="I831" i="2"/>
  <c r="J831" i="2" s="1"/>
  <c r="B832" i="2"/>
  <c r="V832" i="2" s="1"/>
  <c r="D832" i="2"/>
  <c r="E832" i="2" s="1"/>
  <c r="F832" i="2"/>
  <c r="G832" i="2"/>
  <c r="I832" i="2"/>
  <c r="K832" i="2" s="1"/>
  <c r="B833" i="2"/>
  <c r="V833" i="2" s="1"/>
  <c r="D833" i="2"/>
  <c r="E833" i="2" s="1"/>
  <c r="F833" i="2"/>
  <c r="G833" i="2" s="1"/>
  <c r="I833" i="2"/>
  <c r="B834" i="2"/>
  <c r="V834" i="2" s="1"/>
  <c r="D834" i="2"/>
  <c r="E834" i="2" s="1"/>
  <c r="F834" i="2"/>
  <c r="G834" i="2" s="1"/>
  <c r="I834" i="2"/>
  <c r="K834" i="2" s="1"/>
  <c r="B835" i="2"/>
  <c r="V835" i="2" s="1"/>
  <c r="D835" i="2"/>
  <c r="E835" i="2" s="1"/>
  <c r="F835" i="2"/>
  <c r="G835" i="2" s="1"/>
  <c r="I835" i="2"/>
  <c r="J835" i="2" s="1"/>
  <c r="B836" i="2"/>
  <c r="V836" i="2" s="1"/>
  <c r="D836" i="2"/>
  <c r="E836" i="2" s="1"/>
  <c r="F836" i="2"/>
  <c r="G836" i="2" s="1"/>
  <c r="I836" i="2"/>
  <c r="L836" i="2" s="1"/>
  <c r="B837" i="2"/>
  <c r="V837" i="2" s="1"/>
  <c r="D837" i="2"/>
  <c r="E837" i="2" s="1"/>
  <c r="F837" i="2"/>
  <c r="G837" i="2" s="1"/>
  <c r="I837" i="2"/>
  <c r="J837" i="2" s="1"/>
  <c r="B838" i="2"/>
  <c r="V838" i="2" s="1"/>
  <c r="D838" i="2"/>
  <c r="E838" i="2" s="1"/>
  <c r="F838" i="2"/>
  <c r="G838" i="2"/>
  <c r="I838" i="2"/>
  <c r="J838" i="2" s="1"/>
  <c r="B839" i="2"/>
  <c r="V839" i="2" s="1"/>
  <c r="D839" i="2"/>
  <c r="E839" i="2" s="1"/>
  <c r="F839" i="2"/>
  <c r="G839" i="2" s="1"/>
  <c r="I839" i="2"/>
  <c r="J839" i="2" s="1"/>
  <c r="B840" i="2"/>
  <c r="V840" i="2" s="1"/>
  <c r="D840" i="2"/>
  <c r="E840" i="2" s="1"/>
  <c r="F840" i="2"/>
  <c r="G840" i="2" s="1"/>
  <c r="I840" i="2"/>
  <c r="B841" i="2"/>
  <c r="V841" i="2" s="1"/>
  <c r="D841" i="2"/>
  <c r="E841" i="2" s="1"/>
  <c r="F841" i="2"/>
  <c r="G841" i="2" s="1"/>
  <c r="I841" i="2"/>
  <c r="B842" i="2"/>
  <c r="V842" i="2" s="1"/>
  <c r="D842" i="2"/>
  <c r="E842" i="2" s="1"/>
  <c r="F842" i="2"/>
  <c r="G842" i="2" s="1"/>
  <c r="I842" i="2"/>
  <c r="J842" i="2" s="1"/>
  <c r="B843" i="2"/>
  <c r="V843" i="2" s="1"/>
  <c r="D843" i="2"/>
  <c r="E843" i="2" s="1"/>
  <c r="F843" i="2"/>
  <c r="G843" i="2" s="1"/>
  <c r="I843" i="2"/>
  <c r="K843" i="2" s="1"/>
  <c r="B844" i="2"/>
  <c r="V844" i="2" s="1"/>
  <c r="D844" i="2"/>
  <c r="E844" i="2" s="1"/>
  <c r="F844" i="2"/>
  <c r="G844" i="2" s="1"/>
  <c r="I844" i="2"/>
  <c r="K844" i="2" s="1"/>
  <c r="B845" i="2"/>
  <c r="V845" i="2" s="1"/>
  <c r="D845" i="2"/>
  <c r="E845" i="2" s="1"/>
  <c r="F845" i="2"/>
  <c r="G845" i="2" s="1"/>
  <c r="I845" i="2"/>
  <c r="J845" i="2" s="1"/>
  <c r="B846" i="2"/>
  <c r="V846" i="2" s="1"/>
  <c r="D846" i="2"/>
  <c r="E846" i="2" s="1"/>
  <c r="F846" i="2"/>
  <c r="G846" i="2" s="1"/>
  <c r="I846" i="2"/>
  <c r="J846" i="2" s="1"/>
  <c r="B847" i="2"/>
  <c r="V847" i="2" s="1"/>
  <c r="D847" i="2"/>
  <c r="E847" i="2" s="1"/>
  <c r="F847" i="2"/>
  <c r="G847" i="2" s="1"/>
  <c r="I847" i="2"/>
  <c r="K847" i="2" s="1"/>
  <c r="B848" i="2"/>
  <c r="V848" i="2" s="1"/>
  <c r="D848" i="2"/>
  <c r="E848" i="2" s="1"/>
  <c r="F848" i="2"/>
  <c r="G848" i="2" s="1"/>
  <c r="I848" i="2"/>
  <c r="B849" i="2"/>
  <c r="V849" i="2" s="1"/>
  <c r="D849" i="2"/>
  <c r="E849" i="2" s="1"/>
  <c r="F849" i="2"/>
  <c r="G849" i="2" s="1"/>
  <c r="I849" i="2"/>
  <c r="B850" i="2"/>
  <c r="V850" i="2" s="1"/>
  <c r="D850" i="2"/>
  <c r="E850" i="2" s="1"/>
  <c r="F850" i="2"/>
  <c r="G850" i="2" s="1"/>
  <c r="I850" i="2"/>
  <c r="J850" i="2" s="1"/>
  <c r="B851" i="2"/>
  <c r="V851" i="2" s="1"/>
  <c r="D851" i="2"/>
  <c r="E851" i="2" s="1"/>
  <c r="F851" i="2"/>
  <c r="G851" i="2" s="1"/>
  <c r="I851" i="2"/>
  <c r="L851" i="2" s="1"/>
  <c r="B852" i="2"/>
  <c r="V852" i="2" s="1"/>
  <c r="D852" i="2"/>
  <c r="E852" i="2" s="1"/>
  <c r="F852" i="2"/>
  <c r="G852" i="2" s="1"/>
  <c r="I852" i="2"/>
  <c r="L852" i="2" s="1"/>
  <c r="B853" i="2"/>
  <c r="V853" i="2" s="1"/>
  <c r="D853" i="2"/>
  <c r="E853" i="2" s="1"/>
  <c r="F853" i="2"/>
  <c r="G853" i="2" s="1"/>
  <c r="I853" i="2"/>
  <c r="K853" i="2" s="1"/>
  <c r="B854" i="2"/>
  <c r="V854" i="2" s="1"/>
  <c r="D854" i="2"/>
  <c r="E854" i="2" s="1"/>
  <c r="F854" i="2"/>
  <c r="G854" i="2" s="1"/>
  <c r="I854" i="2"/>
  <c r="B855" i="2"/>
  <c r="V855" i="2" s="1"/>
  <c r="D855" i="2"/>
  <c r="E855" i="2" s="1"/>
  <c r="F855" i="2"/>
  <c r="G855" i="2" s="1"/>
  <c r="I855" i="2"/>
  <c r="J855" i="2" s="1"/>
  <c r="B856" i="2"/>
  <c r="V856" i="2" s="1"/>
  <c r="D856" i="2"/>
  <c r="E856" i="2" s="1"/>
  <c r="F856" i="2"/>
  <c r="G856" i="2" s="1"/>
  <c r="I856" i="2"/>
  <c r="L856" i="2" s="1"/>
  <c r="K856" i="2"/>
  <c r="B857" i="2"/>
  <c r="V857" i="2" s="1"/>
  <c r="D857" i="2"/>
  <c r="E857" i="2" s="1"/>
  <c r="F857" i="2"/>
  <c r="G857" i="2" s="1"/>
  <c r="I857" i="2"/>
  <c r="B858" i="2"/>
  <c r="V858" i="2" s="1"/>
  <c r="D858" i="2"/>
  <c r="E858" i="2" s="1"/>
  <c r="F858" i="2"/>
  <c r="G858" i="2" s="1"/>
  <c r="I858" i="2"/>
  <c r="K858" i="2" s="1"/>
  <c r="B859" i="2"/>
  <c r="V859" i="2" s="1"/>
  <c r="D859" i="2"/>
  <c r="E859" i="2" s="1"/>
  <c r="F859" i="2"/>
  <c r="G859" i="2" s="1"/>
  <c r="I859" i="2"/>
  <c r="B860" i="2"/>
  <c r="V860" i="2" s="1"/>
  <c r="D860" i="2"/>
  <c r="E860" i="2" s="1"/>
  <c r="F860" i="2"/>
  <c r="G860" i="2" s="1"/>
  <c r="I860" i="2"/>
  <c r="J860" i="2" s="1"/>
  <c r="B861" i="2"/>
  <c r="V861" i="2" s="1"/>
  <c r="D861" i="2"/>
  <c r="E861" i="2" s="1"/>
  <c r="F861" i="2"/>
  <c r="G861" i="2" s="1"/>
  <c r="I861" i="2"/>
  <c r="B862" i="2"/>
  <c r="V862" i="2" s="1"/>
  <c r="D862" i="2"/>
  <c r="E862" i="2" s="1"/>
  <c r="F862" i="2"/>
  <c r="G862" i="2" s="1"/>
  <c r="I862" i="2"/>
  <c r="B863" i="2"/>
  <c r="V863" i="2" s="1"/>
  <c r="D863" i="2"/>
  <c r="E863" i="2" s="1"/>
  <c r="F863" i="2"/>
  <c r="G863" i="2" s="1"/>
  <c r="I863" i="2"/>
  <c r="J863" i="2" s="1"/>
  <c r="B864" i="2"/>
  <c r="V864" i="2" s="1"/>
  <c r="D864" i="2"/>
  <c r="E864" i="2" s="1"/>
  <c r="F864" i="2"/>
  <c r="G864" i="2" s="1"/>
  <c r="I864" i="2"/>
  <c r="L864" i="2" s="1"/>
  <c r="B865" i="2"/>
  <c r="V865" i="2" s="1"/>
  <c r="D865" i="2"/>
  <c r="E865" i="2" s="1"/>
  <c r="F865" i="2"/>
  <c r="G865" i="2" s="1"/>
  <c r="I865" i="2"/>
  <c r="J865" i="2" s="1"/>
  <c r="B866" i="2"/>
  <c r="V866" i="2" s="1"/>
  <c r="D866" i="2"/>
  <c r="E866" i="2" s="1"/>
  <c r="F866" i="2"/>
  <c r="G866" i="2" s="1"/>
  <c r="I866" i="2"/>
  <c r="K866" i="2" s="1"/>
  <c r="B867" i="2"/>
  <c r="V867" i="2" s="1"/>
  <c r="D867" i="2"/>
  <c r="E867" i="2" s="1"/>
  <c r="F867" i="2"/>
  <c r="G867" i="2" s="1"/>
  <c r="I867" i="2"/>
  <c r="K867" i="2" s="1"/>
  <c r="B868" i="2"/>
  <c r="V868" i="2" s="1"/>
  <c r="D868" i="2"/>
  <c r="E868" i="2" s="1"/>
  <c r="F868" i="2"/>
  <c r="G868" i="2"/>
  <c r="I868" i="2"/>
  <c r="L868" i="2" s="1"/>
  <c r="B869" i="2"/>
  <c r="V869" i="2" s="1"/>
  <c r="D869" i="2"/>
  <c r="E869" i="2" s="1"/>
  <c r="F869" i="2"/>
  <c r="G869" i="2" s="1"/>
  <c r="I869" i="2"/>
  <c r="B870" i="2"/>
  <c r="V870" i="2" s="1"/>
  <c r="D870" i="2"/>
  <c r="E870" i="2" s="1"/>
  <c r="F870" i="2"/>
  <c r="G870" i="2" s="1"/>
  <c r="I870" i="2"/>
  <c r="K870" i="2" s="1"/>
  <c r="B871" i="2"/>
  <c r="V871" i="2" s="1"/>
  <c r="D871" i="2"/>
  <c r="E871" i="2" s="1"/>
  <c r="F871" i="2"/>
  <c r="G871" i="2" s="1"/>
  <c r="I871" i="2"/>
  <c r="K871" i="2" s="1"/>
  <c r="B872" i="2"/>
  <c r="V872" i="2" s="1"/>
  <c r="D872" i="2"/>
  <c r="E872" i="2" s="1"/>
  <c r="F872" i="2"/>
  <c r="G872" i="2" s="1"/>
  <c r="I872" i="2"/>
  <c r="J872" i="2" s="1"/>
  <c r="B873" i="2"/>
  <c r="V873" i="2" s="1"/>
  <c r="D873" i="2"/>
  <c r="E873" i="2" s="1"/>
  <c r="F873" i="2"/>
  <c r="G873" i="2" s="1"/>
  <c r="I873" i="2"/>
  <c r="J873" i="2" s="1"/>
  <c r="B874" i="2"/>
  <c r="V874" i="2" s="1"/>
  <c r="D874" i="2"/>
  <c r="E874" i="2" s="1"/>
  <c r="F874" i="2"/>
  <c r="G874" i="2" s="1"/>
  <c r="I874" i="2"/>
  <c r="B875" i="2"/>
  <c r="V875" i="2" s="1"/>
  <c r="D875" i="2"/>
  <c r="E875" i="2" s="1"/>
  <c r="F875" i="2"/>
  <c r="G875" i="2" s="1"/>
  <c r="I875" i="2"/>
  <c r="K875" i="2" s="1"/>
  <c r="B876" i="2"/>
  <c r="V876" i="2" s="1"/>
  <c r="D876" i="2"/>
  <c r="E876" i="2" s="1"/>
  <c r="F876" i="2"/>
  <c r="G876" i="2" s="1"/>
  <c r="I876" i="2"/>
  <c r="B877" i="2"/>
  <c r="V877" i="2" s="1"/>
  <c r="D877" i="2"/>
  <c r="E877" i="2" s="1"/>
  <c r="F877" i="2"/>
  <c r="G877" i="2" s="1"/>
  <c r="I877" i="2"/>
  <c r="J877" i="2" s="1"/>
  <c r="B878" i="2"/>
  <c r="V878" i="2" s="1"/>
  <c r="D878" i="2"/>
  <c r="E878" i="2" s="1"/>
  <c r="F878" i="2"/>
  <c r="G878" i="2" s="1"/>
  <c r="I878" i="2"/>
  <c r="B879" i="2"/>
  <c r="V879" i="2" s="1"/>
  <c r="D879" i="2"/>
  <c r="E879" i="2" s="1"/>
  <c r="F879" i="2"/>
  <c r="G879" i="2" s="1"/>
  <c r="I879" i="2"/>
  <c r="J879" i="2" s="1"/>
  <c r="B880" i="2"/>
  <c r="V880" i="2" s="1"/>
  <c r="D880" i="2"/>
  <c r="E880" i="2" s="1"/>
  <c r="F880" i="2"/>
  <c r="G880" i="2" s="1"/>
  <c r="I880" i="2"/>
  <c r="L880" i="2" s="1"/>
  <c r="B881" i="2"/>
  <c r="V881" i="2" s="1"/>
  <c r="D881" i="2"/>
  <c r="E881" i="2" s="1"/>
  <c r="F881" i="2"/>
  <c r="G881" i="2" s="1"/>
  <c r="I881" i="2"/>
  <c r="J881" i="2" s="1"/>
  <c r="B882" i="2"/>
  <c r="V882" i="2" s="1"/>
  <c r="D882" i="2"/>
  <c r="E882" i="2" s="1"/>
  <c r="F882" i="2"/>
  <c r="G882" i="2" s="1"/>
  <c r="I882" i="2"/>
  <c r="K882" i="2" s="1"/>
  <c r="B883" i="2"/>
  <c r="V883" i="2" s="1"/>
  <c r="D883" i="2"/>
  <c r="E883" i="2" s="1"/>
  <c r="F883" i="2"/>
  <c r="G883" i="2" s="1"/>
  <c r="I883" i="2"/>
  <c r="K883" i="2" s="1"/>
  <c r="B884" i="2"/>
  <c r="V884" i="2" s="1"/>
  <c r="D884" i="2"/>
  <c r="E884" i="2" s="1"/>
  <c r="F884" i="2"/>
  <c r="G884" i="2" s="1"/>
  <c r="I884" i="2"/>
  <c r="L884" i="2" s="1"/>
  <c r="B885" i="2"/>
  <c r="V885" i="2" s="1"/>
  <c r="D885" i="2"/>
  <c r="E885" i="2" s="1"/>
  <c r="F885" i="2"/>
  <c r="G885" i="2" s="1"/>
  <c r="I885" i="2"/>
  <c r="J885" i="2" s="1"/>
  <c r="B886" i="2"/>
  <c r="V886" i="2" s="1"/>
  <c r="D886" i="2"/>
  <c r="E886" i="2" s="1"/>
  <c r="F886" i="2"/>
  <c r="G886" i="2" s="1"/>
  <c r="I886" i="2"/>
  <c r="B887" i="2"/>
  <c r="V887" i="2" s="1"/>
  <c r="D887" i="2"/>
  <c r="E887" i="2" s="1"/>
  <c r="F887" i="2"/>
  <c r="G887" i="2" s="1"/>
  <c r="I887" i="2"/>
  <c r="L887" i="2" s="1"/>
  <c r="B888" i="2"/>
  <c r="V888" i="2" s="1"/>
  <c r="D888" i="2"/>
  <c r="E888" i="2" s="1"/>
  <c r="F888" i="2"/>
  <c r="G888" i="2" s="1"/>
  <c r="I888" i="2"/>
  <c r="J888" i="2" s="1"/>
  <c r="B889" i="2"/>
  <c r="V889" i="2" s="1"/>
  <c r="D889" i="2"/>
  <c r="E889" i="2" s="1"/>
  <c r="F889" i="2"/>
  <c r="G889" i="2" s="1"/>
  <c r="I889" i="2"/>
  <c r="J889" i="2" s="1"/>
  <c r="B890" i="2"/>
  <c r="V890" i="2" s="1"/>
  <c r="D890" i="2"/>
  <c r="E890" i="2" s="1"/>
  <c r="F890" i="2"/>
  <c r="G890" i="2" s="1"/>
  <c r="I890" i="2"/>
  <c r="B891" i="2"/>
  <c r="V891" i="2" s="1"/>
  <c r="D891" i="2"/>
  <c r="E891" i="2" s="1"/>
  <c r="F891" i="2"/>
  <c r="G891" i="2" s="1"/>
  <c r="I891" i="2"/>
  <c r="J891" i="2" s="1"/>
  <c r="B892" i="2"/>
  <c r="V892" i="2" s="1"/>
  <c r="D892" i="2"/>
  <c r="E892" i="2" s="1"/>
  <c r="F892" i="2"/>
  <c r="G892" i="2" s="1"/>
  <c r="I892" i="2"/>
  <c r="J892" i="2"/>
  <c r="B893" i="2"/>
  <c r="V893" i="2" s="1"/>
  <c r="D893" i="2"/>
  <c r="E893" i="2" s="1"/>
  <c r="F893" i="2"/>
  <c r="G893" i="2" s="1"/>
  <c r="I893" i="2"/>
  <c r="L893" i="2" s="1"/>
  <c r="B894" i="2"/>
  <c r="V894" i="2" s="1"/>
  <c r="D894" i="2"/>
  <c r="E894" i="2" s="1"/>
  <c r="F894" i="2"/>
  <c r="G894" i="2" s="1"/>
  <c r="I894" i="2"/>
  <c r="K894" i="2" s="1"/>
  <c r="B895" i="2"/>
  <c r="V895" i="2" s="1"/>
  <c r="D895" i="2"/>
  <c r="E895" i="2" s="1"/>
  <c r="F895" i="2"/>
  <c r="G895" i="2" s="1"/>
  <c r="I895" i="2"/>
  <c r="J895" i="2" s="1"/>
  <c r="B896" i="2"/>
  <c r="V896" i="2" s="1"/>
  <c r="D896" i="2"/>
  <c r="E896" i="2" s="1"/>
  <c r="F896" i="2"/>
  <c r="G896" i="2" s="1"/>
  <c r="I896" i="2"/>
  <c r="B897" i="2"/>
  <c r="V897" i="2" s="1"/>
  <c r="D897" i="2"/>
  <c r="E897" i="2" s="1"/>
  <c r="F897" i="2"/>
  <c r="G897" i="2" s="1"/>
  <c r="I897" i="2"/>
  <c r="J897" i="2" s="1"/>
  <c r="B898" i="2"/>
  <c r="V898" i="2" s="1"/>
  <c r="D898" i="2"/>
  <c r="E898" i="2" s="1"/>
  <c r="F898" i="2"/>
  <c r="G898" i="2" s="1"/>
  <c r="I898" i="2"/>
  <c r="B899" i="2"/>
  <c r="V899" i="2" s="1"/>
  <c r="D899" i="2"/>
  <c r="E899" i="2" s="1"/>
  <c r="F899" i="2"/>
  <c r="G899" i="2" s="1"/>
  <c r="I899" i="2"/>
  <c r="J899" i="2" s="1"/>
  <c r="B900" i="2"/>
  <c r="V900" i="2" s="1"/>
  <c r="D900" i="2"/>
  <c r="E900" i="2" s="1"/>
  <c r="F900" i="2"/>
  <c r="G900" i="2" s="1"/>
  <c r="I900" i="2"/>
  <c r="L900" i="2" s="1"/>
  <c r="B901" i="2"/>
  <c r="V901" i="2" s="1"/>
  <c r="D901" i="2"/>
  <c r="E901" i="2" s="1"/>
  <c r="F901" i="2"/>
  <c r="G901" i="2" s="1"/>
  <c r="I901" i="2"/>
  <c r="B902" i="2"/>
  <c r="V902" i="2" s="1"/>
  <c r="D902" i="2"/>
  <c r="E902" i="2" s="1"/>
  <c r="F902" i="2"/>
  <c r="G902" i="2" s="1"/>
  <c r="I902" i="2"/>
  <c r="J902" i="2" s="1"/>
  <c r="B903" i="2"/>
  <c r="V903" i="2" s="1"/>
  <c r="D903" i="2"/>
  <c r="E903" i="2" s="1"/>
  <c r="F903" i="2"/>
  <c r="G903" i="2" s="1"/>
  <c r="I903" i="2"/>
  <c r="B904" i="2"/>
  <c r="V904" i="2" s="1"/>
  <c r="D904" i="2"/>
  <c r="E904" i="2" s="1"/>
  <c r="F904" i="2"/>
  <c r="G904" i="2" s="1"/>
  <c r="I904" i="2"/>
  <c r="L904" i="2" s="1"/>
  <c r="B905" i="2"/>
  <c r="V905" i="2" s="1"/>
  <c r="D905" i="2"/>
  <c r="E905" i="2" s="1"/>
  <c r="F905" i="2"/>
  <c r="G905" i="2" s="1"/>
  <c r="I905" i="2"/>
  <c r="J905" i="2" s="1"/>
  <c r="B906" i="2"/>
  <c r="V906" i="2" s="1"/>
  <c r="D906" i="2"/>
  <c r="E906" i="2" s="1"/>
  <c r="F906" i="2"/>
  <c r="G906" i="2" s="1"/>
  <c r="I906" i="2"/>
  <c r="J906" i="2" s="1"/>
  <c r="B907" i="2"/>
  <c r="V907" i="2" s="1"/>
  <c r="D907" i="2"/>
  <c r="E907" i="2"/>
  <c r="F907" i="2"/>
  <c r="G907" i="2" s="1"/>
  <c r="I907" i="2"/>
  <c r="B908" i="2"/>
  <c r="V908" i="2" s="1"/>
  <c r="D908" i="2"/>
  <c r="E908" i="2" s="1"/>
  <c r="F908" i="2"/>
  <c r="G908" i="2" s="1"/>
  <c r="I908" i="2"/>
  <c r="L908" i="2" s="1"/>
  <c r="B909" i="2"/>
  <c r="V909" i="2" s="1"/>
  <c r="D909" i="2"/>
  <c r="E909" i="2" s="1"/>
  <c r="F909" i="2"/>
  <c r="G909" i="2" s="1"/>
  <c r="I909" i="2"/>
  <c r="J909" i="2" s="1"/>
  <c r="B910" i="2"/>
  <c r="V910" i="2" s="1"/>
  <c r="D910" i="2"/>
  <c r="E910" i="2" s="1"/>
  <c r="F910" i="2"/>
  <c r="G910" i="2" s="1"/>
  <c r="I910" i="2"/>
  <c r="J910" i="2" s="1"/>
  <c r="B911" i="2"/>
  <c r="V911" i="2" s="1"/>
  <c r="D911" i="2"/>
  <c r="E911" i="2" s="1"/>
  <c r="F911" i="2"/>
  <c r="G911" i="2" s="1"/>
  <c r="I911" i="2"/>
  <c r="J911" i="2" s="1"/>
  <c r="B912" i="2"/>
  <c r="V912" i="2" s="1"/>
  <c r="D912" i="2"/>
  <c r="E912" i="2" s="1"/>
  <c r="F912" i="2"/>
  <c r="G912" i="2" s="1"/>
  <c r="I912" i="2"/>
  <c r="L912" i="2" s="1"/>
  <c r="B913" i="2"/>
  <c r="V913" i="2" s="1"/>
  <c r="D913" i="2"/>
  <c r="E913" i="2" s="1"/>
  <c r="F913" i="2"/>
  <c r="G913" i="2" s="1"/>
  <c r="I913" i="2"/>
  <c r="B914" i="2"/>
  <c r="V914" i="2" s="1"/>
  <c r="D914" i="2"/>
  <c r="E914" i="2" s="1"/>
  <c r="F914" i="2"/>
  <c r="G914" i="2" s="1"/>
  <c r="I914" i="2"/>
  <c r="K914" i="2" s="1"/>
  <c r="B915" i="2"/>
  <c r="V915" i="2" s="1"/>
  <c r="D915" i="2"/>
  <c r="E915" i="2" s="1"/>
  <c r="F915" i="2"/>
  <c r="G915" i="2" s="1"/>
  <c r="I915" i="2"/>
  <c r="J915" i="2" s="1"/>
  <c r="B916" i="2"/>
  <c r="V916" i="2" s="1"/>
  <c r="D916" i="2"/>
  <c r="E916" i="2" s="1"/>
  <c r="F916" i="2"/>
  <c r="G916" i="2" s="1"/>
  <c r="I916" i="2"/>
  <c r="L916" i="2" s="1"/>
  <c r="B917" i="2"/>
  <c r="V917" i="2" s="1"/>
  <c r="D917" i="2"/>
  <c r="E917" i="2" s="1"/>
  <c r="F917" i="2"/>
  <c r="G917" i="2" s="1"/>
  <c r="I917" i="2"/>
  <c r="B918" i="2"/>
  <c r="V918" i="2" s="1"/>
  <c r="D918" i="2"/>
  <c r="E918" i="2" s="1"/>
  <c r="F918" i="2"/>
  <c r="G918" i="2" s="1"/>
  <c r="I918" i="2"/>
  <c r="L918" i="2" s="1"/>
  <c r="B919" i="2"/>
  <c r="V919" i="2" s="1"/>
  <c r="D919" i="2"/>
  <c r="E919" i="2" s="1"/>
  <c r="F919" i="2"/>
  <c r="G919" i="2" s="1"/>
  <c r="I919" i="2"/>
  <c r="B920" i="2"/>
  <c r="V920" i="2" s="1"/>
  <c r="D920" i="2"/>
  <c r="E920" i="2" s="1"/>
  <c r="F920" i="2"/>
  <c r="G920" i="2" s="1"/>
  <c r="I920" i="2"/>
  <c r="L920" i="2" s="1"/>
  <c r="B921" i="2"/>
  <c r="V921" i="2" s="1"/>
  <c r="D921" i="2"/>
  <c r="E921" i="2" s="1"/>
  <c r="F921" i="2"/>
  <c r="G921" i="2" s="1"/>
  <c r="I921" i="2"/>
  <c r="J921" i="2" s="1"/>
  <c r="B922" i="2"/>
  <c r="V922" i="2" s="1"/>
  <c r="D922" i="2"/>
  <c r="E922" i="2" s="1"/>
  <c r="F922" i="2"/>
  <c r="G922" i="2" s="1"/>
  <c r="I922" i="2"/>
  <c r="K922" i="2" s="1"/>
  <c r="B923" i="2"/>
  <c r="V923" i="2" s="1"/>
  <c r="D923" i="2"/>
  <c r="E923" i="2" s="1"/>
  <c r="F923" i="2"/>
  <c r="G923" i="2" s="1"/>
  <c r="I923" i="2"/>
  <c r="J923" i="2" s="1"/>
  <c r="B924" i="2"/>
  <c r="V924" i="2" s="1"/>
  <c r="D924" i="2"/>
  <c r="E924" i="2" s="1"/>
  <c r="F924" i="2"/>
  <c r="G924" i="2" s="1"/>
  <c r="I924" i="2"/>
  <c r="L924" i="2" s="1"/>
  <c r="B925" i="2"/>
  <c r="V925" i="2" s="1"/>
  <c r="D925" i="2"/>
  <c r="E925" i="2" s="1"/>
  <c r="F925" i="2"/>
  <c r="G925" i="2" s="1"/>
  <c r="I925" i="2"/>
  <c r="B926" i="2"/>
  <c r="V926" i="2" s="1"/>
  <c r="D926" i="2"/>
  <c r="E926" i="2" s="1"/>
  <c r="F926" i="2"/>
  <c r="G926" i="2" s="1"/>
  <c r="I926" i="2"/>
  <c r="L926" i="2" s="1"/>
  <c r="B927" i="2"/>
  <c r="V927" i="2" s="1"/>
  <c r="D927" i="2"/>
  <c r="E927" i="2" s="1"/>
  <c r="F927" i="2"/>
  <c r="G927" i="2" s="1"/>
  <c r="I927" i="2"/>
  <c r="J927" i="2" s="1"/>
  <c r="B928" i="2"/>
  <c r="V928" i="2" s="1"/>
  <c r="D928" i="2"/>
  <c r="E928" i="2" s="1"/>
  <c r="F928" i="2"/>
  <c r="G928" i="2" s="1"/>
  <c r="I928" i="2"/>
  <c r="K928" i="2" s="1"/>
  <c r="B929" i="2"/>
  <c r="V929" i="2" s="1"/>
  <c r="D929" i="2"/>
  <c r="E929" i="2" s="1"/>
  <c r="F929" i="2"/>
  <c r="G929" i="2" s="1"/>
  <c r="I929" i="2"/>
  <c r="B930" i="2"/>
  <c r="V930" i="2" s="1"/>
  <c r="D930" i="2"/>
  <c r="E930" i="2" s="1"/>
  <c r="F930" i="2"/>
  <c r="G930" i="2" s="1"/>
  <c r="I930" i="2"/>
  <c r="L930" i="2" s="1"/>
  <c r="B931" i="2"/>
  <c r="V931" i="2" s="1"/>
  <c r="D931" i="2"/>
  <c r="E931" i="2" s="1"/>
  <c r="F931" i="2"/>
  <c r="G931" i="2" s="1"/>
  <c r="I931" i="2"/>
  <c r="J931" i="2" s="1"/>
  <c r="B932" i="2"/>
  <c r="V932" i="2" s="1"/>
  <c r="D932" i="2"/>
  <c r="E932" i="2" s="1"/>
  <c r="F932" i="2"/>
  <c r="G932" i="2" s="1"/>
  <c r="I932" i="2"/>
  <c r="J932" i="2" s="1"/>
  <c r="B933" i="2"/>
  <c r="V933" i="2" s="1"/>
  <c r="D933" i="2"/>
  <c r="E933" i="2" s="1"/>
  <c r="F933" i="2"/>
  <c r="G933" i="2" s="1"/>
  <c r="I933" i="2"/>
  <c r="J933" i="2" s="1"/>
  <c r="B934" i="2"/>
  <c r="V934" i="2" s="1"/>
  <c r="D934" i="2"/>
  <c r="E934" i="2" s="1"/>
  <c r="F934" i="2"/>
  <c r="G934" i="2" s="1"/>
  <c r="I934" i="2"/>
  <c r="K934" i="2" s="1"/>
  <c r="B935" i="2"/>
  <c r="V935" i="2" s="1"/>
  <c r="D935" i="2"/>
  <c r="E935" i="2" s="1"/>
  <c r="F935" i="2"/>
  <c r="G935" i="2" s="1"/>
  <c r="I935" i="2"/>
  <c r="K935" i="2" s="1"/>
  <c r="B936" i="2"/>
  <c r="V936" i="2" s="1"/>
  <c r="D936" i="2"/>
  <c r="E936" i="2" s="1"/>
  <c r="F936" i="2"/>
  <c r="G936" i="2" s="1"/>
  <c r="I936" i="2"/>
  <c r="K936" i="2" s="1"/>
  <c r="B937" i="2"/>
  <c r="V937" i="2" s="1"/>
  <c r="D937" i="2"/>
  <c r="E937" i="2" s="1"/>
  <c r="F937" i="2"/>
  <c r="G937" i="2" s="1"/>
  <c r="I937" i="2"/>
  <c r="J937" i="2" s="1"/>
  <c r="B938" i="2"/>
  <c r="V938" i="2" s="1"/>
  <c r="D938" i="2"/>
  <c r="E938" i="2" s="1"/>
  <c r="F938" i="2"/>
  <c r="G938" i="2" s="1"/>
  <c r="I938" i="2"/>
  <c r="L938" i="2" s="1"/>
  <c r="B939" i="2"/>
  <c r="V939" i="2" s="1"/>
  <c r="D939" i="2"/>
  <c r="E939" i="2" s="1"/>
  <c r="F939" i="2"/>
  <c r="G939" i="2" s="1"/>
  <c r="I939" i="2"/>
  <c r="K939" i="2" s="1"/>
  <c r="B940" i="2"/>
  <c r="V940" i="2" s="1"/>
  <c r="D940" i="2"/>
  <c r="E940" i="2" s="1"/>
  <c r="F940" i="2"/>
  <c r="G940" i="2" s="1"/>
  <c r="I940" i="2"/>
  <c r="J940" i="2" s="1"/>
  <c r="B941" i="2"/>
  <c r="V941" i="2" s="1"/>
  <c r="D941" i="2"/>
  <c r="E941" i="2" s="1"/>
  <c r="F941" i="2"/>
  <c r="G941" i="2" s="1"/>
  <c r="I941" i="2"/>
  <c r="J941" i="2" s="1"/>
  <c r="B942" i="2"/>
  <c r="V942" i="2" s="1"/>
  <c r="D942" i="2"/>
  <c r="E942" i="2" s="1"/>
  <c r="F942" i="2"/>
  <c r="G942" i="2" s="1"/>
  <c r="I942" i="2"/>
  <c r="K942" i="2" s="1"/>
  <c r="B943" i="2"/>
  <c r="V943" i="2" s="1"/>
  <c r="D943" i="2"/>
  <c r="E943" i="2" s="1"/>
  <c r="F943" i="2"/>
  <c r="G943" i="2" s="1"/>
  <c r="I943" i="2"/>
  <c r="L943" i="2" s="1"/>
  <c r="B944" i="2"/>
  <c r="V944" i="2" s="1"/>
  <c r="D944" i="2"/>
  <c r="E944" i="2" s="1"/>
  <c r="F944" i="2"/>
  <c r="G944" i="2" s="1"/>
  <c r="I944" i="2"/>
  <c r="J944" i="2" s="1"/>
  <c r="B945" i="2"/>
  <c r="V945" i="2" s="1"/>
  <c r="D945" i="2"/>
  <c r="E945" i="2" s="1"/>
  <c r="F945" i="2"/>
  <c r="G945" i="2" s="1"/>
  <c r="I945" i="2"/>
  <c r="J945" i="2" s="1"/>
  <c r="L945" i="2"/>
  <c r="B946" i="2"/>
  <c r="V946" i="2" s="1"/>
  <c r="D946" i="2"/>
  <c r="E946" i="2" s="1"/>
  <c r="F946" i="2"/>
  <c r="G946" i="2" s="1"/>
  <c r="I946" i="2"/>
  <c r="L946" i="2" s="1"/>
  <c r="B947" i="2"/>
  <c r="V947" i="2" s="1"/>
  <c r="D947" i="2"/>
  <c r="E947" i="2" s="1"/>
  <c r="F947" i="2"/>
  <c r="G947" i="2" s="1"/>
  <c r="I947" i="2"/>
  <c r="L947" i="2" s="1"/>
  <c r="B948" i="2"/>
  <c r="V948" i="2" s="1"/>
  <c r="D948" i="2"/>
  <c r="E948" i="2" s="1"/>
  <c r="F948" i="2"/>
  <c r="G948" i="2" s="1"/>
  <c r="I948" i="2"/>
  <c r="J948" i="2" s="1"/>
  <c r="B949" i="2"/>
  <c r="V949" i="2" s="1"/>
  <c r="D949" i="2"/>
  <c r="E949" i="2" s="1"/>
  <c r="F949" i="2"/>
  <c r="G949" i="2"/>
  <c r="I949" i="2"/>
  <c r="J949" i="2" s="1"/>
  <c r="B950" i="2"/>
  <c r="V950" i="2" s="1"/>
  <c r="D950" i="2"/>
  <c r="E950" i="2" s="1"/>
  <c r="F950" i="2"/>
  <c r="G950" i="2" s="1"/>
  <c r="I950" i="2"/>
  <c r="K950" i="2" s="1"/>
  <c r="B951" i="2"/>
  <c r="V951" i="2" s="1"/>
  <c r="D951" i="2"/>
  <c r="E951" i="2" s="1"/>
  <c r="F951" i="2"/>
  <c r="G951" i="2" s="1"/>
  <c r="I951" i="2"/>
  <c r="L951" i="2" s="1"/>
  <c r="B952" i="2"/>
  <c r="V952" i="2" s="1"/>
  <c r="D952" i="2"/>
  <c r="E952" i="2" s="1"/>
  <c r="F952" i="2"/>
  <c r="G952" i="2"/>
  <c r="I952" i="2"/>
  <c r="J952" i="2" s="1"/>
  <c r="B953" i="2"/>
  <c r="V953" i="2" s="1"/>
  <c r="D953" i="2"/>
  <c r="E953" i="2" s="1"/>
  <c r="F953" i="2"/>
  <c r="G953" i="2" s="1"/>
  <c r="I953" i="2"/>
  <c r="J953" i="2" s="1"/>
  <c r="B954" i="2"/>
  <c r="V954" i="2" s="1"/>
  <c r="D954" i="2"/>
  <c r="E954" i="2" s="1"/>
  <c r="F954" i="2"/>
  <c r="G954" i="2" s="1"/>
  <c r="I954" i="2"/>
  <c r="K954" i="2" s="1"/>
  <c r="B955" i="2"/>
  <c r="V955" i="2" s="1"/>
  <c r="D955" i="2"/>
  <c r="E955" i="2" s="1"/>
  <c r="F955" i="2"/>
  <c r="G955" i="2" s="1"/>
  <c r="I955" i="2"/>
  <c r="L955" i="2" s="1"/>
  <c r="B956" i="2"/>
  <c r="V956" i="2" s="1"/>
  <c r="D956" i="2"/>
  <c r="E956" i="2" s="1"/>
  <c r="F956" i="2"/>
  <c r="G956" i="2" s="1"/>
  <c r="I956" i="2"/>
  <c r="J956" i="2" s="1"/>
  <c r="B957" i="2"/>
  <c r="V957" i="2" s="1"/>
  <c r="D957" i="2"/>
  <c r="E957" i="2" s="1"/>
  <c r="F957" i="2"/>
  <c r="G957" i="2"/>
  <c r="I957" i="2"/>
  <c r="J957" i="2" s="1"/>
  <c r="B958" i="2"/>
  <c r="V958" i="2" s="1"/>
  <c r="D958" i="2"/>
  <c r="E958" i="2" s="1"/>
  <c r="F958" i="2"/>
  <c r="G958" i="2" s="1"/>
  <c r="I958" i="2"/>
  <c r="K958" i="2" s="1"/>
  <c r="B959" i="2"/>
  <c r="V959" i="2" s="1"/>
  <c r="D959" i="2"/>
  <c r="E959" i="2" s="1"/>
  <c r="F959" i="2"/>
  <c r="G959" i="2" s="1"/>
  <c r="I959" i="2"/>
  <c r="L959" i="2" s="1"/>
  <c r="B960" i="2"/>
  <c r="V960" i="2" s="1"/>
  <c r="D960" i="2"/>
  <c r="E960" i="2" s="1"/>
  <c r="F960" i="2"/>
  <c r="G960" i="2"/>
  <c r="I960" i="2"/>
  <c r="J960" i="2" s="1"/>
  <c r="B961" i="2"/>
  <c r="V961" i="2" s="1"/>
  <c r="D961" i="2"/>
  <c r="E961" i="2" s="1"/>
  <c r="F961" i="2"/>
  <c r="G961" i="2" s="1"/>
  <c r="I961" i="2"/>
  <c r="L961" i="2" s="1"/>
  <c r="B962" i="2"/>
  <c r="V962" i="2" s="1"/>
  <c r="D962" i="2"/>
  <c r="E962" i="2" s="1"/>
  <c r="F962" i="2"/>
  <c r="G962" i="2" s="1"/>
  <c r="I962" i="2"/>
  <c r="K962" i="2" s="1"/>
  <c r="B963" i="2"/>
  <c r="V963" i="2" s="1"/>
  <c r="D963" i="2"/>
  <c r="E963" i="2" s="1"/>
  <c r="F963" i="2"/>
  <c r="G963" i="2" s="1"/>
  <c r="I963" i="2"/>
  <c r="L963" i="2" s="1"/>
  <c r="B964" i="2"/>
  <c r="V964" i="2" s="1"/>
  <c r="D964" i="2"/>
  <c r="E964" i="2" s="1"/>
  <c r="F964" i="2"/>
  <c r="G964" i="2" s="1"/>
  <c r="I964" i="2"/>
  <c r="J964" i="2" s="1"/>
  <c r="B965" i="2"/>
  <c r="V965" i="2" s="1"/>
  <c r="D965" i="2"/>
  <c r="E965" i="2" s="1"/>
  <c r="F965" i="2"/>
  <c r="G965" i="2" s="1"/>
  <c r="I965" i="2"/>
  <c r="L965" i="2" s="1"/>
  <c r="B966" i="2"/>
  <c r="V966" i="2" s="1"/>
  <c r="D966" i="2"/>
  <c r="E966" i="2" s="1"/>
  <c r="F966" i="2"/>
  <c r="G966" i="2" s="1"/>
  <c r="I966" i="2"/>
  <c r="K966" i="2" s="1"/>
  <c r="B967" i="2"/>
  <c r="V967" i="2" s="1"/>
  <c r="D967" i="2"/>
  <c r="E967" i="2" s="1"/>
  <c r="F967" i="2"/>
  <c r="G967" i="2" s="1"/>
  <c r="I967" i="2"/>
  <c r="L967" i="2" s="1"/>
  <c r="B968" i="2"/>
  <c r="V968" i="2" s="1"/>
  <c r="D968" i="2"/>
  <c r="E968" i="2" s="1"/>
  <c r="F968" i="2"/>
  <c r="G968" i="2" s="1"/>
  <c r="I968" i="2"/>
  <c r="J968" i="2" s="1"/>
  <c r="B969" i="2"/>
  <c r="V969" i="2" s="1"/>
  <c r="D969" i="2"/>
  <c r="E969" i="2" s="1"/>
  <c r="F969" i="2"/>
  <c r="G969" i="2" s="1"/>
  <c r="I969" i="2"/>
  <c r="L969" i="2" s="1"/>
  <c r="B970" i="2"/>
  <c r="V970" i="2" s="1"/>
  <c r="D970" i="2"/>
  <c r="E970" i="2" s="1"/>
  <c r="F970" i="2"/>
  <c r="G970" i="2" s="1"/>
  <c r="I970" i="2"/>
  <c r="K970" i="2" s="1"/>
  <c r="B971" i="2"/>
  <c r="V971" i="2" s="1"/>
  <c r="D971" i="2"/>
  <c r="E971" i="2" s="1"/>
  <c r="F971" i="2"/>
  <c r="G971" i="2" s="1"/>
  <c r="I971" i="2"/>
  <c r="L971" i="2" s="1"/>
  <c r="B972" i="2"/>
  <c r="V972" i="2" s="1"/>
  <c r="D972" i="2"/>
  <c r="E972" i="2" s="1"/>
  <c r="F972" i="2"/>
  <c r="G972" i="2" s="1"/>
  <c r="I972" i="2"/>
  <c r="J972" i="2" s="1"/>
  <c r="K972" i="2"/>
  <c r="B973" i="2"/>
  <c r="V973" i="2" s="1"/>
  <c r="D973" i="2"/>
  <c r="E973" i="2" s="1"/>
  <c r="F973" i="2"/>
  <c r="G973" i="2" s="1"/>
  <c r="I973" i="2"/>
  <c r="L973" i="2" s="1"/>
  <c r="B974" i="2"/>
  <c r="V974" i="2" s="1"/>
  <c r="D974" i="2"/>
  <c r="E974" i="2" s="1"/>
  <c r="F974" i="2"/>
  <c r="G974" i="2" s="1"/>
  <c r="I974" i="2"/>
  <c r="K974" i="2" s="1"/>
  <c r="B975" i="2"/>
  <c r="V975" i="2" s="1"/>
  <c r="D975" i="2"/>
  <c r="E975" i="2" s="1"/>
  <c r="F975" i="2"/>
  <c r="G975" i="2" s="1"/>
  <c r="I975" i="2"/>
  <c r="L975" i="2" s="1"/>
  <c r="B976" i="2"/>
  <c r="V976" i="2" s="1"/>
  <c r="D976" i="2"/>
  <c r="E976" i="2" s="1"/>
  <c r="F976" i="2"/>
  <c r="G976" i="2"/>
  <c r="I976" i="2"/>
  <c r="K976" i="2" s="1"/>
  <c r="B977" i="2"/>
  <c r="V977" i="2" s="1"/>
  <c r="D977" i="2"/>
  <c r="E977" i="2" s="1"/>
  <c r="F977" i="2"/>
  <c r="G977" i="2" s="1"/>
  <c r="I977" i="2"/>
  <c r="J977" i="2" s="1"/>
  <c r="B978" i="2"/>
  <c r="V978" i="2" s="1"/>
  <c r="D978" i="2"/>
  <c r="E978" i="2"/>
  <c r="F978" i="2"/>
  <c r="G978" i="2" s="1"/>
  <c r="I978" i="2"/>
  <c r="K978" i="2" s="1"/>
  <c r="B979" i="2"/>
  <c r="V979" i="2" s="1"/>
  <c r="D979" i="2"/>
  <c r="E979" i="2" s="1"/>
  <c r="F979" i="2"/>
  <c r="G979" i="2" s="1"/>
  <c r="I979" i="2"/>
  <c r="L979" i="2" s="1"/>
  <c r="B980" i="2"/>
  <c r="V980" i="2" s="1"/>
  <c r="D980" i="2"/>
  <c r="E980" i="2" s="1"/>
  <c r="F980" i="2"/>
  <c r="G980" i="2" s="1"/>
  <c r="I980" i="2"/>
  <c r="K980" i="2" s="1"/>
  <c r="B981" i="2"/>
  <c r="V981" i="2" s="1"/>
  <c r="D981" i="2"/>
  <c r="E981" i="2" s="1"/>
  <c r="F981" i="2"/>
  <c r="G981" i="2" s="1"/>
  <c r="I981" i="2"/>
  <c r="J981" i="2" s="1"/>
  <c r="B982" i="2"/>
  <c r="V982" i="2" s="1"/>
  <c r="D982" i="2"/>
  <c r="E982" i="2" s="1"/>
  <c r="F982" i="2"/>
  <c r="G982" i="2" s="1"/>
  <c r="I982" i="2"/>
  <c r="K982" i="2" s="1"/>
  <c r="B983" i="2"/>
  <c r="V983" i="2" s="1"/>
  <c r="D983" i="2"/>
  <c r="E983" i="2" s="1"/>
  <c r="F983" i="2"/>
  <c r="G983" i="2" s="1"/>
  <c r="I983" i="2"/>
  <c r="L983" i="2" s="1"/>
  <c r="J983" i="2"/>
  <c r="B984" i="2"/>
  <c r="V984" i="2" s="1"/>
  <c r="D984" i="2"/>
  <c r="E984" i="2" s="1"/>
  <c r="F984" i="2"/>
  <c r="G984" i="2" s="1"/>
  <c r="I984" i="2"/>
  <c r="K984" i="2" s="1"/>
  <c r="B985" i="2"/>
  <c r="V985" i="2" s="1"/>
  <c r="D985" i="2"/>
  <c r="E985" i="2" s="1"/>
  <c r="F985" i="2"/>
  <c r="G985" i="2" s="1"/>
  <c r="I985" i="2"/>
  <c r="J985" i="2" s="1"/>
  <c r="B986" i="2"/>
  <c r="V986" i="2" s="1"/>
  <c r="D986" i="2"/>
  <c r="E986" i="2" s="1"/>
  <c r="F986" i="2"/>
  <c r="G986" i="2" s="1"/>
  <c r="I986" i="2"/>
  <c r="K986" i="2" s="1"/>
  <c r="B987" i="2"/>
  <c r="V987" i="2" s="1"/>
  <c r="D987" i="2"/>
  <c r="E987" i="2" s="1"/>
  <c r="F987" i="2"/>
  <c r="G987" i="2" s="1"/>
  <c r="I987" i="2"/>
  <c r="L987" i="2" s="1"/>
  <c r="B988" i="2"/>
  <c r="V988" i="2" s="1"/>
  <c r="D988" i="2"/>
  <c r="E988" i="2" s="1"/>
  <c r="F988" i="2"/>
  <c r="G988" i="2" s="1"/>
  <c r="I988" i="2"/>
  <c r="K988" i="2" s="1"/>
  <c r="B989" i="2"/>
  <c r="V989" i="2" s="1"/>
  <c r="D989" i="2"/>
  <c r="E989" i="2" s="1"/>
  <c r="F989" i="2"/>
  <c r="G989" i="2" s="1"/>
  <c r="I989" i="2"/>
  <c r="J989" i="2" s="1"/>
  <c r="B990" i="2"/>
  <c r="V990" i="2" s="1"/>
  <c r="D990" i="2"/>
  <c r="E990" i="2" s="1"/>
  <c r="F990" i="2"/>
  <c r="G990" i="2" s="1"/>
  <c r="I990" i="2"/>
  <c r="K990" i="2" s="1"/>
  <c r="B991" i="2"/>
  <c r="V991" i="2" s="1"/>
  <c r="D991" i="2"/>
  <c r="E991" i="2" s="1"/>
  <c r="F991" i="2"/>
  <c r="G991" i="2" s="1"/>
  <c r="I991" i="2"/>
  <c r="L991" i="2" s="1"/>
  <c r="B992" i="2"/>
  <c r="V992" i="2" s="1"/>
  <c r="D992" i="2"/>
  <c r="E992" i="2" s="1"/>
  <c r="F992" i="2"/>
  <c r="G992" i="2" s="1"/>
  <c r="I992" i="2"/>
  <c r="L992" i="2" s="1"/>
  <c r="B993" i="2"/>
  <c r="V993" i="2" s="1"/>
  <c r="D993" i="2"/>
  <c r="E993" i="2" s="1"/>
  <c r="F993" i="2"/>
  <c r="G993" i="2" s="1"/>
  <c r="I993" i="2"/>
  <c r="J993" i="2" s="1"/>
  <c r="B994" i="2"/>
  <c r="V994" i="2" s="1"/>
  <c r="D994" i="2"/>
  <c r="E994" i="2" s="1"/>
  <c r="F994" i="2"/>
  <c r="G994" i="2" s="1"/>
  <c r="I994" i="2"/>
  <c r="J994" i="2" s="1"/>
  <c r="B995" i="2"/>
  <c r="V995" i="2" s="1"/>
  <c r="D995" i="2"/>
  <c r="E995" i="2" s="1"/>
  <c r="F995" i="2"/>
  <c r="G995" i="2" s="1"/>
  <c r="I995" i="2"/>
  <c r="K995" i="2" s="1"/>
  <c r="B996" i="2"/>
  <c r="V996" i="2" s="1"/>
  <c r="D996" i="2"/>
  <c r="E996" i="2" s="1"/>
  <c r="F996" i="2"/>
  <c r="G996" i="2" s="1"/>
  <c r="I996" i="2"/>
  <c r="L996" i="2" s="1"/>
  <c r="B997" i="2"/>
  <c r="V997" i="2" s="1"/>
  <c r="D997" i="2"/>
  <c r="E997" i="2" s="1"/>
  <c r="F997" i="2"/>
  <c r="G997" i="2" s="1"/>
  <c r="I997" i="2"/>
  <c r="J997" i="2" s="1"/>
  <c r="B998" i="2"/>
  <c r="V998" i="2" s="1"/>
  <c r="D998" i="2"/>
  <c r="E998" i="2" s="1"/>
  <c r="F998" i="2"/>
  <c r="G998" i="2" s="1"/>
  <c r="I998" i="2"/>
  <c r="J998" i="2" s="1"/>
  <c r="K998" i="2"/>
  <c r="B999" i="2"/>
  <c r="V999" i="2" s="1"/>
  <c r="D999" i="2"/>
  <c r="E999" i="2" s="1"/>
  <c r="F999" i="2"/>
  <c r="G999" i="2" s="1"/>
  <c r="I999" i="2"/>
  <c r="K999" i="2" s="1"/>
  <c r="B1000" i="2"/>
  <c r="V1000" i="2" s="1"/>
  <c r="D1000" i="2"/>
  <c r="E1000" i="2" s="1"/>
  <c r="F1000" i="2"/>
  <c r="G1000" i="2" s="1"/>
  <c r="I1000" i="2"/>
  <c r="L1000" i="2" s="1"/>
  <c r="J986" i="2" l="1"/>
  <c r="J818" i="2"/>
  <c r="K932" i="2"/>
  <c r="K905" i="2"/>
  <c r="J967" i="2"/>
  <c r="L838" i="2"/>
  <c r="K637" i="2"/>
  <c r="J713" i="2"/>
  <c r="L875" i="2"/>
  <c r="J832" i="2"/>
  <c r="J926" i="2"/>
  <c r="L905" i="2"/>
  <c r="J894" i="2"/>
  <c r="J871" i="2"/>
  <c r="J789" i="2"/>
  <c r="K772" i="2"/>
  <c r="J982" i="2"/>
  <c r="L977" i="2"/>
  <c r="J711" i="2"/>
  <c r="K673" i="2"/>
  <c r="J987" i="2"/>
  <c r="K952" i="2"/>
  <c r="L927" i="2"/>
  <c r="K838" i="2"/>
  <c r="J781" i="2"/>
  <c r="L530" i="2"/>
  <c r="L934" i="2"/>
  <c r="K927" i="2"/>
  <c r="L752" i="2"/>
  <c r="J709" i="2"/>
  <c r="K619" i="2"/>
  <c r="J530" i="2"/>
  <c r="K964" i="2"/>
  <c r="L935" i="2"/>
  <c r="J928" i="2"/>
  <c r="L759" i="2"/>
  <c r="K689" i="2"/>
  <c r="K628" i="2"/>
  <c r="J632" i="2"/>
  <c r="L607" i="2"/>
  <c r="J586" i="2"/>
  <c r="K584" i="2"/>
  <c r="K569" i="2"/>
  <c r="K994" i="2"/>
  <c r="L953" i="2"/>
  <c r="K908" i="2"/>
  <c r="L537" i="2"/>
  <c r="J975" i="2"/>
  <c r="L748" i="2"/>
  <c r="J732" i="2"/>
  <c r="J999" i="2"/>
  <c r="K956" i="2"/>
  <c r="L939" i="2"/>
  <c r="K921" i="2"/>
  <c r="L891" i="2"/>
  <c r="K868" i="2"/>
  <c r="L822" i="2"/>
  <c r="J817" i="2"/>
  <c r="K748" i="2"/>
  <c r="L540" i="2"/>
  <c r="J959" i="2"/>
  <c r="L949" i="2"/>
  <c r="J939" i="2"/>
  <c r="L895" i="2"/>
  <c r="J868" i="2"/>
  <c r="K850" i="2"/>
  <c r="L720" i="2"/>
  <c r="K715" i="2"/>
  <c r="L712" i="2"/>
  <c r="J685" i="2"/>
  <c r="L586" i="2"/>
  <c r="L569" i="2"/>
  <c r="K540" i="2"/>
  <c r="J772" i="2"/>
  <c r="L739" i="2"/>
  <c r="J995" i="2"/>
  <c r="K960" i="2"/>
  <c r="L936" i="2"/>
  <c r="L909" i="2"/>
  <c r="J908" i="2"/>
  <c r="J821" i="2"/>
  <c r="L998" i="2"/>
  <c r="L986" i="2"/>
  <c r="J936" i="2"/>
  <c r="K923" i="2"/>
  <c r="K909" i="2"/>
  <c r="L871" i="2"/>
  <c r="J777" i="2"/>
  <c r="L751" i="2"/>
  <c r="K711" i="2"/>
  <c r="L708" i="2"/>
  <c r="L692" i="2"/>
  <c r="J672" i="2"/>
  <c r="K641" i="2"/>
  <c r="J612" i="2"/>
  <c r="L595" i="2"/>
  <c r="K570" i="2"/>
  <c r="L825" i="2"/>
  <c r="K822" i="2"/>
  <c r="L815" i="2"/>
  <c r="K752" i="2"/>
  <c r="K720" i="2"/>
  <c r="K678" i="2"/>
  <c r="K979" i="2"/>
  <c r="L928" i="2"/>
  <c r="J825" i="2"/>
  <c r="L816" i="2"/>
  <c r="K815" i="2"/>
  <c r="J785" i="2"/>
  <c r="J733" i="2"/>
  <c r="L728" i="2"/>
  <c r="K707" i="2"/>
  <c r="K694" i="2"/>
  <c r="J678" i="2"/>
  <c r="L659" i="2"/>
  <c r="K983" i="2"/>
  <c r="J979" i="2"/>
  <c r="K968" i="2"/>
  <c r="L957" i="2"/>
  <c r="J951" i="2"/>
  <c r="K948" i="2"/>
  <c r="L941" i="2"/>
  <c r="L937" i="2"/>
  <c r="L899" i="2"/>
  <c r="L885" i="2"/>
  <c r="L873" i="2"/>
  <c r="J816" i="2"/>
  <c r="K728" i="2"/>
  <c r="L715" i="2"/>
  <c r="J707" i="2"/>
  <c r="L704" i="2"/>
  <c r="L689" i="2"/>
  <c r="K686" i="2"/>
  <c r="L681" i="2"/>
  <c r="L635" i="2"/>
  <c r="L596" i="2"/>
  <c r="L582" i="2"/>
  <c r="K548" i="2"/>
  <c r="K938" i="2"/>
  <c r="J938" i="2"/>
  <c r="K930" i="2"/>
  <c r="J930" i="2"/>
  <c r="L914" i="2"/>
  <c r="J914" i="2"/>
  <c r="L892" i="2"/>
  <c r="K892" i="2"/>
  <c r="L990" i="2"/>
  <c r="L962" i="2"/>
  <c r="L954" i="2"/>
  <c r="J919" i="2"/>
  <c r="K919" i="2"/>
  <c r="L872" i="2"/>
  <c r="L844" i="2"/>
  <c r="J844" i="2"/>
  <c r="K820" i="2"/>
  <c r="L820" i="2"/>
  <c r="J990" i="2"/>
  <c r="J970" i="2"/>
  <c r="J962" i="2"/>
  <c r="J954" i="2"/>
  <c r="K946" i="2"/>
  <c r="J946" i="2"/>
  <c r="J943" i="2"/>
  <c r="K940" i="2"/>
  <c r="L932" i="2"/>
  <c r="K931" i="2"/>
  <c r="L931" i="2"/>
  <c r="J917" i="2"/>
  <c r="K917" i="2"/>
  <c r="K912" i="2"/>
  <c r="K886" i="2"/>
  <c r="J886" i="2"/>
  <c r="J882" i="2"/>
  <c r="K872" i="2"/>
  <c r="J869" i="2"/>
  <c r="L869" i="2"/>
  <c r="J834" i="2"/>
  <c r="L834" i="2"/>
  <c r="K824" i="2"/>
  <c r="J824" i="2"/>
  <c r="L821" i="2"/>
  <c r="L783" i="2"/>
  <c r="L755" i="2"/>
  <c r="L749" i="2"/>
  <c r="K749" i="2"/>
  <c r="L743" i="2"/>
  <c r="J736" i="2"/>
  <c r="K733" i="2"/>
  <c r="K672" i="2"/>
  <c r="J668" i="2"/>
  <c r="K963" i="2"/>
  <c r="K971" i="2"/>
  <c r="K955" i="2"/>
  <c r="K947" i="2"/>
  <c r="L883" i="2"/>
  <c r="K864" i="2"/>
  <c r="L848" i="2"/>
  <c r="J848" i="2"/>
  <c r="L846" i="2"/>
  <c r="K1000" i="2"/>
  <c r="L994" i="2"/>
  <c r="J991" i="2"/>
  <c r="J971" i="2"/>
  <c r="J963" i="2"/>
  <c r="J955" i="2"/>
  <c r="J947" i="2"/>
  <c r="K944" i="2"/>
  <c r="L922" i="2"/>
  <c r="J922" i="2"/>
  <c r="J903" i="2"/>
  <c r="L903" i="2"/>
  <c r="K900" i="2"/>
  <c r="K884" i="2"/>
  <c r="J883" i="2"/>
  <c r="J864" i="2"/>
  <c r="K846" i="2"/>
  <c r="K807" i="2"/>
  <c r="L793" i="2"/>
  <c r="J793" i="2"/>
  <c r="K761" i="2"/>
  <c r="L753" i="2"/>
  <c r="K753" i="2"/>
  <c r="L744" i="2"/>
  <c r="J701" i="2"/>
  <c r="J693" i="2"/>
  <c r="J673" i="2"/>
  <c r="L933" i="2"/>
  <c r="J929" i="2"/>
  <c r="L929" i="2"/>
  <c r="J925" i="2"/>
  <c r="K925" i="2"/>
  <c r="L923" i="2"/>
  <c r="J907" i="2"/>
  <c r="L907" i="2"/>
  <c r="K904" i="2"/>
  <c r="J900" i="2"/>
  <c r="K887" i="2"/>
  <c r="J887" i="2"/>
  <c r="J884" i="2"/>
  <c r="L865" i="2"/>
  <c r="K851" i="2"/>
  <c r="J851" i="2"/>
  <c r="J836" i="2"/>
  <c r="J826" i="2"/>
  <c r="L826" i="2"/>
  <c r="J807" i="2"/>
  <c r="J744" i="2"/>
  <c r="L702" i="2"/>
  <c r="K674" i="2"/>
  <c r="J904" i="2"/>
  <c r="K874" i="2"/>
  <c r="J874" i="2"/>
  <c r="L867" i="2"/>
  <c r="J866" i="2"/>
  <c r="K801" i="2"/>
  <c r="J801" i="2"/>
  <c r="J768" i="2"/>
  <c r="L768" i="2"/>
  <c r="L756" i="2"/>
  <c r="J756" i="2"/>
  <c r="L747" i="2"/>
  <c r="L710" i="2"/>
  <c r="J702" i="2"/>
  <c r="J674" i="2"/>
  <c r="J633" i="2"/>
  <c r="K633" i="2"/>
  <c r="L633" i="2"/>
  <c r="L888" i="2"/>
  <c r="K888" i="2"/>
  <c r="J867" i="2"/>
  <c r="L837" i="2"/>
  <c r="J833" i="2"/>
  <c r="L833" i="2"/>
  <c r="J787" i="2"/>
  <c r="L787" i="2"/>
  <c r="J779" i="2"/>
  <c r="L779" i="2"/>
  <c r="L729" i="2"/>
  <c r="J729" i="2"/>
  <c r="L745" i="2"/>
  <c r="K745" i="2"/>
  <c r="L697" i="2"/>
  <c r="J697" i="2"/>
  <c r="J667" i="2"/>
  <c r="K667" i="2"/>
  <c r="L970" i="2"/>
  <c r="J805" i="2"/>
  <c r="L805" i="2"/>
  <c r="L757" i="2"/>
  <c r="K757" i="2"/>
  <c r="J703" i="2"/>
  <c r="K703" i="2"/>
  <c r="K668" i="2"/>
  <c r="J629" i="2"/>
  <c r="K629" i="2"/>
  <c r="L629" i="2"/>
  <c r="K685" i="2"/>
  <c r="L641" i="2"/>
  <c r="L631" i="2"/>
  <c r="K621" i="2"/>
  <c r="K617" i="2"/>
  <c r="L609" i="2"/>
  <c r="J596" i="2"/>
  <c r="J582" i="2"/>
  <c r="J628" i="2"/>
  <c r="J584" i="2"/>
  <c r="L619" i="2"/>
  <c r="L529" i="2"/>
  <c r="K512" i="2"/>
  <c r="J616" i="2"/>
  <c r="L603" i="2"/>
  <c r="L621" i="2"/>
  <c r="L617" i="2"/>
  <c r="K10" i="2"/>
  <c r="L29" i="2"/>
  <c r="L3" i="2"/>
  <c r="K16" i="2"/>
  <c r="F2" i="2"/>
  <c r="G2" i="2" s="1"/>
  <c r="J11" i="2"/>
  <c r="K3" i="2"/>
  <c r="J10" i="2"/>
  <c r="J2" i="2"/>
  <c r="K14" i="2"/>
  <c r="J16" i="2"/>
  <c r="L23" i="2"/>
  <c r="L21" i="2"/>
  <c r="L7" i="2"/>
  <c r="K2" i="2"/>
  <c r="D2" i="2"/>
  <c r="E2" i="2" s="1"/>
  <c r="K859" i="2"/>
  <c r="J859" i="2"/>
  <c r="L859" i="2"/>
  <c r="K878" i="2"/>
  <c r="J878" i="2"/>
  <c r="J719" i="2"/>
  <c r="L719" i="2"/>
  <c r="L690" i="2"/>
  <c r="K690" i="2"/>
  <c r="L30" i="2"/>
  <c r="K30" i="2"/>
  <c r="L854" i="2"/>
  <c r="J854" i="2"/>
  <c r="K854" i="2"/>
  <c r="L813" i="2"/>
  <c r="K717" i="2"/>
  <c r="J717" i="2"/>
  <c r="J623" i="2"/>
  <c r="K623" i="2"/>
  <c r="L608" i="2"/>
  <c r="J608" i="2"/>
  <c r="K608" i="2"/>
  <c r="L572" i="2"/>
  <c r="J572" i="2"/>
  <c r="K572" i="2"/>
  <c r="L560" i="2"/>
  <c r="J560" i="2"/>
  <c r="K5" i="2"/>
  <c r="K26" i="2"/>
  <c r="J30" i="2"/>
  <c r="J830" i="2"/>
  <c r="K830" i="2"/>
  <c r="L764" i="2"/>
  <c r="J764" i="2"/>
  <c r="L737" i="2"/>
  <c r="K737" i="2"/>
  <c r="K676" i="2"/>
  <c r="L676" i="2"/>
  <c r="K863" i="2"/>
  <c r="L863" i="2"/>
  <c r="K842" i="2"/>
  <c r="L842" i="2"/>
  <c r="L797" i="2"/>
  <c r="J797" i="2"/>
  <c r="J604" i="2"/>
  <c r="K604" i="2"/>
  <c r="L604" i="2"/>
  <c r="K580" i="2"/>
  <c r="L580" i="2"/>
  <c r="J580" i="2"/>
  <c r="J625" i="2"/>
  <c r="L625" i="2"/>
  <c r="K532" i="2"/>
  <c r="L532" i="2"/>
  <c r="K9" i="2"/>
  <c r="K860" i="2"/>
  <c r="L860" i="2"/>
  <c r="J15" i="2"/>
  <c r="L15" i="2"/>
  <c r="K15" i="2"/>
  <c r="J861" i="2"/>
  <c r="K861" i="2"/>
  <c r="L861" i="2"/>
  <c r="K828" i="2"/>
  <c r="J828" i="2"/>
  <c r="L828" i="2"/>
  <c r="J740" i="2"/>
  <c r="K740" i="2"/>
  <c r="J599" i="2"/>
  <c r="L599" i="2"/>
  <c r="L12" i="2"/>
  <c r="J12" i="2"/>
  <c r="L896" i="2"/>
  <c r="J896" i="2"/>
  <c r="K896" i="2"/>
  <c r="L840" i="2"/>
  <c r="J840" i="2"/>
  <c r="K840" i="2"/>
  <c r="L974" i="2"/>
  <c r="L966" i="2"/>
  <c r="K918" i="2"/>
  <c r="K880" i="2"/>
  <c r="K879" i="2"/>
  <c r="L879" i="2"/>
  <c r="K862" i="2"/>
  <c r="J862" i="2"/>
  <c r="L847" i="2"/>
  <c r="K829" i="2"/>
  <c r="J829" i="2"/>
  <c r="L829" i="2"/>
  <c r="K813" i="2"/>
  <c r="K803" i="2"/>
  <c r="J775" i="2"/>
  <c r="K775" i="2"/>
  <c r="L775" i="2"/>
  <c r="L741" i="2"/>
  <c r="J741" i="2"/>
  <c r="K741" i="2"/>
  <c r="L684" i="2"/>
  <c r="L656" i="2"/>
  <c r="K656" i="2"/>
  <c r="L648" i="2"/>
  <c r="K648" i="2"/>
  <c r="J645" i="2"/>
  <c r="K645" i="2"/>
  <c r="L26" i="2"/>
  <c r="J876" i="2"/>
  <c r="K876" i="2"/>
  <c r="L600" i="2"/>
  <c r="K600" i="2"/>
  <c r="J577" i="2"/>
  <c r="L577" i="2"/>
  <c r="J771" i="2"/>
  <c r="L771" i="2"/>
  <c r="K680" i="2"/>
  <c r="J680" i="2"/>
  <c r="L660" i="2"/>
  <c r="K660" i="2"/>
  <c r="J615" i="2"/>
  <c r="K615" i="2"/>
  <c r="K890" i="2"/>
  <c r="J890" i="2"/>
  <c r="J791" i="2"/>
  <c r="L791" i="2"/>
  <c r="K677" i="2"/>
  <c r="L677" i="2"/>
  <c r="L664" i="2"/>
  <c r="K664" i="2"/>
  <c r="J664" i="2"/>
  <c r="L652" i="2"/>
  <c r="K652" i="2"/>
  <c r="K811" i="2"/>
  <c r="L811" i="2"/>
  <c r="K706" i="2"/>
  <c r="L706" i="2"/>
  <c r="K760" i="2"/>
  <c r="L760" i="2"/>
  <c r="K590" i="2"/>
  <c r="L590" i="2"/>
  <c r="L958" i="2"/>
  <c r="L950" i="2"/>
  <c r="L942" i="2"/>
  <c r="L915" i="2"/>
  <c r="K996" i="2"/>
  <c r="K975" i="2"/>
  <c r="J974" i="2"/>
  <c r="K967" i="2"/>
  <c r="J966" i="2"/>
  <c r="K959" i="2"/>
  <c r="J958" i="2"/>
  <c r="K951" i="2"/>
  <c r="J950" i="2"/>
  <c r="K943" i="2"/>
  <c r="J942" i="2"/>
  <c r="L919" i="2"/>
  <c r="J918" i="2"/>
  <c r="K915" i="2"/>
  <c r="L911" i="2"/>
  <c r="K897" i="2"/>
  <c r="L881" i="2"/>
  <c r="J880" i="2"/>
  <c r="L876" i="2"/>
  <c r="J870" i="2"/>
  <c r="J852" i="2"/>
  <c r="K848" i="2"/>
  <c r="J847" i="2"/>
  <c r="J841" i="2"/>
  <c r="L841" i="2"/>
  <c r="K836" i="2"/>
  <c r="L830" i="2"/>
  <c r="K818" i="2"/>
  <c r="L817" i="2"/>
  <c r="J809" i="2"/>
  <c r="K809" i="2"/>
  <c r="J803" i="2"/>
  <c r="L767" i="2"/>
  <c r="K764" i="2"/>
  <c r="J737" i="2"/>
  <c r="J724" i="2"/>
  <c r="L724" i="2"/>
  <c r="K724" i="2"/>
  <c r="K700" i="2"/>
  <c r="L688" i="2"/>
  <c r="J684" i="2"/>
  <c r="J676" i="2"/>
  <c r="J627" i="2"/>
  <c r="K627" i="2"/>
  <c r="J600" i="2"/>
  <c r="L588" i="2"/>
  <c r="K588" i="2"/>
  <c r="K577" i="2"/>
  <c r="L22" i="2"/>
  <c r="K22" i="2"/>
  <c r="J22" i="2"/>
  <c r="K25" i="2"/>
  <c r="L25" i="2"/>
  <c r="J935" i="2"/>
  <c r="J934" i="2"/>
  <c r="J912" i="2"/>
  <c r="L889" i="2"/>
  <c r="L877" i="2"/>
  <c r="J875" i="2"/>
  <c r="J858" i="2"/>
  <c r="J723" i="2"/>
  <c r="K723" i="2"/>
  <c r="J663" i="2"/>
  <c r="K663" i="2"/>
  <c r="K659" i="2"/>
  <c r="L655" i="2"/>
  <c r="L651" i="2"/>
  <c r="L647" i="2"/>
  <c r="K528" i="2"/>
  <c r="L528" i="2"/>
  <c r="K705" i="2"/>
  <c r="J705" i="2"/>
  <c r="L682" i="2"/>
  <c r="J682" i="2"/>
  <c r="J544" i="2"/>
  <c r="L544" i="2"/>
  <c r="J14" i="2"/>
  <c r="L18" i="2"/>
  <c r="K18" i="2"/>
  <c r="J18" i="2"/>
  <c r="L34" i="2"/>
  <c r="K34" i="2"/>
  <c r="J34" i="2"/>
  <c r="K612" i="2"/>
  <c r="L593" i="2"/>
  <c r="K593" i="2"/>
  <c r="K559" i="2"/>
  <c r="K7" i="2"/>
  <c r="K23" i="2"/>
  <c r="L33" i="2"/>
  <c r="L6" i="2"/>
  <c r="K6" i="2"/>
  <c r="J6" i="2"/>
  <c r="L28" i="2"/>
  <c r="K28" i="2"/>
  <c r="V2" i="2"/>
  <c r="L5" i="2"/>
  <c r="L9" i="2"/>
  <c r="K11" i="2"/>
  <c r="K13" i="2"/>
  <c r="J13" i="2"/>
  <c r="J4" i="2"/>
  <c r="J8" i="2"/>
  <c r="L13" i="2"/>
  <c r="K4" i="2"/>
  <c r="K8" i="2"/>
  <c r="J19" i="2"/>
  <c r="L19" i="2"/>
  <c r="J31" i="2"/>
  <c r="K31" i="2"/>
  <c r="K12" i="2"/>
  <c r="L24" i="2"/>
  <c r="K24" i="2"/>
  <c r="K17" i="2"/>
  <c r="J17" i="2"/>
  <c r="L20" i="2"/>
  <c r="K20" i="2"/>
  <c r="L17" i="2"/>
  <c r="J20" i="2"/>
  <c r="K27" i="2"/>
  <c r="L32" i="2"/>
  <c r="K32" i="2"/>
  <c r="L27" i="2"/>
  <c r="J32" i="2"/>
  <c r="J21" i="2"/>
  <c r="J25" i="2"/>
  <c r="J29" i="2"/>
  <c r="J33" i="2"/>
  <c r="J567" i="2"/>
  <c r="J566" i="2"/>
  <c r="L563" i="2"/>
  <c r="J535" i="2"/>
  <c r="J525" i="2"/>
  <c r="K524" i="2"/>
  <c r="J517" i="2"/>
  <c r="K563" i="2"/>
  <c r="K560" i="2"/>
  <c r="L559" i="2"/>
  <c r="L512" i="2"/>
  <c r="J527" i="2"/>
  <c r="L567" i="2"/>
  <c r="L566" i="2"/>
  <c r="J555" i="2"/>
  <c r="L535" i="2"/>
  <c r="L525" i="2"/>
  <c r="L524" i="2"/>
  <c r="L565" i="2"/>
  <c r="K565" i="2"/>
  <c r="J558" i="2"/>
  <c r="K557" i="2"/>
  <c r="L558" i="2"/>
  <c r="L557" i="2"/>
  <c r="L555" i="2"/>
  <c r="L553" i="2"/>
  <c r="K553" i="2"/>
  <c r="L551" i="2"/>
  <c r="K551" i="2"/>
  <c r="L548" i="2"/>
  <c r="K544" i="2"/>
  <c r="L536" i="2"/>
  <c r="K536" i="2"/>
  <c r="L531" i="2"/>
  <c r="J531" i="2"/>
  <c r="J529" i="2"/>
  <c r="L527" i="2"/>
  <c r="L526" i="2"/>
  <c r="J526" i="2"/>
  <c r="L523" i="2"/>
  <c r="J523" i="2"/>
  <c r="L522" i="2"/>
  <c r="J522" i="2"/>
  <c r="J521" i="2"/>
  <c r="L520" i="2"/>
  <c r="K520" i="2"/>
  <c r="L516" i="2"/>
  <c r="K516" i="2"/>
  <c r="K513" i="2"/>
  <c r="J513" i="2"/>
  <c r="L508" i="2"/>
  <c r="K508" i="2"/>
  <c r="K992" i="2"/>
  <c r="L504" i="2"/>
  <c r="K504" i="2"/>
  <c r="K501" i="2"/>
  <c r="J1000" i="2"/>
  <c r="L999" i="2"/>
  <c r="J996" i="2"/>
  <c r="L995" i="2"/>
  <c r="J992" i="2"/>
  <c r="L989" i="2"/>
  <c r="L985" i="2"/>
  <c r="L978" i="2"/>
  <c r="K977" i="2"/>
  <c r="J976" i="2"/>
  <c r="L976" i="2"/>
  <c r="K989" i="2"/>
  <c r="K985" i="2"/>
  <c r="J978" i="2"/>
  <c r="L997" i="2"/>
  <c r="L993" i="2"/>
  <c r="K991" i="2"/>
  <c r="J988" i="2"/>
  <c r="L988" i="2"/>
  <c r="K987" i="2"/>
  <c r="J984" i="2"/>
  <c r="L984" i="2"/>
  <c r="K898" i="2"/>
  <c r="L898" i="2"/>
  <c r="J898" i="2"/>
  <c r="K997" i="2"/>
  <c r="K993" i="2"/>
  <c r="L981" i="2"/>
  <c r="J913" i="2"/>
  <c r="K913" i="2"/>
  <c r="L913" i="2"/>
  <c r="L982" i="2"/>
  <c r="K981" i="2"/>
  <c r="J980" i="2"/>
  <c r="L980" i="2"/>
  <c r="J973" i="2"/>
  <c r="K973" i="2"/>
  <c r="J969" i="2"/>
  <c r="K969" i="2"/>
  <c r="J965" i="2"/>
  <c r="K965" i="2"/>
  <c r="J961" i="2"/>
  <c r="K961" i="2"/>
  <c r="J901" i="2"/>
  <c r="K901" i="2"/>
  <c r="L901" i="2"/>
  <c r="K957" i="2"/>
  <c r="K953" i="2"/>
  <c r="K949" i="2"/>
  <c r="K945" i="2"/>
  <c r="K941" i="2"/>
  <c r="K937" i="2"/>
  <c r="K933" i="2"/>
  <c r="K929" i="2"/>
  <c r="K924" i="2"/>
  <c r="K920" i="2"/>
  <c r="K916" i="2"/>
  <c r="K910" i="2"/>
  <c r="L910" i="2"/>
  <c r="J857" i="2"/>
  <c r="K857" i="2"/>
  <c r="L857" i="2"/>
  <c r="L972" i="2"/>
  <c r="L968" i="2"/>
  <c r="L964" i="2"/>
  <c r="L960" i="2"/>
  <c r="L956" i="2"/>
  <c r="L952" i="2"/>
  <c r="L948" i="2"/>
  <c r="L944" i="2"/>
  <c r="L940" i="2"/>
  <c r="J924" i="2"/>
  <c r="J920" i="2"/>
  <c r="J916" i="2"/>
  <c r="K827" i="2"/>
  <c r="L827" i="2"/>
  <c r="J827" i="2"/>
  <c r="K926" i="2"/>
  <c r="J893" i="2"/>
  <c r="K893" i="2"/>
  <c r="K906" i="2"/>
  <c r="L906" i="2"/>
  <c r="L925" i="2"/>
  <c r="L921" i="2"/>
  <c r="L917" i="2"/>
  <c r="K902" i="2"/>
  <c r="L902" i="2"/>
  <c r="L897" i="2"/>
  <c r="K889" i="2"/>
  <c r="K885" i="2"/>
  <c r="K881" i="2"/>
  <c r="K877" i="2"/>
  <c r="K873" i="2"/>
  <c r="K869" i="2"/>
  <c r="K865" i="2"/>
  <c r="L855" i="2"/>
  <c r="K835" i="2"/>
  <c r="L835" i="2"/>
  <c r="K823" i="2"/>
  <c r="L823" i="2"/>
  <c r="K855" i="2"/>
  <c r="L843" i="2"/>
  <c r="K839" i="2"/>
  <c r="L839" i="2"/>
  <c r="K819" i="2"/>
  <c r="L819" i="2"/>
  <c r="J843" i="2"/>
  <c r="J780" i="2"/>
  <c r="K780" i="2"/>
  <c r="L780" i="2"/>
  <c r="K911" i="2"/>
  <c r="K907" i="2"/>
  <c r="K903" i="2"/>
  <c r="K899" i="2"/>
  <c r="K895" i="2"/>
  <c r="K891" i="2"/>
  <c r="J856" i="2"/>
  <c r="J849" i="2"/>
  <c r="K849" i="2"/>
  <c r="L849" i="2"/>
  <c r="J810" i="2"/>
  <c r="K810" i="2"/>
  <c r="J727" i="2"/>
  <c r="L727" i="2"/>
  <c r="K727" i="2"/>
  <c r="L894" i="2"/>
  <c r="L890" i="2"/>
  <c r="L886" i="2"/>
  <c r="L882" i="2"/>
  <c r="L878" i="2"/>
  <c r="L874" i="2"/>
  <c r="L870" i="2"/>
  <c r="L866" i="2"/>
  <c r="L862" i="2"/>
  <c r="L858" i="2"/>
  <c r="K814" i="2"/>
  <c r="J814" i="2"/>
  <c r="L814" i="2"/>
  <c r="J802" i="2"/>
  <c r="K802" i="2"/>
  <c r="L773" i="2"/>
  <c r="J773" i="2"/>
  <c r="K773" i="2"/>
  <c r="J853" i="2"/>
  <c r="L853" i="2"/>
  <c r="K852" i="2"/>
  <c r="L850" i="2"/>
  <c r="K831" i="2"/>
  <c r="L831" i="2"/>
  <c r="J766" i="2"/>
  <c r="K766" i="2"/>
  <c r="L766" i="2"/>
  <c r="J796" i="2"/>
  <c r="K796" i="2"/>
  <c r="L845" i="2"/>
  <c r="K808" i="2"/>
  <c r="L808" i="2"/>
  <c r="J806" i="2"/>
  <c r="K806" i="2"/>
  <c r="K804" i="2"/>
  <c r="L804" i="2"/>
  <c r="J799" i="2"/>
  <c r="K799" i="2"/>
  <c r="J792" i="2"/>
  <c r="K792" i="2"/>
  <c r="J776" i="2"/>
  <c r="K776" i="2"/>
  <c r="K845" i="2"/>
  <c r="K841" i="2"/>
  <c r="K837" i="2"/>
  <c r="K833" i="2"/>
  <c r="L832" i="2"/>
  <c r="L812" i="2"/>
  <c r="J788" i="2"/>
  <c r="K788" i="2"/>
  <c r="J812" i="2"/>
  <c r="J800" i="2"/>
  <c r="K800" i="2"/>
  <c r="J795" i="2"/>
  <c r="K795" i="2"/>
  <c r="J784" i="2"/>
  <c r="K784" i="2"/>
  <c r="J754" i="2"/>
  <c r="K754" i="2"/>
  <c r="L754" i="2"/>
  <c r="L765" i="2"/>
  <c r="J765" i="2"/>
  <c r="K765" i="2"/>
  <c r="J750" i="2"/>
  <c r="K750" i="2"/>
  <c r="L750" i="2"/>
  <c r="J770" i="2"/>
  <c r="K770" i="2"/>
  <c r="L770" i="2"/>
  <c r="L769" i="2"/>
  <c r="J769" i="2"/>
  <c r="J731" i="2"/>
  <c r="L731" i="2"/>
  <c r="K731" i="2"/>
  <c r="K791" i="2"/>
  <c r="K787" i="2"/>
  <c r="K783" i="2"/>
  <c r="K779" i="2"/>
  <c r="J774" i="2"/>
  <c r="L774" i="2"/>
  <c r="J758" i="2"/>
  <c r="K758" i="2"/>
  <c r="L758" i="2"/>
  <c r="J742" i="2"/>
  <c r="K742" i="2"/>
  <c r="L742" i="2"/>
  <c r="J738" i="2"/>
  <c r="K738" i="2"/>
  <c r="L738" i="2"/>
  <c r="L801" i="2"/>
  <c r="J798" i="2"/>
  <c r="L798" i="2"/>
  <c r="K797" i="2"/>
  <c r="J794" i="2"/>
  <c r="L794" i="2"/>
  <c r="K793" i="2"/>
  <c r="J790" i="2"/>
  <c r="L790" i="2"/>
  <c r="K789" i="2"/>
  <c r="J786" i="2"/>
  <c r="L786" i="2"/>
  <c r="K785" i="2"/>
  <c r="J782" i="2"/>
  <c r="L782" i="2"/>
  <c r="K781" i="2"/>
  <c r="J778" i="2"/>
  <c r="L778" i="2"/>
  <c r="K777" i="2"/>
  <c r="J762" i="2"/>
  <c r="K762" i="2"/>
  <c r="L762" i="2"/>
  <c r="J746" i="2"/>
  <c r="K746" i="2"/>
  <c r="L746" i="2"/>
  <c r="J761" i="2"/>
  <c r="J757" i="2"/>
  <c r="J753" i="2"/>
  <c r="J749" i="2"/>
  <c r="J745" i="2"/>
  <c r="K721" i="2"/>
  <c r="L721" i="2"/>
  <c r="L763" i="2"/>
  <c r="J734" i="2"/>
  <c r="L734" i="2"/>
  <c r="K725" i="2"/>
  <c r="L725" i="2"/>
  <c r="K771" i="2"/>
  <c r="K767" i="2"/>
  <c r="K763" i="2"/>
  <c r="K759" i="2"/>
  <c r="K755" i="2"/>
  <c r="K751" i="2"/>
  <c r="K747" i="2"/>
  <c r="K743" i="2"/>
  <c r="K739" i="2"/>
  <c r="L736" i="2"/>
  <c r="L732" i="2"/>
  <c r="J726" i="2"/>
  <c r="K726" i="2"/>
  <c r="L726" i="2"/>
  <c r="J730" i="2"/>
  <c r="L730" i="2"/>
  <c r="J716" i="2"/>
  <c r="K716" i="2"/>
  <c r="L735" i="2"/>
  <c r="J662" i="2"/>
  <c r="L662" i="2"/>
  <c r="K662" i="2"/>
  <c r="K712" i="2"/>
  <c r="K708" i="2"/>
  <c r="K704" i="2"/>
  <c r="J691" i="2"/>
  <c r="K691" i="2"/>
  <c r="L691" i="2"/>
  <c r="L723" i="2"/>
  <c r="J696" i="2"/>
  <c r="K696" i="2"/>
  <c r="J671" i="2"/>
  <c r="K671" i="2"/>
  <c r="L671" i="2"/>
  <c r="L698" i="2"/>
  <c r="J698" i="2"/>
  <c r="J687" i="2"/>
  <c r="K687" i="2"/>
  <c r="L687" i="2"/>
  <c r="J683" i="2"/>
  <c r="K683" i="2"/>
  <c r="L683" i="2"/>
  <c r="L722" i="2"/>
  <c r="L718" i="2"/>
  <c r="L714" i="2"/>
  <c r="J670" i="2"/>
  <c r="L670" i="2"/>
  <c r="K670" i="2"/>
  <c r="K722" i="2"/>
  <c r="K718" i="2"/>
  <c r="K714" i="2"/>
  <c r="K710" i="2"/>
  <c r="L700" i="2"/>
  <c r="J699" i="2"/>
  <c r="L699" i="2"/>
  <c r="J695" i="2"/>
  <c r="L695" i="2"/>
  <c r="J679" i="2"/>
  <c r="K679" i="2"/>
  <c r="L679" i="2"/>
  <c r="L717" i="2"/>
  <c r="L713" i="2"/>
  <c r="L709" i="2"/>
  <c r="L705" i="2"/>
  <c r="J666" i="2"/>
  <c r="L666" i="2"/>
  <c r="K666" i="2"/>
  <c r="K701" i="2"/>
  <c r="J675" i="2"/>
  <c r="K675" i="2"/>
  <c r="L675" i="2"/>
  <c r="J694" i="2"/>
  <c r="J690" i="2"/>
  <c r="J686" i="2"/>
  <c r="J658" i="2"/>
  <c r="K658" i="2"/>
  <c r="L658" i="2"/>
  <c r="J657" i="2"/>
  <c r="L657" i="2"/>
  <c r="K692" i="2"/>
  <c r="K688" i="2"/>
  <c r="J653" i="2"/>
  <c r="K653" i="2"/>
  <c r="L653" i="2"/>
  <c r="J669" i="2"/>
  <c r="L669" i="2"/>
  <c r="J665" i="2"/>
  <c r="L665" i="2"/>
  <c r="J661" i="2"/>
  <c r="L661" i="2"/>
  <c r="J626" i="2"/>
  <c r="K626" i="2"/>
  <c r="L626" i="2"/>
  <c r="L624" i="2"/>
  <c r="K624" i="2"/>
  <c r="K655" i="2"/>
  <c r="K651" i="2"/>
  <c r="K647" i="2"/>
  <c r="K644" i="2"/>
  <c r="K640" i="2"/>
  <c r="K636" i="2"/>
  <c r="K632" i="2"/>
  <c r="L578" i="2"/>
  <c r="J578" i="2"/>
  <c r="K578" i="2"/>
  <c r="L654" i="2"/>
  <c r="L650" i="2"/>
  <c r="J644" i="2"/>
  <c r="J640" i="2"/>
  <c r="J636" i="2"/>
  <c r="K654" i="2"/>
  <c r="K650" i="2"/>
  <c r="L643" i="2"/>
  <c r="L639" i="2"/>
  <c r="L649" i="2"/>
  <c r="K643" i="2"/>
  <c r="K639" i="2"/>
  <c r="K635" i="2"/>
  <c r="K631" i="2"/>
  <c r="K649" i="2"/>
  <c r="K646" i="2"/>
  <c r="K642" i="2"/>
  <c r="K638" i="2"/>
  <c r="K634" i="2"/>
  <c r="K630" i="2"/>
  <c r="L610" i="2"/>
  <c r="K610" i="2"/>
  <c r="J610" i="2"/>
  <c r="J646" i="2"/>
  <c r="J642" i="2"/>
  <c r="J638" i="2"/>
  <c r="J634" i="2"/>
  <c r="J630" i="2"/>
  <c r="J624" i="2"/>
  <c r="J622" i="2"/>
  <c r="K622" i="2"/>
  <c r="L622" i="2"/>
  <c r="L620" i="2"/>
  <c r="K620" i="2"/>
  <c r="K616" i="2"/>
  <c r="L615" i="2"/>
  <c r="J611" i="2"/>
  <c r="K611" i="2"/>
  <c r="L592" i="2"/>
  <c r="K592" i="2"/>
  <c r="K591" i="2"/>
  <c r="J591" i="2"/>
  <c r="L591" i="2"/>
  <c r="L618" i="2"/>
  <c r="K614" i="2"/>
  <c r="J602" i="2"/>
  <c r="K602" i="2"/>
  <c r="L602" i="2"/>
  <c r="J601" i="2"/>
  <c r="L601" i="2"/>
  <c r="K618" i="2"/>
  <c r="J614" i="2"/>
  <c r="L613" i="2"/>
  <c r="K613" i="2"/>
  <c r="K606" i="2"/>
  <c r="L606" i="2"/>
  <c r="J605" i="2"/>
  <c r="L605" i="2"/>
  <c r="J597" i="2"/>
  <c r="K597" i="2"/>
  <c r="L597" i="2"/>
  <c r="K609" i="2"/>
  <c r="K607" i="2"/>
  <c r="K603" i="2"/>
  <c r="K599" i="2"/>
  <c r="K595" i="2"/>
  <c r="L594" i="2"/>
  <c r="L587" i="2"/>
  <c r="J585" i="2"/>
  <c r="K585" i="2"/>
  <c r="L598" i="2"/>
  <c r="K594" i="2"/>
  <c r="J587" i="2"/>
  <c r="J579" i="2"/>
  <c r="K579" i="2"/>
  <c r="L576" i="2"/>
  <c r="J576" i="2"/>
  <c r="K576" i="2"/>
  <c r="L574" i="2"/>
  <c r="K574" i="2"/>
  <c r="K598" i="2"/>
  <c r="J581" i="2"/>
  <c r="K581" i="2"/>
  <c r="J583" i="2"/>
  <c r="K583" i="2"/>
  <c r="J573" i="2"/>
  <c r="K573" i="2"/>
  <c r="L573" i="2"/>
  <c r="J589" i="2"/>
  <c r="K589" i="2"/>
  <c r="J575" i="2"/>
  <c r="K575" i="2"/>
  <c r="J570" i="2"/>
  <c r="J561" i="2"/>
  <c r="K561" i="2"/>
  <c r="L561" i="2"/>
  <c r="J571" i="2"/>
  <c r="K571" i="2"/>
  <c r="L564" i="2"/>
  <c r="K564" i="2"/>
  <c r="L568" i="2"/>
  <c r="K568" i="2"/>
  <c r="L562" i="2"/>
  <c r="J556" i="2"/>
  <c r="L556" i="2"/>
  <c r="J562" i="2"/>
  <c r="K554" i="2"/>
  <c r="L554" i="2"/>
  <c r="J552" i="2"/>
  <c r="K552" i="2"/>
  <c r="L552" i="2"/>
  <c r="J546" i="2"/>
  <c r="L546" i="2"/>
  <c r="J545" i="2"/>
  <c r="L545" i="2"/>
  <c r="J542" i="2"/>
  <c r="K542" i="2"/>
  <c r="L542" i="2"/>
  <c r="J547" i="2"/>
  <c r="K547" i="2"/>
  <c r="L547" i="2"/>
  <c r="J550" i="2"/>
  <c r="L550" i="2"/>
  <c r="J541" i="2"/>
  <c r="K541" i="2"/>
  <c r="L541" i="2"/>
  <c r="J549" i="2"/>
  <c r="L549" i="2"/>
  <c r="L543" i="2"/>
  <c r="L539" i="2"/>
  <c r="K537" i="2"/>
  <c r="L534" i="2"/>
  <c r="L533" i="2"/>
  <c r="J510" i="2"/>
  <c r="L510" i="2"/>
  <c r="K510" i="2"/>
  <c r="K543" i="2"/>
  <c r="K539" i="2"/>
  <c r="J534" i="2"/>
  <c r="J533" i="2"/>
  <c r="L538" i="2"/>
  <c r="K538" i="2"/>
  <c r="K521" i="2"/>
  <c r="K517" i="2"/>
  <c r="J502" i="2"/>
  <c r="K502" i="2"/>
  <c r="L502" i="2"/>
  <c r="J501" i="2"/>
  <c r="K509" i="2"/>
  <c r="K505" i="2"/>
  <c r="J509" i="2"/>
  <c r="J506" i="2"/>
  <c r="K506" i="2"/>
  <c r="L506" i="2"/>
  <c r="J505" i="2"/>
  <c r="J518" i="2"/>
  <c r="L518" i="2"/>
  <c r="J514" i="2"/>
  <c r="L514" i="2"/>
  <c r="L511" i="2"/>
  <c r="J511" i="2"/>
  <c r="K511" i="2"/>
  <c r="L519" i="2"/>
  <c r="J519" i="2"/>
  <c r="L515" i="2"/>
  <c r="J515" i="2"/>
  <c r="K507" i="2"/>
  <c r="K503" i="2"/>
  <c r="J507" i="2"/>
  <c r="J503" i="2"/>
  <c r="AM330" i="2" l="1"/>
  <c r="AM349" i="2"/>
  <c r="AM351" i="2"/>
  <c r="AM360" i="2"/>
  <c r="AM363" i="2"/>
  <c r="AM366" i="2"/>
  <c r="AM429" i="2"/>
  <c r="AM434" i="2"/>
  <c r="AM436" i="2"/>
  <c r="AM442" i="2"/>
  <c r="AM446" i="2"/>
  <c r="AM483" i="2"/>
  <c r="B317" i="2"/>
  <c r="V317" i="2" s="1"/>
  <c r="D317" i="2"/>
  <c r="E317" i="2" s="1"/>
  <c r="F317" i="2"/>
  <c r="G317" i="2" s="1"/>
  <c r="I317" i="2"/>
  <c r="J317" i="2" s="1"/>
  <c r="B318" i="2"/>
  <c r="V318" i="2" s="1"/>
  <c r="D318" i="2"/>
  <c r="E318" i="2" s="1"/>
  <c r="F318" i="2"/>
  <c r="G318" i="2" s="1"/>
  <c r="I318" i="2"/>
  <c r="K318" i="2" s="1"/>
  <c r="B319" i="2"/>
  <c r="V319" i="2" s="1"/>
  <c r="D319" i="2"/>
  <c r="E319" i="2" s="1"/>
  <c r="F319" i="2"/>
  <c r="G319" i="2" s="1"/>
  <c r="I319" i="2"/>
  <c r="L319" i="2" s="1"/>
  <c r="B320" i="2"/>
  <c r="V320" i="2" s="1"/>
  <c r="D320" i="2"/>
  <c r="E320" i="2" s="1"/>
  <c r="F320" i="2"/>
  <c r="G320" i="2" s="1"/>
  <c r="I320" i="2"/>
  <c r="B321" i="2"/>
  <c r="V321" i="2" s="1"/>
  <c r="D321" i="2"/>
  <c r="E321" i="2" s="1"/>
  <c r="F321" i="2"/>
  <c r="G321" i="2" s="1"/>
  <c r="I321" i="2"/>
  <c r="K321" i="2" s="1"/>
  <c r="B322" i="2"/>
  <c r="V322" i="2" s="1"/>
  <c r="D322" i="2"/>
  <c r="E322" i="2" s="1"/>
  <c r="F322" i="2"/>
  <c r="G322" i="2" s="1"/>
  <c r="I322" i="2"/>
  <c r="L322" i="2" s="1"/>
  <c r="B323" i="2"/>
  <c r="V323" i="2" s="1"/>
  <c r="D323" i="2"/>
  <c r="E323" i="2" s="1"/>
  <c r="F323" i="2"/>
  <c r="G323" i="2" s="1"/>
  <c r="I323" i="2"/>
  <c r="L323" i="2" s="1"/>
  <c r="B324" i="2"/>
  <c r="V324" i="2" s="1"/>
  <c r="D324" i="2"/>
  <c r="E324" i="2" s="1"/>
  <c r="F324" i="2"/>
  <c r="G324" i="2" s="1"/>
  <c r="I324" i="2"/>
  <c r="B325" i="2"/>
  <c r="V325" i="2" s="1"/>
  <c r="D325" i="2"/>
  <c r="E325" i="2" s="1"/>
  <c r="F325" i="2"/>
  <c r="G325" i="2" s="1"/>
  <c r="I325" i="2"/>
  <c r="J325" i="2" s="1"/>
  <c r="B326" i="2"/>
  <c r="V326" i="2" s="1"/>
  <c r="D326" i="2"/>
  <c r="E326" i="2" s="1"/>
  <c r="F326" i="2"/>
  <c r="G326" i="2" s="1"/>
  <c r="I326" i="2"/>
  <c r="L326" i="2" s="1"/>
  <c r="B327" i="2"/>
  <c r="V327" i="2" s="1"/>
  <c r="D327" i="2"/>
  <c r="E327" i="2" s="1"/>
  <c r="F327" i="2"/>
  <c r="G327" i="2" s="1"/>
  <c r="I327" i="2"/>
  <c r="L327" i="2" s="1"/>
  <c r="B328" i="2"/>
  <c r="V328" i="2" s="1"/>
  <c r="D328" i="2"/>
  <c r="E328" i="2" s="1"/>
  <c r="F328" i="2"/>
  <c r="G328" i="2" s="1"/>
  <c r="I328" i="2"/>
  <c r="B329" i="2"/>
  <c r="V329" i="2" s="1"/>
  <c r="D329" i="2"/>
  <c r="E329" i="2" s="1"/>
  <c r="F329" i="2"/>
  <c r="G329" i="2" s="1"/>
  <c r="I329" i="2"/>
  <c r="J329" i="2" s="1"/>
  <c r="B330" i="2"/>
  <c r="V330" i="2" s="1"/>
  <c r="D330" i="2"/>
  <c r="E330" i="2" s="1"/>
  <c r="F330" i="2"/>
  <c r="G330" i="2" s="1"/>
  <c r="I330" i="2"/>
  <c r="J330" i="2" s="1"/>
  <c r="B331" i="2"/>
  <c r="V331" i="2" s="1"/>
  <c r="D331" i="2"/>
  <c r="E331" i="2" s="1"/>
  <c r="F331" i="2"/>
  <c r="G331" i="2" s="1"/>
  <c r="I331" i="2"/>
  <c r="L331" i="2" s="1"/>
  <c r="B332" i="2"/>
  <c r="V332" i="2" s="1"/>
  <c r="D332" i="2"/>
  <c r="E332" i="2" s="1"/>
  <c r="F332" i="2"/>
  <c r="G332" i="2" s="1"/>
  <c r="I332" i="2"/>
  <c r="B333" i="2"/>
  <c r="V333" i="2" s="1"/>
  <c r="D333" i="2"/>
  <c r="E333" i="2" s="1"/>
  <c r="F333" i="2"/>
  <c r="G333" i="2" s="1"/>
  <c r="I333" i="2"/>
  <c r="J333" i="2" s="1"/>
  <c r="B334" i="2"/>
  <c r="V334" i="2" s="1"/>
  <c r="D334" i="2"/>
  <c r="E334" i="2" s="1"/>
  <c r="F334" i="2"/>
  <c r="G334" i="2" s="1"/>
  <c r="I334" i="2"/>
  <c r="J334" i="2" s="1"/>
  <c r="B335" i="2"/>
  <c r="V335" i="2" s="1"/>
  <c r="D335" i="2"/>
  <c r="E335" i="2" s="1"/>
  <c r="F335" i="2"/>
  <c r="G335" i="2" s="1"/>
  <c r="I335" i="2"/>
  <c r="K335" i="2" s="1"/>
  <c r="B336" i="2"/>
  <c r="V336" i="2" s="1"/>
  <c r="D336" i="2"/>
  <c r="E336" i="2" s="1"/>
  <c r="F336" i="2"/>
  <c r="G336" i="2" s="1"/>
  <c r="I336" i="2"/>
  <c r="B337" i="2"/>
  <c r="V337" i="2" s="1"/>
  <c r="D337" i="2"/>
  <c r="E337" i="2" s="1"/>
  <c r="F337" i="2"/>
  <c r="G337" i="2" s="1"/>
  <c r="I337" i="2"/>
  <c r="J337" i="2" s="1"/>
  <c r="B338" i="2"/>
  <c r="V338" i="2" s="1"/>
  <c r="D338" i="2"/>
  <c r="E338" i="2" s="1"/>
  <c r="F338" i="2"/>
  <c r="G338" i="2" s="1"/>
  <c r="I338" i="2"/>
  <c r="L338" i="2" s="1"/>
  <c r="B339" i="2"/>
  <c r="V339" i="2" s="1"/>
  <c r="D339" i="2"/>
  <c r="E339" i="2" s="1"/>
  <c r="F339" i="2"/>
  <c r="G339" i="2" s="1"/>
  <c r="I339" i="2"/>
  <c r="K339" i="2" s="1"/>
  <c r="B340" i="2"/>
  <c r="V340" i="2" s="1"/>
  <c r="D340" i="2"/>
  <c r="E340" i="2" s="1"/>
  <c r="F340" i="2"/>
  <c r="G340" i="2" s="1"/>
  <c r="I340" i="2"/>
  <c r="L340" i="2" s="1"/>
  <c r="B341" i="2"/>
  <c r="V341" i="2" s="1"/>
  <c r="D341" i="2"/>
  <c r="E341" i="2" s="1"/>
  <c r="F341" i="2"/>
  <c r="G341" i="2" s="1"/>
  <c r="I341" i="2"/>
  <c r="J341" i="2" s="1"/>
  <c r="B342" i="2"/>
  <c r="V342" i="2" s="1"/>
  <c r="D342" i="2"/>
  <c r="E342" i="2" s="1"/>
  <c r="F342" i="2"/>
  <c r="G342" i="2" s="1"/>
  <c r="I342" i="2"/>
  <c r="J342" i="2" s="1"/>
  <c r="B343" i="2"/>
  <c r="V343" i="2" s="1"/>
  <c r="D343" i="2"/>
  <c r="E343" i="2" s="1"/>
  <c r="F343" i="2"/>
  <c r="G343" i="2" s="1"/>
  <c r="I343" i="2"/>
  <c r="K343" i="2" s="1"/>
  <c r="B344" i="2"/>
  <c r="V344" i="2" s="1"/>
  <c r="D344" i="2"/>
  <c r="E344" i="2" s="1"/>
  <c r="F344" i="2"/>
  <c r="G344" i="2" s="1"/>
  <c r="I344" i="2"/>
  <c r="K344" i="2" s="1"/>
  <c r="B345" i="2"/>
  <c r="V345" i="2" s="1"/>
  <c r="D345" i="2"/>
  <c r="E345" i="2" s="1"/>
  <c r="F345" i="2"/>
  <c r="G345" i="2" s="1"/>
  <c r="I345" i="2"/>
  <c r="J345" i="2" s="1"/>
  <c r="B346" i="2"/>
  <c r="V346" i="2" s="1"/>
  <c r="D346" i="2"/>
  <c r="E346" i="2" s="1"/>
  <c r="F346" i="2"/>
  <c r="G346" i="2" s="1"/>
  <c r="I346" i="2"/>
  <c r="K346" i="2" s="1"/>
  <c r="B347" i="2"/>
  <c r="V347" i="2" s="1"/>
  <c r="D347" i="2"/>
  <c r="E347" i="2" s="1"/>
  <c r="F347" i="2"/>
  <c r="G347" i="2" s="1"/>
  <c r="I347" i="2"/>
  <c r="K347" i="2" s="1"/>
  <c r="B348" i="2"/>
  <c r="V348" i="2" s="1"/>
  <c r="D348" i="2"/>
  <c r="E348" i="2" s="1"/>
  <c r="F348" i="2"/>
  <c r="G348" i="2" s="1"/>
  <c r="I348" i="2"/>
  <c r="K348" i="2" s="1"/>
  <c r="B349" i="2"/>
  <c r="V349" i="2" s="1"/>
  <c r="D349" i="2"/>
  <c r="E349" i="2" s="1"/>
  <c r="F349" i="2"/>
  <c r="G349" i="2" s="1"/>
  <c r="I349" i="2"/>
  <c r="J349" i="2" s="1"/>
  <c r="B350" i="2"/>
  <c r="V350" i="2" s="1"/>
  <c r="D350" i="2"/>
  <c r="E350" i="2" s="1"/>
  <c r="F350" i="2"/>
  <c r="G350" i="2" s="1"/>
  <c r="I350" i="2"/>
  <c r="J350" i="2" s="1"/>
  <c r="B351" i="2"/>
  <c r="V351" i="2" s="1"/>
  <c r="D351" i="2"/>
  <c r="E351" i="2" s="1"/>
  <c r="F351" i="2"/>
  <c r="G351" i="2" s="1"/>
  <c r="I351" i="2"/>
  <c r="B352" i="2"/>
  <c r="V352" i="2" s="1"/>
  <c r="D352" i="2"/>
  <c r="E352" i="2" s="1"/>
  <c r="F352" i="2"/>
  <c r="G352" i="2" s="1"/>
  <c r="I352" i="2"/>
  <c r="K352" i="2" s="1"/>
  <c r="B353" i="2"/>
  <c r="V353" i="2" s="1"/>
  <c r="D353" i="2"/>
  <c r="E353" i="2" s="1"/>
  <c r="F353" i="2"/>
  <c r="G353" i="2" s="1"/>
  <c r="I353" i="2"/>
  <c r="J353" i="2" s="1"/>
  <c r="B354" i="2"/>
  <c r="V354" i="2" s="1"/>
  <c r="D354" i="2"/>
  <c r="E354" i="2" s="1"/>
  <c r="F354" i="2"/>
  <c r="G354" i="2" s="1"/>
  <c r="I354" i="2"/>
  <c r="J354" i="2" s="1"/>
  <c r="B355" i="2"/>
  <c r="V355" i="2" s="1"/>
  <c r="D355" i="2"/>
  <c r="E355" i="2" s="1"/>
  <c r="F355" i="2"/>
  <c r="G355" i="2" s="1"/>
  <c r="I355" i="2"/>
  <c r="K355" i="2" s="1"/>
  <c r="B356" i="2"/>
  <c r="V356" i="2" s="1"/>
  <c r="D356" i="2"/>
  <c r="E356" i="2" s="1"/>
  <c r="F356" i="2"/>
  <c r="G356" i="2" s="1"/>
  <c r="I356" i="2"/>
  <c r="B357" i="2"/>
  <c r="V357" i="2" s="1"/>
  <c r="D357" i="2"/>
  <c r="E357" i="2" s="1"/>
  <c r="F357" i="2"/>
  <c r="G357" i="2" s="1"/>
  <c r="I357" i="2"/>
  <c r="K357" i="2" s="1"/>
  <c r="B358" i="2"/>
  <c r="V358" i="2" s="1"/>
  <c r="D358" i="2"/>
  <c r="E358" i="2" s="1"/>
  <c r="F358" i="2"/>
  <c r="G358" i="2" s="1"/>
  <c r="I358" i="2"/>
  <c r="K358" i="2" s="1"/>
  <c r="B359" i="2"/>
  <c r="V359" i="2" s="1"/>
  <c r="D359" i="2"/>
  <c r="E359" i="2" s="1"/>
  <c r="F359" i="2"/>
  <c r="G359" i="2" s="1"/>
  <c r="I359" i="2"/>
  <c r="L359" i="2" s="1"/>
  <c r="B360" i="2"/>
  <c r="V360" i="2" s="1"/>
  <c r="D360" i="2"/>
  <c r="E360" i="2" s="1"/>
  <c r="F360" i="2"/>
  <c r="G360" i="2" s="1"/>
  <c r="I360" i="2"/>
  <c r="K360" i="2" s="1"/>
  <c r="B361" i="2"/>
  <c r="V361" i="2" s="1"/>
  <c r="D361" i="2"/>
  <c r="E361" i="2" s="1"/>
  <c r="F361" i="2"/>
  <c r="G361" i="2" s="1"/>
  <c r="I361" i="2"/>
  <c r="K361" i="2" s="1"/>
  <c r="B362" i="2"/>
  <c r="V362" i="2" s="1"/>
  <c r="D362" i="2"/>
  <c r="E362" i="2" s="1"/>
  <c r="F362" i="2"/>
  <c r="G362" i="2" s="1"/>
  <c r="I362" i="2"/>
  <c r="L362" i="2" s="1"/>
  <c r="B363" i="2"/>
  <c r="V363" i="2" s="1"/>
  <c r="D363" i="2"/>
  <c r="E363" i="2" s="1"/>
  <c r="F363" i="2"/>
  <c r="G363" i="2" s="1"/>
  <c r="I363" i="2"/>
  <c r="B364" i="2"/>
  <c r="V364" i="2" s="1"/>
  <c r="D364" i="2"/>
  <c r="E364" i="2" s="1"/>
  <c r="F364" i="2"/>
  <c r="G364" i="2" s="1"/>
  <c r="I364" i="2"/>
  <c r="K364" i="2" s="1"/>
  <c r="B365" i="2"/>
  <c r="V365" i="2" s="1"/>
  <c r="D365" i="2"/>
  <c r="E365" i="2" s="1"/>
  <c r="F365" i="2"/>
  <c r="G365" i="2" s="1"/>
  <c r="I365" i="2"/>
  <c r="K365" i="2" s="1"/>
  <c r="B366" i="2"/>
  <c r="V366" i="2" s="1"/>
  <c r="D366" i="2"/>
  <c r="E366" i="2" s="1"/>
  <c r="F366" i="2"/>
  <c r="G366" i="2" s="1"/>
  <c r="I366" i="2"/>
  <c r="J366" i="2" s="1"/>
  <c r="B367" i="2"/>
  <c r="V367" i="2" s="1"/>
  <c r="D367" i="2"/>
  <c r="E367" i="2" s="1"/>
  <c r="F367" i="2"/>
  <c r="G367" i="2" s="1"/>
  <c r="I367" i="2"/>
  <c r="L367" i="2" s="1"/>
  <c r="B368" i="2"/>
  <c r="V368" i="2" s="1"/>
  <c r="D368" i="2"/>
  <c r="E368" i="2" s="1"/>
  <c r="F368" i="2"/>
  <c r="G368" i="2" s="1"/>
  <c r="I368" i="2"/>
  <c r="B369" i="2"/>
  <c r="V369" i="2" s="1"/>
  <c r="D369" i="2"/>
  <c r="E369" i="2" s="1"/>
  <c r="F369" i="2"/>
  <c r="G369" i="2" s="1"/>
  <c r="I369" i="2"/>
  <c r="J369" i="2" s="1"/>
  <c r="B370" i="2"/>
  <c r="V370" i="2" s="1"/>
  <c r="D370" i="2"/>
  <c r="E370" i="2" s="1"/>
  <c r="F370" i="2"/>
  <c r="G370" i="2" s="1"/>
  <c r="I370" i="2"/>
  <c r="J370" i="2" s="1"/>
  <c r="B371" i="2"/>
  <c r="V371" i="2" s="1"/>
  <c r="D371" i="2"/>
  <c r="E371" i="2" s="1"/>
  <c r="F371" i="2"/>
  <c r="G371" i="2" s="1"/>
  <c r="I371" i="2"/>
  <c r="J371" i="2" s="1"/>
  <c r="B372" i="2"/>
  <c r="V372" i="2" s="1"/>
  <c r="D372" i="2"/>
  <c r="E372" i="2" s="1"/>
  <c r="F372" i="2"/>
  <c r="G372" i="2" s="1"/>
  <c r="I372" i="2"/>
  <c r="L372" i="2" s="1"/>
  <c r="B373" i="2"/>
  <c r="V373" i="2" s="1"/>
  <c r="D373" i="2"/>
  <c r="E373" i="2" s="1"/>
  <c r="F373" i="2"/>
  <c r="G373" i="2" s="1"/>
  <c r="I373" i="2"/>
  <c r="B374" i="2"/>
  <c r="V374" i="2" s="1"/>
  <c r="D374" i="2"/>
  <c r="E374" i="2" s="1"/>
  <c r="F374" i="2"/>
  <c r="G374" i="2" s="1"/>
  <c r="I374" i="2"/>
  <c r="J374" i="2" s="1"/>
  <c r="B375" i="2"/>
  <c r="V375" i="2" s="1"/>
  <c r="D375" i="2"/>
  <c r="E375" i="2" s="1"/>
  <c r="F375" i="2"/>
  <c r="G375" i="2" s="1"/>
  <c r="I375" i="2"/>
  <c r="J375" i="2" s="1"/>
  <c r="B376" i="2"/>
  <c r="V376" i="2" s="1"/>
  <c r="D376" i="2"/>
  <c r="E376" i="2" s="1"/>
  <c r="F376" i="2"/>
  <c r="G376" i="2" s="1"/>
  <c r="I376" i="2"/>
  <c r="L376" i="2" s="1"/>
  <c r="B377" i="2"/>
  <c r="V377" i="2" s="1"/>
  <c r="D377" i="2"/>
  <c r="E377" i="2" s="1"/>
  <c r="F377" i="2"/>
  <c r="G377" i="2" s="1"/>
  <c r="I377" i="2"/>
  <c r="B378" i="2"/>
  <c r="V378" i="2" s="1"/>
  <c r="D378" i="2"/>
  <c r="E378" i="2" s="1"/>
  <c r="F378" i="2"/>
  <c r="G378" i="2" s="1"/>
  <c r="I378" i="2"/>
  <c r="J378" i="2" s="1"/>
  <c r="B379" i="2"/>
  <c r="V379" i="2" s="1"/>
  <c r="D379" i="2"/>
  <c r="E379" i="2" s="1"/>
  <c r="F379" i="2"/>
  <c r="G379" i="2" s="1"/>
  <c r="I379" i="2"/>
  <c r="J379" i="2" s="1"/>
  <c r="B380" i="2"/>
  <c r="V380" i="2" s="1"/>
  <c r="D380" i="2"/>
  <c r="E380" i="2" s="1"/>
  <c r="F380" i="2"/>
  <c r="G380" i="2" s="1"/>
  <c r="I380" i="2"/>
  <c r="L380" i="2" s="1"/>
  <c r="B381" i="2"/>
  <c r="V381" i="2" s="1"/>
  <c r="D381" i="2"/>
  <c r="E381" i="2" s="1"/>
  <c r="F381" i="2"/>
  <c r="G381" i="2" s="1"/>
  <c r="I381" i="2"/>
  <c r="B382" i="2"/>
  <c r="V382" i="2" s="1"/>
  <c r="D382" i="2"/>
  <c r="E382" i="2" s="1"/>
  <c r="F382" i="2"/>
  <c r="G382" i="2" s="1"/>
  <c r="I382" i="2"/>
  <c r="J382" i="2" s="1"/>
  <c r="B383" i="2"/>
  <c r="V383" i="2" s="1"/>
  <c r="D383" i="2"/>
  <c r="E383" i="2" s="1"/>
  <c r="F383" i="2"/>
  <c r="G383" i="2" s="1"/>
  <c r="I383" i="2"/>
  <c r="J383" i="2" s="1"/>
  <c r="B384" i="2"/>
  <c r="V384" i="2" s="1"/>
  <c r="D384" i="2"/>
  <c r="E384" i="2" s="1"/>
  <c r="F384" i="2"/>
  <c r="G384" i="2" s="1"/>
  <c r="I384" i="2"/>
  <c r="L384" i="2" s="1"/>
  <c r="B385" i="2"/>
  <c r="V385" i="2" s="1"/>
  <c r="D385" i="2"/>
  <c r="E385" i="2" s="1"/>
  <c r="F385" i="2"/>
  <c r="G385" i="2" s="1"/>
  <c r="I385" i="2"/>
  <c r="B386" i="2"/>
  <c r="V386" i="2" s="1"/>
  <c r="D386" i="2"/>
  <c r="E386" i="2" s="1"/>
  <c r="F386" i="2"/>
  <c r="G386" i="2" s="1"/>
  <c r="I386" i="2"/>
  <c r="K386" i="2" s="1"/>
  <c r="B387" i="2"/>
  <c r="V387" i="2" s="1"/>
  <c r="D387" i="2"/>
  <c r="E387" i="2" s="1"/>
  <c r="F387" i="2"/>
  <c r="G387" i="2" s="1"/>
  <c r="I387" i="2"/>
  <c r="J387" i="2" s="1"/>
  <c r="B388" i="2"/>
  <c r="V388" i="2" s="1"/>
  <c r="D388" i="2"/>
  <c r="E388" i="2" s="1"/>
  <c r="F388" i="2"/>
  <c r="G388" i="2" s="1"/>
  <c r="I388" i="2"/>
  <c r="J388" i="2" s="1"/>
  <c r="B389" i="2"/>
  <c r="V389" i="2" s="1"/>
  <c r="D389" i="2"/>
  <c r="E389" i="2" s="1"/>
  <c r="F389" i="2"/>
  <c r="G389" i="2" s="1"/>
  <c r="I389" i="2"/>
  <c r="J389" i="2" s="1"/>
  <c r="B390" i="2"/>
  <c r="V390" i="2" s="1"/>
  <c r="D390" i="2"/>
  <c r="E390" i="2" s="1"/>
  <c r="F390" i="2"/>
  <c r="G390" i="2" s="1"/>
  <c r="I390" i="2"/>
  <c r="L390" i="2" s="1"/>
  <c r="B391" i="2"/>
  <c r="V391" i="2" s="1"/>
  <c r="D391" i="2"/>
  <c r="E391" i="2" s="1"/>
  <c r="F391" i="2"/>
  <c r="G391" i="2" s="1"/>
  <c r="I391" i="2"/>
  <c r="B392" i="2"/>
  <c r="V392" i="2" s="1"/>
  <c r="D392" i="2"/>
  <c r="E392" i="2" s="1"/>
  <c r="F392" i="2"/>
  <c r="G392" i="2" s="1"/>
  <c r="I392" i="2"/>
  <c r="J392" i="2" s="1"/>
  <c r="B393" i="2"/>
  <c r="V393" i="2" s="1"/>
  <c r="D393" i="2"/>
  <c r="E393" i="2" s="1"/>
  <c r="F393" i="2"/>
  <c r="G393" i="2" s="1"/>
  <c r="I393" i="2"/>
  <c r="J393" i="2" s="1"/>
  <c r="B394" i="2"/>
  <c r="V394" i="2" s="1"/>
  <c r="D394" i="2"/>
  <c r="E394" i="2" s="1"/>
  <c r="F394" i="2"/>
  <c r="G394" i="2" s="1"/>
  <c r="I394" i="2"/>
  <c r="L394" i="2" s="1"/>
  <c r="B395" i="2"/>
  <c r="V395" i="2" s="1"/>
  <c r="D395" i="2"/>
  <c r="E395" i="2" s="1"/>
  <c r="F395" i="2"/>
  <c r="G395" i="2" s="1"/>
  <c r="I395" i="2"/>
  <c r="B396" i="2"/>
  <c r="V396" i="2" s="1"/>
  <c r="D396" i="2"/>
  <c r="E396" i="2" s="1"/>
  <c r="F396" i="2"/>
  <c r="G396" i="2" s="1"/>
  <c r="I396" i="2"/>
  <c r="J396" i="2" s="1"/>
  <c r="B397" i="2"/>
  <c r="V397" i="2" s="1"/>
  <c r="D397" i="2"/>
  <c r="E397" i="2" s="1"/>
  <c r="F397" i="2"/>
  <c r="G397" i="2" s="1"/>
  <c r="I397" i="2"/>
  <c r="J397" i="2" s="1"/>
  <c r="B398" i="2"/>
  <c r="V398" i="2" s="1"/>
  <c r="D398" i="2"/>
  <c r="E398" i="2" s="1"/>
  <c r="F398" i="2"/>
  <c r="G398" i="2" s="1"/>
  <c r="I398" i="2"/>
  <c r="L398" i="2" s="1"/>
  <c r="B399" i="2"/>
  <c r="V399" i="2" s="1"/>
  <c r="D399" i="2"/>
  <c r="E399" i="2" s="1"/>
  <c r="F399" i="2"/>
  <c r="G399" i="2" s="1"/>
  <c r="I399" i="2"/>
  <c r="B400" i="2"/>
  <c r="V400" i="2" s="1"/>
  <c r="D400" i="2"/>
  <c r="E400" i="2" s="1"/>
  <c r="F400" i="2"/>
  <c r="G400" i="2" s="1"/>
  <c r="I400" i="2"/>
  <c r="J400" i="2" s="1"/>
  <c r="B401" i="2"/>
  <c r="V401" i="2" s="1"/>
  <c r="D401" i="2"/>
  <c r="E401" i="2" s="1"/>
  <c r="F401" i="2"/>
  <c r="G401" i="2" s="1"/>
  <c r="I401" i="2"/>
  <c r="L401" i="2" s="1"/>
  <c r="B402" i="2"/>
  <c r="V402" i="2" s="1"/>
  <c r="D402" i="2"/>
  <c r="E402" i="2" s="1"/>
  <c r="F402" i="2"/>
  <c r="G402" i="2" s="1"/>
  <c r="I402" i="2"/>
  <c r="L402" i="2" s="1"/>
  <c r="B403" i="2"/>
  <c r="V403" i="2" s="1"/>
  <c r="D403" i="2"/>
  <c r="E403" i="2" s="1"/>
  <c r="F403" i="2"/>
  <c r="G403" i="2" s="1"/>
  <c r="I403" i="2"/>
  <c r="B404" i="2"/>
  <c r="V404" i="2" s="1"/>
  <c r="D404" i="2"/>
  <c r="E404" i="2" s="1"/>
  <c r="F404" i="2"/>
  <c r="G404" i="2" s="1"/>
  <c r="I404" i="2"/>
  <c r="J404" i="2" s="1"/>
  <c r="B405" i="2"/>
  <c r="V405" i="2" s="1"/>
  <c r="D405" i="2"/>
  <c r="E405" i="2" s="1"/>
  <c r="F405" i="2"/>
  <c r="G405" i="2" s="1"/>
  <c r="I405" i="2"/>
  <c r="K405" i="2" s="1"/>
  <c r="B406" i="2"/>
  <c r="V406" i="2" s="1"/>
  <c r="D406" i="2"/>
  <c r="E406" i="2" s="1"/>
  <c r="F406" i="2"/>
  <c r="G406" i="2" s="1"/>
  <c r="I406" i="2"/>
  <c r="J406" i="2" s="1"/>
  <c r="B407" i="2"/>
  <c r="V407" i="2" s="1"/>
  <c r="D407" i="2"/>
  <c r="E407" i="2" s="1"/>
  <c r="F407" i="2"/>
  <c r="G407" i="2" s="1"/>
  <c r="I407" i="2"/>
  <c r="B408" i="2"/>
  <c r="V408" i="2" s="1"/>
  <c r="D408" i="2"/>
  <c r="E408" i="2" s="1"/>
  <c r="F408" i="2"/>
  <c r="G408" i="2" s="1"/>
  <c r="I408" i="2"/>
  <c r="K408" i="2" s="1"/>
  <c r="B409" i="2"/>
  <c r="V409" i="2" s="1"/>
  <c r="D409" i="2"/>
  <c r="E409" i="2" s="1"/>
  <c r="F409" i="2"/>
  <c r="G409" i="2" s="1"/>
  <c r="I409" i="2"/>
  <c r="J409" i="2" s="1"/>
  <c r="B410" i="2"/>
  <c r="V410" i="2" s="1"/>
  <c r="D410" i="2"/>
  <c r="E410" i="2" s="1"/>
  <c r="F410" i="2"/>
  <c r="G410" i="2" s="1"/>
  <c r="I410" i="2"/>
  <c r="J410" i="2" s="1"/>
  <c r="B411" i="2"/>
  <c r="V411" i="2" s="1"/>
  <c r="D411" i="2"/>
  <c r="E411" i="2" s="1"/>
  <c r="F411" i="2"/>
  <c r="G411" i="2" s="1"/>
  <c r="I411" i="2"/>
  <c r="B412" i="2"/>
  <c r="V412" i="2" s="1"/>
  <c r="D412" i="2"/>
  <c r="E412" i="2" s="1"/>
  <c r="F412" i="2"/>
  <c r="G412" i="2" s="1"/>
  <c r="I412" i="2"/>
  <c r="J412" i="2" s="1"/>
  <c r="B413" i="2"/>
  <c r="V413" i="2" s="1"/>
  <c r="D413" i="2"/>
  <c r="E413" i="2" s="1"/>
  <c r="F413" i="2"/>
  <c r="G413" i="2" s="1"/>
  <c r="I413" i="2"/>
  <c r="J413" i="2" s="1"/>
  <c r="B414" i="2"/>
  <c r="V414" i="2" s="1"/>
  <c r="D414" i="2"/>
  <c r="E414" i="2" s="1"/>
  <c r="F414" i="2"/>
  <c r="G414" i="2" s="1"/>
  <c r="I414" i="2"/>
  <c r="K414" i="2" s="1"/>
  <c r="B415" i="2"/>
  <c r="V415" i="2" s="1"/>
  <c r="D415" i="2"/>
  <c r="E415" i="2" s="1"/>
  <c r="F415" i="2"/>
  <c r="G415" i="2" s="1"/>
  <c r="I415" i="2"/>
  <c r="B416" i="2"/>
  <c r="V416" i="2" s="1"/>
  <c r="D416" i="2"/>
  <c r="E416" i="2" s="1"/>
  <c r="F416" i="2"/>
  <c r="G416" i="2" s="1"/>
  <c r="I416" i="2"/>
  <c r="J416" i="2" s="1"/>
  <c r="B417" i="2"/>
  <c r="V417" i="2" s="1"/>
  <c r="D417" i="2"/>
  <c r="E417" i="2" s="1"/>
  <c r="F417" i="2"/>
  <c r="G417" i="2" s="1"/>
  <c r="I417" i="2"/>
  <c r="K417" i="2" s="1"/>
  <c r="B418" i="2"/>
  <c r="V418" i="2" s="1"/>
  <c r="D418" i="2"/>
  <c r="E418" i="2" s="1"/>
  <c r="F418" i="2"/>
  <c r="G418" i="2" s="1"/>
  <c r="I418" i="2"/>
  <c r="K418" i="2" s="1"/>
  <c r="B419" i="2"/>
  <c r="V419" i="2" s="1"/>
  <c r="D419" i="2"/>
  <c r="E419" i="2" s="1"/>
  <c r="F419" i="2"/>
  <c r="G419" i="2" s="1"/>
  <c r="I419" i="2"/>
  <c r="K419" i="2" s="1"/>
  <c r="B420" i="2"/>
  <c r="V420" i="2" s="1"/>
  <c r="D420" i="2"/>
  <c r="E420" i="2" s="1"/>
  <c r="F420" i="2"/>
  <c r="G420" i="2" s="1"/>
  <c r="I420" i="2"/>
  <c r="K420" i="2" s="1"/>
  <c r="B421" i="2"/>
  <c r="V421" i="2" s="1"/>
  <c r="D421" i="2"/>
  <c r="E421" i="2" s="1"/>
  <c r="F421" i="2"/>
  <c r="G421" i="2" s="1"/>
  <c r="I421" i="2"/>
  <c r="J421" i="2" s="1"/>
  <c r="B422" i="2"/>
  <c r="V422" i="2" s="1"/>
  <c r="D422" i="2"/>
  <c r="E422" i="2" s="1"/>
  <c r="F422" i="2"/>
  <c r="G422" i="2" s="1"/>
  <c r="I422" i="2"/>
  <c r="L422" i="2" s="1"/>
  <c r="B423" i="2"/>
  <c r="V423" i="2" s="1"/>
  <c r="D423" i="2"/>
  <c r="E423" i="2" s="1"/>
  <c r="F423" i="2"/>
  <c r="G423" i="2" s="1"/>
  <c r="I423" i="2"/>
  <c r="B424" i="2"/>
  <c r="V424" i="2" s="1"/>
  <c r="D424" i="2"/>
  <c r="E424" i="2" s="1"/>
  <c r="F424" i="2"/>
  <c r="G424" i="2" s="1"/>
  <c r="I424" i="2"/>
  <c r="K424" i="2" s="1"/>
  <c r="B425" i="2"/>
  <c r="V425" i="2" s="1"/>
  <c r="D425" i="2"/>
  <c r="E425" i="2" s="1"/>
  <c r="F425" i="2"/>
  <c r="G425" i="2" s="1"/>
  <c r="I425" i="2"/>
  <c r="J425" i="2" s="1"/>
  <c r="B426" i="2"/>
  <c r="V426" i="2" s="1"/>
  <c r="D426" i="2"/>
  <c r="E426" i="2" s="1"/>
  <c r="F426" i="2"/>
  <c r="G426" i="2" s="1"/>
  <c r="I426" i="2"/>
  <c r="L426" i="2" s="1"/>
  <c r="B427" i="2"/>
  <c r="V427" i="2" s="1"/>
  <c r="D427" i="2"/>
  <c r="E427" i="2" s="1"/>
  <c r="F427" i="2"/>
  <c r="G427" i="2" s="1"/>
  <c r="I427" i="2"/>
  <c r="B428" i="2"/>
  <c r="V428" i="2" s="1"/>
  <c r="D428" i="2"/>
  <c r="E428" i="2" s="1"/>
  <c r="F428" i="2"/>
  <c r="G428" i="2" s="1"/>
  <c r="I428" i="2"/>
  <c r="K428" i="2" s="1"/>
  <c r="B429" i="2"/>
  <c r="V429" i="2" s="1"/>
  <c r="D429" i="2"/>
  <c r="E429" i="2" s="1"/>
  <c r="F429" i="2"/>
  <c r="G429" i="2" s="1"/>
  <c r="I429" i="2"/>
  <c r="J429" i="2" s="1"/>
  <c r="B430" i="2"/>
  <c r="V430" i="2" s="1"/>
  <c r="D430" i="2"/>
  <c r="E430" i="2" s="1"/>
  <c r="F430" i="2"/>
  <c r="G430" i="2" s="1"/>
  <c r="I430" i="2"/>
  <c r="L430" i="2" s="1"/>
  <c r="B431" i="2"/>
  <c r="V431" i="2" s="1"/>
  <c r="D431" i="2"/>
  <c r="E431" i="2" s="1"/>
  <c r="F431" i="2"/>
  <c r="G431" i="2" s="1"/>
  <c r="I431" i="2"/>
  <c r="B432" i="2"/>
  <c r="V432" i="2" s="1"/>
  <c r="D432" i="2"/>
  <c r="E432" i="2" s="1"/>
  <c r="F432" i="2"/>
  <c r="G432" i="2" s="1"/>
  <c r="I432" i="2"/>
  <c r="K432" i="2" s="1"/>
  <c r="B433" i="2"/>
  <c r="V433" i="2" s="1"/>
  <c r="D433" i="2"/>
  <c r="E433" i="2" s="1"/>
  <c r="F433" i="2"/>
  <c r="G433" i="2" s="1"/>
  <c r="I433" i="2"/>
  <c r="J433" i="2" s="1"/>
  <c r="B434" i="2"/>
  <c r="V434" i="2" s="1"/>
  <c r="D434" i="2"/>
  <c r="E434" i="2" s="1"/>
  <c r="F434" i="2"/>
  <c r="G434" i="2" s="1"/>
  <c r="I434" i="2"/>
  <c r="L434" i="2" s="1"/>
  <c r="B435" i="2"/>
  <c r="V435" i="2" s="1"/>
  <c r="D435" i="2"/>
  <c r="E435" i="2" s="1"/>
  <c r="F435" i="2"/>
  <c r="G435" i="2" s="1"/>
  <c r="I435" i="2"/>
  <c r="B436" i="2"/>
  <c r="V436" i="2" s="1"/>
  <c r="D436" i="2"/>
  <c r="E436" i="2" s="1"/>
  <c r="F436" i="2"/>
  <c r="G436" i="2" s="1"/>
  <c r="I436" i="2"/>
  <c r="K436" i="2" s="1"/>
  <c r="B437" i="2"/>
  <c r="V437" i="2" s="1"/>
  <c r="D437" i="2"/>
  <c r="E437" i="2" s="1"/>
  <c r="F437" i="2"/>
  <c r="G437" i="2" s="1"/>
  <c r="I437" i="2"/>
  <c r="J437" i="2" s="1"/>
  <c r="B438" i="2"/>
  <c r="V438" i="2" s="1"/>
  <c r="D438" i="2"/>
  <c r="E438" i="2" s="1"/>
  <c r="F438" i="2"/>
  <c r="G438" i="2" s="1"/>
  <c r="I438" i="2"/>
  <c r="L438" i="2" s="1"/>
  <c r="B439" i="2"/>
  <c r="V439" i="2" s="1"/>
  <c r="D439" i="2"/>
  <c r="E439" i="2" s="1"/>
  <c r="F439" i="2"/>
  <c r="G439" i="2" s="1"/>
  <c r="I439" i="2"/>
  <c r="L439" i="2" s="1"/>
  <c r="B440" i="2"/>
  <c r="V440" i="2" s="1"/>
  <c r="D440" i="2"/>
  <c r="E440" i="2" s="1"/>
  <c r="F440" i="2"/>
  <c r="G440" i="2" s="1"/>
  <c r="I440" i="2"/>
  <c r="K440" i="2" s="1"/>
  <c r="B441" i="2"/>
  <c r="V441" i="2" s="1"/>
  <c r="D441" i="2"/>
  <c r="E441" i="2" s="1"/>
  <c r="F441" i="2"/>
  <c r="G441" i="2" s="1"/>
  <c r="I441" i="2"/>
  <c r="J441" i="2" s="1"/>
  <c r="B442" i="2"/>
  <c r="V442" i="2" s="1"/>
  <c r="D442" i="2"/>
  <c r="E442" i="2" s="1"/>
  <c r="F442" i="2"/>
  <c r="G442" i="2" s="1"/>
  <c r="I442" i="2"/>
  <c r="L442" i="2" s="1"/>
  <c r="B443" i="2"/>
  <c r="V443" i="2" s="1"/>
  <c r="D443" i="2"/>
  <c r="E443" i="2" s="1"/>
  <c r="F443" i="2"/>
  <c r="G443" i="2" s="1"/>
  <c r="I443" i="2"/>
  <c r="L443" i="2" s="1"/>
  <c r="B444" i="2"/>
  <c r="V444" i="2" s="1"/>
  <c r="D444" i="2"/>
  <c r="E444" i="2" s="1"/>
  <c r="F444" i="2"/>
  <c r="G444" i="2" s="1"/>
  <c r="I444" i="2"/>
  <c r="K444" i="2" s="1"/>
  <c r="B445" i="2"/>
  <c r="V445" i="2" s="1"/>
  <c r="D445" i="2"/>
  <c r="E445" i="2" s="1"/>
  <c r="F445" i="2"/>
  <c r="G445" i="2" s="1"/>
  <c r="I445" i="2"/>
  <c r="J445" i="2" s="1"/>
  <c r="B446" i="2"/>
  <c r="V446" i="2" s="1"/>
  <c r="D446" i="2"/>
  <c r="E446" i="2" s="1"/>
  <c r="F446" i="2"/>
  <c r="G446" i="2" s="1"/>
  <c r="I446" i="2"/>
  <c r="L446" i="2" s="1"/>
  <c r="B447" i="2"/>
  <c r="V447" i="2" s="1"/>
  <c r="D447" i="2"/>
  <c r="E447" i="2" s="1"/>
  <c r="F447" i="2"/>
  <c r="G447" i="2" s="1"/>
  <c r="I447" i="2"/>
  <c r="L447" i="2" s="1"/>
  <c r="B448" i="2"/>
  <c r="V448" i="2" s="1"/>
  <c r="D448" i="2"/>
  <c r="E448" i="2" s="1"/>
  <c r="F448" i="2"/>
  <c r="G448" i="2" s="1"/>
  <c r="I448" i="2"/>
  <c r="K448" i="2" s="1"/>
  <c r="B449" i="2"/>
  <c r="V449" i="2" s="1"/>
  <c r="D449" i="2"/>
  <c r="E449" i="2" s="1"/>
  <c r="F449" i="2"/>
  <c r="G449" i="2" s="1"/>
  <c r="I449" i="2"/>
  <c r="J449" i="2" s="1"/>
  <c r="B450" i="2"/>
  <c r="V450" i="2" s="1"/>
  <c r="D450" i="2"/>
  <c r="E450" i="2" s="1"/>
  <c r="F450" i="2"/>
  <c r="G450" i="2" s="1"/>
  <c r="I450" i="2"/>
  <c r="B451" i="2"/>
  <c r="V451" i="2" s="1"/>
  <c r="D451" i="2"/>
  <c r="E451" i="2" s="1"/>
  <c r="F451" i="2"/>
  <c r="G451" i="2" s="1"/>
  <c r="I451" i="2"/>
  <c r="L451" i="2" s="1"/>
  <c r="B452" i="2"/>
  <c r="V452" i="2" s="1"/>
  <c r="D452" i="2"/>
  <c r="E452" i="2" s="1"/>
  <c r="F452" i="2"/>
  <c r="G452" i="2" s="1"/>
  <c r="I452" i="2"/>
  <c r="J452" i="2" s="1"/>
  <c r="B453" i="2"/>
  <c r="V453" i="2" s="1"/>
  <c r="D453" i="2"/>
  <c r="E453" i="2" s="1"/>
  <c r="F453" i="2"/>
  <c r="G453" i="2" s="1"/>
  <c r="I453" i="2"/>
  <c r="J453" i="2" s="1"/>
  <c r="B454" i="2"/>
  <c r="V454" i="2" s="1"/>
  <c r="D454" i="2"/>
  <c r="E454" i="2" s="1"/>
  <c r="F454" i="2"/>
  <c r="G454" i="2" s="1"/>
  <c r="I454" i="2"/>
  <c r="B455" i="2"/>
  <c r="V455" i="2" s="1"/>
  <c r="D455" i="2"/>
  <c r="E455" i="2" s="1"/>
  <c r="F455" i="2"/>
  <c r="G455" i="2" s="1"/>
  <c r="I455" i="2"/>
  <c r="J455" i="2" s="1"/>
  <c r="B456" i="2"/>
  <c r="V456" i="2" s="1"/>
  <c r="D456" i="2"/>
  <c r="E456" i="2" s="1"/>
  <c r="F456" i="2"/>
  <c r="G456" i="2" s="1"/>
  <c r="I456" i="2"/>
  <c r="L456" i="2" s="1"/>
  <c r="B457" i="2"/>
  <c r="V457" i="2" s="1"/>
  <c r="D457" i="2"/>
  <c r="E457" i="2" s="1"/>
  <c r="F457" i="2"/>
  <c r="G457" i="2" s="1"/>
  <c r="I457" i="2"/>
  <c r="B458" i="2"/>
  <c r="V458" i="2" s="1"/>
  <c r="D458" i="2"/>
  <c r="E458" i="2" s="1"/>
  <c r="F458" i="2"/>
  <c r="G458" i="2" s="1"/>
  <c r="I458" i="2"/>
  <c r="K458" i="2" s="1"/>
  <c r="B459" i="2"/>
  <c r="V459" i="2" s="1"/>
  <c r="D459" i="2"/>
  <c r="E459" i="2" s="1"/>
  <c r="F459" i="2"/>
  <c r="G459" i="2" s="1"/>
  <c r="I459" i="2"/>
  <c r="L459" i="2" s="1"/>
  <c r="B460" i="2"/>
  <c r="V460" i="2" s="1"/>
  <c r="D460" i="2"/>
  <c r="E460" i="2" s="1"/>
  <c r="F460" i="2"/>
  <c r="G460" i="2" s="1"/>
  <c r="I460" i="2"/>
  <c r="K460" i="2" s="1"/>
  <c r="B461" i="2"/>
  <c r="V461" i="2" s="1"/>
  <c r="D461" i="2"/>
  <c r="E461" i="2" s="1"/>
  <c r="F461" i="2"/>
  <c r="G461" i="2" s="1"/>
  <c r="I461" i="2"/>
  <c r="J461" i="2" s="1"/>
  <c r="B462" i="2"/>
  <c r="V462" i="2" s="1"/>
  <c r="D462" i="2"/>
  <c r="E462" i="2" s="1"/>
  <c r="F462" i="2"/>
  <c r="G462" i="2" s="1"/>
  <c r="I462" i="2"/>
  <c r="L462" i="2" s="1"/>
  <c r="B463" i="2"/>
  <c r="V463" i="2" s="1"/>
  <c r="D463" i="2"/>
  <c r="E463" i="2" s="1"/>
  <c r="F463" i="2"/>
  <c r="G463" i="2" s="1"/>
  <c r="I463" i="2"/>
  <c r="L463" i="2" s="1"/>
  <c r="B464" i="2"/>
  <c r="V464" i="2" s="1"/>
  <c r="D464" i="2"/>
  <c r="E464" i="2" s="1"/>
  <c r="F464" i="2"/>
  <c r="G464" i="2" s="1"/>
  <c r="I464" i="2"/>
  <c r="K464" i="2" s="1"/>
  <c r="B465" i="2"/>
  <c r="V465" i="2" s="1"/>
  <c r="D465" i="2"/>
  <c r="E465" i="2" s="1"/>
  <c r="F465" i="2"/>
  <c r="G465" i="2" s="1"/>
  <c r="I465" i="2"/>
  <c r="J465" i="2" s="1"/>
  <c r="B466" i="2"/>
  <c r="V466" i="2" s="1"/>
  <c r="D466" i="2"/>
  <c r="E466" i="2" s="1"/>
  <c r="F466" i="2"/>
  <c r="G466" i="2" s="1"/>
  <c r="I466" i="2"/>
  <c r="L466" i="2" s="1"/>
  <c r="B467" i="2"/>
  <c r="V467" i="2" s="1"/>
  <c r="D467" i="2"/>
  <c r="E467" i="2" s="1"/>
  <c r="F467" i="2"/>
  <c r="G467" i="2" s="1"/>
  <c r="I467" i="2"/>
  <c r="L467" i="2" s="1"/>
  <c r="B468" i="2"/>
  <c r="V468" i="2" s="1"/>
  <c r="D468" i="2"/>
  <c r="E468" i="2" s="1"/>
  <c r="F468" i="2"/>
  <c r="G468" i="2" s="1"/>
  <c r="I468" i="2"/>
  <c r="K468" i="2" s="1"/>
  <c r="B469" i="2"/>
  <c r="V469" i="2" s="1"/>
  <c r="D469" i="2"/>
  <c r="E469" i="2" s="1"/>
  <c r="F469" i="2"/>
  <c r="G469" i="2" s="1"/>
  <c r="I469" i="2"/>
  <c r="J469" i="2" s="1"/>
  <c r="B470" i="2"/>
  <c r="V470" i="2" s="1"/>
  <c r="D470" i="2"/>
  <c r="E470" i="2" s="1"/>
  <c r="F470" i="2"/>
  <c r="G470" i="2" s="1"/>
  <c r="I470" i="2"/>
  <c r="L470" i="2" s="1"/>
  <c r="B471" i="2"/>
  <c r="V471" i="2" s="1"/>
  <c r="D471" i="2"/>
  <c r="E471" i="2" s="1"/>
  <c r="F471" i="2"/>
  <c r="G471" i="2" s="1"/>
  <c r="I471" i="2"/>
  <c r="L471" i="2" s="1"/>
  <c r="B472" i="2"/>
  <c r="V472" i="2" s="1"/>
  <c r="D472" i="2"/>
  <c r="E472" i="2" s="1"/>
  <c r="F472" i="2"/>
  <c r="G472" i="2" s="1"/>
  <c r="I472" i="2"/>
  <c r="K472" i="2" s="1"/>
  <c r="B473" i="2"/>
  <c r="V473" i="2" s="1"/>
  <c r="D473" i="2"/>
  <c r="E473" i="2" s="1"/>
  <c r="F473" i="2"/>
  <c r="G473" i="2" s="1"/>
  <c r="I473" i="2"/>
  <c r="L473" i="2" s="1"/>
  <c r="B474" i="2"/>
  <c r="V474" i="2" s="1"/>
  <c r="D474" i="2"/>
  <c r="E474" i="2" s="1"/>
  <c r="F474" i="2"/>
  <c r="G474" i="2" s="1"/>
  <c r="I474" i="2"/>
  <c r="L474" i="2" s="1"/>
  <c r="B475" i="2"/>
  <c r="V475" i="2" s="1"/>
  <c r="D475" i="2"/>
  <c r="E475" i="2" s="1"/>
  <c r="F475" i="2"/>
  <c r="G475" i="2" s="1"/>
  <c r="I475" i="2"/>
  <c r="L475" i="2" s="1"/>
  <c r="B476" i="2"/>
  <c r="V476" i="2" s="1"/>
  <c r="D476" i="2"/>
  <c r="E476" i="2" s="1"/>
  <c r="F476" i="2"/>
  <c r="G476" i="2" s="1"/>
  <c r="I476" i="2"/>
  <c r="J476" i="2" s="1"/>
  <c r="B477" i="2"/>
  <c r="V477" i="2" s="1"/>
  <c r="D477" i="2"/>
  <c r="E477" i="2" s="1"/>
  <c r="F477" i="2"/>
  <c r="G477" i="2" s="1"/>
  <c r="I477" i="2"/>
  <c r="J477" i="2" s="1"/>
  <c r="B478" i="2"/>
  <c r="V478" i="2" s="1"/>
  <c r="D478" i="2"/>
  <c r="E478" i="2" s="1"/>
  <c r="F478" i="2"/>
  <c r="G478" i="2" s="1"/>
  <c r="I478" i="2"/>
  <c r="K478" i="2" s="1"/>
  <c r="B479" i="2"/>
  <c r="V479" i="2" s="1"/>
  <c r="D479" i="2"/>
  <c r="E479" i="2" s="1"/>
  <c r="F479" i="2"/>
  <c r="G479" i="2" s="1"/>
  <c r="I479" i="2"/>
  <c r="L479" i="2" s="1"/>
  <c r="B480" i="2"/>
  <c r="V480" i="2" s="1"/>
  <c r="D480" i="2"/>
  <c r="E480" i="2" s="1"/>
  <c r="F480" i="2"/>
  <c r="G480" i="2" s="1"/>
  <c r="I480" i="2"/>
  <c r="J480" i="2" s="1"/>
  <c r="B481" i="2"/>
  <c r="V481" i="2" s="1"/>
  <c r="D481" i="2"/>
  <c r="E481" i="2" s="1"/>
  <c r="F481" i="2"/>
  <c r="G481" i="2" s="1"/>
  <c r="I481" i="2"/>
  <c r="J481" i="2" s="1"/>
  <c r="B482" i="2"/>
  <c r="V482" i="2" s="1"/>
  <c r="D482" i="2"/>
  <c r="E482" i="2" s="1"/>
  <c r="F482" i="2"/>
  <c r="G482" i="2" s="1"/>
  <c r="I482" i="2"/>
  <c r="J482" i="2" s="1"/>
  <c r="B483" i="2"/>
  <c r="V483" i="2" s="1"/>
  <c r="D483" i="2"/>
  <c r="E483" i="2" s="1"/>
  <c r="F483" i="2"/>
  <c r="G483" i="2" s="1"/>
  <c r="I483" i="2"/>
  <c r="L483" i="2" s="1"/>
  <c r="B484" i="2"/>
  <c r="V484" i="2" s="1"/>
  <c r="D484" i="2"/>
  <c r="E484" i="2" s="1"/>
  <c r="F484" i="2"/>
  <c r="G484" i="2" s="1"/>
  <c r="I484" i="2"/>
  <c r="J484" i="2" s="1"/>
  <c r="B485" i="2"/>
  <c r="V485" i="2" s="1"/>
  <c r="D485" i="2"/>
  <c r="E485" i="2" s="1"/>
  <c r="F485" i="2"/>
  <c r="G485" i="2" s="1"/>
  <c r="I485" i="2"/>
  <c r="J485" i="2" s="1"/>
  <c r="B486" i="2"/>
  <c r="V486" i="2" s="1"/>
  <c r="D486" i="2"/>
  <c r="E486" i="2" s="1"/>
  <c r="F486" i="2"/>
  <c r="G486" i="2" s="1"/>
  <c r="I486" i="2"/>
  <c r="J486" i="2" s="1"/>
  <c r="B487" i="2"/>
  <c r="V487" i="2" s="1"/>
  <c r="D487" i="2"/>
  <c r="E487" i="2" s="1"/>
  <c r="F487" i="2"/>
  <c r="G487" i="2" s="1"/>
  <c r="I487" i="2"/>
  <c r="L487" i="2" s="1"/>
  <c r="B488" i="2"/>
  <c r="V488" i="2" s="1"/>
  <c r="D488" i="2"/>
  <c r="E488" i="2" s="1"/>
  <c r="F488" i="2"/>
  <c r="G488" i="2" s="1"/>
  <c r="I488" i="2"/>
  <c r="J488" i="2" s="1"/>
  <c r="B489" i="2"/>
  <c r="V489" i="2" s="1"/>
  <c r="D489" i="2"/>
  <c r="E489" i="2" s="1"/>
  <c r="F489" i="2"/>
  <c r="G489" i="2" s="1"/>
  <c r="I489" i="2"/>
  <c r="J489" i="2" s="1"/>
  <c r="B490" i="2"/>
  <c r="V490" i="2" s="1"/>
  <c r="D490" i="2"/>
  <c r="E490" i="2" s="1"/>
  <c r="F490" i="2"/>
  <c r="G490" i="2" s="1"/>
  <c r="I490" i="2"/>
  <c r="J490" i="2" s="1"/>
  <c r="B491" i="2"/>
  <c r="V491" i="2" s="1"/>
  <c r="D491" i="2"/>
  <c r="E491" i="2" s="1"/>
  <c r="F491" i="2"/>
  <c r="G491" i="2" s="1"/>
  <c r="I491" i="2"/>
  <c r="L491" i="2" s="1"/>
  <c r="B492" i="2"/>
  <c r="V492" i="2" s="1"/>
  <c r="D492" i="2"/>
  <c r="E492" i="2" s="1"/>
  <c r="F492" i="2"/>
  <c r="G492" i="2" s="1"/>
  <c r="I492" i="2"/>
  <c r="J492" i="2" s="1"/>
  <c r="B493" i="2"/>
  <c r="V493" i="2" s="1"/>
  <c r="D493" i="2"/>
  <c r="E493" i="2" s="1"/>
  <c r="F493" i="2"/>
  <c r="G493" i="2" s="1"/>
  <c r="I493" i="2"/>
  <c r="J493" i="2" s="1"/>
  <c r="B494" i="2"/>
  <c r="V494" i="2" s="1"/>
  <c r="D494" i="2"/>
  <c r="E494" i="2" s="1"/>
  <c r="F494" i="2"/>
  <c r="G494" i="2" s="1"/>
  <c r="I494" i="2"/>
  <c r="J494" i="2" s="1"/>
  <c r="B495" i="2"/>
  <c r="V495" i="2" s="1"/>
  <c r="D495" i="2"/>
  <c r="E495" i="2" s="1"/>
  <c r="F495" i="2"/>
  <c r="G495" i="2" s="1"/>
  <c r="I495" i="2"/>
  <c r="L495" i="2" s="1"/>
  <c r="B496" i="2"/>
  <c r="V496" i="2" s="1"/>
  <c r="D496" i="2"/>
  <c r="E496" i="2" s="1"/>
  <c r="F496" i="2"/>
  <c r="G496" i="2" s="1"/>
  <c r="I496" i="2"/>
  <c r="J496" i="2" s="1"/>
  <c r="B497" i="2"/>
  <c r="V497" i="2" s="1"/>
  <c r="D497" i="2"/>
  <c r="E497" i="2" s="1"/>
  <c r="F497" i="2"/>
  <c r="G497" i="2" s="1"/>
  <c r="I497" i="2"/>
  <c r="J497" i="2" s="1"/>
  <c r="B498" i="2"/>
  <c r="V498" i="2" s="1"/>
  <c r="D498" i="2"/>
  <c r="E498" i="2" s="1"/>
  <c r="F498" i="2"/>
  <c r="G498" i="2" s="1"/>
  <c r="I498" i="2"/>
  <c r="J498" i="2" s="1"/>
  <c r="B499" i="2"/>
  <c r="V499" i="2" s="1"/>
  <c r="D499" i="2"/>
  <c r="E499" i="2" s="1"/>
  <c r="F499" i="2"/>
  <c r="G499" i="2" s="1"/>
  <c r="I499" i="2"/>
  <c r="L499" i="2" s="1"/>
  <c r="B500" i="2"/>
  <c r="V500" i="2" s="1"/>
  <c r="D500" i="2"/>
  <c r="E500" i="2" s="1"/>
  <c r="F500" i="2"/>
  <c r="G500" i="2" s="1"/>
  <c r="I500" i="2"/>
  <c r="J500" i="2" s="1"/>
  <c r="L429" i="2" l="1"/>
  <c r="L425" i="2"/>
  <c r="K406" i="2"/>
  <c r="K326" i="2"/>
  <c r="J326" i="2"/>
  <c r="K394" i="2"/>
  <c r="J376" i="2"/>
  <c r="K342" i="2"/>
  <c r="L477" i="2"/>
  <c r="J347" i="2"/>
  <c r="J440" i="2"/>
  <c r="K434" i="2"/>
  <c r="J394" i="2"/>
  <c r="L464" i="2"/>
  <c r="J358" i="2"/>
  <c r="J339" i="2"/>
  <c r="K495" i="2"/>
  <c r="K376" i="2"/>
  <c r="K402" i="2"/>
  <c r="J355" i="2"/>
  <c r="J344" i="2"/>
  <c r="L341" i="2"/>
  <c r="J448" i="2"/>
  <c r="K409" i="2"/>
  <c r="L339" i="2"/>
  <c r="K453" i="2"/>
  <c r="L432" i="2"/>
  <c r="K425" i="2"/>
  <c r="K330" i="2"/>
  <c r="L350" i="2"/>
  <c r="J360" i="2"/>
  <c r="J468" i="2"/>
  <c r="L404" i="2"/>
  <c r="K429" i="2"/>
  <c r="K380" i="2"/>
  <c r="K491" i="2"/>
  <c r="K483" i="2"/>
  <c r="J491" i="2"/>
  <c r="J483" i="2"/>
  <c r="K466" i="2"/>
  <c r="J456" i="2"/>
  <c r="K446" i="2"/>
  <c r="J380" i="2"/>
  <c r="L360" i="2"/>
  <c r="L342" i="2"/>
  <c r="L481" i="2"/>
  <c r="J478" i="2"/>
  <c r="K477" i="2"/>
  <c r="J436" i="2"/>
  <c r="L498" i="2"/>
  <c r="K489" i="2"/>
  <c r="K481" i="2"/>
  <c r="J464" i="2"/>
  <c r="L461" i="2"/>
  <c r="J444" i="2"/>
  <c r="J405" i="2"/>
  <c r="K400" i="2"/>
  <c r="K390" i="2"/>
  <c r="K378" i="2"/>
  <c r="K366" i="2"/>
  <c r="L354" i="2"/>
  <c r="K493" i="2"/>
  <c r="K461" i="2"/>
  <c r="K398" i="2"/>
  <c r="J390" i="2"/>
  <c r="L358" i="2"/>
  <c r="L357" i="2"/>
  <c r="L490" i="2"/>
  <c r="J479" i="2"/>
  <c r="L455" i="2"/>
  <c r="K442" i="2"/>
  <c r="J398" i="2"/>
  <c r="L379" i="2"/>
  <c r="J357" i="2"/>
  <c r="L349" i="2"/>
  <c r="L325" i="2"/>
  <c r="K499" i="2"/>
  <c r="J499" i="2"/>
  <c r="K497" i="2"/>
  <c r="J495" i="2"/>
  <c r="L494" i="2"/>
  <c r="K487" i="2"/>
  <c r="J487" i="2"/>
  <c r="L486" i="2"/>
  <c r="K485" i="2"/>
  <c r="L482" i="2"/>
  <c r="K479" i="2"/>
  <c r="L478" i="2"/>
  <c r="K475" i="2"/>
  <c r="J475" i="2"/>
  <c r="K474" i="2"/>
  <c r="J472" i="2"/>
  <c r="K470" i="2"/>
  <c r="J470" i="2"/>
  <c r="L469" i="2"/>
  <c r="J466" i="2"/>
  <c r="L465" i="2"/>
  <c r="K465" i="2"/>
  <c r="K462" i="2"/>
  <c r="J462" i="2"/>
  <c r="J460" i="2"/>
  <c r="L460" i="2"/>
  <c r="K455" i="2"/>
  <c r="K449" i="2"/>
  <c r="K445" i="2"/>
  <c r="K441" i="2"/>
  <c r="K438" i="2"/>
  <c r="L437" i="2"/>
  <c r="K437" i="2"/>
  <c r="L433" i="2"/>
  <c r="K433" i="2"/>
  <c r="J432" i="2"/>
  <c r="K430" i="2"/>
  <c r="L428" i="2"/>
  <c r="J428" i="2"/>
  <c r="K426" i="2"/>
  <c r="L424" i="2"/>
  <c r="J424" i="2"/>
  <c r="K422" i="2"/>
  <c r="L421" i="2"/>
  <c r="K421" i="2"/>
  <c r="L420" i="2"/>
  <c r="J420" i="2"/>
  <c r="K413" i="2"/>
  <c r="K410" i="2"/>
  <c r="J408" i="2"/>
  <c r="L405" i="2"/>
  <c r="K404" i="2"/>
  <c r="J402" i="2"/>
  <c r="L397" i="2"/>
  <c r="K396" i="2"/>
  <c r="L393" i="2"/>
  <c r="K392" i="2"/>
  <c r="L389" i="2"/>
  <c r="K388" i="2"/>
  <c r="L387" i="2"/>
  <c r="K387" i="2"/>
  <c r="K384" i="2"/>
  <c r="J384" i="2"/>
  <c r="L383" i="2"/>
  <c r="K382" i="2"/>
  <c r="L375" i="2"/>
  <c r="K374" i="2"/>
  <c r="K372" i="2"/>
  <c r="J372" i="2"/>
  <c r="L371" i="2"/>
  <c r="K370" i="2"/>
  <c r="J365" i="2"/>
  <c r="J364" i="2"/>
  <c r="K362" i="2"/>
  <c r="J362" i="2"/>
  <c r="J361" i="2"/>
  <c r="L361" i="2"/>
  <c r="K354" i="2"/>
  <c r="L353" i="2"/>
  <c r="J352" i="2"/>
  <c r="K350" i="2"/>
  <c r="J348" i="2"/>
  <c r="J346" i="2"/>
  <c r="L346" i="2"/>
  <c r="L345" i="2"/>
  <c r="L343" i="2"/>
  <c r="J343" i="2"/>
  <c r="K340" i="2"/>
  <c r="J340" i="2"/>
  <c r="K334" i="2"/>
  <c r="K331" i="2"/>
  <c r="L329" i="2"/>
  <c r="K327" i="2"/>
  <c r="K323" i="2"/>
  <c r="K322" i="2"/>
  <c r="J322" i="2"/>
  <c r="L321" i="2"/>
  <c r="J321" i="2"/>
  <c r="K319" i="2"/>
  <c r="J318" i="2"/>
  <c r="L317" i="2"/>
  <c r="K317" i="2"/>
  <c r="K498" i="2"/>
  <c r="K494" i="2"/>
  <c r="K490" i="2"/>
  <c r="K486" i="2"/>
  <c r="K482" i="2"/>
  <c r="J474" i="2"/>
  <c r="J457" i="2"/>
  <c r="L457" i="2"/>
  <c r="K457" i="2"/>
  <c r="L497" i="2"/>
  <c r="L493" i="2"/>
  <c r="L489" i="2"/>
  <c r="L485" i="2"/>
  <c r="J473" i="2"/>
  <c r="K473" i="2"/>
  <c r="J471" i="2"/>
  <c r="K471" i="2"/>
  <c r="L500" i="2"/>
  <c r="L496" i="2"/>
  <c r="L492" i="2"/>
  <c r="L488" i="2"/>
  <c r="L484" i="2"/>
  <c r="L480" i="2"/>
  <c r="L476" i="2"/>
  <c r="J459" i="2"/>
  <c r="K459" i="2"/>
  <c r="L450" i="2"/>
  <c r="J450" i="2"/>
  <c r="K450" i="2"/>
  <c r="K500" i="2"/>
  <c r="K496" i="2"/>
  <c r="K492" i="2"/>
  <c r="K488" i="2"/>
  <c r="K484" i="2"/>
  <c r="K480" i="2"/>
  <c r="K476" i="2"/>
  <c r="J463" i="2"/>
  <c r="K463" i="2"/>
  <c r="J467" i="2"/>
  <c r="K467" i="2"/>
  <c r="L454" i="2"/>
  <c r="J454" i="2"/>
  <c r="K454" i="2"/>
  <c r="J447" i="2"/>
  <c r="K447" i="2"/>
  <c r="K407" i="2"/>
  <c r="L407" i="2"/>
  <c r="J407" i="2"/>
  <c r="K469" i="2"/>
  <c r="L458" i="2"/>
  <c r="J458" i="2"/>
  <c r="J443" i="2"/>
  <c r="K443" i="2"/>
  <c r="L472" i="2"/>
  <c r="L468" i="2"/>
  <c r="J439" i="2"/>
  <c r="K439" i="2"/>
  <c r="K456" i="2"/>
  <c r="K452" i="2"/>
  <c r="L452" i="2"/>
  <c r="J451" i="2"/>
  <c r="K451" i="2"/>
  <c r="J435" i="2"/>
  <c r="K435" i="2"/>
  <c r="L435" i="2"/>
  <c r="J431" i="2"/>
  <c r="K431" i="2"/>
  <c r="L431" i="2"/>
  <c r="J427" i="2"/>
  <c r="K427" i="2"/>
  <c r="L427" i="2"/>
  <c r="J423" i="2"/>
  <c r="K423" i="2"/>
  <c r="L423" i="2"/>
  <c r="L453" i="2"/>
  <c r="L449" i="2"/>
  <c r="J446" i="2"/>
  <c r="L445" i="2"/>
  <c r="J442" i="2"/>
  <c r="L441" i="2"/>
  <c r="J438" i="2"/>
  <c r="J434" i="2"/>
  <c r="J430" i="2"/>
  <c r="J426" i="2"/>
  <c r="J422" i="2"/>
  <c r="J414" i="2"/>
  <c r="L414" i="2"/>
  <c r="K403" i="2"/>
  <c r="L403" i="2"/>
  <c r="J403" i="2"/>
  <c r="L448" i="2"/>
  <c r="L444" i="2"/>
  <c r="L440" i="2"/>
  <c r="L436" i="2"/>
  <c r="L419" i="2"/>
  <c r="J419" i="2"/>
  <c r="J391" i="2"/>
  <c r="K391" i="2"/>
  <c r="L391" i="2"/>
  <c r="K415" i="2"/>
  <c r="L415" i="2"/>
  <c r="J415" i="2"/>
  <c r="K411" i="2"/>
  <c r="L411" i="2"/>
  <c r="J411" i="2"/>
  <c r="J418" i="2"/>
  <c r="L418" i="2"/>
  <c r="J417" i="2"/>
  <c r="L417" i="2"/>
  <c r="L410" i="2"/>
  <c r="L406" i="2"/>
  <c r="J395" i="2"/>
  <c r="K395" i="2"/>
  <c r="L395" i="2"/>
  <c r="L413" i="2"/>
  <c r="L409" i="2"/>
  <c r="J401" i="2"/>
  <c r="K401" i="2"/>
  <c r="L416" i="2"/>
  <c r="L412" i="2"/>
  <c r="L408" i="2"/>
  <c r="J385" i="2"/>
  <c r="K385" i="2"/>
  <c r="L385" i="2"/>
  <c r="K416" i="2"/>
  <c r="K412" i="2"/>
  <c r="J399" i="2"/>
  <c r="K399" i="2"/>
  <c r="L399" i="2"/>
  <c r="K397" i="2"/>
  <c r="K393" i="2"/>
  <c r="K389" i="2"/>
  <c r="J381" i="2"/>
  <c r="K381" i="2"/>
  <c r="L381" i="2"/>
  <c r="L400" i="2"/>
  <c r="L396" i="2"/>
  <c r="L392" i="2"/>
  <c r="L388" i="2"/>
  <c r="J377" i="2"/>
  <c r="K377" i="2"/>
  <c r="L377" i="2"/>
  <c r="J373" i="2"/>
  <c r="K373" i="2"/>
  <c r="L373" i="2"/>
  <c r="J386" i="2"/>
  <c r="L386" i="2"/>
  <c r="K368" i="2"/>
  <c r="L368" i="2"/>
  <c r="J368" i="2"/>
  <c r="J363" i="2"/>
  <c r="K363" i="2"/>
  <c r="L363" i="2"/>
  <c r="K383" i="2"/>
  <c r="K379" i="2"/>
  <c r="K375" i="2"/>
  <c r="K371" i="2"/>
  <c r="L382" i="2"/>
  <c r="L378" i="2"/>
  <c r="L374" i="2"/>
  <c r="K356" i="2"/>
  <c r="L356" i="2"/>
  <c r="J356" i="2"/>
  <c r="K351" i="2"/>
  <c r="J351" i="2"/>
  <c r="L351" i="2"/>
  <c r="J367" i="2"/>
  <c r="K367" i="2"/>
  <c r="J359" i="2"/>
  <c r="K359" i="2"/>
  <c r="J336" i="2"/>
  <c r="K336" i="2"/>
  <c r="L336" i="2"/>
  <c r="L370" i="2"/>
  <c r="L366" i="2"/>
  <c r="L355" i="2"/>
  <c r="L347" i="2"/>
  <c r="L369" i="2"/>
  <c r="L365" i="2"/>
  <c r="J338" i="2"/>
  <c r="K338" i="2"/>
  <c r="J320" i="2"/>
  <c r="K320" i="2"/>
  <c r="L320" i="2"/>
  <c r="K369" i="2"/>
  <c r="L364" i="2"/>
  <c r="J328" i="2"/>
  <c r="K328" i="2"/>
  <c r="L328" i="2"/>
  <c r="K353" i="2"/>
  <c r="K349" i="2"/>
  <c r="K345" i="2"/>
  <c r="K341" i="2"/>
  <c r="L335" i="2"/>
  <c r="J335" i="2"/>
  <c r="L352" i="2"/>
  <c r="L348" i="2"/>
  <c r="L344" i="2"/>
  <c r="J332" i="2"/>
  <c r="K332" i="2"/>
  <c r="L332" i="2"/>
  <c r="J324" i="2"/>
  <c r="K324" i="2"/>
  <c r="L324" i="2"/>
  <c r="L334" i="2"/>
  <c r="J331" i="2"/>
  <c r="L330" i="2"/>
  <c r="J327" i="2"/>
  <c r="J323" i="2"/>
  <c r="J319" i="2"/>
  <c r="L318" i="2"/>
  <c r="L337" i="2"/>
  <c r="L333" i="2"/>
  <c r="K337" i="2"/>
  <c r="K333" i="2"/>
  <c r="K329" i="2"/>
  <c r="K325" i="2"/>
  <c r="T960" i="2" a="1"/>
  <c r="R30" i="2" a="1"/>
  <c r="W836" i="2" a="1"/>
  <c r="W31" i="2" a="1"/>
  <c r="U581" i="2" a="1"/>
  <c r="N27" i="2" a="1"/>
  <c r="M660" i="2" a="1"/>
  <c r="S7" i="2" a="1"/>
  <c r="N790" i="2" a="1"/>
  <c r="O828" i="2" a="1"/>
  <c r="P723" i="2" a="1"/>
  <c r="H874" i="2" a="1"/>
  <c r="P25" i="2" a="1"/>
  <c r="S34" i="2" a="1"/>
  <c r="R10" i="2" a="1"/>
  <c r="M959" i="2" a="1"/>
  <c r="M804" i="2" a="1"/>
  <c r="T31" i="2" a="1"/>
  <c r="H915" i="2" a="1"/>
  <c r="M979" i="2" a="1"/>
  <c r="U802" i="2" a="1"/>
  <c r="U633" i="2" a="1"/>
  <c r="H933" i="2" a="1"/>
  <c r="U808" i="2" a="1"/>
  <c r="R565" i="2" a="1"/>
  <c r="W587" i="2" a="1"/>
  <c r="S636" i="2" a="1"/>
  <c r="M710" i="2" a="1"/>
  <c r="P13" i="2" a="1"/>
  <c r="Q569" i="2" a="1"/>
  <c r="H919" i="2" a="1"/>
  <c r="U959" i="2" a="1"/>
  <c r="H584" i="2" a="1"/>
  <c r="W531" i="2" a="1"/>
  <c r="R747" i="2" a="1"/>
  <c r="Q895" i="2" a="1"/>
  <c r="N637" i="2" a="1"/>
  <c r="H820" i="2" a="1"/>
  <c r="Q696" i="2" a="1"/>
  <c r="R793" i="2" a="1"/>
  <c r="W913" i="2" a="1"/>
  <c r="U636" i="2" a="1"/>
  <c r="T791" i="2" a="1"/>
  <c r="S856" i="2" a="1"/>
  <c r="U16" i="2" a="1"/>
  <c r="Q911" i="2" a="1"/>
  <c r="S31" i="2" a="1"/>
  <c r="P788" i="2" a="1"/>
  <c r="H534" i="2" a="1"/>
  <c r="H795" i="2" a="1"/>
  <c r="U664" i="2" a="1"/>
  <c r="W526" i="2" a="1"/>
  <c r="O611" i="2" a="1"/>
  <c r="O581" i="2" a="1"/>
  <c r="Q515" i="2" a="1"/>
  <c r="T509" i="2" a="1"/>
  <c r="Q637" i="2" a="1"/>
  <c r="H658" i="2" a="1"/>
  <c r="U743" i="2" a="1"/>
  <c r="O628" i="2" a="1"/>
  <c r="S575" i="2" a="1"/>
  <c r="P578" i="2" a="1"/>
  <c r="S33" i="2" a="1"/>
  <c r="R663" i="2" a="1"/>
  <c r="S513" i="2" a="1"/>
  <c r="H721" i="2" a="1"/>
  <c r="M613" i="2" a="1"/>
  <c r="H839" i="2" a="1"/>
  <c r="H910" i="2" a="1"/>
  <c r="S546" i="2" a="1"/>
  <c r="U685" i="2" a="1"/>
  <c r="H692" i="2" a="1"/>
  <c r="Q903" i="2" a="1"/>
  <c r="M704" i="2" a="1"/>
  <c r="R920" i="2" a="1"/>
  <c r="M641" i="2" a="1"/>
  <c r="N23" i="2" a="1"/>
  <c r="U516" i="2" a="1"/>
  <c r="N629" i="2" a="1"/>
  <c r="W947" i="2" a="1"/>
  <c r="U681" i="2" a="1"/>
  <c r="H724" i="2" a="1"/>
  <c r="O802" i="2" a="1"/>
  <c r="T664" i="2" a="1"/>
  <c r="R777" i="2" a="1"/>
  <c r="H790" i="2" a="1"/>
  <c r="P604" i="2" a="1"/>
  <c r="W785" i="2" a="1"/>
  <c r="T900" i="2" a="1"/>
  <c r="R807" i="2" a="1"/>
  <c r="H630" i="2" a="1"/>
  <c r="P549" i="2" a="1"/>
  <c r="Q816" i="2" a="1"/>
  <c r="H901" i="2" a="1"/>
  <c r="M663" i="2" a="1"/>
  <c r="H661" i="2" a="1"/>
  <c r="H922" i="2" a="1"/>
  <c r="Q668" i="2" a="1"/>
  <c r="R659" i="2" a="1"/>
  <c r="W680" i="2" a="1"/>
  <c r="T660" i="2" a="1"/>
  <c r="P509" i="2" a="1"/>
  <c r="H962" i="2" a="1"/>
  <c r="W743" i="2" a="1"/>
  <c r="P754" i="2" a="1"/>
  <c r="U655" i="2" a="1"/>
  <c r="T719" i="2" a="1"/>
  <c r="R16" i="2" a="1"/>
  <c r="R705" i="2" a="1"/>
  <c r="H789" i="2" a="1"/>
  <c r="W820" i="2" a="1"/>
  <c r="S746" i="2" a="1"/>
  <c r="M801" i="2" a="1"/>
  <c r="H801" i="2" a="1"/>
  <c r="P729" i="2" a="1"/>
  <c r="W15" i="2" a="1"/>
  <c r="O664" i="2" a="1"/>
  <c r="S823" i="2" a="1"/>
  <c r="U512" i="2" a="1"/>
  <c r="U517" i="2" a="1"/>
  <c r="R617" i="2" a="1"/>
  <c r="N901" i="2" a="1"/>
  <c r="M974" i="2" a="1"/>
  <c r="W716" i="2" a="1"/>
  <c r="S884" i="2" a="1"/>
  <c r="U752" i="2" a="1"/>
  <c r="O996" i="2" a="1"/>
  <c r="H709" i="2" a="1"/>
  <c r="U23" i="2" a="1"/>
  <c r="U979" i="2" a="1"/>
  <c r="P33" i="2" a="1"/>
  <c r="M763" i="2" a="1"/>
  <c r="R781" i="2" a="1"/>
  <c r="H847" i="2" a="1"/>
  <c r="H665" i="2" a="1"/>
  <c r="R767" i="2" a="1"/>
  <c r="H599" i="2" a="1"/>
  <c r="U748" i="2" a="1"/>
  <c r="R803" i="2" a="1"/>
  <c r="W34" i="2" a="1"/>
  <c r="T29" i="2" a="1"/>
  <c r="W665" i="2" a="1"/>
  <c r="W975" i="2" a="1"/>
  <c r="S981" i="2" a="1"/>
  <c r="P610" i="2" a="1"/>
  <c r="W739" i="2" a="1"/>
  <c r="H9" i="2" a="1"/>
  <c r="P823" i="2" a="1"/>
  <c r="H602" i="2" a="1"/>
  <c r="P646" i="2" a="1"/>
  <c r="H949" i="2" a="1"/>
  <c r="H506" i="2" a="1"/>
  <c r="M967" i="2" a="1"/>
  <c r="H876" i="2" a="1"/>
  <c r="H562" i="2" a="1"/>
  <c r="S18" i="2" a="1"/>
  <c r="N978" i="2" a="1"/>
  <c r="H617" i="2" a="1"/>
  <c r="P987" i="2" a="1"/>
  <c r="T637" i="2" a="1"/>
  <c r="R766" i="2" a="1"/>
  <c r="U545" i="2" a="1"/>
  <c r="W705" i="2" a="1"/>
  <c r="M820" i="2" a="1"/>
  <c r="R632" i="2" a="1"/>
  <c r="Q978" i="2" a="1"/>
  <c r="H863" i="2" a="1"/>
  <c r="W875" i="2" a="1"/>
  <c r="Q991" i="2" a="1"/>
  <c r="T635" i="2" a="1"/>
  <c r="H614" i="2" a="1"/>
  <c r="M906" i="2" a="1"/>
  <c r="W863" i="2" a="1"/>
  <c r="Q10" i="2" a="1"/>
  <c r="R629" i="2" a="1"/>
  <c r="R584" i="2" a="1"/>
  <c r="W575" i="2" a="1"/>
  <c r="Q722" i="2" a="1"/>
  <c r="H596" i="2" a="1"/>
  <c r="N794" i="2" a="1"/>
  <c r="P546" i="2" a="1"/>
  <c r="Q17" i="2" a="1"/>
  <c r="H29" i="2" a="1"/>
  <c r="T625" i="2" a="1"/>
  <c r="P584" i="2" a="1"/>
  <c r="R612" i="2" a="1"/>
  <c r="R886" i="2" a="1"/>
  <c r="M10" i="2" a="1"/>
  <c r="R899" i="2" a="1"/>
  <c r="S21" i="2" a="1"/>
  <c r="H842" i="2" a="1"/>
  <c r="H911" i="2" a="1"/>
  <c r="O668" i="2" a="1"/>
  <c r="S601" i="2" a="1"/>
  <c r="S695" i="2" a="1"/>
  <c r="R811" i="2" a="1"/>
  <c r="M692" i="2" a="1"/>
  <c r="P687" i="2" a="1"/>
  <c r="W793" i="2" a="1"/>
  <c r="S516" i="2" a="1"/>
  <c r="H907" i="2" a="1"/>
  <c r="T694" i="2" a="1"/>
  <c r="U6" i="2" a="1"/>
  <c r="N21" i="2" a="1"/>
  <c r="N14" i="2" a="1"/>
  <c r="M7" i="2" a="1"/>
  <c r="H618" i="2" a="1"/>
  <c r="W983" i="2" a="1"/>
  <c r="M818" i="2" a="1"/>
  <c r="M752" i="2" a="1"/>
  <c r="T777" i="2" a="1"/>
  <c r="U592" i="2" a="1"/>
  <c r="W564" i="2" a="1"/>
  <c r="P991" i="2" a="1"/>
  <c r="H17" i="2" a="1"/>
  <c r="S770" i="2" a="1"/>
  <c r="W579" i="2" a="1"/>
  <c r="Q781" i="2" a="1"/>
  <c r="N645" i="2" a="1"/>
  <c r="U13" i="2" a="1"/>
  <c r="H747" i="2" a="1"/>
  <c r="S602" i="2" a="1"/>
  <c r="S579" i="2" a="1"/>
  <c r="S725" i="2" a="1"/>
  <c r="Q548" i="2" a="1"/>
  <c r="S878" i="2" a="1"/>
  <c r="H558" i="2" a="1"/>
  <c r="W649" i="2" a="1"/>
  <c r="W824" i="2" a="1"/>
  <c r="R621" i="2" a="1"/>
  <c r="P934" i="2" a="1"/>
  <c r="H864" i="2" a="1"/>
  <c r="H743" i="2" a="1"/>
  <c r="S556" i="2" a="1"/>
  <c r="H623" i="2" a="1"/>
  <c r="O660" i="2" a="1"/>
  <c r="R602" i="2" a="1"/>
  <c r="N811" i="2" a="1"/>
  <c r="H5" i="2" a="1"/>
  <c r="R852" i="2" a="1"/>
  <c r="M824" i="2" a="1"/>
  <c r="N24" i="2" a="1"/>
  <c r="N572" i="2" a="1"/>
  <c r="Q13" i="2" a="1"/>
  <c r="Q26" i="2" a="1"/>
  <c r="M938" i="2" a="1"/>
  <c r="Q11" i="2" a="1"/>
  <c r="P668" i="2" a="1"/>
  <c r="M966" i="2" a="1"/>
  <c r="O979" i="2" a="1"/>
  <c r="Q729" i="2" a="1"/>
  <c r="Q822" i="2" a="1"/>
  <c r="M662" i="2" a="1"/>
  <c r="U21" i="2" a="1"/>
  <c r="W551" i="2" a="1"/>
  <c r="U845" i="2" a="1"/>
  <c r="U572" i="2" a="1"/>
  <c r="U730" i="2" a="1"/>
  <c r="Q731" i="2" a="1"/>
  <c r="M855" i="2" a="1"/>
  <c r="T588" i="2" a="1"/>
  <c r="H732" i="2" a="1"/>
  <c r="M637" i="2" a="1"/>
  <c r="H715" i="2" a="1"/>
  <c r="Q504" i="2" a="1"/>
  <c r="T736" i="2" a="1"/>
  <c r="S17" i="2" a="1"/>
  <c r="H729" i="2" a="1"/>
  <c r="W951" i="2" a="1"/>
  <c r="P862" i="2" a="1"/>
  <c r="H530" i="2" a="1"/>
  <c r="T830" i="2" a="1"/>
  <c r="P561" i="2" a="1"/>
  <c r="P803" i="2" a="1"/>
  <c r="T661" i="2" a="1"/>
  <c r="W592" i="2" a="1"/>
  <c r="H697" i="2" a="1"/>
  <c r="H669" i="2" a="1"/>
  <c r="H616" i="2" a="1"/>
  <c r="U503" i="2" a="1"/>
  <c r="H833" i="2" a="1"/>
  <c r="W832" i="2" a="1"/>
  <c r="M882" i="2" a="1"/>
  <c r="S802" i="2" a="1"/>
  <c r="M30" i="2" a="1"/>
  <c r="S696" i="2" a="1"/>
  <c r="H635" i="2" a="1"/>
  <c r="U668" i="2" a="1"/>
  <c r="M899" i="2" a="1"/>
  <c r="W710" i="2" a="1"/>
  <c r="H15" i="2" a="1"/>
  <c r="S808" i="2" a="1"/>
  <c r="P574" i="2" a="1"/>
  <c r="H902" i="2" a="1"/>
  <c r="H695" i="2" a="1"/>
  <c r="Q665" i="2" a="1"/>
  <c r="U629" i="2" a="1"/>
  <c r="H923" i="2" a="1"/>
  <c r="M971" i="2" a="1"/>
  <c r="R574" i="2" a="1"/>
  <c r="R2" i="2" a="1"/>
  <c r="W694" i="2" a="1"/>
  <c r="M655" i="2" a="1"/>
  <c r="W883" i="2" a="1"/>
  <c r="O637" i="2" a="1"/>
  <c r="H819" i="2" a="1"/>
  <c r="H583" i="2" a="1"/>
  <c r="U825" i="2" a="1"/>
  <c r="H875" i="2" a="1"/>
  <c r="P746" i="2" a="1"/>
  <c r="W591" i="2" a="1"/>
  <c r="H736" i="2" a="1"/>
  <c r="M895" i="2" a="1"/>
  <c r="P780" i="2" a="1"/>
  <c r="O633" i="2" a="1"/>
  <c r="W529" i="2" a="1"/>
  <c r="W10" i="2" a="1"/>
  <c r="Q856" i="2" a="1"/>
  <c r="N774" i="2" a="1"/>
  <c r="U634" i="2" a="1"/>
  <c r="H538" i="2" a="1"/>
  <c r="N729" i="2" a="1"/>
  <c r="H586" i="2" a="1"/>
  <c r="U599" i="2" a="1"/>
  <c r="T674" i="2" a="1"/>
  <c r="S790" i="2" a="1"/>
  <c r="R836" i="2" a="1"/>
  <c r="H975" i="2" a="1"/>
  <c r="Q719" i="2" a="1"/>
  <c r="S782" i="2" a="1"/>
  <c r="M6" i="2" a="1"/>
  <c r="H548" i="2" a="1"/>
  <c r="P27" i="2" a="1"/>
  <c r="P600" i="2" a="1"/>
  <c r="R840" i="2" a="1"/>
  <c r="R566" i="2" a="1"/>
  <c r="R692" i="2" a="1"/>
  <c r="R698" i="2" a="1"/>
  <c r="N798" i="2" a="1"/>
  <c r="N805" i="2" a="1"/>
  <c r="H524" i="2" a="1"/>
  <c r="H598" i="2" a="1"/>
  <c r="Q777" i="2" a="1"/>
  <c r="U33" i="2" a="1"/>
  <c r="S667" i="2" a="1"/>
  <c r="Q748" i="2" a="1"/>
  <c r="U632" i="2" a="1"/>
  <c r="M584" i="2" a="1"/>
  <c r="H607" i="2" a="1"/>
  <c r="M603" i="2" a="1"/>
  <c r="T9" i="2" a="1"/>
  <c r="R894" i="2" a="1"/>
  <c r="N25" i="2" a="1"/>
  <c r="M656" i="2" a="1"/>
  <c r="M951" i="2" a="1"/>
  <c r="P858" i="2" a="1"/>
  <c r="R17" i="2" a="1"/>
  <c r="Q983" i="2" a="1"/>
  <c r="W9" i="2" a="1"/>
  <c r="T546" i="2" a="1"/>
  <c r="O560" i="2" a="1"/>
  <c r="O30" i="2" a="1"/>
  <c r="R520" i="2" a="1"/>
  <c r="N886" i="2" a="1"/>
  <c r="Q685" i="2" a="1"/>
  <c r="H900" i="2" a="1"/>
  <c r="O27" i="2" a="1"/>
  <c r="M29" i="2" a="1"/>
  <c r="P504" i="2" a="1"/>
  <c r="Q33" i="2" a="1"/>
  <c r="T915" i="2" a="1"/>
  <c r="O31" i="2" a="1"/>
  <c r="T2" i="2" a="1"/>
  <c r="P4" i="2" a="1"/>
  <c r="S709" i="2" a="1"/>
  <c r="H754" i="2" a="1"/>
  <c r="M687" i="2" a="1"/>
  <c r="T594" i="2" a="1"/>
  <c r="W759" i="2" a="1"/>
  <c r="Q924" i="2" a="1"/>
  <c r="H512" i="2" a="1"/>
  <c r="M910" i="2" a="1"/>
  <c r="H701" i="2" a="1"/>
  <c r="H730" i="2" a="1"/>
  <c r="H529" i="2" a="1"/>
  <c r="R582" i="2" a="1"/>
  <c r="U792" i="2" a="1"/>
  <c r="T631" i="2" a="1"/>
  <c r="M839" i="2" a="1"/>
  <c r="H871" i="2" a="1"/>
  <c r="O505" i="2" a="1"/>
  <c r="P977" i="2" a="1"/>
  <c r="S574" i="2" a="1"/>
  <c r="M612" i="2" a="1"/>
  <c r="Q804" i="2" a="1"/>
  <c r="T600" i="2" a="1"/>
  <c r="H633" i="2" a="1"/>
  <c r="U659" i="2" a="1"/>
  <c r="P930" i="2" a="1"/>
  <c r="H982" i="2" a="1"/>
  <c r="T657" i="2" a="1"/>
  <c r="N562" i="2" a="1"/>
  <c r="R701" i="2" a="1"/>
  <c r="R578" i="2" a="1"/>
  <c r="R570" i="2" a="1"/>
  <c r="M885" i="2" a="1"/>
  <c r="M783" i="2" a="1"/>
  <c r="H542" i="2" a="1"/>
  <c r="H533" i="2" a="1"/>
  <c r="W8" i="2" a="1"/>
  <c r="H615" i="2" a="1"/>
  <c r="W16" i="2" a="1"/>
  <c r="T633" i="2" a="1"/>
  <c r="H824" i="2" a="1"/>
  <c r="Q513" i="2" a="1"/>
  <c r="H989" i="2" a="1"/>
  <c r="W701" i="2" a="1"/>
  <c r="T976" i="2" a="1"/>
  <c r="P890" i="2" a="1"/>
  <c r="H823" i="2" a="1"/>
  <c r="P807" i="2" a="1"/>
  <c r="S786" i="2" a="1"/>
  <c r="T698" i="2" a="1"/>
  <c r="P796" i="2" a="1"/>
  <c r="H7" i="2" a="1"/>
  <c r="R725" i="2" a="1"/>
  <c r="U15" i="2" a="1"/>
  <c r="N824" i="2" a="1"/>
  <c r="Q891" i="2" a="1"/>
  <c r="H913" i="2" a="1"/>
  <c r="H620" i="2" a="1"/>
  <c r="T641" i="2" a="1"/>
  <c r="H809" i="2" a="1"/>
  <c r="U689" i="2" a="1"/>
  <c r="H685" i="2" a="1"/>
  <c r="N856" i="2" a="1"/>
  <c r="Q885" i="2" a="1"/>
  <c r="R672" i="2" a="1"/>
  <c r="P886" i="2" a="1"/>
  <c r="U30" i="2" a="1"/>
  <c r="S5" i="2" a="1"/>
  <c r="U646" i="2" a="1"/>
  <c r="H698" i="2" a="1"/>
  <c r="H955" i="2" a="1"/>
  <c r="H705" i="2" a="1"/>
  <c r="M708" i="2" a="1"/>
  <c r="P671" i="2" a="1"/>
  <c r="H502" i="2" a="1"/>
  <c r="S675" i="2" a="1"/>
  <c r="T580" i="2" a="1"/>
  <c r="T801" i="2" a="1"/>
  <c r="P715" i="2" a="1"/>
  <c r="U776" i="2" a="1"/>
  <c r="O517" i="2" a="1"/>
  <c r="S721" i="2" a="1"/>
  <c r="T968" i="2" a="1"/>
  <c r="H775" i="2" a="1"/>
  <c r="N664" i="2" a="1"/>
  <c r="U25" i="2" a="1"/>
  <c r="U914" i="2" a="1"/>
  <c r="P569" i="2" a="1"/>
  <c r="W7" i="2" a="1"/>
  <c r="H646" i="2" a="1"/>
  <c r="O4" i="2" a="1"/>
  <c r="W803" i="2" a="1"/>
  <c r="S8" i="2" a="1"/>
  <c r="T505" i="2" a="1"/>
  <c r="N807" i="2" a="1"/>
  <c r="H835" i="2" a="1"/>
  <c r="H18" i="2" a="1"/>
  <c r="T584" i="2" a="1"/>
  <c r="P29" i="2" a="1"/>
  <c r="O23" i="2" a="1"/>
  <c r="N30" i="2" a="1"/>
  <c r="O17" i="2" a="1"/>
  <c r="T4" i="2" a="1"/>
  <c r="H777" i="2" a="1"/>
  <c r="M680" i="2" a="1"/>
  <c r="M659" i="2" a="1"/>
  <c r="R21" i="2" a="1"/>
  <c r="M823" i="2" a="1"/>
  <c r="Q34" i="2" a="1"/>
  <c r="H974" i="2" a="1"/>
  <c r="H667" i="2" a="1"/>
  <c r="M598" i="2" a="1"/>
  <c r="T764" i="2" a="1"/>
  <c r="U854" i="2" a="1"/>
  <c r="H700" i="2" a="1"/>
  <c r="H504" i="2" a="1"/>
  <c r="W24" i="2" a="1"/>
  <c r="H978" i="2" a="1"/>
  <c r="T510" i="2" a="1"/>
  <c r="M528" i="2" a="1"/>
  <c r="W563" i="2" a="1"/>
  <c r="M27" i="2" a="1"/>
  <c r="W769" i="2" a="1"/>
  <c r="Q9" i="2" a="1"/>
  <c r="Q24" i="2" a="1"/>
  <c r="M23" i="2" a="1"/>
  <c r="H4" i="2" a="1"/>
  <c r="M805" i="2" a="1"/>
  <c r="H888" i="2" a="1"/>
  <c r="T760" i="2" a="1"/>
  <c r="P783" i="2" a="1"/>
  <c r="S568" i="2" a="1"/>
  <c r="S915" i="2" a="1"/>
  <c r="O993" i="2" a="1"/>
  <c r="N535" i="2" a="1"/>
  <c r="R902" i="2" a="1"/>
  <c r="Q808" i="2" a="1"/>
  <c r="H857" i="2" a="1"/>
  <c r="M832" i="2" a="1"/>
  <c r="H759" i="2" a="1"/>
  <c r="W807" i="2" a="1"/>
  <c r="S641" i="2" a="1"/>
  <c r="M831" i="2" a="1"/>
  <c r="S827" i="2" a="1"/>
  <c r="T785" i="2" a="1"/>
  <c r="S854" i="2" a="1"/>
  <c r="U32" i="2" a="1"/>
  <c r="Q762" i="2" a="1"/>
  <c r="R641" i="2" a="1"/>
  <c r="Q507" i="2" a="1"/>
  <c r="H680" i="2" a="1"/>
  <c r="S726" i="2" a="1"/>
  <c r="W637" i="2" a="1"/>
  <c r="Q563" i="2" a="1"/>
  <c r="R916" i="2" a="1"/>
  <c r="P605" i="2" a="1"/>
  <c r="O856" i="2" a="1"/>
  <c r="R636" i="2" a="1"/>
  <c r="U560" i="2" a="1"/>
  <c r="T774" i="2" a="1"/>
  <c r="H932" i="2" a="1"/>
  <c r="W871" i="2" a="1"/>
  <c r="O28" i="2" a="1"/>
  <c r="S564" i="2" a="1"/>
  <c r="N32" i="2" a="1"/>
  <c r="R697" i="2" a="1"/>
  <c r="S646" i="2" a="1"/>
  <c r="N665" i="2" a="1"/>
  <c r="P900" i="2" a="1"/>
  <c r="S660" i="2" a="1"/>
  <c r="M554" i="2" a="1"/>
  <c r="R855" i="2" a="1"/>
  <c r="H983" i="2" a="1"/>
  <c r="H655" i="2" a="1"/>
  <c r="W921" i="2" a="1"/>
  <c r="T768" i="2" a="1"/>
  <c r="H882" i="2" a="1"/>
  <c r="S847" i="2" a="1"/>
  <c r="U10" i="2" a="1"/>
  <c r="P670" i="2" a="1"/>
  <c r="P32" i="2" a="1"/>
  <c r="N3" i="2" a="1"/>
  <c r="H807" i="2" a="1"/>
  <c r="U520" i="2" a="1"/>
  <c r="P697" i="2" a="1"/>
  <c r="U926" i="2" a="1"/>
  <c r="P878" i="2" a="1"/>
  <c r="O6" i="2" a="1"/>
  <c r="M607" i="2" a="1"/>
  <c r="P31" i="2" a="1"/>
  <c r="R983" i="2" a="1"/>
  <c r="W27" i="2" a="1"/>
  <c r="Q768" i="2" a="1"/>
  <c r="T20" i="2" a="1"/>
  <c r="N12" i="2" a="1"/>
  <c r="H944" i="2" a="1"/>
  <c r="O21" i="2" a="1"/>
  <c r="H689" i="2" a="1"/>
  <c r="T544" i="2" a="1"/>
  <c r="Q22" i="2" a="1"/>
  <c r="T560" i="2" a="1"/>
  <c r="M767" i="2" a="1"/>
  <c r="S645" i="2" a="1"/>
  <c r="W14" i="2" a="1"/>
  <c r="M933" i="2" a="1"/>
  <c r="M930" i="2" a="1"/>
  <c r="U507" i="2" a="1"/>
  <c r="U12" i="2" a="1"/>
  <c r="O667" i="2" a="1"/>
  <c r="W607" i="2" a="1"/>
  <c r="W605" i="2" a="1"/>
  <c r="M625" i="2" a="1"/>
  <c r="Q20" i="2" a="1"/>
  <c r="S705" i="2" a="1"/>
  <c r="S804" i="2" a="1"/>
  <c r="Q997" i="2" a="1"/>
  <c r="H818" i="2" a="1"/>
  <c r="T789" i="2" a="1"/>
  <c r="T643" i="2" a="1"/>
  <c r="H971" i="2" a="1"/>
  <c r="W527" i="2" a="1"/>
  <c r="Q697" i="2" a="1"/>
  <c r="R645" i="2" a="1"/>
  <c r="T670" i="2" a="1"/>
  <c r="T565" i="2" a="1"/>
  <c r="H906" i="2" a="1"/>
  <c r="H544" i="2" a="1"/>
  <c r="Q656" i="2" a="1"/>
  <c r="S687" i="2" a="1"/>
  <c r="S831" i="2" a="1"/>
  <c r="H970" i="2" a="1"/>
  <c r="R503" i="2" a="1"/>
  <c r="Q785" i="2" a="1"/>
  <c r="U513" i="2" a="1"/>
  <c r="M617" i="2" a="1"/>
  <c r="H649" i="2" a="1"/>
  <c r="Q963" i="2" a="1"/>
  <c r="R763" i="2" a="1"/>
  <c r="M639" i="2" a="1"/>
  <c r="R668" i="2" a="1"/>
  <c r="W669" i="2" a="1"/>
  <c r="U630" i="2" a="1"/>
  <c r="O816" i="2" a="1"/>
  <c r="R966" i="2" a="1"/>
  <c r="N732" i="2" a="1"/>
  <c r="H503" i="2" a="1"/>
  <c r="R628" i="2" a="1"/>
  <c r="M564" i="2" a="1"/>
  <c r="Q926" i="2" a="1"/>
  <c r="T574" i="2" a="1"/>
  <c r="N20" i="2" a="1"/>
  <c r="H856" i="2" a="1"/>
  <c r="R771" i="2" a="1"/>
  <c r="W891" i="2" a="1"/>
  <c r="W828" i="2" a="1"/>
  <c r="P710" i="2" a="1"/>
  <c r="U1000" i="2" a="1"/>
  <c r="O873" i="2" a="1"/>
  <c r="O875" i="2" a="1"/>
  <c r="U866" i="2" a="1"/>
  <c r="T678" i="2" a="1"/>
  <c r="S754" i="2" a="1"/>
  <c r="W569" i="2" a="1"/>
  <c r="T972" i="2" a="1"/>
  <c r="H952" i="2" a="1"/>
  <c r="S649" i="2" a="1"/>
  <c r="H972" i="2" a="1"/>
  <c r="R743" i="2" a="1"/>
  <c r="M5" i="2" a="1"/>
  <c r="Q817" i="2" a="1"/>
  <c r="M986" i="2" a="1"/>
  <c r="T551" i="2" a="1"/>
  <c r="W718" i="2" a="1"/>
  <c r="M560" i="2" a="1"/>
  <c r="M851" i="2" a="1"/>
  <c r="O7" i="2" a="1"/>
  <c r="M828" i="2" a="1"/>
  <c r="M508" i="2" a="1"/>
  <c r="H621" i="2" a="1"/>
  <c r="H956" i="2" a="1"/>
  <c r="N33" i="2" a="1"/>
  <c r="U663" i="2" a="1"/>
  <c r="N894" i="2" a="1"/>
  <c r="M781" i="2" a="1"/>
  <c r="R809" i="2" a="1"/>
  <c r="H899" i="2" a="1"/>
  <c r="W927" i="2" a="1"/>
  <c r="H763" i="2" a="1"/>
  <c r="P22" i="2" a="1"/>
  <c r="R32" i="2" a="1"/>
  <c r="H16" i="2" a="1"/>
  <c r="S901" i="2" a="1"/>
  <c r="Q793" i="2" a="1"/>
  <c r="M743" i="2" a="1"/>
  <c r="T504" i="2" a="1"/>
  <c r="U556" i="2" a="1"/>
  <c r="P695" i="2" a="1"/>
  <c r="P901" i="2" a="1"/>
  <c r="W879" i="2" a="1"/>
  <c r="H676" i="2" a="1"/>
  <c r="N803" i="2" a="1"/>
  <c r="Q25" i="2" a="1"/>
  <c r="N18" i="2" a="1"/>
  <c r="R557" i="2" a="1"/>
  <c r="N2" i="2" a="1"/>
  <c r="M864" i="2" a="1"/>
  <c r="T846" i="2" a="1"/>
  <c r="S26" i="2" a="1"/>
  <c r="R805" i="2" a="1"/>
  <c r="Q549" i="2" a="1"/>
  <c r="T5" i="2" a="1"/>
  <c r="R792" i="2" a="1"/>
  <c r="U806" i="2" a="1"/>
  <c r="H11" i="2" a="1"/>
  <c r="S25" i="2" a="1"/>
  <c r="R633" i="2" a="1"/>
  <c r="S22" i="2" a="1"/>
  <c r="P753" i="2" a="1"/>
  <c r="W6" i="2" a="1"/>
  <c r="H793" i="2" a="1"/>
  <c r="R9" i="2" a="1"/>
  <c r="M15" i="2" a="1"/>
  <c r="M825" i="2" a="1"/>
  <c r="P20" i="2" a="1"/>
  <c r="T769" i="2" a="1"/>
  <c r="S728" i="2" a="1"/>
  <c r="W899" i="2" a="1"/>
  <c r="U971" i="2" a="1"/>
  <c r="W852" i="2" a="1"/>
  <c r="T800" i="2" a="1"/>
  <c r="O789" i="2" a="1"/>
  <c r="S545" i="2" a="1"/>
  <c r="Q780" i="2" a="1"/>
  <c r="U804" i="2" a="1"/>
  <c r="R592" i="2" a="1"/>
  <c r="R660" i="2" a="1"/>
  <c r="T724" i="2" a="1"/>
  <c r="S640" i="2" a="1"/>
  <c r="S620" i="2" a="1"/>
  <c r="M582" i="2" a="1"/>
  <c r="H771" i="2" a="1"/>
  <c r="S843" i="2" a="1"/>
  <c r="W535" i="2" a="1"/>
  <c r="H505" i="2" a="1"/>
  <c r="P724" i="2" a="1"/>
  <c r="H825" i="2" a="1"/>
  <c r="P819" i="2" a="1"/>
  <c r="S558" i="2" a="1"/>
  <c r="M911" i="2" a="1"/>
  <c r="H903" i="2" a="1"/>
  <c r="S520" i="2" a="1"/>
  <c r="Q789" i="2" a="1"/>
  <c r="M948" i="2" a="1"/>
  <c r="Q517" i="2" a="1"/>
  <c r="T11" i="2" a="1"/>
  <c r="Q833" i="2" a="1"/>
  <c r="P831" i="2" a="1"/>
  <c r="U640" i="2" a="1"/>
  <c r="R990" i="2" a="1"/>
  <c r="H979" i="2" a="1"/>
  <c r="H600" i="2" a="1"/>
  <c r="H977" i="2" a="1"/>
  <c r="H929" i="2" a="1"/>
  <c r="T779" i="2" a="1"/>
  <c r="R962" i="2" a="1"/>
  <c r="P625" i="2" a="1"/>
  <c r="R547" i="2" a="1"/>
  <c r="M28" i="2" a="1"/>
  <c r="M725" i="2" a="1"/>
  <c r="N22" i="2" a="1"/>
  <c r="U817" i="2" a="1"/>
  <c r="N878" i="2" a="1"/>
  <c r="H840" i="2" a="1"/>
  <c r="U900" i="2" a="1"/>
  <c r="R794" i="2" a="1"/>
  <c r="O11" i="2" a="1"/>
  <c r="S819" i="2" a="1"/>
  <c r="U11" i="2" a="1"/>
  <c r="H717" i="2" a="1"/>
  <c r="U18" i="2" a="1"/>
  <c r="U891" i="2" a="1"/>
  <c r="N836" i="2" a="1"/>
  <c r="M665" i="2" a="1"/>
  <c r="O602" i="2" a="1"/>
  <c r="R981" i="2" a="1"/>
  <c r="M753" i="2" a="1"/>
  <c r="U650" i="2" a="1"/>
  <c r="P755" i="2" a="1"/>
  <c r="H781" i="2" a="1"/>
  <c r="N882" i="2" a="1"/>
  <c r="P731" i="2" a="1"/>
  <c r="O20" i="2" a="1"/>
  <c r="M574" i="2" a="1"/>
  <c r="H785" i="2" a="1"/>
  <c r="H739" i="2" a="1"/>
  <c r="M595" i="2" a="1"/>
  <c r="T838" i="2" a="1"/>
  <c r="Q655" i="2" a="1"/>
  <c r="Q516" i="2" a="1"/>
  <c r="U579" i="2" a="1"/>
  <c r="H827" i="2" a="1"/>
  <c r="M538" i="2" a="1"/>
  <c r="H659" i="2" a="1"/>
  <c r="H33" i="2" a="1"/>
  <c r="M835" i="2" a="1"/>
  <c r="O724" i="2" a="1"/>
  <c r="O18" i="2" a="1"/>
  <c r="R832" i="2" a="1"/>
  <c r="M594" i="2" a="1"/>
  <c r="T26" i="2" a="1"/>
  <c r="H654" i="2" a="1"/>
  <c r="T818" i="2" a="1"/>
  <c r="R759" i="2" a="1"/>
  <c r="H681" i="2" a="1"/>
  <c r="S637" i="2" a="1"/>
  <c r="H963" i="2" a="1"/>
  <c r="M504" i="2" a="1"/>
  <c r="U847" i="2" a="1"/>
  <c r="O9" i="2" a="1"/>
  <c r="N908" i="2" a="1"/>
  <c r="H531" i="2" a="1"/>
  <c r="H959" i="2" a="1"/>
  <c r="S724" i="2" a="1"/>
  <c r="U26" i="2" a="1"/>
  <c r="H660" i="2" a="1"/>
  <c r="W26" i="2" a="1"/>
  <c r="N832" i="2" a="1"/>
  <c r="M673" i="2" a="1"/>
  <c r="R800" i="2" a="1"/>
  <c r="O820" i="2" a="1"/>
  <c r="P601" i="2" a="1"/>
  <c r="O608" i="2" a="1"/>
  <c r="R953" i="2" a="1"/>
  <c r="N984" i="2" a="1"/>
  <c r="R867" i="2" a="1"/>
  <c r="T902" i="2" a="1"/>
  <c r="H523" i="2" a="1"/>
  <c r="R785" i="2" a="1"/>
  <c r="H688" i="2" a="1"/>
  <c r="T27" i="2" a="1"/>
  <c r="M862" i="2" a="1"/>
  <c r="M963" i="2" a="1"/>
  <c r="P774" i="2" a="1"/>
  <c r="N5" i="2" a="1"/>
  <c r="U566" i="2" a="1"/>
  <c r="H25" i="2" a="1"/>
  <c r="P912" i="2" a="1"/>
  <c r="Q794" i="2" a="1"/>
  <c r="N814" i="2" a="1"/>
  <c r="P988" i="2" a="1"/>
  <c r="S612" i="2" a="1"/>
  <c r="U831" i="2" a="1"/>
  <c r="P621" i="2" a="1"/>
  <c r="R774" i="2" a="1"/>
  <c r="M852" i="2" a="1"/>
  <c r="P19" i="2" a="1"/>
  <c r="R538" i="2" a="1"/>
  <c r="P719" i="2" a="1"/>
  <c r="O29" i="2" a="1"/>
  <c r="T15" i="2" a="1"/>
  <c r="S24" i="2" a="1"/>
  <c r="N705" i="2" a="1"/>
  <c r="M526" i="2" a="1"/>
  <c r="H852" i="2" a="1"/>
  <c r="M618" i="2" a="1"/>
  <c r="U869" i="2" a="1"/>
  <c r="P690" i="2" a="1"/>
  <c r="M919" i="2" a="1"/>
  <c r="T964" i="2" a="1"/>
  <c r="Q925" i="2" a="1"/>
  <c r="S659" i="2" a="1"/>
  <c r="W33" i="2" a="1"/>
  <c r="H990" i="2" a="1"/>
  <c r="Q921" i="2" a="1"/>
  <c r="R696" i="2" a="1"/>
  <c r="H986" i="2" a="1"/>
  <c r="R924" i="2" a="1"/>
  <c r="M785" i="2" a="1"/>
  <c r="R975" i="2" a="1"/>
  <c r="R925" i="2" a="1"/>
  <c r="H592" i="2" a="1"/>
  <c r="Q770" i="2" a="1"/>
  <c r="N918" i="2" a="1"/>
  <c r="T810" i="2" a="1"/>
  <c r="S894" i="2" a="1"/>
  <c r="H22" i="2" a="1"/>
  <c r="T19" i="2" a="1"/>
  <c r="P26" i="2" a="1"/>
  <c r="M764" i="2" a="1"/>
  <c r="O13" i="2" a="1"/>
  <c r="W3" i="2" a="1"/>
  <c r="S505" i="2" a="1"/>
  <c r="S14" i="2" a="1"/>
  <c r="O10" i="2" a="1"/>
  <c r="U631" i="2" a="1"/>
  <c r="S910" i="2" a="1"/>
  <c r="P931" i="2" a="1"/>
  <c r="W606" i="2" a="1"/>
  <c r="U711" i="2" a="1"/>
  <c r="P983" i="2" a="1"/>
  <c r="Q544" i="2" a="1"/>
  <c r="H601" i="2" a="1"/>
  <c r="R12" i="2" a="1"/>
  <c r="T520" i="2" a="1"/>
  <c r="P2" i="2" a="1"/>
  <c r="O785" i="2" a="1"/>
  <c r="M4" i="2" a="1"/>
  <c r="P874" i="2" a="1"/>
  <c r="O16" i="2" a="1"/>
  <c r="H878" i="2" a="1"/>
  <c r="R744" i="2" a="1"/>
  <c r="T599" i="2" a="1"/>
  <c r="H588" i="2" a="1"/>
  <c r="R933" i="2" a="1"/>
  <c r="Q709" i="2" a="1"/>
  <c r="W986" i="2" a="1"/>
  <c r="O663" i="2" a="1"/>
  <c r="P909" i="2" a="1"/>
  <c r="M674" i="2" a="1"/>
  <c r="W22" i="2" a="1"/>
  <c r="M572" i="2" a="1"/>
  <c r="P764" i="2" a="1"/>
  <c r="P580" i="2" a="1"/>
  <c r="M719" i="2" a="1"/>
  <c r="W611" i="2" a="1"/>
  <c r="N28" i="2" a="1"/>
  <c r="M816" i="2" a="1"/>
  <c r="R640" i="2" a="1"/>
  <c r="P567" i="2" a="1"/>
  <c r="Q660" i="2" a="1"/>
  <c r="H551" i="2" a="1"/>
  <c r="M957" i="2" a="1"/>
  <c r="O632" i="2" a="1"/>
  <c r="M26" i="2" a="1"/>
  <c r="H634" i="2" a="1"/>
  <c r="T645" i="2" a="1"/>
  <c r="P683" i="2" a="1"/>
  <c r="U731" i="2" a="1"/>
  <c r="H3" i="2" a="1"/>
  <c r="W801" i="2" a="1"/>
  <c r="W956" i="2" a="1"/>
  <c r="P809" i="2" a="1"/>
  <c r="M886" i="2" a="1"/>
  <c r="W773" i="2" a="1"/>
  <c r="M907" i="2" a="1"/>
  <c r="N948" i="2" a="1"/>
  <c r="P936" i="2" a="1"/>
  <c r="U638" i="2" a="1"/>
  <c r="H32" i="2" a="1"/>
  <c r="W12" i="2" a="1"/>
  <c r="H20" i="2" a="1"/>
  <c r="Q23" i="2" a="1"/>
  <c r="N7" i="2" a="1"/>
  <c r="R15" i="2" a="1"/>
  <c r="Q592" i="2" a="1"/>
  <c r="M861" i="2" a="1"/>
  <c r="W21" i="2" a="1"/>
  <c r="S801" i="2" a="1"/>
  <c r="O557" i="2" a="1"/>
  <c r="P673" i="2" a="1"/>
  <c r="P649" i="2" a="1"/>
  <c r="H817" i="2" a="1"/>
  <c r="N911" i="2" a="1"/>
  <c r="H546" i="2" a="1"/>
  <c r="H679" i="2" a="1"/>
  <c r="S16" i="2" a="1"/>
  <c r="H26" i="2" a="1"/>
  <c r="Q674" i="2" a="1"/>
  <c r="P14" i="2" a="1"/>
  <c r="M628" i="2" a="1"/>
  <c r="H509" i="2" a="1"/>
  <c r="S15" i="2" a="1"/>
  <c r="M809" i="2" a="1"/>
  <c r="N981" i="2" a="1"/>
  <c r="P942" i="2" a="1"/>
  <c r="Q749" i="2" a="1"/>
  <c r="M847" i="2" a="1"/>
  <c r="T871" i="2" a="1"/>
  <c r="W907" i="2" a="1"/>
  <c r="H580" i="2" a="1"/>
  <c r="M16" i="2" a="1"/>
  <c r="Q825" i="2" a="1"/>
  <c r="O8" i="2" a="1"/>
  <c r="N890" i="2" a="1"/>
  <c r="P811" i="2" a="1"/>
  <c r="H653" i="2" a="1"/>
  <c r="N617" i="2" a="1"/>
  <c r="T629" i="2" a="1"/>
  <c r="N588" i="2" a="1"/>
  <c r="H845" i="2" a="1"/>
  <c r="S742" i="2" a="1"/>
  <c r="M792" i="2" a="1"/>
  <c r="N988" i="2" a="1"/>
  <c r="M588" i="2" a="1"/>
  <c r="R799" i="2" a="1"/>
  <c r="S547" i="2" a="1"/>
  <c r="N695" i="2" a="1"/>
  <c r="O24" i="2" a="1"/>
  <c r="W661" i="2" a="1"/>
  <c r="R31" i="2" a="1"/>
  <c r="N13" i="2" a="1"/>
  <c r="Q591" i="2" a="1"/>
  <c r="N9" i="2" a="1"/>
  <c r="M544" i="2" a="1"/>
  <c r="T8" i="2" a="1"/>
  <c r="W961" i="2" a="1"/>
  <c r="R666" i="2" a="1"/>
  <c r="T807" i="2" a="1"/>
  <c r="P680" i="2" a="1"/>
  <c r="O809" i="2" a="1"/>
  <c r="T541" i="2" a="1"/>
  <c r="S632" i="2" a="1"/>
  <c r="S671" i="2" a="1"/>
  <c r="T16" i="2" a="1"/>
  <c r="T665" i="2" a="1"/>
  <c r="R977" i="2" a="1"/>
  <c r="S581" i="2" a="1"/>
  <c r="U29" i="2" a="1"/>
  <c r="S679" i="2" a="1"/>
  <c r="P21" i="2" a="1"/>
  <c r="M17" i="2" a="1"/>
  <c r="M775" i="2" a="1"/>
  <c r="T981" i="2" a="1"/>
  <c r="P959" i="2" a="1"/>
  <c r="H609" i="2" a="1"/>
  <c r="N716" i="2" a="1"/>
  <c r="M811" i="2" a="1"/>
  <c r="T667" i="2" a="1"/>
  <c r="O824" i="2" a="1"/>
  <c r="T781" i="2" a="1"/>
  <c r="H683" i="2" a="1"/>
  <c r="R26" i="2" a="1"/>
  <c r="R563" i="2" a="1"/>
  <c r="H14" i="2" a="1"/>
  <c r="S886" i="2" a="1"/>
  <c r="M600" i="2" a="1"/>
  <c r="S771" i="2" a="1"/>
  <c r="R877" i="2" a="1"/>
  <c r="P766" i="2" a="1"/>
  <c r="U840" i="2" a="1"/>
  <c r="M827" i="2" a="1"/>
  <c r="R620" i="2" a="1"/>
  <c r="U899" i="2" a="1"/>
  <c r="S683" i="2" a="1"/>
  <c r="M748" i="2" a="1"/>
  <c r="H612" i="2" a="1"/>
  <c r="H648" i="2" a="1"/>
  <c r="T516" i="2" a="1"/>
  <c r="H832" i="2" a="1"/>
  <c r="S13" i="2" a="1"/>
  <c r="H851" i="2" a="1"/>
  <c r="T639" i="2" a="1"/>
  <c r="H830" i="2" a="1"/>
  <c r="M693" i="2" a="1"/>
  <c r="U967" i="2" a="1"/>
  <c r="H803" i="2" a="1"/>
  <c r="Q579" i="2" a="1"/>
  <c r="M8" i="2" a="1"/>
  <c r="W781" i="2" a="1"/>
  <c r="T627" i="2" a="1"/>
  <c r="H890" i="2" a="1"/>
  <c r="N676" i="2" a="1"/>
  <c r="R982" i="2" a="1"/>
  <c r="P669" i="2" a="1"/>
  <c r="U719" i="2" a="1"/>
  <c r="O12" i="2" a="1"/>
  <c r="W629" i="2" a="1"/>
  <c r="T6" i="2" a="1"/>
  <c r="R512" i="2" a="1"/>
  <c r="T745" i="2" a="1"/>
  <c r="R820" i="2" a="1"/>
  <c r="T30" i="2" a="1"/>
  <c r="M810" i="2" a="1"/>
  <c r="Q733" i="2" a="1"/>
  <c r="O893" i="2" a="1"/>
  <c r="H625" i="2" a="1"/>
  <c r="S789" i="2" a="1"/>
  <c r="W722" i="2" a="1"/>
  <c r="H926" i="2" a="1"/>
  <c r="H950" i="2" a="1"/>
  <c r="H719" i="2" a="1"/>
  <c r="W730" i="2" a="1"/>
  <c r="M956" i="2" a="1"/>
  <c r="S27" i="2" a="1"/>
  <c r="H957" i="2" a="1"/>
  <c r="R831" i="2" a="1"/>
  <c r="T917" i="2" a="1"/>
  <c r="M996" i="2" a="1"/>
  <c r="O912" i="2" a="1"/>
  <c r="O783" i="2" a="1"/>
  <c r="U611" i="2" a="1"/>
  <c r="H6" i="2" a="1"/>
  <c r="T549" i="2" a="1"/>
  <c r="Q28" i="2" a="1"/>
  <c r="H31" i="2" a="1"/>
  <c r="R8" i="2" a="1"/>
  <c r="Q558" i="2" a="1"/>
  <c r="H672" i="2" a="1"/>
  <c r="R780" i="2" a="1"/>
  <c r="U4" i="2" a="1"/>
  <c r="W817" i="2" a="1"/>
  <c r="R846" i="2" a="1"/>
  <c r="R753" i="2" a="1"/>
  <c r="W765" i="2" a="1"/>
  <c r="N654" i="2" a="1"/>
  <c r="M896" i="2" a="1"/>
  <c r="N782" i="2" a="1"/>
  <c r="N10" i="2" a="1"/>
  <c r="M11" i="2" a="1"/>
  <c r="N828" i="2" a="1"/>
  <c r="M31" i="2" a="1"/>
  <c r="Q31" i="2" a="1"/>
  <c r="T25" i="2" a="1"/>
  <c r="S10" i="2" a="1"/>
  <c r="W30" i="2" a="1"/>
  <c r="M629" i="2" a="1"/>
  <c r="U934" i="2" a="1"/>
  <c r="P608" i="2" a="1"/>
  <c r="U898" i="2" a="1"/>
  <c r="Q603" i="2" a="1"/>
  <c r="P925" i="2" a="1"/>
  <c r="W789" i="2" a="1"/>
  <c r="P842" i="2" a="1"/>
  <c r="O800" i="2" a="1"/>
  <c r="P28" i="2" a="1"/>
  <c r="O15" i="2" a="1"/>
  <c r="S501" i="2" a="1"/>
  <c r="H671" i="2" a="1"/>
  <c r="P545" i="2" a="1"/>
  <c r="H656" i="2" a="1"/>
  <c r="Q16" i="2" a="1"/>
  <c r="M705" i="2" a="1"/>
  <c r="P565" i="2" a="1"/>
  <c r="O738" i="2" a="1"/>
  <c r="H953" i="2" a="1"/>
  <c r="Q939" i="2" a="1"/>
  <c r="W963" i="2" a="1"/>
  <c r="H19" i="2" a="1"/>
  <c r="O659" i="2" a="1"/>
  <c r="H799" i="2" a="1"/>
  <c r="M13" i="2" a="1"/>
  <c r="M860" i="2" a="1"/>
  <c r="P794" i="2" a="1"/>
  <c r="R776" i="2" a="1"/>
  <c r="M874" i="2" a="1"/>
  <c r="Q581" i="2" a="1"/>
  <c r="S9" i="2" a="1"/>
  <c r="T884" i="2" a="1"/>
  <c r="M881" i="2" a="1"/>
  <c r="U888" i="2" a="1"/>
  <c r="U944" i="2" a="1"/>
  <c r="T758" i="2" a="1"/>
  <c r="W686" i="2" a="1"/>
  <c r="M998" i="2" a="1"/>
  <c r="H783" i="2" a="1"/>
  <c r="W944" i="2" a="1"/>
  <c r="M935" i="2" a="1"/>
  <c r="R33" i="2" a="1"/>
  <c r="U31" i="2" a="1"/>
  <c r="U983" i="2" a="1"/>
  <c r="M858" i="2" a="1"/>
  <c r="Q575" i="2" a="1"/>
  <c r="M668" i="2" a="1"/>
  <c r="S508" i="2" a="1"/>
  <c r="R950" i="2" a="1"/>
  <c r="Q886" i="2" a="1"/>
  <c r="Q760" i="2" a="1"/>
  <c r="M1000" i="2" a="1"/>
  <c r="Q948" i="2" a="1"/>
  <c r="M759" i="2" a="1"/>
  <c r="O781" i="2" a="1"/>
  <c r="T604" i="2" a="1"/>
  <c r="T548" i="2" a="1"/>
  <c r="H527" i="2" a="1"/>
  <c r="W672" i="2" a="1"/>
  <c r="H895" i="2" a="1"/>
  <c r="Q2" i="2" a="1"/>
  <c r="P790" i="2" a="1"/>
  <c r="R874" i="2" a="1"/>
  <c r="M926" i="2" a="1"/>
  <c r="T34" i="2" a="1"/>
  <c r="H880" i="2" a="1"/>
  <c r="W13" i="2" a="1"/>
  <c r="W617" i="2" a="1"/>
  <c r="H34" i="2" a="1"/>
  <c r="H693" i="2" a="1"/>
  <c r="R548" i="2" a="1"/>
  <c r="R644" i="2" a="1"/>
  <c r="S28" i="2" a="1"/>
  <c r="P674" i="2" a="1"/>
  <c r="P679" i="2" a="1"/>
  <c r="P570" i="2" a="1"/>
  <c r="M20" i="2" a="1"/>
  <c r="R551" i="2" a="1"/>
  <c r="W581" i="2" a="1"/>
  <c r="O636" i="2" a="1"/>
  <c r="P12" i="2" a="1"/>
  <c r="T33" i="2" a="1"/>
  <c r="T10" i="2" a="1"/>
  <c r="M737" i="2" a="1"/>
  <c r="W741" i="2" a="1"/>
  <c r="H816" i="2" a="1"/>
  <c r="R789" i="2" a="1"/>
  <c r="P705" i="2" a="1"/>
  <c r="M975" i="2" a="1"/>
  <c r="M701" i="2" a="1"/>
  <c r="Q27" i="2" a="1"/>
  <c r="T3" i="2" a="1"/>
  <c r="O2" i="2" a="1"/>
  <c r="R729" i="2" a="1"/>
  <c r="Q552" i="2" a="1"/>
  <c r="U890" i="2" a="1"/>
  <c r="S866" i="2" a="1"/>
  <c r="Q957" i="2" a="1"/>
  <c r="Q666" i="2" a="1"/>
  <c r="W937" i="2" a="1"/>
  <c r="O722" i="2" a="1"/>
  <c r="H996" i="2" a="1"/>
  <c r="W805" i="2" a="1"/>
  <c r="N660" i="2" a="1"/>
  <c r="U963" i="2" a="1"/>
  <c r="H27" i="2" a="1"/>
  <c r="T668" i="2" a="1"/>
  <c r="Q12" i="2" a="1"/>
  <c r="M793" i="2" a="1"/>
  <c r="N29" i="2" a="1"/>
  <c r="M990" i="2" a="1"/>
  <c r="U750" i="2" a="1"/>
  <c r="W618" i="2" a="1"/>
  <c r="Q618" i="2" a="1"/>
  <c r="S578" i="2" a="1"/>
  <c r="S766" i="2" a="1"/>
  <c r="H843" i="2" a="1"/>
  <c r="M530" i="2" a="1"/>
  <c r="H703" i="2" a="1"/>
  <c r="P938" i="2" a="1"/>
  <c r="R7" i="2" a="1"/>
  <c r="T793" i="2" a="1"/>
  <c r="M632" i="2" a="1"/>
  <c r="H854" i="2" a="1"/>
  <c r="T596" i="2" a="1"/>
  <c r="Q669" i="2" a="1"/>
  <c r="H838" i="2" a="1"/>
  <c r="S625" i="2" a="1"/>
  <c r="O834" i="2" a="1"/>
  <c r="W893" i="2" a="1"/>
  <c r="P701" i="2" a="1"/>
  <c r="O788" i="2" a="1"/>
  <c r="Q651" i="2" a="1"/>
  <c r="W28" i="2" a="1"/>
  <c r="P512" i="2" a="1"/>
  <c r="Q8" i="2" a="1"/>
  <c r="O777" i="2" a="1"/>
  <c r="P857" i="2" a="1"/>
  <c r="T919" i="2" a="1"/>
  <c r="H668" i="2" a="1"/>
  <c r="Q664" i="2" a="1"/>
  <c r="M777" i="2" a="1"/>
  <c r="U742" i="2" a="1"/>
  <c r="T725" i="2" a="1"/>
  <c r="O626" i="2" a="1"/>
  <c r="T993" i="2" a="1"/>
  <c r="R870" i="2" a="1"/>
  <c r="R568" i="2" a="1"/>
  <c r="Q600" i="2" a="1"/>
  <c r="H605" i="2" a="1"/>
  <c r="M739" i="2" a="1"/>
  <c r="P10" i="2" a="1"/>
  <c r="Q629" i="2" a="1"/>
  <c r="U722" i="2" a="1"/>
  <c r="S658" i="2" a="1"/>
  <c r="P9" i="2" a="1"/>
  <c r="P709" i="2" a="1"/>
  <c r="N4" i="2" a="1"/>
  <c r="S760" i="2" a="1"/>
  <c r="M675" i="2" a="1"/>
  <c r="N747" i="2" a="1"/>
  <c r="O758" i="2" a="1"/>
  <c r="O775" i="2" a="1"/>
  <c r="P956" i="2" a="1"/>
  <c r="H535" i="2" a="1"/>
  <c r="Q771" i="2" a="1"/>
  <c r="N26" i="2" a="1"/>
  <c r="M18" i="2" a="1"/>
  <c r="P544" i="2" a="1"/>
  <c r="Q673" i="2" a="1"/>
  <c r="R29" i="2" a="1"/>
  <c r="P8" i="2" a="1"/>
  <c r="T7" i="2" a="1"/>
  <c r="W777" i="2" a="1"/>
  <c r="P814" i="2" a="1"/>
  <c r="T723" i="2" a="1"/>
  <c r="U833" i="2" a="1"/>
  <c r="N722" i="2" a="1"/>
  <c r="M513" i="2" a="1"/>
  <c r="R887" i="2" a="1"/>
  <c r="H707" i="2" a="1"/>
  <c r="S543" i="2" a="1"/>
  <c r="R751" i="2" a="1"/>
  <c r="M697" i="2" a="1"/>
  <c r="S32" i="2" a="1"/>
  <c r="N668" i="2" a="1"/>
  <c r="N8" i="2" a="1"/>
  <c r="R828" i="2" a="1"/>
  <c r="P16" i="2" a="1"/>
  <c r="N641" i="2" a="1"/>
  <c r="R22" i="2" a="1"/>
  <c r="T12" i="2" a="1"/>
  <c r="S926" i="2" a="1"/>
  <c r="P882" i="2" a="1"/>
  <c r="T669" i="2" a="1"/>
  <c r="S569" i="2" a="1"/>
  <c r="S510" i="2" a="1"/>
  <c r="U554" i="2" a="1"/>
  <c r="W952" i="2" a="1"/>
  <c r="M902" i="2" a="1"/>
  <c r="H565" i="2" a="1"/>
  <c r="Q967" i="2" a="1"/>
  <c r="H967" i="2" a="1"/>
  <c r="W731" i="2" a="1"/>
  <c r="Q849" i="2" a="1"/>
  <c r="Q773" i="2" a="1"/>
  <c r="U2" i="2" a="1"/>
  <c r="R516" i="2" a="1"/>
  <c r="H604" i="2" a="1"/>
  <c r="P3" i="2" a="1"/>
  <c r="T967" i="2" a="1"/>
  <c r="H517" i="2" a="1"/>
  <c r="R788" i="2" a="1"/>
  <c r="M664" i="2" a="1"/>
  <c r="U814" i="2" a="1"/>
  <c r="N840" i="2" a="1"/>
  <c r="Q30" i="2" a="1"/>
  <c r="O509" i="2" a="1"/>
  <c r="Q29" i="2" a="1"/>
  <c r="H12" i="2" a="1"/>
  <c r="T741" i="2" a="1"/>
  <c r="M939" i="2" a="1"/>
  <c r="W704" i="2" a="1"/>
  <c r="P966" i="2" a="1"/>
  <c r="H686" i="2" a="1"/>
  <c r="O975" i="2" a="1"/>
  <c r="R778" i="2" a="1"/>
  <c r="H964" i="2" a="1"/>
  <c r="R722" i="2" a="1"/>
  <c r="P675" i="2" a="1"/>
  <c r="H664" i="2" a="1"/>
  <c r="Q959" i="2" a="1"/>
  <c r="O25" i="2" a="1"/>
  <c r="H545" i="2" a="1"/>
  <c r="N669" i="2" a="1"/>
  <c r="H603" i="2" a="1"/>
  <c r="O575" i="2" a="1"/>
  <c r="H993" i="2" a="1"/>
  <c r="H553" i="2" a="1"/>
  <c r="H798" i="2" a="1"/>
  <c r="P970" i="2" a="1"/>
  <c r="R960" i="2" a="1"/>
  <c r="U670" i="2" a="1"/>
  <c r="U772" i="2" a="1"/>
  <c r="P576" i="2" a="1"/>
  <c r="P551" i="2" a="1"/>
  <c r="N16" i="2" a="1"/>
  <c r="H631" i="2" a="1"/>
  <c r="S890" i="2" a="1"/>
  <c r="S762" i="2" a="1"/>
  <c r="P7" i="2" a="1"/>
  <c r="P664" i="2" a="1"/>
  <c r="S19" i="2" a="1"/>
  <c r="R650" i="2" a="1"/>
  <c r="R895" i="2" a="1"/>
  <c r="S830" i="2" a="1"/>
  <c r="T607" i="2" a="1"/>
  <c r="T961" i="2" a="1"/>
  <c r="H815" i="2" a="1"/>
  <c r="P592" i="2" a="1"/>
  <c r="U17" i="2" a="1"/>
  <c r="T901" i="2" a="1"/>
  <c r="N680" i="2" a="1"/>
  <c r="S570" i="2" a="1"/>
  <c r="O513" i="2" a="1"/>
  <c r="H767" i="2" a="1"/>
  <c r="T18" i="2" a="1"/>
  <c r="P792" i="2" a="1"/>
  <c r="P749" i="2" a="1"/>
  <c r="O924" i="2" a="1"/>
  <c r="W873" i="2" a="1"/>
  <c r="P965" i="2" a="1"/>
  <c r="N968" i="2" a="1"/>
  <c r="R915" i="2" a="1"/>
  <c r="P587" i="2" a="1"/>
  <c r="U644" i="2" a="1"/>
  <c r="S23" i="2" a="1"/>
  <c r="M667" i="2" a="1"/>
  <c r="H805" i="2" a="1"/>
  <c r="H23" i="2" a="1"/>
  <c r="H24" i="2" a="1"/>
  <c r="T22" i="2" a="1"/>
  <c r="H930" i="2" a="1"/>
  <c r="O3" i="2" a="1"/>
  <c r="T605" i="2" a="1"/>
  <c r="Q887" i="2" a="1"/>
  <c r="S736" i="2" a="1"/>
  <c r="U803" i="2" a="1"/>
  <c r="U975" i="2" a="1"/>
  <c r="T947" i="2" a="1"/>
  <c r="O901" i="2" a="1"/>
  <c r="W948" i="2" a="1"/>
  <c r="R878" i="2" a="1"/>
  <c r="M9" i="2" a="1"/>
  <c r="S6" i="2" a="1"/>
  <c r="M866" i="2" a="1"/>
  <c r="W533" i="2" a="1"/>
  <c r="M21" i="2" a="1"/>
  <c r="P24" i="2" a="1"/>
  <c r="R13" i="2" a="1"/>
  <c r="H638" i="2" a="1"/>
  <c r="U921" i="2" a="1"/>
  <c r="S712" i="2" a="1"/>
  <c r="S897" i="2" a="1"/>
  <c r="U591" i="2" a="1"/>
  <c r="S885" i="2" a="1"/>
  <c r="W858" i="2" a="1"/>
  <c r="M548" i="2" a="1"/>
  <c r="H642" i="2" a="1"/>
  <c r="M982" i="2" a="1"/>
  <c r="Q698" i="2" a="1"/>
  <c r="N709" i="2" a="1"/>
  <c r="T14" i="2" a="1"/>
  <c r="W736" i="2" a="1"/>
  <c r="W32" i="2" a="1"/>
  <c r="M650" i="2" a="1"/>
  <c r="Q913" i="2" a="1"/>
  <c r="W633" i="2" a="1"/>
  <c r="O926" i="2" a="1"/>
  <c r="U938" i="2" a="1"/>
  <c r="H941" i="2" a="1"/>
  <c r="S657" i="2" a="1"/>
  <c r="Q18" i="2" a="1"/>
  <c r="S633" i="2" a="1"/>
  <c r="H886" i="2" a="1"/>
  <c r="H519" i="2" a="1"/>
  <c r="O840" i="2" a="1"/>
  <c r="P776" i="2" a="1"/>
  <c r="H570" i="2" a="1"/>
  <c r="H770" i="2" a="1"/>
  <c r="S977" i="2" a="1"/>
  <c r="P848" i="2" a="1"/>
  <c r="R882" i="2" a="1"/>
  <c r="S644" i="2" a="1"/>
  <c r="R664" i="2" a="1"/>
  <c r="H947" i="2" a="1"/>
  <c r="N19" i="2" a="1"/>
  <c r="M2" i="2" a="1"/>
  <c r="W600" i="2" a="1"/>
  <c r="U583" i="2" a="1"/>
  <c r="H731" i="2" a="1"/>
  <c r="W560" i="2" a="1"/>
  <c r="H684" i="2" a="1"/>
  <c r="T761" i="2" a="1"/>
  <c r="P11" i="2" a="1"/>
  <c r="M838" i="2" a="1"/>
  <c r="W990" i="2" a="1"/>
  <c r="H575" i="2" a="1"/>
  <c r="T682" i="2" a="1"/>
  <c r="U5" i="2" a="1"/>
  <c r="T799" i="2" a="1"/>
  <c r="N701" i="2" a="1"/>
  <c r="O850" i="2" a="1"/>
  <c r="Q583" i="2" a="1"/>
  <c r="S799" i="2" a="1"/>
  <c r="T592" i="2" a="1"/>
  <c r="H988" i="2" a="1"/>
  <c r="S698" i="2" a="1"/>
  <c r="H501" i="2" a="1"/>
  <c r="W729" i="2" a="1"/>
  <c r="P870" i="2" a="1"/>
  <c r="S585" i="2" a="1"/>
  <c r="U504" i="2" a="1"/>
  <c r="U552" i="2" a="1"/>
  <c r="M747" i="2" a="1"/>
  <c r="P635" i="2" a="1"/>
  <c r="T573" i="2" a="1"/>
  <c r="Q922" i="2" a="1"/>
  <c r="M744" i="2" a="1"/>
  <c r="U812" i="2" a="1"/>
  <c r="N853" i="2" a="1"/>
  <c r="M512" i="2" a="1"/>
  <c r="R6" i="2" a="1"/>
  <c r="M722" i="2" a="1"/>
  <c r="H2" i="2" a="1"/>
  <c r="T729" i="2" a="1"/>
  <c r="N15" i="2" a="1"/>
  <c r="H992" i="2" a="1"/>
  <c r="Q32" i="2" a="1"/>
  <c r="W645" i="2" a="1"/>
  <c r="W5" i="2" a="1"/>
  <c r="N953" i="2" a="1"/>
  <c r="S874" i="2" a="1"/>
  <c r="H924" i="2" a="1"/>
  <c r="Q755" i="2" a="1"/>
  <c r="M624" i="2" a="1"/>
  <c r="T798" i="2" a="1"/>
  <c r="M652" i="2" a="1"/>
  <c r="Q19" i="2" a="1"/>
  <c r="M929" i="2" a="1"/>
  <c r="P23" i="2" a="1"/>
  <c r="M12" i="2" a="1"/>
  <c r="T656" i="2" a="1"/>
  <c r="Q14" i="2" a="1"/>
  <c r="P665" i="2" a="1"/>
  <c r="M934" i="2" a="1"/>
  <c r="W943" i="2" a="1"/>
  <c r="O959" i="2" a="1"/>
  <c r="H573" i="2" a="1"/>
  <c r="N1000" i="2" a="1"/>
  <c r="Q882" i="2" a="1"/>
  <c r="H690" i="2" a="1"/>
  <c r="U622" i="2" a="1"/>
  <c r="N672" i="2" a="1"/>
  <c r="O14" i="2" a="1"/>
  <c r="Q15" i="2" a="1"/>
  <c r="N854" i="2" a="1"/>
  <c r="R34" i="2" a="1"/>
  <c r="O33" i="2" a="1"/>
  <c r="N31" i="2" a="1"/>
  <c r="M604" i="2" a="1"/>
  <c r="W23" i="2" a="1"/>
  <c r="N17" i="2" a="1"/>
  <c r="S803" i="2" a="1"/>
  <c r="P757" i="2" a="1"/>
  <c r="P747" i="2" a="1"/>
  <c r="Q869" i="2" a="1"/>
  <c r="U635" i="2" a="1"/>
  <c r="R580" i="2" a="1"/>
  <c r="S882" i="2" a="1"/>
  <c r="M645" i="2" a="1"/>
  <c r="P17" i="2" a="1"/>
  <c r="P730" i="2" a="1"/>
  <c r="R851" i="2" a="1"/>
  <c r="Q566" i="2" a="1"/>
  <c r="Q7" i="2" a="1"/>
  <c r="M14" i="2" a="1"/>
  <c r="U24" i="2" a="1"/>
  <c r="H675" i="2" a="1"/>
  <c r="Q864" i="2" a="1"/>
  <c r="H734" i="2" a="1"/>
  <c r="P745" i="2" a="1"/>
  <c r="M523" i="2" a="1"/>
  <c r="O887" i="2" a="1"/>
  <c r="H663" i="2" a="1"/>
  <c r="O5" i="2" a="1"/>
  <c r="R23" i="2" a="1"/>
  <c r="Q4" i="2" a="1"/>
  <c r="T811" i="2" a="1"/>
  <c r="U656" i="2" a="1"/>
  <c r="T23" i="2" a="1"/>
  <c r="Q758" i="2" a="1"/>
  <c r="P827" i="2" a="1"/>
  <c r="M819" i="2" a="1"/>
  <c r="Q874" i="2" a="1"/>
  <c r="W920" i="2" a="1"/>
  <c r="M717" i="2" a="1"/>
  <c r="H21" i="2" a="1"/>
  <c r="W971" i="2" a="1"/>
  <c r="S860" i="2" a="1"/>
  <c r="M3" i="2" a="1"/>
  <c r="W20" i="2" a="1"/>
  <c r="M784" i="2" a="1"/>
  <c r="S870" i="2" a="1"/>
  <c r="M24" i="2" a="1"/>
  <c r="P15" i="2" a="1"/>
  <c r="O925" i="2" a="1"/>
  <c r="U828" i="2" a="1"/>
  <c r="P866" i="2" a="1"/>
  <c r="H934" i="2" a="1"/>
  <c r="M894" i="2" a="1"/>
  <c r="P808" i="2" a="1"/>
  <c r="U27" i="2" a="1"/>
  <c r="S793" i="2" a="1"/>
  <c r="Q841" i="2" a="1"/>
  <c r="N846" i="2" a="1"/>
  <c r="N775" i="2" a="1"/>
  <c r="U996" i="2" a="1"/>
  <c r="O964" i="2" a="1"/>
  <c r="N952" i="2" a="1"/>
  <c r="N662" i="2" a="1"/>
  <c r="S774" i="2" a="1"/>
  <c r="P590" i="2" a="1"/>
  <c r="T638" i="2" a="1"/>
  <c r="P999" i="2" a="1"/>
  <c r="R978" i="2" a="1"/>
  <c r="O551" i="2" a="1"/>
  <c r="U991" i="2" a="1"/>
  <c r="T621" i="2" a="1"/>
  <c r="H762" i="2" a="1"/>
  <c r="S763" i="2" a="1"/>
  <c r="S841" i="2" a="1"/>
  <c r="U14" i="2" a="1"/>
  <c r="M887" i="2" a="1"/>
  <c r="U608" i="2" a="1"/>
  <c r="T543" i="2" a="1"/>
  <c r="N891" i="2" a="1"/>
  <c r="U909" i="2" a="1"/>
  <c r="M638" i="2" a="1"/>
  <c r="H868" i="2" a="1"/>
  <c r="O578" i="2" a="1"/>
  <c r="T883" i="2" a="1"/>
  <c r="U594" i="2" a="1"/>
  <c r="T618" i="2" a="1"/>
  <c r="W941" i="2" a="1"/>
  <c r="U855" i="2" a="1"/>
  <c r="M856" i="2" a="1"/>
  <c r="S542" i="2" a="1"/>
  <c r="H651" i="2" a="1"/>
  <c r="M800" i="2" a="1"/>
  <c r="O506" i="2" a="1"/>
  <c r="Q743" i="2" a="1"/>
  <c r="R980" i="2" a="1"/>
  <c r="R554" i="2" a="1"/>
  <c r="N679" i="2" a="1"/>
  <c r="S761" i="2" a="1"/>
  <c r="T840" i="2" a="1"/>
  <c r="N837" i="2" a="1"/>
  <c r="R662" i="2" a="1"/>
  <c r="N621" i="2" a="1"/>
  <c r="M581" i="2" a="1"/>
  <c r="U824" i="2" a="1"/>
  <c r="S925" i="2" a="1"/>
  <c r="H594" i="2" a="1"/>
  <c r="T545" i="2" a="1"/>
  <c r="U829" i="2" a="1"/>
  <c r="T742" i="2" a="1"/>
  <c r="R843" i="2" a="1"/>
  <c r="U913" i="2" a="1"/>
  <c r="N737" i="2" a="1"/>
  <c r="O606" i="2" a="1"/>
  <c r="M773" i="2" a="1"/>
  <c r="U705" i="2" a="1"/>
  <c r="O761" i="2" a="1"/>
  <c r="S969" i="2" a="1"/>
  <c r="R897" i="2" a="1"/>
  <c r="T622" i="2" a="1"/>
  <c r="H891" i="2" a="1"/>
  <c r="R631" i="2" a="1"/>
  <c r="P660" i="2" a="1"/>
  <c r="U917" i="2" a="1"/>
  <c r="S996" i="2" a="1"/>
  <c r="H938" i="2" a="1"/>
  <c r="N623" i="2" a="1"/>
  <c r="Q723" i="2" a="1"/>
  <c r="T796" i="2" a="1"/>
  <c r="U758" i="2" a="1"/>
  <c r="O906" i="2" a="1"/>
  <c r="O594" i="2" a="1"/>
  <c r="W544" i="2" a="1"/>
  <c r="S779" i="2" a="1"/>
  <c r="N622" i="2" a="1"/>
  <c r="S825" i="2" a="1"/>
  <c r="U546" i="2" a="1"/>
  <c r="N554" i="2" a="1"/>
  <c r="S591" i="2" a="1"/>
  <c r="Q790" i="2" a="1"/>
  <c r="P840" i="2" a="1"/>
  <c r="W896" i="2" a="1"/>
  <c r="T931" i="2" a="1"/>
  <c r="T662" i="2" a="1"/>
  <c r="R963" i="2" a="1"/>
  <c r="M854" i="2" a="1"/>
  <c r="N584" i="2" a="1"/>
  <c r="S3" i="2" a="1"/>
  <c r="M729" i="2" a="1"/>
  <c r="R824" i="2" a="1"/>
  <c r="R637" i="2" a="1"/>
  <c r="U548" i="2" a="1"/>
  <c r="O718" i="2" a="1"/>
  <c r="W939" i="2" a="1"/>
  <c r="W18" i="2" a="1"/>
  <c r="R869" i="2" a="1"/>
  <c r="U771" i="2" a="1"/>
  <c r="U34" i="2" a="1"/>
  <c r="W25" i="2" a="1"/>
  <c r="W881" i="2" a="1"/>
  <c r="W530" i="2" a="1"/>
  <c r="O640" i="2" a="1"/>
  <c r="H13" i="2" a="1"/>
  <c r="R940" i="2" a="1"/>
  <c r="R544" i="2" a="1"/>
  <c r="H872" i="2" a="1"/>
  <c r="H576" i="2" a="1"/>
  <c r="N694" i="2" a="1"/>
  <c r="M890" i="2" a="1"/>
  <c r="N786" i="2" a="1"/>
  <c r="S785" i="2" a="1"/>
  <c r="M921" i="2" a="1"/>
  <c r="U600" i="2" a="1"/>
  <c r="M19" i="2" a="1"/>
  <c r="U780" i="2" a="1"/>
  <c r="H682" i="2" a="1"/>
  <c r="Q661" i="2" a="1"/>
  <c r="W676" i="2" a="1"/>
  <c r="O990" i="2" a="1"/>
  <c r="S716" i="2" a="1"/>
  <c r="M738" i="2" a="1"/>
  <c r="U763" i="2" a="1"/>
  <c r="H945" i="2" a="1"/>
  <c r="Q617" i="2" a="1"/>
  <c r="W766" i="2" a="1"/>
  <c r="M837" i="2" a="1"/>
  <c r="W865" i="2" a="1"/>
  <c r="U871" i="2" a="1"/>
  <c r="T936" i="2" a="1"/>
  <c r="S924" i="2" a="1"/>
  <c r="T649" i="2" a="1"/>
  <c r="S719" i="2" a="1"/>
  <c r="Q5" i="2" a="1"/>
  <c r="W709" i="2" a="1"/>
  <c r="N957" i="2" a="1"/>
  <c r="S949" i="2" a="1"/>
  <c r="H758" i="2" a="1"/>
  <c r="R929" i="2" a="1"/>
  <c r="R888" i="2" a="1"/>
  <c r="P760" i="2" a="1"/>
  <c r="R625" i="2" a="1"/>
  <c r="Q682" i="2" a="1"/>
  <c r="M716" i="2" a="1"/>
  <c r="T606" i="2" a="1"/>
  <c r="M798" i="2" a="1"/>
  <c r="S943" i="2" a="1"/>
  <c r="H687" i="2" a="1"/>
  <c r="U735" i="2" a="1"/>
  <c r="H748" i="2" a="1"/>
  <c r="R19" i="2" a="1"/>
  <c r="T937" i="2" a="1"/>
  <c r="P880" i="2" a="1"/>
  <c r="M731" i="2" a="1"/>
  <c r="P975" i="2" a="1"/>
  <c r="S844" i="2" a="1"/>
  <c r="T692" i="2" a="1"/>
  <c r="R971" i="2" a="1"/>
  <c r="R922" i="2" a="1"/>
  <c r="Q952" i="2" a="1"/>
  <c r="Q725" i="2" a="1"/>
  <c r="N915" i="2" a="1"/>
  <c r="T906" i="2" a="1"/>
  <c r="O568" i="2" a="1"/>
  <c r="U716" i="2" a="1"/>
  <c r="R20" i="2" a="1"/>
  <c r="T553" i="2" a="1"/>
  <c r="N708" i="2" a="1"/>
  <c r="T770" i="2" a="1"/>
  <c r="M865" i="2" a="1"/>
  <c r="M977" i="2" a="1"/>
  <c r="N859" i="2" a="1"/>
  <c r="R914" i="2" a="1"/>
  <c r="N930" i="2" a="1"/>
  <c r="Q928" i="2" a="1"/>
  <c r="H727" i="2" a="1"/>
  <c r="S630" i="2" a="1"/>
  <c r="R536" i="2" a="1"/>
  <c r="O981" i="2" a="1"/>
  <c r="P738" i="2" a="1"/>
  <c r="N606" i="2" a="1"/>
  <c r="W653" i="2" a="1"/>
  <c r="Q835" i="2" a="1"/>
  <c r="S708" i="2" a="1"/>
  <c r="Q915" i="2" a="1"/>
  <c r="H935" i="2" a="1"/>
  <c r="W670" i="2" a="1"/>
  <c r="H595" i="2" a="1"/>
  <c r="H627" i="2" a="1"/>
  <c r="M699" i="2" a="1"/>
  <c r="P767" i="2" a="1"/>
  <c r="R601" i="2" a="1"/>
  <c r="U848" i="2" a="1"/>
  <c r="R752" i="2" a="1"/>
  <c r="S621" i="2" a="1"/>
  <c r="H673" i="2" a="1"/>
  <c r="U693" i="2" a="1"/>
  <c r="M878" i="2" a="1"/>
  <c r="H859" i="2" a="1"/>
  <c r="P751" i="2" a="1"/>
  <c r="S833" i="2" a="1"/>
  <c r="T696" i="2" a="1"/>
  <c r="Q1000" i="2" a="1"/>
  <c r="T642" i="2" a="1"/>
  <c r="U907" i="2" a="1"/>
  <c r="H778" i="2" a="1"/>
  <c r="T713" i="2" a="1"/>
  <c r="T744" i="2" a="1"/>
  <c r="N742" i="2" a="1"/>
  <c r="U677" i="2" a="1"/>
  <c r="R904" i="2" a="1"/>
  <c r="Q727" i="2" a="1"/>
  <c r="H515" i="2" a="1"/>
  <c r="H28" i="2" a="1"/>
  <c r="H696" i="2" a="1"/>
  <c r="M651" i="2" a="1"/>
  <c r="U698" i="2" a="1"/>
  <c r="U660" i="2" a="1"/>
  <c r="R28" i="2" a="1"/>
  <c r="R890" i="2" a="1"/>
  <c r="U922" i="2" a="1"/>
  <c r="R598" i="2" a="1"/>
  <c r="H566" i="2" a="1"/>
  <c r="R603" i="2" a="1"/>
  <c r="H921" i="2" a="1"/>
  <c r="S729" i="2" a="1"/>
  <c r="H650" i="2" a="1"/>
  <c r="W522" i="2" a="1"/>
  <c r="Q918" i="2" a="1"/>
  <c r="P633" i="2" a="1"/>
  <c r="T601" i="2" a="1"/>
  <c r="Q21" i="2" a="1"/>
  <c r="M969" i="2" a="1"/>
  <c r="U651" i="2" a="1"/>
  <c r="P5" i="2" a="1"/>
  <c r="M676" i="2" a="1"/>
  <c r="W659" i="2" a="1"/>
  <c r="R14" i="2" a="1"/>
  <c r="W714" i="2" a="1"/>
  <c r="O32" i="2" a="1"/>
  <c r="P992" i="2" a="1"/>
  <c r="P694" i="2" a="1"/>
  <c r="T24" i="2" a="1"/>
  <c r="S30" i="2" a="1"/>
  <c r="Q848" i="2" a="1"/>
  <c r="O644" i="2" a="1"/>
  <c r="P34" i="2" a="1"/>
  <c r="O967" i="2" a="1"/>
  <c r="S800" i="2" a="1"/>
  <c r="O992" i="2" a="1"/>
  <c r="P806" i="2" a="1"/>
  <c r="N817" i="2" a="1"/>
  <c r="M802" i="2" a="1"/>
  <c r="Q933" i="2" a="1"/>
  <c r="O762" i="2" a="1"/>
  <c r="M736" i="2" a="1"/>
  <c r="S735" i="2" a="1"/>
  <c r="Q993" i="2" a="1"/>
  <c r="N682" i="2" a="1"/>
  <c r="P877" i="2" a="1"/>
  <c r="S930" i="2" a="1"/>
  <c r="Q877" i="2" a="1"/>
  <c r="N820" i="2" a="1"/>
  <c r="P702" i="2" a="1"/>
  <c r="U924" i="2" a="1"/>
  <c r="W754" i="2" a="1"/>
  <c r="R712" i="2" a="1"/>
  <c r="Q628" i="2" a="1"/>
  <c r="N802" i="2" a="1"/>
  <c r="S772" i="2" a="1"/>
  <c r="M730" i="2" a="1"/>
  <c r="O865" i="2" a="1"/>
  <c r="H936" i="2" a="1"/>
  <c r="R702" i="2" a="1"/>
  <c r="M829" i="2" a="1"/>
  <c r="H674" i="2" a="1"/>
  <c r="U679" i="2" a="1"/>
  <c r="S663" i="2" a="1"/>
  <c r="M567" i="2" a="1"/>
  <c r="R728" i="2" a="1"/>
  <c r="M788" i="2" a="1"/>
  <c r="P720" i="2" a="1"/>
  <c r="S609" i="2" a="1"/>
  <c r="U619" i="2" a="1"/>
  <c r="O943" i="2" a="1"/>
  <c r="S727" i="2" a="1"/>
  <c r="U721" i="2" a="1"/>
  <c r="Q525" i="2" a="1"/>
  <c r="M741" i="2" a="1"/>
  <c r="W640" i="2" a="1"/>
  <c r="Q851" i="2" a="1"/>
  <c r="O620" i="2" a="1"/>
  <c r="H572" i="2" a="1"/>
  <c r="O629" i="2" a="1"/>
  <c r="N914" i="2" a="1"/>
  <c r="T944" i="2" a="1"/>
  <c r="M841" i="2" a="1"/>
  <c r="T655" i="2" a="1"/>
  <c r="H753" i="2" a="1"/>
  <c r="H811" i="2" a="1"/>
  <c r="O968" i="2" a="1"/>
  <c r="O889" i="2" a="1"/>
  <c r="H760" i="2" a="1"/>
  <c r="Q608" i="2" a="1"/>
  <c r="R757" i="2" a="1"/>
  <c r="N958" i="2" a="1"/>
  <c r="M644" i="2" a="1"/>
  <c r="U860" i="2" a="1"/>
  <c r="M848" i="2" a="1"/>
  <c r="T17" i="2" a="1"/>
  <c r="R862" i="2" a="1"/>
  <c r="W844" i="2" a="1"/>
  <c r="P928" i="2" a="1"/>
  <c r="R787" i="2" a="1"/>
  <c r="P960" i="2" a="1"/>
  <c r="S979" i="2" a="1"/>
  <c r="U882" i="2" a="1"/>
  <c r="R755" i="2" a="1"/>
  <c r="N875" i="2" a="1"/>
  <c r="W747" i="2" a="1"/>
  <c r="S703" i="2" a="1"/>
  <c r="N801" i="2" a="1"/>
  <c r="U946" i="2" a="1"/>
  <c r="O630" i="2" a="1"/>
  <c r="N661" i="2" a="1"/>
  <c r="M32" i="2" a="1"/>
  <c r="Q893" i="2" a="1"/>
  <c r="W946" i="2" a="1"/>
  <c r="O954" i="2" a="1"/>
  <c r="U595" i="2" a="1"/>
  <c r="T772" i="2" a="1"/>
  <c r="P884" i="2" a="1"/>
  <c r="O522" i="2" a="1"/>
  <c r="O771" i="2" a="1"/>
  <c r="Q892" i="2" a="1"/>
  <c r="T786" i="2" a="1"/>
  <c r="T832" i="2" a="1"/>
  <c r="W734" i="2" a="1"/>
  <c r="O974" i="2" a="1"/>
  <c r="P572" i="2" a="1"/>
  <c r="N874" i="2" a="1"/>
  <c r="T610" i="2" a="1"/>
  <c r="W935" i="2" a="1"/>
  <c r="T652" i="2" a="1"/>
  <c r="H958" i="2" a="1"/>
  <c r="O19" i="2" a="1"/>
  <c r="U20" i="2" a="1"/>
  <c r="Q971" i="2" a="1"/>
  <c r="Q704" i="2" a="1"/>
  <c r="M771" i="2" a="1"/>
  <c r="S629" i="2" a="1"/>
  <c r="U7" i="2" a="1"/>
  <c r="H780" i="2" a="1"/>
  <c r="N698" i="2" a="1"/>
  <c r="M833" i="2" a="1"/>
  <c r="R24" i="2" a="1"/>
  <c r="N735" i="2" a="1"/>
  <c r="S502" i="2" a="1"/>
  <c r="S653" i="2" a="1"/>
  <c r="T711" i="2" a="1"/>
  <c r="N639" i="2" a="1"/>
  <c r="T923" i="2" a="1"/>
  <c r="R667" i="2" a="1"/>
  <c r="O631" i="2" a="1"/>
  <c r="T776" i="2" a="1"/>
  <c r="U549" i="2" a="1"/>
  <c r="T659" i="2" a="1"/>
  <c r="Q962" i="2" a="1"/>
  <c r="R992" i="2" a="1"/>
  <c r="S758" i="2" a="1"/>
  <c r="R680" i="2" a="1"/>
  <c r="U974" i="2" a="1"/>
  <c r="U953" i="2" a="1"/>
  <c r="S797" i="2" a="1"/>
  <c r="P800" i="2" a="1"/>
  <c r="W712" i="2" a="1"/>
  <c r="P851" i="2" a="1"/>
  <c r="P902" i="2" a="1"/>
  <c r="S654" i="2" a="1"/>
  <c r="W924" i="2" a="1"/>
  <c r="M578" i="2" a="1"/>
  <c r="W615" i="2" a="1"/>
  <c r="W835" i="2" a="1"/>
  <c r="N866" i="2" a="1"/>
  <c r="T918" i="2" a="1"/>
  <c r="P581" i="2" a="1"/>
  <c r="H894" i="2" a="1"/>
  <c r="W980" i="2" a="1"/>
  <c r="Q512" i="2" a="1"/>
  <c r="M808" i="2" a="1"/>
  <c r="W752" i="2" a="1"/>
  <c r="U690" i="2" a="1"/>
  <c r="S692" i="2" a="1"/>
  <c r="H761" i="2" a="1"/>
  <c r="R946" i="2" a="1"/>
  <c r="T666" i="2" a="1"/>
  <c r="W647" i="2" a="1"/>
  <c r="R572" i="2" a="1"/>
  <c r="T726" i="2" a="1"/>
  <c r="T648" i="2" a="1"/>
  <c r="P631" i="2" a="1"/>
  <c r="O908" i="2" a="1"/>
  <c r="M754" i="2" a="1"/>
  <c r="S832" i="2" a="1"/>
  <c r="O746" i="2" a="1"/>
  <c r="T13" i="2" a="1"/>
  <c r="T737" i="2" a="1"/>
  <c r="P636" i="2" a="1"/>
  <c r="W583" i="2" a="1"/>
  <c r="Q650" i="2" a="1"/>
  <c r="M928" i="2" a="1"/>
  <c r="N605" i="2" a="1"/>
  <c r="T676" i="2" a="1"/>
  <c r="T837" i="2" a="1"/>
  <c r="P855" i="2" a="1"/>
  <c r="W553" i="2" a="1"/>
  <c r="T784" i="2" a="1"/>
  <c r="N674" i="2" a="1"/>
  <c r="W843" i="2" a="1"/>
  <c r="W995" i="2" a="1"/>
  <c r="P839" i="2" a="1"/>
  <c r="W809" i="2" a="1"/>
  <c r="S666" i="2" a="1"/>
  <c r="S845" i="2" a="1"/>
  <c r="M727" i="2" a="1"/>
  <c r="U563" i="2" a="1"/>
  <c r="W761" i="2" a="1"/>
  <c r="R614" i="2" a="1"/>
  <c r="T996" i="2" a="1"/>
  <c r="O846" i="2" a="1"/>
  <c r="T933" i="2" a="1"/>
  <c r="U623" i="2" a="1"/>
  <c r="P847" i="2" a="1"/>
  <c r="P924" i="2" a="1"/>
  <c r="P962" i="2" a="1"/>
  <c r="O920" i="2" a="1"/>
  <c r="M647" i="2" a="1"/>
  <c r="P30" i="2" a="1"/>
  <c r="O727" i="2" a="1"/>
  <c r="Q690" i="2" a="1"/>
  <c r="W783" i="2" a="1"/>
  <c r="Q984" i="2" a="1"/>
  <c r="M989" i="2" a="1"/>
  <c r="S702" i="2" a="1"/>
  <c r="N816" i="2" a="1"/>
  <c r="W799" i="2" a="1"/>
  <c r="Q684" i="2" a="1"/>
  <c r="H867" i="2" a="1"/>
  <c r="M980" i="2" a="1"/>
  <c r="O766" i="2" a="1"/>
  <c r="W610" i="2" a="1"/>
  <c r="M524" i="2" a="1"/>
  <c r="W17" i="2" a="1"/>
  <c r="O982" i="2" a="1"/>
  <c r="P978" i="2" a="1"/>
  <c r="R749" i="2" a="1"/>
  <c r="W821" i="2" a="1"/>
  <c r="T640" i="2" a="1"/>
  <c r="R931" i="2" a="1"/>
  <c r="U727" i="2" a="1"/>
  <c r="S752" i="2" a="1"/>
  <c r="O851" i="2" a="1"/>
  <c r="P947" i="2" a="1"/>
  <c r="H559" i="2" a="1"/>
  <c r="T561" i="2" a="1"/>
  <c r="Q873" i="2" a="1"/>
  <c r="S690" i="2" a="1"/>
  <c r="U736" i="2" a="1"/>
  <c r="H968" i="2" a="1"/>
  <c r="H639" i="2" a="1"/>
  <c r="P682" i="2" a="1"/>
  <c r="M516" i="2" a="1"/>
  <c r="W960" i="2" a="1"/>
  <c r="P661" i="2" a="1"/>
  <c r="P560" i="2" a="1"/>
  <c r="T501" i="2" a="1"/>
  <c r="P964" i="2" a="1"/>
  <c r="M709" i="2" a="1"/>
  <c r="H765" i="2" a="1"/>
  <c r="S861" i="2" a="1"/>
  <c r="P773" i="2" a="1"/>
  <c r="O646" i="2" a="1"/>
  <c r="O784" i="2" a="1"/>
  <c r="N677" i="2" a="1"/>
  <c r="O26" i="2" a="1"/>
  <c r="T21" i="2" a="1"/>
  <c r="M812" i="2" a="1"/>
  <c r="O742" i="2" a="1"/>
  <c r="R18" i="2" a="1"/>
  <c r="M22" i="2" a="1"/>
  <c r="P726" i="2" a="1"/>
  <c r="S711" i="2" a="1"/>
  <c r="O793" i="2" a="1"/>
  <c r="R958" i="2" a="1"/>
  <c r="S680" i="2" a="1"/>
  <c r="W968" i="2" a="1"/>
  <c r="R3" i="2" a="1"/>
  <c r="W11" i="2" a="1"/>
  <c r="T908" i="2" a="1"/>
  <c r="O617" i="2" a="1"/>
  <c r="T582" i="2" a="1"/>
  <c r="W595" i="2" a="1"/>
  <c r="M813" i="2" a="1"/>
  <c r="W690" i="2" a="1"/>
  <c r="P740" i="2" a="1"/>
  <c r="R593" i="2" a="1"/>
  <c r="R829" i="2" a="1"/>
  <c r="W823" i="2" a="1"/>
  <c r="O688" i="2" a="1"/>
  <c r="S1000" i="2" a="1"/>
  <c r="S912" i="2" a="1"/>
  <c r="Q938" i="2" a="1"/>
  <c r="Q979" i="2" a="1"/>
  <c r="P885" i="2" a="1"/>
  <c r="O547" i="2" a="1"/>
  <c r="T766" i="2" a="1"/>
  <c r="Q587" i="2" a="1"/>
  <c r="W856" i="2" a="1"/>
  <c r="N590" i="2" a="1"/>
  <c r="H738" i="2" a="1"/>
  <c r="R746" i="2" a="1"/>
  <c r="R999" i="2" a="1"/>
  <c r="W772" i="2" a="1"/>
  <c r="H841" i="2" a="1"/>
  <c r="T754" i="2" a="1"/>
  <c r="U820" i="2" a="1"/>
  <c r="M745" i="2" a="1"/>
  <c r="H812" i="2" a="1"/>
  <c r="T628" i="2" a="1"/>
  <c r="Q671" i="2" a="1"/>
  <c r="R704" i="2" a="1"/>
  <c r="P974" i="2" a="1"/>
  <c r="S777" i="2" a="1"/>
  <c r="O552" i="2" a="1"/>
  <c r="Q889" i="2" a="1"/>
  <c r="Q763" i="2" a="1"/>
  <c r="U863" i="2" a="1"/>
  <c r="N627" i="2" a="1"/>
  <c r="R813" i="2" a="1"/>
  <c r="U737" i="2" a="1"/>
  <c r="U607" i="2" a="1"/>
  <c r="O882" i="2" a="1"/>
  <c r="U925" i="2" a="1"/>
  <c r="S995" i="2" a="1"/>
  <c r="N976" i="2" a="1"/>
  <c r="M807" i="2" a="1"/>
  <c r="S764" i="2" a="1"/>
  <c r="O723" i="2" a="1"/>
  <c r="N633" i="2" a="1"/>
  <c r="O519" i="2" a="1"/>
  <c r="Q625" i="2" a="1"/>
  <c r="U856" i="2" a="1"/>
  <c r="T857" i="2" a="1"/>
  <c r="O917" i="2" a="1"/>
  <c r="W643" i="2" a="1"/>
  <c r="S548" i="2" a="1"/>
  <c r="W813" i="2" a="1"/>
  <c r="M786" i="2" a="1"/>
  <c r="W603" i="2" a="1"/>
  <c r="P606" i="2" a="1"/>
  <c r="S791" i="2" a="1"/>
  <c r="R875" i="2" a="1"/>
  <c r="R575" i="2" a="1"/>
  <c r="W848" i="2" a="1"/>
  <c r="T775" i="2" a="1"/>
  <c r="Q759" i="2" a="1"/>
  <c r="R917" i="2" a="1"/>
  <c r="S999" i="2" a="1"/>
  <c r="W818" i="2" a="1"/>
  <c r="O681" i="2" a="1"/>
  <c r="O867" i="2" a="1"/>
  <c r="S950" i="2" a="1"/>
  <c r="Q862" i="2" a="1"/>
  <c r="S867" i="2" a="1"/>
  <c r="O941" i="2" a="1"/>
  <c r="S997" i="2" a="1"/>
  <c r="W639" i="2" a="1"/>
  <c r="M914" i="2" a="1"/>
  <c r="O686" i="2" a="1"/>
  <c r="W29" i="2" a="1"/>
  <c r="H713" i="2" a="1"/>
  <c r="R716" i="2" a="1"/>
  <c r="N726" i="2" a="1"/>
  <c r="M761" i="2" a="1"/>
  <c r="M892" i="2" a="1"/>
  <c r="Q998" i="2" a="1"/>
  <c r="M519" i="2" a="1"/>
  <c r="O829" i="2" a="1"/>
  <c r="T773" i="2" a="1"/>
  <c r="W697" i="2" a="1"/>
  <c r="O946" i="2" a="1"/>
  <c r="P895" i="2" a="1"/>
  <c r="R853" i="2" a="1"/>
  <c r="W982" i="2" a="1"/>
  <c r="R973" i="2" a="1"/>
  <c r="H828" i="2" a="1"/>
  <c r="M654" i="2" a="1"/>
  <c r="R709" i="2" a="1"/>
  <c r="Q564" i="2" a="1"/>
  <c r="M844" i="2" a="1"/>
  <c r="U987" i="2" a="1"/>
  <c r="P18" i="2" a="1"/>
  <c r="Q907" i="2" a="1"/>
  <c r="U9" i="2" a="1"/>
  <c r="S20" i="2" a="1"/>
  <c r="O976" i="2" a="1"/>
  <c r="T795" i="2" a="1"/>
  <c r="S12" i="2" a="1"/>
  <c r="P784" i="2" a="1"/>
  <c r="N920" i="2" a="1"/>
  <c r="U628" i="2" a="1"/>
  <c r="U956" i="2" a="1"/>
  <c r="S956" i="2" a="1"/>
  <c r="S29" i="2" a="1"/>
  <c r="M879" i="2" a="1"/>
  <c r="U574" i="2" a="1"/>
  <c r="Q784" i="2" a="1"/>
  <c r="W918" i="2" a="1"/>
  <c r="O673" i="2" a="1"/>
  <c r="P993" i="2" a="1"/>
  <c r="W642" i="2" a="1"/>
  <c r="T896" i="2" a="1"/>
  <c r="Q954" i="2" a="1"/>
  <c r="S571" i="2" a="1"/>
  <c r="O737" i="2" a="1"/>
  <c r="R11" i="2" a="1"/>
  <c r="W889" i="2" a="1"/>
  <c r="T651" i="2" a="1"/>
  <c r="S738" i="2" a="1"/>
  <c r="H1000" i="2" a="1"/>
  <c r="O554" i="2" a="1"/>
  <c r="S4" i="2" a="1"/>
  <c r="N939" i="2" a="1"/>
  <c r="R939" i="2" a="1"/>
  <c r="Q702" i="2" a="1"/>
  <c r="N628" i="2" a="1"/>
  <c r="T529" i="2" a="1"/>
  <c r="H772" i="2" a="1"/>
  <c r="P777" i="2" a="1"/>
  <c r="W884" i="2" a="1"/>
  <c r="T824" i="2" a="1"/>
  <c r="O916" i="2" a="1"/>
  <c r="T986" i="2" a="1"/>
  <c r="H898" i="2" a="1"/>
  <c r="O583" i="2" a="1"/>
  <c r="N614" i="2" a="1"/>
  <c r="N619" i="2" a="1"/>
  <c r="H917" i="2" a="1"/>
  <c r="S599" i="2" a="1"/>
  <c r="P609" i="2" a="1"/>
  <c r="S887" i="2" a="1"/>
  <c r="P654" i="2" a="1"/>
  <c r="U760" i="2" a="1"/>
  <c r="N942" i="2" a="1"/>
  <c r="T632" i="2" a="1"/>
  <c r="S730" i="2" a="1"/>
  <c r="S893" i="2" a="1"/>
  <c r="H792" i="2" a="1"/>
  <c r="R528" i="2" a="1"/>
  <c r="N6" i="2" a="1"/>
  <c r="M952" i="2" a="1"/>
  <c r="U857" i="2" a="1"/>
  <c r="N924" i="2" a="1"/>
  <c r="H782" i="2" a="1"/>
  <c r="Q879" i="2" a="1"/>
  <c r="Q708" i="2" a="1"/>
  <c r="U746" i="2" a="1"/>
  <c r="N800" i="2" a="1"/>
  <c r="W894" i="2" a="1"/>
  <c r="W538" i="2" a="1"/>
  <c r="U798" i="2" a="1"/>
  <c r="P845" i="2" a="1"/>
  <c r="U868" i="2" a="1"/>
  <c r="W804" i="2" a="1"/>
  <c r="P859" i="2" a="1"/>
  <c r="T740" i="2" a="1"/>
  <c r="U745" i="2" a="1"/>
  <c r="P804" i="2" a="1"/>
  <c r="U510" i="2" a="1"/>
  <c r="T689" i="2" a="1"/>
  <c r="O870" i="2" a="1"/>
  <c r="W775" i="2" a="1"/>
  <c r="O572" i="2" a="1"/>
  <c r="M912" i="2" a="1"/>
  <c r="O998" i="2" a="1"/>
  <c r="H879" i="2" a="1"/>
  <c r="W859" i="2" a="1"/>
  <c r="W744" i="2" a="1"/>
  <c r="U618" i="2" a="1"/>
  <c r="U624" i="2" a="1"/>
  <c r="Q956" i="2" a="1"/>
  <c r="M955" i="2" a="1"/>
  <c r="O615" i="2" a="1"/>
  <c r="N558" i="2" a="1"/>
  <c r="N571" i="2" a="1"/>
  <c r="Q642" i="2" a="1"/>
  <c r="R816" i="2" a="1"/>
  <c r="S829" i="2" a="1"/>
  <c r="T963" i="2" a="1"/>
  <c r="Q832" i="2" a="1"/>
  <c r="M941" i="2" a="1"/>
  <c r="R652" i="2" a="1"/>
  <c r="M932" i="2" a="1"/>
  <c r="H537" i="2" a="1"/>
  <c r="W724" i="2" a="1"/>
  <c r="P557" i="2" a="1"/>
  <c r="H567" i="2" a="1"/>
  <c r="R649" i="2" a="1"/>
  <c r="S812" i="2" a="1"/>
  <c r="P553" i="2" a="1"/>
  <c r="S987" i="2" a="1"/>
  <c r="W849" i="2" a="1"/>
  <c r="R930" i="2" a="1"/>
  <c r="U658" i="2" a="1"/>
  <c r="M575" i="2" a="1"/>
  <c r="O544" i="2" a="1"/>
  <c r="W738" i="2" a="1"/>
  <c r="W634" i="2" a="1"/>
  <c r="O883" i="2" a="1"/>
  <c r="Q982" i="2" a="1"/>
  <c r="N897" i="2" a="1"/>
  <c r="U597" i="2" a="1"/>
  <c r="M993" i="2" a="1"/>
  <c r="Q899" i="2" a="1"/>
  <c r="R611" i="2" a="1"/>
  <c r="H30" i="2" a="1"/>
  <c r="N671" i="2" a="1"/>
  <c r="U911" i="2" a="1"/>
  <c r="T848" i="2" a="1"/>
  <c r="N888" i="2" a="1"/>
  <c r="M840" i="2" a="1"/>
  <c r="H528" i="2" a="1"/>
  <c r="Q855" i="2" a="1"/>
  <c r="H914" i="2" a="1"/>
  <c r="W854" i="2" a="1"/>
  <c r="R677" i="2" a="1"/>
  <c r="M765" i="2" a="1"/>
  <c r="U885" i="2" a="1"/>
  <c r="T568" i="2" a="1"/>
  <c r="P506" i="2" a="1"/>
  <c r="H610" i="2" a="1"/>
  <c r="N913" i="2" a="1"/>
  <c r="U948" i="2" a="1"/>
  <c r="N943" i="2" a="1"/>
  <c r="Q609" i="2" a="1"/>
  <c r="O584" i="2" a="1"/>
  <c r="R4" i="2" a="1"/>
  <c r="P860" i="2" a="1"/>
  <c r="H613" i="2" a="1"/>
  <c r="O721" i="2" a="1"/>
  <c r="M917" i="2" a="1"/>
  <c r="N585" i="2" a="1"/>
  <c r="Q511" i="2" a="1"/>
  <c r="O955" i="2" a="1"/>
  <c r="N752" i="2" a="1"/>
  <c r="R761" i="2" a="1"/>
  <c r="Q631" i="2" a="1"/>
  <c r="W839" i="2" a="1"/>
  <c r="M520" i="2" a="1"/>
  <c r="R675" i="2" a="1"/>
  <c r="T966" i="2" a="1"/>
  <c r="U795" i="2" a="1"/>
  <c r="T913" i="2" a="1"/>
  <c r="M550" i="2" a="1"/>
  <c r="O760" i="2" a="1"/>
  <c r="O614" i="2" a="1"/>
  <c r="S863" i="2" a="1"/>
  <c r="Q936" i="2" a="1"/>
  <c r="W571" i="2" a="1"/>
  <c r="O731" i="2" a="1"/>
  <c r="R808" i="2" a="1"/>
  <c r="W2" i="2" a="1"/>
  <c r="N839" i="2" a="1"/>
  <c r="S611" i="2" a="1"/>
  <c r="N815" i="2" a="1"/>
  <c r="R848" i="2" a="1"/>
  <c r="M814" i="2" a="1"/>
  <c r="H942" i="2" a="1"/>
  <c r="O593" i="2" a="1"/>
  <c r="R519" i="2" a="1"/>
  <c r="S604" i="2" a="1"/>
  <c r="N783" i="2" a="1"/>
  <c r="T597" i="2" a="1"/>
  <c r="M936" i="2" a="1"/>
  <c r="U994" i="2" a="1"/>
  <c r="N892" i="2" a="1"/>
  <c r="H937" i="2" a="1"/>
  <c r="W688" i="2" a="1"/>
  <c r="P967" i="2" a="1"/>
  <c r="N736" i="2" a="1"/>
  <c r="P904" i="2" a="1"/>
  <c r="T581" i="2" a="1"/>
  <c r="O884" i="2" a="1"/>
  <c r="S747" i="2" a="1"/>
  <c r="N685" i="2" a="1"/>
  <c r="W861" i="2" a="1"/>
  <c r="Q973" i="2" a="1"/>
  <c r="S992" i="2" a="1"/>
  <c r="Q870" i="2" a="1"/>
  <c r="R661" i="2" a="1"/>
  <c r="P829" i="2" a="1"/>
  <c r="T716" i="2" a="1"/>
  <c r="R991" i="2" a="1"/>
  <c r="O707" i="2" a="1"/>
  <c r="P721" i="2" a="1"/>
  <c r="P554" i="2" a="1"/>
  <c r="P659" i="2" a="1"/>
  <c r="O803" i="2" a="1"/>
  <c r="P917" i="2" a="1"/>
  <c r="P684" i="2" a="1"/>
  <c r="S600" i="2" a="1"/>
  <c r="R891" i="2" a="1"/>
  <c r="S946" i="2" a="1"/>
  <c r="P744" i="2" a="1"/>
  <c r="U995" i="2" a="1"/>
  <c r="O874" i="2" a="1"/>
  <c r="N787" i="2" a="1"/>
  <c r="R687" i="2" a="1"/>
  <c r="S933" i="2" a="1"/>
  <c r="O502" i="2" a="1"/>
  <c r="O821" i="2" a="1"/>
  <c r="O713" i="2" a="1"/>
  <c r="Q787" i="2" a="1"/>
  <c r="O804" i="2" a="1"/>
  <c r="N844" i="2" a="1"/>
  <c r="N741" i="2" a="1"/>
  <c r="P718" i="2" a="1"/>
  <c r="O831" i="2" a="1"/>
  <c r="S615" i="2" a="1"/>
  <c r="S991" i="2" a="1"/>
  <c r="U571" i="2" a="1"/>
  <c r="R784" i="2" a="1"/>
  <c r="N734" i="2" a="1"/>
  <c r="R769" i="2" a="1"/>
  <c r="T995" i="2" a="1"/>
  <c r="M922" i="2" a="1"/>
  <c r="M742" i="2" a="1"/>
  <c r="U526" i="2" a="1"/>
  <c r="R812" i="2" a="1"/>
  <c r="S626" i="2" a="1"/>
  <c r="O876" i="2" a="1"/>
  <c r="W870" i="2" a="1"/>
  <c r="S635" i="2" a="1"/>
  <c r="Q594" i="2" a="1"/>
  <c r="Q619" i="2" a="1"/>
  <c r="U762" i="2" a="1"/>
  <c r="N893" i="2" a="1"/>
  <c r="M643" i="2" a="1"/>
  <c r="H831" i="2" a="1"/>
  <c r="T757" i="2" a="1"/>
  <c r="P805" i="2" a="1"/>
  <c r="H564" i="2" a="1"/>
  <c r="O34" i="2" a="1"/>
  <c r="T845" i="2" a="1"/>
  <c r="H751" i="2" a="1"/>
  <c r="S628" i="2" a="1"/>
  <c r="Q904" i="2" a="1"/>
  <c r="M25" i="2" a="1"/>
  <c r="S11" i="2" a="1"/>
  <c r="N896" i="2" a="1"/>
  <c r="H943" i="2" a="1"/>
  <c r="W19" i="2" a="1"/>
  <c r="H578" i="2" a="1"/>
  <c r="U896" i="2" a="1"/>
  <c r="W928" i="2" a="1"/>
  <c r="Q728" i="2" a="1"/>
  <c r="O685" i="2" a="1"/>
  <c r="O872" i="2" a="1"/>
  <c r="M946" i="2" a="1"/>
  <c r="O658" i="2" a="1"/>
  <c r="N990" i="2" a="1"/>
  <c r="M944" i="2" a="1"/>
  <c r="T590" i="2" a="1"/>
  <c r="N936" i="2" a="1"/>
  <c r="H810" i="2" a="1"/>
  <c r="H916" i="2" a="1"/>
  <c r="N756" i="2" a="1"/>
  <c r="U790" i="2" a="1"/>
  <c r="W746" i="2" a="1"/>
  <c r="Q720" i="2" a="1"/>
  <c r="N910" i="2" a="1"/>
  <c r="W874" i="2" a="1"/>
  <c r="N789" i="2" a="1"/>
  <c r="Q644" i="2" a="1"/>
  <c r="N624" i="2" a="1"/>
  <c r="N884" i="2" a="1"/>
  <c r="Q632" i="2" a="1"/>
  <c r="S664" i="2" a="1"/>
  <c r="M682" i="2" a="1"/>
  <c r="S872" i="2" a="1"/>
  <c r="U886" i="2" a="1"/>
  <c r="M846" i="2" a="1"/>
  <c r="Q858" i="2" a="1"/>
  <c r="T898" i="2" a="1"/>
  <c r="Q646" i="2" a="1"/>
  <c r="N768" i="2" a="1"/>
  <c r="R947" i="2" a="1"/>
  <c r="S539" i="2" a="1"/>
  <c r="Q607" i="2" a="1"/>
  <c r="T749" i="2" a="1"/>
  <c r="M531" i="2" a="1"/>
  <c r="U876" i="2" a="1"/>
  <c r="Q616" i="2" a="1"/>
  <c r="R624" i="2" a="1"/>
  <c r="N589" i="2" a="1"/>
  <c r="O735" i="2" a="1"/>
  <c r="W757" i="2" a="1"/>
  <c r="S858" i="2" a="1"/>
  <c r="U543" i="2" a="1"/>
  <c r="Q842" i="2" a="1"/>
  <c r="M905" i="2" a="1"/>
  <c r="Q559" i="2" a="1"/>
  <c r="O657" i="2" a="1"/>
  <c r="M983" i="2" a="1"/>
  <c r="P793" i="2" a="1"/>
  <c r="O708" i="2" a="1"/>
  <c r="U654" i="2" a="1"/>
  <c r="P838" i="2" a="1"/>
  <c r="N784" i="2" a="1"/>
  <c r="O939" i="2" a="1"/>
  <c r="H577" i="2" a="1"/>
  <c r="N906" i="2" a="1"/>
  <c r="S798" i="2" a="1"/>
  <c r="S605" i="2" a="1"/>
  <c r="T874" i="2" a="1"/>
  <c r="S931" i="2" a="1"/>
  <c r="S962" i="2" a="1"/>
  <c r="H939" i="2" a="1"/>
  <c r="M634" i="2" a="1"/>
  <c r="T701" i="2" a="1"/>
  <c r="H745" i="2" a="1"/>
  <c r="Q805" i="2" a="1"/>
  <c r="N673" i="2" a="1"/>
  <c r="N678" i="2" a="1"/>
  <c r="O665" i="2" a="1"/>
  <c r="Q676" i="2" a="1"/>
  <c r="Q945" i="2" a="1"/>
  <c r="W513" i="2" a="1"/>
  <c r="O779" i="2" a="1"/>
  <c r="N712" i="2" a="1"/>
  <c r="H593" i="2" a="1"/>
  <c r="M965" i="2" a="1"/>
  <c r="O973" i="2" a="1"/>
  <c r="S967" i="2" a="1"/>
  <c r="T728" i="2" a="1"/>
  <c r="W582" i="2" a="1"/>
  <c r="P582" i="2" a="1"/>
  <c r="S676" i="2" a="1"/>
  <c r="M999" i="2" a="1"/>
  <c r="T870" i="2" a="1"/>
  <c r="S665" i="2" a="1"/>
  <c r="P602" i="2" a="1"/>
  <c r="T916" i="2" a="1"/>
  <c r="N600" i="2" a="1"/>
  <c r="M614" i="2" a="1"/>
  <c r="U767" i="2" a="1"/>
  <c r="N696" i="2" a="1"/>
  <c r="U589" i="2" a="1"/>
  <c r="P951" i="2" a="1"/>
  <c r="R913" i="2" a="1"/>
  <c r="T823" i="2" a="1"/>
  <c r="H678" i="2" a="1"/>
  <c r="O858" i="2" a="1"/>
  <c r="H726" i="2" a="1"/>
  <c r="R517" i="2" a="1"/>
  <c r="W671" i="2" a="1"/>
  <c r="W648" i="2" a="1"/>
  <c r="S648" i="2" a="1"/>
  <c r="R730" i="2" a="1"/>
  <c r="S706" i="2" a="1"/>
  <c r="O687" i="2" a="1"/>
  <c r="U544" i="2" a="1"/>
  <c r="T890" i="2" a="1"/>
  <c r="O792" i="2" a="1"/>
  <c r="T828" i="2" a="1"/>
  <c r="N703" i="2" a="1"/>
  <c r="M981" i="2" a="1"/>
  <c r="W4" i="2" a="1"/>
  <c r="N11" i="2" a="1"/>
  <c r="U19" i="2" a="1"/>
  <c r="Q641" i="2" a="1"/>
  <c r="R881" i="2" a="1"/>
  <c r="R850" i="2" a="1"/>
  <c r="M900" i="2" a="1"/>
  <c r="Q845" i="2" a="1"/>
  <c r="T28" i="2" a="1"/>
  <c r="M789" i="2" a="1"/>
  <c r="S662" i="2" a="1"/>
  <c r="T911" i="2" a="1"/>
  <c r="R985" i="2" a="1"/>
  <c r="N603" i="2" a="1"/>
  <c r="O763" i="2" a="1"/>
  <c r="M755" i="2" a="1"/>
  <c r="S964" i="2" a="1"/>
  <c r="W955" i="2" a="1"/>
  <c r="R889" i="2" a="1"/>
  <c r="M694" i="2" a="1"/>
  <c r="Q745" i="2" a="1"/>
  <c r="T853" i="2" a="1"/>
  <c r="H735" i="2" a="1"/>
  <c r="Q802" i="2" a="1"/>
  <c r="U985" i="2" a="1"/>
  <c r="M794" i="2" a="1"/>
  <c r="R738" i="2" a="1"/>
  <c r="N995" i="2" a="1"/>
  <c r="O794" i="2" a="1"/>
  <c r="M976" i="2" a="1"/>
  <c r="N841" i="2" a="1"/>
  <c r="S891" i="2" a="1"/>
  <c r="M535" i="2" a="1"/>
  <c r="Q601" i="2" a="1"/>
  <c r="T654" i="2" a="1"/>
  <c r="R880" i="2" a="1"/>
  <c r="U680" i="2" a="1"/>
  <c r="P833" i="2" a="1"/>
  <c r="O515" i="2" a="1"/>
  <c r="T926" i="2" a="1"/>
  <c r="N34" i="2" a="1"/>
  <c r="U880" i="2" a="1"/>
  <c r="R842" i="2" a="1"/>
  <c r="S965" i="2" a="1"/>
  <c r="M688" i="2" a="1"/>
  <c r="N857" i="2" a="1"/>
  <c r="T626" i="2" a="1"/>
  <c r="R25" i="2" a="1"/>
  <c r="H640" i="2" a="1"/>
  <c r="P990" i="2" a="1"/>
  <c r="W795" i="2" a="1"/>
  <c r="Q586" i="2" a="1"/>
  <c r="T813" i="2" a="1"/>
  <c r="T834" i="2" a="1"/>
  <c r="P946" i="2" a="1"/>
  <c r="P632" i="2" a="1"/>
  <c r="N813" i="2" a="1"/>
  <c r="P562" i="2" a="1"/>
  <c r="U853" i="2" a="1"/>
  <c r="S994" i="2" a="1"/>
  <c r="U800" i="2" a="1"/>
  <c r="N917" i="2" a="1"/>
  <c r="H550" i="2" a="1"/>
  <c r="O22" i="2" a="1"/>
  <c r="N593" i="2" a="1"/>
  <c r="U701" i="2" a="1"/>
  <c r="U768" i="2" a="1"/>
  <c r="T982" i="2" a="1"/>
  <c r="W979" i="2" a="1"/>
  <c r="U927" i="2" a="1"/>
  <c r="R758" i="2" a="1"/>
  <c r="P623" i="2" a="1"/>
  <c r="Q706" i="2" a="1"/>
  <c r="W753" i="2" a="1"/>
  <c r="R691" i="2" a="1"/>
  <c r="W621" i="2" a="1"/>
  <c r="R630" i="2" a="1"/>
  <c r="M913" i="2" a="1"/>
  <c r="O896" i="2" a="1"/>
  <c r="R501" i="2" a="1"/>
  <c r="U777" i="2" a="1"/>
  <c r="S627" i="2" a="1"/>
  <c r="P914" i="2" a="1"/>
  <c r="R932" i="2" a="1"/>
  <c r="U810" i="2" a="1"/>
  <c r="O864" i="2" a="1"/>
  <c r="S588" i="2" a="1"/>
  <c r="P973" i="2" a="1"/>
  <c r="P935" i="2" a="1"/>
  <c r="O705" i="2" a="1"/>
  <c r="R798" i="2" a="1"/>
  <c r="T686" i="2" a="1"/>
  <c r="O986" i="2" a="1"/>
  <c r="U791" i="2" a="1"/>
  <c r="Q578" i="2" a="1"/>
  <c r="P516" i="2" a="1"/>
  <c r="N825" i="2" a="1"/>
  <c r="O523" i="2" a="1"/>
  <c r="S849" i="2" a="1"/>
  <c r="S677" i="2" a="1"/>
  <c r="O587" i="2" a="1"/>
  <c r="Q883" i="2" a="1"/>
  <c r="N518" i="2" a="1"/>
  <c r="P856" i="2" a="1"/>
  <c r="T787" i="2" a="1"/>
  <c r="S973" i="2" a="1"/>
  <c r="T679" i="2" a="1"/>
  <c r="U836" i="2" a="1"/>
  <c r="R908" i="2" a="1"/>
  <c r="T855" i="2" a="1"/>
  <c r="N592" i="2" a="1"/>
  <c r="N727" i="2" a="1"/>
  <c r="S594" i="2" a="1"/>
  <c r="R711" i="2" a="1"/>
  <c r="H918" i="2" a="1"/>
  <c r="S952" i="2" a="1"/>
  <c r="M958" i="2" a="1"/>
  <c r="Q521" i="2" a="1"/>
  <c r="T730" i="2" a="1"/>
  <c r="W837" i="2" a="1"/>
  <c r="N651" i="2" a="1"/>
  <c r="O765" i="2" a="1"/>
  <c r="P763" i="2" a="1"/>
  <c r="M670" i="2" a="1"/>
  <c r="M750" i="2" a="1"/>
  <c r="T991" i="2" a="1"/>
  <c r="Q520" i="2" a="1"/>
  <c r="R27" i="2" a="1"/>
  <c r="T938" i="2" a="1"/>
  <c r="Q633" i="2" a="1"/>
  <c r="M633" i="2" a="1"/>
  <c r="N793" i="2" a="1"/>
  <c r="H10" i="2" a="1"/>
  <c r="Q509" i="2" a="1"/>
  <c r="Q654" i="2" a="1"/>
  <c r="S769" i="2" a="1"/>
  <c r="H652" i="2" a="1"/>
  <c r="N692" i="2" a="1"/>
  <c r="M711" i="2" a="1"/>
  <c r="S589" i="2" a="1"/>
  <c r="Q636" i="2" a="1"/>
  <c r="R626" i="2" a="1"/>
  <c r="P968" i="2" a="1"/>
  <c r="N667" i="2" a="1"/>
  <c r="P849" i="2" a="1"/>
  <c r="P830" i="2" a="1"/>
  <c r="T826" i="2" a="1"/>
  <c r="M602" i="2" a="1"/>
  <c r="H998" i="2" a="1"/>
  <c r="O729" i="2" a="1"/>
  <c r="T778" i="2" a="1"/>
  <c r="R858" i="2" a="1"/>
  <c r="N895" i="2" a="1"/>
  <c r="R827" i="2" a="1"/>
  <c r="Q868" i="2" a="1"/>
  <c r="U696" i="2" a="1"/>
  <c r="N632" i="2" a="1"/>
  <c r="R896" i="2" a="1"/>
  <c r="T507" i="2" a="1"/>
  <c r="S669" i="2" a="1"/>
  <c r="R648" i="2" a="1"/>
  <c r="U8" i="2" a="1"/>
  <c r="U697" i="2" a="1"/>
  <c r="Q871" i="2" a="1"/>
  <c r="S938" i="2" a="1"/>
  <c r="S862" i="2" a="1"/>
  <c r="W505" i="2" a="1"/>
  <c r="Q6" i="2" a="1"/>
  <c r="W630" i="2" a="1"/>
  <c r="U625" i="2" a="1"/>
  <c r="R724" i="2" a="1"/>
  <c r="S929" i="2" a="1"/>
  <c r="U786" i="2" a="1"/>
  <c r="S935" i="2" a="1"/>
  <c r="S773" i="2" a="1"/>
  <c r="O885" i="2" a="1"/>
  <c r="H802" i="2" a="1"/>
  <c r="H928" i="2" a="1"/>
  <c r="H779" i="2" a="1"/>
  <c r="M529" i="2" a="1"/>
  <c r="W723" i="2" a="1"/>
  <c r="U928" i="2" a="1"/>
  <c r="W787" i="2" a="1"/>
  <c r="S618" i="2" a="1"/>
  <c r="Q884" i="2" a="1"/>
  <c r="W867" i="2" a="1"/>
  <c r="W897" i="2" a="1"/>
  <c r="W945" i="2" a="1"/>
  <c r="N755" i="2" a="1"/>
  <c r="U788" i="2" a="1"/>
  <c r="U22" i="2" a="1"/>
  <c r="H912" i="2" a="1"/>
  <c r="W862" i="2" a="1"/>
  <c r="T602" i="2" a="1"/>
  <c r="P922" i="2" a="1"/>
  <c r="O676" i="2" a="1"/>
  <c r="M778" i="2" a="1"/>
  <c r="W985" i="2" a="1"/>
  <c r="H808" i="2" a="1"/>
  <c r="Q801" i="2" a="1"/>
  <c r="S958" i="2" a="1"/>
  <c r="U859" i="2" a="1"/>
  <c r="W673" i="2" a="1"/>
  <c r="P571" i="2" a="1"/>
  <c r="R775" i="2" a="1"/>
  <c r="W532" i="2" a="1"/>
  <c r="S838" i="2" a="1"/>
  <c r="N876" i="2" a="1"/>
  <c r="P510" i="2" a="1"/>
  <c r="U865" i="2" a="1"/>
  <c r="Q890" i="2" a="1"/>
  <c r="W782" i="2" a="1"/>
  <c r="T829" i="2" a="1"/>
  <c r="T609" i="2" a="1"/>
  <c r="T577" i="2" a="1"/>
  <c r="M997" i="2" a="1"/>
  <c r="M787" i="2" a="1"/>
  <c r="U508" i="2" a="1"/>
  <c r="O810" i="2" a="1"/>
  <c r="N994" i="2" a="1"/>
  <c r="P542" i="2" a="1"/>
  <c r="N877" i="2" a="1"/>
  <c r="R540" i="2" a="1"/>
  <c r="O719" i="2" a="1"/>
  <c r="S519" i="2" a="1"/>
  <c r="S960" i="2" a="1"/>
  <c r="U617" i="2" a="1"/>
  <c r="U700" i="2" a="1"/>
  <c r="Q718" i="2" a="1"/>
  <c r="N864" i="2" a="1"/>
  <c r="O747" i="2" a="1"/>
  <c r="U902" i="2" a="1"/>
  <c r="P589" i="2" a="1"/>
  <c r="R634" i="2" a="1"/>
  <c r="W779" i="2" a="1"/>
  <c r="N827" i="2" a="1"/>
  <c r="R906" i="2" a="1"/>
  <c r="R815" i="2" a="1"/>
  <c r="P742" i="2" a="1"/>
  <c r="R646" i="2" a="1"/>
  <c r="Q701" i="2" a="1"/>
  <c r="O811" i="2" a="1"/>
  <c r="M593" i="2" a="1"/>
  <c r="H568" i="2" a="1"/>
  <c r="H757" i="2" a="1"/>
  <c r="O935" i="2" a="1"/>
  <c r="W825" i="2" a="1"/>
  <c r="Q514" i="2" a="1"/>
  <c r="P555" i="2" a="1"/>
  <c r="H837" i="2" a="1"/>
  <c r="U687" i="2" a="1"/>
  <c r="O796" i="2" a="1"/>
  <c r="S732" i="2" a="1"/>
  <c r="H8" i="2" a="1"/>
  <c r="R506" i="2" a="1"/>
  <c r="Q831" i="2" a="1"/>
  <c r="P786" i="2" a="1"/>
  <c r="H966" i="2" a="1"/>
  <c r="O780" i="2" a="1"/>
  <c r="R717" i="2" a="1"/>
  <c r="S544" i="2" a="1"/>
  <c r="P832" i="2" a="1"/>
  <c r="S681" i="2" a="1"/>
  <c r="T746" i="2" a="1"/>
  <c r="R873" i="2" a="1"/>
  <c r="P527" i="2" a="1"/>
  <c r="Q730" i="2" a="1"/>
  <c r="Q691" i="2" a="1"/>
  <c r="W552" i="2" a="1"/>
  <c r="M873" i="2" a="1"/>
  <c r="P662" i="2" a="1"/>
  <c r="N809" i="2" a="1"/>
  <c r="P919" i="2" a="1"/>
  <c r="M678" i="2" a="1"/>
  <c r="O732" i="2" a="1"/>
  <c r="P920" i="2" a="1"/>
  <c r="O525" i="2" a="1"/>
  <c r="Q630" i="2" a="1"/>
  <c r="N653" i="2" a="1"/>
  <c r="U958" i="2" a="1"/>
  <c r="N723" i="2" a="1"/>
  <c r="H862" i="2" a="1"/>
  <c r="S839" i="2" a="1"/>
  <c r="T852" i="2" a="1"/>
  <c r="S610" i="2" a="1"/>
  <c r="S914" i="2" a="1"/>
  <c r="N887" i="2" a="1"/>
  <c r="S652" i="2" a="1"/>
  <c r="S749" i="2" a="1"/>
  <c r="R892" i="2" a="1"/>
  <c r="R530" i="2" a="1"/>
  <c r="N871" i="2" a="1"/>
  <c r="M653" i="2" a="1"/>
  <c r="W932" i="2" a="1"/>
  <c r="N625" i="2" a="1"/>
  <c r="S970" i="2" a="1"/>
  <c r="M961" i="2" a="1"/>
  <c r="P657" i="2" a="1"/>
  <c r="O712" i="2" a="1"/>
  <c r="R590" i="2" a="1"/>
  <c r="Q571" i="2" a="1"/>
  <c r="P994" i="2" a="1"/>
  <c r="T839" i="2" a="1"/>
  <c r="H869" i="2" a="1"/>
  <c r="P865" i="2" a="1"/>
  <c r="M576" i="2" a="1"/>
  <c r="Q827" i="2" a="1"/>
  <c r="W976" i="2" a="1"/>
  <c r="U884" i="2" a="1"/>
  <c r="U839" i="2" a="1"/>
  <c r="R927" i="2" a="1"/>
  <c r="H716" i="2" a="1"/>
  <c r="S563" i="2" a="1"/>
  <c r="U775" i="2" a="1"/>
  <c r="T767" i="2" a="1"/>
  <c r="O980" i="2" a="1"/>
  <c r="P911" i="2" a="1"/>
  <c r="Q901" i="2" a="1"/>
  <c r="U999" i="2" a="1"/>
  <c r="W631" i="2" a="1"/>
  <c r="H543" i="2" a="1"/>
  <c r="O539" i="2" a="1"/>
  <c r="T942" i="2" a="1"/>
  <c r="Q953" i="2" a="1"/>
  <c r="N663" i="2" a="1"/>
  <c r="W528" i="2" a="1"/>
  <c r="U621" i="2" a="1"/>
  <c r="U852" i="2" a="1"/>
  <c r="O648" i="2" a="1"/>
  <c r="U702" i="2" a="1"/>
  <c r="M868" i="2" a="1"/>
  <c r="S998" i="2" a="1"/>
  <c r="W501" i="2" a="1"/>
  <c r="W900" i="2" a="1"/>
  <c r="U692" i="2" a="1"/>
  <c r="T567" i="2" a="1"/>
  <c r="P813" i="2" a="1"/>
  <c r="Q580" i="2" a="1"/>
  <c r="Q917" i="2" a="1"/>
  <c r="N923" i="2" a="1"/>
  <c r="S586" i="2" a="1"/>
  <c r="N652" i="2" a="1"/>
  <c r="T780" i="2" a="1"/>
  <c r="W763" i="2" a="1"/>
  <c r="O599" i="2" a="1"/>
  <c r="M769" i="2" a="1"/>
  <c r="Q744" i="2" a="1"/>
  <c r="H508" i="2" a="1"/>
  <c r="W996" i="2" a="1"/>
  <c r="U587" i="2" a="1"/>
  <c r="Q687" i="2" a="1"/>
  <c r="M875" i="2" a="1"/>
  <c r="M631" i="2" a="1"/>
  <c r="W698" i="2" a="1"/>
  <c r="Q739" i="2" a="1"/>
  <c r="P573" i="2" a="1"/>
  <c r="T535" i="2" a="1"/>
  <c r="H940" i="2" a="1"/>
  <c r="M940" i="2" a="1"/>
  <c r="S587" i="2" a="1"/>
  <c r="P648" i="2" a="1"/>
  <c r="R901" i="2" a="1"/>
  <c r="Q981" i="2" a="1"/>
  <c r="U671" i="2" a="1"/>
  <c r="R859" i="2" a="1"/>
  <c r="S859" i="2" a="1"/>
  <c r="O839" i="2" a="1"/>
  <c r="R876" i="2" a="1"/>
  <c r="H597" i="2" a="1"/>
  <c r="R952" i="2" a="1"/>
  <c r="U584" i="2" a="1"/>
  <c r="H574" i="2" a="1"/>
  <c r="O528" i="2" a="1"/>
  <c r="R693" i="2" a="1"/>
  <c r="P663" i="2" a="1"/>
  <c r="S947" i="2" a="1"/>
  <c r="Q715" i="2" a="1"/>
  <c r="T705" i="2" a="1"/>
  <c r="O987" i="2" a="1"/>
  <c r="P652" i="2" a="1"/>
  <c r="N720" i="2" a="1"/>
  <c r="T895" i="2" a="1"/>
  <c r="M954" i="2" a="1"/>
  <c r="P933" i="2" a="1"/>
  <c r="W885" i="2" a="1"/>
  <c r="W523" i="2" a="1"/>
  <c r="U870" i="2" a="1"/>
  <c r="O950" i="2" a="1"/>
  <c r="U528" i="2" a="1"/>
  <c r="N799" i="2" a="1"/>
  <c r="U858" i="2" a="1"/>
  <c r="U541" i="2" a="1"/>
  <c r="N563" i="2" a="1"/>
  <c r="R884" i="2" a="1"/>
  <c r="O827" i="2" a="1"/>
  <c r="P645" i="2" a="1"/>
  <c r="W864" i="2" a="1"/>
  <c r="R957" i="2" a="1"/>
  <c r="P756" i="2" a="1"/>
  <c r="H806" i="2" a="1"/>
  <c r="T971" i="2" a="1"/>
  <c r="W790" i="2" a="1"/>
  <c r="W890" i="2" a="1"/>
  <c r="S835" i="2" a="1"/>
  <c r="R768" i="2" a="1"/>
  <c r="T957" i="2" a="1"/>
  <c r="S913" i="2" a="1"/>
  <c r="S768" i="2" a="1"/>
  <c r="O748" i="2" a="1"/>
  <c r="S820" i="2" a="1"/>
  <c r="Q947" i="2" a="1"/>
  <c r="R967" i="2" a="1"/>
  <c r="P822" i="2" a="1"/>
  <c r="M995" i="2" a="1"/>
  <c r="N973" i="2" a="1"/>
  <c r="N586" i="2" a="1"/>
  <c r="H643" i="2" a="1"/>
  <c r="O567" i="2" a="1"/>
  <c r="W780" i="2" a="1"/>
  <c r="W860" i="2" a="1"/>
  <c r="S526" i="2" a="1"/>
  <c r="T988" i="2" a="1"/>
  <c r="O854" i="2" a="1"/>
  <c r="O545" i="2" a="1"/>
  <c r="U532" i="2" a="1"/>
  <c r="H513" i="2" a="1"/>
  <c r="T992" i="2" a="1"/>
  <c r="Q949" i="2" a="1"/>
  <c r="R898" i="2" a="1"/>
  <c r="H909" i="2" a="1"/>
  <c r="N867" i="2" a="1"/>
  <c r="W699" i="2" a="1"/>
  <c r="M953" i="2" a="1"/>
  <c r="R866" i="2" a="1"/>
  <c r="N502" i="2" a="1"/>
  <c r="P798" i="2" a="1"/>
  <c r="T879" i="2" a="1"/>
  <c r="U940" i="2" a="1"/>
  <c r="S715" i="2" a="1"/>
  <c r="N925" i="2" a="1"/>
  <c r="W992" i="2" a="1"/>
  <c r="P765" i="2" a="1"/>
  <c r="M984" i="2" a="1"/>
  <c r="U968" i="2" a="1"/>
  <c r="N751" i="2" a="1"/>
  <c r="S818" i="2" a="1"/>
  <c r="Q533" i="2" a="1"/>
  <c r="Q694" i="2" a="1"/>
  <c r="P889" i="2" a="1"/>
  <c r="O597" i="2" a="1"/>
  <c r="W794" i="2" a="1"/>
  <c r="H858" i="2" a="1"/>
  <c r="R734" i="2" a="1"/>
  <c r="S704" i="2" a="1"/>
  <c r="W578" i="2" a="1"/>
  <c r="T886" i="2" a="1"/>
  <c r="S796" i="2" a="1"/>
  <c r="R943" i="2" a="1"/>
  <c r="O524" i="2" a="1"/>
  <c r="P559" i="2" a="1"/>
  <c r="P948" i="2" a="1"/>
  <c r="P653" i="2" a="1"/>
  <c r="M883" i="2" a="1"/>
  <c r="P795" i="2" a="1"/>
  <c r="Q898" i="2" a="1"/>
  <c r="N758" i="2" a="1"/>
  <c r="H865" i="2" a="1"/>
  <c r="P736" i="2" a="1"/>
  <c r="P982" i="2" a="1"/>
  <c r="H710" i="2" a="1"/>
  <c r="R721" i="2" a="1"/>
  <c r="W811" i="2" a="1"/>
  <c r="U749" i="2" a="1"/>
  <c r="O786" i="2" a="1"/>
  <c r="P519" i="2" a="1"/>
  <c r="T864" i="2" a="1"/>
  <c r="W845" i="2" a="1"/>
  <c r="P737" i="2" a="1"/>
  <c r="T887" i="2" a="1"/>
  <c r="R526" i="2" a="1"/>
  <c r="R804" i="2" a="1"/>
  <c r="P714" i="2" a="1"/>
  <c r="U912" i="2" a="1"/>
  <c r="S889" i="2" a="1"/>
  <c r="O983" i="2" a="1"/>
  <c r="H563" i="2" a="1"/>
  <c r="N523" i="2" a="1"/>
  <c r="Q677" i="2" a="1"/>
  <c r="N931" i="2" a="1"/>
  <c r="O521" i="2" a="1"/>
  <c r="M636" i="2" a="1"/>
  <c r="O600" i="2" a="1"/>
  <c r="M720" i="2" a="1"/>
  <c r="R531" i="2" a="1"/>
  <c r="M545" i="2" a="1"/>
  <c r="R856" i="2" a="1"/>
  <c r="P906" i="2" a="1"/>
  <c r="T905" i="2" a="1"/>
  <c r="T809" i="2" a="1"/>
  <c r="U534" i="2" a="1"/>
  <c r="T523" i="2" a="1"/>
  <c r="M893" i="2" a="1"/>
  <c r="Q523" i="2" a="1"/>
  <c r="U542" i="2" a="1"/>
  <c r="U887" i="2" a="1"/>
  <c r="W959" i="2" a="1"/>
  <c r="T515" i="2" a="1"/>
  <c r="S557" i="2" a="1"/>
  <c r="W911" i="2" a="1"/>
  <c r="H629" i="2" a="1"/>
  <c r="N636" i="2" a="1"/>
  <c r="N986" i="2" a="1"/>
  <c r="O897" i="2" a="1"/>
  <c r="P785" i="2" a="1"/>
  <c r="T819" i="2" a="1"/>
  <c r="S898" i="2" a="1"/>
  <c r="T843" i="2" a="1"/>
  <c r="S673" i="2" a="1"/>
  <c r="W764" i="2" a="1"/>
  <c r="Q712" i="2" a="1"/>
  <c r="M978" i="2" a="1"/>
  <c r="W518" i="2" a="1"/>
  <c r="R596" i="2" a="1"/>
  <c r="P6" i="2" a="1"/>
  <c r="P733" i="2" a="1"/>
  <c r="S923" i="2" a="1"/>
  <c r="M949" i="2" a="1"/>
  <c r="T927" i="2" a="1"/>
  <c r="U801" i="2" a="1"/>
  <c r="W784" i="2" a="1"/>
  <c r="M970" i="2" a="1"/>
  <c r="M666" i="2" a="1"/>
  <c r="R948" i="2" a="1"/>
  <c r="H893" i="2" a="1"/>
  <c r="Q643" i="2" a="1"/>
  <c r="T882" i="2" a="1"/>
  <c r="P613" i="2" a="1"/>
  <c r="O768" i="2" a="1"/>
  <c r="H822" i="2" a="1"/>
  <c r="S616" i="2" a="1"/>
  <c r="T743" i="2" a="1"/>
  <c r="Q859" i="2" a="1"/>
  <c r="R821" i="2" a="1"/>
  <c r="M686" i="2" a="1"/>
  <c r="W728" i="2" a="1"/>
  <c r="Q807" i="2" a="1"/>
  <c r="N521" i="2" a="1"/>
  <c r="Q663" i="2" a="1"/>
  <c r="T949" i="2" a="1"/>
  <c r="S805" i="2" a="1"/>
  <c r="S565" i="2" a="1"/>
  <c r="O569" i="2" a="1"/>
  <c r="O558" i="2" a="1"/>
  <c r="M703" i="2" a="1"/>
  <c r="U846" i="2" a="1"/>
  <c r="Q828" i="2" a="1"/>
  <c r="N670" i="2" a="1"/>
  <c r="H694" i="2" a="1"/>
  <c r="R817" i="2" a="1"/>
  <c r="S674" i="2" a="1"/>
  <c r="M920" i="2" a="1"/>
  <c r="R700" i="2" a="1"/>
  <c r="N557" i="2" a="1"/>
  <c r="O970" i="2" a="1"/>
  <c r="P810" i="2" a="1"/>
  <c r="M973" i="2" a="1"/>
  <c r="O772" i="2" a="1"/>
  <c r="S518" i="2" a="1"/>
  <c r="P940" i="2" a="1"/>
  <c r="W987" i="2" a="1"/>
  <c r="U878" i="2" a="1"/>
  <c r="T841" i="2" a="1"/>
  <c r="O586" i="2" a="1"/>
  <c r="Q788" i="2" a="1"/>
  <c r="T693" i="2" a="1"/>
  <c r="U573" i="2" a="1"/>
  <c r="O697" i="2" a="1"/>
  <c r="O903" i="2" a="1"/>
  <c r="P986" i="2" a="1"/>
  <c r="R745" i="2" a="1"/>
  <c r="Q961" i="2" a="1"/>
  <c r="W998" i="2" a="1"/>
  <c r="T614" i="2" a="1"/>
  <c r="N513" i="2" a="1"/>
  <c r="W574" i="2" a="1"/>
  <c r="U894" i="2" a="1"/>
  <c r="M836" i="2" a="1"/>
  <c r="H662" i="2" a="1"/>
  <c r="R918" i="2" a="1"/>
  <c r="T751" i="2" a="1"/>
  <c r="P772" i="2" a="1"/>
  <c r="W742" i="2" a="1"/>
  <c r="T521" i="2" a="1"/>
  <c r="U781" i="2" a="1"/>
  <c r="S787" i="2" a="1"/>
  <c r="O931" i="2" a="1"/>
  <c r="P741" i="2" a="1"/>
  <c r="O709" i="2" a="1"/>
  <c r="H969" i="2" a="1"/>
  <c r="O776" i="2" a="1"/>
  <c r="N980" i="2" a="1"/>
  <c r="N838" i="2" a="1"/>
  <c r="P899" i="2" a="1"/>
  <c r="T965" i="2" a="1"/>
  <c r="H995" i="2" a="1"/>
  <c r="U951" i="2" a="1"/>
  <c r="M891" i="2" a="1"/>
  <c r="H791" i="2" a="1"/>
  <c r="P612" i="2" a="1"/>
  <c r="Q994" i="2" a="1"/>
  <c r="M768" i="2" a="1"/>
  <c r="N715" i="2" a="1"/>
  <c r="W652" i="2" a="1"/>
  <c r="Q908" i="2" a="1"/>
  <c r="O649" i="2" a="1"/>
  <c r="H873" i="2" a="1"/>
  <c r="M713" i="2" a="1"/>
  <c r="U518" i="2" a="1"/>
  <c r="S883" i="2" a="1"/>
  <c r="M543" i="2" a="1"/>
  <c r="W984" i="2" a="1"/>
  <c r="S807" i="2" a="1"/>
  <c r="W677" i="2" a="1"/>
  <c r="O730" i="2" a="1"/>
  <c r="R883" i="2" a="1"/>
  <c r="N704" i="2" a="1"/>
  <c r="W554" i="2" a="1"/>
  <c r="S775" i="2" a="1"/>
  <c r="U753" i="2" a="1"/>
  <c r="R610" i="2" a="1"/>
  <c r="O944" i="2" a="1"/>
  <c r="U821" i="2" a="1"/>
  <c r="N684" i="2" a="1"/>
  <c r="W609" i="2" a="1"/>
  <c r="U732" i="2" a="1"/>
  <c r="H999" i="2" a="1"/>
  <c r="M661" i="2" a="1"/>
  <c r="N954" i="2" a="1"/>
  <c r="P771" i="2" a="1"/>
  <c r="W812" i="2" a="1"/>
  <c r="Q751" i="2" a="1"/>
  <c r="O857" i="2" a="1"/>
  <c r="M863" i="2" a="1"/>
  <c r="O942" i="2" a="1"/>
  <c r="Q861" i="2" a="1"/>
  <c r="S848" i="2" a="1"/>
  <c r="N690" i="2" a="1"/>
  <c r="O764" i="2" a="1"/>
  <c r="P597" i="2" a="1"/>
  <c r="R583" i="2" a="1"/>
  <c r="T539" i="2" a="1"/>
  <c r="W910" i="2" a="1"/>
  <c r="S577" i="2" a="1"/>
  <c r="S865" i="2" a="1"/>
  <c r="S959" i="2" a="1"/>
  <c r="O623" i="2" a="1"/>
  <c r="H976" i="2" a="1"/>
  <c r="M774" i="2" a="1"/>
  <c r="P854" i="2" a="1"/>
  <c r="H756" i="2" a="1"/>
  <c r="W604" i="2" a="1"/>
  <c r="N537" i="2" a="1"/>
  <c r="M897" i="2" a="1"/>
  <c r="W908" i="2" a="1"/>
  <c r="U555" i="2" a="1"/>
  <c r="U805" i="2" a="1"/>
  <c r="N503" i="2" a="1"/>
  <c r="N547" i="2" a="1"/>
  <c r="T634" i="2" a="1"/>
  <c r="O726" i="2" a="1"/>
  <c r="H826" i="2" a="1"/>
  <c r="Q761" i="2" a="1"/>
  <c r="M740" i="2" a="1"/>
  <c r="S852" i="2" a="1"/>
  <c r="M756" i="2" a="1"/>
  <c r="U875" i="2" a="1"/>
  <c r="O703" i="2" a="1"/>
  <c r="O639" i="2" a="1"/>
  <c r="U637" i="2" a="1"/>
  <c r="T907" i="2" a="1"/>
  <c r="W719" i="2" a="1"/>
  <c r="R651" i="2" a="1"/>
  <c r="N765" i="2" a="1"/>
  <c r="U726" i="2" a="1"/>
  <c r="P820" i="2" a="1"/>
  <c r="H804" i="2" a="1"/>
  <c r="S824" i="2" a="1"/>
  <c r="S909" i="2" a="1"/>
  <c r="P908" i="2" a="1"/>
  <c r="W880" i="2" a="1"/>
  <c r="S900" i="2" a="1"/>
  <c r="M972" i="2" a="1"/>
  <c r="U704" i="2" a="1"/>
  <c r="N847" i="2" a="1"/>
  <c r="U782" i="2" a="1"/>
  <c r="O900" i="2" a="1"/>
  <c r="W540" i="2" a="1"/>
  <c r="O847" i="2" a="1"/>
  <c r="U641" i="2" a="1"/>
  <c r="T836" i="2" a="1"/>
  <c r="O1000" i="2" a="1"/>
  <c r="R773" i="2" a="1"/>
  <c r="U980" i="2" a="1"/>
  <c r="S834" i="2" a="1"/>
  <c r="Q543" i="2" a="1"/>
  <c r="S639" i="2" a="1"/>
  <c r="P566" i="2" a="1"/>
  <c r="U920" i="2" a="1"/>
  <c r="P655" i="2" a="1"/>
  <c r="S966" i="2" a="1"/>
  <c r="U787" i="2" a="1"/>
  <c r="W668" i="2" a="1"/>
  <c r="M690" i="2" a="1"/>
  <c r="W666" i="2" a="1"/>
  <c r="Q611" i="2" a="1"/>
  <c r="T533" i="2" a="1"/>
  <c r="P907" i="2" a="1"/>
  <c r="S953" i="2" a="1"/>
  <c r="Q679" i="2" a="1"/>
  <c r="O642" i="2" a="1"/>
  <c r="U864" i="2" a="1"/>
  <c r="T983" i="2" a="1"/>
  <c r="W903" i="2" a="1"/>
  <c r="N873" i="2" a="1"/>
  <c r="U774" i="2" a="1"/>
  <c r="O504" i="2" a="1"/>
  <c r="T558" i="2" a="1"/>
  <c r="Q769" i="2" a="1"/>
  <c r="M857" i="2" a="1"/>
  <c r="W517" i="2" a="1"/>
  <c r="S734" i="2" a="1"/>
  <c r="P876" i="2" a="1"/>
  <c r="O541" i="2" a="1"/>
  <c r="U547" i="2" a="1"/>
  <c r="M623" i="2" a="1"/>
  <c r="Q734" i="2" a="1"/>
  <c r="W909" i="2" a="1"/>
  <c r="U515" i="2" a="1"/>
  <c r="N707" i="2" a="1"/>
  <c r="O527" i="2" a="1"/>
  <c r="N566" i="2" a="1"/>
  <c r="P943" i="2" a="1"/>
  <c r="O691" i="2" a="1"/>
  <c r="O503" i="2" a="1"/>
  <c r="H994" i="2" a="1"/>
  <c r="W993" i="2" a="1"/>
  <c r="S614" i="2" a="1"/>
  <c r="Q999" i="2" a="1"/>
  <c r="N731" i="2" a="1"/>
  <c r="O698" i="2" a="1"/>
  <c r="S828" i="2" a="1"/>
  <c r="R830" i="2" a="1"/>
  <c r="N739" i="2" a="1"/>
  <c r="O830" i="2" a="1"/>
  <c r="N538" i="2" a="1"/>
  <c r="W525" i="2" a="1"/>
  <c r="S737" i="2" a="1"/>
  <c r="W614" i="2" a="1"/>
  <c r="Q752" i="2" a="1"/>
  <c r="M698" i="2" a="1"/>
  <c r="H844" i="2" a="1"/>
  <c r="P638" i="2" a="1"/>
  <c r="O613" i="2" a="1"/>
  <c r="R676" i="2" a="1"/>
  <c r="Q645" i="2" a="1"/>
  <c r="U667" i="2" a="1"/>
  <c r="T958" i="2" a="1"/>
  <c r="Q604" i="2" a="1"/>
  <c r="O934" i="2" a="1"/>
  <c r="W925" i="2" a="1"/>
  <c r="S672" i="2" a="1"/>
  <c r="Q598" i="2" a="1"/>
  <c r="R857" i="2" a="1"/>
  <c r="M573" i="2" a="1"/>
  <c r="N773" i="2" a="1"/>
  <c r="H637" i="2" a="1"/>
  <c r="H740" i="2" a="1"/>
  <c r="S982" i="2" a="1"/>
  <c r="N711" i="2" a="1"/>
  <c r="P640" i="2" a="1"/>
  <c r="T962" i="2" a="1"/>
  <c r="Q872" i="2" a="1"/>
  <c r="R984" i="2" a="1"/>
  <c r="H861" i="2" a="1"/>
  <c r="W904" i="2" a="1"/>
  <c r="W953" i="2" a="1"/>
  <c r="U682" i="2" a="1"/>
  <c r="S707" i="2" a="1"/>
  <c r="P981" i="2" a="1"/>
  <c r="P617" i="2" a="1"/>
  <c r="Q577" i="2" a="1"/>
  <c r="P630" i="2" a="1"/>
  <c r="U997" i="2" a="1"/>
  <c r="N699" i="2" a="1"/>
  <c r="T615" i="2" a="1"/>
  <c r="U977" i="2" a="1"/>
  <c r="W831" i="2" a="1"/>
  <c r="Q711" i="2" a="1"/>
  <c r="M723" i="2" a="1"/>
  <c r="N881" i="2" a="1"/>
  <c r="H980" i="2" a="1"/>
  <c r="Q659" i="2" a="1"/>
  <c r="W508" i="2" a="1"/>
  <c r="U684" i="2" a="1"/>
  <c r="T727" i="2" a="1"/>
  <c r="W711" i="2" a="1"/>
  <c r="R997" i="2" a="1"/>
  <c r="U672" i="2" a="1"/>
  <c r="S701" i="2" a="1"/>
  <c r="Q896" i="2" a="1"/>
  <c r="O972" i="2" a="1"/>
  <c r="H786" i="2" a="1"/>
  <c r="M945" i="2" a="1"/>
  <c r="M540" i="2" a="1"/>
  <c r="W973" i="2" a="1"/>
  <c r="O988" i="2" a="1"/>
  <c r="W974" i="2" a="1"/>
  <c r="T720" i="2" a="1"/>
  <c r="S731" i="2" a="1"/>
  <c r="U567" i="2" a="1"/>
  <c r="T653" i="2" a="1"/>
  <c r="Q799" i="2" a="1"/>
  <c r="T613" i="2" a="1"/>
  <c r="R907" i="2" a="1"/>
  <c r="W735" i="2" a="1"/>
  <c r="S583" i="2" a="1"/>
  <c r="S668" i="2" a="1"/>
  <c r="Q857" i="2" a="1"/>
  <c r="Q756" i="2" a="1"/>
  <c r="O603" i="2" a="1"/>
  <c r="T897" i="2" a="1"/>
  <c r="M889" i="2" a="1"/>
  <c r="M577" i="2" a="1"/>
  <c r="S593" i="2" a="1"/>
  <c r="Q897" i="2" a="1"/>
  <c r="S524" i="2" a="1"/>
  <c r="W612" i="2" a="1"/>
  <c r="T827" i="2" a="1"/>
  <c r="Q753" i="2" a="1"/>
  <c r="U943" i="2" a="1"/>
  <c r="R905" i="2" a="1"/>
  <c r="P651" i="2" a="1"/>
  <c r="T571" i="2" a="1"/>
  <c r="R591" i="2" a="1"/>
  <c r="O909" i="2" a="1"/>
  <c r="O605" i="2" a="1"/>
  <c r="W599" i="2" a="1"/>
  <c r="U596" i="2" a="1"/>
  <c r="S811" i="2" a="1"/>
  <c r="T646" i="2" a="1"/>
  <c r="W916" i="2" a="1"/>
  <c r="T808" i="2" a="1"/>
  <c r="P961" i="2" a="1"/>
  <c r="N693" i="2" a="1"/>
  <c r="H699" i="2" a="1"/>
  <c r="N904" i="2" a="1"/>
  <c r="W667" i="2" a="1"/>
  <c r="Q547" i="2" a="1"/>
  <c r="O910" i="2" a="1"/>
  <c r="P797" i="2" a="1"/>
  <c r="P782" i="2" a="1"/>
  <c r="P619" i="2" a="1"/>
  <c r="M648" i="2" a="1"/>
  <c r="N767" i="2" a="1"/>
  <c r="H737" i="2" a="1"/>
  <c r="U649" i="2" a="1"/>
  <c r="Q502" i="2" a="1"/>
  <c r="O841" i="2" a="1"/>
  <c r="R695" i="2" a="1"/>
  <c r="Q980" i="2" a="1"/>
  <c r="T704" i="2" a="1"/>
  <c r="P681" i="2" a="1"/>
  <c r="P703" i="2" a="1"/>
  <c r="S906" i="2" a="1"/>
  <c r="R571" i="2" a="1"/>
  <c r="M806" i="2" a="1"/>
  <c r="T714" i="2" a="1"/>
  <c r="S661" i="2" a="1"/>
  <c r="U688" i="2" a="1"/>
  <c r="Q750" i="2" a="1"/>
  <c r="W636" i="2" a="1"/>
  <c r="W715" i="2" a="1"/>
  <c r="P585" i="2" a="1"/>
  <c r="S755" i="2" a="1"/>
  <c r="N612" i="2" a="1"/>
  <c r="Q838" i="2" a="1"/>
  <c r="N582" i="2" a="1"/>
  <c r="H644" i="2" a="1"/>
  <c r="H784" i="2" a="1"/>
  <c r="U941" i="2" a="1"/>
  <c r="S948" i="2" a="1"/>
  <c r="M918" i="2" a="1"/>
  <c r="W664" i="2" a="1"/>
  <c r="O845" i="2" a="1"/>
  <c r="P892" i="2" a="1"/>
  <c r="N967" i="2" a="1"/>
  <c r="O576" i="2" a="1"/>
  <c r="T955" i="2" a="1"/>
  <c r="W506" i="2" a="1"/>
  <c r="R964" i="2" a="1"/>
  <c r="H722" i="2" a="1"/>
  <c r="R871" i="2" a="1"/>
  <c r="N507" i="2" a="1"/>
  <c r="T948" i="2" a="1"/>
  <c r="P743" i="2" a="1"/>
  <c r="O985" i="2" a="1"/>
  <c r="O679" i="2" a="1"/>
  <c r="U834" i="2" a="1"/>
  <c r="O919" i="2" a="1"/>
  <c r="M562" i="2" a="1"/>
  <c r="W685" i="2" a="1"/>
  <c r="S740" i="2" a="1"/>
  <c r="U841" i="2" a="1"/>
  <c r="N795" i="2" a="1"/>
  <c r="M867" i="2" a="1"/>
  <c r="W869" i="2" a="1"/>
  <c r="H752" i="2" a="1"/>
  <c r="M695" i="2" a="1"/>
  <c r="P945" i="2" a="1"/>
  <c r="T910" i="2" a="1"/>
  <c r="Q538" i="2" a="1"/>
  <c r="H885" i="2" a="1"/>
  <c r="T924" i="2" a="1"/>
  <c r="H776" i="2" a="1"/>
  <c r="N985" i="2" a="1"/>
  <c r="Q930" i="2" a="1"/>
  <c r="Q836" i="2" a="1"/>
  <c r="H714" i="2" a="1"/>
  <c r="R665" i="2" a="1"/>
  <c r="Q969" i="2" a="1"/>
  <c r="S875" i="2" a="1"/>
  <c r="N843" i="2" a="1"/>
  <c r="H516" i="2" a="1"/>
  <c r="U557" i="2" a="1"/>
  <c r="R694" i="2" a="1"/>
  <c r="N559" i="2" a="1"/>
  <c r="T880" i="2" a="1"/>
  <c r="U935" i="2" a="1"/>
  <c r="T569" i="2" a="1"/>
  <c r="Q946" i="2" a="1"/>
  <c r="S869" i="2" a="1"/>
  <c r="U961" i="2" a="1"/>
  <c r="T650" i="2" a="1"/>
  <c r="P508" i="2" a="1"/>
  <c r="N919" i="2" a="1"/>
  <c r="P540" i="2" a="1"/>
  <c r="O797" i="2" a="1"/>
  <c r="W713" i="2" a="1"/>
  <c r="N778" i="2" a="1"/>
  <c r="P534" i="2" a="1"/>
  <c r="N550" i="2" a="1"/>
  <c r="W627" i="2" a="1"/>
  <c r="N575" i="2" a="1"/>
  <c r="Q783" i="2" a="1"/>
  <c r="T858" i="2" a="1"/>
  <c r="O716" i="2" a="1"/>
  <c r="O680" i="2" a="1"/>
  <c r="N577" i="2" a="1"/>
  <c r="U823" i="2" a="1"/>
  <c r="N965" i="2" a="1"/>
  <c r="W623" i="2" a="1"/>
  <c r="O927" i="2" a="1"/>
  <c r="W721" i="2" a="1"/>
  <c r="Q747" i="2" a="1"/>
  <c r="R586" i="2" a="1"/>
  <c r="M587" i="2" a="1"/>
  <c r="Q672" i="2" a="1"/>
  <c r="O601" i="2" a="1"/>
  <c r="N510" i="2" a="1"/>
  <c r="N551" i="2" a="1"/>
  <c r="Q824" i="2" a="1"/>
  <c r="R893" i="2" a="1"/>
  <c r="Q834" i="2" a="1"/>
  <c r="U879" i="2" a="1"/>
  <c r="T717" i="2" a="1"/>
  <c r="W802" i="2" a="1"/>
  <c r="R923" i="2" a="1"/>
  <c r="S733" i="2" a="1"/>
  <c r="H628" i="2" a="1"/>
  <c r="W561" i="2" a="1"/>
  <c r="P864" i="2" a="1"/>
  <c r="N512" i="2" a="1"/>
  <c r="W654" i="2" a="1"/>
  <c r="R770" i="2" a="1"/>
  <c r="N587" i="2" a="1"/>
  <c r="W776" i="2" a="1"/>
  <c r="W841" i="2" a="1"/>
  <c r="U709" i="2" a="1"/>
  <c r="O683" i="2" a="1"/>
  <c r="T889" i="2" a="1"/>
  <c r="P539" i="2" a="1"/>
  <c r="T537" i="2" a="1"/>
  <c r="T630" i="2" a="1"/>
  <c r="R599" i="2" a="1"/>
  <c r="W683" i="2" a="1"/>
  <c r="R703" i="2" a="1"/>
  <c r="P676" i="2" a="1"/>
  <c r="M627" i="2" a="1"/>
  <c r="H853" i="2" a="1"/>
  <c r="U662" i="2" a="1"/>
  <c r="R885" i="2" a="1"/>
  <c r="N520" i="2" a="1"/>
  <c r="M877" i="2" a="1"/>
  <c r="P868" i="2" a="1"/>
  <c r="P897" i="2" a="1"/>
  <c r="U694" i="2" a="1"/>
  <c r="R737" i="2" a="1"/>
  <c r="T542" i="2" a="1"/>
  <c r="R658" i="2" a="1"/>
  <c r="U729" i="2" a="1"/>
  <c r="P692" i="2" a="1"/>
  <c r="Q657" i="2" a="1"/>
  <c r="R597" i="2" a="1"/>
  <c r="P979" i="2" a="1"/>
  <c r="S968" i="2" a="1"/>
  <c r="W934" i="2" a="1"/>
  <c r="P836" i="2" a="1"/>
  <c r="Q620" i="2" a="1"/>
  <c r="U978" i="2" a="1"/>
  <c r="S2" i="2" a="1"/>
  <c r="M721" i="2" a="1"/>
  <c r="N548" i="2" a="1"/>
  <c r="Q714" i="2" a="1"/>
  <c r="M817" i="2" a="1"/>
  <c r="R949" i="2" a="1"/>
  <c r="O863" i="2" a="1"/>
  <c r="R657" i="2" a="1"/>
  <c r="Q814" i="2" a="1"/>
  <c r="T762" i="2" a="1"/>
  <c r="O869" i="2" a="1"/>
  <c r="N996" i="2" a="1"/>
  <c r="P611" i="2" a="1"/>
  <c r="H866" i="2" a="1"/>
  <c r="W954" i="2" a="1"/>
  <c r="R643" i="2" a="1"/>
  <c r="Q736" i="2" a="1"/>
  <c r="W977" i="2" a="1"/>
  <c r="S756" i="2" a="1"/>
  <c r="N646" i="2" a="1"/>
  <c r="U744" i="2" a="1"/>
  <c r="P921" i="2" a="1"/>
  <c r="T583" i="2" a="1"/>
  <c r="H677" i="2" a="1"/>
  <c r="N989" i="2" a="1"/>
  <c r="Q919" i="2" a="1"/>
  <c r="N972" i="2" a="1"/>
  <c r="Q960" i="2" a="1"/>
  <c r="O571" i="2" a="1"/>
  <c r="N865" i="2" a="1"/>
  <c r="M776" i="2" a="1"/>
  <c r="W541" i="2" a="1"/>
  <c r="O862" i="2" a="1"/>
  <c r="Q735" i="2" a="1"/>
  <c r="Q554" i="2" a="1"/>
  <c r="U972" i="2" a="1"/>
  <c r="T868" i="2" a="1"/>
  <c r="U569" i="2" a="1"/>
  <c r="M712" i="2" a="1"/>
  <c r="O880" i="2" a="1"/>
  <c r="U873" i="2" a="1"/>
  <c r="U799" i="2" a="1"/>
  <c r="S868" i="2" a="1"/>
  <c r="S937" i="2" a="1"/>
  <c r="M799" i="2" a="1"/>
  <c r="O653" i="2" a="1"/>
  <c r="M642" i="2" a="1"/>
  <c r="M908" i="2" a="1"/>
  <c r="R689" i="2" a="1"/>
  <c r="P850" i="2" a="1"/>
  <c r="Q995" i="2" a="1"/>
  <c r="O728" i="2" a="1"/>
  <c r="W696" i="2" a="1"/>
  <c r="U765" i="2" a="1"/>
  <c r="Q912" i="2" a="1"/>
  <c r="W658" i="2" a="1"/>
  <c r="R735" i="2" a="1"/>
  <c r="R683" i="2" a="1"/>
  <c r="W584" i="2" a="1"/>
  <c r="U813" i="2" a="1"/>
  <c r="H708" i="2" a="1"/>
  <c r="U981" i="2" a="1"/>
  <c r="M762" i="2" a="1"/>
  <c r="O836" i="2" a="1"/>
  <c r="U815" i="2" a="1"/>
  <c r="P536" i="2" a="1"/>
  <c r="R600" i="2" a="1"/>
  <c r="R710" i="2" a="1"/>
  <c r="S753" i="2" a="1"/>
  <c r="P513" i="2" a="1"/>
  <c r="R941" i="2" a="1"/>
  <c r="W542" i="2" a="1"/>
  <c r="U957" i="2" a="1"/>
  <c r="W800" i="2" a="1"/>
  <c r="T867" i="2" a="1"/>
  <c r="P791" i="2" a="1"/>
  <c r="S647" i="2" a="1"/>
  <c r="U710" i="2" a="1"/>
  <c r="Q823" i="2" a="1"/>
  <c r="N945" i="2" a="1"/>
  <c r="H746" i="2" a="1"/>
  <c r="P722" i="2" a="1"/>
  <c r="N683" i="2" a="1"/>
  <c r="W703" i="2" a="1"/>
  <c r="U540" i="2" a="1"/>
  <c r="Q527" i="2" a="1"/>
  <c r="U962" i="2" a="1"/>
  <c r="T959" i="2" a="1"/>
  <c r="R655" i="2" a="1"/>
  <c r="S590" i="2" a="1"/>
  <c r="N544" i="2" a="1"/>
  <c r="S741" i="2" a="1"/>
  <c r="H892" i="2" a="1"/>
  <c r="T783" i="2" a="1"/>
  <c r="Q964" i="2" a="1"/>
  <c r="P642" i="2" a="1"/>
  <c r="M33" i="2" a="1"/>
  <c r="R779" i="2" a="1"/>
  <c r="U723" i="2" a="1"/>
  <c r="O635" i="2" a="1"/>
  <c r="O684" i="2" a="1"/>
  <c r="T684" i="2" a="1"/>
  <c r="T677" i="2" a="1"/>
  <c r="N861" i="2" a="1"/>
  <c r="Q742" i="2" a="1"/>
  <c r="T803" i="2" a="1"/>
  <c r="P894" i="2" a="1"/>
  <c r="T620" i="2" a="1"/>
  <c r="S905" i="2" a="1"/>
  <c r="O933" i="2" a="1"/>
  <c r="U905" i="2" a="1"/>
  <c r="N744" i="2" a="1"/>
  <c r="R723" i="2" a="1"/>
  <c r="O838" i="2" a="1"/>
  <c r="N541" i="2" a="1"/>
  <c r="S718" i="2" a="1"/>
  <c r="M34" i="2" a="1"/>
  <c r="O744" i="2" a="1"/>
  <c r="W616" i="2" a="1"/>
  <c r="T747" i="2" a="1"/>
  <c r="P779" i="2" a="1"/>
  <c r="R865" i="2" a="1"/>
  <c r="R998" i="2" a="1"/>
  <c r="S551" i="2" a="1"/>
  <c r="T710" i="2" a="1"/>
  <c r="U502" i="2" a="1"/>
  <c r="W632" i="2" a="1"/>
  <c r="O852" i="2" a="1"/>
  <c r="R833" i="2" a="1"/>
  <c r="N900" i="2" a="1"/>
  <c r="O682" i="2" a="1"/>
  <c r="W521" i="2" a="1"/>
  <c r="O795" i="2" a="1"/>
  <c r="H624" i="2" a="1"/>
  <c r="N826" i="2" a="1"/>
  <c r="T950" i="2" a="1"/>
  <c r="W693" i="2" a="1"/>
  <c r="T939" i="2" a="1"/>
  <c r="W895" i="2" a="1"/>
  <c r="S934" i="2" a="1"/>
  <c r="O866" i="2" a="1"/>
  <c r="W919" i="2" a="1"/>
  <c r="T979" i="2" a="1"/>
  <c r="N754" i="2" a="1"/>
  <c r="R510" i="2" a="1"/>
  <c r="Q950" i="2" a="1"/>
  <c r="W906" i="2" a="1"/>
  <c r="M757" i="2" a="1"/>
  <c r="H589" i="2" a="1"/>
  <c r="N870" i="2" a="1"/>
  <c r="T806" i="2" a="1"/>
  <c r="P752" i="2" a="1"/>
  <c r="T975" i="2" a="1"/>
  <c r="P696" i="2" a="1"/>
  <c r="Q811" i="2" a="1"/>
  <c r="P985" i="2" a="1"/>
  <c r="S744" i="2" a="1"/>
  <c r="M834" i="2" a="1"/>
  <c r="Q888" i="2" a="1"/>
  <c r="O542" i="2" a="1"/>
  <c r="H925" i="2" a="1"/>
  <c r="O689" i="2" a="1"/>
  <c r="W774" i="2" a="1"/>
  <c r="R765" i="2" a="1"/>
  <c r="T616" i="2" a="1"/>
  <c r="M552" i="2" a="1"/>
  <c r="W949" i="2" a="1"/>
  <c r="O755" i="2" a="1"/>
  <c r="S606" i="2" a="1"/>
  <c r="M987" i="2" a="1"/>
  <c r="Q986" i="2" a="1"/>
  <c r="M605" i="2" a="1"/>
  <c r="W938" i="2" a="1"/>
  <c r="U741" i="2" a="1"/>
  <c r="R555" i="2" a="1"/>
  <c r="O813" i="2" a="1"/>
  <c r="T564" i="2" a="1"/>
  <c r="U511" i="2" a="1"/>
  <c r="O978" i="2" a="1"/>
  <c r="Q524" i="2" a="1"/>
  <c r="T974" i="2" a="1"/>
  <c r="O535" i="2" a="1"/>
  <c r="N770" i="2" a="1"/>
  <c r="U733" i="2" a="1"/>
  <c r="P824" i="2" a="1"/>
  <c r="W586" i="2" a="1"/>
  <c r="T804" i="2" a="1"/>
  <c r="W936" i="2" a="1"/>
  <c r="U713" i="2" a="1"/>
  <c r="M517" i="2" a="1"/>
  <c r="P758" i="2" a="1"/>
  <c r="W762" i="2" a="1"/>
  <c r="N971" i="2" a="1"/>
  <c r="Q553" i="2" a="1"/>
  <c r="U937" i="2" a="1"/>
  <c r="N772" i="2" a="1"/>
  <c r="Q623" i="2" a="1"/>
  <c r="H510" i="2" a="1"/>
  <c r="N564" i="2" a="1"/>
  <c r="H536" i="2" a="1"/>
  <c r="S561" i="2" a="1"/>
  <c r="S922" i="2" a="1"/>
  <c r="H797" i="2" a="1"/>
  <c r="U643" i="2" a="1"/>
  <c r="O573" i="2" a="1"/>
  <c r="P980" i="2" a="1"/>
  <c r="W594" i="2" a="1"/>
  <c r="W950" i="2" a="1"/>
  <c r="U809" i="2" a="1"/>
  <c r="T985" i="2" a="1"/>
  <c r="S549" i="2" a="1"/>
  <c r="U580" i="2" a="1"/>
  <c r="R670" i="2" a="1"/>
  <c r="O514" i="2" a="1"/>
  <c r="H991" i="2" a="1"/>
  <c r="T990" i="2" a="1"/>
  <c r="T987" i="2" a="1"/>
  <c r="Q732" i="2" a="1"/>
  <c r="W792" i="2" a="1"/>
  <c r="N531" i="2" a="1"/>
  <c r="O520" i="2" a="1"/>
  <c r="W786" i="2" a="1"/>
  <c r="P728" i="2" a="1"/>
  <c r="R795" i="2" a="1"/>
  <c r="W656" i="2" a="1"/>
  <c r="Q792" i="2" a="1"/>
  <c r="M669" i="2" a="1"/>
  <c r="N647" i="2" a="1"/>
  <c r="Q867" i="2" a="1"/>
  <c r="T825" i="2" a="1"/>
  <c r="W978" i="2" a="1"/>
  <c r="U816" i="2" a="1"/>
  <c r="O888" i="2" a="1"/>
  <c r="T683" i="2" a="1"/>
  <c r="R622" i="2" a="1"/>
  <c r="O692" i="2" a="1"/>
  <c r="P583" i="2" a="1"/>
  <c r="S751" i="2" a="1"/>
  <c r="W833" i="2" a="1"/>
  <c r="U993" i="2" a="1"/>
  <c r="W740" i="2" a="1"/>
  <c r="M566" i="2" a="1"/>
  <c r="Q573" i="2" a="1"/>
  <c r="M503" i="2" a="1"/>
  <c r="S699" i="2" a="1"/>
  <c r="W877" i="2" a="1"/>
  <c r="Q539" i="2" a="1"/>
  <c r="U923" i="2" a="1"/>
  <c r="S529" i="2" a="1"/>
  <c r="P616" i="2" a="1"/>
  <c r="U527" i="2" a="1"/>
  <c r="T914" i="2" a="1"/>
  <c r="R708" i="2" a="1"/>
  <c r="N922" i="2" a="1"/>
  <c r="Q776" i="2" a="1"/>
  <c r="Q540" i="2" a="1"/>
  <c r="U807" i="2" a="1"/>
  <c r="W566" i="2" a="1"/>
  <c r="U998" i="2" a="1"/>
  <c r="M558" i="2" a="1"/>
  <c r="O696" i="2" a="1"/>
  <c r="N912" i="2" a="1"/>
  <c r="N880" i="2" a="1"/>
  <c r="S957" i="2" a="1"/>
  <c r="M923" i="2" a="1"/>
  <c r="P952" i="2" a="1"/>
  <c r="U578" i="2" a="1"/>
  <c r="W930" i="2" a="1"/>
  <c r="O566" i="2" a="1"/>
  <c r="U523" i="2" a="1"/>
  <c r="N821" i="2" a="1"/>
  <c r="U626" i="2" a="1"/>
  <c r="W901" i="2" a="1"/>
  <c r="N689" i="2" a="1"/>
  <c r="P927" i="2" a="1"/>
  <c r="Q866" i="2" a="1"/>
  <c r="M942" i="2" a="1"/>
  <c r="P941" i="2" a="1"/>
  <c r="S559" i="2" a="1"/>
  <c r="P637" i="2" a="1"/>
  <c r="W756" i="2" a="1"/>
  <c r="R674" i="2" a="1"/>
  <c r="N916" i="2" a="1"/>
  <c r="N615" i="2" a="1"/>
  <c r="O638" i="2" a="1"/>
  <c r="Q937" i="2" a="1"/>
  <c r="M884" i="2" a="1"/>
  <c r="N519" i="2" a="1"/>
  <c r="H796" i="2" a="1"/>
  <c r="M880" i="2" a="1"/>
  <c r="S521" i="2" a="1"/>
  <c r="T513" i="2" a="1"/>
  <c r="N505" i="2" a="1"/>
  <c r="T920" i="2" a="1"/>
  <c r="P762" i="2" a="1"/>
  <c r="H884" i="2" a="1"/>
  <c r="Q576" i="2" a="1"/>
  <c r="U521" i="2" a="1"/>
  <c r="H850" i="2" a="1"/>
  <c r="T586" i="2" a="1"/>
  <c r="R577" i="2" a="1"/>
  <c r="U609" i="2" a="1"/>
  <c r="O624" i="2" a="1"/>
  <c r="U910" i="2" a="1"/>
  <c r="R502" i="2" a="1"/>
  <c r="Q931" i="2" a="1"/>
  <c r="Q757" i="2" a="1"/>
  <c r="U784" i="2" a="1"/>
  <c r="T518" i="2" a="1"/>
  <c r="M541" i="2" a="1"/>
  <c r="R527" i="2" a="1"/>
  <c r="Q741" i="2" a="1"/>
  <c r="T989" i="2" a="1"/>
  <c r="W707" i="2" a="1"/>
  <c r="T849" i="2" a="1"/>
  <c r="S792" i="2" a="1"/>
  <c r="O905" i="2" a="1"/>
  <c r="S722" i="2" a="1"/>
  <c r="U818" i="2" a="1"/>
  <c r="N992" i="2" a="1"/>
  <c r="U686" i="2" a="1"/>
  <c r="M616" i="2" a="1"/>
  <c r="Q526" i="2" a="1"/>
  <c r="W597" i="2" a="1"/>
  <c r="Q707" i="2" a="1"/>
  <c r="M509" i="2" a="1"/>
  <c r="Q795" i="2" a="1"/>
  <c r="T934" i="2" a="1"/>
  <c r="U562" i="2" a="1"/>
  <c r="U918" i="2" a="1"/>
  <c r="O877" i="2" a="1"/>
  <c r="W509" i="2" a="1"/>
  <c r="H987" i="2" a="1"/>
  <c r="S908" i="2" a="1"/>
  <c r="P732" i="2" a="1"/>
  <c r="S700" i="2" a="1"/>
  <c r="W548" i="2" a="1"/>
  <c r="P700" i="2" a="1"/>
  <c r="W888" i="2" a="1"/>
  <c r="T536" i="2" a="1"/>
  <c r="T695" i="2" a="1"/>
  <c r="M746" i="2" a="1"/>
  <c r="P787" i="2" a="1"/>
  <c r="W550" i="2" a="1"/>
  <c r="N546" i="2" a="1"/>
  <c r="Q649" i="2" a="1"/>
  <c r="S550" i="2" a="1"/>
  <c r="W641" i="2" a="1"/>
  <c r="T32" i="2" a="1"/>
  <c r="P629" i="2" a="1"/>
  <c r="M565" i="2" a="1"/>
  <c r="R736" i="2" a="1"/>
  <c r="R935" i="2" a="1"/>
  <c r="W726" i="2" a="1"/>
  <c r="W915" i="2" a="1"/>
  <c r="N781" i="2" a="1"/>
  <c r="M714" i="2" a="1"/>
  <c r="P853" i="2" a="1"/>
  <c r="H960" i="2" a="1"/>
  <c r="R642" i="2" a="1"/>
  <c r="N545" i="2" a="1"/>
  <c r="T833" i="2" a="1"/>
  <c r="P707" i="2" a="1"/>
  <c r="N580" i="2" a="1"/>
  <c r="W827" i="2" a="1"/>
  <c r="W842" i="2" a="1"/>
  <c r="H636" i="2" a="1"/>
  <c r="U653" i="2" a="1"/>
  <c r="R868" i="2" a="1"/>
  <c r="R838" i="2" a="1"/>
  <c r="H931" i="2" a="1"/>
  <c r="U3" i="2" a="1"/>
  <c r="Q818" i="2" a="1"/>
  <c r="U605" i="2" a="1"/>
  <c r="R909" i="2" a="1"/>
  <c r="T866" i="2" a="1"/>
  <c r="H768" i="2" a="1"/>
  <c r="W678" i="2" a="1"/>
  <c r="O570" i="2" a="1"/>
  <c r="Q940" i="2" a="1"/>
  <c r="O710" i="2" a="1"/>
  <c r="Q844" i="2" a="1"/>
  <c r="W514" i="2" a="1"/>
  <c r="R579" i="2" a="1"/>
  <c r="T903" i="2" a="1"/>
  <c r="Q875" i="2" a="1"/>
  <c r="R951" i="2" a="1"/>
  <c r="M992" i="2" a="1"/>
  <c r="T980" i="2" a="1"/>
  <c r="P541" i="2" a="1"/>
  <c r="N762" i="2" a="1"/>
  <c r="W620" i="2" a="1"/>
  <c r="M872" i="2" a="1"/>
  <c r="W655" i="2" a="1"/>
  <c r="R791" i="2" a="1"/>
  <c r="O662" i="2" a="1"/>
  <c r="N553" i="2" a="1"/>
  <c r="R647" i="2" a="1"/>
  <c r="N607" i="2" a="1"/>
  <c r="N539" i="2" a="1"/>
  <c r="Q615" i="2" a="1"/>
  <c r="P526" i="2" a="1"/>
  <c r="O714" i="2" a="1"/>
  <c r="W562" i="2" a="1"/>
  <c r="S993" i="2" a="1"/>
  <c r="S536" i="2" a="1"/>
  <c r="S689" i="2" a="1"/>
  <c r="W815" i="2" a="1"/>
  <c r="P841" i="2" a="1"/>
  <c r="W791" i="2" a="1"/>
  <c r="O759" i="2" a="1"/>
  <c r="N921" i="2" a="1"/>
  <c r="W768" i="2" a="1"/>
  <c r="P615" i="2" a="1"/>
  <c r="H744" i="2" a="1"/>
  <c r="N609" i="2" a="1"/>
  <c r="T860" i="2" a="1"/>
  <c r="S840" i="2" a="1"/>
  <c r="U881" i="2" a="1"/>
  <c r="T850" i="2" a="1"/>
  <c r="T802" i="2" a="1"/>
  <c r="H749" i="2" a="1"/>
  <c r="N700" i="2" a="1"/>
  <c r="M684" i="2" a="1"/>
  <c r="Q863" i="2" a="1"/>
  <c r="P550" i="2" a="1"/>
  <c r="Q740" i="2" a="1"/>
  <c r="P596" i="2" a="1"/>
  <c r="R996" i="2" a="1"/>
  <c r="Q570" i="2" a="1"/>
  <c r="W966" i="2" a="1"/>
  <c r="R623" i="2" a="1"/>
  <c r="U718" i="2" a="1"/>
  <c r="P910" i="2" a="1"/>
  <c r="Q699" i="2" a="1"/>
  <c r="O733" i="2" a="1"/>
  <c r="W510" i="2" a="1"/>
  <c r="W898" i="2" a="1"/>
  <c r="O938" i="2" a="1"/>
  <c r="W675" i="2" a="1"/>
  <c r="U796" i="2" a="1"/>
  <c r="W559" i="2" a="1"/>
  <c r="O609" i="2" a="1"/>
  <c r="Q561" i="2" a="1"/>
  <c r="U939" i="2" a="1"/>
  <c r="O751" i="2" a="1"/>
  <c r="W650" i="2" a="1"/>
  <c r="Q557" i="2" a="1"/>
  <c r="N656" i="2" a="1"/>
  <c r="O622" i="2" a="1"/>
  <c r="U734" i="2" a="1"/>
  <c r="T563" i="2" a="1"/>
  <c r="U797" i="2" a="1"/>
  <c r="T591" i="2" a="1"/>
  <c r="O953" i="2" a="1"/>
  <c r="R511" i="2" a="1"/>
  <c r="M521" i="2" a="1"/>
  <c r="M950" i="2" a="1"/>
  <c r="T531" i="2" a="1"/>
  <c r="N675" i="2" a="1"/>
  <c r="S988" i="2" a="1"/>
  <c r="P558" i="2" a="1"/>
  <c r="O971" i="2" a="1"/>
  <c r="N777" i="2" a="1"/>
  <c r="P643" i="2" a="1"/>
  <c r="M927" i="2" a="1"/>
  <c r="Q902" i="2" a="1"/>
  <c r="O825" i="2" a="1"/>
  <c r="S553" i="2" a="1"/>
  <c r="P595" i="2" a="1"/>
  <c r="O538" i="2" a="1"/>
  <c r="M916" i="2" a="1"/>
  <c r="N620" i="2" a="1"/>
  <c r="R556" i="2" a="1"/>
  <c r="S655" i="2" a="1"/>
  <c r="O895" i="2" a="1"/>
  <c r="P727" i="2" a="1"/>
  <c r="T865" i="2" a="1"/>
  <c r="S940" i="2" a="1"/>
  <c r="R863" i="2" a="1"/>
  <c r="R790" i="2" a="1"/>
  <c r="P834" i="2" a="1"/>
  <c r="P658" i="2" a="1"/>
  <c r="N812" i="2" a="1"/>
  <c r="R564" i="2" a="1"/>
  <c r="T792" i="2" a="1"/>
  <c r="T508" i="2" a="1"/>
  <c r="H569" i="2" a="1"/>
  <c r="U793" i="2" a="1"/>
  <c r="N757" i="2" a="1"/>
  <c r="N909" i="2" a="1"/>
  <c r="O530" i="2" a="1"/>
  <c r="S809" i="2" a="1"/>
  <c r="S528" i="2" a="1"/>
  <c r="S837" i="2" a="1"/>
  <c r="P672" i="2" a="1"/>
  <c r="T530" i="2" a="1"/>
  <c r="H619" i="2" a="1"/>
  <c r="O868" i="2" a="1"/>
  <c r="P875" i="2" a="1"/>
  <c r="N855" i="2" a="1"/>
  <c r="R934" i="2" a="1"/>
  <c r="R627" i="2" a="1"/>
  <c r="U676" i="2" a="1"/>
  <c r="W931" i="2" a="1"/>
  <c r="U714" i="2" a="1"/>
  <c r="R619" i="2" a="1"/>
  <c r="W727" i="2" a="1"/>
  <c r="R718" i="2" a="1"/>
  <c r="M585" i="2" a="1"/>
  <c r="P905" i="2" a="1"/>
  <c r="Q837" i="2" a="1"/>
  <c r="H927" i="2" a="1"/>
  <c r="H794" i="2" a="1"/>
  <c r="O957" i="2" a="1"/>
  <c r="O717" i="2" a="1"/>
  <c r="Q843" i="2" a="1"/>
  <c r="T673" i="2" a="1"/>
  <c r="R537" i="2" a="1"/>
  <c r="N991" i="2" a="1"/>
  <c r="O965" i="2" a="1"/>
  <c r="M570" i="2" a="1"/>
  <c r="S778" i="2" a="1"/>
  <c r="N862" i="2" a="1"/>
  <c r="N719" i="2" a="1"/>
  <c r="U794" i="2" a="1"/>
  <c r="Q970" i="2" a="1"/>
  <c r="Q812" i="2" a="1"/>
  <c r="P781" i="2" a="1"/>
  <c r="H540" i="2" a="1"/>
  <c r="O835" i="2" a="1"/>
  <c r="P879" i="2" a="1"/>
  <c r="O815" i="2" a="1"/>
  <c r="S573" i="2" a="1"/>
  <c r="N743" i="2" a="1"/>
  <c r="W657" i="2" a="1"/>
  <c r="O956" i="2" a="1"/>
  <c r="O881" i="2" a="1"/>
  <c r="P579" i="2" a="1"/>
  <c r="P828" i="2" a="1"/>
  <c r="U832" i="2" a="1"/>
  <c r="P969" i="2" a="1"/>
  <c r="Q640" i="2" a="1"/>
  <c r="N556" i="2" a="1"/>
  <c r="U602" i="2" a="1"/>
  <c r="U708" i="2" a="1"/>
  <c r="R681" i="2" a="1"/>
  <c r="P778" i="2" a="1"/>
  <c r="S555" i="2" a="1"/>
  <c r="T688" i="2" a="1"/>
  <c r="S517" i="2" a="1"/>
  <c r="O871" i="2" a="1"/>
  <c r="T951" i="2" a="1"/>
  <c r="S892" i="2" a="1"/>
  <c r="S522" i="2" a="1"/>
  <c r="S986" i="2" a="1"/>
  <c r="R994" i="2" a="1"/>
  <c r="O808" i="2" a="1"/>
  <c r="N950" i="2" a="1"/>
  <c r="O984" i="2" a="1"/>
  <c r="R841" i="2" a="1"/>
  <c r="P505" i="2" a="1"/>
  <c r="Q693" i="2" a="1"/>
  <c r="Q588" i="2" a="1"/>
  <c r="Q574" i="2" a="1"/>
  <c r="M640" i="2" a="1"/>
  <c r="T699" i="2" a="1"/>
  <c r="P818" i="2" a="1"/>
  <c r="R654" i="2" a="1"/>
  <c r="W770" i="2" a="1"/>
  <c r="R879" i="2" a="1"/>
  <c r="S904" i="2" a="1"/>
  <c r="Q535" i="2" a="1"/>
  <c r="H641" i="2" a="1"/>
  <c r="O550" i="2" a="1"/>
  <c r="H897" i="2" a="1"/>
  <c r="N823" i="2" a="1"/>
  <c r="R605" i="2" a="1"/>
  <c r="M994" i="2" a="1"/>
  <c r="O650" i="2" a="1"/>
  <c r="N935" i="2" a="1"/>
  <c r="S821" i="2" a="1"/>
  <c r="M609" i="2" a="1"/>
  <c r="N975" i="2" a="1"/>
  <c r="T946" i="2" a="1"/>
  <c r="O546" i="2" a="1"/>
  <c r="N830" i="2" a="1"/>
  <c r="W997" i="2" a="1"/>
  <c r="M845" i="2" a="1"/>
  <c r="R806" i="2" a="1"/>
  <c r="P963" i="2" a="1"/>
  <c r="O899" i="2" a="1"/>
  <c r="M619" i="2" a="1"/>
  <c r="Q958" i="2" a="1"/>
  <c r="O922" i="2" a="1"/>
  <c r="P852" i="2" a="1"/>
  <c r="U606" i="2" a="1"/>
  <c r="R553" i="2" a="1"/>
  <c r="N929" i="2" a="1"/>
  <c r="O739" i="2" a="1"/>
  <c r="M518" i="2" a="1"/>
  <c r="T956" i="2" a="1"/>
  <c r="T690" i="2" a="1"/>
  <c r="M592" i="2" a="1"/>
  <c r="R690" i="2" a="1"/>
  <c r="P923" i="2" a="1"/>
  <c r="S916" i="2" a="1"/>
  <c r="S846" i="2" a="1"/>
  <c r="R5" i="2" a="1"/>
  <c r="R989" i="2" a="1"/>
  <c r="S817" i="2" a="1"/>
  <c r="W989" i="2" a="1"/>
  <c r="R561" i="2" a="1"/>
  <c r="O607" i="2" a="1"/>
  <c r="T788" i="2" a="1"/>
  <c r="W970" i="2" a="1"/>
  <c r="R589" i="2" a="1"/>
  <c r="N979" i="2" a="1"/>
  <c r="O860" i="2" a="1"/>
  <c r="S888" i="2" a="1"/>
  <c r="W876" i="2" a="1"/>
  <c r="U533" i="2" a="1"/>
  <c r="S815" i="2" a="1"/>
  <c r="P531" i="2" a="1"/>
  <c r="M534" i="2" a="1"/>
  <c r="U739" i="2" a="1"/>
  <c r="W822" i="2" a="1"/>
  <c r="R671" i="2" a="1"/>
  <c r="W613" i="2" a="1"/>
  <c r="Q614" i="2" a="1"/>
  <c r="O720" i="2" a="1"/>
  <c r="O806" i="2" a="1"/>
  <c r="Q568" i="2" a="1"/>
  <c r="H518" i="2" a="1"/>
  <c r="P799" i="2" a="1"/>
  <c r="H741" i="2" a="1"/>
  <c r="P691" i="2" a="1"/>
  <c r="W1000" i="2" a="1"/>
  <c r="R969" i="2" a="1"/>
  <c r="R706" i="2" a="1"/>
  <c r="U915" i="2" a="1"/>
  <c r="R819" i="2" a="1"/>
  <c r="O923" i="2" a="1"/>
  <c r="O989" i="2" a="1"/>
  <c r="M507" i="2" a="1"/>
  <c r="U990" i="2" a="1"/>
  <c r="Q565" i="2" a="1"/>
  <c r="W866" i="2" a="1"/>
  <c r="S921" i="2" a="1"/>
  <c r="U779" i="2" a="1"/>
  <c r="W750" i="2" a="1"/>
  <c r="T663" i="2" a="1"/>
  <c r="M502" i="2" a="1"/>
  <c r="W537" i="2" a="1"/>
  <c r="P1000" i="2" a="1"/>
  <c r="H632" i="2" a="1"/>
  <c r="N638" i="2" a="1"/>
  <c r="H571" i="2" a="1"/>
  <c r="S608" i="2" a="1"/>
  <c r="W733" i="2" a="1"/>
  <c r="T892" i="2" a="1"/>
  <c r="H883" i="2" a="1"/>
  <c r="P535" i="2" a="1"/>
  <c r="P620" i="2" a="1"/>
  <c r="Q589" i="2" a="1"/>
  <c r="T733" i="2" a="1"/>
  <c r="S907" i="2" a="1"/>
  <c r="S980" i="2" a="1"/>
  <c r="U893" i="2" a="1"/>
  <c r="R595" i="2" a="1"/>
  <c r="P769" i="2" a="1"/>
  <c r="T540" i="2" a="1"/>
  <c r="Q505" i="2" a="1"/>
  <c r="H728" i="2" a="1"/>
  <c r="N951" i="2" a="1"/>
  <c r="U773" i="2" a="1"/>
  <c r="S739" i="2" a="1"/>
  <c r="H514" i="2" a="1"/>
  <c r="S688" i="2" a="1"/>
  <c r="T876" i="2" a="1"/>
  <c r="R845" i="2" a="1"/>
  <c r="T547" i="2" a="1"/>
  <c r="N581" i="2" a="1"/>
  <c r="W922" i="2" a="1"/>
  <c r="R959" i="2" a="1"/>
  <c r="W651" i="2" a="1"/>
  <c r="R521" i="2" a="1"/>
  <c r="T522" i="2" a="1"/>
  <c r="O537" i="2" a="1"/>
  <c r="W912" i="2" a="1"/>
  <c r="P524" i="2" a="1"/>
  <c r="W646" i="2" a="1"/>
  <c r="U529" i="2" a="1"/>
  <c r="U582" i="2" a="1"/>
  <c r="Q726" i="2" a="1"/>
  <c r="S624" i="2" a="1"/>
  <c r="H766" i="2" a="1"/>
  <c r="S530" i="2" a="1"/>
  <c r="T771" i="2" a="1"/>
  <c r="O671" i="2" a="1"/>
  <c r="O675" i="2" a="1"/>
  <c r="S871" i="2" a="1"/>
  <c r="N750" i="2" a="1"/>
  <c r="Q766" i="2" a="1"/>
  <c r="Q846" i="2" a="1"/>
  <c r="T722" i="2" a="1"/>
  <c r="S595" i="2" a="1"/>
  <c r="S509" i="2" a="1"/>
  <c r="P984" i="2" a="1"/>
  <c r="Q653" i="2" a="1"/>
  <c r="Q929" i="2" a="1"/>
  <c r="O932" i="2" a="1"/>
  <c r="W626" i="2" a="1"/>
  <c r="N618" i="2" a="1"/>
  <c r="P775" i="2" a="1"/>
  <c r="W558" i="2" a="1"/>
  <c r="P835" i="2" a="1"/>
  <c r="P995" i="2" a="1"/>
  <c r="N528" i="2" a="1"/>
  <c r="W536" i="2" a="1"/>
  <c r="R782" i="2" a="1"/>
  <c r="R558" i="2" a="1"/>
  <c r="N717" i="2" a="1"/>
  <c r="T550" i="2" a="1"/>
  <c r="Q508" i="2" a="1"/>
  <c r="Q531" i="2" a="1"/>
  <c r="S759" i="2" a="1"/>
  <c r="Q977" i="2" a="1"/>
  <c r="W838" i="2" a="1"/>
  <c r="H622" i="2" a="1"/>
  <c r="S503" i="2" a="1"/>
  <c r="T706" i="2" a="1"/>
  <c r="U586" i="2" a="1"/>
  <c r="U883" i="2" a="1"/>
  <c r="O837" i="2" a="1"/>
  <c r="R818" i="2" a="1"/>
  <c r="W596" i="2" a="1"/>
  <c r="S972" i="2" a="1"/>
  <c r="W851" i="2" a="1"/>
  <c r="P685" i="2" a="1"/>
  <c r="H834" i="2" a="1"/>
  <c r="O740" i="2" a="1"/>
  <c r="Q680" i="2" a="1"/>
  <c r="O619" i="2" a="1"/>
  <c r="Q852" i="2" a="1"/>
  <c r="N591" i="2" a="1"/>
  <c r="O929" i="2" a="1"/>
  <c r="O693" i="2" a="1"/>
  <c r="R823" i="2" a="1"/>
  <c r="S580" i="2" a="1"/>
  <c r="O817" i="2" a="1"/>
  <c r="R713" i="2" a="1"/>
  <c r="W573" i="2" a="1"/>
  <c r="P599" i="2" a="1"/>
  <c r="T1000" i="2" a="1"/>
  <c r="Q775" i="2" a="1"/>
  <c r="U822" i="2" a="1"/>
  <c r="P507" i="2" a="1"/>
  <c r="W917" i="2" a="1"/>
  <c r="H954" i="2" a="1"/>
  <c r="M853" i="2" a="1"/>
  <c r="S717" i="2" a="1"/>
  <c r="P634" i="2" a="1"/>
  <c r="H846" i="2" a="1"/>
  <c r="S794" i="2" a="1"/>
  <c r="T994" i="2" a="1"/>
  <c r="W962" i="2" a="1"/>
  <c r="R844" i="2" a="1"/>
  <c r="O902" i="2" a="1"/>
  <c r="N576" i="2" a="1"/>
  <c r="Q602" i="2" a="1"/>
  <c r="N749" i="2" a="1"/>
  <c r="S976" i="2" a="1"/>
  <c r="U501" i="2" a="1"/>
  <c r="N635" i="2" a="1"/>
  <c r="U850" i="2" a="1"/>
  <c r="N594" i="2" a="1"/>
  <c r="N616" i="2" a="1"/>
  <c r="Q536" i="2" a="1"/>
  <c r="P591" i="2" a="1"/>
  <c r="O826" i="2" a="1"/>
  <c r="U867" i="2" a="1"/>
  <c r="W806" i="2" a="1"/>
  <c r="S814" i="2" a="1"/>
  <c r="Q876" i="2" a="1"/>
  <c r="P821" i="2" a="1"/>
  <c r="U837" i="2" a="1"/>
  <c r="P514" i="2" a="1"/>
  <c r="Q721" i="2" a="1"/>
  <c r="Q683" i="2" a="1"/>
  <c r="Q510" i="2" a="1"/>
  <c r="H920" i="2" a="1"/>
  <c r="P552" i="2" a="1"/>
  <c r="O963" i="2" a="1"/>
  <c r="N599" i="2" a="1"/>
  <c r="R903" i="2" a="1"/>
  <c r="U665" i="2" a="1"/>
  <c r="P972" i="2" a="1"/>
  <c r="Q881" i="2" a="1"/>
  <c r="R750" i="2" a="1"/>
  <c r="U647" i="2" a="1"/>
  <c r="U877" i="2" a="1"/>
  <c r="P997" i="2" a="1"/>
  <c r="O580" i="2" a="1"/>
  <c r="R699" i="2" a="1"/>
  <c r="N963" i="2" a="1"/>
  <c r="W771" i="2" a="1"/>
  <c r="S984" i="2" a="1"/>
  <c r="R732" i="2" a="1"/>
  <c r="S961" i="2" a="1"/>
  <c r="H896" i="2" a="1"/>
  <c r="O596" i="2" a="1"/>
  <c r="O743" i="2" a="1"/>
  <c r="M551" i="2" a="1"/>
  <c r="N969" i="2" a="1"/>
  <c r="S504" i="2" a="1"/>
  <c r="M658" i="2" a="1"/>
  <c r="S939" i="2" a="1"/>
  <c r="O651" i="2" a="1"/>
  <c r="S902" i="2" a="1"/>
  <c r="T512" i="2" a="1"/>
  <c r="W689" i="2" a="1"/>
  <c r="N509" i="2" a="1"/>
  <c r="U964" i="2" a="1"/>
  <c r="Q765" i="2" a="1"/>
  <c r="O540" i="2" a="1"/>
  <c r="Q839" i="2" a="1"/>
  <c r="T731" i="2" a="1"/>
  <c r="N583" i="2" a="1"/>
  <c r="N851" i="2" a="1"/>
  <c r="U525" i="2" a="1"/>
  <c r="Q955" i="2" a="1"/>
  <c r="O652" i="2" a="1"/>
  <c r="R955" i="2" a="1"/>
  <c r="W745" i="2" a="1"/>
  <c r="S975" i="2" a="1"/>
  <c r="O700" i="2" a="1"/>
  <c r="O757" i="2" a="1"/>
  <c r="M943" i="2" a="1"/>
  <c r="S951" i="2" a="1"/>
  <c r="W758" i="2" a="1"/>
  <c r="O543" i="2" a="1"/>
  <c r="R719" i="2" a="1"/>
  <c r="T935" i="2" a="1"/>
  <c r="M735" i="2" a="1"/>
  <c r="N533" i="2" a="1"/>
  <c r="Q695" i="2" a="1"/>
  <c r="Q670" i="2" a="1"/>
  <c r="P593" i="2" a="1"/>
  <c r="R974" i="2" a="1"/>
  <c r="R911" i="2" a="1"/>
  <c r="U988" i="2" a="1"/>
  <c r="T878" i="2" a="1"/>
  <c r="M898" i="2" a="1"/>
  <c r="O940" i="2" a="1"/>
  <c r="T595" i="2" a="1"/>
  <c r="U933" i="2" a="1"/>
  <c r="M597" i="2" a="1"/>
  <c r="O859" i="2" a="1"/>
  <c r="S853" i="2" a="1"/>
  <c r="H961" i="2" a="1"/>
  <c r="O878" i="2" a="1"/>
  <c r="U666" i="2" a="1"/>
  <c r="S781" i="2" a="1"/>
  <c r="S638" i="2" a="1"/>
  <c r="Q3" i="2" a="1"/>
  <c r="S780" i="2" a="1"/>
  <c r="O991" i="2" a="1"/>
  <c r="P618" i="2" a="1"/>
  <c r="T977" i="2" a="1"/>
  <c r="Q648" i="2" a="1"/>
  <c r="H511" i="2" a="1"/>
  <c r="N508" i="2" a="1"/>
  <c r="S776" i="2" a="1"/>
  <c r="O694" i="2" a="1"/>
  <c r="N613" i="2" a="1"/>
  <c r="P713" i="2" a="1"/>
  <c r="T603" i="2" a="1"/>
  <c r="N932" i="2" a="1"/>
  <c r="W760" i="2" a="1"/>
  <c r="H720" i="2" a="1"/>
  <c r="S974" i="2" a="1"/>
  <c r="N849" i="2" a="1"/>
  <c r="T885" i="2" a="1"/>
  <c r="O695" i="2" a="1"/>
  <c r="W732" i="2" a="1"/>
  <c r="W687" i="2" a="1"/>
  <c r="S694" i="2" a="1"/>
  <c r="Q537" i="2" a="1"/>
  <c r="Q829" i="2" a="1"/>
  <c r="P748" i="2" a="1"/>
  <c r="Q906" i="2" a="1"/>
  <c r="M780" i="2" a="1"/>
  <c r="T997" i="2" a="1"/>
  <c r="O833" i="2" a="1"/>
  <c r="O822" i="2" a="1"/>
  <c r="R679" i="2" a="1"/>
  <c r="R936" i="2" a="1"/>
  <c r="W556" i="2" a="1"/>
  <c r="U514" i="2" a="1"/>
  <c r="M960" i="2" a="1"/>
  <c r="Q703" i="2" a="1"/>
  <c r="Q530" i="2" a="1"/>
  <c r="P937" i="2" a="1"/>
  <c r="U536" i="2" a="1"/>
  <c r="T702" i="2" a="1"/>
  <c r="R682" i="2" a="1"/>
  <c r="H774" i="2" a="1"/>
  <c r="Q850" i="2" a="1"/>
  <c r="Q985" i="2" a="1"/>
  <c r="W660" i="2" a="1"/>
  <c r="S880" i="2" a="1"/>
  <c r="M671" i="2" a="1"/>
  <c r="P503" i="2" a="1"/>
  <c r="N850" i="2" a="1"/>
  <c r="P844" i="2" a="1"/>
  <c r="S850" i="2" a="1"/>
  <c r="M646" i="2" a="1"/>
  <c r="P520" i="2" a="1"/>
  <c r="N926" i="2" a="1"/>
  <c r="W886" i="2" a="1"/>
  <c r="W700" i="2" a="1"/>
  <c r="P863" i="2" a="1"/>
  <c r="S784" i="2" a="1"/>
  <c r="O767" i="2" a="1"/>
  <c r="S917" i="2" a="1"/>
  <c r="H507" i="2" a="1"/>
  <c r="T721" i="2" a="1"/>
  <c r="W857" i="2" a="1"/>
  <c r="N869" i="2" a="1"/>
  <c r="O936" i="2" a="1"/>
  <c r="M691" i="2" a="1"/>
  <c r="T732" i="2" a="1"/>
  <c r="M782" i="2" a="1"/>
  <c r="Q716" i="2" a="1"/>
  <c r="H800" i="2" a="1"/>
  <c r="T718" i="2" a="1"/>
  <c r="S532" i="2" a="1"/>
  <c r="P622" i="2" a="1"/>
  <c r="M924" i="2" a="1"/>
  <c r="R988" i="2" a="1"/>
  <c r="M505" i="2" a="1"/>
  <c r="U590" i="2" a="1"/>
  <c r="R762" i="2" a="1"/>
  <c r="P650" i="2" a="1"/>
  <c r="W905" i="2" a="1"/>
  <c r="P815" i="2" a="1"/>
  <c r="U756" i="2" a="1"/>
  <c r="S723" i="2" a="1"/>
  <c r="W545" i="2" a="1"/>
  <c r="R972" i="2" a="1"/>
  <c r="H585" i="2" a="1"/>
  <c r="Q934" i="2" a="1"/>
  <c r="U645" i="2" a="1"/>
  <c r="M620" i="2" a="1"/>
  <c r="S562" i="2" a="1"/>
  <c r="O918" i="2" a="1"/>
  <c r="P501" i="2" a="1"/>
  <c r="M537" i="2" a="1"/>
  <c r="W717" i="2" a="1"/>
  <c r="T756" i="2" a="1"/>
  <c r="N764" i="2" a="1"/>
  <c r="O769" i="2" a="1"/>
  <c r="O725" i="2" a="1"/>
  <c r="M635" i="2" a="1"/>
  <c r="S896" i="2" a="1"/>
  <c r="W502" i="2" a="1"/>
  <c r="S864" i="2" a="1"/>
  <c r="T572" i="2" a="1"/>
  <c r="O556" i="2" a="1"/>
  <c r="M525" i="2" a="1"/>
  <c r="Q562" i="2" a="1"/>
  <c r="S911" i="2" a="1"/>
  <c r="T528" i="2" a="1"/>
  <c r="U505" i="2" a="1"/>
  <c r="U897" i="2" a="1"/>
  <c r="R822" i="2" a="1"/>
  <c r="Q627" i="2" a="1"/>
  <c r="O702" i="2" a="1"/>
  <c r="M547" i="2" a="1"/>
  <c r="M751" i="2" a="1"/>
  <c r="P698" i="2" a="1"/>
  <c r="O654" i="2" a="1"/>
  <c r="W988" i="2" a="1"/>
  <c r="M672" i="2" a="1"/>
  <c r="O669" i="2" a="1"/>
  <c r="S990" i="2" a="1"/>
  <c r="M830" i="2" a="1"/>
  <c r="W684" i="2" a="1"/>
  <c r="R546" i="2" a="1"/>
  <c r="S945" i="2" a="1"/>
  <c r="M539" i="2" a="1"/>
  <c r="T753" i="2" a="1"/>
  <c r="N899" i="2" a="1"/>
  <c r="W755" i="2" a="1"/>
  <c r="Q681" i="2" a="1"/>
  <c r="P867" i="2" a="1"/>
  <c r="R938" i="2" a="1"/>
  <c r="W819" i="2" a="1"/>
  <c r="W589" i="2" a="1"/>
  <c r="U613" i="2" a="1"/>
  <c r="P817" i="2" a="1"/>
  <c r="W872" i="2" a="1"/>
  <c r="Q624" i="2" a="1"/>
  <c r="T822" i="2" a="1"/>
  <c r="T709" i="2" a="1"/>
  <c r="O886" i="2" a="1"/>
  <c r="S932" i="2" a="1"/>
  <c r="M904" i="2" a="1"/>
  <c r="U916" i="2" a="1"/>
  <c r="W692" i="2" a="1"/>
  <c r="M677" i="2" a="1"/>
  <c r="Q860" i="2" a="1"/>
  <c r="P826" i="2" a="1"/>
  <c r="Q988" i="2" a="1"/>
  <c r="T735" i="2" a="1"/>
  <c r="Q556" i="2" a="1"/>
  <c r="N983" i="2" a="1"/>
  <c r="N601" i="2" a="1"/>
  <c r="T525" i="2" a="1"/>
  <c r="U759" i="2" a="1"/>
  <c r="S985" i="2" a="1"/>
  <c r="R956" i="2" a="1"/>
  <c r="Q667" i="2" a="1"/>
  <c r="N944" i="2" a="1"/>
  <c r="W991" i="2" a="1"/>
  <c r="W940" i="2" a="1"/>
  <c r="S523" i="2" a="1"/>
  <c r="O750" i="2" a="1"/>
  <c r="P812" i="2" a="1"/>
  <c r="S642" i="2" a="1"/>
  <c r="S531" i="2" a="1"/>
  <c r="M968" i="2" a="1"/>
  <c r="R987" i="2" a="1"/>
  <c r="Q935" i="2" a="1"/>
  <c r="N626" i="2" a="1"/>
  <c r="P641" i="2" a="1"/>
  <c r="P511" i="2" a="1"/>
  <c r="R525" i="2" a="1"/>
  <c r="N927" i="2" a="1"/>
  <c r="Q927" i="2" a="1"/>
  <c r="W572" i="2" a="1"/>
  <c r="S713" i="2" a="1"/>
  <c r="N532" i="2" a="1"/>
  <c r="N517" i="2" a="1"/>
  <c r="O561" i="2" a="1"/>
  <c r="P939" i="2" a="1"/>
  <c r="O666" i="2" a="1"/>
  <c r="U955" i="2" a="1"/>
  <c r="M931" i="2" a="1"/>
  <c r="N810" i="2" a="1"/>
  <c r="T851" i="2" a="1"/>
  <c r="P598" i="2" a="1"/>
  <c r="U577" i="2" a="1"/>
  <c r="U764" i="2" a="1"/>
  <c r="U585" i="2" a="1"/>
  <c r="U747" i="2" a="1"/>
  <c r="N889" i="2" a="1"/>
  <c r="O753" i="2" a="1"/>
  <c r="H645" i="2" a="1"/>
  <c r="O564" i="2" a="1"/>
  <c r="P954" i="2" a="1"/>
  <c r="P929" i="2" a="1"/>
  <c r="S978" i="2" a="1"/>
  <c r="R576" i="2" a="1"/>
  <c r="H587" i="2" a="1"/>
  <c r="M726" i="2" a="1"/>
  <c r="N848" i="2" a="1"/>
  <c r="R535" i="2" a="1"/>
  <c r="Q518" i="2" a="1"/>
  <c r="U627" i="2" a="1"/>
  <c r="R604" i="2" a="1"/>
  <c r="O641" i="2" a="1"/>
  <c r="N987" i="2" a="1"/>
  <c r="T969" i="2" a="1"/>
  <c r="W929" i="2" a="1"/>
  <c r="O892" i="2" a="1"/>
  <c r="O791" i="2" a="1"/>
  <c r="N658" i="2" a="1"/>
  <c r="M589" i="2" a="1"/>
  <c r="T782" i="2" a="1"/>
  <c r="Q599" i="2" a="1"/>
  <c r="Q532" i="2" a="1"/>
  <c r="P607" i="2" a="1"/>
  <c r="M501" i="2" a="1"/>
  <c r="R995" i="2" a="1"/>
  <c r="U986" i="2" a="1"/>
  <c r="S533" i="2" a="1"/>
  <c r="S767" i="2" a="1"/>
  <c r="N934" i="2" a="1"/>
  <c r="O890" i="2" a="1"/>
  <c r="H836" i="2" a="1"/>
  <c r="R509" i="2" a="1"/>
  <c r="S895" i="2" a="1"/>
  <c r="N970" i="2" a="1"/>
  <c r="M947" i="2" a="1"/>
  <c r="W539" i="2" a="1"/>
  <c r="T681" i="2" a="1"/>
  <c r="N718" i="2" a="1"/>
  <c r="P699" i="2" a="1"/>
  <c r="R639" i="2" a="1"/>
  <c r="P568" i="2" a="1"/>
  <c r="O913" i="2" a="1"/>
  <c r="W601" i="2" a="1"/>
  <c r="T794" i="2" a="1"/>
  <c r="T675" i="2" a="1"/>
  <c r="W882" i="2" a="1"/>
  <c r="O529" i="2" a="1"/>
  <c r="S697" i="2" a="1"/>
  <c r="W619" i="2" a="1"/>
  <c r="R810" i="2" a="1"/>
  <c r="N977" i="2" a="1"/>
  <c r="T873" i="2" a="1"/>
  <c r="M522" i="2" a="1"/>
  <c r="N766" i="2" a="1"/>
  <c r="Q976" i="2" a="1"/>
  <c r="Q923" i="2" a="1"/>
  <c r="U903" i="2" a="1"/>
  <c r="S795" i="2" a="1"/>
  <c r="T703" i="2" a="1"/>
  <c r="O516" i="2" a="1"/>
  <c r="T859" i="2" a="1"/>
  <c r="N806" i="2" a="1"/>
  <c r="P712" i="2" a="1"/>
  <c r="Q710" i="2" a="1"/>
  <c r="P518" i="2" a="1"/>
  <c r="T700" i="2" a="1"/>
  <c r="P563" i="2" a="1"/>
  <c r="Q572" i="2" a="1"/>
  <c r="O855" i="2" a="1"/>
  <c r="H560" i="2" a="1"/>
  <c r="P926" i="2" a="1"/>
  <c r="R686" i="2" a="1"/>
  <c r="M622" i="2" a="1"/>
  <c r="U570" i="2" a="1"/>
  <c r="R860" i="2" a="1"/>
  <c r="U506" i="2" a="1"/>
  <c r="U895" i="2" a="1"/>
  <c r="T872" i="2" a="1"/>
  <c r="M700" i="2" a="1"/>
  <c r="W737" i="2" a="1"/>
  <c r="R919" i="2" a="1"/>
  <c r="Q853" i="2" a="1"/>
  <c r="N649" i="2" a="1"/>
  <c r="H908" i="2" a="1"/>
  <c r="H787" i="2" a="1"/>
  <c r="Q806" i="2" a="1"/>
  <c r="T891" i="2" a="1"/>
  <c r="R739" i="2" a="1"/>
  <c r="T835" i="2" a="1"/>
  <c r="N879" i="2" a="1"/>
  <c r="M991" i="2" a="1"/>
  <c r="P913" i="2" a="1"/>
  <c r="U604" i="2" a="1"/>
  <c r="M821" i="2" a="1"/>
  <c r="T894" i="2" a="1"/>
  <c r="M601" i="2" a="1"/>
  <c r="O672" i="2" a="1"/>
  <c r="O625" i="2" a="1"/>
  <c r="R961" i="2" a="1"/>
  <c r="S623" i="2" a="1"/>
  <c r="H706" i="2" a="1"/>
  <c r="Q810" i="2" a="1"/>
  <c r="R965" i="2" a="1"/>
  <c r="P770" i="2" a="1"/>
  <c r="N595" i="2" a="1"/>
  <c r="S592" i="2" a="1"/>
  <c r="Q826" i="2" a="1"/>
  <c r="O937" i="2" a="1"/>
  <c r="S876" i="2" a="1"/>
  <c r="H948" i="2" a="1"/>
  <c r="N555" i="2" a="1"/>
  <c r="Q590" i="2" a="1"/>
  <c r="P594" i="2" a="1"/>
  <c r="R861" i="2" a="1"/>
  <c r="U691" i="2" a="1"/>
  <c r="P734" i="2" a="1"/>
  <c r="M915" i="2" a="1"/>
  <c r="U862" i="2" a="1"/>
  <c r="R727" i="2" a="1"/>
  <c r="Q786" i="2" a="1"/>
  <c r="W590" i="2" a="1"/>
  <c r="M964" i="2" a="1"/>
  <c r="M626" i="2" a="1"/>
  <c r="T671" i="2" a="1"/>
  <c r="R740" i="2" a="1"/>
  <c r="O734" i="2" a="1"/>
  <c r="O945" i="2" a="1"/>
  <c r="H647" i="2" a="1"/>
  <c r="S927" i="2" a="1"/>
  <c r="N961" i="2" a="1"/>
  <c r="P888" i="2" a="1"/>
  <c r="S806" i="2" a="1"/>
  <c r="P515" i="2" a="1"/>
  <c r="P564" i="2" a="1"/>
  <c r="P538" i="2" a="1"/>
  <c r="O790" i="2" a="1"/>
  <c r="R726" i="2" a="1"/>
  <c r="Q675" i="2" a="1"/>
  <c r="O704" i="2" a="1"/>
  <c r="S936" i="2" a="1"/>
  <c r="O677" i="2" a="1"/>
  <c r="S686" i="2" a="1"/>
  <c r="O661" i="2" a="1"/>
  <c r="O778" i="2" a="1"/>
  <c r="M510" i="2" a="1"/>
  <c r="Q779" i="2" a="1"/>
  <c r="N905" i="2" a="1"/>
  <c r="N956" i="2" a="1"/>
  <c r="N529" i="2" a="1"/>
  <c r="P750" i="2" a="1"/>
  <c r="R505" i="2" a="1"/>
  <c r="S743" i="2" a="1"/>
  <c r="R656" i="2" a="1"/>
  <c r="Q634" i="2" a="1"/>
  <c r="O553" i="2" a="1"/>
  <c r="U706" i="2" a="1"/>
  <c r="O701" i="2" a="1"/>
  <c r="Q813" i="2" a="1"/>
  <c r="O501" i="2" a="1"/>
  <c r="Q974" i="2" a="1"/>
  <c r="W829" i="2" a="1"/>
  <c r="Q595" i="2" a="1"/>
  <c r="T612" i="2" a="1"/>
  <c r="P521" i="2" a="1"/>
  <c r="W602" i="2" a="1"/>
  <c r="T687" i="2" a="1"/>
  <c r="O604" i="2" a="1"/>
  <c r="O634" i="2" a="1"/>
  <c r="U952" i="2" a="1"/>
  <c r="H556" i="2" a="1"/>
  <c r="Q596" i="2" a="1"/>
  <c r="N655" i="2" a="1"/>
  <c r="W850" i="2" a="1"/>
  <c r="O548" i="2" a="1"/>
  <c r="R504" i="2" a="1"/>
  <c r="T589" i="2" a="1"/>
  <c r="R796" i="2" a="1"/>
  <c r="T506" i="2" a="1"/>
  <c r="W628" i="2" a="1"/>
  <c r="O507" i="2" a="1"/>
  <c r="O563" i="2" a="1"/>
  <c r="M803" i="2" a="1"/>
  <c r="R979" i="2" a="1"/>
  <c r="R613" i="2" a="1"/>
  <c r="T557" i="2" a="1"/>
  <c r="M583" i="2" a="1"/>
  <c r="N686" i="2" a="1"/>
  <c r="P548" i="2" a="1"/>
  <c r="M822" i="2" a="1"/>
  <c r="H591" i="2" a="1"/>
  <c r="N760" i="2" a="1"/>
  <c r="S597" i="2" a="1"/>
  <c r="S826" i="2" a="1"/>
  <c r="N602" i="2" a="1"/>
  <c r="S842" i="2" a="1"/>
  <c r="O843" i="2" a="1"/>
  <c r="U861" i="2" a="1"/>
  <c r="S682" i="2" a="1"/>
  <c r="N643" i="2" a="1"/>
  <c r="Q796" i="2" a="1"/>
  <c r="S816" i="2" a="1"/>
  <c r="T881" i="2" a="1"/>
  <c r="O588" i="2" a="1"/>
  <c r="O555" i="2" a="1"/>
  <c r="P528" i="2" a="1"/>
  <c r="S538" i="2" a="1"/>
  <c r="O994" i="2" a="1"/>
  <c r="T763" i="2" a="1"/>
  <c r="U28" i="2" a="1"/>
  <c r="O995" i="2" a="1"/>
  <c r="M553" i="2" a="1"/>
  <c r="Q593" i="2" a="1"/>
  <c r="H590" i="2" a="1"/>
  <c r="Q692" i="2" a="1"/>
  <c r="W608" i="2" a="1"/>
  <c r="R678" i="2" a="1"/>
  <c r="T928" i="2" a="1"/>
  <c r="T570" i="2" a="1"/>
  <c r="P893" i="2" a="1"/>
  <c r="W853" i="2" a="1"/>
  <c r="O582" i="2" a="1"/>
  <c r="S720" i="2" a="1"/>
  <c r="W834" i="2" a="1"/>
  <c r="Q797" i="2" a="1"/>
  <c r="P759" i="2" a="1"/>
  <c r="N759" i="2" a="1"/>
  <c r="Q522" i="2" a="1"/>
  <c r="Q798" i="2" a="1"/>
  <c r="Q764" i="2" a="1"/>
  <c r="R968" i="2" a="1"/>
  <c r="U966" i="2" a="1"/>
  <c r="M796" i="2" a="1"/>
  <c r="U908" i="2" a="1"/>
  <c r="M985" i="2" a="1"/>
  <c r="N642" i="2" a="1"/>
  <c r="H711" i="2" a="1"/>
  <c r="P502" i="2" a="1"/>
  <c r="Q662" i="2" a="1"/>
  <c r="N730" i="2" a="1"/>
  <c r="S813" i="2" a="1"/>
  <c r="U695" i="2" a="1"/>
  <c r="N933" i="2" a="1"/>
  <c r="R872" i="2" a="1"/>
  <c r="Q541" i="2" a="1"/>
  <c r="U949" i="2" a="1"/>
  <c r="U770" i="2" a="1"/>
  <c r="Q717" i="2" a="1"/>
  <c r="S537" i="2" a="1"/>
  <c r="T790" i="2" a="1"/>
  <c r="W511" i="2" a="1"/>
  <c r="S748" i="2" a="1"/>
  <c r="R976" i="2" a="1"/>
  <c r="P588" i="2" a="1"/>
  <c r="P881" i="2" a="1"/>
  <c r="O579" i="2" a="1"/>
  <c r="N928" i="2" a="1"/>
  <c r="W868" i="2" a="1"/>
  <c r="P686" i="2" a="1"/>
  <c r="R669" i="2" a="1"/>
  <c r="N611" i="2" a="1"/>
  <c r="M724" i="2" a="1"/>
  <c r="P789" i="2" a="1"/>
  <c r="T707" i="2" a="1"/>
  <c r="O966" i="2" a="1"/>
  <c r="W914" i="2" a="1"/>
  <c r="Q638" i="2" a="1"/>
  <c r="Q546" i="2" a="1"/>
  <c r="M859" i="2" a="1"/>
  <c r="H849" i="2" a="1"/>
  <c r="R835" i="2" a="1"/>
  <c r="N570" i="2" a="1"/>
  <c r="P711" i="2" a="1"/>
  <c r="Q865" i="2" a="1"/>
  <c r="T576" i="2" a="1"/>
  <c r="S983" i="2" a="1"/>
  <c r="M850" i="2" a="1"/>
  <c r="P958" i="2" a="1"/>
  <c r="Q803" i="2" a="1"/>
  <c r="T559" i="2" a="1"/>
  <c r="O585" i="2" a="1"/>
  <c r="M596" i="2" a="1"/>
  <c r="T715" i="2" a="1"/>
  <c r="P873" i="2" a="1"/>
  <c r="M797" i="2" a="1"/>
  <c r="S631" i="2" a="1"/>
  <c r="U738" i="2" a="1"/>
  <c r="H951" i="2" a="1"/>
  <c r="O832" i="2" a="1"/>
  <c r="M506" i="2" a="1"/>
  <c r="U720" i="2" a="1"/>
  <c r="W570" i="2" a="1"/>
  <c r="W892" i="2" a="1"/>
  <c r="N831" i="2" a="1"/>
  <c r="N549" i="2" a="1"/>
  <c r="Q503" i="2" a="1"/>
  <c r="Q567" i="2" a="1"/>
  <c r="R569" i="2" a="1"/>
  <c r="R508" i="2" a="1"/>
  <c r="W788" i="2" a="1"/>
  <c r="P976" i="2" a="1"/>
  <c r="T812" i="2" a="1"/>
  <c r="U982" i="2" a="1"/>
  <c r="T697" i="2" a="1"/>
  <c r="U785" i="2" a="1"/>
  <c r="M569" i="2" a="1"/>
  <c r="R926" i="2" a="1"/>
  <c r="R839" i="2" a="1"/>
  <c r="P871" i="2" a="1"/>
  <c r="H733" i="2" a="1"/>
  <c r="U931" i="2" a="1"/>
  <c r="W926" i="2" a="1"/>
  <c r="O928" i="2" a="1"/>
  <c r="R834" i="2" a="1"/>
  <c r="W524" i="2" a="1"/>
  <c r="R742" i="2" a="1"/>
  <c r="R944" i="2" a="1"/>
  <c r="O999" i="2" a="1"/>
  <c r="U811" i="2" a="1"/>
  <c r="N966" i="2" a="1"/>
  <c r="S685" i="2" a="1"/>
  <c r="W662" i="2" a="1"/>
  <c r="T759" i="2" a="1"/>
  <c r="M689" i="2" a="1"/>
  <c r="S643" i="2" a="1"/>
  <c r="S552" i="2" a="1"/>
  <c r="T552" i="2" a="1"/>
  <c r="M590" i="2" a="1"/>
  <c r="S919" i="2" a="1"/>
  <c r="U522" i="2" a="1"/>
  <c r="R542" i="2" a="1"/>
  <c r="W720" i="2" a="1"/>
  <c r="M706" i="2" a="1"/>
  <c r="Q894" i="2" a="1"/>
  <c r="O655" i="2" a="1"/>
  <c r="O844" i="2" a="1"/>
  <c r="W644" i="2" a="1"/>
  <c r="P522" i="2" a="1"/>
  <c r="R772" i="2" a="1"/>
  <c r="Q965" i="2" a="1"/>
  <c r="O969" i="2" a="1"/>
  <c r="N819" i="2" a="1"/>
  <c r="T554" i="2" a="1"/>
  <c r="U593" i="2" a="1"/>
  <c r="U826" i="2" a="1"/>
  <c r="O898" i="2" a="1"/>
  <c r="P802" i="2" a="1"/>
  <c r="H904" i="2" a="1"/>
  <c r="N501" i="2" a="1"/>
  <c r="S877" i="2" a="1"/>
  <c r="M556" i="2" a="1"/>
  <c r="U906" i="2" a="1"/>
  <c r="M843" i="2" a="1"/>
  <c r="T519" i="2" a="1"/>
  <c r="U989" i="2" a="1"/>
  <c r="H860" i="2" a="1"/>
  <c r="N610" i="2" a="1"/>
  <c r="O907" i="2" a="1"/>
  <c r="N937" i="2" a="1"/>
  <c r="U936" i="2" a="1"/>
  <c r="W567" i="2" a="1"/>
  <c r="O610" i="2" a="1"/>
  <c r="P537" i="2" a="1"/>
  <c r="S622" i="2" a="1"/>
  <c r="U757" i="2" a="1"/>
  <c r="W695" i="2" a="1"/>
  <c r="U620" i="2" a="1"/>
  <c r="T644" i="2" a="1"/>
  <c r="H742" i="2" a="1"/>
  <c r="Q584" i="2" a="1"/>
  <c r="P949" i="2" a="1"/>
  <c r="U843" i="2" a="1"/>
  <c r="T534" i="2" a="1"/>
  <c r="Q528" i="2" a="1"/>
  <c r="P843" i="2" a="1"/>
  <c r="R541" i="2" a="1"/>
  <c r="P708" i="2" a="1"/>
  <c r="O773" i="2" a="1"/>
  <c r="S788" i="2" a="1"/>
  <c r="S596" i="2" a="1"/>
  <c r="N596" i="2" a="1"/>
  <c r="W555" i="2" a="1"/>
  <c r="M563" i="2" a="1"/>
  <c r="N771" i="2" a="1"/>
  <c r="R837" i="2" a="1"/>
  <c r="Q612" i="2" a="1"/>
  <c r="S607" i="2" a="1"/>
  <c r="R515" i="2" a="1"/>
  <c r="Q700" i="2" a="1"/>
  <c r="W749" i="2" a="1"/>
  <c r="R715" i="2" a="1"/>
  <c r="Q878" i="2" a="1"/>
  <c r="S855" i="2" a="1"/>
  <c r="U616" i="2" a="1"/>
  <c r="N974" i="2" a="1"/>
  <c r="W808" i="2" a="1"/>
  <c r="U524" i="2" a="1"/>
  <c r="W580" i="2" a="1"/>
  <c r="O621" i="2" a="1"/>
  <c r="M514" i="2" a="1"/>
  <c r="P627" i="2" a="1"/>
  <c r="P761" i="2" a="1"/>
  <c r="Q689" i="2" a="1"/>
  <c r="U559" i="2" a="1"/>
  <c r="M608" i="2" a="1"/>
  <c r="S750" i="2" a="1"/>
  <c r="R529" i="2" a="1"/>
  <c r="T734" i="2" a="1"/>
  <c r="Q658" i="2" a="1"/>
  <c r="W796" i="2" a="1"/>
  <c r="M591" i="2" a="1"/>
  <c r="S810" i="2" a="1"/>
  <c r="W878" i="2" a="1"/>
  <c r="W798" i="2" a="1"/>
  <c r="Q678" i="2" a="1"/>
  <c r="N753" i="2" a="1"/>
  <c r="R921" i="2" a="1"/>
  <c r="O879" i="2" a="1"/>
  <c r="W625" i="2" a="1"/>
  <c r="Q854" i="2" a="1"/>
  <c r="O616" i="2" a="1"/>
  <c r="R684" i="2" a="1"/>
  <c r="U778" i="2" a="1"/>
  <c r="U932" i="2" a="1"/>
  <c r="U575" i="2" a="1"/>
  <c r="M685" i="2" a="1"/>
  <c r="M580" i="2" a="1"/>
  <c r="P706" i="2" a="1"/>
  <c r="T861" i="2" a="1"/>
  <c r="Q582" i="2" a="1"/>
  <c r="N644" i="2" a="1"/>
  <c r="O756" i="2" a="1"/>
  <c r="H965" i="2" a="1"/>
  <c r="H889" i="2" a="1"/>
  <c r="P525" i="2" a="1"/>
  <c r="S512" i="2" a="1"/>
  <c r="N748" i="2" a="1"/>
  <c r="O952" i="2" a="1"/>
  <c r="N885" i="2" a="1"/>
  <c r="P903" i="2" a="1"/>
  <c r="H325" i="2" a="1"/>
  <c r="M497" i="2" a="1"/>
  <c r="U322" i="2" a="1"/>
  <c r="P319" i="2" a="1"/>
  <c r="H372" i="2" a="1"/>
  <c r="Q469" i="2" a="1"/>
  <c r="W577" i="2" a="1"/>
  <c r="O511" i="2" a="1"/>
  <c r="H335" i="2" a="1"/>
  <c r="T372" i="2" a="1"/>
  <c r="M493" i="2" a="1"/>
  <c r="M353" i="2" a="1"/>
  <c r="S370" i="2" a="1"/>
  <c r="W471" i="2" a="1"/>
  <c r="P689" i="2" a="1"/>
  <c r="R369" i="2" a="1"/>
  <c r="P462" i="2" a="1"/>
  <c r="P358" i="2" a="1"/>
  <c r="M393" i="2" a="1"/>
  <c r="T398" i="2" a="1"/>
  <c r="R428" i="2" a="1"/>
  <c r="M870" i="2" a="1"/>
  <c r="U717" i="2" a="1"/>
  <c r="N713" i="2" a="1"/>
  <c r="N597" i="2" a="1"/>
  <c r="S989" i="2" a="1"/>
  <c r="H877" i="2" a="1"/>
  <c r="W965" i="2" a="1"/>
  <c r="R864" i="2" a="1"/>
  <c r="Q820" i="2" a="1"/>
  <c r="N829" i="2" a="1"/>
  <c r="R1000" i="2" a="1"/>
  <c r="T527" i="2" a="1"/>
  <c r="N998" i="2" a="1"/>
  <c r="Q972" i="2" a="1"/>
  <c r="R549" i="2" a="1"/>
  <c r="T899" i="2" a="1"/>
  <c r="U789" i="2" a="1"/>
  <c r="U561" i="2" a="1"/>
  <c r="O589" i="2" a="1"/>
  <c r="R910" i="2" a="1"/>
  <c r="N681" i="2" a="1"/>
  <c r="U715" i="2" a="1"/>
  <c r="N536" i="2" a="1"/>
  <c r="N526" i="2" a="1"/>
  <c r="S955" i="2" a="1"/>
  <c r="U819" i="2" a="1"/>
  <c r="T617" i="2" a="1"/>
  <c r="N514" i="2" a="1"/>
  <c r="N561" i="2" a="1"/>
  <c r="O598" i="2" a="1"/>
  <c r="T888" i="2" a="1"/>
  <c r="H657" i="2" a="1"/>
  <c r="U904" i="2" a="1"/>
  <c r="S514" i="2" a="1"/>
  <c r="Q737" i="2" a="1"/>
  <c r="O930" i="2" a="1"/>
  <c r="S941" i="2" a="1"/>
  <c r="N540" i="2" a="1"/>
  <c r="M770" i="2" a="1"/>
  <c r="Q545" i="2" a="1"/>
  <c r="O904" i="2" a="1"/>
  <c r="W942" i="2" a="1"/>
  <c r="U612" i="2" a="1"/>
  <c r="P678" i="2" a="1"/>
  <c r="W576" i="2" a="1"/>
  <c r="S757" i="2" a="1"/>
  <c r="W994" i="2" a="1"/>
  <c r="Q809" i="2" a="1"/>
  <c r="W847" i="2" a="1"/>
  <c r="O533" i="2" a="1"/>
  <c r="W638" i="2" a="1"/>
  <c r="N640" i="2" a="1"/>
  <c r="Q900" i="2" a="1"/>
  <c r="T524" i="2" a="1"/>
  <c r="R854" i="2" a="1"/>
  <c r="R524" i="2" a="1"/>
  <c r="R688" i="2" a="1"/>
  <c r="S944" i="2" a="1"/>
  <c r="P529" i="2" a="1"/>
  <c r="Q880" i="2" a="1"/>
  <c r="M766" i="2" a="1"/>
  <c r="O612" i="2" a="1"/>
  <c r="P883" i="2" a="1"/>
  <c r="O914" i="2" a="1"/>
  <c r="W778" i="2" a="1"/>
  <c r="U588" i="2" a="1"/>
  <c r="N659" i="2" a="1"/>
  <c r="R741" i="2" a="1"/>
  <c r="T611" i="2" a="1"/>
  <c r="P869" i="2" a="1"/>
  <c r="M621" i="2" a="1"/>
  <c r="W957" i="2" a="1"/>
  <c r="Q975" i="2" a="1"/>
  <c r="W826" i="2" a="1"/>
  <c r="P624" i="2" a="1"/>
  <c r="S678" i="2" a="1"/>
  <c r="P739" i="2" a="1"/>
  <c r="U703" i="2" a="1"/>
  <c r="R560" i="2" a="1"/>
  <c r="H773" i="2" a="1"/>
  <c r="T863" i="2" a="1"/>
  <c r="N780" i="2" a="1"/>
  <c r="S651" i="2" a="1"/>
  <c r="T921" i="2" a="1"/>
  <c r="O674" i="2" a="1"/>
  <c r="H712" i="2" a="1"/>
  <c r="M546" i="2" a="1"/>
  <c r="T973" i="2" a="1"/>
  <c r="N940" i="2" a="1"/>
  <c r="U945" i="2" a="1"/>
  <c r="O532" i="2" a="1"/>
  <c r="N845" i="2" a="1"/>
  <c r="R533" i="2" a="1"/>
  <c r="U675" i="2" a="1"/>
  <c r="U947" i="2" a="1"/>
  <c r="R802" i="2" a="1"/>
  <c r="Q819" i="2" a="1"/>
  <c r="R550" i="2" a="1"/>
  <c r="R937" i="2" a="1"/>
  <c r="N568" i="2" a="1"/>
  <c r="R534" i="2" a="1"/>
  <c r="M599" i="2" a="1"/>
  <c r="S836" i="2" a="1"/>
  <c r="M679" i="2" a="1"/>
  <c r="T941" i="2" a="1"/>
  <c r="W663" i="2" a="1"/>
  <c r="W810" i="2" a="1"/>
  <c r="S463" i="2" a="1"/>
  <c r="Q465" i="2" a="1"/>
  <c r="S364" i="2" a="1"/>
  <c r="W474" i="2" a="1"/>
  <c r="H403" i="2" a="1"/>
  <c r="N464" i="2" a="1"/>
  <c r="P517" i="2" a="1"/>
  <c r="M437" i="2" a="1"/>
  <c r="M492" i="2" a="1"/>
  <c r="O401" i="2" a="1"/>
  <c r="H453" i="2" a="1"/>
  <c r="H489" i="2" a="1"/>
  <c r="H495" i="2" a="1"/>
  <c r="M779" i="2" a="1"/>
  <c r="N997" i="2" a="1"/>
  <c r="P328" i="2" a="1"/>
  <c r="M354" i="2" a="1"/>
  <c r="U474" i="2" a="1"/>
  <c r="P366" i="2" a="1"/>
  <c r="S431" i="2" a="1"/>
  <c r="P320" i="2" a="1"/>
  <c r="O774" i="2" a="1"/>
  <c r="T619" i="2" a="1"/>
  <c r="U889" i="2" a="1"/>
  <c r="O977" i="2" a="1"/>
  <c r="N714" i="2" a="1"/>
  <c r="R685" i="2" a="1"/>
  <c r="R783" i="2" a="1"/>
  <c r="S576" i="2" a="1"/>
  <c r="S582" i="2" a="1"/>
  <c r="T877" i="2" a="1"/>
  <c r="S942" i="2" a="1"/>
  <c r="O745" i="2" a="1"/>
  <c r="P725" i="2" a="1"/>
  <c r="W751" i="2" a="1"/>
  <c r="U965" i="2" a="1"/>
  <c r="M733" i="2" a="1"/>
  <c r="N833" i="2" a="1"/>
  <c r="O643" i="2" a="1"/>
  <c r="W846" i="2" a="1"/>
  <c r="N835" i="2" a="1"/>
  <c r="Q542" i="2" a="1"/>
  <c r="M790" i="2" a="1"/>
  <c r="W748" i="2" a="1"/>
  <c r="P639" i="2" a="1"/>
  <c r="W593" i="2" a="1"/>
  <c r="T815" i="2" a="1"/>
  <c r="T945" i="2" a="1"/>
  <c r="H973" i="2" a="1"/>
  <c r="H813" i="2" a="1"/>
  <c r="R635" i="2" a="1"/>
  <c r="H611" i="2" a="1"/>
  <c r="U725" i="2" a="1"/>
  <c r="R518" i="2" a="1"/>
  <c r="Q968" i="2" a="1"/>
  <c r="T647" i="2" a="1"/>
  <c r="N666" i="2" a="1"/>
  <c r="S634" i="2" a="1"/>
  <c r="T598" i="2" a="1"/>
  <c r="W588" i="2" a="1"/>
  <c r="O690" i="2" a="1"/>
  <c r="O807" i="2" a="1"/>
  <c r="W549" i="2" a="1"/>
  <c r="Q942" i="2" a="1"/>
  <c r="Q519" i="2" a="1"/>
  <c r="M869" i="2" a="1"/>
  <c r="O627" i="2" a="1"/>
  <c r="U754" i="2" a="1"/>
  <c r="M586" i="2" a="1"/>
  <c r="W933" i="2" a="1"/>
  <c r="U969" i="2" a="1"/>
  <c r="N902" i="2" a="1"/>
  <c r="U769" i="2" a="1"/>
  <c r="O782" i="2" a="1"/>
  <c r="O512" i="2" a="1"/>
  <c r="H525" i="2" a="1"/>
  <c r="R552" i="2" a="1"/>
  <c r="Q821" i="2" a="1"/>
  <c r="H526" i="2" a="1"/>
  <c r="S783" i="2" a="1"/>
  <c r="R545" i="2" a="1"/>
  <c r="T748" i="2" a="1"/>
  <c r="T814" i="2" a="1"/>
  <c r="W969" i="2" a="1"/>
  <c r="U930" i="2" a="1"/>
  <c r="O961" i="2" a="1"/>
  <c r="M571" i="2" a="1"/>
  <c r="S507" i="2" a="1"/>
  <c r="P530" i="2" a="1"/>
  <c r="N688" i="2" a="1"/>
  <c r="O812" i="2" a="1"/>
  <c r="R587" i="2" a="1"/>
  <c r="M849" i="2" a="1"/>
  <c r="S540" i="2" a="1"/>
  <c r="W706" i="2" a="1"/>
  <c r="T765" i="2" a="1"/>
  <c r="T503" i="2" a="1"/>
  <c r="N776" i="2" a="1"/>
  <c r="P955" i="2" a="1"/>
  <c r="N745" i="2" a="1"/>
  <c r="H814" i="2" a="1"/>
  <c r="U564" i="2" a="1"/>
  <c r="O618" i="2" a="1"/>
  <c r="U783" i="2" a="1"/>
  <c r="N522" i="2" a="1"/>
  <c r="U530" i="2" a="1"/>
  <c r="H755" i="2" a="1"/>
  <c r="P918" i="2" a="1"/>
  <c r="H581" i="2" a="1"/>
  <c r="H997" i="2" a="1"/>
  <c r="S617" i="2" a="1"/>
  <c r="O891" i="2" a="1"/>
  <c r="O699" i="2" a="1"/>
  <c r="R609" i="2" a="1"/>
  <c r="N822" i="2" a="1"/>
  <c r="R900" i="2" a="1"/>
  <c r="R954" i="2" a="1"/>
  <c r="S567" i="2" a="1"/>
  <c r="U960" i="2" a="1"/>
  <c r="U657" i="2" a="1"/>
  <c r="U603" i="2" a="1"/>
  <c r="U648" i="2" a="1"/>
  <c r="P950" i="2" a="1"/>
  <c r="W516" i="2" a="1"/>
  <c r="U830" i="2" a="1"/>
  <c r="Q529" i="2" a="1"/>
  <c r="O510" i="2" a="1"/>
  <c r="R801" i="2" a="1"/>
  <c r="T413" i="2" a="1"/>
  <c r="R360" i="2" a="1"/>
  <c r="W449" i="2" a="1"/>
  <c r="H451" i="2" a="1"/>
  <c r="R402" i="2" a="1"/>
  <c r="S415" i="2" a="1"/>
  <c r="N955" i="2" a="1"/>
  <c r="Q467" i="2" a="1"/>
  <c r="H492" i="2" a="1"/>
  <c r="H364" i="2" a="1"/>
  <c r="P466" i="2" a="1"/>
  <c r="W493" i="2" a="1"/>
  <c r="H549" i="2" a="1"/>
  <c r="N542" i="2" a="1"/>
  <c r="U610" i="2" a="1"/>
  <c r="O459" i="2" a="1"/>
  <c r="M425" i="2" a="1"/>
  <c r="R473" i="2" a="1"/>
  <c r="H449" i="2" a="1"/>
  <c r="H395" i="2" a="1"/>
  <c r="S447" i="2" a="1"/>
  <c r="H704" i="2" a="1"/>
  <c r="T820" i="2" a="1"/>
  <c r="P704" i="2" a="1"/>
  <c r="P989" i="2" a="1"/>
  <c r="P693" i="2" a="1"/>
  <c r="O911" i="2" a="1"/>
  <c r="N687" i="2" a="1"/>
  <c r="R638" i="2" a="1"/>
  <c r="Q622" i="2" a="1"/>
  <c r="R797" i="2" a="1"/>
  <c r="U970" i="2" a="1"/>
  <c r="U639" i="2" a="1"/>
  <c r="W507" i="2" a="1"/>
  <c r="R993" i="2" a="1"/>
  <c r="P861" i="2" a="1"/>
  <c r="S515" i="2" a="1"/>
  <c r="W958" i="2" a="1"/>
  <c r="U509" i="2" a="1"/>
  <c r="R714" i="2" a="1"/>
  <c r="Q992" i="2" a="1"/>
  <c r="T904" i="2" a="1"/>
  <c r="S873" i="2" a="1"/>
  <c r="M871" i="2" a="1"/>
  <c r="M542" i="2" a="1"/>
  <c r="P532" i="2" a="1"/>
  <c r="P957" i="2" a="1"/>
  <c r="H887" i="2" a="1"/>
  <c r="R523" i="2" a="1"/>
  <c r="Q966" i="2" a="1"/>
  <c r="S572" i="2" a="1"/>
  <c r="H855" i="2" a="1"/>
  <c r="W546" i="2" a="1"/>
  <c r="O526" i="2" a="1"/>
  <c r="H946" i="2" a="1"/>
  <c r="N834" i="2" a="1"/>
  <c r="Q905" i="2" a="1"/>
  <c r="O997" i="2" a="1"/>
  <c r="T680" i="2" a="1"/>
  <c r="W679" i="2" a="1"/>
  <c r="M760" i="2" a="1"/>
  <c r="R653" i="2" a="1"/>
  <c r="M561" i="2" a="1"/>
  <c r="O559" i="2" a="1"/>
  <c r="P996" i="2" a="1"/>
  <c r="Q774" i="2" a="1"/>
  <c r="T831" i="2" a="1"/>
  <c r="W855" i="2" a="1"/>
  <c r="O948" i="2" a="1"/>
  <c r="H769" i="2" a="1"/>
  <c r="M937" i="2" a="1"/>
  <c r="M903" i="2" a="1"/>
  <c r="Q932" i="2" a="1"/>
  <c r="O749" i="2" a="1"/>
  <c r="P688" i="2" a="1"/>
  <c r="U539" i="2" a="1"/>
  <c r="P666" i="2" a="1"/>
  <c r="U835" i="2" a="1"/>
  <c r="S566" i="2" a="1"/>
  <c r="O805" i="2" a="1"/>
  <c r="O842" i="2" a="1"/>
  <c r="P916" i="2" a="1"/>
  <c r="N706" i="2" a="1"/>
  <c r="Q560" i="2" a="1"/>
  <c r="S765" i="2" a="1"/>
  <c r="Q909" i="2" a="1"/>
  <c r="W816" i="2" a="1"/>
  <c r="Q916" i="2" a="1"/>
  <c r="N530" i="2" a="1"/>
  <c r="W999" i="2" a="1"/>
  <c r="T953" i="2" a="1"/>
  <c r="U601" i="2" a="1"/>
  <c r="Q647" i="2" a="1"/>
  <c r="M532" i="2" a="1"/>
  <c r="O947" i="2" a="1"/>
  <c r="Q920" i="2" a="1"/>
  <c r="P971" i="2" a="1"/>
  <c r="T943" i="2" a="1"/>
  <c r="R847" i="2" a="1"/>
  <c r="S541" i="2" a="1"/>
  <c r="U842" i="2" a="1"/>
  <c r="O647" i="2" a="1"/>
  <c r="O565" i="2" a="1"/>
  <c r="N746" i="2" a="1"/>
  <c r="N740" i="2" a="1"/>
  <c r="T875" i="2" a="1"/>
  <c r="S534" i="2" a="1"/>
  <c r="O818" i="2" a="1"/>
  <c r="S899" i="2" a="1"/>
  <c r="R514" i="2" a="1"/>
  <c r="N938" i="2" a="1"/>
  <c r="R594" i="2" a="1"/>
  <c r="O574" i="2" a="1"/>
  <c r="Q910" i="2" a="1"/>
  <c r="T585" i="2" a="1"/>
  <c r="S714" i="2" a="1"/>
  <c r="T940" i="2" a="1"/>
  <c r="S603" i="2" a="1"/>
  <c r="R543" i="2" a="1"/>
  <c r="W830" i="2" a="1"/>
  <c r="U724" i="2" a="1"/>
  <c r="S881" i="2" a="1"/>
  <c r="P932" i="2" a="1"/>
  <c r="T691" i="2" a="1"/>
  <c r="Q705" i="2" a="1"/>
  <c r="H788" i="2" a="1"/>
  <c r="Q534" i="2" a="1"/>
  <c r="N962" i="2" a="1"/>
  <c r="N428" i="2" a="1"/>
  <c r="H484" i="2" a="1"/>
  <c r="W476" i="2" a="1"/>
  <c r="P398" i="2" a="1"/>
  <c r="H352" i="2" a="1"/>
  <c r="H447" i="2" a="1"/>
  <c r="W691" i="2" a="1"/>
  <c r="S423" i="2" a="1"/>
  <c r="R420" i="2" a="1"/>
  <c r="W369" i="2" a="1"/>
  <c r="W399" i="2" a="1"/>
  <c r="P468" i="2" a="1"/>
  <c r="H382" i="2" a="1"/>
  <c r="U728" i="2" a="1"/>
  <c r="S324" i="2" a="1"/>
  <c r="R321" i="2" a="1"/>
  <c r="P354" i="2" a="1"/>
  <c r="U469" i="2" a="1"/>
  <c r="R432" i="2" a="1"/>
  <c r="P431" i="2" a="1"/>
  <c r="R451" i="2" a="1"/>
  <c r="W767" i="2" a="1"/>
  <c r="H848" i="2" a="1"/>
  <c r="H984" i="2" a="1"/>
  <c r="P667" i="2" a="1"/>
  <c r="U615" i="2" a="1"/>
  <c r="U929" i="2" a="1"/>
  <c r="M749" i="2" a="1"/>
  <c r="U838" i="2" a="1"/>
  <c r="P547" i="2" a="1"/>
  <c r="H985" i="2" a="1"/>
  <c r="N863" i="2" a="1"/>
  <c r="Q944" i="2" a="1"/>
  <c r="P887" i="2" a="1"/>
  <c r="H870" i="2" a="1"/>
  <c r="R849" i="2" a="1"/>
  <c r="H520" i="2" a="1"/>
  <c r="M795" i="2" a="1"/>
  <c r="N634" i="2" a="1"/>
  <c r="S920" i="2" a="1"/>
  <c r="N898" i="2" a="1"/>
  <c r="P944" i="2" a="1"/>
  <c r="O706" i="2" a="1"/>
  <c r="U699" i="2" a="1"/>
  <c r="W887" i="2" a="1"/>
  <c r="T954" i="2" a="1"/>
  <c r="R507" i="2" a="1"/>
  <c r="R562" i="2" a="1"/>
  <c r="R707" i="2" a="1"/>
  <c r="N947" i="2" a="1"/>
  <c r="Q800" i="2" a="1"/>
  <c r="U568" i="2" a="1"/>
  <c r="U642" i="2" a="1"/>
  <c r="M657" i="2" a="1"/>
  <c r="O801" i="2" a="1"/>
  <c r="O518" i="2" a="1"/>
  <c r="Q754" i="2" a="1"/>
  <c r="P614" i="2" a="1"/>
  <c r="M515" i="2" a="1"/>
  <c r="N804" i="2" a="1"/>
  <c r="N903" i="2" a="1"/>
  <c r="R928" i="2" a="1"/>
  <c r="H821" i="2" a="1"/>
  <c r="Q847" i="2" a="1"/>
  <c r="U872" i="2" a="1"/>
  <c r="N738" i="2" a="1"/>
  <c r="M559" i="2" a="1"/>
  <c r="N515" i="2" a="1"/>
  <c r="W512" i="2" a="1"/>
  <c r="M826" i="2" a="1"/>
  <c r="Q613" i="2" a="1"/>
  <c r="R733" i="2" a="1"/>
  <c r="N560" i="2" a="1"/>
  <c r="O960" i="2" a="1"/>
  <c r="T555" i="2" a="1"/>
  <c r="R532" i="2" a="1"/>
  <c r="R606" i="2" a="1"/>
  <c r="T805" i="2" a="1"/>
  <c r="H552" i="2" a="1"/>
  <c r="M876" i="2" a="1"/>
  <c r="N868" i="2" a="1"/>
  <c r="S851" i="2" a="1"/>
  <c r="P716" i="2" a="1"/>
  <c r="O951" i="2" a="1"/>
  <c r="S710" i="2" a="1"/>
  <c r="O531" i="2" a="1"/>
  <c r="R942" i="2" a="1"/>
  <c r="U707" i="2" a="1"/>
  <c r="T999" i="2" a="1"/>
  <c r="N691" i="2" a="1"/>
  <c r="N724" i="2" a="1"/>
  <c r="U901" i="2" a="1"/>
  <c r="R754" i="2" a="1"/>
  <c r="U537" i="2" a="1"/>
  <c r="N721" i="2" a="1"/>
  <c r="T526" i="2" a="1"/>
  <c r="N697" i="2" a="1"/>
  <c r="O590" i="2" a="1"/>
  <c r="H666" i="2" a="1"/>
  <c r="U614" i="2" a="1"/>
  <c r="T738" i="2" a="1"/>
  <c r="O741" i="2" a="1"/>
  <c r="P896" i="2" a="1"/>
  <c r="Q914" i="2" a="1"/>
  <c r="M579" i="2" a="1"/>
  <c r="P603" i="2" a="1"/>
  <c r="W520" i="2" a="1"/>
  <c r="U874" i="2" a="1"/>
  <c r="M815" i="2" a="1"/>
  <c r="R731" i="2" a="1"/>
  <c r="T579" i="2" a="1"/>
  <c r="M611" i="2" a="1"/>
  <c r="N710" i="2" a="1"/>
  <c r="P735" i="2" a="1"/>
  <c r="P768" i="2" a="1"/>
  <c r="T984" i="2" a="1"/>
  <c r="U992" i="2" a="1"/>
  <c r="Q815" i="2" a="1"/>
  <c r="P801" i="2" a="1"/>
  <c r="R615" i="2" a="1"/>
  <c r="O819" i="2" a="1"/>
  <c r="S525" i="2" a="1"/>
  <c r="O894" i="2" a="1"/>
  <c r="U827" i="2" a="1"/>
  <c r="P556" i="2" a="1"/>
  <c r="N779" i="2" a="1"/>
  <c r="Q606" i="2" a="1"/>
  <c r="H500" i="2" a="1"/>
  <c r="P346" i="2" a="1"/>
  <c r="R317" i="2" a="1"/>
  <c r="H425" i="2" a="1"/>
  <c r="N364" i="2" a="1"/>
  <c r="N460" i="2" a="1"/>
  <c r="P464" i="2" a="1"/>
  <c r="Q746" i="2" a="1"/>
  <c r="M433" i="2" a="1"/>
  <c r="W377" i="2" a="1"/>
  <c r="H446" i="2" a="1"/>
  <c r="M489" i="2" a="1"/>
  <c r="W340" i="2" a="1"/>
  <c r="H485" i="2" a="1"/>
  <c r="T816" i="2" a="1"/>
  <c r="T407" i="2" a="1"/>
  <c r="N360" i="2" a="1"/>
  <c r="H404" i="2" a="1"/>
  <c r="P360" i="2" a="1"/>
  <c r="N468" i="2" a="1"/>
  <c r="P438" i="2" a="1"/>
  <c r="W964" i="2" a="1"/>
  <c r="R559" i="2" a="1"/>
  <c r="Q941" i="2" a="1"/>
  <c r="U683" i="2" a="1"/>
  <c r="P891" i="2" a="1"/>
  <c r="Q605" i="2" a="1"/>
  <c r="T842" i="2" a="1"/>
  <c r="W547" i="2" a="1"/>
  <c r="H521" i="2" a="1"/>
  <c r="P953" i="2" a="1"/>
  <c r="N769" i="2" a="1"/>
  <c r="M557" i="2" a="1"/>
  <c r="N516" i="2" a="1"/>
  <c r="O711" i="2" a="1"/>
  <c r="O670" i="2" a="1"/>
  <c r="T930" i="2" a="1"/>
  <c r="R756" i="2" a="1"/>
  <c r="O861" i="2" a="1"/>
  <c r="U892" i="2" a="1"/>
  <c r="W565" i="2" a="1"/>
  <c r="O921" i="2" a="1"/>
  <c r="M718" i="2" a="1"/>
  <c r="U984" i="2" a="1"/>
  <c r="M615" i="2" a="1"/>
  <c r="Q635" i="2" a="1"/>
  <c r="M549" i="2" a="1"/>
  <c r="R748" i="2" a="1"/>
  <c r="P626" i="2" a="1"/>
  <c r="R825" i="2" a="1"/>
  <c r="R607" i="2" a="1"/>
  <c r="T672" i="2" a="1"/>
  <c r="Q555" i="2" a="1"/>
  <c r="N941" i="2" a="1"/>
  <c r="M649" i="2" a="1"/>
  <c r="Q840" i="2" a="1"/>
  <c r="N763" i="2" a="1"/>
  <c r="Q621" i="2" a="1"/>
  <c r="T623" i="2" a="1"/>
  <c r="N574" i="2" a="1"/>
  <c r="Q782" i="2" a="1"/>
  <c r="O823" i="2" a="1"/>
  <c r="N578" i="2" a="1"/>
  <c r="N567" i="2" a="1"/>
  <c r="W797" i="2" a="1"/>
  <c r="O562" i="2" a="1"/>
  <c r="M758" i="2" a="1"/>
  <c r="Q778" i="2" a="1"/>
  <c r="R720" i="2" a="1"/>
  <c r="U550" i="2" a="1"/>
  <c r="H725" i="2" a="1"/>
  <c r="M925" i="2" a="1"/>
  <c r="R912" i="2" a="1"/>
  <c r="N511" i="2" a="1"/>
  <c r="W702" i="2" a="1"/>
  <c r="W585" i="2" a="1"/>
  <c r="P647" i="2" a="1"/>
  <c r="N630" i="2" a="1"/>
  <c r="N872" i="2" a="1"/>
  <c r="M728" i="2" a="1"/>
  <c r="Q987" i="2" a="1"/>
  <c r="M536" i="2" a="1"/>
  <c r="U538" i="2" a="1"/>
  <c r="N650" i="2" a="1"/>
  <c r="W568" i="2" a="1"/>
  <c r="N631" i="2" a="1"/>
  <c r="S954" i="2" a="1"/>
  <c r="T922" i="2" a="1"/>
  <c r="R786" i="2" a="1"/>
  <c r="O915" i="2" a="1"/>
  <c r="S928" i="2" a="1"/>
  <c r="W814" i="2" a="1"/>
  <c r="T856" i="2" a="1"/>
  <c r="N725" i="2" a="1"/>
  <c r="T844" i="2" a="1"/>
  <c r="U598" i="2" a="1"/>
  <c r="N543" i="2" a="1"/>
  <c r="H764" i="2" a="1"/>
  <c r="N569" i="2" a="1"/>
  <c r="M568" i="2" a="1"/>
  <c r="U712" i="2" a="1"/>
  <c r="Q830" i="2" a="1"/>
  <c r="S903" i="2" a="1"/>
  <c r="S857" i="2" a="1"/>
  <c r="S656" i="2" a="1"/>
  <c r="T821" i="2" a="1"/>
  <c r="S511" i="2" a="1"/>
  <c r="N657" i="2" a="1"/>
  <c r="U973" i="2" a="1"/>
  <c r="T578" i="2" a="1"/>
  <c r="W923" i="2" a="1"/>
  <c r="R567" i="2" a="1"/>
  <c r="O949" i="2" a="1"/>
  <c r="O754" i="2" a="1"/>
  <c r="Q585" i="2" a="1"/>
  <c r="M888" i="2" a="1"/>
  <c r="R573" i="2" a="1"/>
  <c r="O849" i="2" a="1"/>
  <c r="T929" i="2" a="1"/>
  <c r="Q990" i="2" a="1"/>
  <c r="Q597" i="2" a="1"/>
  <c r="U678" i="2" a="1"/>
  <c r="O752" i="2" a="1"/>
  <c r="Q652" i="2" a="1"/>
  <c r="H579" i="2" a="1"/>
  <c r="S584" i="2" a="1"/>
  <c r="U942" i="2" a="1"/>
  <c r="O443" i="2" a="1"/>
  <c r="P364" i="2" a="1"/>
  <c r="U401" i="2" a="1"/>
  <c r="P407" i="2" a="1"/>
  <c r="W373" i="2" a="1"/>
  <c r="S368" i="2" a="1"/>
  <c r="M375" i="2" a="1"/>
  <c r="O595" i="2" a="1"/>
  <c r="Q318" i="2" a="1"/>
  <c r="H460" i="2" a="1"/>
  <c r="R356" i="2" a="1"/>
  <c r="U357" i="2" a="1"/>
  <c r="H327" i="2" a="1"/>
  <c r="H480" i="2" a="1"/>
  <c r="W543" i="2" a="1"/>
  <c r="U433" i="2" a="1"/>
  <c r="H377" i="2" a="1"/>
  <c r="U461" i="2" a="1"/>
  <c r="O473" i="2" a="1"/>
  <c r="M484" i="2" a="1"/>
  <c r="H608" i="2" a="1"/>
  <c r="N818" i="2" a="1"/>
  <c r="O770" i="2" a="1"/>
  <c r="T893" i="2" a="1"/>
  <c r="S822" i="2" a="1"/>
  <c r="R581" i="2" a="1"/>
  <c r="P872" i="2" a="1"/>
  <c r="R826" i="2" a="1"/>
  <c r="M772" i="2" a="1"/>
  <c r="R513" i="2" a="1"/>
  <c r="R760" i="2" a="1"/>
  <c r="Q951" i="2" a="1"/>
  <c r="N573" i="2" a="1"/>
  <c r="H718" i="2" a="1"/>
  <c r="P915" i="2" a="1"/>
  <c r="W708" i="2" a="1"/>
  <c r="O798" i="2" a="1"/>
  <c r="T502" i="2" a="1"/>
  <c r="Q996" i="2" a="1"/>
  <c r="T739" i="2" a="1"/>
  <c r="T593" i="2" a="1"/>
  <c r="O536" i="2" a="1"/>
  <c r="T854" i="2" a="1"/>
  <c r="W622" i="2" a="1"/>
  <c r="M909" i="2" a="1"/>
  <c r="U576" i="2" a="1"/>
  <c r="T575" i="2" a="1"/>
  <c r="T566" i="2" a="1"/>
  <c r="P825" i="2" a="1"/>
  <c r="W557" i="2" a="1"/>
  <c r="Q506" i="2" a="1"/>
  <c r="P523" i="2" a="1"/>
  <c r="N761" i="2" a="1"/>
  <c r="U851" i="2" a="1"/>
  <c r="Q738" i="2" a="1"/>
  <c r="M901" i="2" a="1"/>
  <c r="R986" i="2" a="1"/>
  <c r="N993" i="2" a="1"/>
  <c r="O592" i="2" a="1"/>
  <c r="N527" i="2" a="1"/>
  <c r="N565" i="2" a="1"/>
  <c r="U919" i="2" a="1"/>
  <c r="T624" i="2" a="1"/>
  <c r="O577" i="2" a="1"/>
  <c r="R522" i="2" a="1"/>
  <c r="Q551" i="2" a="1"/>
  <c r="P717" i="2" a="1"/>
  <c r="P677" i="2" a="1"/>
  <c r="H691" i="2" a="1"/>
  <c r="T862" i="2" a="1"/>
  <c r="R616" i="2" a="1"/>
  <c r="P816" i="2" a="1"/>
  <c r="T755" i="2" a="1"/>
  <c r="P533" i="2" a="1"/>
  <c r="U553" i="2" a="1"/>
  <c r="Q989" i="2" a="1"/>
  <c r="U761" i="2" a="1"/>
  <c r="O736" i="2" a="1"/>
  <c r="M533" i="2" a="1"/>
  <c r="Q943" i="2" a="1"/>
  <c r="H522" i="2" a="1"/>
  <c r="R970" i="2" a="1"/>
  <c r="S879" i="2" a="1"/>
  <c r="N960" i="2" a="1"/>
  <c r="O534" i="2" a="1"/>
  <c r="H702" i="2" a="1"/>
  <c r="N525" i="2" a="1"/>
  <c r="N506" i="2" a="1"/>
  <c r="P586" i="2" a="1"/>
  <c r="N788" i="2" a="1"/>
  <c r="M962" i="2" a="1"/>
  <c r="N946" i="2" a="1"/>
  <c r="N648" i="2" a="1"/>
  <c r="N797" i="2" a="1"/>
  <c r="T912" i="2" a="1"/>
  <c r="M715" i="2" a="1"/>
  <c r="Q686" i="2" a="1"/>
  <c r="T517" i="2" a="1"/>
  <c r="S619" i="2" a="1"/>
  <c r="H555" i="2" a="1"/>
  <c r="N608" i="2" a="1"/>
  <c r="T750" i="2" a="1"/>
  <c r="T532" i="2" a="1"/>
  <c r="U519" i="2" a="1"/>
  <c r="O549" i="2" a="1"/>
  <c r="H582" i="2" a="1"/>
  <c r="P837" i="2" a="1"/>
  <c r="N907" i="2" a="1"/>
  <c r="W674" i="2" a="1"/>
  <c r="O656" i="2" a="1"/>
  <c r="P577" i="2" a="1"/>
  <c r="P898" i="2" a="1"/>
  <c r="T636" i="2" a="1"/>
  <c r="H670" i="2" a="1"/>
  <c r="H981" i="2" a="1"/>
  <c r="S506" i="2" a="1"/>
  <c r="N534" i="2" a="1"/>
  <c r="S535" i="2" a="1"/>
  <c r="N959" i="2" a="1"/>
  <c r="N964" i="2" a="1"/>
  <c r="O848" i="2" a="1"/>
  <c r="U652" i="2" a="1"/>
  <c r="Q639" i="2" a="1"/>
  <c r="T978" i="2" a="1"/>
  <c r="T712" i="2" a="1"/>
  <c r="O591" i="2" a="1"/>
  <c r="R673" i="2" a="1"/>
  <c r="U740" i="2" a="1"/>
  <c r="H469" i="2" a="1"/>
  <c r="R464" i="2" a="1"/>
  <c r="R424" i="2" a="1"/>
  <c r="S363" i="2" a="1"/>
  <c r="H427" i="2" a="1"/>
  <c r="T562" i="2" a="1"/>
  <c r="H428" i="2" a="1"/>
  <c r="R618" i="2" a="1"/>
  <c r="Q389" i="2" a="1"/>
  <c r="H317" i="2" a="1"/>
  <c r="P327" i="2" a="1"/>
  <c r="Q405" i="2" a="1"/>
  <c r="H420" i="2" a="1"/>
  <c r="H346" i="2" a="1"/>
  <c r="H723" i="2" a="1"/>
  <c r="M329" i="2" a="1"/>
  <c r="S328" i="2" a="1"/>
  <c r="H486" i="2" a="1"/>
  <c r="H437" i="2" a="1"/>
  <c r="W420" i="2" a="1"/>
  <c r="S407" i="2" a="1"/>
  <c r="N858" i="2" a="1"/>
  <c r="T817" i="2" a="1"/>
  <c r="M630" i="2" a="1"/>
  <c r="T952" i="2" a="1"/>
  <c r="O715" i="2" a="1"/>
  <c r="O787" i="2" a="1"/>
  <c r="T556" i="2" a="1"/>
  <c r="T708" i="2" a="1"/>
  <c r="W725" i="2" a="1"/>
  <c r="R814" i="2" a="1"/>
  <c r="M683" i="2" a="1"/>
  <c r="W902" i="2" a="1"/>
  <c r="O958" i="2" a="1"/>
  <c r="M317" i="2" a="1"/>
  <c r="W465" i="2" a="1"/>
  <c r="P449" i="2" a="1"/>
  <c r="H606" i="2" a="1"/>
  <c r="W351" i="2" a="1"/>
  <c r="N424" i="2" a="1"/>
  <c r="H466" i="2" a="1"/>
  <c r="M476" i="2" a="1"/>
  <c r="P427" i="2" a="1"/>
  <c r="Q323" i="2" a="1"/>
  <c r="N982" i="2" a="1"/>
  <c r="R403" i="2" a="1"/>
  <c r="S355" i="2" a="1"/>
  <c r="H421" i="2" a="1"/>
  <c r="R472" i="2" a="1"/>
  <c r="H481" i="2" a="1"/>
  <c r="U421" i="2" a="1"/>
  <c r="U558" i="2" a="1"/>
  <c r="H423" i="2" a="1"/>
  <c r="U465" i="2" a="1"/>
  <c r="M371" i="2" a="1"/>
  <c r="M379" i="2" a="1"/>
  <c r="P406" i="2" a="1"/>
  <c r="M732" i="2" a="1"/>
  <c r="H343" i="2" a="1"/>
  <c r="P402" i="2" a="1"/>
  <c r="H398" i="2" a="1"/>
  <c r="H320" i="2" a="1"/>
  <c r="S414" i="2" a="1"/>
  <c r="M480" i="2" a="1"/>
  <c r="M456" i="2" a="1"/>
  <c r="M347" i="2" a="1"/>
  <c r="M468" i="2" a="1"/>
  <c r="R608" i="2" a="1"/>
  <c r="R945" i="2" a="1"/>
  <c r="O962" i="2" a="1"/>
  <c r="S560" i="2" a="1"/>
  <c r="H396" i="2" a="1"/>
  <c r="W598" i="2" a="1"/>
  <c r="T998" i="2" a="1"/>
  <c r="W473" i="2" a="1"/>
  <c r="P998" i="2" a="1"/>
  <c r="T538" i="2" a="1"/>
  <c r="M696" i="2" a="1"/>
  <c r="Q501" i="2" a="1"/>
  <c r="U531" i="2" a="1"/>
  <c r="T869" i="2" a="1"/>
  <c r="T925" i="2" a="1"/>
  <c r="S963" i="2" a="1"/>
  <c r="T752" i="2" a="1"/>
  <c r="U661" i="2" a="1"/>
  <c r="O645" i="2" a="1"/>
  <c r="Q724" i="2" a="1"/>
  <c r="T514" i="2" a="1"/>
  <c r="N579" i="2" a="1"/>
  <c r="N852" i="2" a="1"/>
  <c r="U844" i="2" a="1"/>
  <c r="S598" i="2" a="1"/>
  <c r="N949" i="2" a="1"/>
  <c r="H561" i="2" a="1"/>
  <c r="T587" i="2" a="1"/>
  <c r="N552" i="2" a="1"/>
  <c r="T454" i="2" a="1"/>
  <c r="M511" i="2" a="1"/>
  <c r="H829" i="2" a="1"/>
  <c r="Q452" i="2" a="1"/>
  <c r="H322" i="2" a="1"/>
  <c r="W385" i="2" a="1"/>
  <c r="H329" i="2" a="1"/>
  <c r="H385" i="2" a="1"/>
  <c r="T797" i="2" a="1"/>
  <c r="W967" i="2" a="1"/>
  <c r="N419" i="2" a="1"/>
  <c r="Q437" i="2" a="1"/>
  <c r="H368" i="2" a="1"/>
  <c r="S427" i="2" a="1"/>
  <c r="H494" i="2" a="1"/>
  <c r="H389" i="2" a="1"/>
  <c r="R539" i="2" a="1"/>
  <c r="Q474" i="2" a="1"/>
  <c r="M330" i="2" a="1"/>
  <c r="H436" i="2" a="1"/>
  <c r="Q461" i="2" a="1"/>
  <c r="S459" i="2" a="1"/>
  <c r="W682" i="2" a="1"/>
  <c r="S347" i="2" a="1"/>
  <c r="H360" i="2" a="1"/>
  <c r="U361" i="2" a="1"/>
  <c r="T346" i="2" a="1"/>
  <c r="S320" i="2" a="1"/>
  <c r="M429" i="2" a="1"/>
  <c r="M483" i="2" a="1"/>
  <c r="M398" i="2" a="1"/>
  <c r="U766" i="2" a="1"/>
  <c r="H626" i="2" a="1"/>
  <c r="Q791" i="2" a="1"/>
  <c r="Q401" i="2" a="1"/>
  <c r="S467" i="2" a="1"/>
  <c r="P400" i="2" a="1"/>
  <c r="O474" i="2" a="1"/>
  <c r="Q337" i="2" a="1"/>
  <c r="N402" i="2" a="1"/>
  <c r="M707" i="2" a="1"/>
  <c r="U673" i="2" a="1"/>
  <c r="P338" i="2" a="1"/>
  <c r="Q338" i="2" a="1"/>
  <c r="H493" i="2" a="1"/>
  <c r="W481" i="2" a="1"/>
  <c r="R374" i="2" a="1"/>
  <c r="M988" i="2" a="1"/>
  <c r="M681" i="2" a="1"/>
  <c r="W624" i="2" a="1"/>
  <c r="W515" i="2" a="1"/>
  <c r="W981" i="2" a="1"/>
  <c r="N792" i="2" a="1"/>
  <c r="W681" i="2" a="1"/>
  <c r="O678" i="2" a="1"/>
  <c r="S670" i="2" a="1"/>
  <c r="W840" i="2" a="1"/>
  <c r="T658" i="2" a="1"/>
  <c r="H554" i="2" a="1"/>
  <c r="N785" i="2" a="1"/>
  <c r="M610" i="2" a="1"/>
  <c r="N598" i="2" a="1"/>
  <c r="M791" i="2" a="1"/>
  <c r="U755" i="2" a="1"/>
  <c r="H419" i="2" a="1"/>
  <c r="H464" i="2" a="1"/>
  <c r="R456" i="2" a="1"/>
  <c r="Q419" i="2" a="1"/>
  <c r="M469" i="2" a="1"/>
  <c r="U441" i="2" a="1"/>
  <c r="S613" i="2" a="1"/>
  <c r="H881" i="2" a="1"/>
  <c r="T323" i="2" a="1"/>
  <c r="H330" i="2" a="1"/>
  <c r="Q363" i="2" a="1"/>
  <c r="W419" i="2" a="1"/>
  <c r="R419" i="2" a="1"/>
  <c r="R468" i="2" a="1"/>
  <c r="W635" i="2" a="1"/>
  <c r="H415" i="2" a="1"/>
  <c r="M325" i="2" a="1"/>
  <c r="N432" i="2" a="1"/>
  <c r="S971" i="2" a="1"/>
  <c r="U337" i="2" a="1"/>
  <c r="M734" i="2" a="1"/>
  <c r="H431" i="2" a="1"/>
  <c r="T457" i="2" a="1"/>
  <c r="O338" i="2" a="1"/>
  <c r="W395" i="2" a="1"/>
  <c r="U370" i="2" a="1"/>
  <c r="M369" i="2" a="1"/>
  <c r="M405" i="2" a="1"/>
  <c r="H342" i="2" a="1"/>
  <c r="S554" i="2" a="1"/>
  <c r="P628" i="2" a="1"/>
  <c r="H408" i="2" a="1"/>
  <c r="H497" i="2" a="1"/>
  <c r="T446" i="2" a="1"/>
  <c r="W469" i="2" a="1"/>
  <c r="P435" i="2" a="1"/>
  <c r="N999" i="2" a="1"/>
  <c r="H532" i="2" a="1"/>
  <c r="H358" i="2" a="1"/>
  <c r="N408" i="2" a="1"/>
  <c r="R364" i="2" a="1"/>
  <c r="H422" i="2" a="1"/>
  <c r="W352" i="2" a="1"/>
  <c r="M464" i="2" a="1"/>
  <c r="Q626" i="2" a="1"/>
  <c r="S693" i="2" a="1"/>
  <c r="R764" i="2" a="1"/>
  <c r="O853" i="2" a="1"/>
  <c r="P846" i="2" a="1"/>
  <c r="W534" i="2" a="1"/>
  <c r="S527" i="2" a="1"/>
  <c r="P644" i="2" a="1"/>
  <c r="P575" i="2" a="1"/>
  <c r="U565" i="2" a="1"/>
  <c r="T909" i="2" a="1"/>
  <c r="M527" i="2" a="1"/>
  <c r="U954" i="2" a="1"/>
  <c r="O799" i="2" a="1"/>
  <c r="Q767" i="2" a="1"/>
  <c r="T335" i="2" a="1"/>
  <c r="Q713" i="2" a="1"/>
  <c r="P335" i="2" a="1"/>
  <c r="R415" i="2" a="1"/>
  <c r="H430" i="2" a="1"/>
  <c r="T390" i="2" a="1"/>
  <c r="Q457" i="2" a="1"/>
  <c r="O471" i="2" a="1"/>
  <c r="M555" i="2" a="1"/>
  <c r="H319" i="2" a="1"/>
  <c r="H412" i="2" a="1"/>
  <c r="Q435" i="2" a="1"/>
  <c r="S435" i="2" a="1"/>
  <c r="S403" i="2" a="1"/>
  <c r="W477" i="2" a="1"/>
  <c r="N842" i="2" a="1"/>
  <c r="W504" i="2" a="1"/>
  <c r="P460" i="2" a="1"/>
  <c r="P403" i="2" a="1"/>
  <c r="M345" i="2" a="1"/>
  <c r="R588" i="2" a="1"/>
  <c r="H341" i="2" a="1"/>
  <c r="S650" i="2" a="1"/>
  <c r="N436" i="2" a="1"/>
  <c r="H393" i="2" a="1"/>
  <c r="Q448" i="2" a="1"/>
  <c r="T434" i="2" a="1"/>
  <c r="S476" i="2" a="1"/>
  <c r="R452" i="2" a="1"/>
  <c r="M440" i="2" a="1"/>
  <c r="H478" i="2" a="1"/>
  <c r="N808" i="2" a="1"/>
  <c r="R400" i="2" a="1"/>
  <c r="U393" i="2" a="1"/>
  <c r="W361" i="2" a="1"/>
  <c r="H407" i="2" a="1"/>
  <c r="H426" i="2" a="1"/>
  <c r="H547" i="2" a="1"/>
  <c r="S691" i="2" a="1"/>
  <c r="H336" i="2" a="1"/>
  <c r="Q449" i="2" a="1"/>
  <c r="T473" i="2" a="1"/>
  <c r="H424" i="2" a="1"/>
  <c r="H429" i="2" a="1"/>
  <c r="M360" i="2" a="1"/>
  <c r="U950" i="2" a="1"/>
  <c r="T970" i="2" a="1"/>
  <c r="N860" i="2" a="1"/>
  <c r="H905" i="2" a="1"/>
  <c r="N733" i="2" a="1"/>
  <c r="W519" i="2" a="1"/>
  <c r="Q688" i="2" a="1"/>
  <c r="W503" i="2" a="1"/>
  <c r="M702" i="2" a="1"/>
  <c r="P543" i="2" a="1"/>
  <c r="T685" i="2" a="1"/>
  <c r="N504" i="2" a="1"/>
  <c r="M606" i="2" a="1"/>
  <c r="S351" i="2" a="1"/>
  <c r="R460" i="2" a="1"/>
  <c r="T474" i="2" a="1"/>
  <c r="N796" i="2" a="1"/>
  <c r="H433" i="2" a="1"/>
  <c r="M349" i="2" a="1"/>
  <c r="M370" i="2" a="1"/>
  <c r="T327" i="2" a="1"/>
  <c r="T426" i="2" a="1"/>
  <c r="W972" i="2" a="1"/>
  <c r="U551" i="2" a="1"/>
  <c r="R417" i="2" a="1"/>
  <c r="W497" i="2" a="1"/>
  <c r="M494" i="2" a="1"/>
  <c r="P476" i="2" a="1"/>
  <c r="T364" i="2" a="1"/>
  <c r="P324" i="2" a="1"/>
  <c r="T608" i="2" a="1"/>
  <c r="R352" i="2" a="1"/>
  <c r="S473" i="2" a="1"/>
  <c r="H338" i="2" a="1"/>
  <c r="W403" i="2" a="1"/>
  <c r="M389" i="2" a="1"/>
  <c r="Q610" i="2" a="1"/>
  <c r="U751" i="2" a="1"/>
  <c r="M452" i="2" a="1"/>
  <c r="R407" i="2" a="1"/>
  <c r="R382" i="2" a="1"/>
  <c r="H434" i="2" a="1"/>
  <c r="H487" i="2" a="1"/>
  <c r="W341" i="2" a="1"/>
  <c r="O360" i="2" a="1"/>
  <c r="M383" i="2" a="1"/>
  <c r="U669" i="2" a="1"/>
  <c r="P423" i="2" a="1"/>
  <c r="M413" i="2" a="1"/>
  <c r="H374" i="2" a="1"/>
  <c r="H369" i="2" a="1"/>
  <c r="U429" i="2" a="1"/>
  <c r="U849" i="2" a="1"/>
  <c r="N883" i="2" a="1"/>
  <c r="M341" i="2" a="1"/>
  <c r="S472" i="2" a="1"/>
  <c r="U457" i="2" a="1"/>
  <c r="H400" i="2" a="1"/>
  <c r="M416" i="2" a="1"/>
  <c r="M421" i="2" a="1"/>
  <c r="H557" i="2" a="1"/>
  <c r="O814" i="2" a="1"/>
  <c r="U674" i="2" a="1"/>
  <c r="Q550" i="2" a="1"/>
  <c r="S745" i="2" a="1"/>
  <c r="T847" i="2" a="1"/>
  <c r="R585" i="2" a="1"/>
  <c r="N728" i="2" a="1"/>
  <c r="N702" i="2" a="1"/>
  <c r="Q772" i="2" a="1"/>
  <c r="P656" i="2" a="1"/>
  <c r="N604" i="2" a="1"/>
  <c r="S918" i="2" a="1"/>
  <c r="H351" i="2" a="1"/>
  <c r="H388" i="2" a="1"/>
  <c r="T400" i="2" a="1"/>
  <c r="T932" i="2" a="1"/>
  <c r="S454" i="2" a="1"/>
  <c r="H354" i="2" a="1"/>
  <c r="R457" i="2" a="1"/>
  <c r="W461" i="2" a="1"/>
  <c r="M397" i="2" a="1"/>
  <c r="S443" i="2" a="1"/>
  <c r="O508" i="2" a="1"/>
  <c r="P394" i="2" a="1"/>
  <c r="N352" i="2" a="1"/>
  <c r="H432" i="2" a="1"/>
  <c r="H363" i="2" a="1"/>
  <c r="M486" i="2" a="1"/>
  <c r="H541" i="2" a="1"/>
  <c r="N524" i="2" a="1"/>
  <c r="T338" i="2" a="1"/>
  <c r="N420" i="2" a="1"/>
  <c r="H416" i="2" a="1"/>
  <c r="O451" i="2" a="1"/>
  <c r="Q371" i="2" a="1"/>
  <c r="M842" i="2" a="1"/>
  <c r="H347" i="2" a="1"/>
  <c r="P384" i="2" a="1"/>
  <c r="R416" i="2" a="1"/>
  <c r="M479" i="2" a="1"/>
  <c r="H750" i="2" a="1"/>
  <c r="S684" i="2" a="1"/>
  <c r="U535" i="2" a="1"/>
  <c r="S474" i="2" a="1"/>
  <c r="N791" i="2" a="1"/>
  <c r="U425" i="2" a="1"/>
  <c r="H390" i="2" a="1"/>
  <c r="R325" i="2" a="1"/>
  <c r="M355" i="2" a="1"/>
  <c r="T511" i="2" a="1"/>
  <c r="U976" i="2" a="1"/>
  <c r="H539" i="2" a="1"/>
  <c r="T470" i="2" a="1"/>
  <c r="H452" i="2" a="1"/>
  <c r="T449" i="2" a="1"/>
  <c r="H468" i="2" a="1"/>
  <c r="W341" i="2" l="1"/>
  <c r="AP341" i="2" s="1"/>
  <c r="R452" i="2"/>
  <c r="M369" i="2"/>
  <c r="M429" i="2"/>
  <c r="M480" i="2"/>
  <c r="T925" i="2"/>
  <c r="W473" i="2"/>
  <c r="AP473" i="2" s="1"/>
  <c r="R416" i="2"/>
  <c r="H487" i="2"/>
  <c r="S476" i="2"/>
  <c r="U370" i="2"/>
  <c r="S320" i="2"/>
  <c r="S414" i="2"/>
  <c r="H468" i="2"/>
  <c r="U429" i="2"/>
  <c r="H478" i="2"/>
  <c r="H434" i="2"/>
  <c r="T434" i="2"/>
  <c r="W395" i="2"/>
  <c r="AP395" i="2" s="1"/>
  <c r="T346" i="2"/>
  <c r="H320" i="2"/>
  <c r="M421" i="2"/>
  <c r="P435" i="2"/>
  <c r="H342" i="2"/>
  <c r="R382" i="2"/>
  <c r="Q448" i="2"/>
  <c r="O338" i="2"/>
  <c r="AO338" i="2" s="1"/>
  <c r="U361" i="2"/>
  <c r="H398" i="2"/>
  <c r="R374" i="2"/>
  <c r="H426" i="2"/>
  <c r="M383" i="2"/>
  <c r="R407" i="2"/>
  <c r="H393" i="2"/>
  <c r="T457" i="2"/>
  <c r="H360" i="2"/>
  <c r="P402" i="2"/>
  <c r="W352" i="2"/>
  <c r="AP352" i="2" s="1"/>
  <c r="R325" i="2"/>
  <c r="P384" i="2"/>
  <c r="M452" i="2"/>
  <c r="N436" i="2"/>
  <c r="AN436" i="2" s="1"/>
  <c r="H431" i="2"/>
  <c r="S347" i="2"/>
  <c r="H343" i="2"/>
  <c r="H429" i="2"/>
  <c r="Q337" i="2"/>
  <c r="H347" i="2"/>
  <c r="U751" i="2"/>
  <c r="S650" i="2"/>
  <c r="M734" i="2"/>
  <c r="W682" i="2"/>
  <c r="M732" i="2"/>
  <c r="T869" i="2"/>
  <c r="T998" i="2"/>
  <c r="M842" i="2"/>
  <c r="Q610" i="2"/>
  <c r="H341" i="2"/>
  <c r="U337" i="2"/>
  <c r="S459" i="2"/>
  <c r="P406" i="2"/>
  <c r="T449" i="2"/>
  <c r="W469" i="2"/>
  <c r="AP469" i="2" s="1"/>
  <c r="Q371" i="2"/>
  <c r="M389" i="2"/>
  <c r="R588" i="2"/>
  <c r="S971" i="2"/>
  <c r="Q461" i="2"/>
  <c r="M379" i="2"/>
  <c r="M416" i="2"/>
  <c r="H369" i="2"/>
  <c r="O451" i="2"/>
  <c r="AO451" i="2" s="1"/>
  <c r="W403" i="2"/>
  <c r="AP403" i="2" s="1"/>
  <c r="M345" i="2"/>
  <c r="N432" i="2"/>
  <c r="AN432" i="2" s="1"/>
  <c r="H436" i="2"/>
  <c r="M371" i="2"/>
  <c r="W481" i="2"/>
  <c r="AP481" i="2" s="1"/>
  <c r="H407" i="2"/>
  <c r="H416" i="2"/>
  <c r="H338" i="2"/>
  <c r="P403" i="2"/>
  <c r="M325" i="2"/>
  <c r="M330" i="2"/>
  <c r="U465" i="2"/>
  <c r="H424" i="2"/>
  <c r="H390" i="2"/>
  <c r="N420" i="2"/>
  <c r="AN420" i="2" s="1"/>
  <c r="S473" i="2"/>
  <c r="P460" i="2"/>
  <c r="H415" i="2"/>
  <c r="Q474" i="2"/>
  <c r="H423" i="2"/>
  <c r="H422" i="2"/>
  <c r="O474" i="2"/>
  <c r="AO474" i="2" s="1"/>
  <c r="T338" i="2"/>
  <c r="R352" i="2"/>
  <c r="W504" i="2"/>
  <c r="W635" i="2"/>
  <c r="R539" i="2"/>
  <c r="U558" i="2"/>
  <c r="U531" i="2"/>
  <c r="W598" i="2"/>
  <c r="N524" i="2"/>
  <c r="AN524" i="2" s="1"/>
  <c r="T608" i="2"/>
  <c r="N842" i="2"/>
  <c r="AN842" i="2" s="1"/>
  <c r="R468" i="2"/>
  <c r="H389" i="2"/>
  <c r="U421" i="2"/>
  <c r="H400" i="2"/>
  <c r="P400" i="2"/>
  <c r="H541" i="2"/>
  <c r="P324" i="2"/>
  <c r="W477" i="2"/>
  <c r="AP477" i="2" s="1"/>
  <c r="R419" i="2"/>
  <c r="H494" i="2"/>
  <c r="H481" i="2"/>
  <c r="H452" i="2"/>
  <c r="U425" i="2"/>
  <c r="M486" i="2"/>
  <c r="T364" i="2"/>
  <c r="S403" i="2"/>
  <c r="W419" i="2"/>
  <c r="AP419" i="2" s="1"/>
  <c r="S427" i="2"/>
  <c r="R472" i="2"/>
  <c r="T473" i="2"/>
  <c r="W361" i="2"/>
  <c r="AP361" i="2" s="1"/>
  <c r="H363" i="2"/>
  <c r="P476" i="2"/>
  <c r="S435" i="2"/>
  <c r="Q363" i="2"/>
  <c r="H368" i="2"/>
  <c r="H421" i="2"/>
  <c r="H493" i="2"/>
  <c r="T446" i="2"/>
  <c r="H432" i="2"/>
  <c r="M494" i="2"/>
  <c r="Q435" i="2"/>
  <c r="H330" i="2"/>
  <c r="Q437" i="2"/>
  <c r="S355" i="2"/>
  <c r="R364" i="2"/>
  <c r="H374" i="2"/>
  <c r="N352" i="2"/>
  <c r="AN352" i="2" s="1"/>
  <c r="W497" i="2"/>
  <c r="AP497" i="2" s="1"/>
  <c r="H412" i="2"/>
  <c r="T323" i="2"/>
  <c r="N419" i="2"/>
  <c r="AN419" i="2" s="1"/>
  <c r="R403" i="2"/>
  <c r="U457" i="2"/>
  <c r="S467" i="2"/>
  <c r="P394" i="2"/>
  <c r="R417" i="2"/>
  <c r="H319" i="2"/>
  <c r="H881" i="2"/>
  <c r="W967" i="2"/>
  <c r="N982" i="2"/>
  <c r="AN982" i="2" s="1"/>
  <c r="Q501" i="2"/>
  <c r="N791" i="2"/>
  <c r="O508" i="2"/>
  <c r="AO508" i="2" s="1"/>
  <c r="U551" i="2"/>
  <c r="M555" i="2"/>
  <c r="S613" i="2"/>
  <c r="T797" i="2"/>
  <c r="Q323" i="2"/>
  <c r="Q338" i="2"/>
  <c r="U393" i="2"/>
  <c r="S443" i="2"/>
  <c r="W972" i="2"/>
  <c r="O471" i="2"/>
  <c r="AO471" i="2" s="1"/>
  <c r="U441" i="2"/>
  <c r="H385" i="2"/>
  <c r="P427" i="2"/>
  <c r="Q449" i="2"/>
  <c r="H497" i="2"/>
  <c r="M397" i="2"/>
  <c r="T426" i="2"/>
  <c r="Q457" i="2"/>
  <c r="M469" i="2"/>
  <c r="H329" i="2"/>
  <c r="M476" i="2"/>
  <c r="T470" i="2"/>
  <c r="H396" i="2"/>
  <c r="W461" i="2"/>
  <c r="AP461" i="2" s="1"/>
  <c r="T327" i="2"/>
  <c r="T390" i="2"/>
  <c r="Q419" i="2"/>
  <c r="W385" i="2"/>
  <c r="AP385" i="2" s="1"/>
  <c r="H466" i="2"/>
  <c r="N408" i="2"/>
  <c r="AN408" i="2" s="1"/>
  <c r="M413" i="2"/>
  <c r="R457" i="2"/>
  <c r="M370" i="2"/>
  <c r="H430" i="2"/>
  <c r="R456" i="2"/>
  <c r="H322" i="2"/>
  <c r="N424" i="2"/>
  <c r="AN424" i="2" s="1"/>
  <c r="S472" i="2"/>
  <c r="Q401" i="2"/>
  <c r="H354" i="2"/>
  <c r="M349" i="2"/>
  <c r="R415" i="2"/>
  <c r="H464" i="2"/>
  <c r="Q452" i="2"/>
  <c r="W351" i="2"/>
  <c r="AP351" i="2" s="1"/>
  <c r="P338" i="2"/>
  <c r="S474" i="2"/>
  <c r="S454" i="2"/>
  <c r="H433" i="2"/>
  <c r="P335" i="2"/>
  <c r="H419" i="2"/>
  <c r="H829" i="2"/>
  <c r="H606" i="2"/>
  <c r="H539" i="2"/>
  <c r="S560" i="2"/>
  <c r="T932" i="2"/>
  <c r="N796" i="2"/>
  <c r="AN796" i="2" s="1"/>
  <c r="Q713" i="2"/>
  <c r="U755" i="2"/>
  <c r="N818" i="2"/>
  <c r="AN818" i="2" s="1"/>
  <c r="M511" i="2"/>
  <c r="R451" i="2"/>
  <c r="S447" i="2"/>
  <c r="P320" i="2"/>
  <c r="R428" i="2"/>
  <c r="P449" i="2"/>
  <c r="S407" i="2"/>
  <c r="H608" i="2"/>
  <c r="P438" i="2"/>
  <c r="P431" i="2"/>
  <c r="H395" i="2"/>
  <c r="S431" i="2"/>
  <c r="T398" i="2"/>
  <c r="H336" i="2"/>
  <c r="W420" i="2"/>
  <c r="AP420" i="2" s="1"/>
  <c r="M484" i="2"/>
  <c r="N468" i="2"/>
  <c r="AN468" i="2" s="1"/>
  <c r="R432" i="2"/>
  <c r="H449" i="2"/>
  <c r="P366" i="2"/>
  <c r="M393" i="2"/>
  <c r="R400" i="2"/>
  <c r="H437" i="2"/>
  <c r="O473" i="2"/>
  <c r="AO473" i="2" s="1"/>
  <c r="P360" i="2"/>
  <c r="U469" i="2"/>
  <c r="R473" i="2"/>
  <c r="U474" i="2"/>
  <c r="P358" i="2"/>
  <c r="T400" i="2"/>
  <c r="H486" i="2"/>
  <c r="U461" i="2"/>
  <c r="H404" i="2"/>
  <c r="P354" i="2"/>
  <c r="M425" i="2"/>
  <c r="M354" i="2"/>
  <c r="P462" i="2"/>
  <c r="T474" i="2"/>
  <c r="S328" i="2"/>
  <c r="H377" i="2"/>
  <c r="N360" i="2"/>
  <c r="AN360" i="2" s="1"/>
  <c r="R321" i="2"/>
  <c r="O459" i="2"/>
  <c r="AO459" i="2" s="1"/>
  <c r="P328" i="2"/>
  <c r="R369" i="2"/>
  <c r="T335" i="2"/>
  <c r="M329" i="2"/>
  <c r="U433" i="2"/>
  <c r="T407" i="2"/>
  <c r="S324" i="2"/>
  <c r="U610" i="2"/>
  <c r="N997" i="2"/>
  <c r="AN997" i="2" s="1"/>
  <c r="P689" i="2"/>
  <c r="M791" i="2"/>
  <c r="H723" i="2"/>
  <c r="W543" i="2"/>
  <c r="T816" i="2"/>
  <c r="U728" i="2"/>
  <c r="N542" i="2"/>
  <c r="M779" i="2"/>
  <c r="W471" i="2"/>
  <c r="AP471" i="2" s="1"/>
  <c r="T454" i="2"/>
  <c r="H346" i="2"/>
  <c r="H480" i="2"/>
  <c r="H485" i="2"/>
  <c r="H382" i="2"/>
  <c r="H549" i="2"/>
  <c r="H495" i="2"/>
  <c r="S370" i="2"/>
  <c r="W465" i="2"/>
  <c r="AP465" i="2" s="1"/>
  <c r="H420" i="2"/>
  <c r="H327" i="2"/>
  <c r="W340" i="2"/>
  <c r="AP340" i="2" s="1"/>
  <c r="P468" i="2"/>
  <c r="W493" i="2"/>
  <c r="AP493" i="2" s="1"/>
  <c r="H489" i="2"/>
  <c r="M353" i="2"/>
  <c r="H358" i="2"/>
  <c r="Q405" i="2"/>
  <c r="U357" i="2"/>
  <c r="M489" i="2"/>
  <c r="W399" i="2"/>
  <c r="AP399" i="2" s="1"/>
  <c r="P466" i="2"/>
  <c r="H453" i="2"/>
  <c r="M493" i="2"/>
  <c r="H408" i="2"/>
  <c r="P327" i="2"/>
  <c r="R356" i="2"/>
  <c r="H446" i="2"/>
  <c r="W369" i="2"/>
  <c r="AP369" i="2" s="1"/>
  <c r="H364" i="2"/>
  <c r="O401" i="2"/>
  <c r="AO401" i="2" s="1"/>
  <c r="T372" i="2"/>
  <c r="H388" i="2"/>
  <c r="H317" i="2"/>
  <c r="H460" i="2"/>
  <c r="W377" i="2"/>
  <c r="AP377" i="2" s="1"/>
  <c r="R420" i="2"/>
  <c r="H492" i="2"/>
  <c r="M492" i="2"/>
  <c r="H335" i="2"/>
  <c r="R460" i="2"/>
  <c r="Q389" i="2"/>
  <c r="Q318" i="2"/>
  <c r="M433" i="2"/>
  <c r="S423" i="2"/>
  <c r="Q467" i="2"/>
  <c r="M437" i="2"/>
  <c r="O511" i="2"/>
  <c r="AO511" i="2" s="1"/>
  <c r="Q767" i="2"/>
  <c r="R618" i="2"/>
  <c r="O595" i="2"/>
  <c r="AO595" i="2" s="1"/>
  <c r="Q746" i="2"/>
  <c r="W691" i="2"/>
  <c r="N955" i="2"/>
  <c r="P517" i="2"/>
  <c r="W577" i="2"/>
  <c r="N598" i="2"/>
  <c r="AN598" i="2" s="1"/>
  <c r="H428" i="2"/>
  <c r="M375" i="2"/>
  <c r="P464" i="2"/>
  <c r="H447" i="2"/>
  <c r="S415" i="2"/>
  <c r="N464" i="2"/>
  <c r="AN464" i="2" s="1"/>
  <c r="Q469" i="2"/>
  <c r="N552" i="2"/>
  <c r="AN552" i="2" s="1"/>
  <c r="T562" i="2"/>
  <c r="S368" i="2"/>
  <c r="N460" i="2"/>
  <c r="AN460" i="2" s="1"/>
  <c r="H352" i="2"/>
  <c r="R402" i="2"/>
  <c r="H403" i="2"/>
  <c r="H372" i="2"/>
  <c r="M317" i="2"/>
  <c r="H427" i="2"/>
  <c r="W373" i="2"/>
  <c r="AP373" i="2" s="1"/>
  <c r="N364" i="2"/>
  <c r="AN364" i="2" s="1"/>
  <c r="P398" i="2"/>
  <c r="H451" i="2"/>
  <c r="W474" i="2"/>
  <c r="AP474" i="2" s="1"/>
  <c r="P319" i="2"/>
  <c r="M341" i="2"/>
  <c r="S363" i="2"/>
  <c r="P407" i="2"/>
  <c r="H425" i="2"/>
  <c r="W476" i="2"/>
  <c r="AP476" i="2" s="1"/>
  <c r="W449" i="2"/>
  <c r="AP449" i="2" s="1"/>
  <c r="S364" i="2"/>
  <c r="U322" i="2"/>
  <c r="P423" i="2"/>
  <c r="R424" i="2"/>
  <c r="U401" i="2"/>
  <c r="R317" i="2"/>
  <c r="H484" i="2"/>
  <c r="R360" i="2"/>
  <c r="Q465" i="2"/>
  <c r="M497" i="2"/>
  <c r="H351" i="2"/>
  <c r="R464" i="2"/>
  <c r="P364" i="2"/>
  <c r="P346" i="2"/>
  <c r="N428" i="2"/>
  <c r="AN428" i="2" s="1"/>
  <c r="T413" i="2"/>
  <c r="S463" i="2"/>
  <c r="H325" i="2"/>
  <c r="S351" i="2"/>
  <c r="H469" i="2"/>
  <c r="O443" i="2"/>
  <c r="AO443" i="2" s="1"/>
  <c r="H500" i="2"/>
  <c r="N962" i="2"/>
  <c r="AN962" i="2" s="1"/>
  <c r="R801" i="2"/>
  <c r="W810" i="2"/>
  <c r="P903" i="2"/>
  <c r="O799" i="2"/>
  <c r="AO799" i="2" s="1"/>
  <c r="U740" i="2"/>
  <c r="U942" i="2"/>
  <c r="Q606" i="2"/>
  <c r="Q534" i="2"/>
  <c r="O510" i="2"/>
  <c r="W663" i="2"/>
  <c r="N885" i="2"/>
  <c r="AN885" i="2" s="1"/>
  <c r="M610" i="2"/>
  <c r="R673" i="2"/>
  <c r="S584" i="2"/>
  <c r="N779" i="2"/>
  <c r="AN779" i="2" s="1"/>
  <c r="H788" i="2"/>
  <c r="Q529" i="2"/>
  <c r="T941" i="2"/>
  <c r="O952" i="2"/>
  <c r="AO952" i="2" s="1"/>
  <c r="T587" i="2"/>
  <c r="O591" i="2"/>
  <c r="AO591" i="2" s="1"/>
  <c r="H579" i="2"/>
  <c r="P556" i="2"/>
  <c r="Q705" i="2"/>
  <c r="U830" i="2"/>
  <c r="M679" i="2"/>
  <c r="N748" i="2"/>
  <c r="AN748" i="2" s="1"/>
  <c r="O958" i="2"/>
  <c r="AO958" i="2" s="1"/>
  <c r="T712" i="2"/>
  <c r="Q652" i="2"/>
  <c r="U827" i="2"/>
  <c r="T691" i="2"/>
  <c r="W516" i="2"/>
  <c r="S836" i="2"/>
  <c r="S512" i="2"/>
  <c r="M696" i="2"/>
  <c r="T978" i="2"/>
  <c r="O752" i="2"/>
  <c r="AO752" i="2" s="1"/>
  <c r="O894" i="2"/>
  <c r="AO894" i="2" s="1"/>
  <c r="P932" i="2"/>
  <c r="P950" i="2"/>
  <c r="M599" i="2"/>
  <c r="P525" i="2"/>
  <c r="Q791" i="2"/>
  <c r="Q639" i="2"/>
  <c r="U678" i="2"/>
  <c r="S525" i="2"/>
  <c r="S881" i="2"/>
  <c r="U648" i="2"/>
  <c r="R534" i="2"/>
  <c r="H889" i="2"/>
  <c r="S918" i="2"/>
  <c r="U652" i="2"/>
  <c r="Q597" i="2"/>
  <c r="O819" i="2"/>
  <c r="AO819" i="2" s="1"/>
  <c r="U724" i="2"/>
  <c r="U603" i="2"/>
  <c r="N568" i="2"/>
  <c r="AN568" i="2" s="1"/>
  <c r="H965" i="2"/>
  <c r="M606" i="2"/>
  <c r="O848" i="2"/>
  <c r="AO848" i="2" s="1"/>
  <c r="Q990" i="2"/>
  <c r="R615" i="2"/>
  <c r="W830" i="2"/>
  <c r="U657" i="2"/>
  <c r="R937" i="2"/>
  <c r="O756" i="2"/>
  <c r="AO756" i="2" s="1"/>
  <c r="U954" i="2"/>
  <c r="N964" i="2"/>
  <c r="AN964" i="2" s="1"/>
  <c r="T929" i="2"/>
  <c r="P801" i="2"/>
  <c r="R543" i="2"/>
  <c r="U960" i="2"/>
  <c r="R550" i="2"/>
  <c r="N644" i="2"/>
  <c r="AN644" i="2" s="1"/>
  <c r="N785" i="2"/>
  <c r="AN785" i="2" s="1"/>
  <c r="N959" i="2"/>
  <c r="AN959" i="2" s="1"/>
  <c r="O849" i="2"/>
  <c r="AO849" i="2" s="1"/>
  <c r="Q815" i="2"/>
  <c r="S603" i="2"/>
  <c r="S567" i="2"/>
  <c r="Q819" i="2"/>
  <c r="Q582" i="2"/>
  <c r="H561" i="2"/>
  <c r="S535" i="2"/>
  <c r="R573" i="2"/>
  <c r="U992" i="2"/>
  <c r="T940" i="2"/>
  <c r="R954" i="2"/>
  <c r="R802" i="2"/>
  <c r="T861" i="2"/>
  <c r="W902" i="2"/>
  <c r="N534" i="2"/>
  <c r="AN534" i="2" s="1"/>
  <c r="M888" i="2"/>
  <c r="T984" i="2"/>
  <c r="S714" i="2"/>
  <c r="R900" i="2"/>
  <c r="U947" i="2"/>
  <c r="P706" i="2"/>
  <c r="U673" i="2"/>
  <c r="S506" i="2"/>
  <c r="Q585" i="2"/>
  <c r="P768" i="2"/>
  <c r="T585" i="2"/>
  <c r="N822" i="2"/>
  <c r="U675" i="2"/>
  <c r="M580" i="2"/>
  <c r="U535" i="2"/>
  <c r="H981" i="2"/>
  <c r="O754" i="2"/>
  <c r="AO754" i="2" s="1"/>
  <c r="P735" i="2"/>
  <c r="Q910" i="2"/>
  <c r="R609" i="2"/>
  <c r="R533" i="2"/>
  <c r="M685" i="2"/>
  <c r="N604" i="2"/>
  <c r="AN604" i="2" s="1"/>
  <c r="H670" i="2"/>
  <c r="O949" i="2"/>
  <c r="AO949" i="2" s="1"/>
  <c r="N710" i="2"/>
  <c r="AN710" i="2" s="1"/>
  <c r="O574" i="2"/>
  <c r="AO574" i="2" s="1"/>
  <c r="O699" i="2"/>
  <c r="AO699" i="2" s="1"/>
  <c r="N845" i="2"/>
  <c r="AN845" i="2" s="1"/>
  <c r="U575" i="2"/>
  <c r="N504" i="2"/>
  <c r="AN504" i="2" s="1"/>
  <c r="T636" i="2"/>
  <c r="R567" i="2"/>
  <c r="M611" i="2"/>
  <c r="R594" i="2"/>
  <c r="O891" i="2"/>
  <c r="O532" i="2"/>
  <c r="AO532" i="2" s="1"/>
  <c r="U932" i="2"/>
  <c r="M527" i="2"/>
  <c r="P898" i="2"/>
  <c r="W923" i="2"/>
  <c r="T579" i="2"/>
  <c r="N938" i="2"/>
  <c r="AN938" i="2" s="1"/>
  <c r="S617" i="2"/>
  <c r="U945" i="2"/>
  <c r="U778" i="2"/>
  <c r="H554" i="2"/>
  <c r="P577" i="2"/>
  <c r="T578" i="2"/>
  <c r="R731" i="2"/>
  <c r="R514" i="2"/>
  <c r="H997" i="2"/>
  <c r="N940" i="2"/>
  <c r="AN940" i="2" s="1"/>
  <c r="R684" i="2"/>
  <c r="N949" i="2"/>
  <c r="AN949" i="2" s="1"/>
  <c r="O656" i="2"/>
  <c r="AO656" i="2" s="1"/>
  <c r="U973" i="2"/>
  <c r="M815" i="2"/>
  <c r="S899" i="2"/>
  <c r="H581" i="2"/>
  <c r="T973" i="2"/>
  <c r="O616" i="2"/>
  <c r="AO616" i="2" s="1"/>
  <c r="M683" i="2"/>
  <c r="W674" i="2"/>
  <c r="N657" i="2"/>
  <c r="AN657" i="2" s="1"/>
  <c r="U874" i="2"/>
  <c r="O818" i="2"/>
  <c r="AO818" i="2" s="1"/>
  <c r="P918" i="2"/>
  <c r="M546" i="2"/>
  <c r="Q854" i="2"/>
  <c r="S691" i="2"/>
  <c r="N907" i="2"/>
  <c r="AN907" i="2" s="1"/>
  <c r="S511" i="2"/>
  <c r="W520" i="2"/>
  <c r="S534" i="2"/>
  <c r="H755" i="2"/>
  <c r="H712" i="2"/>
  <c r="W625" i="2"/>
  <c r="O962" i="2"/>
  <c r="AO962" i="2" s="1"/>
  <c r="P837" i="2"/>
  <c r="T821" i="2"/>
  <c r="P603" i="2"/>
  <c r="T875" i="2"/>
  <c r="U530" i="2"/>
  <c r="O674" i="2"/>
  <c r="AO674" i="2" s="1"/>
  <c r="O879" i="2"/>
  <c r="AO879" i="2" s="1"/>
  <c r="P656" i="2"/>
  <c r="H582" i="2"/>
  <c r="S656" i="2"/>
  <c r="M579" i="2"/>
  <c r="N740" i="2"/>
  <c r="AN740" i="2" s="1"/>
  <c r="N522" i="2"/>
  <c r="T921" i="2"/>
  <c r="R921" i="2"/>
  <c r="T685" i="2"/>
  <c r="O549" i="2"/>
  <c r="AO549" i="2" s="1"/>
  <c r="S857" i="2"/>
  <c r="Q914" i="2"/>
  <c r="N746" i="2"/>
  <c r="AN746" i="2" s="1"/>
  <c r="U783" i="2"/>
  <c r="S651" i="2"/>
  <c r="N753" i="2"/>
  <c r="AN753" i="2" s="1"/>
  <c r="T909" i="2"/>
  <c r="U519" i="2"/>
  <c r="S903" i="2"/>
  <c r="P896" i="2"/>
  <c r="O565" i="2"/>
  <c r="AO565" i="2" s="1"/>
  <c r="O618" i="2"/>
  <c r="AO618" i="2" s="1"/>
  <c r="N780" i="2"/>
  <c r="AN780" i="2" s="1"/>
  <c r="Q678" i="2"/>
  <c r="T658" i="2"/>
  <c r="T532" i="2"/>
  <c r="Q830" i="2"/>
  <c r="O741" i="2"/>
  <c r="AO741" i="2" s="1"/>
  <c r="O647" i="2"/>
  <c r="AO647" i="2" s="1"/>
  <c r="U564" i="2"/>
  <c r="T863" i="2"/>
  <c r="W798" i="2"/>
  <c r="S598" i="2"/>
  <c r="T750" i="2"/>
  <c r="U712" i="2"/>
  <c r="T738" i="2"/>
  <c r="U842" i="2"/>
  <c r="H814" i="2"/>
  <c r="H773" i="2"/>
  <c r="W878" i="2"/>
  <c r="R814" i="2"/>
  <c r="N608" i="2"/>
  <c r="AN608" i="2" s="1"/>
  <c r="M568" i="2"/>
  <c r="U614" i="2"/>
  <c r="S541" i="2"/>
  <c r="N745" i="2"/>
  <c r="AN745" i="2" s="1"/>
  <c r="R560" i="2"/>
  <c r="S810" i="2"/>
  <c r="U976" i="2"/>
  <c r="H555" i="2"/>
  <c r="N569" i="2"/>
  <c r="AN569" i="2" s="1"/>
  <c r="H666" i="2"/>
  <c r="R847" i="2"/>
  <c r="P955" i="2"/>
  <c r="U703" i="2"/>
  <c r="M591" i="2"/>
  <c r="P628" i="2"/>
  <c r="S619" i="2"/>
  <c r="H764" i="2"/>
  <c r="O590" i="2"/>
  <c r="AO590" i="2" s="1"/>
  <c r="T943" i="2"/>
  <c r="N776" i="2"/>
  <c r="P739" i="2"/>
  <c r="W796" i="2"/>
  <c r="Q772" i="2"/>
  <c r="T517" i="2"/>
  <c r="N543" i="2"/>
  <c r="AN543" i="2" s="1"/>
  <c r="N697" i="2"/>
  <c r="AN697" i="2" s="1"/>
  <c r="P971" i="2"/>
  <c r="T503" i="2"/>
  <c r="S678" i="2"/>
  <c r="Q658" i="2"/>
  <c r="P543" i="2"/>
  <c r="Q686" i="2"/>
  <c r="U598" i="2"/>
  <c r="T526" i="2"/>
  <c r="Q920" i="2"/>
  <c r="T765" i="2"/>
  <c r="P624" i="2"/>
  <c r="T734" i="2"/>
  <c r="U565" i="2"/>
  <c r="M715" i="2"/>
  <c r="T844" i="2"/>
  <c r="N721" i="2"/>
  <c r="AN721" i="2" s="1"/>
  <c r="O947" i="2"/>
  <c r="AO947" i="2" s="1"/>
  <c r="W706" i="2"/>
  <c r="W826" i="2"/>
  <c r="R529" i="2"/>
  <c r="W840" i="2"/>
  <c r="T912" i="2"/>
  <c r="N725" i="2"/>
  <c r="AN725" i="2" s="1"/>
  <c r="U537" i="2"/>
  <c r="M532" i="2"/>
  <c r="S540" i="2"/>
  <c r="Q975" i="2"/>
  <c r="S750" i="2"/>
  <c r="U844" i="2"/>
  <c r="N797" i="2"/>
  <c r="AN797" i="2" s="1"/>
  <c r="T856" i="2"/>
  <c r="R754" i="2"/>
  <c r="Q647" i="2"/>
  <c r="M849" i="2"/>
  <c r="W957" i="2"/>
  <c r="M608" i="2"/>
  <c r="W725" i="2"/>
  <c r="N648" i="2"/>
  <c r="AN648" i="2" s="1"/>
  <c r="W814" i="2"/>
  <c r="U901" i="2"/>
  <c r="U601" i="2"/>
  <c r="R587" i="2"/>
  <c r="M621" i="2"/>
  <c r="U559" i="2"/>
  <c r="N883" i="2"/>
  <c r="AN883" i="2" s="1"/>
  <c r="N946" i="2"/>
  <c r="AN946" i="2" s="1"/>
  <c r="S928" i="2"/>
  <c r="N724" i="2"/>
  <c r="AN724" i="2" s="1"/>
  <c r="T953" i="2"/>
  <c r="O812" i="2"/>
  <c r="AO812" i="2" s="1"/>
  <c r="P869" i="2"/>
  <c r="Q689" i="2"/>
  <c r="S684" i="2"/>
  <c r="M962" i="2"/>
  <c r="O915" i="2"/>
  <c r="AO915" i="2" s="1"/>
  <c r="N691" i="2"/>
  <c r="AN691" i="2" s="1"/>
  <c r="W999" i="2"/>
  <c r="N688" i="2"/>
  <c r="T611" i="2"/>
  <c r="P761" i="2"/>
  <c r="N702" i="2"/>
  <c r="AN702" i="2" s="1"/>
  <c r="N788" i="2"/>
  <c r="AN788" i="2" s="1"/>
  <c r="R786" i="2"/>
  <c r="T999" i="2"/>
  <c r="N530" i="2"/>
  <c r="AN530" i="2" s="1"/>
  <c r="P530" i="2"/>
  <c r="R741" i="2"/>
  <c r="P627" i="2"/>
  <c r="M702" i="2"/>
  <c r="P586" i="2"/>
  <c r="T922" i="2"/>
  <c r="U707" i="2"/>
  <c r="Q916" i="2"/>
  <c r="S507" i="2"/>
  <c r="N659" i="2"/>
  <c r="AN659" i="2" s="1"/>
  <c r="M514" i="2"/>
  <c r="P575" i="2"/>
  <c r="N506" i="2"/>
  <c r="AN506" i="2" s="1"/>
  <c r="S954" i="2"/>
  <c r="R942" i="2"/>
  <c r="W816" i="2"/>
  <c r="M571" i="2"/>
  <c r="U588" i="2"/>
  <c r="O621" i="2"/>
  <c r="AO621" i="2" s="1"/>
  <c r="S670" i="2"/>
  <c r="N525" i="2"/>
  <c r="AN525" i="2" s="1"/>
  <c r="N631" i="2"/>
  <c r="AN631" i="2" s="1"/>
  <c r="O531" i="2"/>
  <c r="AO531" i="2" s="1"/>
  <c r="Q909" i="2"/>
  <c r="O961" i="2"/>
  <c r="AO961" i="2" s="1"/>
  <c r="W778" i="2"/>
  <c r="W580" i="2"/>
  <c r="N852" i="2"/>
  <c r="AN852" i="2" s="1"/>
  <c r="H702" i="2"/>
  <c r="W568" i="2"/>
  <c r="S710" i="2"/>
  <c r="S765" i="2"/>
  <c r="U930" i="2"/>
  <c r="O914" i="2"/>
  <c r="AO914" i="2" s="1"/>
  <c r="U524" i="2"/>
  <c r="T708" i="2"/>
  <c r="O534" i="2"/>
  <c r="AO534" i="2" s="1"/>
  <c r="N650" i="2"/>
  <c r="AN650" i="2" s="1"/>
  <c r="O951" i="2"/>
  <c r="AO951" i="2" s="1"/>
  <c r="Q560" i="2"/>
  <c r="W969" i="2"/>
  <c r="P883" i="2"/>
  <c r="W808" i="2"/>
  <c r="H532" i="2"/>
  <c r="N960" i="2"/>
  <c r="AN960" i="2" s="1"/>
  <c r="U538" i="2"/>
  <c r="P716" i="2"/>
  <c r="N706" i="2"/>
  <c r="AN706" i="2" s="1"/>
  <c r="T814" i="2"/>
  <c r="O612" i="2"/>
  <c r="AO612" i="2" s="1"/>
  <c r="N974" i="2"/>
  <c r="AN974" i="2" s="1"/>
  <c r="R945" i="2"/>
  <c r="S879" i="2"/>
  <c r="M536" i="2"/>
  <c r="S851" i="2"/>
  <c r="P916" i="2"/>
  <c r="T748" i="2"/>
  <c r="M766" i="2"/>
  <c r="U616" i="2"/>
  <c r="N728" i="2"/>
  <c r="AN728" i="2" s="1"/>
  <c r="R970" i="2"/>
  <c r="Q987" i="2"/>
  <c r="N868" i="2"/>
  <c r="AN868" i="2" s="1"/>
  <c r="O842" i="2"/>
  <c r="AO842" i="2" s="1"/>
  <c r="R545" i="2"/>
  <c r="Q880" i="2"/>
  <c r="S855" i="2"/>
  <c r="W503" i="2"/>
  <c r="H522" i="2"/>
  <c r="M728" i="2"/>
  <c r="M876" i="2"/>
  <c r="O805" i="2"/>
  <c r="AO805" i="2" s="1"/>
  <c r="S783" i="2"/>
  <c r="P529" i="2"/>
  <c r="Q878" i="2"/>
  <c r="P644" i="2"/>
  <c r="Q943" i="2"/>
  <c r="N872" i="2"/>
  <c r="AN872" i="2" s="1"/>
  <c r="H552" i="2"/>
  <c r="S566" i="2"/>
  <c r="H526" i="2"/>
  <c r="S944" i="2"/>
  <c r="R715" i="2"/>
  <c r="O678" i="2"/>
  <c r="AO678" i="2" s="1"/>
  <c r="M533" i="2"/>
  <c r="N630" i="2"/>
  <c r="AN630" i="2" s="1"/>
  <c r="T805" i="2"/>
  <c r="U835" i="2"/>
  <c r="Q821" i="2"/>
  <c r="R688" i="2"/>
  <c r="W749" i="2"/>
  <c r="N579" i="2"/>
  <c r="AN579" i="2" s="1"/>
  <c r="O736" i="2"/>
  <c r="AO736" i="2" s="1"/>
  <c r="P647" i="2"/>
  <c r="R606" i="2"/>
  <c r="P666" i="2"/>
  <c r="R552" i="2"/>
  <c r="R524" i="2"/>
  <c r="Q700" i="2"/>
  <c r="T556" i="2"/>
  <c r="U761" i="2"/>
  <c r="W585" i="2"/>
  <c r="R532" i="2"/>
  <c r="U539" i="2"/>
  <c r="H525" i="2"/>
  <c r="R854" i="2"/>
  <c r="R515" i="2"/>
  <c r="T538" i="2"/>
  <c r="Q989" i="2"/>
  <c r="W702" i="2"/>
  <c r="T555" i="2"/>
  <c r="P688" i="2"/>
  <c r="O512" i="2"/>
  <c r="AO512" i="2" s="1"/>
  <c r="T524" i="2"/>
  <c r="S607" i="2"/>
  <c r="H626" i="2"/>
  <c r="U553" i="2"/>
  <c r="N511" i="2"/>
  <c r="AN511" i="2" s="1"/>
  <c r="O960" i="2"/>
  <c r="AO960" i="2" s="1"/>
  <c r="O749" i="2"/>
  <c r="AO749" i="2" s="1"/>
  <c r="O782" i="2"/>
  <c r="Q900" i="2"/>
  <c r="Q612" i="2"/>
  <c r="R585" i="2"/>
  <c r="P533" i="2"/>
  <c r="R912" i="2"/>
  <c r="N560" i="2"/>
  <c r="AN560" i="2" s="1"/>
  <c r="Q932" i="2"/>
  <c r="U769" i="2"/>
  <c r="N640" i="2"/>
  <c r="AN640" i="2" s="1"/>
  <c r="R837" i="2"/>
  <c r="Q688" i="2"/>
  <c r="T755" i="2"/>
  <c r="M925" i="2"/>
  <c r="R733" i="2"/>
  <c r="M903" i="2"/>
  <c r="N902" i="2"/>
  <c r="W638" i="2"/>
  <c r="N771" i="2"/>
  <c r="AN771" i="2" s="1"/>
  <c r="S527" i="2"/>
  <c r="P816" i="2"/>
  <c r="H725" i="2"/>
  <c r="Q613" i="2"/>
  <c r="M937" i="2"/>
  <c r="U969" i="2"/>
  <c r="O533" i="2"/>
  <c r="AO533" i="2" s="1"/>
  <c r="M563" i="2"/>
  <c r="W681" i="2"/>
  <c r="R616" i="2"/>
  <c r="U550" i="2"/>
  <c r="M826" i="2"/>
  <c r="H769" i="2"/>
  <c r="W933" i="2"/>
  <c r="W847" i="2"/>
  <c r="W555" i="2"/>
  <c r="T514" i="2"/>
  <c r="T862" i="2"/>
  <c r="R720" i="2"/>
  <c r="W512" i="2"/>
  <c r="O948" i="2"/>
  <c r="AO948" i="2" s="1"/>
  <c r="M586" i="2"/>
  <c r="Q809" i="2"/>
  <c r="N596" i="2"/>
  <c r="AN596" i="2" s="1"/>
  <c r="O787" i="2"/>
  <c r="AO787" i="2" s="1"/>
  <c r="H691" i="2"/>
  <c r="Q778" i="2"/>
  <c r="N515" i="2"/>
  <c r="AN515" i="2" s="1"/>
  <c r="W855" i="2"/>
  <c r="U754" i="2"/>
  <c r="W994" i="2"/>
  <c r="S596" i="2"/>
  <c r="M707" i="2"/>
  <c r="P677" i="2"/>
  <c r="M758" i="2"/>
  <c r="M559" i="2"/>
  <c r="T831" i="2"/>
  <c r="O627" i="2"/>
  <c r="AO627" i="2" s="1"/>
  <c r="S757" i="2"/>
  <c r="S788" i="2"/>
  <c r="N808" i="2"/>
  <c r="AN808" i="2" s="1"/>
  <c r="P717" i="2"/>
  <c r="O562" i="2"/>
  <c r="AO562" i="2" s="1"/>
  <c r="N738" i="2"/>
  <c r="AN738" i="2" s="1"/>
  <c r="Q774" i="2"/>
  <c r="M869" i="2"/>
  <c r="W576" i="2"/>
  <c r="O773" i="2"/>
  <c r="AO773" i="2" s="1"/>
  <c r="T847" i="2"/>
  <c r="Q551" i="2"/>
  <c r="W797" i="2"/>
  <c r="U872" i="2"/>
  <c r="P996" i="2"/>
  <c r="Q519" i="2"/>
  <c r="P678" i="2"/>
  <c r="P708" i="2"/>
  <c r="W519" i="2"/>
  <c r="R522" i="2"/>
  <c r="N567" i="2"/>
  <c r="AN567" i="2" s="1"/>
  <c r="Q847" i="2"/>
  <c r="O559" i="2"/>
  <c r="AO559" i="2" s="1"/>
  <c r="Q942" i="2"/>
  <c r="U612" i="2"/>
  <c r="R541" i="2"/>
  <c r="W534" i="2"/>
  <c r="O577" i="2"/>
  <c r="AO577" i="2" s="1"/>
  <c r="N578" i="2"/>
  <c r="AN578" i="2" s="1"/>
  <c r="H821" i="2"/>
  <c r="M561" i="2"/>
  <c r="W549" i="2"/>
  <c r="W942" i="2"/>
  <c r="P843" i="2"/>
  <c r="N792" i="2"/>
  <c r="AN792" i="2" s="1"/>
  <c r="T624" i="2"/>
  <c r="O823" i="2"/>
  <c r="AO823" i="2" s="1"/>
  <c r="R928" i="2"/>
  <c r="R653" i="2"/>
  <c r="O807" i="2"/>
  <c r="AO807" i="2" s="1"/>
  <c r="O904" i="2"/>
  <c r="AO904" i="2" s="1"/>
  <c r="Q528" i="2"/>
  <c r="Q724" i="2"/>
  <c r="U919" i="2"/>
  <c r="Q782" i="2"/>
  <c r="N903" i="2"/>
  <c r="AN903" i="2" s="1"/>
  <c r="M760" i="2"/>
  <c r="O690" i="2"/>
  <c r="AO690" i="2" s="1"/>
  <c r="Q545" i="2"/>
  <c r="T534" i="2"/>
  <c r="O715" i="2"/>
  <c r="AO715" i="2" s="1"/>
  <c r="N565" i="2"/>
  <c r="AN565" i="2" s="1"/>
  <c r="N574" i="2"/>
  <c r="AN574" i="2" s="1"/>
  <c r="N804" i="2"/>
  <c r="AN804" i="2" s="1"/>
  <c r="W679" i="2"/>
  <c r="W588" i="2"/>
  <c r="M770" i="2"/>
  <c r="U843" i="2"/>
  <c r="T511" i="2"/>
  <c r="N527" i="2"/>
  <c r="AN527" i="2" s="1"/>
  <c r="T623" i="2"/>
  <c r="M515" i="2"/>
  <c r="T680" i="2"/>
  <c r="T598" i="2"/>
  <c r="N540" i="2"/>
  <c r="AN540" i="2" s="1"/>
  <c r="P949" i="2"/>
  <c r="U669" i="2"/>
  <c r="O592" i="2"/>
  <c r="AO592" i="2" s="1"/>
  <c r="Q621" i="2"/>
  <c r="P614" i="2"/>
  <c r="O997" i="2"/>
  <c r="AO997" i="2" s="1"/>
  <c r="S634" i="2"/>
  <c r="S972" i="2"/>
  <c r="S941" i="2"/>
  <c r="Q584" i="2"/>
  <c r="S745" i="2"/>
  <c r="N993" i="2"/>
  <c r="AN993" i="2" s="1"/>
  <c r="N763" i="2"/>
  <c r="AN763" i="2" s="1"/>
  <c r="Q754" i="2"/>
  <c r="Q905" i="2"/>
  <c r="W596" i="2"/>
  <c r="N666" i="2"/>
  <c r="AN666" i="2" s="1"/>
  <c r="O930" i="2"/>
  <c r="AO930" i="2" s="1"/>
  <c r="H742" i="2"/>
  <c r="N733" i="2"/>
  <c r="AN733" i="2" s="1"/>
  <c r="R986" i="2"/>
  <c r="Q840" i="2"/>
  <c r="O518" i="2"/>
  <c r="AO518" i="2" s="1"/>
  <c r="R818" i="2"/>
  <c r="N834" i="2"/>
  <c r="AN834" i="2" s="1"/>
  <c r="T647" i="2"/>
  <c r="Q737" i="2"/>
  <c r="T644" i="2"/>
  <c r="P846" i="2"/>
  <c r="M901" i="2"/>
  <c r="M649" i="2"/>
  <c r="O837" i="2"/>
  <c r="AO837" i="2" s="1"/>
  <c r="O801" i="2"/>
  <c r="AO801" i="2" s="1"/>
  <c r="H946" i="2"/>
  <c r="Q968" i="2"/>
  <c r="S514" i="2"/>
  <c r="U620" i="2"/>
  <c r="W981" i="2"/>
  <c r="Q738" i="2"/>
  <c r="U883" i="2"/>
  <c r="N941" i="2"/>
  <c r="AN941" i="2" s="1"/>
  <c r="M657" i="2"/>
  <c r="O526" i="2"/>
  <c r="AO526" i="2" s="1"/>
  <c r="R518" i="2"/>
  <c r="U904" i="2"/>
  <c r="W695" i="2"/>
  <c r="O645" i="2"/>
  <c r="AO645" i="2" s="1"/>
  <c r="U586" i="2"/>
  <c r="U851" i="2"/>
  <c r="Q555" i="2"/>
  <c r="U642" i="2"/>
  <c r="W546" i="2"/>
  <c r="U725" i="2"/>
  <c r="H657" i="2"/>
  <c r="U757" i="2"/>
  <c r="T706" i="2"/>
  <c r="T952" i="2"/>
  <c r="N761" i="2"/>
  <c r="AN761" i="2" s="1"/>
  <c r="T672" i="2"/>
  <c r="U568" i="2"/>
  <c r="H855" i="2"/>
  <c r="H611" i="2"/>
  <c r="T888" i="2"/>
  <c r="S503" i="2"/>
  <c r="S622" i="2"/>
  <c r="U849" i="2"/>
  <c r="P523" i="2"/>
  <c r="R607" i="2"/>
  <c r="Q800" i="2"/>
  <c r="S572" i="2"/>
  <c r="R635" i="2"/>
  <c r="H622" i="2"/>
  <c r="O598" i="2"/>
  <c r="AO598" i="2" s="1"/>
  <c r="P537" i="2"/>
  <c r="S554" i="2"/>
  <c r="Q506" i="2"/>
  <c r="R810" i="2"/>
  <c r="R825" i="2"/>
  <c r="N947" i="2"/>
  <c r="W838" i="2"/>
  <c r="Q966" i="2"/>
  <c r="H813" i="2"/>
  <c r="N561" i="2"/>
  <c r="AN561" i="2" s="1"/>
  <c r="O610" i="2"/>
  <c r="AO610" i="2" s="1"/>
  <c r="W619" i="2"/>
  <c r="Q550" i="2"/>
  <c r="W557" i="2"/>
  <c r="Q977" i="2"/>
  <c r="P626" i="2"/>
  <c r="Q894" i="2"/>
  <c r="R707" i="2"/>
  <c r="R523" i="2"/>
  <c r="S697" i="2"/>
  <c r="H973" i="2"/>
  <c r="U666" i="2"/>
  <c r="S759" i="2"/>
  <c r="N514" i="2"/>
  <c r="AN514" i="2" s="1"/>
  <c r="M706" i="2"/>
  <c r="W567" i="2"/>
  <c r="H905" i="2"/>
  <c r="O529" i="2"/>
  <c r="AO529" i="2" s="1"/>
  <c r="P825" i="2"/>
  <c r="O878" i="2"/>
  <c r="AO878" i="2" s="1"/>
  <c r="Q531" i="2"/>
  <c r="R748" i="2"/>
  <c r="W720" i="2"/>
  <c r="R562" i="2"/>
  <c r="H887" i="2"/>
  <c r="W882" i="2"/>
  <c r="T945" i="2"/>
  <c r="H961" i="2"/>
  <c r="Q508" i="2"/>
  <c r="T617" i="2"/>
  <c r="R542" i="2"/>
  <c r="U936" i="2"/>
  <c r="O853" i="2"/>
  <c r="AO853" i="2" s="1"/>
  <c r="T675" i="2"/>
  <c r="T566" i="2"/>
  <c r="S853" i="2"/>
  <c r="T550" i="2"/>
  <c r="M549" i="2"/>
  <c r="U522" i="2"/>
  <c r="T763" i="2"/>
  <c r="R507" i="2"/>
  <c r="T794" i="2"/>
  <c r="W988" i="2"/>
  <c r="O859" i="2"/>
  <c r="AO859" i="2" s="1"/>
  <c r="N717" i="2"/>
  <c r="AN717" i="2" s="1"/>
  <c r="P957" i="2"/>
  <c r="S919" i="2"/>
  <c r="O994" i="2"/>
  <c r="AO994" i="2" s="1"/>
  <c r="T815" i="2"/>
  <c r="W601" i="2"/>
  <c r="O654" i="2"/>
  <c r="AO654" i="2" s="1"/>
  <c r="M597" i="2"/>
  <c r="R558" i="2"/>
  <c r="U819" i="2"/>
  <c r="M590" i="2"/>
  <c r="S538" i="2"/>
  <c r="N937" i="2"/>
  <c r="AN937" i="2" s="1"/>
  <c r="O913" i="2"/>
  <c r="AO913" i="2" s="1"/>
  <c r="P698" i="2"/>
  <c r="U933" i="2"/>
  <c r="R782" i="2"/>
  <c r="W515" i="2"/>
  <c r="T552" i="2"/>
  <c r="P528" i="2"/>
  <c r="T575" i="2"/>
  <c r="P568" i="2"/>
  <c r="M751" i="2"/>
  <c r="T595" i="2"/>
  <c r="W536" i="2"/>
  <c r="Q635" i="2"/>
  <c r="S552" i="2"/>
  <c r="O555" i="2"/>
  <c r="AO555" i="2" s="1"/>
  <c r="T954" i="2"/>
  <c r="R639" i="2"/>
  <c r="M547" i="2"/>
  <c r="O940" i="2"/>
  <c r="N528" i="2"/>
  <c r="AN528" i="2" s="1"/>
  <c r="P532" i="2"/>
  <c r="S643" i="2"/>
  <c r="O588" i="2"/>
  <c r="AO588" i="2" s="1"/>
  <c r="W593" i="2"/>
  <c r="P699" i="2"/>
  <c r="O702" i="2"/>
  <c r="AO702" i="2" s="1"/>
  <c r="M898" i="2"/>
  <c r="P995" i="2"/>
  <c r="S955" i="2"/>
  <c r="M689" i="2"/>
  <c r="T881" i="2"/>
  <c r="O907" i="2"/>
  <c r="AO907" i="2" s="1"/>
  <c r="N718" i="2"/>
  <c r="AN718" i="2" s="1"/>
  <c r="Q627" i="2"/>
  <c r="T878" i="2"/>
  <c r="P835" i="2"/>
  <c r="U661" i="2"/>
  <c r="T759" i="2"/>
  <c r="S816" i="2"/>
  <c r="U576" i="2"/>
  <c r="T681" i="2"/>
  <c r="R822" i="2"/>
  <c r="U988" i="2"/>
  <c r="W558" i="2"/>
  <c r="M615" i="2"/>
  <c r="W662" i="2"/>
  <c r="Q796" i="2"/>
  <c r="W887" i="2"/>
  <c r="W539" i="2"/>
  <c r="U897" i="2"/>
  <c r="R911" i="2"/>
  <c r="P775" i="2"/>
  <c r="M542" i="2"/>
  <c r="S685" i="2"/>
  <c r="N643" i="2"/>
  <c r="AN643" i="2" s="1"/>
  <c r="P639" i="2"/>
  <c r="M947" i="2"/>
  <c r="U505" i="2"/>
  <c r="R974" i="2"/>
  <c r="N618" i="2"/>
  <c r="AN618" i="2" s="1"/>
  <c r="N526" i="2"/>
  <c r="AN526" i="2" s="1"/>
  <c r="N966" i="2"/>
  <c r="AN966" i="2" s="1"/>
  <c r="S682" i="2"/>
  <c r="N610" i="2"/>
  <c r="AN610" i="2" s="1"/>
  <c r="N970" i="2"/>
  <c r="AN970" i="2" s="1"/>
  <c r="T528" i="2"/>
  <c r="P593" i="2"/>
  <c r="W626" i="2"/>
  <c r="M630" i="2"/>
  <c r="U811" i="2"/>
  <c r="U861" i="2"/>
  <c r="M909" i="2"/>
  <c r="S895" i="2"/>
  <c r="S911" i="2"/>
  <c r="Q670" i="2"/>
  <c r="O932" i="2"/>
  <c r="AO932" i="2" s="1"/>
  <c r="U984" i="2"/>
  <c r="O999" i="2"/>
  <c r="AO999" i="2" s="1"/>
  <c r="O843" i="2"/>
  <c r="AO843" i="2" s="1"/>
  <c r="U699" i="2"/>
  <c r="R509" i="2"/>
  <c r="Q562" i="2"/>
  <c r="Q695" i="2"/>
  <c r="Q929" i="2"/>
  <c r="M871" i="2"/>
  <c r="R944" i="2"/>
  <c r="S842" i="2"/>
  <c r="W748" i="2"/>
  <c r="H836" i="2"/>
  <c r="M525" i="2"/>
  <c r="N533" i="2"/>
  <c r="Q653" i="2"/>
  <c r="N536" i="2"/>
  <c r="AN536" i="2" s="1"/>
  <c r="R742" i="2"/>
  <c r="N602" i="2"/>
  <c r="AN602" i="2" s="1"/>
  <c r="H860" i="2"/>
  <c r="O890" i="2"/>
  <c r="AO890" i="2" s="1"/>
  <c r="O556" i="2"/>
  <c r="AO556" i="2" s="1"/>
  <c r="M735" i="2"/>
  <c r="P984" i="2"/>
  <c r="H547" i="2"/>
  <c r="W524" i="2"/>
  <c r="S826" i="2"/>
  <c r="W622" i="2"/>
  <c r="N934" i="2"/>
  <c r="AN934" i="2" s="1"/>
  <c r="T572" i="2"/>
  <c r="T935" i="2"/>
  <c r="S509" i="2"/>
  <c r="M718" i="2"/>
  <c r="R834" i="2"/>
  <c r="S597" i="2"/>
  <c r="O706" i="2"/>
  <c r="AO706" i="2" s="1"/>
  <c r="S767" i="2"/>
  <c r="S864" i="2"/>
  <c r="R719" i="2"/>
  <c r="S595" i="2"/>
  <c r="S873" i="2"/>
  <c r="O928" i="2"/>
  <c r="AO928" i="2" s="1"/>
  <c r="N760" i="2"/>
  <c r="AN760" i="2" s="1"/>
  <c r="M790" i="2"/>
  <c r="S533" i="2"/>
  <c r="W502" i="2"/>
  <c r="O543" i="2"/>
  <c r="T722" i="2"/>
  <c r="U715" i="2"/>
  <c r="W926" i="2"/>
  <c r="H591" i="2"/>
  <c r="U989" i="2"/>
  <c r="U986" i="2"/>
  <c r="S896" i="2"/>
  <c r="W758" i="2"/>
  <c r="Q846" i="2"/>
  <c r="H750" i="2"/>
  <c r="U931" i="2"/>
  <c r="M822" i="2"/>
  <c r="T854" i="2"/>
  <c r="R995" i="2"/>
  <c r="M635" i="2"/>
  <c r="S951" i="2"/>
  <c r="Q766" i="2"/>
  <c r="O921" i="2"/>
  <c r="AO921" i="2" s="1"/>
  <c r="H733" i="2"/>
  <c r="P548" i="2"/>
  <c r="P944" i="2"/>
  <c r="M501" i="2"/>
  <c r="O725" i="2"/>
  <c r="AO725" i="2" s="1"/>
  <c r="M943" i="2"/>
  <c r="N750" i="2"/>
  <c r="AN750" i="2" s="1"/>
  <c r="T904" i="2"/>
  <c r="P871" i="2"/>
  <c r="N686" i="2"/>
  <c r="AN686" i="2" s="1"/>
  <c r="Q542" i="2"/>
  <c r="P607" i="2"/>
  <c r="O769" i="2"/>
  <c r="AO769" i="2" s="1"/>
  <c r="O757" i="2"/>
  <c r="AO757" i="2" s="1"/>
  <c r="S871" i="2"/>
  <c r="N681" i="2"/>
  <c r="AN681" i="2" s="1"/>
  <c r="R839" i="2"/>
  <c r="M583" i="2"/>
  <c r="T519" i="2"/>
  <c r="Q532" i="2"/>
  <c r="N764" i="2"/>
  <c r="AN764" i="2" s="1"/>
  <c r="O700" i="2"/>
  <c r="AO700" i="2" s="1"/>
  <c r="O675" i="2"/>
  <c r="AO675" i="2" s="1"/>
  <c r="U674" i="2"/>
  <c r="R926" i="2"/>
  <c r="T557" i="2"/>
  <c r="O536" i="2"/>
  <c r="AO536" i="2" s="1"/>
  <c r="Q599" i="2"/>
  <c r="T756" i="2"/>
  <c r="S975" i="2"/>
  <c r="O671" i="2"/>
  <c r="AO671" i="2" s="1"/>
  <c r="W565" i="2"/>
  <c r="M569" i="2"/>
  <c r="R613" i="2"/>
  <c r="N898" i="2"/>
  <c r="AN898" i="2" s="1"/>
  <c r="T782" i="2"/>
  <c r="W717" i="2"/>
  <c r="W745" i="2"/>
  <c r="T771" i="2"/>
  <c r="Q992" i="2"/>
  <c r="U785" i="2"/>
  <c r="R979" i="2"/>
  <c r="N835" i="2"/>
  <c r="AN835" i="2" s="1"/>
  <c r="M589" i="2"/>
  <c r="M537" i="2"/>
  <c r="R955" i="2"/>
  <c r="S530" i="2"/>
  <c r="R910" i="2"/>
  <c r="T697" i="2"/>
  <c r="M803" i="2"/>
  <c r="M843" i="2"/>
  <c r="N658" i="2"/>
  <c r="AN658" i="2" s="1"/>
  <c r="P501" i="2"/>
  <c r="O652" i="2"/>
  <c r="H766" i="2"/>
  <c r="N860" i="2"/>
  <c r="AN860" i="2" s="1"/>
  <c r="U982" i="2"/>
  <c r="O563" i="2"/>
  <c r="AO563" i="2" s="1"/>
  <c r="T593" i="2"/>
  <c r="O791" i="2"/>
  <c r="AO791" i="2" s="1"/>
  <c r="O918" i="2"/>
  <c r="AO918" i="2" s="1"/>
  <c r="Q955" i="2"/>
  <c r="S624" i="2"/>
  <c r="U892" i="2"/>
  <c r="T812" i="2"/>
  <c r="O507" i="2"/>
  <c r="AO507" i="2" s="1"/>
  <c r="S920" i="2"/>
  <c r="O892" i="2"/>
  <c r="AO892" i="2" s="1"/>
  <c r="S562" i="2"/>
  <c r="U525" i="2"/>
  <c r="Q726" i="2"/>
  <c r="R714" i="2"/>
  <c r="P976" i="2"/>
  <c r="W628" i="2"/>
  <c r="W846" i="2"/>
  <c r="W929" i="2"/>
  <c r="M620" i="2"/>
  <c r="N851" i="2"/>
  <c r="U582" i="2"/>
  <c r="O589" i="2"/>
  <c r="AO589" i="2" s="1"/>
  <c r="W788" i="2"/>
  <c r="T506" i="2"/>
  <c r="U906" i="2"/>
  <c r="T969" i="2"/>
  <c r="U645" i="2"/>
  <c r="N583" i="2"/>
  <c r="AN583" i="2" s="1"/>
  <c r="U529" i="2"/>
  <c r="R764" i="2"/>
  <c r="R508" i="2"/>
  <c r="R796" i="2"/>
  <c r="T739" i="2"/>
  <c r="N987" i="2"/>
  <c r="AN987" i="2" s="1"/>
  <c r="Q934" i="2"/>
  <c r="T731" i="2"/>
  <c r="W646" i="2"/>
  <c r="O861" i="2"/>
  <c r="AO861" i="2" s="1"/>
  <c r="R569" i="2"/>
  <c r="T589" i="2"/>
  <c r="N634" i="2"/>
  <c r="AN634" i="2" s="1"/>
  <c r="O641" i="2"/>
  <c r="AO641" i="2" s="1"/>
  <c r="H585" i="2"/>
  <c r="Q839" i="2"/>
  <c r="P524" i="2"/>
  <c r="U509" i="2"/>
  <c r="Q567" i="2"/>
  <c r="R504" i="2"/>
  <c r="O643" i="2"/>
  <c r="AO643" i="2" s="1"/>
  <c r="R604" i="2"/>
  <c r="R972" i="2"/>
  <c r="O540" i="2"/>
  <c r="AO540" i="2" s="1"/>
  <c r="W912" i="2"/>
  <c r="U561" i="2"/>
  <c r="Q503" i="2"/>
  <c r="O548" i="2"/>
  <c r="AO548" i="2" s="1"/>
  <c r="M556" i="2"/>
  <c r="U627" i="2"/>
  <c r="W545" i="2"/>
  <c r="Q765" i="2"/>
  <c r="O537" i="2"/>
  <c r="AO537" i="2" s="1"/>
  <c r="W624" i="2"/>
  <c r="N549" i="2"/>
  <c r="AN549" i="2" s="1"/>
  <c r="W850" i="2"/>
  <c r="Q996" i="2"/>
  <c r="Q518" i="2"/>
  <c r="S723" i="2"/>
  <c r="U964" i="2"/>
  <c r="T522" i="2"/>
  <c r="R756" i="2"/>
  <c r="N831" i="2"/>
  <c r="AN831" i="2" s="1"/>
  <c r="N655" i="2"/>
  <c r="AN655" i="2" s="1"/>
  <c r="M795" i="2"/>
  <c r="R535" i="2"/>
  <c r="U756" i="2"/>
  <c r="N509" i="2"/>
  <c r="AN509" i="2" s="1"/>
  <c r="R521" i="2"/>
  <c r="W958" i="2"/>
  <c r="Q620" i="2"/>
  <c r="O613" i="2"/>
  <c r="AO613" i="2" s="1"/>
  <c r="S557" i="2"/>
  <c r="W892" i="2"/>
  <c r="T956" i="2"/>
  <c r="S550" i="2"/>
  <c r="Q596" i="2"/>
  <c r="N833" i="2"/>
  <c r="AN833" i="2" s="1"/>
  <c r="P836" i="2"/>
  <c r="P638" i="2"/>
  <c r="T515" i="2"/>
  <c r="N848" i="2"/>
  <c r="AN848" i="2" s="1"/>
  <c r="M518" i="2"/>
  <c r="Q649" i="2"/>
  <c r="P815" i="2"/>
  <c r="W689" i="2"/>
  <c r="W934" i="2"/>
  <c r="H844" i="2"/>
  <c r="W959" i="2"/>
  <c r="W651" i="2"/>
  <c r="O739" i="2"/>
  <c r="AO739" i="2" s="1"/>
  <c r="N546" i="2"/>
  <c r="AN546" i="2" s="1"/>
  <c r="U789" i="2"/>
  <c r="W570" i="2"/>
  <c r="S968" i="2"/>
  <c r="M698" i="2"/>
  <c r="U887" i="2"/>
  <c r="H556" i="2"/>
  <c r="N929" i="2"/>
  <c r="AN929" i="2" s="1"/>
  <c r="W550" i="2"/>
  <c r="S877" i="2"/>
  <c r="M726" i="2"/>
  <c r="P979" i="2"/>
  <c r="Q752" i="2"/>
  <c r="U542" i="2"/>
  <c r="W905" i="2"/>
  <c r="R553" i="2"/>
  <c r="P787" i="2"/>
  <c r="T512" i="2"/>
  <c r="R959" i="2"/>
  <c r="R597" i="2"/>
  <c r="W614" i="2"/>
  <c r="Q523" i="2"/>
  <c r="T752" i="2"/>
  <c r="U606" i="2"/>
  <c r="M746" i="2"/>
  <c r="U720" i="2"/>
  <c r="U952" i="2"/>
  <c r="Q657" i="2"/>
  <c r="S737" i="2"/>
  <c r="M893" i="2"/>
  <c r="T502" i="2"/>
  <c r="P852" i="2"/>
  <c r="T695" i="2"/>
  <c r="H587" i="2"/>
  <c r="P650" i="2"/>
  <c r="P692" i="2"/>
  <c r="W525" i="2"/>
  <c r="T523" i="2"/>
  <c r="S902" i="2"/>
  <c r="O922" i="2"/>
  <c r="AO922" i="2" s="1"/>
  <c r="T536" i="2"/>
  <c r="W922" i="2"/>
  <c r="T930" i="2"/>
  <c r="U729" i="2"/>
  <c r="N538" i="2"/>
  <c r="AN538" i="2" s="1"/>
  <c r="U534" i="2"/>
  <c r="M506" i="2"/>
  <c r="Q958" i="2"/>
  <c r="W888" i="2"/>
  <c r="O634" i="2"/>
  <c r="AO634" i="2" s="1"/>
  <c r="H520" i="2"/>
  <c r="R658" i="2"/>
  <c r="O830" i="2"/>
  <c r="AO830" i="2" s="1"/>
  <c r="T809" i="2"/>
  <c r="R576" i="2"/>
  <c r="M619" i="2"/>
  <c r="P700" i="2"/>
  <c r="R762" i="2"/>
  <c r="O651" i="2"/>
  <c r="AO651" i="2" s="1"/>
  <c r="T542" i="2"/>
  <c r="N739" i="2"/>
  <c r="AN739" i="2" s="1"/>
  <c r="T905" i="2"/>
  <c r="N581" i="2"/>
  <c r="AN581" i="2" s="1"/>
  <c r="O899" i="2"/>
  <c r="AO899" i="2" s="1"/>
  <c r="W548" i="2"/>
  <c r="S515" i="2"/>
  <c r="O832" i="2"/>
  <c r="AO832" i="2" s="1"/>
  <c r="R737" i="2"/>
  <c r="R830" i="2"/>
  <c r="P906" i="2"/>
  <c r="O604" i="2"/>
  <c r="AO604" i="2" s="1"/>
  <c r="P963" i="2"/>
  <c r="S700" i="2"/>
  <c r="M733" i="2"/>
  <c r="S978" i="2"/>
  <c r="U694" i="2"/>
  <c r="S828" i="2"/>
  <c r="R856" i="2"/>
  <c r="U590" i="2"/>
  <c r="R806" i="2"/>
  <c r="P732" i="2"/>
  <c r="S939" i="2"/>
  <c r="T547" i="2"/>
  <c r="P897" i="2"/>
  <c r="O698" i="2"/>
  <c r="AO698" i="2" s="1"/>
  <c r="M545" i="2"/>
  <c r="T899" i="2"/>
  <c r="M845" i="2"/>
  <c r="S908" i="2"/>
  <c r="H951" i="2"/>
  <c r="T687" i="2"/>
  <c r="P868" i="2"/>
  <c r="N731" i="2"/>
  <c r="AN731" i="2" s="1"/>
  <c r="R531" i="2"/>
  <c r="N501" i="2"/>
  <c r="AN501" i="2" s="1"/>
  <c r="W997" i="2"/>
  <c r="H987" i="2"/>
  <c r="P929" i="2"/>
  <c r="M505" i="2"/>
  <c r="M877" i="2"/>
  <c r="Q999" i="2"/>
  <c r="M720" i="2"/>
  <c r="M658" i="2"/>
  <c r="N830" i="2"/>
  <c r="AN830" i="2" s="1"/>
  <c r="W509" i="2"/>
  <c r="R845" i="2"/>
  <c r="T817" i="2"/>
  <c r="N520" i="2"/>
  <c r="AN520" i="2" s="1"/>
  <c r="S614" i="2"/>
  <c r="O600" i="2"/>
  <c r="AO600" i="2" s="1"/>
  <c r="U738" i="2"/>
  <c r="O546" i="2"/>
  <c r="AO546" i="2" s="1"/>
  <c r="O877" i="2"/>
  <c r="W602" i="2"/>
  <c r="O798" i="2"/>
  <c r="AO798" i="2" s="1"/>
  <c r="R885" i="2"/>
  <c r="W993" i="2"/>
  <c r="M636" i="2"/>
  <c r="P954" i="2"/>
  <c r="T946" i="2"/>
  <c r="U918" i="2"/>
  <c r="R988" i="2"/>
  <c r="S504" i="2"/>
  <c r="U662" i="2"/>
  <c r="H994" i="2"/>
  <c r="O521" i="2"/>
  <c r="AO521" i="2" s="1"/>
  <c r="T876" i="2"/>
  <c r="N975" i="2"/>
  <c r="AN975" i="2" s="1"/>
  <c r="U562" i="2"/>
  <c r="O670" i="2"/>
  <c r="AO670" i="2" s="1"/>
  <c r="S631" i="2"/>
  <c r="H853" i="2"/>
  <c r="O503" i="2"/>
  <c r="AO503" i="2" s="1"/>
  <c r="N931" i="2"/>
  <c r="AN931" i="2" s="1"/>
  <c r="P521" i="2"/>
  <c r="M609" i="2"/>
  <c r="T934" i="2"/>
  <c r="R849" i="2"/>
  <c r="O564" i="2"/>
  <c r="AO564" i="2" s="1"/>
  <c r="M627" i="2"/>
  <c r="O691" i="2"/>
  <c r="AO691" i="2" s="1"/>
  <c r="Q677" i="2"/>
  <c r="M924" i="2"/>
  <c r="S821" i="2"/>
  <c r="Q795" i="2"/>
  <c r="N969" i="2"/>
  <c r="AN969" i="2" s="1"/>
  <c r="S688" i="2"/>
  <c r="P676" i="2"/>
  <c r="P943" i="2"/>
  <c r="N523" i="2"/>
  <c r="AN523" i="2" s="1"/>
  <c r="P861" i="2"/>
  <c r="N935" i="2"/>
  <c r="M509" i="2"/>
  <c r="M797" i="2"/>
  <c r="T612" i="2"/>
  <c r="R703" i="2"/>
  <c r="N566" i="2"/>
  <c r="AN566" i="2" s="1"/>
  <c r="H563" i="2"/>
  <c r="U965" i="2"/>
  <c r="O650" i="2"/>
  <c r="AO650" i="2" s="1"/>
  <c r="Q707" i="2"/>
  <c r="H645" i="2"/>
  <c r="P622" i="2"/>
  <c r="W683" i="2"/>
  <c r="O527" i="2"/>
  <c r="AO527" i="2" s="1"/>
  <c r="O983" i="2"/>
  <c r="AO983" i="2" s="1"/>
  <c r="M551" i="2"/>
  <c r="M994" i="2"/>
  <c r="W597" i="2"/>
  <c r="H514" i="2"/>
  <c r="R549" i="2"/>
  <c r="R599" i="2"/>
  <c r="N707" i="2"/>
  <c r="AN707" i="2" s="1"/>
  <c r="S889" i="2"/>
  <c r="P873" i="2"/>
  <c r="R605" i="2"/>
  <c r="Q526" i="2"/>
  <c r="Q595" i="2"/>
  <c r="H904" i="2"/>
  <c r="T630" i="2"/>
  <c r="U515" i="2"/>
  <c r="U912" i="2"/>
  <c r="O753" i="2"/>
  <c r="AO753" i="2" s="1"/>
  <c r="N823" i="2"/>
  <c r="AN823" i="2" s="1"/>
  <c r="M616" i="2"/>
  <c r="S532" i="2"/>
  <c r="O743" i="2"/>
  <c r="AO743" i="2" s="1"/>
  <c r="T537" i="2"/>
  <c r="W909" i="2"/>
  <c r="P714" i="2"/>
  <c r="S739" i="2"/>
  <c r="H897" i="2"/>
  <c r="U686" i="2"/>
  <c r="N999" i="2"/>
  <c r="AN999" i="2" s="1"/>
  <c r="T715" i="2"/>
  <c r="P539" i="2"/>
  <c r="Q734" i="2"/>
  <c r="R804" i="2"/>
  <c r="W829" i="2"/>
  <c r="O550" i="2"/>
  <c r="N992" i="2"/>
  <c r="AN992" i="2" s="1"/>
  <c r="W708" i="2"/>
  <c r="N889" i="2"/>
  <c r="AN889" i="2" s="1"/>
  <c r="T889" i="2"/>
  <c r="M623" i="2"/>
  <c r="R526" i="2"/>
  <c r="T718" i="2"/>
  <c r="H641" i="2"/>
  <c r="U818" i="2"/>
  <c r="O596" i="2"/>
  <c r="AO596" i="2" s="1"/>
  <c r="U773" i="2"/>
  <c r="O683" i="2"/>
  <c r="AO683" i="2" s="1"/>
  <c r="U547" i="2"/>
  <c r="T887" i="2"/>
  <c r="O711" i="2"/>
  <c r="AO711" i="2" s="1"/>
  <c r="Q535" i="2"/>
  <c r="S722" i="2"/>
  <c r="M596" i="2"/>
  <c r="Q974" i="2"/>
  <c r="U709" i="2"/>
  <c r="O541" i="2"/>
  <c r="AO541" i="2" s="1"/>
  <c r="P737" i="2"/>
  <c r="H870" i="2"/>
  <c r="S904" i="2"/>
  <c r="O905" i="2"/>
  <c r="U747" i="2"/>
  <c r="H800" i="2"/>
  <c r="W841" i="2"/>
  <c r="P876" i="2"/>
  <c r="W845" i="2"/>
  <c r="H896" i="2"/>
  <c r="R879" i="2"/>
  <c r="S792" i="2"/>
  <c r="N951" i="2"/>
  <c r="AN951" i="2" s="1"/>
  <c r="R993" i="2"/>
  <c r="W776" i="2"/>
  <c r="S734" i="2"/>
  <c r="T864" i="2"/>
  <c r="O585" i="2"/>
  <c r="AO585" i="2" s="1"/>
  <c r="W770" i="2"/>
  <c r="T849" i="2"/>
  <c r="O501" i="2"/>
  <c r="AO501" i="2" s="1"/>
  <c r="W751" i="2"/>
  <c r="N587" i="2"/>
  <c r="AN587" i="2" s="1"/>
  <c r="W517" i="2"/>
  <c r="P519" i="2"/>
  <c r="U585" i="2"/>
  <c r="R654" i="2"/>
  <c r="W707" i="2"/>
  <c r="Q716" i="2"/>
  <c r="S961" i="2"/>
  <c r="R770" i="2"/>
  <c r="M857" i="2"/>
  <c r="O786" i="2"/>
  <c r="AO786" i="2" s="1"/>
  <c r="H728" i="2"/>
  <c r="P818" i="2"/>
  <c r="T989" i="2"/>
  <c r="Q972" i="2"/>
  <c r="T559" i="2"/>
  <c r="W654" i="2"/>
  <c r="Q769" i="2"/>
  <c r="U749" i="2"/>
  <c r="Q813" i="2"/>
  <c r="T699" i="2"/>
  <c r="Q741" i="2"/>
  <c r="P802" i="2"/>
  <c r="U764" i="2"/>
  <c r="N512" i="2"/>
  <c r="AN512" i="2" s="1"/>
  <c r="T558" i="2"/>
  <c r="W811" i="2"/>
  <c r="M782" i="2"/>
  <c r="M640" i="2"/>
  <c r="R527" i="2"/>
  <c r="R732" i="2"/>
  <c r="Q505" i="2"/>
  <c r="P864" i="2"/>
  <c r="O504" i="2"/>
  <c r="AO504" i="2" s="1"/>
  <c r="R721" i="2"/>
  <c r="R608" i="2"/>
  <c r="Q574" i="2"/>
  <c r="M541" i="2"/>
  <c r="Q803" i="2"/>
  <c r="O701" i="2"/>
  <c r="AO701" i="2" s="1"/>
  <c r="W561" i="2"/>
  <c r="U774" i="2"/>
  <c r="H710" i="2"/>
  <c r="P915" i="2"/>
  <c r="Q588" i="2"/>
  <c r="T518" i="2"/>
  <c r="U577" i="2"/>
  <c r="T732" i="2"/>
  <c r="H628" i="2"/>
  <c r="N873" i="2"/>
  <c r="AN873" i="2" s="1"/>
  <c r="P982" i="2"/>
  <c r="S984" i="2"/>
  <c r="Q693" i="2"/>
  <c r="U784" i="2"/>
  <c r="T540" i="2"/>
  <c r="N516" i="2"/>
  <c r="AN516" i="2" s="1"/>
  <c r="S733" i="2"/>
  <c r="W903" i="2"/>
  <c r="P736" i="2"/>
  <c r="P958" i="2"/>
  <c r="P505" i="2"/>
  <c r="Q757" i="2"/>
  <c r="U706" i="2"/>
  <c r="P887" i="2"/>
  <c r="R923" i="2"/>
  <c r="T983" i="2"/>
  <c r="H865" i="2"/>
  <c r="P598" i="2"/>
  <c r="R841" i="2"/>
  <c r="Q931" i="2"/>
  <c r="M691" i="2"/>
  <c r="W771" i="2"/>
  <c r="W802" i="2"/>
  <c r="U864" i="2"/>
  <c r="N758" i="2"/>
  <c r="AN758" i="2" s="1"/>
  <c r="P769" i="2"/>
  <c r="O984" i="2"/>
  <c r="AO984" i="2" s="1"/>
  <c r="R502" i="2"/>
  <c r="W507" i="2"/>
  <c r="M850" i="2"/>
  <c r="T717" i="2"/>
  <c r="O642" i="2"/>
  <c r="AO642" i="2" s="1"/>
  <c r="Q898" i="2"/>
  <c r="O553" i="2"/>
  <c r="AO553" i="2" s="1"/>
  <c r="N950" i="2"/>
  <c r="AN950" i="2" s="1"/>
  <c r="U910" i="2"/>
  <c r="P725" i="2"/>
  <c r="T851" i="2"/>
  <c r="U879" i="2"/>
  <c r="Q679" i="2"/>
  <c r="P795" i="2"/>
  <c r="O936" i="2"/>
  <c r="AO936" i="2" s="1"/>
  <c r="O808" i="2"/>
  <c r="O624" i="2"/>
  <c r="AO624" i="2" s="1"/>
  <c r="N963" i="2"/>
  <c r="AN963" i="2" s="1"/>
  <c r="R595" i="2"/>
  <c r="Q834" i="2"/>
  <c r="S953" i="2"/>
  <c r="M883" i="2"/>
  <c r="N998" i="2"/>
  <c r="AN998" i="2" s="1"/>
  <c r="R994" i="2"/>
  <c r="U609" i="2"/>
  <c r="S983" i="2"/>
  <c r="Q634" i="2"/>
  <c r="R893" i="2"/>
  <c r="P907" i="2"/>
  <c r="P653" i="2"/>
  <c r="O898" i="2"/>
  <c r="AO898" i="2" s="1"/>
  <c r="S986" i="2"/>
  <c r="R577" i="2"/>
  <c r="N810" i="2"/>
  <c r="AN810" i="2" s="1"/>
  <c r="N869" i="2"/>
  <c r="AN869" i="2" s="1"/>
  <c r="Q824" i="2"/>
  <c r="T533" i="2"/>
  <c r="P948" i="2"/>
  <c r="R699" i="2"/>
  <c r="S522" i="2"/>
  <c r="T586" i="2"/>
  <c r="U893" i="2"/>
  <c r="O814" i="2"/>
  <c r="AO814" i="2" s="1"/>
  <c r="N551" i="2"/>
  <c r="AN551" i="2" s="1"/>
  <c r="Q611" i="2"/>
  <c r="P559" i="2"/>
  <c r="T576" i="2"/>
  <c r="S892" i="2"/>
  <c r="H850" i="2"/>
  <c r="R656" i="2"/>
  <c r="H718" i="2"/>
  <c r="N510" i="2"/>
  <c r="AN510" i="2" s="1"/>
  <c r="W666" i="2"/>
  <c r="O524" i="2"/>
  <c r="AO524" i="2" s="1"/>
  <c r="M931" i="2"/>
  <c r="T951" i="2"/>
  <c r="U521" i="2"/>
  <c r="W857" i="2"/>
  <c r="O580" i="2"/>
  <c r="AO580" i="2" s="1"/>
  <c r="O601" i="2"/>
  <c r="AO601" i="2" s="1"/>
  <c r="M690" i="2"/>
  <c r="R943" i="2"/>
  <c r="S980" i="2"/>
  <c r="O871" i="2"/>
  <c r="AO871" i="2" s="1"/>
  <c r="Q576" i="2"/>
  <c r="M557" i="2"/>
  <c r="Q865" i="2"/>
  <c r="Q672" i="2"/>
  <c r="W668" i="2"/>
  <c r="S796" i="2"/>
  <c r="S743" i="2"/>
  <c r="S517" i="2"/>
  <c r="H884" i="2"/>
  <c r="Q944" i="2"/>
  <c r="U955" i="2"/>
  <c r="M587" i="2"/>
  <c r="U787" i="2"/>
  <c r="T886" i="2"/>
  <c r="T721" i="2"/>
  <c r="T688" i="2"/>
  <c r="P762" i="2"/>
  <c r="P997" i="2"/>
  <c r="S907" i="2"/>
  <c r="R586" i="2"/>
  <c r="S966" i="2"/>
  <c r="W578" i="2"/>
  <c r="U639" i="2"/>
  <c r="S555" i="2"/>
  <c r="T920" i="2"/>
  <c r="P711" i="2"/>
  <c r="R505" i="2"/>
  <c r="Q747" i="2"/>
  <c r="P655" i="2"/>
  <c r="S704" i="2"/>
  <c r="O745" i="2"/>
  <c r="AO745" i="2" s="1"/>
  <c r="P778" i="2"/>
  <c r="N505" i="2"/>
  <c r="O666" i="2"/>
  <c r="AO666" i="2" s="1"/>
  <c r="H507" i="2"/>
  <c r="W721" i="2"/>
  <c r="U920" i="2"/>
  <c r="R734" i="2"/>
  <c r="U877" i="2"/>
  <c r="R681" i="2"/>
  <c r="T513" i="2"/>
  <c r="T733" i="2"/>
  <c r="T527" i="2"/>
  <c r="O927" i="2"/>
  <c r="AO927" i="2" s="1"/>
  <c r="P566" i="2"/>
  <c r="H858" i="2"/>
  <c r="N570" i="2"/>
  <c r="AN570" i="2" s="1"/>
  <c r="U708" i="2"/>
  <c r="S521" i="2"/>
  <c r="P750" i="2"/>
  <c r="U826" i="2"/>
  <c r="W623" i="2"/>
  <c r="S639" i="2"/>
  <c r="W794" i="2"/>
  <c r="P939" i="2"/>
  <c r="U602" i="2"/>
  <c r="M880" i="2"/>
  <c r="S917" i="2"/>
  <c r="U647" i="2"/>
  <c r="N965" i="2"/>
  <c r="AN965" i="2" s="1"/>
  <c r="Q543" i="2"/>
  <c r="O597" i="2"/>
  <c r="AO597" i="2" s="1"/>
  <c r="Q589" i="2"/>
  <c r="N556" i="2"/>
  <c r="H796" i="2"/>
  <c r="T970" i="2"/>
  <c r="R835" i="2"/>
  <c r="U823" i="2"/>
  <c r="S834" i="2"/>
  <c r="P889" i="2"/>
  <c r="N529" i="2"/>
  <c r="AN529" i="2" s="1"/>
  <c r="Q640" i="2"/>
  <c r="N519" i="2"/>
  <c r="AN519" i="2" s="1"/>
  <c r="N573" i="2"/>
  <c r="AN573" i="2" s="1"/>
  <c r="O561" i="2"/>
  <c r="AO561" i="2" s="1"/>
  <c r="N577" i="2"/>
  <c r="AN577" i="2" s="1"/>
  <c r="U980" i="2"/>
  <c r="Q694" i="2"/>
  <c r="O767" i="2"/>
  <c r="AO767" i="2" s="1"/>
  <c r="P969" i="2"/>
  <c r="M884" i="2"/>
  <c r="R750" i="2"/>
  <c r="P620" i="2"/>
  <c r="O680" i="2"/>
  <c r="AO680" i="2" s="1"/>
  <c r="R773" i="2"/>
  <c r="Q533" i="2"/>
  <c r="N769" i="2"/>
  <c r="AN769" i="2" s="1"/>
  <c r="U832" i="2"/>
  <c r="Q937" i="2"/>
  <c r="H849" i="2"/>
  <c r="N956" i="2"/>
  <c r="AN956" i="2" s="1"/>
  <c r="O716" i="2"/>
  <c r="AO716" i="2" s="1"/>
  <c r="O1000" i="2"/>
  <c r="AO1000" i="2" s="1"/>
  <c r="S818" i="2"/>
  <c r="N863" i="2"/>
  <c r="AN863" i="2" s="1"/>
  <c r="P828" i="2"/>
  <c r="O638" i="2"/>
  <c r="N517" i="2"/>
  <c r="AN517" i="2" s="1"/>
  <c r="S784" i="2"/>
  <c r="T858" i="2"/>
  <c r="T836" i="2"/>
  <c r="N751" i="2"/>
  <c r="AN751" i="2" s="1"/>
  <c r="Q881" i="2"/>
  <c r="P579" i="2"/>
  <c r="N615" i="2"/>
  <c r="P535" i="2"/>
  <c r="U970" i="2"/>
  <c r="Q783" i="2"/>
  <c r="U641" i="2"/>
  <c r="U968" i="2"/>
  <c r="M859" i="2"/>
  <c r="O881" i="2"/>
  <c r="N916" i="2"/>
  <c r="AN916" i="2" s="1"/>
  <c r="N905" i="2"/>
  <c r="AN905" i="2" s="1"/>
  <c r="S942" i="2"/>
  <c r="N575" i="2"/>
  <c r="AN575" i="2" s="1"/>
  <c r="O847" i="2"/>
  <c r="AO847" i="2" s="1"/>
  <c r="M984" i="2"/>
  <c r="N532" i="2"/>
  <c r="AN532" i="2" s="1"/>
  <c r="O956" i="2"/>
  <c r="AO956" i="2" s="1"/>
  <c r="R674" i="2"/>
  <c r="P863" i="2"/>
  <c r="P972" i="2"/>
  <c r="W627" i="2"/>
  <c r="W540" i="2"/>
  <c r="P765" i="2"/>
  <c r="H883" i="2"/>
  <c r="W657" i="2"/>
  <c r="W756" i="2"/>
  <c r="R1000" i="2"/>
  <c r="Q546" i="2"/>
  <c r="N550" i="2"/>
  <c r="AN550" i="2" s="1"/>
  <c r="O900" i="2"/>
  <c r="AO900" i="2" s="1"/>
  <c r="W992" i="2"/>
  <c r="Q779" i="2"/>
  <c r="N743" i="2"/>
  <c r="P637" i="2"/>
  <c r="U593" i="2"/>
  <c r="S713" i="2"/>
  <c r="P534" i="2"/>
  <c r="U782" i="2"/>
  <c r="N925" i="2"/>
  <c r="AN925" i="2" s="1"/>
  <c r="W700" i="2"/>
  <c r="S573" i="2"/>
  <c r="S559" i="2"/>
  <c r="U665" i="2"/>
  <c r="T892" i="2"/>
  <c r="N778" i="2"/>
  <c r="AN778" i="2" s="1"/>
  <c r="N847" i="2"/>
  <c r="AN847" i="2" s="1"/>
  <c r="S715" i="2"/>
  <c r="S693" i="2"/>
  <c r="O815" i="2"/>
  <c r="P941" i="2"/>
  <c r="Q638" i="2"/>
  <c r="M510" i="2"/>
  <c r="W713" i="2"/>
  <c r="U704" i="2"/>
  <c r="U940" i="2"/>
  <c r="Q951" i="2"/>
  <c r="P879" i="2"/>
  <c r="M942" i="2"/>
  <c r="W572" i="2"/>
  <c r="W886" i="2"/>
  <c r="O797" i="2"/>
  <c r="AO797" i="2" s="1"/>
  <c r="M972" i="2"/>
  <c r="T879" i="2"/>
  <c r="R903" i="2"/>
  <c r="O835" i="2"/>
  <c r="AO835" i="2" s="1"/>
  <c r="Q866" i="2"/>
  <c r="W733" i="2"/>
  <c r="P953" i="2"/>
  <c r="P540" i="2"/>
  <c r="S900" i="2"/>
  <c r="P798" i="2"/>
  <c r="W914" i="2"/>
  <c r="H540" i="2"/>
  <c r="P927" i="2"/>
  <c r="O778" i="2"/>
  <c r="AO778" i="2" s="1"/>
  <c r="H985" i="2"/>
  <c r="N919" i="2"/>
  <c r="AN919" i="2" s="1"/>
  <c r="W880" i="2"/>
  <c r="N502" i="2"/>
  <c r="AN502" i="2" s="1"/>
  <c r="Q927" i="2"/>
  <c r="P781" i="2"/>
  <c r="N689" i="2"/>
  <c r="N926" i="2"/>
  <c r="AN926" i="2" s="1"/>
  <c r="N599" i="2"/>
  <c r="AN599" i="2" s="1"/>
  <c r="P508" i="2"/>
  <c r="P908" i="2"/>
  <c r="R866" i="2"/>
  <c r="S608" i="2"/>
  <c r="Q812" i="2"/>
  <c r="W901" i="2"/>
  <c r="R797" i="2"/>
  <c r="O966" i="2"/>
  <c r="AO966" i="2" s="1"/>
  <c r="T650" i="2"/>
  <c r="S909" i="2"/>
  <c r="M953" i="2"/>
  <c r="O661" i="2"/>
  <c r="AO661" i="2" s="1"/>
  <c r="Q970" i="2"/>
  <c r="U626" i="2"/>
  <c r="T877" i="2"/>
  <c r="N927" i="2"/>
  <c r="AN927" i="2" s="1"/>
  <c r="U961" i="2"/>
  <c r="S824" i="2"/>
  <c r="W699" i="2"/>
  <c r="P520" i="2"/>
  <c r="U794" i="2"/>
  <c r="N821" i="2"/>
  <c r="AN821" i="2" s="1"/>
  <c r="O963" i="2"/>
  <c r="AO963" i="2" s="1"/>
  <c r="H571" i="2"/>
  <c r="S869" i="2"/>
  <c r="H804" i="2"/>
  <c r="N867" i="2"/>
  <c r="AN867" i="2" s="1"/>
  <c r="N829" i="2"/>
  <c r="AN829" i="2" s="1"/>
  <c r="N719" i="2"/>
  <c r="U523" i="2"/>
  <c r="T707" i="2"/>
  <c r="S686" i="2"/>
  <c r="Q946" i="2"/>
  <c r="P820" i="2"/>
  <c r="H909" i="2"/>
  <c r="T554" i="2"/>
  <c r="N862" i="2"/>
  <c r="AN862" i="2" s="1"/>
  <c r="O566" i="2"/>
  <c r="AO566" i="2" s="1"/>
  <c r="R525" i="2"/>
  <c r="M646" i="2"/>
  <c r="T569" i="2"/>
  <c r="U726" i="2"/>
  <c r="R898" i="2"/>
  <c r="P552" i="2"/>
  <c r="S778" i="2"/>
  <c r="W930" i="2"/>
  <c r="N638" i="2"/>
  <c r="AN638" i="2" s="1"/>
  <c r="M681" i="2"/>
  <c r="U935" i="2"/>
  <c r="N765" i="2"/>
  <c r="AN765" i="2" s="1"/>
  <c r="Q949" i="2"/>
  <c r="P789" i="2"/>
  <c r="M570" i="2"/>
  <c r="U578" i="2"/>
  <c r="O677" i="2"/>
  <c r="AO677" i="2" s="1"/>
  <c r="R760" i="2"/>
  <c r="T880" i="2"/>
  <c r="R651" i="2"/>
  <c r="T992" i="2"/>
  <c r="P511" i="2"/>
  <c r="O965" i="2"/>
  <c r="AO965" i="2" s="1"/>
  <c r="P952" i="2"/>
  <c r="S850" i="2"/>
  <c r="H920" i="2"/>
  <c r="N559" i="2"/>
  <c r="AN559" i="2" s="1"/>
  <c r="W719" i="2"/>
  <c r="H513" i="2"/>
  <c r="H632" i="2"/>
  <c r="N991" i="2"/>
  <c r="AN991" i="2" s="1"/>
  <c r="M923" i="2"/>
  <c r="H521" i="2"/>
  <c r="M724" i="2"/>
  <c r="R694" i="2"/>
  <c r="T907" i="2"/>
  <c r="U532" i="2"/>
  <c r="S936" i="2"/>
  <c r="R537" i="2"/>
  <c r="S957" i="2"/>
  <c r="P547" i="2"/>
  <c r="P641" i="2"/>
  <c r="U557" i="2"/>
  <c r="U637" i="2"/>
  <c r="O545" i="2"/>
  <c r="AO545" i="2" s="1"/>
  <c r="P844" i="2"/>
  <c r="T673" i="2"/>
  <c r="N880" i="2"/>
  <c r="AN880" i="2" s="1"/>
  <c r="Q510" i="2"/>
  <c r="P1000" i="2"/>
  <c r="H516" i="2"/>
  <c r="O639" i="2"/>
  <c r="AO639" i="2" s="1"/>
  <c r="O854" i="2"/>
  <c r="AO854" i="2" s="1"/>
  <c r="Q622" i="2"/>
  <c r="Q843" i="2"/>
  <c r="N912" i="2"/>
  <c r="N611" i="2"/>
  <c r="AN611" i="2" s="1"/>
  <c r="O704" i="2"/>
  <c r="AO704" i="2" s="1"/>
  <c r="N843" i="2"/>
  <c r="AN843" i="2" s="1"/>
  <c r="O703" i="2"/>
  <c r="AO703" i="2" s="1"/>
  <c r="T988" i="2"/>
  <c r="S582" i="2"/>
  <c r="O717" i="2"/>
  <c r="AO717" i="2" s="1"/>
  <c r="O696" i="2"/>
  <c r="N626" i="2"/>
  <c r="AN626" i="2" s="1"/>
  <c r="N850" i="2"/>
  <c r="AN850" i="2" s="1"/>
  <c r="S875" i="2"/>
  <c r="U875" i="2"/>
  <c r="S526" i="2"/>
  <c r="Q683" i="2"/>
  <c r="O957" i="2"/>
  <c r="AO957" i="2" s="1"/>
  <c r="M558" i="2"/>
  <c r="W537" i="2"/>
  <c r="Q820" i="2"/>
  <c r="Q969" i="2"/>
  <c r="M756" i="2"/>
  <c r="W860" i="2"/>
  <c r="R669" i="2"/>
  <c r="H794" i="2"/>
  <c r="U998" i="2"/>
  <c r="Q675" i="2"/>
  <c r="N819" i="2"/>
  <c r="AN819" i="2" s="1"/>
  <c r="R665" i="2"/>
  <c r="S852" i="2"/>
  <c r="W780" i="2"/>
  <c r="Q935" i="2"/>
  <c r="H927" i="2"/>
  <c r="W566" i="2"/>
  <c r="P503" i="2"/>
  <c r="Q721" i="2"/>
  <c r="H714" i="2"/>
  <c r="M740" i="2"/>
  <c r="O567" i="2"/>
  <c r="AO567" i="2" s="1"/>
  <c r="M502" i="2"/>
  <c r="Q837" i="2"/>
  <c r="U807" i="2"/>
  <c r="S963" i="2"/>
  <c r="P686" i="2"/>
  <c r="Q836" i="2"/>
  <c r="Q761" i="2"/>
  <c r="H643" i="2"/>
  <c r="R726" i="2"/>
  <c r="P905" i="2"/>
  <c r="Q540" i="2"/>
  <c r="R513" i="2"/>
  <c r="R987" i="2"/>
  <c r="Q930" i="2"/>
  <c r="H826" i="2"/>
  <c r="N586" i="2"/>
  <c r="AN586" i="2" s="1"/>
  <c r="M671" i="2"/>
  <c r="M585" i="2"/>
  <c r="Q776" i="2"/>
  <c r="P514" i="2"/>
  <c r="T663" i="2"/>
  <c r="N985" i="2"/>
  <c r="AN985" i="2" s="1"/>
  <c r="O726" i="2"/>
  <c r="AO726" i="2" s="1"/>
  <c r="N973" i="2"/>
  <c r="AN973" i="2" s="1"/>
  <c r="W547" i="2"/>
  <c r="R718" i="2"/>
  <c r="N922" i="2"/>
  <c r="W868" i="2"/>
  <c r="O790" i="2"/>
  <c r="AO790" i="2" s="1"/>
  <c r="H776" i="2"/>
  <c r="T634" i="2"/>
  <c r="M995" i="2"/>
  <c r="U838" i="2"/>
  <c r="W727" i="2"/>
  <c r="R708" i="2"/>
  <c r="M968" i="2"/>
  <c r="S880" i="2"/>
  <c r="T924" i="2"/>
  <c r="N547" i="2"/>
  <c r="AN547" i="2" s="1"/>
  <c r="P822" i="2"/>
  <c r="U837" i="2"/>
  <c r="R619" i="2"/>
  <c r="T914" i="2"/>
  <c r="W750" i="2"/>
  <c r="R638" i="2"/>
  <c r="H885" i="2"/>
  <c r="N503" i="2"/>
  <c r="AN503" i="2" s="1"/>
  <c r="R967" i="2"/>
  <c r="N928" i="2"/>
  <c r="AN928" i="2" s="1"/>
  <c r="U714" i="2"/>
  <c r="U527" i="2"/>
  <c r="P538" i="2"/>
  <c r="S576" i="2"/>
  <c r="Q538" i="2"/>
  <c r="U805" i="2"/>
  <c r="Q947" i="2"/>
  <c r="S531" i="2"/>
  <c r="W931" i="2"/>
  <c r="P616" i="2"/>
  <c r="W660" i="2"/>
  <c r="P821" i="2"/>
  <c r="T910" i="2"/>
  <c r="U555" i="2"/>
  <c r="S820" i="2"/>
  <c r="U779" i="2"/>
  <c r="U676" i="2"/>
  <c r="S529" i="2"/>
  <c r="R864" i="2"/>
  <c r="O579" i="2"/>
  <c r="AO579" i="2" s="1"/>
  <c r="P945" i="2"/>
  <c r="W908" i="2"/>
  <c r="O748" i="2"/>
  <c r="AO748" i="2" s="1"/>
  <c r="P564" i="2"/>
  <c r="R627" i="2"/>
  <c r="U923" i="2"/>
  <c r="O969" i="2"/>
  <c r="AO969" i="2" s="1"/>
  <c r="S642" i="2"/>
  <c r="M695" i="2"/>
  <c r="M897" i="2"/>
  <c r="S768" i="2"/>
  <c r="Q985" i="2"/>
  <c r="R934" i="2"/>
  <c r="Q539" i="2"/>
  <c r="Q876" i="2"/>
  <c r="S921" i="2"/>
  <c r="H752" i="2"/>
  <c r="N537" i="2"/>
  <c r="AN537" i="2" s="1"/>
  <c r="S913" i="2"/>
  <c r="N858" i="2"/>
  <c r="AN858" i="2" s="1"/>
  <c r="N855" i="2"/>
  <c r="W877" i="2"/>
  <c r="P881" i="2"/>
  <c r="P515" i="2"/>
  <c r="W869" i="2"/>
  <c r="W604" i="2"/>
  <c r="T957" i="2"/>
  <c r="M772" i="2"/>
  <c r="P875" i="2"/>
  <c r="S699" i="2"/>
  <c r="P812" i="2"/>
  <c r="Q850" i="2"/>
  <c r="M867" i="2"/>
  <c r="H756" i="2"/>
  <c r="R768" i="2"/>
  <c r="S814" i="2"/>
  <c r="O868" i="2"/>
  <c r="M503" i="2"/>
  <c r="W866" i="2"/>
  <c r="T842" i="2"/>
  <c r="N795" i="2"/>
  <c r="AN795" i="2" s="1"/>
  <c r="P854" i="2"/>
  <c r="S835" i="2"/>
  <c r="P588" i="2"/>
  <c r="H619" i="2"/>
  <c r="Q573" i="2"/>
  <c r="S806" i="2"/>
  <c r="M749" i="2"/>
  <c r="U841" i="2"/>
  <c r="M774" i="2"/>
  <c r="W890" i="2"/>
  <c r="O750" i="2"/>
  <c r="AO750" i="2" s="1"/>
  <c r="T530" i="2"/>
  <c r="M566" i="2"/>
  <c r="H774" i="2"/>
  <c r="W806" i="2"/>
  <c r="S740" i="2"/>
  <c r="H976" i="2"/>
  <c r="W790" i="2"/>
  <c r="Q565" i="2"/>
  <c r="P672" i="2"/>
  <c r="W740" i="2"/>
  <c r="N687" i="2"/>
  <c r="AN687" i="2" s="1"/>
  <c r="R976" i="2"/>
  <c r="W685" i="2"/>
  <c r="O623" i="2"/>
  <c r="AO623" i="2" s="1"/>
  <c r="T971" i="2"/>
  <c r="P888" i="2"/>
  <c r="S837" i="2"/>
  <c r="U993" i="2"/>
  <c r="R783" i="2"/>
  <c r="S523" i="2"/>
  <c r="M562" i="2"/>
  <c r="S959" i="2"/>
  <c r="H806" i="2"/>
  <c r="R682" i="2"/>
  <c r="S528" i="2"/>
  <c r="W833" i="2"/>
  <c r="U867" i="2"/>
  <c r="U990" i="2"/>
  <c r="O919" i="2"/>
  <c r="AO919" i="2" s="1"/>
  <c r="S865" i="2"/>
  <c r="P756" i="2"/>
  <c r="W965" i="2"/>
  <c r="S809" i="2"/>
  <c r="S751" i="2"/>
  <c r="S748" i="2"/>
  <c r="N961" i="2"/>
  <c r="AN961" i="2" s="1"/>
  <c r="U834" i="2"/>
  <c r="S577" i="2"/>
  <c r="R957" i="2"/>
  <c r="Q965" i="2"/>
  <c r="O530" i="2"/>
  <c r="AO530" i="2" s="1"/>
  <c r="P583" i="2"/>
  <c r="W940" i="2"/>
  <c r="T702" i="2"/>
  <c r="O679" i="2"/>
  <c r="AO679" i="2" s="1"/>
  <c r="W910" i="2"/>
  <c r="W864" i="2"/>
  <c r="O826" i="2"/>
  <c r="AO826" i="2" s="1"/>
  <c r="N909" i="2"/>
  <c r="AN909" i="2" s="1"/>
  <c r="O692" i="2"/>
  <c r="M507" i="2"/>
  <c r="P998" i="2"/>
  <c r="O985" i="2"/>
  <c r="AO985" i="2" s="1"/>
  <c r="T539" i="2"/>
  <c r="P645" i="2"/>
  <c r="W511" i="2"/>
  <c r="N757" i="2"/>
  <c r="AN757" i="2" s="1"/>
  <c r="R622" i="2"/>
  <c r="S927" i="2"/>
  <c r="R826" i="2"/>
  <c r="P743" i="2"/>
  <c r="R583" i="2"/>
  <c r="O827" i="2"/>
  <c r="AO827" i="2" s="1"/>
  <c r="W991" i="2"/>
  <c r="U793" i="2"/>
  <c r="T683" i="2"/>
  <c r="U536" i="2"/>
  <c r="P591" i="2"/>
  <c r="T948" i="2"/>
  <c r="P597" i="2"/>
  <c r="R884" i="2"/>
  <c r="O989" i="2"/>
  <c r="AO989" i="2" s="1"/>
  <c r="H569" i="2"/>
  <c r="O888" i="2"/>
  <c r="AO888" i="2" s="1"/>
  <c r="Q605" i="2"/>
  <c r="T790" i="2"/>
  <c r="N507" i="2"/>
  <c r="AN507" i="2" s="1"/>
  <c r="O764" i="2"/>
  <c r="AO764" i="2" s="1"/>
  <c r="N563" i="2"/>
  <c r="AN563" i="2" s="1"/>
  <c r="H647" i="2"/>
  <c r="T508" i="2"/>
  <c r="U816" i="2"/>
  <c r="U929" i="2"/>
  <c r="N944" i="2"/>
  <c r="AN944" i="2" s="1"/>
  <c r="R871" i="2"/>
  <c r="N690" i="2"/>
  <c r="AN690" i="2" s="1"/>
  <c r="U541" i="2"/>
  <c r="P937" i="2"/>
  <c r="T792" i="2"/>
  <c r="W978" i="2"/>
  <c r="Q536" i="2"/>
  <c r="O923" i="2"/>
  <c r="AO923" i="2" s="1"/>
  <c r="H722" i="2"/>
  <c r="S848" i="2"/>
  <c r="U858" i="2"/>
  <c r="O911" i="2"/>
  <c r="AO911" i="2" s="1"/>
  <c r="R564" i="2"/>
  <c r="T825" i="2"/>
  <c r="S537" i="2"/>
  <c r="O945" i="2"/>
  <c r="AO945" i="2" s="1"/>
  <c r="R964" i="2"/>
  <c r="Q861" i="2"/>
  <c r="N799" i="2"/>
  <c r="AN799" i="2" s="1"/>
  <c r="R685" i="2"/>
  <c r="N812" i="2"/>
  <c r="AN812" i="2" s="1"/>
  <c r="Q867" i="2"/>
  <c r="Q667" i="2"/>
  <c r="Q530" i="2"/>
  <c r="W506" i="2"/>
  <c r="O942" i="2"/>
  <c r="AO942" i="2" s="1"/>
  <c r="U528" i="2"/>
  <c r="N616" i="2"/>
  <c r="AN616" i="2" s="1"/>
  <c r="P658" i="2"/>
  <c r="N647" i="2"/>
  <c r="R819" i="2"/>
  <c r="H877" i="2"/>
  <c r="T955" i="2"/>
  <c r="M863" i="2"/>
  <c r="O950" i="2"/>
  <c r="AO950" i="2" s="1"/>
  <c r="Q717" i="2"/>
  <c r="P834" i="2"/>
  <c r="M669" i="2"/>
  <c r="O734" i="2"/>
  <c r="AO734" i="2" s="1"/>
  <c r="R772" i="2"/>
  <c r="O576" i="2"/>
  <c r="AO576" i="2" s="1"/>
  <c r="O857" i="2"/>
  <c r="AO857" i="2" s="1"/>
  <c r="U870" i="2"/>
  <c r="R956" i="2"/>
  <c r="R790" i="2"/>
  <c r="Q792" i="2"/>
  <c r="Q703" i="2"/>
  <c r="N594" i="2"/>
  <c r="AN594" i="2" s="1"/>
  <c r="N967" i="2"/>
  <c r="AN967" i="2" s="1"/>
  <c r="Q751" i="2"/>
  <c r="W523" i="2"/>
  <c r="U915" i="2"/>
  <c r="R863" i="2"/>
  <c r="W656" i="2"/>
  <c r="U766" i="2"/>
  <c r="U770" i="2"/>
  <c r="P892" i="2"/>
  <c r="W812" i="2"/>
  <c r="W885" i="2"/>
  <c r="R740" i="2"/>
  <c r="S940" i="2"/>
  <c r="R795" i="2"/>
  <c r="P872" i="2"/>
  <c r="S985" i="2"/>
  <c r="O845" i="2"/>
  <c r="AO845" i="2" s="1"/>
  <c r="P771" i="2"/>
  <c r="P933" i="2"/>
  <c r="M960" i="2"/>
  <c r="T865" i="2"/>
  <c r="P728" i="2"/>
  <c r="U850" i="2"/>
  <c r="R706" i="2"/>
  <c r="W664" i="2"/>
  <c r="N954" i="2"/>
  <c r="AN954" i="2" s="1"/>
  <c r="M954" i="2"/>
  <c r="P891" i="2"/>
  <c r="P727" i="2"/>
  <c r="W786" i="2"/>
  <c r="U949" i="2"/>
  <c r="T671" i="2"/>
  <c r="M918" i="2"/>
  <c r="M661" i="2"/>
  <c r="T895" i="2"/>
  <c r="T891" i="2"/>
  <c r="O895" i="2"/>
  <c r="AO895" i="2" s="1"/>
  <c r="O520" i="2"/>
  <c r="U759" i="2"/>
  <c r="U514" i="2"/>
  <c r="S948" i="2"/>
  <c r="H999" i="2"/>
  <c r="N720" i="2"/>
  <c r="AN720" i="2" s="1"/>
  <c r="N635" i="2"/>
  <c r="AN635" i="2" s="1"/>
  <c r="S655" i="2"/>
  <c r="N531" i="2"/>
  <c r="R969" i="2"/>
  <c r="U615" i="2"/>
  <c r="U941" i="2"/>
  <c r="U732" i="2"/>
  <c r="P652" i="2"/>
  <c r="Q541" i="2"/>
  <c r="R556" i="2"/>
  <c r="W792" i="2"/>
  <c r="M626" i="2"/>
  <c r="Q806" i="2"/>
  <c r="H784" i="2"/>
  <c r="W609" i="2"/>
  <c r="O987" i="2"/>
  <c r="AO987" i="2" s="1"/>
  <c r="T525" i="2"/>
  <c r="N620" i="2"/>
  <c r="AN620" i="2" s="1"/>
  <c r="Q732" i="2"/>
  <c r="W556" i="2"/>
  <c r="U501" i="2"/>
  <c r="H644" i="2"/>
  <c r="N684" i="2"/>
  <c r="AN684" i="2" s="1"/>
  <c r="T705" i="2"/>
  <c r="W1000" i="2"/>
  <c r="M916" i="2"/>
  <c r="T987" i="2"/>
  <c r="P693" i="2"/>
  <c r="R872" i="2"/>
  <c r="N582" i="2"/>
  <c r="AN582" i="2" s="1"/>
  <c r="U821" i="2"/>
  <c r="Q715" i="2"/>
  <c r="M964" i="2"/>
  <c r="O538" i="2"/>
  <c r="AO538" i="2" s="1"/>
  <c r="T990" i="2"/>
  <c r="H787" i="2"/>
  <c r="N601" i="2"/>
  <c r="AN601" i="2" s="1"/>
  <c r="Q838" i="2"/>
  <c r="O944" i="2"/>
  <c r="AO944" i="2" s="1"/>
  <c r="S947" i="2"/>
  <c r="R936" i="2"/>
  <c r="P595" i="2"/>
  <c r="H991" i="2"/>
  <c r="S976" i="2"/>
  <c r="P691" i="2"/>
  <c r="N612" i="2"/>
  <c r="AN612" i="2" s="1"/>
  <c r="R610" i="2"/>
  <c r="P663" i="2"/>
  <c r="N714" i="2"/>
  <c r="AN714" i="2" s="1"/>
  <c r="S553" i="2"/>
  <c r="O514" i="2"/>
  <c r="AO514" i="2" s="1"/>
  <c r="N933" i="2"/>
  <c r="AN933" i="2" s="1"/>
  <c r="W590" i="2"/>
  <c r="S755" i="2"/>
  <c r="U753" i="2"/>
  <c r="R693" i="2"/>
  <c r="H908" i="2"/>
  <c r="O825" i="2"/>
  <c r="R670" i="2"/>
  <c r="N983" i="2"/>
  <c r="AN983" i="2" s="1"/>
  <c r="R679" i="2"/>
  <c r="P585" i="2"/>
  <c r="S775" i="2"/>
  <c r="O528" i="2"/>
  <c r="AO528" i="2" s="1"/>
  <c r="N749" i="2"/>
  <c r="AN749" i="2" s="1"/>
  <c r="Q902" i="2"/>
  <c r="U580" i="2"/>
  <c r="H741" i="2"/>
  <c r="S989" i="2"/>
  <c r="W715" i="2"/>
  <c r="W554" i="2"/>
  <c r="H574" i="2"/>
  <c r="U695" i="2"/>
  <c r="M927" i="2"/>
  <c r="S549" i="2"/>
  <c r="Q786" i="2"/>
  <c r="N649" i="2"/>
  <c r="AN649" i="2" s="1"/>
  <c r="W636" i="2"/>
  <c r="N704" i="2"/>
  <c r="AN704" i="2" s="1"/>
  <c r="U584" i="2"/>
  <c r="Q556" i="2"/>
  <c r="P643" i="2"/>
  <c r="T985" i="2"/>
  <c r="O822" i="2"/>
  <c r="AO822" i="2" s="1"/>
  <c r="Q602" i="2"/>
  <c r="Q750" i="2"/>
  <c r="R883" i="2"/>
  <c r="R952" i="2"/>
  <c r="P799" i="2"/>
  <c r="N777" i="2"/>
  <c r="U809" i="2"/>
  <c r="P522" i="2"/>
  <c r="S813" i="2"/>
  <c r="U688" i="2"/>
  <c r="O730" i="2"/>
  <c r="AO730" i="2" s="1"/>
  <c r="H597" i="2"/>
  <c r="R727" i="2"/>
  <c r="O971" i="2"/>
  <c r="AO971" i="2" s="1"/>
  <c r="W950" i="2"/>
  <c r="Q853" i="2"/>
  <c r="T735" i="2"/>
  <c r="S661" i="2"/>
  <c r="W677" i="2"/>
  <c r="R876" i="2"/>
  <c r="O833" i="2"/>
  <c r="AO833" i="2" s="1"/>
  <c r="P558" i="2"/>
  <c r="W594" i="2"/>
  <c r="N576" i="2"/>
  <c r="AN576" i="2" s="1"/>
  <c r="H518" i="2"/>
  <c r="T714" i="2"/>
  <c r="S807" i="2"/>
  <c r="O839" i="2"/>
  <c r="AO839" i="2" s="1"/>
  <c r="H557" i="2"/>
  <c r="S988" i="2"/>
  <c r="P980" i="2"/>
  <c r="N730" i="2"/>
  <c r="AN730" i="2" s="1"/>
  <c r="U862" i="2"/>
  <c r="M806" i="2"/>
  <c r="W984" i="2"/>
  <c r="S859" i="2"/>
  <c r="R919" i="2"/>
  <c r="N675" i="2"/>
  <c r="AN675" i="2" s="1"/>
  <c r="O573" i="2"/>
  <c r="AO573" i="2" s="1"/>
  <c r="Q988" i="2"/>
  <c r="T997" i="2"/>
  <c r="R571" i="2"/>
  <c r="M543" i="2"/>
  <c r="R859" i="2"/>
  <c r="O902" i="2"/>
  <c r="AO902" i="2" s="1"/>
  <c r="T531" i="2"/>
  <c r="U643" i="2"/>
  <c r="Q568" i="2"/>
  <c r="R581" i="2"/>
  <c r="S906" i="2"/>
  <c r="S883" i="2"/>
  <c r="U671" i="2"/>
  <c r="Q662" i="2"/>
  <c r="M950" i="2"/>
  <c r="H797" i="2"/>
  <c r="M915" i="2"/>
  <c r="W737" i="2"/>
  <c r="P703" i="2"/>
  <c r="U518" i="2"/>
  <c r="Q981" i="2"/>
  <c r="P826" i="2"/>
  <c r="M521" i="2"/>
  <c r="S922" i="2"/>
  <c r="M780" i="2"/>
  <c r="R844" i="2"/>
  <c r="P681" i="2"/>
  <c r="M713" i="2"/>
  <c r="R901" i="2"/>
  <c r="O806" i="2"/>
  <c r="AO806" i="2" s="1"/>
  <c r="R511" i="2"/>
  <c r="S561" i="2"/>
  <c r="U683" i="2"/>
  <c r="P502" i="2"/>
  <c r="T704" i="2"/>
  <c r="H873" i="2"/>
  <c r="P648" i="2"/>
  <c r="P734" i="2"/>
  <c r="O953" i="2"/>
  <c r="H536" i="2"/>
  <c r="M700" i="2"/>
  <c r="Q860" i="2"/>
  <c r="Q980" i="2"/>
  <c r="O649" i="2"/>
  <c r="AO649" i="2" s="1"/>
  <c r="S587" i="2"/>
  <c r="Q906" i="2"/>
  <c r="T591" i="2"/>
  <c r="N564" i="2"/>
  <c r="AN564" i="2" s="1"/>
  <c r="W962" i="2"/>
  <c r="O720" i="2"/>
  <c r="AO720" i="2" s="1"/>
  <c r="R695" i="2"/>
  <c r="Q908" i="2"/>
  <c r="M940" i="2"/>
  <c r="P667" i="2"/>
  <c r="U797" i="2"/>
  <c r="H510" i="2"/>
  <c r="H711" i="2"/>
  <c r="U691" i="2"/>
  <c r="O841" i="2"/>
  <c r="AO841" i="2" s="1"/>
  <c r="W652" i="2"/>
  <c r="H940" i="2"/>
  <c r="T872" i="2"/>
  <c r="T563" i="2"/>
  <c r="Q623" i="2"/>
  <c r="M677" i="2"/>
  <c r="P748" i="2"/>
  <c r="Q502" i="2"/>
  <c r="N715" i="2"/>
  <c r="AN715" i="2" s="1"/>
  <c r="T535" i="2"/>
  <c r="T994" i="2"/>
  <c r="U734" i="2"/>
  <c r="N772" i="2"/>
  <c r="Q614" i="2"/>
  <c r="P989" i="2"/>
  <c r="U649" i="2"/>
  <c r="M768" i="2"/>
  <c r="P573" i="2"/>
  <c r="N642" i="2"/>
  <c r="AN642" i="2" s="1"/>
  <c r="O622" i="2"/>
  <c r="AO622" i="2" s="1"/>
  <c r="U937" i="2"/>
  <c r="R861" i="2"/>
  <c r="U895" i="2"/>
  <c r="H737" i="2"/>
  <c r="Q994" i="2"/>
  <c r="Q739" i="2"/>
  <c r="W692" i="2"/>
  <c r="N656" i="2"/>
  <c r="AN656" i="2" s="1"/>
  <c r="Q553" i="2"/>
  <c r="Q829" i="2"/>
  <c r="S794" i="2"/>
  <c r="N767" i="2"/>
  <c r="AN767" i="2" s="1"/>
  <c r="P612" i="2"/>
  <c r="W698" i="2"/>
  <c r="W613" i="2"/>
  <c r="Q557" i="2"/>
  <c r="N971" i="2"/>
  <c r="AN971" i="2" s="1"/>
  <c r="O977" i="2"/>
  <c r="AO977" i="2" s="1"/>
  <c r="M985" i="2"/>
  <c r="M648" i="2"/>
  <c r="H791" i="2"/>
  <c r="M631" i="2"/>
  <c r="P594" i="2"/>
  <c r="W650" i="2"/>
  <c r="W762" i="2"/>
  <c r="U506" i="2"/>
  <c r="U916" i="2"/>
  <c r="P619" i="2"/>
  <c r="M891" i="2"/>
  <c r="M875" i="2"/>
  <c r="Q537" i="2"/>
  <c r="O751" i="2"/>
  <c r="AO751" i="2" s="1"/>
  <c r="P758" i="2"/>
  <c r="H846" i="2"/>
  <c r="R671" i="2"/>
  <c r="P782" i="2"/>
  <c r="U951" i="2"/>
  <c r="Q687" i="2"/>
  <c r="N597" i="2"/>
  <c r="AN597" i="2" s="1"/>
  <c r="U939" i="2"/>
  <c r="M517" i="2"/>
  <c r="U908" i="2"/>
  <c r="Q590" i="2"/>
  <c r="P797" i="2"/>
  <c r="H995" i="2"/>
  <c r="U587" i="2"/>
  <c r="R860" i="2"/>
  <c r="Q561" i="2"/>
  <c r="U713" i="2"/>
  <c r="M904" i="2"/>
  <c r="S694" i="2"/>
  <c r="O910" i="2"/>
  <c r="AO910" i="2" s="1"/>
  <c r="T965" i="2"/>
  <c r="W996" i="2"/>
  <c r="P634" i="2"/>
  <c r="O609" i="2"/>
  <c r="AO609" i="2" s="1"/>
  <c r="W936" i="2"/>
  <c r="W822" i="2"/>
  <c r="W644" i="2"/>
  <c r="Q547" i="2"/>
  <c r="P899" i="2"/>
  <c r="H508" i="2"/>
  <c r="M796" i="2"/>
  <c r="W559" i="2"/>
  <c r="T804" i="2"/>
  <c r="N555" i="2"/>
  <c r="AN555" i="2" s="1"/>
  <c r="U570" i="2"/>
  <c r="W667" i="2"/>
  <c r="N838" i="2"/>
  <c r="AN838" i="2" s="1"/>
  <c r="Q744" i="2"/>
  <c r="S932" i="2"/>
  <c r="U796" i="2"/>
  <c r="W586" i="2"/>
  <c r="W687" i="2"/>
  <c r="S741" i="2"/>
  <c r="N904" i="2"/>
  <c r="AN904" i="2" s="1"/>
  <c r="N980" i="2"/>
  <c r="AN980" i="2" s="1"/>
  <c r="M769" i="2"/>
  <c r="S717" i="2"/>
  <c r="W675" i="2"/>
  <c r="P824" i="2"/>
  <c r="U739" i="2"/>
  <c r="N544" i="2"/>
  <c r="AN544" i="2" s="1"/>
  <c r="H699" i="2"/>
  <c r="O776" i="2"/>
  <c r="AO776" i="2" s="1"/>
  <c r="O599" i="2"/>
  <c r="AO599" i="2" s="1"/>
  <c r="U950" i="2"/>
  <c r="O938" i="2"/>
  <c r="AO938" i="2" s="1"/>
  <c r="U733" i="2"/>
  <c r="U966" i="2"/>
  <c r="S590" i="2"/>
  <c r="N693" i="2"/>
  <c r="AN693" i="2" s="1"/>
  <c r="H969" i="2"/>
  <c r="W763" i="2"/>
  <c r="H948" i="2"/>
  <c r="W898" i="2"/>
  <c r="N770" i="2"/>
  <c r="M622" i="2"/>
  <c r="R655" i="2"/>
  <c r="P961" i="2"/>
  <c r="O709" i="2"/>
  <c r="AO709" i="2" s="1"/>
  <c r="T780" i="2"/>
  <c r="O886" i="2"/>
  <c r="AO886" i="2" s="1"/>
  <c r="W510" i="2"/>
  <c r="O535" i="2"/>
  <c r="AO535" i="2" s="1"/>
  <c r="W732" i="2"/>
  <c r="T959" i="2"/>
  <c r="T808" i="2"/>
  <c r="P741" i="2"/>
  <c r="N652" i="2"/>
  <c r="AN652" i="2" s="1"/>
  <c r="M853" i="2"/>
  <c r="O733" i="2"/>
  <c r="T974" i="2"/>
  <c r="M534" i="2"/>
  <c r="U962" i="2"/>
  <c r="W916" i="2"/>
  <c r="O931" i="2"/>
  <c r="AO931" i="2" s="1"/>
  <c r="S586" i="2"/>
  <c r="S822" i="2"/>
  <c r="Q699" i="2"/>
  <c r="Q524" i="2"/>
  <c r="R968" i="2"/>
  <c r="Q527" i="2"/>
  <c r="T646" i="2"/>
  <c r="S787" i="2"/>
  <c r="N923" i="2"/>
  <c r="AN923" i="2" s="1"/>
  <c r="S876" i="2"/>
  <c r="P910" i="2"/>
  <c r="O978" i="2"/>
  <c r="AO978" i="2" s="1"/>
  <c r="R686" i="2"/>
  <c r="U540" i="2"/>
  <c r="S811" i="2"/>
  <c r="U781" i="2"/>
  <c r="Q917" i="2"/>
  <c r="T709" i="2"/>
  <c r="U718" i="2"/>
  <c r="U511" i="2"/>
  <c r="O695" i="2"/>
  <c r="AO695" i="2" s="1"/>
  <c r="W703" i="2"/>
  <c r="U596" i="2"/>
  <c r="T521" i="2"/>
  <c r="Q580" i="2"/>
  <c r="H954" i="2"/>
  <c r="R623" i="2"/>
  <c r="T564" i="2"/>
  <c r="P531" i="2"/>
  <c r="N683" i="2"/>
  <c r="AN683" i="2" s="1"/>
  <c r="W599" i="2"/>
  <c r="W742" i="2"/>
  <c r="P813" i="2"/>
  <c r="Q941" i="2"/>
  <c r="W966" i="2"/>
  <c r="O813" i="2"/>
  <c r="AO813" i="2" s="1"/>
  <c r="Q764" i="2"/>
  <c r="P722" i="2"/>
  <c r="O605" i="2"/>
  <c r="AO605" i="2" s="1"/>
  <c r="P772" i="2"/>
  <c r="T567" i="2"/>
  <c r="O937" i="2"/>
  <c r="AO937" i="2" s="1"/>
  <c r="Q570" i="2"/>
  <c r="R555" i="2"/>
  <c r="P926" i="2"/>
  <c r="H746" i="2"/>
  <c r="O909" i="2"/>
  <c r="AO909" i="2" s="1"/>
  <c r="T751" i="2"/>
  <c r="U692" i="2"/>
  <c r="T822" i="2"/>
  <c r="R996" i="2"/>
  <c r="U741" i="2"/>
  <c r="T885" i="2"/>
  <c r="N945" i="2"/>
  <c r="AN945" i="2" s="1"/>
  <c r="R591" i="2"/>
  <c r="R918" i="2"/>
  <c r="W900" i="2"/>
  <c r="W917" i="2"/>
  <c r="P596" i="2"/>
  <c r="W938" i="2"/>
  <c r="S815" i="2"/>
  <c r="Q823" i="2"/>
  <c r="T571" i="2"/>
  <c r="H662" i="2"/>
  <c r="W501" i="2"/>
  <c r="H984" i="2"/>
  <c r="Q740" i="2"/>
  <c r="M605" i="2"/>
  <c r="Q798" i="2"/>
  <c r="U710" i="2"/>
  <c r="P651" i="2"/>
  <c r="M836" i="2"/>
  <c r="S998" i="2"/>
  <c r="Q826" i="2"/>
  <c r="P550" i="2"/>
  <c r="Q986" i="2"/>
  <c r="H560" i="2"/>
  <c r="S647" i="2"/>
  <c r="R905" i="2"/>
  <c r="U894" i="2"/>
  <c r="M868" i="2"/>
  <c r="Q624" i="2"/>
  <c r="Q863" i="2"/>
  <c r="M987" i="2"/>
  <c r="N849" i="2"/>
  <c r="AN849" i="2" s="1"/>
  <c r="P791" i="2"/>
  <c r="U943" i="2"/>
  <c r="W574" i="2"/>
  <c r="U702" i="2"/>
  <c r="P507" i="2"/>
  <c r="M684" i="2"/>
  <c r="S606" i="2"/>
  <c r="U533" i="2"/>
  <c r="T867" i="2"/>
  <c r="Q753" i="2"/>
  <c r="N513" i="2"/>
  <c r="AN513" i="2" s="1"/>
  <c r="O648" i="2"/>
  <c r="AO648" i="2" s="1"/>
  <c r="P704" i="2"/>
  <c r="N700" i="2"/>
  <c r="O755" i="2"/>
  <c r="Q522" i="2"/>
  <c r="W800" i="2"/>
  <c r="T827" i="2"/>
  <c r="T614" i="2"/>
  <c r="U852" i="2"/>
  <c r="S592" i="2"/>
  <c r="H749" i="2"/>
  <c r="W949" i="2"/>
  <c r="O855" i="2"/>
  <c r="AO855" i="2" s="1"/>
  <c r="U957" i="2"/>
  <c r="W612" i="2"/>
  <c r="W998" i="2"/>
  <c r="U621" i="2"/>
  <c r="W872" i="2"/>
  <c r="T802" i="2"/>
  <c r="M552" i="2"/>
  <c r="S974" i="2"/>
  <c r="W542" i="2"/>
  <c r="S524" i="2"/>
  <c r="Q961" i="2"/>
  <c r="W528" i="2"/>
  <c r="U822" i="2"/>
  <c r="T850" i="2"/>
  <c r="T616" i="2"/>
  <c r="W876" i="2"/>
  <c r="R941" i="2"/>
  <c r="Q897" i="2"/>
  <c r="R745" i="2"/>
  <c r="N663" i="2"/>
  <c r="AN663" i="2" s="1"/>
  <c r="U889" i="2"/>
  <c r="U881" i="2"/>
  <c r="R765" i="2"/>
  <c r="N759" i="2"/>
  <c r="AN759" i="2" s="1"/>
  <c r="P513" i="2"/>
  <c r="S593" i="2"/>
  <c r="P986" i="2"/>
  <c r="Q953" i="2"/>
  <c r="N595" i="2"/>
  <c r="AN595" i="2" s="1"/>
  <c r="S840" i="2"/>
  <c r="W774" i="2"/>
  <c r="Q572" i="2"/>
  <c r="S753" i="2"/>
  <c r="M577" i="2"/>
  <c r="O903" i="2"/>
  <c r="AO903" i="2" s="1"/>
  <c r="T942" i="2"/>
  <c r="P817" i="2"/>
  <c r="T860" i="2"/>
  <c r="O689" i="2"/>
  <c r="AO689" i="2" s="1"/>
  <c r="H720" i="2"/>
  <c r="R710" i="2"/>
  <c r="M889" i="2"/>
  <c r="O697" i="2"/>
  <c r="AO697" i="2" s="1"/>
  <c r="O539" i="2"/>
  <c r="AO539" i="2" s="1"/>
  <c r="Q775" i="2"/>
  <c r="N609" i="2"/>
  <c r="AN609" i="2" s="1"/>
  <c r="H925" i="2"/>
  <c r="S888" i="2"/>
  <c r="R600" i="2"/>
  <c r="T897" i="2"/>
  <c r="U573" i="2"/>
  <c r="H543" i="2"/>
  <c r="N713" i="2"/>
  <c r="AN713" i="2" s="1"/>
  <c r="H744" i="2"/>
  <c r="O542" i="2"/>
  <c r="AO542" i="2" s="1"/>
  <c r="P759" i="2"/>
  <c r="P536" i="2"/>
  <c r="O603" i="2"/>
  <c r="AO603" i="2" s="1"/>
  <c r="T693" i="2"/>
  <c r="W631" i="2"/>
  <c r="P770" i="2"/>
  <c r="P615" i="2"/>
  <c r="Q888" i="2"/>
  <c r="P563" i="2"/>
  <c r="U815" i="2"/>
  <c r="Q756" i="2"/>
  <c r="Q788" i="2"/>
  <c r="U999" i="2"/>
  <c r="U613" i="2"/>
  <c r="W768" i="2"/>
  <c r="M834" i="2"/>
  <c r="W760" i="2"/>
  <c r="O836" i="2"/>
  <c r="AO836" i="2" s="1"/>
  <c r="Q857" i="2"/>
  <c r="O586" i="2"/>
  <c r="AO586" i="2" s="1"/>
  <c r="Q901" i="2"/>
  <c r="T1000" i="2"/>
  <c r="N921" i="2"/>
  <c r="AN921" i="2" s="1"/>
  <c r="S744" i="2"/>
  <c r="O860" i="2"/>
  <c r="AO860" i="2" s="1"/>
  <c r="M762" i="2"/>
  <c r="S668" i="2"/>
  <c r="T841" i="2"/>
  <c r="P911" i="2"/>
  <c r="O844" i="2"/>
  <c r="AO844" i="2" s="1"/>
  <c r="O759" i="2"/>
  <c r="AO759" i="2" s="1"/>
  <c r="P985" i="2"/>
  <c r="Q797" i="2"/>
  <c r="U981" i="2"/>
  <c r="S583" i="2"/>
  <c r="U878" i="2"/>
  <c r="O980" i="2"/>
  <c r="AO980" i="2" s="1"/>
  <c r="R965" i="2"/>
  <c r="W791" i="2"/>
  <c r="Q811" i="2"/>
  <c r="T700" i="2"/>
  <c r="H708" i="2"/>
  <c r="W735" i="2"/>
  <c r="W987" i="2"/>
  <c r="T767" i="2"/>
  <c r="W589" i="2"/>
  <c r="P841" i="2"/>
  <c r="P696" i="2"/>
  <c r="N932" i="2"/>
  <c r="AN932" i="2" s="1"/>
  <c r="U813" i="2"/>
  <c r="R907" i="2"/>
  <c r="P940" i="2"/>
  <c r="U775" i="2"/>
  <c r="P599" i="2"/>
  <c r="W815" i="2"/>
  <c r="T975" i="2"/>
  <c r="N979" i="2"/>
  <c r="AN979" i="2" s="1"/>
  <c r="W584" i="2"/>
  <c r="T613" i="2"/>
  <c r="S518" i="2"/>
  <c r="S563" i="2"/>
  <c r="Q626" i="2"/>
  <c r="S689" i="2"/>
  <c r="P752" i="2"/>
  <c r="W834" i="2"/>
  <c r="R683" i="2"/>
  <c r="Q799" i="2"/>
  <c r="O772" i="2"/>
  <c r="AO772" i="2" s="1"/>
  <c r="H716" i="2"/>
  <c r="Q810" i="2"/>
  <c r="S536" i="2"/>
  <c r="T806" i="2"/>
  <c r="P518" i="2"/>
  <c r="R735" i="2"/>
  <c r="T653" i="2"/>
  <c r="M973" i="2"/>
  <c r="R927" i="2"/>
  <c r="W819" i="2"/>
  <c r="S993" i="2"/>
  <c r="N870" i="2"/>
  <c r="AN870" i="2" s="1"/>
  <c r="T603" i="2"/>
  <c r="W658" i="2"/>
  <c r="U567" i="2"/>
  <c r="P810" i="2"/>
  <c r="U839" i="2"/>
  <c r="W573" i="2"/>
  <c r="W562" i="2"/>
  <c r="H589" i="2"/>
  <c r="R589" i="2"/>
  <c r="Q912" i="2"/>
  <c r="S731" i="2"/>
  <c r="O970" i="2"/>
  <c r="AO970" i="2" s="1"/>
  <c r="U884" i="2"/>
  <c r="T893" i="2"/>
  <c r="O714" i="2"/>
  <c r="M757" i="2"/>
  <c r="S720" i="2"/>
  <c r="U765" i="2"/>
  <c r="T720" i="2"/>
  <c r="N557" i="2"/>
  <c r="AN557" i="2" s="1"/>
  <c r="W976" i="2"/>
  <c r="H706" i="2"/>
  <c r="P526" i="2"/>
  <c r="W906" i="2"/>
  <c r="Q710" i="2"/>
  <c r="W696" i="2"/>
  <c r="W974" i="2"/>
  <c r="R700" i="2"/>
  <c r="Q827" i="2"/>
  <c r="R938" i="2"/>
  <c r="Q615" i="2"/>
  <c r="Q950" i="2"/>
  <c r="P713" i="2"/>
  <c r="O728" i="2"/>
  <c r="AO728" i="2" s="1"/>
  <c r="O988" i="2"/>
  <c r="AO988" i="2" s="1"/>
  <c r="M920" i="2"/>
  <c r="M576" i="2"/>
  <c r="R713" i="2"/>
  <c r="N539" i="2"/>
  <c r="AN539" i="2" s="1"/>
  <c r="R510" i="2"/>
  <c r="W970" i="2"/>
  <c r="Q995" i="2"/>
  <c r="W973" i="2"/>
  <c r="S674" i="2"/>
  <c r="P865" i="2"/>
  <c r="R559" i="2"/>
  <c r="N607" i="2"/>
  <c r="AN607" i="2" s="1"/>
  <c r="N754" i="2"/>
  <c r="O582" i="2"/>
  <c r="AO582" i="2" s="1"/>
  <c r="P850" i="2"/>
  <c r="M540" i="2"/>
  <c r="R817" i="2"/>
  <c r="H869" i="2"/>
  <c r="S623" i="2"/>
  <c r="R647" i="2"/>
  <c r="T979" i="2"/>
  <c r="P712" i="2"/>
  <c r="R689" i="2"/>
  <c r="M945" i="2"/>
  <c r="H694" i="2"/>
  <c r="T839" i="2"/>
  <c r="P867" i="2"/>
  <c r="N553" i="2"/>
  <c r="W919" i="2"/>
  <c r="N613" i="2"/>
  <c r="AN613" i="2" s="1"/>
  <c r="M908" i="2"/>
  <c r="H786" i="2"/>
  <c r="N670" i="2"/>
  <c r="AN670" i="2" s="1"/>
  <c r="P994" i="2"/>
  <c r="O817" i="2"/>
  <c r="AO817" i="2" s="1"/>
  <c r="O662" i="2"/>
  <c r="AO662" i="2" s="1"/>
  <c r="O866" i="2"/>
  <c r="T788" i="2"/>
  <c r="M642" i="2"/>
  <c r="O972" i="2"/>
  <c r="AO972" i="2" s="1"/>
  <c r="Q828" i="2"/>
  <c r="S732" i="2"/>
  <c r="T991" i="2"/>
  <c r="Q571" i="2"/>
  <c r="H848" i="2"/>
  <c r="N703" i="2"/>
  <c r="AN703" i="2" s="1"/>
  <c r="H831" i="2"/>
  <c r="U597" i="2"/>
  <c r="R791" i="2"/>
  <c r="O796" i="2"/>
  <c r="AO796" i="2" s="1"/>
  <c r="M750" i="2"/>
  <c r="S934" i="2"/>
  <c r="W853" i="2"/>
  <c r="T828" i="2"/>
  <c r="M643" i="2"/>
  <c r="N897" i="2"/>
  <c r="AN897" i="2" s="1"/>
  <c r="O653" i="2"/>
  <c r="AO653" i="2" s="1"/>
  <c r="U687" i="2"/>
  <c r="M670" i="2"/>
  <c r="Q896" i="2"/>
  <c r="U846" i="2"/>
  <c r="O792" i="2"/>
  <c r="AO792" i="2" s="1"/>
  <c r="N893" i="2"/>
  <c r="AN893" i="2" s="1"/>
  <c r="Q982" i="2"/>
  <c r="R590" i="2"/>
  <c r="H837" i="2"/>
  <c r="P763" i="2"/>
  <c r="R961" i="2"/>
  <c r="W655" i="2"/>
  <c r="T890" i="2"/>
  <c r="U762" i="2"/>
  <c r="O883" i="2"/>
  <c r="AO883" i="2" s="1"/>
  <c r="W895" i="2"/>
  <c r="P555" i="2"/>
  <c r="O765" i="2"/>
  <c r="AO765" i="2" s="1"/>
  <c r="N806" i="2"/>
  <c r="M799" i="2"/>
  <c r="U544" i="2"/>
  <c r="Q619" i="2"/>
  <c r="W634" i="2"/>
  <c r="S701" i="2"/>
  <c r="Q514" i="2"/>
  <c r="N651" i="2"/>
  <c r="AN651" i="2" s="1"/>
  <c r="M703" i="2"/>
  <c r="O712" i="2"/>
  <c r="AO712" i="2" s="1"/>
  <c r="O687" i="2"/>
  <c r="AO687" i="2" s="1"/>
  <c r="Q594" i="2"/>
  <c r="W738" i="2"/>
  <c r="Q681" i="2"/>
  <c r="W825" i="2"/>
  <c r="W837" i="2"/>
  <c r="M872" i="2"/>
  <c r="T939" i="2"/>
  <c r="S706" i="2"/>
  <c r="S635" i="2"/>
  <c r="O544" i="2"/>
  <c r="AO544" i="2" s="1"/>
  <c r="O694" i="2"/>
  <c r="AO694" i="2" s="1"/>
  <c r="O935" i="2"/>
  <c r="AO935" i="2" s="1"/>
  <c r="T730" i="2"/>
  <c r="S937" i="2"/>
  <c r="U672" i="2"/>
  <c r="R730" i="2"/>
  <c r="W870" i="2"/>
  <c r="M575" i="2"/>
  <c r="O558" i="2"/>
  <c r="AO558" i="2" s="1"/>
  <c r="H757" i="2"/>
  <c r="Q521" i="2"/>
  <c r="P657" i="2"/>
  <c r="S580" i="2"/>
  <c r="S648" i="2"/>
  <c r="O876" i="2"/>
  <c r="AO876" i="2" s="1"/>
  <c r="U658" i="2"/>
  <c r="W620" i="2"/>
  <c r="H568" i="2"/>
  <c r="M958" i="2"/>
  <c r="W693" i="2"/>
  <c r="O607" i="2"/>
  <c r="AO607" i="2" s="1"/>
  <c r="W648" i="2"/>
  <c r="S626" i="2"/>
  <c r="R930" i="2"/>
  <c r="S868" i="2"/>
  <c r="M593" i="2"/>
  <c r="S952" i="2"/>
  <c r="R997" i="2"/>
  <c r="O569" i="2"/>
  <c r="AO569" i="2" s="1"/>
  <c r="W671" i="2"/>
  <c r="R812" i="2"/>
  <c r="W849" i="2"/>
  <c r="M961" i="2"/>
  <c r="O811" i="2"/>
  <c r="AO811" i="2" s="1"/>
  <c r="H918" i="2"/>
  <c r="T820" i="2"/>
  <c r="N762" i="2"/>
  <c r="R517" i="2"/>
  <c r="U526" i="2"/>
  <c r="S987" i="2"/>
  <c r="T950" i="2"/>
  <c r="Q701" i="2"/>
  <c r="R711" i="2"/>
  <c r="P893" i="2"/>
  <c r="U799" i="2"/>
  <c r="H726" i="2"/>
  <c r="M742" i="2"/>
  <c r="P553" i="2"/>
  <c r="W711" i="2"/>
  <c r="R646" i="2"/>
  <c r="S594" i="2"/>
  <c r="S565" i="2"/>
  <c r="S970" i="2"/>
  <c r="O858" i="2"/>
  <c r="AO858" i="2" s="1"/>
  <c r="M922" i="2"/>
  <c r="S812" i="2"/>
  <c r="O625" i="2"/>
  <c r="AO625" i="2" s="1"/>
  <c r="P742" i="2"/>
  <c r="N727" i="2"/>
  <c r="AN727" i="2" s="1"/>
  <c r="P541" i="2"/>
  <c r="N826" i="2"/>
  <c r="AN826" i="2" s="1"/>
  <c r="H678" i="2"/>
  <c r="T995" i="2"/>
  <c r="R649" i="2"/>
  <c r="T859" i="2"/>
  <c r="R815" i="2"/>
  <c r="N592" i="2"/>
  <c r="AN592" i="2" s="1"/>
  <c r="U873" i="2"/>
  <c r="T727" i="2"/>
  <c r="T823" i="2"/>
  <c r="R769" i="2"/>
  <c r="H567" i="2"/>
  <c r="S805" i="2"/>
  <c r="R906" i="2"/>
  <c r="T855" i="2"/>
  <c r="N625" i="2"/>
  <c r="AN625" i="2" s="1"/>
  <c r="W755" i="2"/>
  <c r="R913" i="2"/>
  <c r="N734" i="2"/>
  <c r="AN734" i="2" s="1"/>
  <c r="P557" i="2"/>
  <c r="T980" i="2"/>
  <c r="N827" i="2"/>
  <c r="AN827" i="2" s="1"/>
  <c r="R908" i="2"/>
  <c r="H624" i="2"/>
  <c r="S776" i="2"/>
  <c r="P951" i="2"/>
  <c r="R784" i="2"/>
  <c r="W724" i="2"/>
  <c r="O880" i="2"/>
  <c r="AO880" i="2" s="1"/>
  <c r="W779" i="2"/>
  <c r="U836" i="2"/>
  <c r="U684" i="2"/>
  <c r="T949" i="2"/>
  <c r="U589" i="2"/>
  <c r="U571" i="2"/>
  <c r="H537" i="2"/>
  <c r="W932" i="2"/>
  <c r="R634" i="2"/>
  <c r="T679" i="2"/>
  <c r="R823" i="2"/>
  <c r="M992" i="2"/>
  <c r="N696" i="2"/>
  <c r="AN696" i="2" s="1"/>
  <c r="S991" i="2"/>
  <c r="M932" i="2"/>
  <c r="O795" i="2"/>
  <c r="AO795" i="2" s="1"/>
  <c r="P589" i="2"/>
  <c r="S973" i="2"/>
  <c r="R561" i="2"/>
  <c r="M712" i="2"/>
  <c r="U767" i="2"/>
  <c r="S615" i="2"/>
  <c r="R652" i="2"/>
  <c r="W508" i="2"/>
  <c r="U902" i="2"/>
  <c r="T787" i="2"/>
  <c r="Q663" i="2"/>
  <c r="M653" i="2"/>
  <c r="M614" i="2"/>
  <c r="O831" i="2"/>
  <c r="AO831" i="2" s="1"/>
  <c r="M941" i="2"/>
  <c r="T619" i="2"/>
  <c r="O747" i="2"/>
  <c r="AO747" i="2" s="1"/>
  <c r="P856" i="2"/>
  <c r="R951" i="2"/>
  <c r="W521" i="2"/>
  <c r="N600" i="2"/>
  <c r="AN600" i="2" s="1"/>
  <c r="P718" i="2"/>
  <c r="Q832" i="2"/>
  <c r="T570" i="2"/>
  <c r="N864" i="2"/>
  <c r="AN864" i="2" s="1"/>
  <c r="N518" i="2"/>
  <c r="AN518" i="2" s="1"/>
  <c r="U569" i="2"/>
  <c r="Q659" i="2"/>
  <c r="T916" i="2"/>
  <c r="N741" i="2"/>
  <c r="AN741" i="2" s="1"/>
  <c r="T963" i="2"/>
  <c r="N521" i="2"/>
  <c r="AN521" i="2" s="1"/>
  <c r="Q718" i="2"/>
  <c r="Q883" i="2"/>
  <c r="N871" i="2"/>
  <c r="AN871" i="2" s="1"/>
  <c r="O672" i="2"/>
  <c r="P602" i="2"/>
  <c r="N844" i="2"/>
  <c r="AN844" i="2" s="1"/>
  <c r="S829" i="2"/>
  <c r="Q875" i="2"/>
  <c r="U700" i="2"/>
  <c r="O587" i="2"/>
  <c r="AO587" i="2" s="1"/>
  <c r="O682" i="2"/>
  <c r="AO682" i="2" s="1"/>
  <c r="O516" i="2"/>
  <c r="S665" i="2"/>
  <c r="O804" i="2"/>
  <c r="AO804" i="2" s="1"/>
  <c r="R816" i="2"/>
  <c r="T868" i="2"/>
  <c r="U617" i="2"/>
  <c r="S677" i="2"/>
  <c r="H980" i="2"/>
  <c r="Q807" i="2"/>
  <c r="T870" i="2"/>
  <c r="Q787" i="2"/>
  <c r="Q642" i="2"/>
  <c r="R530" i="2"/>
  <c r="S960" i="2"/>
  <c r="S849" i="2"/>
  <c r="N899" i="2"/>
  <c r="T903" i="2"/>
  <c r="M999" i="2"/>
  <c r="O713" i="2"/>
  <c r="AO713" i="2" s="1"/>
  <c r="N571" i="2"/>
  <c r="AN571" i="2" s="1"/>
  <c r="N900" i="2"/>
  <c r="AN900" i="2" s="1"/>
  <c r="S519" i="2"/>
  <c r="O523" i="2"/>
  <c r="AO523" i="2" s="1"/>
  <c r="N508" i="2"/>
  <c r="AN508" i="2" s="1"/>
  <c r="U972" i="2"/>
  <c r="S676" i="2"/>
  <c r="O821" i="2"/>
  <c r="AO821" i="2" s="1"/>
  <c r="N558" i="2"/>
  <c r="AN558" i="2" s="1"/>
  <c r="N881" i="2"/>
  <c r="AN881" i="2" s="1"/>
  <c r="O719" i="2"/>
  <c r="AO719" i="2" s="1"/>
  <c r="N825" i="2"/>
  <c r="AN825" i="2" s="1"/>
  <c r="W728" i="2"/>
  <c r="R892" i="2"/>
  <c r="P582" i="2"/>
  <c r="O502" i="2"/>
  <c r="AO502" i="2" s="1"/>
  <c r="O615" i="2"/>
  <c r="AO615" i="2" s="1"/>
  <c r="O693" i="2"/>
  <c r="AO693" i="2" s="1"/>
  <c r="R540" i="2"/>
  <c r="P516" i="2"/>
  <c r="R579" i="2"/>
  <c r="R833" i="2"/>
  <c r="W582" i="2"/>
  <c r="S933" i="2"/>
  <c r="M955" i="2"/>
  <c r="W989" i="2"/>
  <c r="N877" i="2"/>
  <c r="AN877" i="2" s="1"/>
  <c r="Q578" i="2"/>
  <c r="Q554" i="2"/>
  <c r="M723" i="2"/>
  <c r="T728" i="2"/>
  <c r="R687" i="2"/>
  <c r="Q956" i="2"/>
  <c r="M686" i="2"/>
  <c r="P542" i="2"/>
  <c r="U791" i="2"/>
  <c r="S749" i="2"/>
  <c r="U717" i="2"/>
  <c r="S967" i="2"/>
  <c r="N787" i="2"/>
  <c r="AN787" i="2" s="1"/>
  <c r="U624" i="2"/>
  <c r="W514" i="2"/>
  <c r="N994" i="2"/>
  <c r="AN994" i="2" s="1"/>
  <c r="O986" i="2"/>
  <c r="AO986" i="2" s="1"/>
  <c r="O852" i="2"/>
  <c r="AO852" i="2" s="1"/>
  <c r="T928" i="2"/>
  <c r="O973" i="2"/>
  <c r="AO973" i="2" s="1"/>
  <c r="O874" i="2"/>
  <c r="AO874" i="2" s="1"/>
  <c r="U618" i="2"/>
  <c r="Q735" i="2"/>
  <c r="O810" i="2"/>
  <c r="AO810" i="2" s="1"/>
  <c r="T686" i="2"/>
  <c r="Q711" i="2"/>
  <c r="R821" i="2"/>
  <c r="M965" i="2"/>
  <c r="U995" i="2"/>
  <c r="W744" i="2"/>
  <c r="S652" i="2"/>
  <c r="U508" i="2"/>
  <c r="R798" i="2"/>
  <c r="M601" i="2"/>
  <c r="Q844" i="2"/>
  <c r="H593" i="2"/>
  <c r="P744" i="2"/>
  <c r="W859" i="2"/>
  <c r="W632" i="2"/>
  <c r="M787" i="2"/>
  <c r="O705" i="2"/>
  <c r="AO705" i="2" s="1"/>
  <c r="T703" i="2"/>
  <c r="O862" i="2"/>
  <c r="AO862" i="2" s="1"/>
  <c r="N712" i="2"/>
  <c r="AN712" i="2" s="1"/>
  <c r="S946" i="2"/>
  <c r="H879" i="2"/>
  <c r="W831" i="2"/>
  <c r="M997" i="2"/>
  <c r="P935" i="2"/>
  <c r="Q859" i="2"/>
  <c r="N887" i="2"/>
  <c r="AN887" i="2" s="1"/>
  <c r="O779" i="2"/>
  <c r="AO779" i="2" s="1"/>
  <c r="R891" i="2"/>
  <c r="O998" i="2"/>
  <c r="AO998" i="2" s="1"/>
  <c r="T753" i="2"/>
  <c r="T577" i="2"/>
  <c r="P973" i="2"/>
  <c r="O710" i="2"/>
  <c r="U502" i="2"/>
  <c r="W513" i="2"/>
  <c r="S600" i="2"/>
  <c r="M912" i="2"/>
  <c r="H511" i="2"/>
  <c r="T609" i="2"/>
  <c r="S588" i="2"/>
  <c r="W541" i="2"/>
  <c r="U977" i="2"/>
  <c r="Q945" i="2"/>
  <c r="P684" i="2"/>
  <c r="O572" i="2"/>
  <c r="AO572" i="2" s="1"/>
  <c r="T743" i="2"/>
  <c r="T829" i="2"/>
  <c r="O864" i="2"/>
  <c r="AO864" i="2" s="1"/>
  <c r="S914" i="2"/>
  <c r="O929" i="2"/>
  <c r="AO929" i="2" s="1"/>
  <c r="Q676" i="2"/>
  <c r="P917" i="2"/>
  <c r="W775" i="2"/>
  <c r="Q940" i="2"/>
  <c r="W782" i="2"/>
  <c r="U810" i="2"/>
  <c r="T710" i="2"/>
  <c r="S817" i="2"/>
  <c r="O665" i="2"/>
  <c r="AO665" i="2" s="1"/>
  <c r="O803" i="2"/>
  <c r="AO803" i="2" s="1"/>
  <c r="O870" i="2"/>
  <c r="AO870" i="2" s="1"/>
  <c r="M776" i="2"/>
  <c r="Q890" i="2"/>
  <c r="R932" i="2"/>
  <c r="T615" i="2"/>
  <c r="S616" i="2"/>
  <c r="N678" i="2"/>
  <c r="AN678" i="2" s="1"/>
  <c r="P659" i="2"/>
  <c r="T689" i="2"/>
  <c r="S610" i="2"/>
  <c r="U865" i="2"/>
  <c r="P914" i="2"/>
  <c r="O655" i="2"/>
  <c r="O570" i="2"/>
  <c r="AO570" i="2" s="1"/>
  <c r="N673" i="2"/>
  <c r="AN673" i="2" s="1"/>
  <c r="P554" i="2"/>
  <c r="U510" i="2"/>
  <c r="S551" i="2"/>
  <c r="P510" i="2"/>
  <c r="S627" i="2"/>
  <c r="R678" i="2"/>
  <c r="N865" i="2"/>
  <c r="AN865" i="2" s="1"/>
  <c r="Q805" i="2"/>
  <c r="P721" i="2"/>
  <c r="P804" i="2"/>
  <c r="N699" i="2"/>
  <c r="AN699" i="2" s="1"/>
  <c r="N876" i="2"/>
  <c r="AN876" i="2" s="1"/>
  <c r="U777" i="2"/>
  <c r="H822" i="2"/>
  <c r="T852" i="2"/>
  <c r="H745" i="2"/>
  <c r="O707" i="2"/>
  <c r="AO707" i="2" s="1"/>
  <c r="U745" i="2"/>
  <c r="T894" i="2"/>
  <c r="S838" i="2"/>
  <c r="R501" i="2"/>
  <c r="W678" i="2"/>
  <c r="R998" i="2"/>
  <c r="T701" i="2"/>
  <c r="R991" i="2"/>
  <c r="T740" i="2"/>
  <c r="S795" i="2"/>
  <c r="W532" i="2"/>
  <c r="O896" i="2"/>
  <c r="AO896" i="2" s="1"/>
  <c r="O571" i="2"/>
  <c r="AO571" i="2" s="1"/>
  <c r="U997" i="2"/>
  <c r="M634" i="2"/>
  <c r="T716" i="2"/>
  <c r="P859" i="2"/>
  <c r="O768" i="2"/>
  <c r="AO768" i="2" s="1"/>
  <c r="R775" i="2"/>
  <c r="M913" i="2"/>
  <c r="S839" i="2"/>
  <c r="M539" i="2"/>
  <c r="H939" i="2"/>
  <c r="P829" i="2"/>
  <c r="W804" i="2"/>
  <c r="H768" i="2"/>
  <c r="P571" i="2"/>
  <c r="R630" i="2"/>
  <c r="R865" i="2"/>
  <c r="Q648" i="2"/>
  <c r="S962" i="2"/>
  <c r="R661" i="2"/>
  <c r="U868" i="2"/>
  <c r="Q960" i="2"/>
  <c r="W673" i="2"/>
  <c r="W621" i="2"/>
  <c r="P630" i="2"/>
  <c r="P613" i="2"/>
  <c r="S931" i="2"/>
  <c r="Q870" i="2"/>
  <c r="P845" i="2"/>
  <c r="H862" i="2"/>
  <c r="U859" i="2"/>
  <c r="R691" i="2"/>
  <c r="N591" i="2"/>
  <c r="AN591" i="2" s="1"/>
  <c r="T866" i="2"/>
  <c r="T874" i="2"/>
  <c r="S992" i="2"/>
  <c r="U798" i="2"/>
  <c r="P779" i="2"/>
  <c r="S958" i="2"/>
  <c r="W753" i="2"/>
  <c r="R989" i="2"/>
  <c r="N972" i="2"/>
  <c r="S605" i="2"/>
  <c r="Q973" i="2"/>
  <c r="W538" i="2"/>
  <c r="Q577" i="2"/>
  <c r="Q801" i="2"/>
  <c r="Q706" i="2"/>
  <c r="T882" i="2"/>
  <c r="N723" i="2"/>
  <c r="AN723" i="2" s="1"/>
  <c r="S798" i="2"/>
  <c r="W861" i="2"/>
  <c r="W894" i="2"/>
  <c r="M988" i="2"/>
  <c r="H808" i="2"/>
  <c r="P623" i="2"/>
  <c r="R909" i="2"/>
  <c r="T747" i="2"/>
  <c r="N906" i="2"/>
  <c r="AN906" i="2" s="1"/>
  <c r="N685" i="2"/>
  <c r="AN685" i="2" s="1"/>
  <c r="N800" i="2"/>
  <c r="AN800" i="2" s="1"/>
  <c r="W608" i="2"/>
  <c r="W985" i="2"/>
  <c r="R758" i="2"/>
  <c r="Q919" i="2"/>
  <c r="P617" i="2"/>
  <c r="H577" i="2"/>
  <c r="S747" i="2"/>
  <c r="U746" i="2"/>
  <c r="Q643" i="2"/>
  <c r="M778" i="2"/>
  <c r="U927" i="2"/>
  <c r="U958" i="2"/>
  <c r="M821" i="2"/>
  <c r="O939" i="2"/>
  <c r="AO939" i="2" s="1"/>
  <c r="O884" i="2"/>
  <c r="AO884" i="2" s="1"/>
  <c r="Q708" i="2"/>
  <c r="U605" i="2"/>
  <c r="O676" i="2"/>
  <c r="AO676" i="2" s="1"/>
  <c r="W979" i="2"/>
  <c r="W616" i="2"/>
  <c r="U903" i="2"/>
  <c r="N784" i="2"/>
  <c r="AN784" i="2" s="1"/>
  <c r="T581" i="2"/>
  <c r="Q879" i="2"/>
  <c r="N989" i="2"/>
  <c r="AN989" i="2" s="1"/>
  <c r="P922" i="2"/>
  <c r="T982" i="2"/>
  <c r="P981" i="2"/>
  <c r="H893" i="2"/>
  <c r="P838" i="2"/>
  <c r="P904" i="2"/>
  <c r="H782" i="2"/>
  <c r="N653" i="2"/>
  <c r="AN653" i="2" s="1"/>
  <c r="T602" i="2"/>
  <c r="U768" i="2"/>
  <c r="S945" i="2"/>
  <c r="Q818" i="2"/>
  <c r="U654" i="2"/>
  <c r="N736" i="2"/>
  <c r="AN736" i="2" s="1"/>
  <c r="N924" i="2"/>
  <c r="AN924" i="2" s="1"/>
  <c r="O744" i="2"/>
  <c r="AO744" i="2" s="1"/>
  <c r="W862" i="2"/>
  <c r="U701" i="2"/>
  <c r="T977" i="2"/>
  <c r="H677" i="2"/>
  <c r="O708" i="2"/>
  <c r="AO708" i="2" s="1"/>
  <c r="P967" i="2"/>
  <c r="U857" i="2"/>
  <c r="S707" i="2"/>
  <c r="H912" i="2"/>
  <c r="N593" i="2"/>
  <c r="AN593" i="2" s="1"/>
  <c r="R948" i="2"/>
  <c r="Q630" i="2"/>
  <c r="P793" i="2"/>
  <c r="W688" i="2"/>
  <c r="M952" i="2"/>
  <c r="Q852" i="2"/>
  <c r="U22" i="2"/>
  <c r="O22" i="2"/>
  <c r="U3" i="2"/>
  <c r="M34" i="2"/>
  <c r="M983" i="2"/>
  <c r="H937" i="2"/>
  <c r="N6" i="2"/>
  <c r="R5" i="2"/>
  <c r="U788" i="2"/>
  <c r="H550" i="2"/>
  <c r="T583" i="2"/>
  <c r="U682" i="2"/>
  <c r="O657" i="2"/>
  <c r="AO657" i="2" s="1"/>
  <c r="N892" i="2"/>
  <c r="AN892" i="2" s="1"/>
  <c r="R528" i="2"/>
  <c r="M666" i="2"/>
  <c r="N755" i="2"/>
  <c r="AN755" i="2" s="1"/>
  <c r="N917" i="2"/>
  <c r="AN917" i="2" s="1"/>
  <c r="O525" i="2"/>
  <c r="AO525" i="2" s="1"/>
  <c r="O770" i="2"/>
  <c r="AO770" i="2" s="1"/>
  <c r="Q559" i="2"/>
  <c r="U994" i="2"/>
  <c r="H792" i="2"/>
  <c r="H931" i="2"/>
  <c r="W945" i="2"/>
  <c r="U800" i="2"/>
  <c r="S718" i="2"/>
  <c r="Q692" i="2"/>
  <c r="M905" i="2"/>
  <c r="M936" i="2"/>
  <c r="S893" i="2"/>
  <c r="P921" i="2"/>
  <c r="W897" i="2"/>
  <c r="S994" i="2"/>
  <c r="W953" i="2"/>
  <c r="M970" i="2"/>
  <c r="Q842" i="2"/>
  <c r="T597" i="2"/>
  <c r="S730" i="2"/>
  <c r="P920" i="2"/>
  <c r="W867" i="2"/>
  <c r="U853" i="2"/>
  <c r="U604" i="2"/>
  <c r="R838" i="2"/>
  <c r="U543" i="2"/>
  <c r="N783" i="2"/>
  <c r="AN783" i="2" s="1"/>
  <c r="T632" i="2"/>
  <c r="N541" i="2"/>
  <c r="AN541" i="2" s="1"/>
  <c r="Q884" i="2"/>
  <c r="P562" i="2"/>
  <c r="Q923" i="2"/>
  <c r="U744" i="2"/>
  <c r="S858" i="2"/>
  <c r="S604" i="2"/>
  <c r="N942" i="2"/>
  <c r="AN942" i="2" s="1"/>
  <c r="W904" i="2"/>
  <c r="S618" i="2"/>
  <c r="N813" i="2"/>
  <c r="AN813" i="2" s="1"/>
  <c r="W784" i="2"/>
  <c r="O732" i="2"/>
  <c r="AO732" i="2" s="1"/>
  <c r="W757" i="2"/>
  <c r="R519" i="2"/>
  <c r="U760" i="2"/>
  <c r="R546" i="2"/>
  <c r="W787" i="2"/>
  <c r="P632" i="2"/>
  <c r="R868" i="2"/>
  <c r="O838" i="2"/>
  <c r="O735" i="2"/>
  <c r="AO735" i="2" s="1"/>
  <c r="O593" i="2"/>
  <c r="AO593" i="2" s="1"/>
  <c r="P654" i="2"/>
  <c r="P618" i="2"/>
  <c r="U928" i="2"/>
  <c r="P946" i="2"/>
  <c r="N646" i="2"/>
  <c r="H861" i="2"/>
  <c r="N589" i="2"/>
  <c r="AN589" i="2" s="1"/>
  <c r="H942" i="2"/>
  <c r="S887" i="2"/>
  <c r="U801" i="2"/>
  <c r="W723" i="2"/>
  <c r="T834" i="2"/>
  <c r="M678" i="2"/>
  <c r="O619" i="2"/>
  <c r="AO619" i="2" s="1"/>
  <c r="R624" i="2"/>
  <c r="M814" i="2"/>
  <c r="P609" i="2"/>
  <c r="U653" i="2"/>
  <c r="M529" i="2"/>
  <c r="T813" i="2"/>
  <c r="R723" i="2"/>
  <c r="S846" i="2"/>
  <c r="Q616" i="2"/>
  <c r="R848" i="2"/>
  <c r="S599" i="2"/>
  <c r="S756" i="2"/>
  <c r="H779" i="2"/>
  <c r="Q586" i="2"/>
  <c r="R984" i="2"/>
  <c r="T927" i="2"/>
  <c r="U876" i="2"/>
  <c r="N815" i="2"/>
  <c r="AN815" i="2" s="1"/>
  <c r="H917" i="2"/>
  <c r="P919" i="2"/>
  <c r="H928" i="2"/>
  <c r="W795" i="2"/>
  <c r="W964" i="2"/>
  <c r="H636" i="2"/>
  <c r="M531" i="2"/>
  <c r="S611" i="2"/>
  <c r="N619" i="2"/>
  <c r="AN619" i="2" s="1"/>
  <c r="N744" i="2"/>
  <c r="AN744" i="2" s="1"/>
  <c r="H802" i="2"/>
  <c r="P990" i="2"/>
  <c r="H590" i="2"/>
  <c r="W977" i="2"/>
  <c r="T749" i="2"/>
  <c r="N839" i="2"/>
  <c r="AN839" i="2" s="1"/>
  <c r="N614" i="2"/>
  <c r="AN614" i="2" s="1"/>
  <c r="Q872" i="2"/>
  <c r="O885" i="2"/>
  <c r="AO885" i="2" s="1"/>
  <c r="H640" i="2"/>
  <c r="M949" i="2"/>
  <c r="N809" i="2"/>
  <c r="Q607" i="2"/>
  <c r="W2" i="2"/>
  <c r="O583" i="2"/>
  <c r="AO583" i="2" s="1"/>
  <c r="P913" i="2"/>
  <c r="S773" i="2"/>
  <c r="R25" i="2"/>
  <c r="N874" i="2"/>
  <c r="H515" i="2"/>
  <c r="W842" i="2"/>
  <c r="U905" i="2"/>
  <c r="R973" i="2"/>
  <c r="U736" i="2"/>
  <c r="S539" i="2"/>
  <c r="R808" i="2"/>
  <c r="P572" i="2"/>
  <c r="Q727" i="2"/>
  <c r="H898" i="2"/>
  <c r="Q976" i="2"/>
  <c r="W982" i="2"/>
  <c r="S690" i="2"/>
  <c r="S935" i="2"/>
  <c r="T626" i="2"/>
  <c r="O974" i="2"/>
  <c r="R904" i="2"/>
  <c r="Q736" i="2"/>
  <c r="T962" i="2"/>
  <c r="R853" i="2"/>
  <c r="Q873" i="2"/>
  <c r="R947" i="2"/>
  <c r="O731" i="2"/>
  <c r="AO731" i="2" s="1"/>
  <c r="W734" i="2"/>
  <c r="U677" i="2"/>
  <c r="T986" i="2"/>
  <c r="S923" i="2"/>
  <c r="P895" i="2"/>
  <c r="T561" i="2"/>
  <c r="U786" i="2"/>
  <c r="N857" i="2"/>
  <c r="AN857" i="2" s="1"/>
  <c r="T832" i="2"/>
  <c r="N742" i="2"/>
  <c r="P662" i="2"/>
  <c r="W684" i="2"/>
  <c r="O946" i="2"/>
  <c r="AO946" i="2" s="1"/>
  <c r="H559" i="2"/>
  <c r="N768" i="2"/>
  <c r="AN768" i="2" s="1"/>
  <c r="W571" i="2"/>
  <c r="T786" i="2"/>
  <c r="T744" i="2"/>
  <c r="O916" i="2"/>
  <c r="AO916" i="2" s="1"/>
  <c r="W827" i="2"/>
  <c r="W697" i="2"/>
  <c r="P947" i="2"/>
  <c r="S929" i="2"/>
  <c r="M688" i="2"/>
  <c r="Q892" i="2"/>
  <c r="T713" i="2"/>
  <c r="O933" i="2"/>
  <c r="AO933" i="2" s="1"/>
  <c r="O991" i="2"/>
  <c r="AO991" i="2" s="1"/>
  <c r="T773" i="2"/>
  <c r="O851" i="2"/>
  <c r="AO851" i="2" s="1"/>
  <c r="Q646" i="2"/>
  <c r="Q936" i="2"/>
  <c r="O771" i="2"/>
  <c r="AO771" i="2" s="1"/>
  <c r="H778" i="2"/>
  <c r="T824" i="2"/>
  <c r="R643" i="2"/>
  <c r="O829" i="2"/>
  <c r="AO829" i="2" s="1"/>
  <c r="S752" i="2"/>
  <c r="R724" i="2"/>
  <c r="S965" i="2"/>
  <c r="O522" i="2"/>
  <c r="AO522" i="2" s="1"/>
  <c r="U907" i="2"/>
  <c r="P640" i="2"/>
  <c r="P733" i="2"/>
  <c r="M519" i="2"/>
  <c r="U727" i="2"/>
  <c r="T898" i="2"/>
  <c r="S863" i="2"/>
  <c r="P884" i="2"/>
  <c r="T642" i="2"/>
  <c r="R963" i="2"/>
  <c r="W884" i="2"/>
  <c r="Q998" i="2"/>
  <c r="R931" i="2"/>
  <c r="M873" i="2"/>
  <c r="U625" i="2"/>
  <c r="T772" i="2"/>
  <c r="Q1000" i="2"/>
  <c r="T662" i="2"/>
  <c r="R842" i="2"/>
  <c r="M892" i="2"/>
  <c r="T640" i="2"/>
  <c r="Q680" i="2"/>
  <c r="N580" i="2"/>
  <c r="AN580" i="2" s="1"/>
  <c r="U595" i="2"/>
  <c r="T696" i="2"/>
  <c r="T931" i="2"/>
  <c r="Q858" i="2"/>
  <c r="M761" i="2"/>
  <c r="W821" i="2"/>
  <c r="O614" i="2"/>
  <c r="AO614" i="2" s="1"/>
  <c r="P777" i="2"/>
  <c r="O954" i="2"/>
  <c r="S833" i="2"/>
  <c r="W896" i="2"/>
  <c r="S905" i="2"/>
  <c r="N726" i="2"/>
  <c r="AN726" i="2" s="1"/>
  <c r="R749" i="2"/>
  <c r="W630" i="2"/>
  <c r="U880" i="2"/>
  <c r="W946" i="2"/>
  <c r="P751" i="2"/>
  <c r="P840" i="2"/>
  <c r="S916" i="2"/>
  <c r="R716" i="2"/>
  <c r="P978" i="2"/>
  <c r="W954" i="2"/>
  <c r="M846" i="2"/>
  <c r="Q893" i="2"/>
  <c r="H859" i="2"/>
  <c r="Q790" i="2"/>
  <c r="O760" i="2"/>
  <c r="AO760" i="2" s="1"/>
  <c r="H713" i="2"/>
  <c r="O982" i="2"/>
  <c r="AO982" i="2" s="1"/>
  <c r="H772" i="2"/>
  <c r="N711" i="2"/>
  <c r="AN711" i="2" s="1"/>
  <c r="M32" i="2"/>
  <c r="M878" i="2"/>
  <c r="S591" i="2"/>
  <c r="Q6" i="2"/>
  <c r="W29" i="2"/>
  <c r="W17" i="2"/>
  <c r="N34" i="2"/>
  <c r="P6" i="2"/>
  <c r="N661" i="2"/>
  <c r="AN661" i="2" s="1"/>
  <c r="U693" i="2"/>
  <c r="N554" i="2"/>
  <c r="AN554" i="2" s="1"/>
  <c r="W552" i="2"/>
  <c r="O686" i="2"/>
  <c r="AO686" i="2" s="1"/>
  <c r="M524" i="2"/>
  <c r="U886" i="2"/>
  <c r="M550" i="2"/>
  <c r="O630" i="2"/>
  <c r="H673" i="2"/>
  <c r="U546" i="2"/>
  <c r="T529" i="2"/>
  <c r="M914" i="2"/>
  <c r="W610" i="2"/>
  <c r="W767" i="2"/>
  <c r="W505" i="2"/>
  <c r="U946" i="2"/>
  <c r="S621" i="2"/>
  <c r="S825" i="2"/>
  <c r="T926" i="2"/>
  <c r="W639" i="2"/>
  <c r="O766" i="2"/>
  <c r="AO766" i="2" s="1"/>
  <c r="P707" i="2"/>
  <c r="T620" i="2"/>
  <c r="N801" i="2"/>
  <c r="R752" i="2"/>
  <c r="N622" i="2"/>
  <c r="AN622" i="2" s="1"/>
  <c r="S872" i="2"/>
  <c r="S997" i="2"/>
  <c r="M980" i="2"/>
  <c r="T913" i="2"/>
  <c r="N628" i="2"/>
  <c r="AN628" i="2" s="1"/>
  <c r="S703" i="2"/>
  <c r="U848" i="2"/>
  <c r="S779" i="2"/>
  <c r="Q593" i="2"/>
  <c r="O941" i="2"/>
  <c r="AO941" i="2" s="1"/>
  <c r="H867" i="2"/>
  <c r="S862" i="2"/>
  <c r="O515" i="2"/>
  <c r="AO515" i="2" s="1"/>
  <c r="W747" i="2"/>
  <c r="R601" i="2"/>
  <c r="W544" i="2"/>
  <c r="H866" i="2"/>
  <c r="S867" i="2"/>
  <c r="Q684" i="2"/>
  <c r="S982" i="2"/>
  <c r="M682" i="2"/>
  <c r="N875" i="2"/>
  <c r="P767" i="2"/>
  <c r="O594" i="2"/>
  <c r="AO594" i="2" s="1"/>
  <c r="U795" i="2"/>
  <c r="Q862" i="2"/>
  <c r="W799" i="2"/>
  <c r="Q702" i="2"/>
  <c r="R596" i="2"/>
  <c r="R755" i="2"/>
  <c r="M699" i="2"/>
  <c r="O906" i="2"/>
  <c r="AO906" i="2" s="1"/>
  <c r="S938" i="2"/>
  <c r="S950" i="2"/>
  <c r="N816" i="2"/>
  <c r="AN816" i="2" s="1"/>
  <c r="P833" i="2"/>
  <c r="Q691" i="2"/>
  <c r="U882" i="2"/>
  <c r="H627" i="2"/>
  <c r="U758" i="2"/>
  <c r="M991" i="2"/>
  <c r="O867" i="2"/>
  <c r="AO867" i="2" s="1"/>
  <c r="S702" i="2"/>
  <c r="S664" i="2"/>
  <c r="T966" i="2"/>
  <c r="S979" i="2"/>
  <c r="H595" i="2"/>
  <c r="T796" i="2"/>
  <c r="R939" i="2"/>
  <c r="O681" i="2"/>
  <c r="AO681" i="2" s="1"/>
  <c r="M989" i="2"/>
  <c r="T833" i="2"/>
  <c r="Q871" i="2"/>
  <c r="P960" i="2"/>
  <c r="W670" i="2"/>
  <c r="Q723" i="2"/>
  <c r="U680" i="2"/>
  <c r="W818" i="2"/>
  <c r="Q984" i="2"/>
  <c r="P894" i="2"/>
  <c r="N766" i="2"/>
  <c r="AN766" i="2" s="1"/>
  <c r="R787" i="2"/>
  <c r="H935" i="2"/>
  <c r="N623" i="2"/>
  <c r="AN623" i="2" s="1"/>
  <c r="Q632" i="2"/>
  <c r="S999" i="2"/>
  <c r="W783" i="2"/>
  <c r="R675" i="2"/>
  <c r="N939" i="2"/>
  <c r="AN939" i="2" s="1"/>
  <c r="P928" i="2"/>
  <c r="Q915" i="2"/>
  <c r="H938" i="2"/>
  <c r="P611" i="2"/>
  <c r="R917" i="2"/>
  <c r="Q690" i="2"/>
  <c r="U697" i="2"/>
  <c r="R880" i="2"/>
  <c r="W844" i="2"/>
  <c r="S708" i="2"/>
  <c r="S996" i="2"/>
  <c r="H740" i="2"/>
  <c r="Q759" i="2"/>
  <c r="O727" i="2"/>
  <c r="AO727" i="2" s="1"/>
  <c r="W518" i="2"/>
  <c r="N884" i="2"/>
  <c r="AN884" i="2" s="1"/>
  <c r="R862" i="2"/>
  <c r="Q835" i="2"/>
  <c r="U917" i="2"/>
  <c r="M520" i="2"/>
  <c r="T775" i="2"/>
  <c r="P30" i="2"/>
  <c r="S4" i="2"/>
  <c r="Q730" i="2"/>
  <c r="T17" i="2"/>
  <c r="W653" i="2"/>
  <c r="P660" i="2"/>
  <c r="U8" i="2"/>
  <c r="W848" i="2"/>
  <c r="M647" i="2"/>
  <c r="T654" i="2"/>
  <c r="M830" i="2"/>
  <c r="M848" i="2"/>
  <c r="N606" i="2"/>
  <c r="R631" i="2"/>
  <c r="N545" i="2"/>
  <c r="AN545" i="2" s="1"/>
  <c r="R575" i="2"/>
  <c r="O920" i="2"/>
  <c r="AO920" i="2" s="1"/>
  <c r="N624" i="2"/>
  <c r="AN624" i="2" s="1"/>
  <c r="W839" i="2"/>
  <c r="U860" i="2"/>
  <c r="P738" i="2"/>
  <c r="H891" i="2"/>
  <c r="O554" i="2"/>
  <c r="AO554" i="2" s="1"/>
  <c r="R875" i="2"/>
  <c r="P962" i="2"/>
  <c r="T803" i="2"/>
  <c r="R648" i="2"/>
  <c r="M644" i="2"/>
  <c r="O981" i="2"/>
  <c r="AO981" i="2" s="1"/>
  <c r="T622" i="2"/>
  <c r="Q601" i="2"/>
  <c r="S791" i="2"/>
  <c r="P924" i="2"/>
  <c r="S780" i="2"/>
  <c r="N996" i="2"/>
  <c r="AN996" i="2" s="1"/>
  <c r="N958" i="2"/>
  <c r="R536" i="2"/>
  <c r="R897" i="2"/>
  <c r="Q644" i="2"/>
  <c r="P606" i="2"/>
  <c r="P847" i="2"/>
  <c r="Q631" i="2"/>
  <c r="H1000" i="2"/>
  <c r="R757" i="2"/>
  <c r="S630" i="2"/>
  <c r="S969" i="2"/>
  <c r="H637" i="2"/>
  <c r="W603" i="2"/>
  <c r="U623" i="2"/>
  <c r="S669" i="2"/>
  <c r="M535" i="2"/>
  <c r="Q608" i="2"/>
  <c r="H727" i="2"/>
  <c r="O761" i="2"/>
  <c r="AO761" i="2" s="1"/>
  <c r="M978" i="2"/>
  <c r="M786" i="2"/>
  <c r="T933" i="2"/>
  <c r="P527" i="2"/>
  <c r="N789" i="2"/>
  <c r="AN789" i="2" s="1"/>
  <c r="H760" i="2"/>
  <c r="Q928" i="2"/>
  <c r="U705" i="2"/>
  <c r="R761" i="2"/>
  <c r="W813" i="2"/>
  <c r="O846" i="2"/>
  <c r="AO846" i="2" s="1"/>
  <c r="S738" i="2"/>
  <c r="O740" i="2"/>
  <c r="AO740" i="2" s="1"/>
  <c r="O889" i="2"/>
  <c r="N930" i="2"/>
  <c r="AN930" i="2" s="1"/>
  <c r="M773" i="2"/>
  <c r="T507" i="2"/>
  <c r="S548" i="2"/>
  <c r="T996" i="2"/>
  <c r="S891" i="2"/>
  <c r="R642" i="2"/>
  <c r="O968" i="2"/>
  <c r="R914" i="2"/>
  <c r="O606" i="2"/>
  <c r="AO606" i="2" s="1"/>
  <c r="Q742" i="2"/>
  <c r="W643" i="2"/>
  <c r="R614" i="2"/>
  <c r="W874" i="2"/>
  <c r="N752" i="2"/>
  <c r="AN752" i="2" s="1"/>
  <c r="H811" i="2"/>
  <c r="N859" i="2"/>
  <c r="AN859" i="2" s="1"/>
  <c r="N737" i="2"/>
  <c r="AN737" i="2" s="1"/>
  <c r="T651" i="2"/>
  <c r="O917" i="2"/>
  <c r="AO917" i="2" s="1"/>
  <c r="W761" i="2"/>
  <c r="P923" i="2"/>
  <c r="R896" i="2"/>
  <c r="H753" i="2"/>
  <c r="M977" i="2"/>
  <c r="U913" i="2"/>
  <c r="N841" i="2"/>
  <c r="AN841" i="2" s="1"/>
  <c r="T857" i="2"/>
  <c r="U563" i="2"/>
  <c r="O869" i="2"/>
  <c r="AO869" i="2" s="1"/>
  <c r="N773" i="2"/>
  <c r="AN773" i="2" s="1"/>
  <c r="T655" i="2"/>
  <c r="M865" i="2"/>
  <c r="R843" i="2"/>
  <c r="N910" i="2"/>
  <c r="AN910" i="2" s="1"/>
  <c r="U856" i="2"/>
  <c r="M727" i="2"/>
  <c r="O955" i="2"/>
  <c r="AO955" i="2" s="1"/>
  <c r="W889" i="2"/>
  <c r="M841" i="2"/>
  <c r="T770" i="2"/>
  <c r="T742" i="2"/>
  <c r="Q712" i="2"/>
  <c r="Q625" i="2"/>
  <c r="S845" i="2"/>
  <c r="N632" i="2"/>
  <c r="AN632" i="2" s="1"/>
  <c r="M976" i="2"/>
  <c r="T944" i="2"/>
  <c r="N708" i="2"/>
  <c r="AN708" i="2" s="1"/>
  <c r="U829" i="2"/>
  <c r="R873" i="2"/>
  <c r="O519" i="2"/>
  <c r="AO519" i="2" s="1"/>
  <c r="S666" i="2"/>
  <c r="H704" i="2"/>
  <c r="Q720" i="2"/>
  <c r="N914" i="2"/>
  <c r="AN914" i="2" s="1"/>
  <c r="T553" i="2"/>
  <c r="T545" i="2"/>
  <c r="Q511" i="2"/>
  <c r="N633" i="2"/>
  <c r="AN633" i="2" s="1"/>
  <c r="W809" i="2"/>
  <c r="R11" i="2"/>
  <c r="H960" i="2"/>
  <c r="O629" i="2"/>
  <c r="AO629" i="2" s="1"/>
  <c r="R20" i="2"/>
  <c r="H594" i="2"/>
  <c r="U696" i="2"/>
  <c r="O723" i="2"/>
  <c r="AO723" i="2" s="1"/>
  <c r="P839" i="2"/>
  <c r="O794" i="2"/>
  <c r="AO794" i="2" s="1"/>
  <c r="N861" i="2"/>
  <c r="AN861" i="2" s="1"/>
  <c r="H572" i="2"/>
  <c r="U716" i="2"/>
  <c r="S925" i="2"/>
  <c r="M553" i="2"/>
  <c r="S764" i="2"/>
  <c r="W995" i="2"/>
  <c r="W746" i="2"/>
  <c r="N585" i="2"/>
  <c r="AN585" i="2" s="1"/>
  <c r="O620" i="2"/>
  <c r="AO620" i="2" s="1"/>
  <c r="O568" i="2"/>
  <c r="U824" i="2"/>
  <c r="O737" i="2"/>
  <c r="AO737" i="2" s="1"/>
  <c r="M807" i="2"/>
  <c r="W843" i="2"/>
  <c r="T762" i="2"/>
  <c r="Q868" i="2"/>
  <c r="Q851" i="2"/>
  <c r="T906" i="2"/>
  <c r="M581" i="2"/>
  <c r="N995" i="2"/>
  <c r="AN995" i="2" s="1"/>
  <c r="N976" i="2"/>
  <c r="AN976" i="2" s="1"/>
  <c r="N674" i="2"/>
  <c r="AN674" i="2" s="1"/>
  <c r="M573" i="2"/>
  <c r="W764" i="2"/>
  <c r="W640" i="2"/>
  <c r="N915" i="2"/>
  <c r="N621" i="2"/>
  <c r="AN621" i="2" s="1"/>
  <c r="U790" i="2"/>
  <c r="S995" i="2"/>
  <c r="T784" i="2"/>
  <c r="M917" i="2"/>
  <c r="S571" i="2"/>
  <c r="M741" i="2"/>
  <c r="Q725" i="2"/>
  <c r="R662" i="2"/>
  <c r="T746" i="2"/>
  <c r="U925" i="2"/>
  <c r="W553" i="2"/>
  <c r="R827" i="2"/>
  <c r="R738" i="2"/>
  <c r="Q525" i="2"/>
  <c r="Q952" i="2"/>
  <c r="N837" i="2"/>
  <c r="AN837" i="2" s="1"/>
  <c r="N879" i="2"/>
  <c r="AN879" i="2" s="1"/>
  <c r="O882" i="2"/>
  <c r="AO882" i="2" s="1"/>
  <c r="P855" i="2"/>
  <c r="P853" i="2"/>
  <c r="N756" i="2"/>
  <c r="AN756" i="2" s="1"/>
  <c r="U721" i="2"/>
  <c r="R922" i="2"/>
  <c r="T840" i="2"/>
  <c r="O721" i="2"/>
  <c r="AO721" i="2" s="1"/>
  <c r="U607" i="2"/>
  <c r="T837" i="2"/>
  <c r="Q954" i="2"/>
  <c r="T677" i="2"/>
  <c r="S727" i="2"/>
  <c r="R971" i="2"/>
  <c r="S761" i="2"/>
  <c r="N895" i="2"/>
  <c r="AN895" i="2" s="1"/>
  <c r="U737" i="2"/>
  <c r="T676" i="2"/>
  <c r="M794" i="2"/>
  <c r="M522" i="2"/>
  <c r="O943" i="2"/>
  <c r="AO943" i="2" s="1"/>
  <c r="T692" i="2"/>
  <c r="N679" i="2"/>
  <c r="AN679" i="2" s="1"/>
  <c r="Q814" i="2"/>
  <c r="R813" i="2"/>
  <c r="N605" i="2"/>
  <c r="AN605" i="2" s="1"/>
  <c r="H916" i="2"/>
  <c r="H613" i="2"/>
  <c r="U619" i="2"/>
  <c r="S844" i="2"/>
  <c r="R554" i="2"/>
  <c r="T896" i="2"/>
  <c r="N627" i="2"/>
  <c r="AN627" i="2" s="1"/>
  <c r="M928" i="2"/>
  <c r="R857" i="2"/>
  <c r="R858" i="2"/>
  <c r="S609" i="2"/>
  <c r="P975" i="2"/>
  <c r="R980" i="2"/>
  <c r="U985" i="2"/>
  <c r="U863" i="2"/>
  <c r="Q650" i="2"/>
  <c r="S673" i="2"/>
  <c r="S681" i="2"/>
  <c r="P720" i="2"/>
  <c r="M731" i="2"/>
  <c r="Q743" i="2"/>
  <c r="H810" i="2"/>
  <c r="Q763" i="2"/>
  <c r="W583" i="2"/>
  <c r="P860" i="2"/>
  <c r="W642" i="2"/>
  <c r="M788" i="2"/>
  <c r="P880" i="2"/>
  <c r="O506" i="2"/>
  <c r="AO506" i="2" s="1"/>
  <c r="S990" i="2"/>
  <c r="Q889" i="2"/>
  <c r="P636" i="2"/>
  <c r="T778" i="2"/>
  <c r="Q802" i="2"/>
  <c r="R728" i="2"/>
  <c r="T937" i="2"/>
  <c r="M800" i="2"/>
  <c r="M714" i="2"/>
  <c r="O552" i="2"/>
  <c r="AO552" i="2" s="1"/>
  <c r="T737" i="2"/>
  <c r="T684" i="2"/>
  <c r="N936" i="2"/>
  <c r="AN936" i="2" s="1"/>
  <c r="M567" i="2"/>
  <c r="R19" i="2"/>
  <c r="H651" i="2"/>
  <c r="R4" i="2"/>
  <c r="S777" i="2"/>
  <c r="T13" i="2"/>
  <c r="P993" i="2"/>
  <c r="Q3" i="2"/>
  <c r="S663" i="2"/>
  <c r="H748" i="2"/>
  <c r="S542" i="2"/>
  <c r="O729" i="2"/>
  <c r="AO729" i="2" s="1"/>
  <c r="P974" i="2"/>
  <c r="O746" i="2"/>
  <c r="AO746" i="2" s="1"/>
  <c r="H735" i="2"/>
  <c r="R657" i="2"/>
  <c r="U679" i="2"/>
  <c r="U735" i="2"/>
  <c r="M856" i="2"/>
  <c r="Q598" i="2"/>
  <c r="R704" i="2"/>
  <c r="S832" i="2"/>
  <c r="T590" i="2"/>
  <c r="O584" i="2"/>
  <c r="AO584" i="2" s="1"/>
  <c r="H674" i="2"/>
  <c r="H687" i="2"/>
  <c r="U855" i="2"/>
  <c r="O673" i="2"/>
  <c r="AO673" i="2" s="1"/>
  <c r="Q671" i="2"/>
  <c r="M754" i="2"/>
  <c r="T843" i="2"/>
  <c r="H998" i="2"/>
  <c r="M829" i="2"/>
  <c r="S943" i="2"/>
  <c r="W941" i="2"/>
  <c r="T853" i="2"/>
  <c r="T628" i="2"/>
  <c r="O908" i="2"/>
  <c r="AO908" i="2" s="1"/>
  <c r="P832" i="2"/>
  <c r="H834" i="2"/>
  <c r="R702" i="2"/>
  <c r="M798" i="2"/>
  <c r="T618" i="2"/>
  <c r="M944" i="2"/>
  <c r="H812" i="2"/>
  <c r="P631" i="2"/>
  <c r="Q609" i="2"/>
  <c r="W918" i="2"/>
  <c r="H936" i="2"/>
  <c r="T606" i="2"/>
  <c r="U594" i="2"/>
  <c r="N781" i="2"/>
  <c r="AN781" i="2" s="1"/>
  <c r="M745" i="2"/>
  <c r="T648" i="2"/>
  <c r="M602" i="2"/>
  <c r="Q745" i="2"/>
  <c r="O865" i="2"/>
  <c r="AO865" i="2" s="1"/>
  <c r="M716" i="2"/>
  <c r="T883" i="2"/>
  <c r="O684" i="2"/>
  <c r="AO684" i="2" s="1"/>
  <c r="U820" i="2"/>
  <c r="T726" i="2"/>
  <c r="R690" i="2"/>
  <c r="N990" i="2"/>
  <c r="AN990" i="2" s="1"/>
  <c r="M730" i="2"/>
  <c r="Q682" i="2"/>
  <c r="O578" i="2"/>
  <c r="AO578" i="2" s="1"/>
  <c r="N943" i="2"/>
  <c r="AN943" i="2" s="1"/>
  <c r="T754" i="2"/>
  <c r="R572" i="2"/>
  <c r="Q784" i="2"/>
  <c r="O863" i="2"/>
  <c r="AO863" i="2" s="1"/>
  <c r="S772" i="2"/>
  <c r="R625" i="2"/>
  <c r="H868" i="2"/>
  <c r="T826" i="2"/>
  <c r="H841" i="2"/>
  <c r="W647" i="2"/>
  <c r="M694" i="2"/>
  <c r="S672" i="2"/>
  <c r="N802" i="2"/>
  <c r="AN802" i="2" s="1"/>
  <c r="P760" i="2"/>
  <c r="M638" i="2"/>
  <c r="S898" i="2"/>
  <c r="W772" i="2"/>
  <c r="T666" i="2"/>
  <c r="O658" i="2"/>
  <c r="AO658" i="2" s="1"/>
  <c r="U948" i="2"/>
  <c r="Q628" i="2"/>
  <c r="R888" i="2"/>
  <c r="U909" i="2"/>
  <c r="U574" i="2"/>
  <c r="R999" i="2"/>
  <c r="R946" i="2"/>
  <c r="S544" i="2"/>
  <c r="P830" i="2"/>
  <c r="R712" i="2"/>
  <c r="R929" i="2"/>
  <c r="N891" i="2"/>
  <c r="AN891" i="2" s="1"/>
  <c r="R889" i="2"/>
  <c r="R746" i="2"/>
  <c r="H761" i="2"/>
  <c r="O774" i="2"/>
  <c r="AO774" i="2" s="1"/>
  <c r="W915" i="2"/>
  <c r="W754" i="2"/>
  <c r="H758" i="2"/>
  <c r="T543" i="2"/>
  <c r="M946" i="2"/>
  <c r="H738" i="2"/>
  <c r="S692" i="2"/>
  <c r="N913" i="2"/>
  <c r="AN913" i="2" s="1"/>
  <c r="M879" i="2"/>
  <c r="U924" i="2"/>
  <c r="S949" i="2"/>
  <c r="U608" i="2"/>
  <c r="O635" i="2"/>
  <c r="AO635" i="2" s="1"/>
  <c r="N590" i="2"/>
  <c r="AN590" i="2" s="1"/>
  <c r="U690" i="2"/>
  <c r="P849" i="2"/>
  <c r="W955" i="2"/>
  <c r="P702" i="2"/>
  <c r="N957" i="2"/>
  <c r="M887" i="2"/>
  <c r="O995" i="2"/>
  <c r="AO995" i="2" s="1"/>
  <c r="W856" i="2"/>
  <c r="W752" i="2"/>
  <c r="R949" i="2"/>
  <c r="O872" i="2"/>
  <c r="AO872" i="2" s="1"/>
  <c r="N820" i="2"/>
  <c r="AN820" i="2" s="1"/>
  <c r="W709" i="2"/>
  <c r="U14" i="2"/>
  <c r="H610" i="2"/>
  <c r="Q587" i="2"/>
  <c r="M808" i="2"/>
  <c r="S29" i="2"/>
  <c r="W925" i="2"/>
  <c r="Q877" i="2"/>
  <c r="Q5" i="2"/>
  <c r="S841" i="2"/>
  <c r="N667" i="2"/>
  <c r="AN667" i="2" s="1"/>
  <c r="T766" i="2"/>
  <c r="Q512" i="2"/>
  <c r="S964" i="2"/>
  <c r="T819" i="2"/>
  <c r="S930" i="2"/>
  <c r="S719" i="2"/>
  <c r="S763" i="2"/>
  <c r="R717" i="2"/>
  <c r="O547" i="2"/>
  <c r="AO547" i="2" s="1"/>
  <c r="W980" i="2"/>
  <c r="O685" i="2"/>
  <c r="AO685" i="2" s="1"/>
  <c r="P506" i="2"/>
  <c r="P877" i="2"/>
  <c r="T649" i="2"/>
  <c r="H762" i="2"/>
  <c r="S956" i="2"/>
  <c r="P885" i="2"/>
  <c r="H894" i="2"/>
  <c r="T835" i="2"/>
  <c r="P968" i="2"/>
  <c r="N682" i="2"/>
  <c r="S924" i="2"/>
  <c r="T621" i="2"/>
  <c r="M755" i="2"/>
  <c r="Q979" i="2"/>
  <c r="P581" i="2"/>
  <c r="W726" i="2"/>
  <c r="U723" i="2"/>
  <c r="Q993" i="2"/>
  <c r="T936" i="2"/>
  <c r="U991" i="2"/>
  <c r="Q728" i="2"/>
  <c r="Q938" i="2"/>
  <c r="T918" i="2"/>
  <c r="T568" i="2"/>
  <c r="U956" i="2"/>
  <c r="S735" i="2"/>
  <c r="U871" i="2"/>
  <c r="O551" i="2"/>
  <c r="AO551" i="2" s="1"/>
  <c r="T873" i="2"/>
  <c r="S912" i="2"/>
  <c r="N866" i="2"/>
  <c r="AN866" i="2" s="1"/>
  <c r="R626" i="2"/>
  <c r="O763" i="2"/>
  <c r="AO763" i="2" s="1"/>
  <c r="M736" i="2"/>
  <c r="W865" i="2"/>
  <c r="R978" i="2"/>
  <c r="M817" i="2"/>
  <c r="S1000" i="2"/>
  <c r="W835" i="2"/>
  <c r="O934" i="2"/>
  <c r="AO934" i="2" s="1"/>
  <c r="W928" i="2"/>
  <c r="O762" i="2"/>
  <c r="AO762" i="2" s="1"/>
  <c r="M837" i="2"/>
  <c r="P999" i="2"/>
  <c r="U885" i="2"/>
  <c r="O688" i="2"/>
  <c r="AO688" i="2" s="1"/>
  <c r="W615" i="2"/>
  <c r="U628" i="2"/>
  <c r="P785" i="2"/>
  <c r="Q933" i="2"/>
  <c r="W766" i="2"/>
  <c r="T638" i="2"/>
  <c r="Q636" i="2"/>
  <c r="W823" i="2"/>
  <c r="M578" i="2"/>
  <c r="N603" i="2"/>
  <c r="AN603" i="2" s="1"/>
  <c r="O780" i="2"/>
  <c r="AO780" i="2" s="1"/>
  <c r="M802" i="2"/>
  <c r="Q617" i="2"/>
  <c r="P590" i="2"/>
  <c r="O669" i="2"/>
  <c r="AO669" i="2" s="1"/>
  <c r="R829" i="2"/>
  <c r="W924" i="2"/>
  <c r="U896" i="2"/>
  <c r="M765" i="2"/>
  <c r="N817" i="2"/>
  <c r="AN817" i="2" s="1"/>
  <c r="H945" i="2"/>
  <c r="S774" i="2"/>
  <c r="N920" i="2"/>
  <c r="AN920" i="2" s="1"/>
  <c r="R593" i="2"/>
  <c r="S654" i="2"/>
  <c r="R935" i="2"/>
  <c r="S589" i="2"/>
  <c r="P806" i="2"/>
  <c r="U763" i="2"/>
  <c r="N662" i="2"/>
  <c r="AN662" i="2" s="1"/>
  <c r="R985" i="2"/>
  <c r="P740" i="2"/>
  <c r="P902" i="2"/>
  <c r="R779" i="2"/>
  <c r="S638" i="2"/>
  <c r="O992" i="2"/>
  <c r="AO992" i="2" s="1"/>
  <c r="M738" i="2"/>
  <c r="N952" i="2"/>
  <c r="AN952" i="2" s="1"/>
  <c r="H578" i="2"/>
  <c r="W690" i="2"/>
  <c r="P851" i="2"/>
  <c r="R677" i="2"/>
  <c r="P784" i="2"/>
  <c r="S800" i="2"/>
  <c r="S716" i="2"/>
  <c r="O964" i="2"/>
  <c r="AO964" i="2" s="1"/>
  <c r="Q714" i="2"/>
  <c r="M813" i="2"/>
  <c r="W712" i="2"/>
  <c r="M711" i="2"/>
  <c r="T911" i="2"/>
  <c r="O967" i="2"/>
  <c r="AO967" i="2" s="1"/>
  <c r="O990" i="2"/>
  <c r="U996" i="2"/>
  <c r="Q604" i="2"/>
  <c r="W595" i="2"/>
  <c r="P800" i="2"/>
  <c r="O897" i="2"/>
  <c r="AO897" i="2" s="1"/>
  <c r="W19" i="2"/>
  <c r="P34" i="2"/>
  <c r="W676" i="2"/>
  <c r="N775" i="2"/>
  <c r="AN775" i="2" s="1"/>
  <c r="W854" i="2"/>
  <c r="T582" i="2"/>
  <c r="S797" i="2"/>
  <c r="S12" i="2"/>
  <c r="H966" i="2"/>
  <c r="O644" i="2"/>
  <c r="AO644" i="2" s="1"/>
  <c r="Q661" i="2"/>
  <c r="N846" i="2"/>
  <c r="AN846" i="2" s="1"/>
  <c r="W858" i="2"/>
  <c r="N692" i="2"/>
  <c r="AN692" i="2" s="1"/>
  <c r="R887" i="2"/>
  <c r="Q948" i="2"/>
  <c r="R620" i="2"/>
  <c r="Q709" i="2"/>
  <c r="O617" i="2"/>
  <c r="AO617" i="2" s="1"/>
  <c r="O887" i="2"/>
  <c r="AO887" i="2" s="1"/>
  <c r="S885" i="2"/>
  <c r="U953" i="2"/>
  <c r="M513" i="2"/>
  <c r="M1000" i="2"/>
  <c r="M827" i="2"/>
  <c r="R933" i="2"/>
  <c r="S662" i="2"/>
  <c r="M523" i="2"/>
  <c r="U591" i="2"/>
  <c r="P685" i="2"/>
  <c r="N722" i="2"/>
  <c r="AN722" i="2" s="1"/>
  <c r="Q760" i="2"/>
  <c r="U840" i="2"/>
  <c r="H588" i="2"/>
  <c r="Q848" i="2"/>
  <c r="P745" i="2"/>
  <c r="S897" i="2"/>
  <c r="H682" i="2"/>
  <c r="U833" i="2"/>
  <c r="Q886" i="2"/>
  <c r="P766" i="2"/>
  <c r="T599" i="2"/>
  <c r="Q841" i="2"/>
  <c r="H734" i="2"/>
  <c r="S712" i="2"/>
  <c r="R736" i="2"/>
  <c r="T723" i="2"/>
  <c r="R950" i="2"/>
  <c r="R877" i="2"/>
  <c r="R744" i="2"/>
  <c r="T908" i="2"/>
  <c r="Q864" i="2"/>
  <c r="U921" i="2"/>
  <c r="U974" i="2"/>
  <c r="P814" i="2"/>
  <c r="S508" i="2"/>
  <c r="S771" i="2"/>
  <c r="H878" i="2"/>
  <c r="H943" i="2"/>
  <c r="H675" i="2"/>
  <c r="H638" i="2"/>
  <c r="H914" i="2"/>
  <c r="W777" i="2"/>
  <c r="M668" i="2"/>
  <c r="M600" i="2"/>
  <c r="O16" i="2"/>
  <c r="S30" i="2"/>
  <c r="U24" i="2"/>
  <c r="R13" i="2"/>
  <c r="U780" i="2"/>
  <c r="T7" i="2"/>
  <c r="Q575" i="2"/>
  <c r="S886" i="2"/>
  <c r="P874" i="2"/>
  <c r="S793" i="2"/>
  <c r="M14" i="2"/>
  <c r="P24" i="2"/>
  <c r="T795" i="2"/>
  <c r="P8" i="2"/>
  <c r="M858" i="2"/>
  <c r="H14" i="2"/>
  <c r="M4" i="2"/>
  <c r="W11" i="2"/>
  <c r="Q7" i="2"/>
  <c r="M21" i="2"/>
  <c r="R680" i="2"/>
  <c r="R29" i="2"/>
  <c r="U983" i="2"/>
  <c r="R563" i="2"/>
  <c r="O785" i="2"/>
  <c r="AO785" i="2" s="1"/>
  <c r="M33" i="2"/>
  <c r="Q566" i="2"/>
  <c r="W533" i="2"/>
  <c r="H652" i="2"/>
  <c r="Q673" i="2"/>
  <c r="U31" i="2"/>
  <c r="R26" i="2"/>
  <c r="P2" i="2"/>
  <c r="T24" i="2"/>
  <c r="R851" i="2"/>
  <c r="M866" i="2"/>
  <c r="M19" i="2"/>
  <c r="P544" i="2"/>
  <c r="R33" i="2"/>
  <c r="H683" i="2"/>
  <c r="T520" i="2"/>
  <c r="U27" i="2"/>
  <c r="P730" i="2"/>
  <c r="S6" i="2"/>
  <c r="M789" i="2"/>
  <c r="M18" i="2"/>
  <c r="M935" i="2"/>
  <c r="T781" i="2"/>
  <c r="R12" i="2"/>
  <c r="R3" i="2"/>
  <c r="P17" i="2"/>
  <c r="M9" i="2"/>
  <c r="S758" i="2"/>
  <c r="N26" i="2"/>
  <c r="W944" i="2"/>
  <c r="O824" i="2"/>
  <c r="AO824" i="2" s="1"/>
  <c r="H601" i="2"/>
  <c r="M592" i="2"/>
  <c r="M645" i="2"/>
  <c r="R878" i="2"/>
  <c r="N548" i="2"/>
  <c r="AN548" i="2" s="1"/>
  <c r="Q771" i="2"/>
  <c r="H783" i="2"/>
  <c r="T667" i="2"/>
  <c r="Q544" i="2"/>
  <c r="P694" i="2"/>
  <c r="S882" i="2"/>
  <c r="W948" i="2"/>
  <c r="U600" i="2"/>
  <c r="H535" i="2"/>
  <c r="M998" i="2"/>
  <c r="M811" i="2"/>
  <c r="P983" i="2"/>
  <c r="P808" i="2"/>
  <c r="R580" i="2"/>
  <c r="O901" i="2"/>
  <c r="AO901" i="2" s="1"/>
  <c r="N896" i="2"/>
  <c r="AN896" i="2" s="1"/>
  <c r="P956" i="2"/>
  <c r="W686" i="2"/>
  <c r="N716" i="2"/>
  <c r="AN716" i="2" s="1"/>
  <c r="U711" i="2"/>
  <c r="W968" i="2"/>
  <c r="U635" i="2"/>
  <c r="T947" i="2"/>
  <c r="R992" i="2"/>
  <c r="O775" i="2"/>
  <c r="AO775" i="2" s="1"/>
  <c r="T758" i="2"/>
  <c r="H609" i="2"/>
  <c r="W606" i="2"/>
  <c r="Q855" i="2"/>
  <c r="Q869" i="2"/>
  <c r="U975" i="2"/>
  <c r="O976" i="2"/>
  <c r="AO976" i="2" s="1"/>
  <c r="O758" i="2"/>
  <c r="AO758" i="2" s="1"/>
  <c r="U944" i="2"/>
  <c r="P959" i="2"/>
  <c r="P931" i="2"/>
  <c r="P992" i="2"/>
  <c r="P747" i="2"/>
  <c r="U803" i="2"/>
  <c r="M921" i="2"/>
  <c r="N747" i="2"/>
  <c r="AN747" i="2" s="1"/>
  <c r="U888" i="2"/>
  <c r="T981" i="2"/>
  <c r="S910" i="2"/>
  <c r="M894" i="2"/>
  <c r="P757" i="2"/>
  <c r="S736" i="2"/>
  <c r="T958" i="2"/>
  <c r="M675" i="2"/>
  <c r="M881" i="2"/>
  <c r="M775" i="2"/>
  <c r="U631" i="2"/>
  <c r="S680" i="2"/>
  <c r="S803" i="2"/>
  <c r="Q887" i="2"/>
  <c r="Q962" i="2"/>
  <c r="S760" i="2"/>
  <c r="T884" i="2"/>
  <c r="M17" i="2"/>
  <c r="O10" i="2"/>
  <c r="S769" i="2"/>
  <c r="N17" i="2"/>
  <c r="T605" i="2"/>
  <c r="T28" i="2"/>
  <c r="N4" i="2"/>
  <c r="S9" i="2"/>
  <c r="P21" i="2"/>
  <c r="S14" i="2"/>
  <c r="O32" i="2"/>
  <c r="W23" i="2"/>
  <c r="O3" i="2"/>
  <c r="S785" i="2"/>
  <c r="P709" i="2"/>
  <c r="Q581" i="2"/>
  <c r="S679" i="2"/>
  <c r="S505" i="2"/>
  <c r="H934" i="2"/>
  <c r="M604" i="2"/>
  <c r="H930" i="2"/>
  <c r="N986" i="2"/>
  <c r="AN986" i="2" s="1"/>
  <c r="P9" i="2"/>
  <c r="M874" i="2"/>
  <c r="U29" i="2"/>
  <c r="W3" i="2"/>
  <c r="R958" i="2"/>
  <c r="N31" i="2"/>
  <c r="T22" i="2"/>
  <c r="T659" i="2"/>
  <c r="S658" i="2"/>
  <c r="R776" i="2"/>
  <c r="S581" i="2"/>
  <c r="O13" i="2"/>
  <c r="P786" i="2"/>
  <c r="O33" i="2"/>
  <c r="H24" i="2"/>
  <c r="S11" i="2"/>
  <c r="U722" i="2"/>
  <c r="P794" i="2"/>
  <c r="R977" i="2"/>
  <c r="M764" i="2"/>
  <c r="W714" i="2"/>
  <c r="R34" i="2"/>
  <c r="H23" i="2"/>
  <c r="N786" i="2"/>
  <c r="AN786" i="2" s="1"/>
  <c r="Q629" i="2"/>
  <c r="M860" i="2"/>
  <c r="T665" i="2"/>
  <c r="P26" i="2"/>
  <c r="P866" i="2"/>
  <c r="N854" i="2"/>
  <c r="AN854" i="2" s="1"/>
  <c r="H805" i="2"/>
  <c r="H528" i="2"/>
  <c r="P10" i="2"/>
  <c r="M13" i="2"/>
  <c r="T16" i="2"/>
  <c r="T19" i="2"/>
  <c r="O793" i="2"/>
  <c r="AO793" i="2" s="1"/>
  <c r="Q15" i="2"/>
  <c r="M667" i="2"/>
  <c r="U549" i="2"/>
  <c r="M739" i="2"/>
  <c r="H799" i="2"/>
  <c r="S671" i="2"/>
  <c r="H22" i="2"/>
  <c r="S20" i="2"/>
  <c r="O14" i="2"/>
  <c r="S23" i="2"/>
  <c r="M870" i="2"/>
  <c r="H605" i="2"/>
  <c r="O659" i="2"/>
  <c r="AO659" i="2" s="1"/>
  <c r="S632" i="2"/>
  <c r="S894" i="2"/>
  <c r="R14" i="2"/>
  <c r="N672" i="2"/>
  <c r="AN672" i="2" s="1"/>
  <c r="U644" i="2"/>
  <c r="M890" i="2"/>
  <c r="Q600" i="2"/>
  <c r="H19" i="2"/>
  <c r="T541" i="2"/>
  <c r="T810" i="2"/>
  <c r="U828" i="2"/>
  <c r="U622" i="2"/>
  <c r="P587" i="2"/>
  <c r="Q654" i="2"/>
  <c r="R568" i="2"/>
  <c r="W963" i="2"/>
  <c r="O809" i="2"/>
  <c r="AO809" i="2" s="1"/>
  <c r="N918" i="2"/>
  <c r="S711" i="2"/>
  <c r="H690" i="2"/>
  <c r="R915" i="2"/>
  <c r="T776" i="2"/>
  <c r="R870" i="2"/>
  <c r="Q939" i="2"/>
  <c r="P680" i="2"/>
  <c r="Q770" i="2"/>
  <c r="Q845" i="2"/>
  <c r="Q882" i="2"/>
  <c r="N968" i="2"/>
  <c r="AN968" i="2" s="1"/>
  <c r="M565" i="2"/>
  <c r="T993" i="2"/>
  <c r="H953" i="2"/>
  <c r="T807" i="2"/>
  <c r="H592" i="2"/>
  <c r="W659" i="2"/>
  <c r="N1000" i="2"/>
  <c r="AN1000" i="2" s="1"/>
  <c r="P965" i="2"/>
  <c r="N694" i="2"/>
  <c r="AN694" i="2" s="1"/>
  <c r="O626" i="2"/>
  <c r="AO626" i="2" s="1"/>
  <c r="O738" i="2"/>
  <c r="AO738" i="2" s="1"/>
  <c r="R666" i="2"/>
  <c r="R925" i="2"/>
  <c r="O925" i="2"/>
  <c r="AO925" i="2" s="1"/>
  <c r="H573" i="2"/>
  <c r="W873" i="2"/>
  <c r="P642" i="2"/>
  <c r="T725" i="2"/>
  <c r="P565" i="2"/>
  <c r="W961" i="2"/>
  <c r="R975" i="2"/>
  <c r="P726" i="2"/>
  <c r="O959" i="2"/>
  <c r="AO959" i="2" s="1"/>
  <c r="O924" i="2"/>
  <c r="AO924" i="2" s="1"/>
  <c r="O631" i="2"/>
  <c r="AO631" i="2" s="1"/>
  <c r="U742" i="2"/>
  <c r="M705" i="2"/>
  <c r="T8" i="2"/>
  <c r="M785" i="2"/>
  <c r="M25" i="2"/>
  <c r="W943" i="2"/>
  <c r="P749" i="2"/>
  <c r="M840" i="2"/>
  <c r="M777" i="2"/>
  <c r="Q16" i="2"/>
  <c r="M544" i="2"/>
  <c r="R924" i="2"/>
  <c r="M676" i="2"/>
  <c r="M934" i="2"/>
  <c r="P792" i="2"/>
  <c r="H576" i="2"/>
  <c r="Q664" i="2"/>
  <c r="H656" i="2"/>
  <c r="N9" i="2"/>
  <c r="H986" i="2"/>
  <c r="P15" i="2"/>
  <c r="P665" i="2"/>
  <c r="T18" i="2"/>
  <c r="U9" i="2"/>
  <c r="H668" i="2"/>
  <c r="P545" i="2"/>
  <c r="Q591" i="2"/>
  <c r="R696" i="2"/>
  <c r="M22" i="2"/>
  <c r="Q14" i="2"/>
  <c r="H767" i="2"/>
  <c r="R667" i="2"/>
  <c r="T919" i="2"/>
  <c r="H671" i="2"/>
  <c r="N13" i="2"/>
  <c r="Q921" i="2"/>
  <c r="U28" i="2"/>
  <c r="T656" i="2"/>
  <c r="O513" i="2"/>
  <c r="AO513" i="2" s="1"/>
  <c r="Q509" i="2"/>
  <c r="P857" i="2"/>
  <c r="S501" i="2"/>
  <c r="R31" i="2"/>
  <c r="H990" i="2"/>
  <c r="P5" i="2"/>
  <c r="M12" i="2"/>
  <c r="S570" i="2"/>
  <c r="H872" i="2"/>
  <c r="O777" i="2"/>
  <c r="AO777" i="2" s="1"/>
  <c r="O15" i="2"/>
  <c r="W661" i="2"/>
  <c r="W33" i="2"/>
  <c r="M24" i="2"/>
  <c r="P23" i="2"/>
  <c r="N680" i="2"/>
  <c r="AN680" i="2" s="1"/>
  <c r="M900" i="2"/>
  <c r="Q8" i="2"/>
  <c r="P28" i="2"/>
  <c r="O24" i="2"/>
  <c r="S659" i="2"/>
  <c r="R18" i="2"/>
  <c r="M929" i="2"/>
  <c r="T901" i="2"/>
  <c r="T923" i="2"/>
  <c r="P512" i="2"/>
  <c r="O800" i="2"/>
  <c r="AO800" i="2" s="1"/>
  <c r="N695" i="2"/>
  <c r="AN695" i="2" s="1"/>
  <c r="Q925" i="2"/>
  <c r="M721" i="2"/>
  <c r="Q19" i="2"/>
  <c r="U17" i="2"/>
  <c r="U667" i="2"/>
  <c r="W28" i="2"/>
  <c r="P842" i="2"/>
  <c r="S547" i="2"/>
  <c r="T964" i="2"/>
  <c r="U651" i="2"/>
  <c r="M652" i="2"/>
  <c r="P592" i="2"/>
  <c r="R544" i="2"/>
  <c r="Q651" i="2"/>
  <c r="W789" i="2"/>
  <c r="R799" i="2"/>
  <c r="M919" i="2"/>
  <c r="S870" i="2"/>
  <c r="T798" i="2"/>
  <c r="H815" i="2"/>
  <c r="Q904" i="2"/>
  <c r="O788" i="2"/>
  <c r="AO788" i="2" s="1"/>
  <c r="P925" i="2"/>
  <c r="M588" i="2"/>
  <c r="P690" i="2"/>
  <c r="O742" i="2"/>
  <c r="AO742" i="2" s="1"/>
  <c r="M624" i="2"/>
  <c r="T961" i="2"/>
  <c r="N639" i="2"/>
  <c r="AN639" i="2" s="1"/>
  <c r="P701" i="2"/>
  <c r="Q603" i="2"/>
  <c r="N988" i="2"/>
  <c r="AN988" i="2" s="1"/>
  <c r="U869" i="2"/>
  <c r="N888" i="2"/>
  <c r="Q755" i="2"/>
  <c r="T607" i="2"/>
  <c r="Q907" i="2"/>
  <c r="W893" i="2"/>
  <c r="U898" i="2"/>
  <c r="M792" i="2"/>
  <c r="M618" i="2"/>
  <c r="M969" i="2"/>
  <c r="H924" i="2"/>
  <c r="S830" i="2"/>
  <c r="R940" i="2"/>
  <c r="O834" i="2"/>
  <c r="AO834" i="2" s="1"/>
  <c r="P608" i="2"/>
  <c r="S742" i="2"/>
  <c r="H852" i="2"/>
  <c r="M784" i="2"/>
  <c r="S874" i="2"/>
  <c r="R895" i="2"/>
  <c r="N636" i="2"/>
  <c r="AN636" i="2" s="1"/>
  <c r="S625" i="2"/>
  <c r="U934" i="2"/>
  <c r="H845" i="2"/>
  <c r="M526" i="2"/>
  <c r="M812" i="2"/>
  <c r="N953" i="2"/>
  <c r="AN953" i="2" s="1"/>
  <c r="R650" i="2"/>
  <c r="T711" i="2"/>
  <c r="H838" i="2"/>
  <c r="M629" i="2"/>
  <c r="N588" i="2"/>
  <c r="AN588" i="2" s="1"/>
  <c r="N705" i="2"/>
  <c r="H10" i="2"/>
  <c r="W5" i="2"/>
  <c r="S19" i="2"/>
  <c r="R850" i="2"/>
  <c r="Q669" i="2"/>
  <c r="W30" i="2"/>
  <c r="T629" i="2"/>
  <c r="S24" i="2"/>
  <c r="Q21" i="2"/>
  <c r="W645" i="2"/>
  <c r="P664" i="2"/>
  <c r="H13" i="2"/>
  <c r="T596" i="2"/>
  <c r="S10" i="2"/>
  <c r="N617" i="2"/>
  <c r="AN617" i="2" s="1"/>
  <c r="T15" i="2"/>
  <c r="W20" i="2"/>
  <c r="Q32" i="2"/>
  <c r="P7" i="2"/>
  <c r="Q831" i="2"/>
  <c r="H854" i="2"/>
  <c r="T25" i="2"/>
  <c r="H653" i="2"/>
  <c r="O29" i="2"/>
  <c r="T21" i="2"/>
  <c r="H992" i="2"/>
  <c r="S762" i="2"/>
  <c r="S653" i="2"/>
  <c r="M632" i="2"/>
  <c r="Q31" i="2"/>
  <c r="P811" i="2"/>
  <c r="P719" i="2"/>
  <c r="R739" i="2"/>
  <c r="N15" i="2"/>
  <c r="S890" i="2"/>
  <c r="S628" i="2"/>
  <c r="T793" i="2"/>
  <c r="M31" i="2"/>
  <c r="N890" i="2"/>
  <c r="AN890" i="2" s="1"/>
  <c r="R538" i="2"/>
  <c r="T601" i="2"/>
  <c r="T729" i="2"/>
  <c r="H631" i="2"/>
  <c r="O640" i="2"/>
  <c r="AO640" i="2" s="1"/>
  <c r="R7" i="2"/>
  <c r="N828" i="2"/>
  <c r="AN828" i="2" s="1"/>
  <c r="O8" i="2"/>
  <c r="P19" i="2"/>
  <c r="M3" i="2"/>
  <c r="H2" i="2"/>
  <c r="N16" i="2"/>
  <c r="T848" i="2"/>
  <c r="P938" i="2"/>
  <c r="M11" i="2"/>
  <c r="Q825" i="2"/>
  <c r="M852" i="2"/>
  <c r="O26" i="2"/>
  <c r="M722" i="2"/>
  <c r="P551" i="2"/>
  <c r="S502" i="2"/>
  <c r="H703" i="2"/>
  <c r="N10" i="2"/>
  <c r="M16" i="2"/>
  <c r="R774" i="2"/>
  <c r="P18" i="2"/>
  <c r="R6" i="2"/>
  <c r="P576" i="2"/>
  <c r="P629" i="2"/>
  <c r="M530" i="2"/>
  <c r="N782" i="2"/>
  <c r="AN782" i="2" s="1"/>
  <c r="H580" i="2"/>
  <c r="P621" i="2"/>
  <c r="P633" i="2"/>
  <c r="M512" i="2"/>
  <c r="U772" i="2"/>
  <c r="W530" i="2"/>
  <c r="H843" i="2"/>
  <c r="M896" i="2"/>
  <c r="W907" i="2"/>
  <c r="U831" i="2"/>
  <c r="S860" i="2"/>
  <c r="N853" i="2"/>
  <c r="AN853" i="2" s="1"/>
  <c r="U670" i="2"/>
  <c r="N793" i="2"/>
  <c r="AN793" i="2" s="1"/>
  <c r="S766" i="2"/>
  <c r="N654" i="2"/>
  <c r="AN654" i="2" s="1"/>
  <c r="T871" i="2"/>
  <c r="S612" i="2"/>
  <c r="N677" i="2"/>
  <c r="U812" i="2"/>
  <c r="R960" i="2"/>
  <c r="N735" i="2"/>
  <c r="AN735" i="2" s="1"/>
  <c r="S578" i="2"/>
  <c r="W765" i="2"/>
  <c r="M847" i="2"/>
  <c r="P988" i="2"/>
  <c r="R881" i="2"/>
  <c r="M744" i="2"/>
  <c r="P970" i="2"/>
  <c r="Q964" i="2"/>
  <c r="Q618" i="2"/>
  <c r="R753" i="2"/>
  <c r="Q749" i="2"/>
  <c r="N814" i="2"/>
  <c r="AN814" i="2" s="1"/>
  <c r="Q918" i="2"/>
  <c r="Q922" i="2"/>
  <c r="H798" i="2"/>
  <c r="W881" i="2"/>
  <c r="W618" i="2"/>
  <c r="R846" i="2"/>
  <c r="P942" i="2"/>
  <c r="Q794" i="2"/>
  <c r="W971" i="2"/>
  <c r="T573" i="2"/>
  <c r="H553" i="2"/>
  <c r="N977" i="2"/>
  <c r="AN977" i="2" s="1"/>
  <c r="U750" i="2"/>
  <c r="W817" i="2"/>
  <c r="N981" i="2"/>
  <c r="AN981" i="2" s="1"/>
  <c r="P912" i="2"/>
  <c r="O784" i="2"/>
  <c r="AO784" i="2" s="1"/>
  <c r="P635" i="2"/>
  <c r="H993" i="2"/>
  <c r="R24" i="2"/>
  <c r="M990" i="2"/>
  <c r="U4" i="2"/>
  <c r="M809" i="2"/>
  <c r="H25" i="2"/>
  <c r="H751" i="2"/>
  <c r="M747" i="2"/>
  <c r="O575" i="2"/>
  <c r="AO575" i="2" s="1"/>
  <c r="U911" i="2"/>
  <c r="N29" i="2"/>
  <c r="R780" i="2"/>
  <c r="S15" i="2"/>
  <c r="U566" i="2"/>
  <c r="W522" i="2"/>
  <c r="U552" i="2"/>
  <c r="H603" i="2"/>
  <c r="W25" i="2"/>
  <c r="M793" i="2"/>
  <c r="H672" i="2"/>
  <c r="H509" i="2"/>
  <c r="N5" i="2"/>
  <c r="H21" i="2"/>
  <c r="U504" i="2"/>
  <c r="N669" i="2"/>
  <c r="AN669" i="2" s="1"/>
  <c r="U987" i="2"/>
  <c r="Q12" i="2"/>
  <c r="Q558" i="2"/>
  <c r="M628" i="2"/>
  <c r="P774" i="2"/>
  <c r="O646" i="2"/>
  <c r="AO646" i="2" s="1"/>
  <c r="S585" i="2"/>
  <c r="H545" i="2"/>
  <c r="M833" i="2"/>
  <c r="T668" i="2"/>
  <c r="R8" i="2"/>
  <c r="P14" i="2"/>
  <c r="M963" i="2"/>
  <c r="S2" i="2"/>
  <c r="P870" i="2"/>
  <c r="O25" i="2"/>
  <c r="M633" i="2"/>
  <c r="H27" i="2"/>
  <c r="H31" i="2"/>
  <c r="Q674" i="2"/>
  <c r="M862" i="2"/>
  <c r="H650" i="2"/>
  <c r="W729" i="2"/>
  <c r="Q959" i="2"/>
  <c r="U34" i="2"/>
  <c r="U963" i="2"/>
  <c r="Q28" i="2"/>
  <c r="H26" i="2"/>
  <c r="T27" i="2"/>
  <c r="M717" i="2"/>
  <c r="H501" i="2"/>
  <c r="H664" i="2"/>
  <c r="Q641" i="2"/>
  <c r="N660" i="2"/>
  <c r="AN660" i="2" s="1"/>
  <c r="T549" i="2"/>
  <c r="S16" i="2"/>
  <c r="H688" i="2"/>
  <c r="P773" i="2"/>
  <c r="S698" i="2"/>
  <c r="P675" i="2"/>
  <c r="N698" i="2"/>
  <c r="AN698" i="2" s="1"/>
  <c r="W805" i="2"/>
  <c r="H6" i="2"/>
  <c r="H679" i="2"/>
  <c r="R785" i="2"/>
  <c r="Q645" i="2"/>
  <c r="H988" i="2"/>
  <c r="R722" i="2"/>
  <c r="H629" i="2"/>
  <c r="H996" i="2"/>
  <c r="U611" i="2"/>
  <c r="H546" i="2"/>
  <c r="H523" i="2"/>
  <c r="S729" i="2"/>
  <c r="T592" i="2"/>
  <c r="H964" i="2"/>
  <c r="U771" i="2"/>
  <c r="O722" i="2"/>
  <c r="AO722" i="2" s="1"/>
  <c r="O783" i="2"/>
  <c r="AO783" i="2" s="1"/>
  <c r="N911" i="2"/>
  <c r="AN911" i="2" s="1"/>
  <c r="T902" i="2"/>
  <c r="W920" i="2"/>
  <c r="S799" i="2"/>
  <c r="R778" i="2"/>
  <c r="T845" i="2"/>
  <c r="W937" i="2"/>
  <c r="O912" i="2"/>
  <c r="AO912" i="2" s="1"/>
  <c r="H817" i="2"/>
  <c r="R867" i="2"/>
  <c r="S861" i="2"/>
  <c r="Q583" i="2"/>
  <c r="O975" i="2"/>
  <c r="AO975" i="2" s="1"/>
  <c r="H780" i="2"/>
  <c r="Q666" i="2"/>
  <c r="M996" i="2"/>
  <c r="P649" i="2"/>
  <c r="N984" i="2"/>
  <c r="AN984" i="2" s="1"/>
  <c r="N671" i="2"/>
  <c r="AN671" i="2" s="1"/>
  <c r="O850" i="2"/>
  <c r="AO850" i="2" s="1"/>
  <c r="H686" i="2"/>
  <c r="M844" i="2"/>
  <c r="Q957" i="2"/>
  <c r="T917" i="2"/>
  <c r="P673" i="2"/>
  <c r="R953" i="2"/>
  <c r="H921" i="2"/>
  <c r="N701" i="2"/>
  <c r="AN701" i="2" s="1"/>
  <c r="P966" i="2"/>
  <c r="R869" i="2"/>
  <c r="S866" i="2"/>
  <c r="R831" i="2"/>
  <c r="O557" i="2"/>
  <c r="AO557" i="2" s="1"/>
  <c r="O608" i="2"/>
  <c r="AO608" i="2" s="1"/>
  <c r="Q874" i="2"/>
  <c r="T799" i="2"/>
  <c r="W704" i="2"/>
  <c r="R506" i="2"/>
  <c r="U890" i="2"/>
  <c r="H957" i="2"/>
  <c r="S801" i="2"/>
  <c r="P601" i="2"/>
  <c r="H765" i="2"/>
  <c r="U5" i="2"/>
  <c r="M939" i="2"/>
  <c r="U7" i="2"/>
  <c r="Q552" i="2"/>
  <c r="S27" i="2"/>
  <c r="W21" i="2"/>
  <c r="O820" i="2"/>
  <c r="AO820" i="2" s="1"/>
  <c r="Q633" i="2"/>
  <c r="T682" i="2"/>
  <c r="T741" i="2"/>
  <c r="U19" i="2"/>
  <c r="R729" i="2"/>
  <c r="M956" i="2"/>
  <c r="M861" i="2"/>
  <c r="R800" i="2"/>
  <c r="R603" i="2"/>
  <c r="H575" i="2"/>
  <c r="H12" i="2"/>
  <c r="W18" i="2"/>
  <c r="O2" i="2"/>
  <c r="W730" i="2"/>
  <c r="Q592" i="2"/>
  <c r="M673" i="2"/>
  <c r="M819" i="2"/>
  <c r="W990" i="2"/>
  <c r="Q29" i="2"/>
  <c r="M672" i="2"/>
  <c r="T3" i="2"/>
  <c r="H719" i="2"/>
  <c r="R15" i="2"/>
  <c r="N832" i="2"/>
  <c r="AN832" i="2" s="1"/>
  <c r="M709" i="2"/>
  <c r="M838" i="2"/>
  <c r="O509" i="2"/>
  <c r="AO509" i="2" s="1"/>
  <c r="S629" i="2"/>
  <c r="Q27" i="2"/>
  <c r="H950" i="2"/>
  <c r="N7" i="2"/>
  <c r="W26" i="2"/>
  <c r="T32" i="2"/>
  <c r="P11" i="2"/>
  <c r="Q30" i="2"/>
  <c r="O34" i="2"/>
  <c r="M701" i="2"/>
  <c r="H926" i="2"/>
  <c r="Q23" i="2"/>
  <c r="H660" i="2"/>
  <c r="H566" i="2"/>
  <c r="T761" i="2"/>
  <c r="N840" i="2"/>
  <c r="AN840" i="2" s="1"/>
  <c r="W939" i="2"/>
  <c r="M975" i="2"/>
  <c r="W722" i="2"/>
  <c r="H20" i="2"/>
  <c r="U26" i="2"/>
  <c r="P827" i="2"/>
  <c r="H684" i="2"/>
  <c r="U814" i="2"/>
  <c r="H30" i="2"/>
  <c r="P705" i="2"/>
  <c r="S789" i="2"/>
  <c r="W12" i="2"/>
  <c r="S724" i="2"/>
  <c r="P964" i="2"/>
  <c r="W560" i="2"/>
  <c r="M664" i="2"/>
  <c r="M771" i="2"/>
  <c r="R789" i="2"/>
  <c r="H625" i="2"/>
  <c r="H32" i="2"/>
  <c r="H959" i="2"/>
  <c r="Q564" i="2"/>
  <c r="H731" i="2"/>
  <c r="R788" i="2"/>
  <c r="T783" i="2"/>
  <c r="H816" i="2"/>
  <c r="O893" i="2"/>
  <c r="AO893" i="2" s="1"/>
  <c r="U638" i="2"/>
  <c r="H531" i="2"/>
  <c r="R598" i="2"/>
  <c r="U583" i="2"/>
  <c r="H517" i="2"/>
  <c r="O718" i="2"/>
  <c r="AO718" i="2" s="1"/>
  <c r="O996" i="2"/>
  <c r="AO996" i="2" s="1"/>
  <c r="W741" i="2"/>
  <c r="P755" i="2"/>
  <c r="T678" i="2"/>
  <c r="Q733" i="2"/>
  <c r="O993" i="2"/>
  <c r="AO993" i="2" s="1"/>
  <c r="Q924" i="2"/>
  <c r="M662" i="2"/>
  <c r="U752" i="2"/>
  <c r="P936" i="2"/>
  <c r="U650" i="2"/>
  <c r="U866" i="2"/>
  <c r="N908" i="2"/>
  <c r="S915" i="2"/>
  <c r="W759" i="2"/>
  <c r="Q822" i="2"/>
  <c r="S884" i="2"/>
  <c r="Q758" i="2"/>
  <c r="M753" i="2"/>
  <c r="O875" i="2"/>
  <c r="AO875" i="2" s="1"/>
  <c r="W600" i="2"/>
  <c r="S568" i="2"/>
  <c r="T594" i="2"/>
  <c r="Q729" i="2"/>
  <c r="W716" i="2"/>
  <c r="T967" i="2"/>
  <c r="R981" i="2"/>
  <c r="O873" i="2"/>
  <c r="T938" i="2"/>
  <c r="P783" i="2"/>
  <c r="M687" i="2"/>
  <c r="O979" i="2"/>
  <c r="AO979" i="2" s="1"/>
  <c r="M974" i="2"/>
  <c r="M737" i="2"/>
  <c r="O602" i="2"/>
  <c r="AO602" i="2" s="1"/>
  <c r="U1000" i="2"/>
  <c r="M810" i="2"/>
  <c r="T760" i="2"/>
  <c r="H754" i="2"/>
  <c r="M966" i="2"/>
  <c r="N901" i="2"/>
  <c r="AN901" i="2" s="1"/>
  <c r="N948" i="2"/>
  <c r="AN948" i="2" s="1"/>
  <c r="M665" i="2"/>
  <c r="P710" i="2"/>
  <c r="O9" i="2"/>
  <c r="H888" i="2"/>
  <c r="S709" i="2"/>
  <c r="P668" i="2"/>
  <c r="R617" i="2"/>
  <c r="T501" i="2"/>
  <c r="N836" i="2"/>
  <c r="AN836" i="2" s="1"/>
  <c r="W828" i="2"/>
  <c r="M2" i="2"/>
  <c r="M805" i="2"/>
  <c r="P4" i="2"/>
  <c r="Q11" i="2"/>
  <c r="U517" i="2"/>
  <c r="P3" i="2"/>
  <c r="U891" i="2"/>
  <c r="W891" i="2"/>
  <c r="Q704" i="2"/>
  <c r="H4" i="2"/>
  <c r="T2" i="2"/>
  <c r="M938" i="2"/>
  <c r="U512" i="2"/>
  <c r="T10" i="2"/>
  <c r="U18" i="2"/>
  <c r="R771" i="2"/>
  <c r="T30" i="2"/>
  <c r="M23" i="2"/>
  <c r="O31" i="2"/>
  <c r="Q26" i="2"/>
  <c r="S823" i="2"/>
  <c r="M907" i="2"/>
  <c r="H717" i="2"/>
  <c r="H856" i="2"/>
  <c r="U847" i="2"/>
  <c r="Q24" i="2"/>
  <c r="T915" i="2"/>
  <c r="Q13" i="2"/>
  <c r="O664" i="2"/>
  <c r="AO664" i="2" s="1"/>
  <c r="N11" i="2"/>
  <c r="U11" i="2"/>
  <c r="N20" i="2"/>
  <c r="N19" i="2"/>
  <c r="Q9" i="2"/>
  <c r="Q33" i="2"/>
  <c r="N572" i="2"/>
  <c r="AN572" i="2" s="1"/>
  <c r="W15" i="2"/>
  <c r="H604" i="2"/>
  <c r="S819" i="2"/>
  <c r="T574" i="2"/>
  <c r="S781" i="2"/>
  <c r="W769" i="2"/>
  <c r="P504" i="2"/>
  <c r="N24" i="2"/>
  <c r="P729" i="2"/>
  <c r="T33" i="2"/>
  <c r="O11" i="2"/>
  <c r="Q926" i="2"/>
  <c r="R820" i="2"/>
  <c r="M27" i="2"/>
  <c r="M29" i="2"/>
  <c r="M824" i="2"/>
  <c r="H801" i="2"/>
  <c r="W773" i="2"/>
  <c r="R794" i="2"/>
  <c r="M564" i="2"/>
  <c r="M504" i="2"/>
  <c r="W563" i="2"/>
  <c r="O27" i="2"/>
  <c r="R852" i="2"/>
  <c r="M801" i="2"/>
  <c r="U922" i="2"/>
  <c r="U900" i="2"/>
  <c r="R628" i="2"/>
  <c r="H947" i="2"/>
  <c r="M528" i="2"/>
  <c r="H900" i="2"/>
  <c r="H5" i="2"/>
  <c r="S746" i="2"/>
  <c r="R516" i="2"/>
  <c r="H840" i="2"/>
  <c r="H503" i="2"/>
  <c r="U548" i="2"/>
  <c r="T510" i="2"/>
  <c r="Q685" i="2"/>
  <c r="N811" i="2"/>
  <c r="AN811" i="2" s="1"/>
  <c r="W820" i="2"/>
  <c r="P12" i="2"/>
  <c r="N878" i="2"/>
  <c r="AN878" i="2" s="1"/>
  <c r="N732" i="2"/>
  <c r="T745" i="2"/>
  <c r="H978" i="2"/>
  <c r="N886" i="2"/>
  <c r="AN886" i="2" s="1"/>
  <c r="R602" i="2"/>
  <c r="H789" i="2"/>
  <c r="M886" i="2"/>
  <c r="U817" i="2"/>
  <c r="R966" i="2"/>
  <c r="H963" i="2"/>
  <c r="W24" i="2"/>
  <c r="R520" i="2"/>
  <c r="O660" i="2"/>
  <c r="AO660" i="2" s="1"/>
  <c r="R705" i="2"/>
  <c r="T23" i="2"/>
  <c r="N22" i="2"/>
  <c r="O816" i="2"/>
  <c r="R664" i="2"/>
  <c r="H504" i="2"/>
  <c r="O30" i="2"/>
  <c r="H623" i="2"/>
  <c r="R16" i="2"/>
  <c r="U2" i="2"/>
  <c r="M725" i="2"/>
  <c r="U630" i="2"/>
  <c r="U978" i="2"/>
  <c r="H700" i="2"/>
  <c r="O560" i="2"/>
  <c r="AO560" i="2" s="1"/>
  <c r="S556" i="2"/>
  <c r="T719" i="2"/>
  <c r="O636" i="2"/>
  <c r="AO636" i="2" s="1"/>
  <c r="M28" i="2"/>
  <c r="W669" i="2"/>
  <c r="R512" i="2"/>
  <c r="U854" i="2"/>
  <c r="T546" i="2"/>
  <c r="H743" i="2"/>
  <c r="U655" i="2"/>
  <c r="P809" i="2"/>
  <c r="R547" i="2"/>
  <c r="R668" i="2"/>
  <c r="S637" i="2"/>
  <c r="T764" i="2"/>
  <c r="W9" i="2"/>
  <c r="H864" i="2"/>
  <c r="P754" i="2"/>
  <c r="P560" i="2"/>
  <c r="P625" i="2"/>
  <c r="M639" i="2"/>
  <c r="S644" i="2"/>
  <c r="M598" i="2"/>
  <c r="Q983" i="2"/>
  <c r="P934" i="2"/>
  <c r="W743" i="2"/>
  <c r="Q773" i="2"/>
  <c r="R962" i="2"/>
  <c r="R763" i="2"/>
  <c r="Q971" i="2"/>
  <c r="H667" i="2"/>
  <c r="R17" i="2"/>
  <c r="R621" i="2"/>
  <c r="H962" i="2"/>
  <c r="W581" i="2"/>
  <c r="T779" i="2"/>
  <c r="Q963" i="2"/>
  <c r="T6" i="2"/>
  <c r="H974" i="2"/>
  <c r="P858" i="2"/>
  <c r="W824" i="2"/>
  <c r="P509" i="2"/>
  <c r="W956" i="2"/>
  <c r="H929" i="2"/>
  <c r="H649" i="2"/>
  <c r="H681" i="2"/>
  <c r="Q34" i="2"/>
  <c r="M951" i="2"/>
  <c r="W649" i="2"/>
  <c r="T660" i="2"/>
  <c r="H564" i="2"/>
  <c r="H977" i="2"/>
  <c r="M617" i="2"/>
  <c r="R882" i="2"/>
  <c r="M823" i="2"/>
  <c r="M656" i="2"/>
  <c r="H558" i="2"/>
  <c r="W680" i="2"/>
  <c r="Q849" i="2"/>
  <c r="H600" i="2"/>
  <c r="U513" i="2"/>
  <c r="R611" i="2"/>
  <c r="R21" i="2"/>
  <c r="N25" i="2"/>
  <c r="S878" i="2"/>
  <c r="R659" i="2"/>
  <c r="R551" i="2"/>
  <c r="H979" i="2"/>
  <c r="Q785" i="2"/>
  <c r="W629" i="2"/>
  <c r="M659" i="2"/>
  <c r="R894" i="2"/>
  <c r="Q548" i="2"/>
  <c r="Q668" i="2"/>
  <c r="W801" i="2"/>
  <c r="R990" i="2"/>
  <c r="R503" i="2"/>
  <c r="R759" i="2"/>
  <c r="M680" i="2"/>
  <c r="T9" i="2"/>
  <c r="S725" i="2"/>
  <c r="H922" i="2"/>
  <c r="R890" i="2"/>
  <c r="U640" i="2"/>
  <c r="H970" i="2"/>
  <c r="P848" i="2"/>
  <c r="H777" i="2"/>
  <c r="M603" i="2"/>
  <c r="S579" i="2"/>
  <c r="H661" i="2"/>
  <c r="W731" i="2"/>
  <c r="P831" i="2"/>
  <c r="S831" i="2"/>
  <c r="R637" i="2"/>
  <c r="T4" i="2"/>
  <c r="H607" i="2"/>
  <c r="S602" i="2"/>
  <c r="M663" i="2"/>
  <c r="M20" i="2"/>
  <c r="Q833" i="2"/>
  <c r="S687" i="2"/>
  <c r="O12" i="2"/>
  <c r="O17" i="2"/>
  <c r="M584" i="2"/>
  <c r="H747" i="2"/>
  <c r="H901" i="2"/>
  <c r="H3" i="2"/>
  <c r="T11" i="2"/>
  <c r="Q656" i="2"/>
  <c r="T818" i="2"/>
  <c r="N30" i="2"/>
  <c r="U632" i="2"/>
  <c r="U13" i="2"/>
  <c r="Q816" i="2"/>
  <c r="U656" i="2"/>
  <c r="Q517" i="2"/>
  <c r="H544" i="2"/>
  <c r="S977" i="2"/>
  <c r="O23" i="2"/>
  <c r="Q748" i="2"/>
  <c r="N645" i="2"/>
  <c r="AN645" i="2" s="1"/>
  <c r="P549" i="2"/>
  <c r="H967" i="2"/>
  <c r="M948" i="2"/>
  <c r="H906" i="2"/>
  <c r="R709" i="2"/>
  <c r="P29" i="2"/>
  <c r="S667" i="2"/>
  <c r="Q781" i="2"/>
  <c r="H630" i="2"/>
  <c r="P570" i="2"/>
  <c r="Q789" i="2"/>
  <c r="T565" i="2"/>
  <c r="U719" i="2"/>
  <c r="T584" i="2"/>
  <c r="U33" i="2"/>
  <c r="W579" i="2"/>
  <c r="R807" i="2"/>
  <c r="U731" i="2"/>
  <c r="S520" i="2"/>
  <c r="T670" i="2"/>
  <c r="H654" i="2"/>
  <c r="H18" i="2"/>
  <c r="Q777" i="2"/>
  <c r="S770" i="2"/>
  <c r="T900" i="2"/>
  <c r="P661" i="2"/>
  <c r="H903" i="2"/>
  <c r="R645" i="2"/>
  <c r="H770" i="2"/>
  <c r="H835" i="2"/>
  <c r="H598" i="2"/>
  <c r="H17" i="2"/>
  <c r="W785" i="2"/>
  <c r="Q967" i="2"/>
  <c r="M911" i="2"/>
  <c r="Q697" i="2"/>
  <c r="U20" i="2"/>
  <c r="N807" i="2"/>
  <c r="AN807" i="2" s="1"/>
  <c r="H524" i="2"/>
  <c r="P991" i="2"/>
  <c r="P604" i="2"/>
  <c r="P679" i="2"/>
  <c r="S558" i="2"/>
  <c r="W527" i="2"/>
  <c r="P669" i="2"/>
  <c r="T505" i="2"/>
  <c r="N805" i="2"/>
  <c r="AN805" i="2" s="1"/>
  <c r="W564" i="2"/>
  <c r="H790" i="2"/>
  <c r="P683" i="2"/>
  <c r="P819" i="2"/>
  <c r="H971" i="2"/>
  <c r="T26" i="2"/>
  <c r="S8" i="2"/>
  <c r="N798" i="2"/>
  <c r="AN798" i="2" s="1"/>
  <c r="U592" i="2"/>
  <c r="R777" i="2"/>
  <c r="R676" i="2"/>
  <c r="H825" i="2"/>
  <c r="T643" i="2"/>
  <c r="H570" i="2"/>
  <c r="W803" i="2"/>
  <c r="R698" i="2"/>
  <c r="T777" i="2"/>
  <c r="T664" i="2"/>
  <c r="H565" i="2"/>
  <c r="P724" i="2"/>
  <c r="T789" i="2"/>
  <c r="R27" i="2"/>
  <c r="O4" i="2"/>
  <c r="R692" i="2"/>
  <c r="M752" i="2"/>
  <c r="O802" i="2"/>
  <c r="AO802" i="2" s="1"/>
  <c r="P674" i="2"/>
  <c r="H505" i="2"/>
  <c r="H818" i="2"/>
  <c r="R982" i="2"/>
  <c r="H646" i="2"/>
  <c r="R566" i="2"/>
  <c r="M818" i="2"/>
  <c r="H724" i="2"/>
  <c r="T645" i="2"/>
  <c r="W535" i="2"/>
  <c r="Q997" i="2"/>
  <c r="M594" i="2"/>
  <c r="W7" i="2"/>
  <c r="R840" i="2"/>
  <c r="W983" i="2"/>
  <c r="U681" i="2"/>
  <c r="R28" i="2"/>
  <c r="S843" i="2"/>
  <c r="S804" i="2"/>
  <c r="P776" i="2"/>
  <c r="P569" i="2"/>
  <c r="P600" i="2"/>
  <c r="H618" i="2"/>
  <c r="W947" i="2"/>
  <c r="M902" i="2"/>
  <c r="H771" i="2"/>
  <c r="S705" i="2"/>
  <c r="R824" i="2"/>
  <c r="U914" i="2"/>
  <c r="P27" i="2"/>
  <c r="M7" i="2"/>
  <c r="N629" i="2"/>
  <c r="AN629" i="2" s="1"/>
  <c r="S28" i="2"/>
  <c r="M582" i="2"/>
  <c r="Q20" i="2"/>
  <c r="N676" i="2"/>
  <c r="AN676" i="2" s="1"/>
  <c r="U25" i="2"/>
  <c r="H548" i="2"/>
  <c r="N14" i="2"/>
  <c r="U516" i="2"/>
  <c r="H634" i="2"/>
  <c r="S620" i="2"/>
  <c r="M625" i="2"/>
  <c r="R832" i="2"/>
  <c r="N664" i="2"/>
  <c r="AN664" i="2" s="1"/>
  <c r="M6" i="2"/>
  <c r="N21" i="2"/>
  <c r="N23" i="2"/>
  <c r="T811" i="2"/>
  <c r="S640" i="2"/>
  <c r="W605" i="2"/>
  <c r="O840" i="2"/>
  <c r="AO840" i="2" s="1"/>
  <c r="H775" i="2"/>
  <c r="S782" i="2"/>
  <c r="U6" i="2"/>
  <c r="M641" i="2"/>
  <c r="W952" i="2"/>
  <c r="T724" i="2"/>
  <c r="W607" i="2"/>
  <c r="W4" i="2"/>
  <c r="T968" i="2"/>
  <c r="Q719" i="2"/>
  <c r="T694" i="2"/>
  <c r="R920" i="2"/>
  <c r="R644" i="2"/>
  <c r="R660" i="2"/>
  <c r="O667" i="2"/>
  <c r="AO667" i="2" s="1"/>
  <c r="H890" i="2"/>
  <c r="S721" i="2"/>
  <c r="H975" i="2"/>
  <c r="H907" i="2"/>
  <c r="M704" i="2"/>
  <c r="M26" i="2"/>
  <c r="R592" i="2"/>
  <c r="U12" i="2"/>
  <c r="O18" i="2"/>
  <c r="O517" i="2"/>
  <c r="AO517" i="2" s="1"/>
  <c r="R836" i="2"/>
  <c r="S516" i="2"/>
  <c r="Q903" i="2"/>
  <c r="W960" i="2"/>
  <c r="U804" i="2"/>
  <c r="U507" i="2"/>
  <c r="H519" i="2"/>
  <c r="U776" i="2"/>
  <c r="S790" i="2"/>
  <c r="W793" i="2"/>
  <c r="H692" i="2"/>
  <c r="U554" i="2"/>
  <c r="Q780" i="2"/>
  <c r="M930" i="2"/>
  <c r="O19" i="2"/>
  <c r="P715" i="2"/>
  <c r="T674" i="2"/>
  <c r="P687" i="2"/>
  <c r="U685" i="2"/>
  <c r="R548" i="2"/>
  <c r="S545" i="2"/>
  <c r="M933" i="2"/>
  <c r="T627" i="2"/>
  <c r="T801" i="2"/>
  <c r="U599" i="2"/>
  <c r="M692" i="2"/>
  <c r="S546" i="2"/>
  <c r="O632" i="2"/>
  <c r="AO632" i="2" s="1"/>
  <c r="O789" i="2"/>
  <c r="AO789" i="2" s="1"/>
  <c r="W14" i="2"/>
  <c r="O724" i="2"/>
  <c r="T580" i="2"/>
  <c r="H586" i="2"/>
  <c r="R811" i="2"/>
  <c r="H910" i="2"/>
  <c r="W911" i="2"/>
  <c r="T800" i="2"/>
  <c r="S645" i="2"/>
  <c r="H886" i="2"/>
  <c r="S675" i="2"/>
  <c r="N729" i="2"/>
  <c r="AN729" i="2" s="1"/>
  <c r="S695" i="2"/>
  <c r="H839" i="2"/>
  <c r="S510" i="2"/>
  <c r="W852" i="2"/>
  <c r="M767" i="2"/>
  <c r="H8" i="2"/>
  <c r="H502" i="2"/>
  <c r="H538" i="2"/>
  <c r="S601" i="2"/>
  <c r="M613" i="2"/>
  <c r="H693" i="2"/>
  <c r="U971" i="2"/>
  <c r="T560" i="2"/>
  <c r="W781" i="2"/>
  <c r="P671" i="2"/>
  <c r="U634" i="2"/>
  <c r="O668" i="2"/>
  <c r="AO668" i="2" s="1"/>
  <c r="H721" i="2"/>
  <c r="M957" i="2"/>
  <c r="W899" i="2"/>
  <c r="Q22" i="2"/>
  <c r="M835" i="2"/>
  <c r="M708" i="2"/>
  <c r="N774" i="2"/>
  <c r="AN774" i="2" s="1"/>
  <c r="H911" i="2"/>
  <c r="S513" i="2"/>
  <c r="U660" i="2"/>
  <c r="S728" i="2"/>
  <c r="T544" i="2"/>
  <c r="S633" i="2"/>
  <c r="H705" i="2"/>
  <c r="Q856" i="2"/>
  <c r="H842" i="2"/>
  <c r="R663" i="2"/>
  <c r="S569" i="2"/>
  <c r="T769" i="2"/>
  <c r="H689" i="2"/>
  <c r="M729" i="2"/>
  <c r="H955" i="2"/>
  <c r="W10" i="2"/>
  <c r="S21" i="2"/>
  <c r="S33" i="2"/>
  <c r="H34" i="2"/>
  <c r="P20" i="2"/>
  <c r="O21" i="2"/>
  <c r="M8" i="2"/>
  <c r="H698" i="2"/>
  <c r="W529" i="2"/>
  <c r="R899" i="2"/>
  <c r="P578" i="2"/>
  <c r="H551" i="2"/>
  <c r="M825" i="2"/>
  <c r="H944" i="2"/>
  <c r="H33" i="2"/>
  <c r="U646" i="2"/>
  <c r="O633" i="2"/>
  <c r="AO633" i="2" s="1"/>
  <c r="M10" i="2"/>
  <c r="S575" i="2"/>
  <c r="Q4" i="2"/>
  <c r="M15" i="2"/>
  <c r="N12" i="2"/>
  <c r="Q18" i="2"/>
  <c r="S5" i="2"/>
  <c r="P780" i="2"/>
  <c r="R886" i="2"/>
  <c r="O628" i="2"/>
  <c r="AO628" i="2" s="1"/>
  <c r="T669" i="2"/>
  <c r="R9" i="2"/>
  <c r="T20" i="2"/>
  <c r="P805" i="2"/>
  <c r="U30" i="2"/>
  <c r="M895" i="2"/>
  <c r="R612" i="2"/>
  <c r="U743" i="2"/>
  <c r="W617" i="2"/>
  <c r="H793" i="2"/>
  <c r="Q768" i="2"/>
  <c r="Q579" i="2"/>
  <c r="P886" i="2"/>
  <c r="H736" i="2"/>
  <c r="P584" i="2"/>
  <c r="H658" i="2"/>
  <c r="Q660" i="2"/>
  <c r="W6" i="2"/>
  <c r="W27" i="2"/>
  <c r="H659" i="2"/>
  <c r="R672" i="2"/>
  <c r="W591" i="2"/>
  <c r="T625" i="2"/>
  <c r="Q637" i="2"/>
  <c r="M516" i="2"/>
  <c r="P753" i="2"/>
  <c r="R983" i="2"/>
  <c r="S657" i="2"/>
  <c r="Q885" i="2"/>
  <c r="P746" i="2"/>
  <c r="H29" i="2"/>
  <c r="T509" i="2"/>
  <c r="P882" i="2"/>
  <c r="S22" i="2"/>
  <c r="P31" i="2"/>
  <c r="H958" i="2"/>
  <c r="N856" i="2"/>
  <c r="AN856" i="2" s="1"/>
  <c r="H875" i="2"/>
  <c r="Q17" i="2"/>
  <c r="Q515" i="2"/>
  <c r="W13" i="2"/>
  <c r="R633" i="2"/>
  <c r="M607" i="2"/>
  <c r="H803" i="2"/>
  <c r="H685" i="2"/>
  <c r="U825" i="2"/>
  <c r="P546" i="2"/>
  <c r="O581" i="2"/>
  <c r="AO581" i="2" s="1"/>
  <c r="P567" i="2"/>
  <c r="S25" i="2"/>
  <c r="O6" i="2"/>
  <c r="M538" i="2"/>
  <c r="U689" i="2"/>
  <c r="H583" i="2"/>
  <c r="N794" i="2"/>
  <c r="AN794" i="2" s="1"/>
  <c r="O611" i="2"/>
  <c r="AO611" i="2" s="1"/>
  <c r="Q899" i="2"/>
  <c r="H11" i="2"/>
  <c r="P878" i="2"/>
  <c r="H941" i="2"/>
  <c r="H809" i="2"/>
  <c r="H819" i="2"/>
  <c r="H596" i="2"/>
  <c r="W526" i="2"/>
  <c r="S926" i="2"/>
  <c r="U806" i="2"/>
  <c r="U926" i="2"/>
  <c r="M654" i="2"/>
  <c r="T641" i="2"/>
  <c r="O637" i="2"/>
  <c r="AO637" i="2" s="1"/>
  <c r="Q722" i="2"/>
  <c r="U664" i="2"/>
  <c r="H880" i="2"/>
  <c r="R792" i="2"/>
  <c r="P697" i="2"/>
  <c r="U967" i="2"/>
  <c r="H620" i="2"/>
  <c r="W883" i="2"/>
  <c r="W575" i="2"/>
  <c r="H795" i="2"/>
  <c r="R640" i="2"/>
  <c r="T5" i="2"/>
  <c r="U520" i="2"/>
  <c r="H827" i="2"/>
  <c r="H913" i="2"/>
  <c r="M655" i="2"/>
  <c r="R584" i="2"/>
  <c r="H534" i="2"/>
  <c r="U698" i="2"/>
  <c r="Q549" i="2"/>
  <c r="H807" i="2"/>
  <c r="U938" i="2"/>
  <c r="Q891" i="2"/>
  <c r="W694" i="2"/>
  <c r="R629" i="2"/>
  <c r="P788" i="2"/>
  <c r="T12" i="2"/>
  <c r="R805" i="2"/>
  <c r="N3" i="2"/>
  <c r="S3" i="2"/>
  <c r="N824" i="2"/>
  <c r="AN824" i="2" s="1"/>
  <c r="R2" i="2"/>
  <c r="Q10" i="2"/>
  <c r="S31" i="2"/>
  <c r="T34" i="2"/>
  <c r="S26" i="2"/>
  <c r="P32" i="2"/>
  <c r="M693" i="2"/>
  <c r="U15" i="2"/>
  <c r="R574" i="2"/>
  <c r="W863" i="2"/>
  <c r="Q911" i="2"/>
  <c r="M816" i="2"/>
  <c r="T846" i="2"/>
  <c r="P670" i="2"/>
  <c r="U579" i="2"/>
  <c r="R725" i="2"/>
  <c r="M971" i="2"/>
  <c r="M906" i="2"/>
  <c r="U16" i="2"/>
  <c r="R23" i="2"/>
  <c r="M864" i="2"/>
  <c r="U10" i="2"/>
  <c r="O926" i="2"/>
  <c r="H7" i="2"/>
  <c r="H923" i="2"/>
  <c r="H614" i="2"/>
  <c r="S856" i="2"/>
  <c r="R22" i="2"/>
  <c r="N2" i="2"/>
  <c r="S847" i="2"/>
  <c r="W851" i="2"/>
  <c r="P796" i="2"/>
  <c r="U629" i="2"/>
  <c r="T635" i="2"/>
  <c r="T791" i="2"/>
  <c r="M926" i="2"/>
  <c r="R557" i="2"/>
  <c r="H882" i="2"/>
  <c r="H830" i="2"/>
  <c r="T698" i="2"/>
  <c r="Q665" i="2"/>
  <c r="Q991" i="2"/>
  <c r="U636" i="2"/>
  <c r="N28" i="2"/>
  <c r="N18" i="2"/>
  <c r="T768" i="2"/>
  <c r="Q516" i="2"/>
  <c r="S786" i="2"/>
  <c r="H695" i="2"/>
  <c r="W875" i="2"/>
  <c r="W913" i="2"/>
  <c r="P682" i="2"/>
  <c r="Q25" i="2"/>
  <c r="W921" i="2"/>
  <c r="W633" i="2"/>
  <c r="P807" i="2"/>
  <c r="H902" i="2"/>
  <c r="H863" i="2"/>
  <c r="R793" i="2"/>
  <c r="N641" i="2"/>
  <c r="AN641" i="2" s="1"/>
  <c r="N803" i="2"/>
  <c r="AN803" i="2" s="1"/>
  <c r="H655" i="2"/>
  <c r="T652" i="2"/>
  <c r="H823" i="2"/>
  <c r="P574" i="2"/>
  <c r="Q978" i="2"/>
  <c r="Q696" i="2"/>
  <c r="R874" i="2"/>
  <c r="H676" i="2"/>
  <c r="H983" i="2"/>
  <c r="T639" i="2"/>
  <c r="P890" i="2"/>
  <c r="S808" i="2"/>
  <c r="R632" i="2"/>
  <c r="H820" i="2"/>
  <c r="W611" i="2"/>
  <c r="W879" i="2"/>
  <c r="R855" i="2"/>
  <c r="Q655" i="2"/>
  <c r="T976" i="2"/>
  <c r="H15" i="2"/>
  <c r="M820" i="2"/>
  <c r="N637" i="2"/>
  <c r="AN637" i="2" s="1"/>
  <c r="Q520" i="2"/>
  <c r="P901" i="2"/>
  <c r="M554" i="2"/>
  <c r="Q913" i="2"/>
  <c r="W701" i="2"/>
  <c r="W710" i="2"/>
  <c r="W705" i="2"/>
  <c r="Q895" i="2"/>
  <c r="P16" i="2"/>
  <c r="P695" i="2"/>
  <c r="S660" i="2"/>
  <c r="M981" i="2"/>
  <c r="H989" i="2"/>
  <c r="M899" i="2"/>
  <c r="U545" i="2"/>
  <c r="R747" i="2"/>
  <c r="P790" i="2"/>
  <c r="U556" i="2"/>
  <c r="P900" i="2"/>
  <c r="H851" i="2"/>
  <c r="Q513" i="2"/>
  <c r="U668" i="2"/>
  <c r="R766" i="2"/>
  <c r="W531" i="2"/>
  <c r="M719" i="2"/>
  <c r="T504" i="2"/>
  <c r="N665" i="2"/>
  <c r="AN665" i="2" s="1"/>
  <c r="T838" i="2"/>
  <c r="H824" i="2"/>
  <c r="H635" i="2"/>
  <c r="T637" i="2"/>
  <c r="H584" i="2"/>
  <c r="M651" i="2"/>
  <c r="M743" i="2"/>
  <c r="S646" i="2"/>
  <c r="M650" i="2"/>
  <c r="T633" i="2"/>
  <c r="S696" i="2"/>
  <c r="P987" i="2"/>
  <c r="U959" i="2"/>
  <c r="R828" i="2"/>
  <c r="Q793" i="2"/>
  <c r="R697" i="2"/>
  <c r="N584" i="2"/>
  <c r="W16" i="2"/>
  <c r="M30" i="2"/>
  <c r="H617" i="2"/>
  <c r="H919" i="2"/>
  <c r="Q2" i="2"/>
  <c r="S901" i="2"/>
  <c r="N32" i="2"/>
  <c r="S13" i="2"/>
  <c r="H615" i="2"/>
  <c r="S802" i="2"/>
  <c r="N978" i="2"/>
  <c r="AN978" i="2" s="1"/>
  <c r="Q569" i="2"/>
  <c r="P580" i="2"/>
  <c r="H16" i="2"/>
  <c r="S564" i="2"/>
  <c r="M595" i="2"/>
  <c r="W8" i="2"/>
  <c r="M882" i="2"/>
  <c r="S18" i="2"/>
  <c r="P13" i="2"/>
  <c r="O5" i="2"/>
  <c r="R32" i="2"/>
  <c r="O28" i="2"/>
  <c r="W32" i="2"/>
  <c r="H533" i="2"/>
  <c r="W832" i="2"/>
  <c r="H562" i="2"/>
  <c r="M710" i="2"/>
  <c r="N8" i="2"/>
  <c r="P22" i="2"/>
  <c r="W871" i="2"/>
  <c r="W641" i="2"/>
  <c r="H542" i="2"/>
  <c r="H833" i="2"/>
  <c r="H876" i="2"/>
  <c r="S636" i="2"/>
  <c r="H895" i="2"/>
  <c r="H763" i="2"/>
  <c r="H932" i="2"/>
  <c r="H832" i="2"/>
  <c r="M783" i="2"/>
  <c r="U503" i="2"/>
  <c r="M967" i="2"/>
  <c r="W587" i="2"/>
  <c r="P764" i="2"/>
  <c r="W927" i="2"/>
  <c r="T774" i="2"/>
  <c r="H739" i="2"/>
  <c r="M885" i="2"/>
  <c r="H616" i="2"/>
  <c r="H506" i="2"/>
  <c r="R565" i="2"/>
  <c r="H639" i="2"/>
  <c r="H899" i="2"/>
  <c r="U560" i="2"/>
  <c r="W736" i="2"/>
  <c r="R570" i="2"/>
  <c r="H669" i="2"/>
  <c r="H949" i="2"/>
  <c r="U808" i="2"/>
  <c r="N668" i="2"/>
  <c r="AN668" i="2" s="1"/>
  <c r="R809" i="2"/>
  <c r="R636" i="2"/>
  <c r="W935" i="2"/>
  <c r="R578" i="2"/>
  <c r="H697" i="2"/>
  <c r="P646" i="2"/>
  <c r="H933" i="2"/>
  <c r="W672" i="2"/>
  <c r="M781" i="2"/>
  <c r="O856" i="2"/>
  <c r="T516" i="2"/>
  <c r="R701" i="2"/>
  <c r="W592" i="2"/>
  <c r="H602" i="2"/>
  <c r="U633" i="2"/>
  <c r="M572" i="2"/>
  <c r="N894" i="2"/>
  <c r="AN894" i="2" s="1"/>
  <c r="P605" i="2"/>
  <c r="H785" i="2"/>
  <c r="N562" i="2"/>
  <c r="AN562" i="2" s="1"/>
  <c r="T661" i="2"/>
  <c r="P823" i="2"/>
  <c r="U802" i="2"/>
  <c r="H892" i="2"/>
  <c r="U663" i="2"/>
  <c r="R916" i="2"/>
  <c r="T14" i="2"/>
  <c r="T657" i="2"/>
  <c r="P803" i="2"/>
  <c r="H9" i="2"/>
  <c r="M979" i="2"/>
  <c r="S32" i="2"/>
  <c r="N33" i="2"/>
  <c r="Q563" i="2"/>
  <c r="T757" i="2"/>
  <c r="H982" i="2"/>
  <c r="P561" i="2"/>
  <c r="W739" i="2"/>
  <c r="H915" i="2"/>
  <c r="H527" i="2"/>
  <c r="H956" i="2"/>
  <c r="W637" i="2"/>
  <c r="H648" i="2"/>
  <c r="P930" i="2"/>
  <c r="T830" i="2"/>
  <c r="P610" i="2"/>
  <c r="T31" i="2"/>
  <c r="W22" i="2"/>
  <c r="H621" i="2"/>
  <c r="S726" i="2"/>
  <c r="M574" i="2"/>
  <c r="U659" i="2"/>
  <c r="H530" i="2"/>
  <c r="S981" i="2"/>
  <c r="M804" i="2"/>
  <c r="H696" i="2"/>
  <c r="M508" i="2"/>
  <c r="H680" i="2"/>
  <c r="N709" i="2"/>
  <c r="AN709" i="2" s="1"/>
  <c r="H633" i="2"/>
  <c r="P862" i="2"/>
  <c r="W975" i="2"/>
  <c r="M959" i="2"/>
  <c r="M697" i="2"/>
  <c r="M828" i="2"/>
  <c r="Q507" i="2"/>
  <c r="M854" i="2"/>
  <c r="T600" i="2"/>
  <c r="W951" i="2"/>
  <c r="W665" i="2"/>
  <c r="R10" i="2"/>
  <c r="T548" i="2"/>
  <c r="O7" i="2"/>
  <c r="R641" i="2"/>
  <c r="H612" i="2"/>
  <c r="Q804" i="2"/>
  <c r="H729" i="2"/>
  <c r="T29" i="2"/>
  <c r="S34" i="2"/>
  <c r="M674" i="2"/>
  <c r="M851" i="2"/>
  <c r="Q762" i="2"/>
  <c r="O20" i="2"/>
  <c r="M612" i="2"/>
  <c r="S17" i="2"/>
  <c r="W34" i="2"/>
  <c r="P25" i="2"/>
  <c r="H663" i="2"/>
  <c r="M560" i="2"/>
  <c r="U32" i="2"/>
  <c r="Q698" i="2"/>
  <c r="S574" i="2"/>
  <c r="T736" i="2"/>
  <c r="R803" i="2"/>
  <c r="H874" i="2"/>
  <c r="R751" i="2"/>
  <c r="W718" i="2"/>
  <c r="S854" i="2"/>
  <c r="M993" i="2"/>
  <c r="P977" i="2"/>
  <c r="Q504" i="2"/>
  <c r="U748" i="2"/>
  <c r="P723" i="2"/>
  <c r="T604" i="2"/>
  <c r="T551" i="2"/>
  <c r="T785" i="2"/>
  <c r="M748" i="2"/>
  <c r="O505" i="2"/>
  <c r="AO505" i="2" s="1"/>
  <c r="H715" i="2"/>
  <c r="H599" i="2"/>
  <c r="O828" i="2"/>
  <c r="AO828" i="2" s="1"/>
  <c r="P909" i="2"/>
  <c r="M986" i="2"/>
  <c r="S827" i="2"/>
  <c r="P731" i="2"/>
  <c r="H871" i="2"/>
  <c r="M637" i="2"/>
  <c r="R767" i="2"/>
  <c r="N790" i="2"/>
  <c r="AN790" i="2" s="1"/>
  <c r="H968" i="2"/>
  <c r="Q817" i="2"/>
  <c r="M831" i="2"/>
  <c r="M982" i="2"/>
  <c r="M839" i="2"/>
  <c r="H732" i="2"/>
  <c r="H665" i="2"/>
  <c r="S7" i="2"/>
  <c r="S543" i="2"/>
  <c r="M5" i="2"/>
  <c r="S641" i="2"/>
  <c r="T610" i="2"/>
  <c r="T631" i="2"/>
  <c r="T588" i="2"/>
  <c r="H847" i="2"/>
  <c r="M660" i="2"/>
  <c r="O781" i="2"/>
  <c r="AO781" i="2" s="1"/>
  <c r="R743" i="2"/>
  <c r="W807" i="2"/>
  <c r="S683" i="2"/>
  <c r="U792" i="2"/>
  <c r="M855" i="2"/>
  <c r="R781" i="2"/>
  <c r="N27" i="2"/>
  <c r="O663" i="2"/>
  <c r="AO663" i="2" s="1"/>
  <c r="H972" i="2"/>
  <c r="H759" i="2"/>
  <c r="N882" i="2"/>
  <c r="AN882" i="2" s="1"/>
  <c r="R582" i="2"/>
  <c r="Q731" i="2"/>
  <c r="M763" i="2"/>
  <c r="U581" i="2"/>
  <c r="H828" i="2"/>
  <c r="S649" i="2"/>
  <c r="M832" i="2"/>
  <c r="H642" i="2"/>
  <c r="H529" i="2"/>
  <c r="U730" i="2"/>
  <c r="P33" i="2"/>
  <c r="W31" i="2"/>
  <c r="H707" i="2"/>
  <c r="H952" i="2"/>
  <c r="H857" i="2"/>
  <c r="T690" i="2"/>
  <c r="H730" i="2"/>
  <c r="U572" i="2"/>
  <c r="U979" i="2"/>
  <c r="W836" i="2"/>
  <c r="M759" i="2"/>
  <c r="T972" i="2"/>
  <c r="Q808" i="2"/>
  <c r="U899" i="2"/>
  <c r="H701" i="2"/>
  <c r="U845" i="2"/>
  <c r="U23" i="2"/>
  <c r="R30" i="2"/>
  <c r="W986" i="2"/>
  <c r="W569" i="2"/>
  <c r="R902" i="2"/>
  <c r="H781" i="2"/>
  <c r="M910" i="2"/>
  <c r="W551" i="2"/>
  <c r="H709" i="2"/>
  <c r="T960" i="2"/>
  <c r="H28" i="2"/>
  <c r="S754" i="2"/>
  <c r="N535" i="2"/>
  <c r="AN535" i="2" s="1"/>
  <c r="M548" i="2"/>
  <c r="H512" i="2"/>
  <c r="U21" i="2"/>
  <c r="M347" i="2"/>
  <c r="M440" i="2"/>
  <c r="M355" i="2"/>
  <c r="N402" i="2"/>
  <c r="AN402" i="2" s="1"/>
  <c r="M360" i="2"/>
  <c r="M468" i="2"/>
  <c r="M483" i="2"/>
  <c r="M405" i="2"/>
  <c r="M479" i="2"/>
  <c r="M464" i="2"/>
  <c r="O360" i="2"/>
  <c r="AO360" i="2" s="1"/>
  <c r="M456" i="2"/>
  <c r="M398" i="2"/>
  <c r="B59" i="2"/>
  <c r="B60" i="2"/>
  <c r="B202" i="2"/>
  <c r="D202" i="2"/>
  <c r="E202" i="2" s="1"/>
  <c r="F202" i="2"/>
  <c r="G202" i="2" s="1"/>
  <c r="I202" i="2"/>
  <c r="K202" i="2" s="1"/>
  <c r="C715" i="2" l="1" a="1"/>
  <c r="C715" i="2" s="1"/>
  <c r="C885" i="2" a="1"/>
  <c r="C885" i="2" s="1"/>
  <c r="C548" i="2" a="1"/>
  <c r="C548" i="2" s="1"/>
  <c r="C590" i="2" a="1"/>
  <c r="C590" i="2" s="1"/>
  <c r="C702" i="2" a="1"/>
  <c r="C702" i="2" s="1"/>
  <c r="C890" i="2" a="1"/>
  <c r="C890" i="2" s="1"/>
  <c r="C636" i="2" a="1"/>
  <c r="C636" i="2" s="1"/>
  <c r="C821" i="2" a="1"/>
  <c r="C821" i="2" s="1"/>
  <c r="C632" i="2" a="1"/>
  <c r="C632" i="2" s="1"/>
  <c r="C753" i="2" a="1"/>
  <c r="C753" i="2" s="1"/>
  <c r="C685" i="2" a="1"/>
  <c r="C685" i="2" s="1"/>
  <c r="C780" i="2" a="1"/>
  <c r="C780" i="2" s="1"/>
  <c r="C982" i="2" a="1"/>
  <c r="C982" i="2" s="1"/>
  <c r="C650" i="2" a="1"/>
  <c r="C650" i="2" s="1"/>
  <c r="C981" i="2" a="1"/>
  <c r="C981" i="2" s="1"/>
  <c r="C704" i="2" a="1"/>
  <c r="C704" i="2" s="1"/>
  <c r="C2" i="2" a="1"/>
  <c r="C2" i="2" s="1"/>
  <c r="C827" i="2" a="1"/>
  <c r="C827" i="2" s="1"/>
  <c r="C22" i="2" a="1"/>
  <c r="C22" i="2" s="1"/>
  <c r="C894" i="2" a="1"/>
  <c r="C894" i="2" s="1"/>
  <c r="C738" i="2" a="1"/>
  <c r="C738" i="2" s="1"/>
  <c r="C936" i="2" a="1"/>
  <c r="C936" i="2" s="1"/>
  <c r="C865" i="2" a="1"/>
  <c r="C865" i="2" s="1"/>
  <c r="C699" i="2" a="1"/>
  <c r="C699" i="2" s="1"/>
  <c r="C878" i="2" a="1"/>
  <c r="C878" i="2" s="1"/>
  <c r="C751" i="2" a="1"/>
  <c r="C751" i="2" s="1"/>
  <c r="C907" i="2" a="1"/>
  <c r="C907" i="2" s="1"/>
  <c r="C539" i="2" a="1"/>
  <c r="C539" i="2" s="1"/>
  <c r="C817" i="2" a="1"/>
  <c r="C817" i="2" s="1"/>
  <c r="C985" i="2" a="1"/>
  <c r="C985" i="2" s="1"/>
  <c r="C834" i="2" a="1"/>
  <c r="C834" i="2" s="1"/>
  <c r="C987" i="2" a="1"/>
  <c r="C987" i="2" s="1"/>
  <c r="C549" i="2" a="1"/>
  <c r="C549" i="2" s="1"/>
  <c r="C942" i="2" a="1"/>
  <c r="C942" i="2" s="1"/>
  <c r="C884" i="2" a="1"/>
  <c r="C884" i="2" s="1"/>
  <c r="C541" i="2" a="1"/>
  <c r="C541" i="2" s="1"/>
  <c r="C746" i="2" a="1"/>
  <c r="C746" i="2" s="1"/>
  <c r="C787" i="2" a="1"/>
  <c r="C787" i="2" s="1"/>
  <c r="C911" i="2" a="1"/>
  <c r="C911" i="2" s="1"/>
  <c r="C898" i="2" a="1"/>
  <c r="C898" i="2" s="1"/>
  <c r="C597" i="2" a="1"/>
  <c r="C597" i="2" s="1"/>
  <c r="C571" i="2" a="1"/>
  <c r="C571" i="2" s="1"/>
  <c r="C830" i="2" a="1"/>
  <c r="C830" i="2" s="1"/>
  <c r="C831" i="2" a="1"/>
  <c r="C831" i="2" s="1"/>
  <c r="C857" i="2" a="1"/>
  <c r="C857" i="2" s="1"/>
  <c r="C919" i="2" a="1"/>
  <c r="C919" i="2" s="1"/>
  <c r="C626" i="2" a="1"/>
  <c r="C626" i="2" s="1"/>
  <c r="C506" i="2" a="1"/>
  <c r="C506" i="2" s="1"/>
  <c r="C823" i="2" a="1"/>
  <c r="C823" i="2" s="1"/>
  <c r="C7" i="2" a="1"/>
  <c r="C7" i="2" s="1"/>
  <c r="C581" i="2" a="1"/>
  <c r="C581" i="2" s="1"/>
  <c r="C614" i="2" a="1"/>
  <c r="C614" i="2" s="1"/>
  <c r="C976" i="2" a="1"/>
  <c r="C976" i="2" s="1"/>
  <c r="C876" i="2" a="1"/>
  <c r="C876" i="2" s="1"/>
  <c r="C515" i="2" a="1"/>
  <c r="C515" i="2" s="1"/>
  <c r="C883" i="2" a="1"/>
  <c r="C883" i="2" s="1"/>
  <c r="C836" i="2" a="1"/>
  <c r="C836" i="2" s="1"/>
  <c r="C779" i="2" a="1"/>
  <c r="C779" i="2" s="1"/>
  <c r="C668" i="2" a="1"/>
  <c r="C668" i="2" s="1"/>
  <c r="C16" i="2" a="1"/>
  <c r="C16" i="2" s="1"/>
  <c r="C946" i="2" a="1"/>
  <c r="C946" i="2" s="1"/>
  <c r="C896" i="2" a="1"/>
  <c r="C896" i="2" s="1"/>
  <c r="C658" i="2" a="1"/>
  <c r="C658" i="2" s="1"/>
  <c r="C879" i="2" a="1"/>
  <c r="C879" i="2" s="1"/>
  <c r="C901" i="2" a="1"/>
  <c r="C901" i="2" s="1"/>
  <c r="C752" i="2" a="1"/>
  <c r="C752" i="2" s="1"/>
  <c r="C701" i="2" a="1"/>
  <c r="C701" i="2" s="1"/>
  <c r="C748" i="2" a="1"/>
  <c r="C748" i="2" s="1"/>
  <c r="C574" i="2" a="1"/>
  <c r="C574" i="2" s="1"/>
  <c r="C538" i="2" a="1"/>
  <c r="C538" i="2" s="1"/>
  <c r="C835" i="2" a="1"/>
  <c r="C835" i="2" s="1"/>
  <c r="C598" i="2" a="1"/>
  <c r="C598" i="2" s="1"/>
  <c r="C861" i="2" a="1"/>
  <c r="C861" i="2" s="1"/>
  <c r="C969" i="2" a="1"/>
  <c r="C969" i="2" s="1"/>
  <c r="C592" i="2" a="1"/>
  <c r="C592" i="2" s="1"/>
  <c r="C798" i="2" a="1"/>
  <c r="C798" i="2" s="1"/>
  <c r="C613" i="2" a="1"/>
  <c r="C613" i="2" s="1"/>
  <c r="C833" i="2" a="1"/>
  <c r="C833" i="2" s="1"/>
  <c r="C580" i="2" a="1"/>
  <c r="C580" i="2" s="1"/>
  <c r="C552" i="2" a="1"/>
  <c r="C552" i="2" s="1"/>
  <c r="C555" i="2" a="1"/>
  <c r="C555" i="2" s="1"/>
  <c r="C758" i="2" a="1"/>
  <c r="C758" i="2" s="1"/>
  <c r="C792" i="2" a="1"/>
  <c r="C792" i="2" s="1"/>
  <c r="C558" i="2" a="1"/>
  <c r="C558" i="2" s="1"/>
  <c r="C674" i="2" a="1"/>
  <c r="C674" i="2" s="1"/>
  <c r="C513" i="2" a="1"/>
  <c r="C513" i="2" s="1"/>
  <c r="C869" i="2" a="1"/>
  <c r="C869" i="2" s="1"/>
  <c r="C783" i="2" a="1"/>
  <c r="C783" i="2" s="1"/>
  <c r="C31" i="2" a="1"/>
  <c r="C31" i="2" s="1"/>
  <c r="C673" i="2" a="1"/>
  <c r="C673" i="2" s="1"/>
  <c r="C764" i="2" a="1"/>
  <c r="C764" i="2" s="1"/>
  <c r="C829" i="2" a="1"/>
  <c r="C829" i="2" s="1"/>
  <c r="C944" i="2" a="1"/>
  <c r="C944" i="2" s="1"/>
  <c r="C979" i="2" a="1"/>
  <c r="C979" i="2" s="1"/>
  <c r="C863" i="2" a="1"/>
  <c r="C863" i="2" s="1"/>
  <c r="C797" i="2" a="1"/>
  <c r="C797" i="2" s="1"/>
  <c r="C843" i="2" a="1"/>
  <c r="C843" i="2" s="1"/>
  <c r="C588" i="2" a="1"/>
  <c r="C588" i="2" s="1"/>
  <c r="C864" i="2" a="1"/>
  <c r="C864" i="2" s="1"/>
  <c r="C547" i="2" a="1"/>
  <c r="C547" i="2" s="1"/>
  <c r="C532" i="2" a="1"/>
  <c r="C532" i="2" s="1"/>
  <c r="C691" i="2" a="1"/>
  <c r="C691" i="2" s="1"/>
  <c r="C530" i="2" a="1"/>
  <c r="C530" i="2" s="1"/>
  <c r="C656" i="2" a="1"/>
  <c r="C656" i="2" s="1"/>
  <c r="C858" i="2" a="1"/>
  <c r="C858" i="2" s="1"/>
  <c r="C683" i="2" a="1"/>
  <c r="C683" i="2" s="1"/>
  <c r="C595" i="2" a="1"/>
  <c r="C595" i="2" s="1"/>
  <c r="C654" i="2" a="1"/>
  <c r="C654" i="2" s="1"/>
  <c r="C27" i="2" a="1"/>
  <c r="C27" i="2" s="1"/>
  <c r="C664" i="2" a="1"/>
  <c r="C664" i="2" s="1"/>
  <c r="C773" i="2" a="1"/>
  <c r="C773" i="2" s="1"/>
  <c r="C651" i="2" a="1"/>
  <c r="C651" i="2" s="1"/>
  <c r="C726" i="2" a="1"/>
  <c r="C726" i="2" s="1"/>
  <c r="C662" i="2" a="1"/>
  <c r="C662" i="2" s="1"/>
  <c r="C846" i="2" a="1"/>
  <c r="C846" i="2" s="1"/>
  <c r="C659" i="2" a="1"/>
  <c r="C659" i="2" s="1"/>
  <c r="C517" i="2" a="1"/>
  <c r="C517" i="2" s="1"/>
  <c r="C503" i="2" a="1"/>
  <c r="C503" i="2" s="1"/>
  <c r="C577" i="2" a="1"/>
  <c r="C577" i="2" s="1"/>
  <c r="C634" i="2" a="1"/>
  <c r="C634" i="2" s="1"/>
  <c r="C545" i="2" a="1"/>
  <c r="C545" i="2" s="1"/>
  <c r="C563" i="2" a="1"/>
  <c r="C563" i="2" s="1"/>
  <c r="C4" i="2" a="1"/>
  <c r="C4" i="2" s="1"/>
  <c r="C802" i="2" a="1"/>
  <c r="C802" i="2" s="1"/>
  <c r="C730" i="2" a="1"/>
  <c r="C730" i="2" s="1"/>
  <c r="C604" i="2" a="1"/>
  <c r="C604" i="2" s="1"/>
  <c r="C996" i="2" a="1"/>
  <c r="C996" i="2" s="1"/>
  <c r="C528" i="2" a="1"/>
  <c r="C528" i="2" s="1"/>
  <c r="C993" i="2" a="1"/>
  <c r="C993" i="2" s="1"/>
  <c r="C8" i="2" a="1"/>
  <c r="C8" i="2" s="1"/>
  <c r="C611" i="2" a="1"/>
  <c r="C611" i="2" s="1"/>
  <c r="C9" i="2" a="1"/>
  <c r="C9" i="2" s="1"/>
  <c r="C964" i="2" a="1"/>
  <c r="C964" i="2" s="1"/>
  <c r="C860" i="2" a="1"/>
  <c r="C860" i="2" s="1"/>
  <c r="C24" i="2" a="1"/>
  <c r="C24" i="2" s="1"/>
  <c r="C975" i="2" a="1"/>
  <c r="C975" i="2" s="1"/>
  <c r="C536" i="2" a="1"/>
  <c r="C536" i="2" s="1"/>
  <c r="C1000" i="2" a="1"/>
  <c r="C1000" i="2" s="1"/>
  <c r="C747" i="2" a="1"/>
  <c r="C747" i="2" s="1"/>
  <c r="C867" i="2" a="1"/>
  <c r="C867" i="2" s="1"/>
  <c r="C941" i="2" a="1"/>
  <c r="C941" i="2" s="1"/>
  <c r="C576" i="2" a="1"/>
  <c r="C576" i="2" s="1"/>
  <c r="C839" i="2" a="1"/>
  <c r="C839" i="2" s="1"/>
  <c r="C600" i="2" a="1"/>
  <c r="C600" i="2" s="1"/>
  <c r="C564" i="2" a="1"/>
  <c r="C564" i="2" s="1"/>
  <c r="C736" i="2" a="1"/>
  <c r="C736" i="2" s="1"/>
  <c r="C788" i="2" a="1"/>
  <c r="C788" i="2" s="1"/>
  <c r="C796" i="2" a="1"/>
  <c r="C796" i="2" s="1"/>
  <c r="C973" i="2" a="1"/>
  <c r="C973" i="2" s="1"/>
  <c r="C508" i="2" a="1"/>
  <c r="C508" i="2" s="1"/>
  <c r="C854" i="2" a="1"/>
  <c r="C854" i="2" s="1"/>
  <c r="C913" i="2" a="1"/>
  <c r="C913" i="2" s="1"/>
  <c r="C729" i="2" a="1"/>
  <c r="C729" i="2" s="1"/>
  <c r="C504" i="2" a="1"/>
  <c r="C504" i="2" s="1"/>
  <c r="C810" i="2" a="1"/>
  <c r="C810" i="2" s="1"/>
  <c r="C603" i="2" a="1"/>
  <c r="C603" i="2" s="1"/>
  <c r="C812" i="2" a="1"/>
  <c r="C812" i="2" s="1"/>
  <c r="C15" i="2" a="1"/>
  <c r="C15" i="2" s="1"/>
  <c r="C713" i="2" a="1"/>
  <c r="C713" i="2" s="1"/>
  <c r="C970" i="2" a="1"/>
  <c r="C970" i="2" s="1"/>
  <c r="C653" i="2" a="1"/>
  <c r="C653" i="2" s="1"/>
  <c r="C939" i="2" a="1"/>
  <c r="C939" i="2" s="1"/>
  <c r="C524" i="2" a="1"/>
  <c r="C524" i="2" s="1"/>
  <c r="C980" i="2" a="1"/>
  <c r="C980" i="2" s="1"/>
  <c r="C728" i="2" a="1"/>
  <c r="C728" i="2" s="1"/>
  <c r="C578" i="2" a="1"/>
  <c r="C578" i="2" s="1"/>
  <c r="C509" i="2" a="1"/>
  <c r="C509" i="2" s="1"/>
  <c r="C593" i="2" a="1"/>
  <c r="C593" i="2" s="1"/>
  <c r="C853" i="2" a="1"/>
  <c r="C853" i="2" s="1"/>
  <c r="C554" i="2" a="1"/>
  <c r="C554" i="2" s="1"/>
  <c r="C789" i="2" a="1"/>
  <c r="C789" i="2" s="1"/>
  <c r="C631" i="2" a="1"/>
  <c r="C631" i="2" s="1"/>
  <c r="C720" i="2" a="1"/>
  <c r="C720" i="2" s="1"/>
  <c r="C17" i="2" a="1"/>
  <c r="C17" i="2" s="1"/>
  <c r="C945" i="2" a="1"/>
  <c r="C945" i="2" s="1"/>
  <c r="C872" i="2" a="1"/>
  <c r="C872" i="2" s="1"/>
  <c r="C596" i="2" a="1"/>
  <c r="C596" i="2" s="1"/>
  <c r="C734" i="2" a="1"/>
  <c r="C734" i="2" s="1"/>
  <c r="C790" i="2" a="1"/>
  <c r="C790" i="2" s="1"/>
  <c r="C501" i="2" a="1"/>
  <c r="C501" i="2" s="1"/>
  <c r="C897" i="2" a="1"/>
  <c r="C897" i="2" s="1"/>
  <c r="C932" i="2" a="1"/>
  <c r="C932" i="2" s="1"/>
  <c r="C750" i="2" a="1"/>
  <c r="C750" i="2" s="1"/>
  <c r="C551" i="2" a="1"/>
  <c r="C551" i="2" s="1"/>
  <c r="C737" i="2" a="1"/>
  <c r="C737" i="2" s="1"/>
  <c r="C23" i="2" a="1"/>
  <c r="C23" i="2" s="1"/>
  <c r="C803" i="2" a="1"/>
  <c r="C803" i="2" s="1"/>
  <c r="C766" i="2" a="1"/>
  <c r="C766" i="2" s="1"/>
  <c r="C693" i="2" a="1"/>
  <c r="C693" i="2" s="1"/>
  <c r="C594" i="2" a="1"/>
  <c r="C594" i="2" s="1"/>
  <c r="C819" i="2" a="1"/>
  <c r="C819" i="2" s="1"/>
  <c r="C717" i="2" a="1"/>
  <c r="C717" i="2" s="1"/>
  <c r="C721" i="2" a="1"/>
  <c r="C721" i="2" s="1"/>
  <c r="C25" i="2" a="1"/>
  <c r="C25" i="2" s="1"/>
  <c r="C33" i="2" a="1"/>
  <c r="C33" i="2" s="1"/>
  <c r="C837" i="2" a="1"/>
  <c r="C837" i="2" s="1"/>
  <c r="C904" i="2" a="1"/>
  <c r="C904" i="2" s="1"/>
  <c r="C34" i="2" a="1"/>
  <c r="C34" i="2" s="1"/>
  <c r="C648" i="2" a="1"/>
  <c r="C648" i="2" s="1"/>
  <c r="C712" i="2" a="1"/>
  <c r="C712" i="2" s="1"/>
  <c r="C605" i="2" a="1"/>
  <c r="C605" i="2" s="1"/>
  <c r="C623" i="2" a="1"/>
  <c r="C623" i="2" s="1"/>
  <c r="C566" i="2" a="1"/>
  <c r="C566" i="2" s="1"/>
  <c r="C523" i="2" a="1"/>
  <c r="C523" i="2" s="1"/>
  <c r="C707" i="2" a="1"/>
  <c r="C707" i="2" s="1"/>
  <c r="C660" i="2" a="1"/>
  <c r="C660" i="2" s="1"/>
  <c r="C800" i="2" a="1"/>
  <c r="C800" i="2" s="1"/>
  <c r="C29" i="2" a="1"/>
  <c r="C29" i="2" s="1"/>
  <c r="C679" i="2" a="1"/>
  <c r="C679" i="2" s="1"/>
  <c r="C960" i="2" a="1"/>
  <c r="C960" i="2" s="1"/>
  <c r="C850" i="2" a="1"/>
  <c r="C850" i="2" s="1"/>
  <c r="C557" i="2" a="1"/>
  <c r="C557" i="2" s="1"/>
  <c r="C585" i="2" a="1"/>
  <c r="C585" i="2" s="1"/>
  <c r="C589" i="2" a="1"/>
  <c r="C589" i="2" s="1"/>
  <c r="C959" i="2" a="1"/>
  <c r="C959" i="2" s="1"/>
  <c r="C900" i="2" a="1"/>
  <c r="C900" i="2" s="1"/>
  <c r="C601" i="2" a="1"/>
  <c r="C601" i="2" s="1"/>
  <c r="C965" i="2" a="1"/>
  <c r="C965" i="2" s="1"/>
  <c r="C26" i="2" a="1"/>
  <c r="C26" i="2" s="1"/>
  <c r="C14" i="2" a="1"/>
  <c r="C14" i="2" s="1"/>
  <c r="C502" i="2" a="1"/>
  <c r="C502" i="2" s="1"/>
  <c r="C573" i="2" a="1"/>
  <c r="C573" i="2" s="1"/>
  <c r="C931" i="2" a="1"/>
  <c r="C931" i="2" s="1"/>
  <c r="C951" i="2" a="1"/>
  <c r="C951" i="2" s="1"/>
  <c r="C991" i="2" a="1"/>
  <c r="C991" i="2" s="1"/>
  <c r="C671" i="2" a="1"/>
  <c r="C671" i="2" s="1"/>
  <c r="C956" i="2" a="1"/>
  <c r="C956" i="2" s="1"/>
  <c r="C676" i="2" a="1"/>
  <c r="C676" i="2" s="1"/>
  <c r="C844" i="2" a="1"/>
  <c r="C844" i="2" s="1"/>
  <c r="C824" i="2" a="1"/>
  <c r="C824" i="2" s="1"/>
  <c r="C641" i="2" a="1"/>
  <c r="C641" i="2" s="1"/>
  <c r="C675" i="2" a="1"/>
  <c r="C675" i="2" s="1"/>
  <c r="C909" i="2" a="1"/>
  <c r="C909" i="2" s="1"/>
  <c r="C18" i="2" a="1"/>
  <c r="C18" i="2" s="1"/>
  <c r="C6" i="2" a="1"/>
  <c r="C6" i="2" s="1"/>
  <c r="C678" i="2" a="1"/>
  <c r="C678" i="2" s="1"/>
  <c r="C842" i="2" a="1"/>
  <c r="C842" i="2" s="1"/>
  <c r="C559" i="2" a="1"/>
  <c r="C559" i="2" s="1"/>
  <c r="C540" i="2" a="1"/>
  <c r="C540" i="2" s="1"/>
  <c r="C795" i="2" a="1"/>
  <c r="C795" i="2" s="1"/>
  <c r="C916" i="2" a="1"/>
  <c r="C916" i="2" s="1"/>
  <c r="C774" i="2" a="1"/>
  <c r="C774" i="2" s="1"/>
  <c r="C628" i="2" a="1"/>
  <c r="C628" i="2" s="1"/>
  <c r="C989" i="2" a="1"/>
  <c r="C989" i="2" s="1"/>
  <c r="C934" i="2" a="1"/>
  <c r="C934" i="2" s="1"/>
  <c r="C521" i="2" a="1"/>
  <c r="C521" i="2" s="1"/>
  <c r="C756" i="2" a="1"/>
  <c r="C756" i="2" s="1"/>
  <c r="C534" i="2" a="1"/>
  <c r="C534" i="2" s="1"/>
  <c r="C886" i="2" a="1"/>
  <c r="C886" i="2" s="1"/>
  <c r="C602" i="2" a="1"/>
  <c r="C602" i="2" s="1"/>
  <c r="C11" i="2" a="1"/>
  <c r="C11" i="2" s="1"/>
  <c r="C582" i="2" a="1"/>
  <c r="C582" i="2" s="1"/>
  <c r="C999" i="2" a="1"/>
  <c r="C999" i="2" s="1"/>
  <c r="C995" i="2" a="1"/>
  <c r="C995" i="2" s="1"/>
  <c r="C575" i="2" a="1"/>
  <c r="C575" i="2" s="1"/>
  <c r="C775" i="2" a="1"/>
  <c r="C775" i="2" s="1"/>
  <c r="C761" i="2" a="1"/>
  <c r="C761" i="2" s="1"/>
  <c r="C637" i="2" a="1"/>
  <c r="C637" i="2" s="1"/>
  <c r="C624" i="2" a="1"/>
  <c r="C624" i="2" s="1"/>
  <c r="C643" i="2" a="1"/>
  <c r="C643" i="2" s="1"/>
  <c r="C910" i="2" a="1"/>
  <c r="C910" i="2" s="1"/>
  <c r="C565" i="2" a="1"/>
  <c r="C565" i="2" s="1"/>
  <c r="C661" i="2" a="1"/>
  <c r="C661" i="2" s="1"/>
  <c r="C731" i="2" a="1"/>
  <c r="C731" i="2" s="1"/>
  <c r="AN922" i="2"/>
  <c r="C922" i="2" a="1"/>
  <c r="C922" i="2" s="1"/>
  <c r="AN615" i="2"/>
  <c r="C615" i="2" a="1"/>
  <c r="C615" i="2" s="1"/>
  <c r="AO638" i="2"/>
  <c r="C638" i="2" a="1"/>
  <c r="C638" i="2" s="1"/>
  <c r="C527" i="2" a="1"/>
  <c r="C527" i="2" s="1"/>
  <c r="AO877" i="2"/>
  <c r="C877" i="2" a="1"/>
  <c r="C877" i="2" s="1"/>
  <c r="AN851" i="2"/>
  <c r="C851" i="2" a="1"/>
  <c r="C851" i="2" s="1"/>
  <c r="C943" i="2" a="1"/>
  <c r="C943" i="2" s="1"/>
  <c r="AO543" i="2"/>
  <c r="C543" i="2" a="1"/>
  <c r="C543" i="2" s="1"/>
  <c r="AN947" i="2"/>
  <c r="C947" i="2" a="1"/>
  <c r="C947" i="2" s="1"/>
  <c r="C849" i="2" a="1"/>
  <c r="C849" i="2" s="1"/>
  <c r="AN955" i="2"/>
  <c r="C955" i="2" a="1"/>
  <c r="C955" i="2" s="1"/>
  <c r="AN542" i="2"/>
  <c r="C542" i="2" a="1"/>
  <c r="C542" i="2" s="1"/>
  <c r="AN791" i="2"/>
  <c r="C791" i="2" a="1"/>
  <c r="C791" i="2" s="1"/>
  <c r="C607" i="2" a="1"/>
  <c r="C607" i="2" s="1"/>
  <c r="C767" i="2" a="1"/>
  <c r="C767" i="2" s="1"/>
  <c r="C763" i="2" a="1"/>
  <c r="C763" i="2" s="1"/>
  <c r="AO873" i="2"/>
  <c r="C873" i="2" a="1"/>
  <c r="C873" i="2" s="1"/>
  <c r="C963" i="2" a="1"/>
  <c r="C963" i="2" s="1"/>
  <c r="C621" i="2" a="1"/>
  <c r="C621" i="2" s="1"/>
  <c r="C924" i="2" a="1"/>
  <c r="C924" i="2" s="1"/>
  <c r="C741" i="2" a="1"/>
  <c r="C741" i="2" s="1"/>
  <c r="C32" i="2" a="1"/>
  <c r="C32" i="2" s="1"/>
  <c r="AO974" i="2"/>
  <c r="C974" i="2" a="1"/>
  <c r="C974" i="2" s="1"/>
  <c r="AN874" i="2"/>
  <c r="C874" i="2" a="1"/>
  <c r="C874" i="2" s="1"/>
  <c r="AN646" i="2"/>
  <c r="C646" i="2" a="1"/>
  <c r="C646" i="2" s="1"/>
  <c r="AO655" i="2"/>
  <c r="C655" i="2" a="1"/>
  <c r="C655" i="2" s="1"/>
  <c r="AO710" i="2"/>
  <c r="C710" i="2" a="1"/>
  <c r="C710" i="2" s="1"/>
  <c r="C711" i="2" a="1"/>
  <c r="C711" i="2" s="1"/>
  <c r="AN899" i="2"/>
  <c r="C899" i="2" a="1"/>
  <c r="C899" i="2" s="1"/>
  <c r="C663" i="2" a="1"/>
  <c r="C663" i="2" s="1"/>
  <c r="C893" i="2" a="1"/>
  <c r="C893" i="2" s="1"/>
  <c r="C703" i="2" a="1"/>
  <c r="C703" i="2" s="1"/>
  <c r="AN806" i="2"/>
  <c r="C806" i="2" a="1"/>
  <c r="C806" i="2" s="1"/>
  <c r="AN553" i="2"/>
  <c r="C553" i="2" a="1"/>
  <c r="C553" i="2" s="1"/>
  <c r="AO714" i="2"/>
  <c r="C714" i="2" a="1"/>
  <c r="C714" i="2" s="1"/>
  <c r="AN700" i="2"/>
  <c r="C700" i="2" a="1"/>
  <c r="C700" i="2" s="1"/>
  <c r="C684" i="2" a="1"/>
  <c r="C684" i="2" s="1"/>
  <c r="AO733" i="2"/>
  <c r="C733" i="2" a="1"/>
  <c r="C733" i="2" s="1"/>
  <c r="AO953" i="2"/>
  <c r="C953" i="2" a="1"/>
  <c r="C953" i="2" s="1"/>
  <c r="C511" i="2" a="1"/>
  <c r="C511" i="2" s="1"/>
  <c r="C950" i="2" a="1"/>
  <c r="C950" i="2" s="1"/>
  <c r="AN777" i="2"/>
  <c r="C777" i="2" a="1"/>
  <c r="C777" i="2" s="1"/>
  <c r="C927" i="2" a="1"/>
  <c r="C927" i="2" s="1"/>
  <c r="AO825" i="2"/>
  <c r="C825" i="2" a="1"/>
  <c r="C825" i="2" s="1"/>
  <c r="C727" i="2" a="1"/>
  <c r="C727" i="2" s="1"/>
  <c r="AO868" i="2"/>
  <c r="C868" i="2" a="1"/>
  <c r="C868" i="2" s="1"/>
  <c r="AN855" i="2"/>
  <c r="C855" i="2" a="1"/>
  <c r="C855" i="2" s="1"/>
  <c r="C570" i="2" a="1"/>
  <c r="C570" i="2" s="1"/>
  <c r="AN719" i="2"/>
  <c r="C719" i="2" a="1"/>
  <c r="C719" i="2" s="1"/>
  <c r="C781" i="2" a="1"/>
  <c r="C781" i="2" s="1"/>
  <c r="AO815" i="2"/>
  <c r="C815" i="2" a="1"/>
  <c r="C815" i="2" s="1"/>
  <c r="AN743" i="2"/>
  <c r="C743" i="2" a="1"/>
  <c r="C743" i="2" s="1"/>
  <c r="AO881" i="2"/>
  <c r="C881" i="2" a="1"/>
  <c r="C881" i="2" s="1"/>
  <c r="C579" i="2" a="1"/>
  <c r="C579" i="2" s="1"/>
  <c r="C828" i="2" a="1"/>
  <c r="C828" i="2" s="1"/>
  <c r="AN556" i="2"/>
  <c r="C556" i="2" a="1"/>
  <c r="C556" i="2" s="1"/>
  <c r="C778" i="2" a="1"/>
  <c r="C778" i="2" s="1"/>
  <c r="AO808" i="2"/>
  <c r="C808" i="2" a="1"/>
  <c r="C808" i="2" s="1"/>
  <c r="C640" i="2" a="1"/>
  <c r="C640" i="2" s="1"/>
  <c r="AO550" i="2"/>
  <c r="C550" i="2" a="1"/>
  <c r="C550" i="2" s="1"/>
  <c r="C994" i="2" a="1"/>
  <c r="C994" i="2" s="1"/>
  <c r="AN935" i="2"/>
  <c r="C935" i="2" a="1"/>
  <c r="C935" i="2" s="1"/>
  <c r="C609" i="2" a="1"/>
  <c r="C609" i="2" s="1"/>
  <c r="C845" i="2" a="1"/>
  <c r="C845" i="2" s="1"/>
  <c r="C518" i="2" a="1"/>
  <c r="C518" i="2" s="1"/>
  <c r="C620" i="2" a="1"/>
  <c r="C620" i="2" s="1"/>
  <c r="C537" i="2" a="1"/>
  <c r="C537" i="2" s="1"/>
  <c r="C635" i="2" a="1"/>
  <c r="C635" i="2" s="1"/>
  <c r="C525" i="2" a="1"/>
  <c r="C525" i="2" s="1"/>
  <c r="C562" i="2" a="1"/>
  <c r="C562" i="2" s="1"/>
  <c r="C760" i="2" a="1"/>
  <c r="C760" i="2" s="1"/>
  <c r="C561" i="2" a="1"/>
  <c r="C561" i="2" s="1"/>
  <c r="C937" i="2" a="1"/>
  <c r="C937" i="2" s="1"/>
  <c r="C903" i="2" a="1"/>
  <c r="C903" i="2" s="1"/>
  <c r="C666" i="2" a="1"/>
  <c r="C666" i="2" s="1"/>
  <c r="C560" i="2" a="1"/>
  <c r="C560" i="2" s="1"/>
  <c r="C920" i="2" a="1"/>
  <c r="C920" i="2" s="1"/>
  <c r="C847" i="2" a="1"/>
  <c r="C847" i="2" s="1"/>
  <c r="AO926" i="2"/>
  <c r="C926" i="2" a="1"/>
  <c r="C926" i="2" s="1"/>
  <c r="AN908" i="2"/>
  <c r="C908" i="2" a="1"/>
  <c r="C908" i="2" s="1"/>
  <c r="C3" i="2" a="1"/>
  <c r="C3" i="2" s="1"/>
  <c r="C30" i="2" a="1"/>
  <c r="C30" i="2" s="1"/>
  <c r="C716" i="2" a="1"/>
  <c r="C716" i="2" s="1"/>
  <c r="AN915" i="2"/>
  <c r="C915" i="2" a="1"/>
  <c r="C915" i="2" s="1"/>
  <c r="AO568" i="2"/>
  <c r="C568" i="2" a="1"/>
  <c r="C568" i="2" s="1"/>
  <c r="AN809" i="2"/>
  <c r="C809" i="2" a="1"/>
  <c r="C809" i="2" s="1"/>
  <c r="AN772" i="2"/>
  <c r="C772" i="2" a="1"/>
  <c r="C772" i="2" s="1"/>
  <c r="C669" i="2" a="1"/>
  <c r="C669" i="2" s="1"/>
  <c r="AO692" i="2"/>
  <c r="C692" i="2" a="1"/>
  <c r="C692" i="2" s="1"/>
  <c r="C880" i="2" a="1"/>
  <c r="C880" i="2" s="1"/>
  <c r="AO905" i="2"/>
  <c r="C905" i="2" a="1"/>
  <c r="C905" i="2" s="1"/>
  <c r="AO782" i="2"/>
  <c r="C782" i="2" a="1"/>
  <c r="C782" i="2" s="1"/>
  <c r="AN688" i="2"/>
  <c r="C688" i="2" a="1"/>
  <c r="C688" i="2" s="1"/>
  <c r="AN776" i="2"/>
  <c r="C776" i="2" a="1"/>
  <c r="C776" i="2" s="1"/>
  <c r="AN822" i="2"/>
  <c r="C822" i="2" a="1"/>
  <c r="C822" i="2" s="1"/>
  <c r="C627" i="2" a="1"/>
  <c r="C627" i="2" s="1"/>
  <c r="C832" i="2" a="1"/>
  <c r="C832" i="2" s="1"/>
  <c r="C768" i="2" a="1"/>
  <c r="C768" i="2" s="1"/>
  <c r="C930" i="2" a="1"/>
  <c r="C930" i="2" s="1"/>
  <c r="C639" i="2" a="1"/>
  <c r="C639" i="2" s="1"/>
  <c r="AO816" i="2"/>
  <c r="C816" i="2" a="1"/>
  <c r="C816" i="2" s="1"/>
  <c r="C988" i="2" a="1"/>
  <c r="C988" i="2" s="1"/>
  <c r="C618" i="2" a="1"/>
  <c r="C618" i="2" s="1"/>
  <c r="C785" i="2" a="1"/>
  <c r="C785" i="2" s="1"/>
  <c r="AN918" i="2"/>
  <c r="C918" i="2" a="1"/>
  <c r="C918" i="2" s="1"/>
  <c r="C744" i="2" a="1"/>
  <c r="C744" i="2" s="1"/>
  <c r="C841" i="2" a="1"/>
  <c r="C841" i="2" s="1"/>
  <c r="AO968" i="2"/>
  <c r="C968" i="2" a="1"/>
  <c r="C968" i="2" s="1"/>
  <c r="AO889" i="2"/>
  <c r="C889" i="2" a="1"/>
  <c r="C889" i="2" s="1"/>
  <c r="AN958" i="2"/>
  <c r="C958" i="2" a="1"/>
  <c r="C958" i="2" s="1"/>
  <c r="AO954" i="2"/>
  <c r="C954" i="2" a="1"/>
  <c r="C954" i="2" s="1"/>
  <c r="C840" i="2" a="1"/>
  <c r="C840" i="2" s="1"/>
  <c r="C512" i="2" a="1"/>
  <c r="C512" i="2" s="1"/>
  <c r="C629" i="2" a="1"/>
  <c r="C629" i="2" s="1"/>
  <c r="C871" i="2" a="1"/>
  <c r="C871" i="2" s="1"/>
  <c r="C569" i="2" a="1"/>
  <c r="C569" i="2" s="1"/>
  <c r="AN584" i="2"/>
  <c r="C584" i="2" a="1"/>
  <c r="C584" i="2" s="1"/>
  <c r="C784" i="2" a="1"/>
  <c r="C784" i="2" s="1"/>
  <c r="AO990" i="2"/>
  <c r="C990" i="2" a="1"/>
  <c r="C990" i="2" s="1"/>
  <c r="C977" i="2" a="1"/>
  <c r="C977" i="2" s="1"/>
  <c r="AN606" i="2"/>
  <c r="C606" i="2" a="1"/>
  <c r="C606" i="2" s="1"/>
  <c r="AN742" i="2"/>
  <c r="C742" i="2" a="1"/>
  <c r="C742" i="2" s="1"/>
  <c r="AN972" i="2"/>
  <c r="C972" i="2" a="1"/>
  <c r="C972" i="2" s="1"/>
  <c r="C757" i="2" a="1"/>
  <c r="C757" i="2" s="1"/>
  <c r="AN770" i="2"/>
  <c r="C770" i="2" a="1"/>
  <c r="C770" i="2" s="1"/>
  <c r="AN647" i="2"/>
  <c r="C647" i="2" a="1"/>
  <c r="C647" i="2" s="1"/>
  <c r="C952" i="2" a="1"/>
  <c r="C952" i="2" s="1"/>
  <c r="AN522" i="2"/>
  <c r="C522" i="2" a="1"/>
  <c r="C522" i="2" s="1"/>
  <c r="AO891" i="2"/>
  <c r="C891" i="2" a="1"/>
  <c r="C891" i="2" s="1"/>
  <c r="C519" i="2" a="1"/>
  <c r="C519" i="2" s="1"/>
  <c r="C583" i="2" a="1"/>
  <c r="C583" i="2" s="1"/>
  <c r="C887" i="2" a="1"/>
  <c r="C887" i="2" s="1"/>
  <c r="C507" i="2" a="1"/>
  <c r="C507" i="2" s="1"/>
  <c r="C670" i="2" a="1"/>
  <c r="C670" i="2" s="1"/>
  <c r="C12" i="2" a="1"/>
  <c r="C12" i="2" s="1"/>
  <c r="C625" i="2" a="1"/>
  <c r="C625" i="2" s="1"/>
  <c r="C20" i="2" a="1"/>
  <c r="C20" i="2" s="1"/>
  <c r="C862" i="2" a="1"/>
  <c r="C862" i="2" s="1"/>
  <c r="C852" i="2" a="1"/>
  <c r="C852" i="2" s="1"/>
  <c r="C13" i="2" a="1"/>
  <c r="C13" i="2" s="1"/>
  <c r="AN682" i="2"/>
  <c r="C682" i="2" a="1"/>
  <c r="C682" i="2" s="1"/>
  <c r="C567" i="2" a="1"/>
  <c r="C567" i="2" s="1"/>
  <c r="C928" i="2" a="1"/>
  <c r="C928" i="2" s="1"/>
  <c r="AN875" i="2"/>
  <c r="C875" i="2" a="1"/>
  <c r="C875" i="2" s="1"/>
  <c r="AN801" i="2"/>
  <c r="C801" i="2" a="1"/>
  <c r="C801" i="2" s="1"/>
  <c r="AO630" i="2"/>
  <c r="C630" i="2" a="1"/>
  <c r="C630" i="2" s="1"/>
  <c r="C608" i="2" a="1"/>
  <c r="C608" i="2" s="1"/>
  <c r="C619" i="2" a="1"/>
  <c r="C619" i="2" s="1"/>
  <c r="C895" i="2" a="1"/>
  <c r="C895" i="2" s="1"/>
  <c r="AO838" i="2"/>
  <c r="C838" i="2" a="1"/>
  <c r="C838" i="2" s="1"/>
  <c r="AO516" i="2"/>
  <c r="C516" i="2" a="1"/>
  <c r="C516" i="2" s="1"/>
  <c r="C992" i="2" a="1"/>
  <c r="C992" i="2" s="1"/>
  <c r="AN762" i="2"/>
  <c r="C762" i="2" a="1"/>
  <c r="C762" i="2" s="1"/>
  <c r="C799" i="2" a="1"/>
  <c r="C799" i="2" s="1"/>
  <c r="AO866" i="2"/>
  <c r="C866" i="2" a="1"/>
  <c r="C866" i="2" s="1"/>
  <c r="AN754" i="2"/>
  <c r="C754" i="2" a="1"/>
  <c r="C754" i="2" s="1"/>
  <c r="AN912" i="2"/>
  <c r="C912" i="2" a="1"/>
  <c r="C912" i="2" s="1"/>
  <c r="C923" i="2" a="1"/>
  <c r="C923" i="2" s="1"/>
  <c r="AN689" i="2"/>
  <c r="C689" i="2" a="1"/>
  <c r="C689" i="2" s="1"/>
  <c r="AO652" i="2"/>
  <c r="C652" i="2" a="1"/>
  <c r="C652" i="2" s="1"/>
  <c r="C695" i="2" a="1"/>
  <c r="C695" i="2" s="1"/>
  <c r="C586" i="2" a="1"/>
  <c r="C586" i="2" s="1"/>
  <c r="C859" i="2" a="1"/>
  <c r="C859" i="2" s="1"/>
  <c r="C28" i="2" a="1"/>
  <c r="C28" i="2" s="1"/>
  <c r="C697" i="2" a="1"/>
  <c r="C697" i="2" s="1"/>
  <c r="C804" i="2" a="1"/>
  <c r="C804" i="2" s="1"/>
  <c r="AN732" i="2"/>
  <c r="C732" i="2" a="1"/>
  <c r="C732" i="2" s="1"/>
  <c r="C5" i="2" a="1"/>
  <c r="C5" i="2" s="1"/>
  <c r="C526" i="2" a="1"/>
  <c r="C526" i="2" s="1"/>
  <c r="C983" i="2" a="1"/>
  <c r="C983" i="2" s="1"/>
  <c r="C644" i="2" a="1"/>
  <c r="C644" i="2" s="1"/>
  <c r="C949" i="2" a="1"/>
  <c r="C949" i="2" s="1"/>
  <c r="C667" i="2" a="1"/>
  <c r="C667" i="2" s="1"/>
  <c r="C514" i="2" a="1"/>
  <c r="C514" i="2" s="1"/>
  <c r="C690" i="2" a="1"/>
  <c r="C690" i="2" s="1"/>
  <c r="C665" i="2" a="1"/>
  <c r="C665" i="2" s="1"/>
  <c r="C814" i="2" a="1"/>
  <c r="C814" i="2" s="1"/>
  <c r="AO724" i="2"/>
  <c r="C724" i="2" a="1"/>
  <c r="C724" i="2" s="1"/>
  <c r="C709" i="2" a="1"/>
  <c r="C709" i="2" s="1"/>
  <c r="AN677" i="2"/>
  <c r="C677" i="2" a="1"/>
  <c r="C677" i="2" s="1"/>
  <c r="AN888" i="2"/>
  <c r="C888" i="2" a="1"/>
  <c r="C888" i="2" s="1"/>
  <c r="AN957" i="2"/>
  <c r="C957" i="2" a="1"/>
  <c r="C957" i="2" s="1"/>
  <c r="C723" i="2" a="1"/>
  <c r="C723" i="2" s="1"/>
  <c r="AO672" i="2"/>
  <c r="C672" i="2" a="1"/>
  <c r="C672" i="2" s="1"/>
  <c r="AO755" i="2"/>
  <c r="C755" i="2" a="1"/>
  <c r="C755" i="2" s="1"/>
  <c r="AN531" i="2"/>
  <c r="C531" i="2" a="1"/>
  <c r="C531" i="2" s="1"/>
  <c r="AO520" i="2"/>
  <c r="C520" i="2" a="1"/>
  <c r="C520" i="2" s="1"/>
  <c r="AO696" i="2"/>
  <c r="C696" i="2" a="1"/>
  <c r="C696" i="2" s="1"/>
  <c r="AN505" i="2"/>
  <c r="C505" i="2" a="1"/>
  <c r="C505" i="2" s="1"/>
  <c r="C616" i="2" a="1"/>
  <c r="C616" i="2" s="1"/>
  <c r="C765" i="2" a="1"/>
  <c r="C765" i="2" s="1"/>
  <c r="C735" i="2" a="1"/>
  <c r="C735" i="2" s="1"/>
  <c r="AN533" i="2"/>
  <c r="C533" i="2" a="1"/>
  <c r="C533" i="2" s="1"/>
  <c r="AO940" i="2"/>
  <c r="C940" i="2" a="1"/>
  <c r="C940" i="2" s="1"/>
  <c r="C649" i="2" a="1"/>
  <c r="C649" i="2" s="1"/>
  <c r="AN902" i="2"/>
  <c r="C902" i="2" a="1"/>
  <c r="C902" i="2" s="1"/>
  <c r="C529" i="2" a="1"/>
  <c r="C529" i="2" s="1"/>
  <c r="AO510" i="2"/>
  <c r="C510" i="2" a="1"/>
  <c r="C510" i="2" s="1"/>
  <c r="AO856" i="2"/>
  <c r="C856" i="2" a="1"/>
  <c r="C856" i="2" s="1"/>
  <c r="C933" i="2" a="1"/>
  <c r="C933" i="2" s="1"/>
  <c r="C617" i="2" a="1"/>
  <c r="C617" i="2" s="1"/>
  <c r="AN705" i="2"/>
  <c r="C705" i="2" a="1"/>
  <c r="C705" i="2" s="1"/>
  <c r="C544" i="2" a="1"/>
  <c r="C544" i="2" s="1"/>
  <c r="C657" i="2" a="1"/>
  <c r="C657" i="2" s="1"/>
  <c r="C546" i="2" a="1"/>
  <c r="C546" i="2" s="1"/>
  <c r="C961" i="2" a="1"/>
  <c r="C961" i="2" s="1"/>
  <c r="C971" i="2" a="1"/>
  <c r="C971" i="2" s="1"/>
  <c r="C535" i="2" a="1"/>
  <c r="C535" i="2" s="1"/>
  <c r="C925" i="2" a="1"/>
  <c r="C925" i="2" s="1"/>
  <c r="C882" i="2" a="1"/>
  <c r="C882" i="2" s="1"/>
  <c r="C759" i="2" a="1"/>
  <c r="C759" i="2" s="1"/>
  <c r="C984" i="2" a="1"/>
  <c r="C984" i="2" s="1"/>
  <c r="C708" i="2" a="1"/>
  <c r="C708" i="2" s="1"/>
  <c r="C906" i="2" a="1"/>
  <c r="C906" i="2" s="1"/>
  <c r="C612" i="2" a="1"/>
  <c r="C612" i="2" s="1"/>
  <c r="C10" i="2" a="1"/>
  <c r="C10" i="2" s="1"/>
  <c r="C687" i="2" a="1"/>
  <c r="C687" i="2" s="1"/>
  <c r="C21" i="2" a="1"/>
  <c r="C21" i="2" s="1"/>
  <c r="C818" i="2" a="1"/>
  <c r="C818" i="2" s="1"/>
  <c r="C938" i="2" a="1"/>
  <c r="C938" i="2" s="1"/>
  <c r="C966" i="2" a="1"/>
  <c r="C966" i="2" s="1"/>
  <c r="C771" i="2" a="1"/>
  <c r="C771" i="2" s="1"/>
  <c r="C633" i="2" a="1"/>
  <c r="C633" i="2" s="1"/>
  <c r="C642" i="2" a="1"/>
  <c r="C642" i="2" s="1"/>
  <c r="C870" i="2" a="1"/>
  <c r="C870" i="2" s="1"/>
  <c r="C921" i="2" a="1"/>
  <c r="C921" i="2" s="1"/>
  <c r="C19" i="2" a="1"/>
  <c r="C19" i="2" s="1"/>
  <c r="C680" i="2" a="1"/>
  <c r="C680" i="2" s="1"/>
  <c r="C813" i="2" a="1"/>
  <c r="C813" i="2" s="1"/>
  <c r="C587" i="2" a="1"/>
  <c r="C587" i="2" s="1"/>
  <c r="C745" i="2" a="1"/>
  <c r="C745" i="2" s="1"/>
  <c r="C807" i="2" a="1"/>
  <c r="C807" i="2" s="1"/>
  <c r="C786" i="2" a="1"/>
  <c r="C786" i="2" s="1"/>
  <c r="C892" i="2" a="1"/>
  <c r="C892" i="2" s="1"/>
  <c r="C998" i="2" a="1"/>
  <c r="C998" i="2" s="1"/>
  <c r="C599" i="2" a="1"/>
  <c r="C599" i="2" s="1"/>
  <c r="C848" i="2" a="1"/>
  <c r="C848" i="2" s="1"/>
  <c r="C610" i="2" a="1"/>
  <c r="C610" i="2" s="1"/>
  <c r="C967" i="2" a="1"/>
  <c r="C967" i="2" s="1"/>
  <c r="C820" i="2" a="1"/>
  <c r="C820" i="2" s="1"/>
  <c r="C722" i="2" a="1"/>
  <c r="C722" i="2" s="1"/>
  <c r="C591" i="2" a="1"/>
  <c r="C591" i="2" s="1"/>
  <c r="C914" i="2" a="1"/>
  <c r="C914" i="2" s="1"/>
  <c r="C978" i="2" a="1"/>
  <c r="C978" i="2" s="1"/>
  <c r="C645" i="2" a="1"/>
  <c r="C645" i="2" s="1"/>
  <c r="C826" i="2" a="1"/>
  <c r="C826" i="2" s="1"/>
  <c r="C622" i="2" a="1"/>
  <c r="C622" i="2" s="1"/>
  <c r="C962" i="2" a="1"/>
  <c r="C962" i="2" s="1"/>
  <c r="C686" i="2" a="1"/>
  <c r="C686" i="2" s="1"/>
  <c r="C572" i="2" a="1"/>
  <c r="C572" i="2" s="1"/>
  <c r="C793" i="2" a="1"/>
  <c r="C793" i="2" s="1"/>
  <c r="C986" i="2" a="1"/>
  <c r="C986" i="2" s="1"/>
  <c r="C769" i="2" a="1"/>
  <c r="C769" i="2" s="1"/>
  <c r="C740" i="2" a="1"/>
  <c r="C740" i="2" s="1"/>
  <c r="C917" i="2" a="1"/>
  <c r="C917" i="2" s="1"/>
  <c r="C681" i="2" a="1"/>
  <c r="C681" i="2" s="1"/>
  <c r="C805" i="2" a="1"/>
  <c r="C805" i="2" s="1"/>
  <c r="C811" i="2" a="1"/>
  <c r="C811" i="2" s="1"/>
  <c r="C997" i="2" a="1"/>
  <c r="C997" i="2" s="1"/>
  <c r="C725" i="2" a="1"/>
  <c r="C725" i="2" s="1"/>
  <c r="C739" i="2" a="1"/>
  <c r="C739" i="2" s="1"/>
  <c r="C749" i="2" a="1"/>
  <c r="C749" i="2" s="1"/>
  <c r="C794" i="2" a="1"/>
  <c r="C794" i="2" s="1"/>
  <c r="C706" i="2" a="1"/>
  <c r="C706" i="2" s="1"/>
  <c r="C718" i="2" a="1"/>
  <c r="C718" i="2" s="1"/>
  <c r="C698" i="2" a="1"/>
  <c r="C698" i="2" s="1"/>
  <c r="C929" i="2" a="1"/>
  <c r="C929" i="2" s="1"/>
  <c r="C694" i="2" a="1"/>
  <c r="C694" i="2" s="1"/>
  <c r="C948" i="2" a="1"/>
  <c r="C948" i="2" s="1"/>
  <c r="J202" i="2"/>
  <c r="L202" i="2"/>
  <c r="AK599" i="2" l="1"/>
  <c r="AQ599" i="2"/>
  <c r="AK510" i="2"/>
  <c r="AQ510" i="2"/>
  <c r="AK799" i="2"/>
  <c r="AQ799" i="2"/>
  <c r="AK663" i="2"/>
  <c r="AQ663" i="2"/>
  <c r="AK661" i="2"/>
  <c r="AQ661" i="2"/>
  <c r="AK641" i="2"/>
  <c r="AQ641" i="2"/>
  <c r="AK819" i="2"/>
  <c r="AQ819" i="2"/>
  <c r="AK854" i="2"/>
  <c r="AQ854" i="2"/>
  <c r="AK773" i="2"/>
  <c r="AQ773" i="2"/>
  <c r="AK580" i="2"/>
  <c r="AQ580" i="2"/>
  <c r="AK911" i="2"/>
  <c r="AQ911" i="2"/>
  <c r="AK929" i="2"/>
  <c r="AQ929" i="2"/>
  <c r="AK759" i="2"/>
  <c r="AQ759" i="2"/>
  <c r="AK644" i="2"/>
  <c r="AQ644" i="2"/>
  <c r="AK928" i="2"/>
  <c r="AQ928" i="2"/>
  <c r="AK727" i="2"/>
  <c r="AQ727" i="2"/>
  <c r="AK578" i="2"/>
  <c r="AQ578" i="2"/>
  <c r="AK794" i="2"/>
  <c r="AQ794" i="2"/>
  <c r="AK622" i="2"/>
  <c r="AQ622" i="2"/>
  <c r="AK745" i="2"/>
  <c r="AQ745" i="2"/>
  <c r="AK612" i="2"/>
  <c r="AQ612" i="2"/>
  <c r="AK933" i="2"/>
  <c r="AQ933" i="2"/>
  <c r="AK505" i="2"/>
  <c r="AQ505" i="2"/>
  <c r="AK690" i="2"/>
  <c r="AQ690" i="2"/>
  <c r="AK732" i="2"/>
  <c r="AQ732" i="2"/>
  <c r="AK801" i="2"/>
  <c r="AQ801" i="2"/>
  <c r="AK887" i="2"/>
  <c r="AQ887" i="2"/>
  <c r="AK958" i="2"/>
  <c r="AQ958" i="2"/>
  <c r="AK918" i="2"/>
  <c r="AQ918" i="2"/>
  <c r="AK688" i="2"/>
  <c r="AQ688" i="2"/>
  <c r="AK915" i="2"/>
  <c r="AQ915" i="2"/>
  <c r="AK760" i="2"/>
  <c r="AQ760" i="2"/>
  <c r="AK609" i="2"/>
  <c r="AQ609" i="2"/>
  <c r="AK743" i="2"/>
  <c r="AQ743" i="2"/>
  <c r="AK855" i="2"/>
  <c r="AQ855" i="2"/>
  <c r="AK749" i="2"/>
  <c r="AQ749" i="2"/>
  <c r="AK740" i="2"/>
  <c r="AQ740" i="2"/>
  <c r="AK826" i="2"/>
  <c r="AQ826" i="2"/>
  <c r="AK948" i="2"/>
  <c r="AQ948" i="2"/>
  <c r="AK739" i="2"/>
  <c r="AQ739" i="2"/>
  <c r="AK769" i="2"/>
  <c r="AQ769" i="2"/>
  <c r="AK645" i="2"/>
  <c r="AQ645" i="2"/>
  <c r="AK848" i="2"/>
  <c r="AQ848" i="2"/>
  <c r="AK813" i="2"/>
  <c r="AQ813" i="2"/>
  <c r="AK966" i="2"/>
  <c r="AQ966" i="2"/>
  <c r="AK708" i="2"/>
  <c r="AQ708" i="2"/>
  <c r="AK546" i="2"/>
  <c r="AQ546" i="2"/>
  <c r="AK696" i="2"/>
  <c r="AQ696" i="2"/>
  <c r="AK672" i="2"/>
  <c r="AQ672" i="2"/>
  <c r="AK667" i="2"/>
  <c r="AQ667" i="2"/>
  <c r="AK804" i="2"/>
  <c r="AQ804" i="2"/>
  <c r="AK689" i="2"/>
  <c r="AQ689" i="2"/>
  <c r="AK875" i="2"/>
  <c r="AQ875" i="2"/>
  <c r="AK862" i="2"/>
  <c r="AQ862" i="2"/>
  <c r="AK519" i="2"/>
  <c r="AQ519" i="2"/>
  <c r="AK770" i="2"/>
  <c r="AQ770" i="2"/>
  <c r="AK871" i="2"/>
  <c r="AQ871" i="2"/>
  <c r="AK889" i="2"/>
  <c r="AQ889" i="2"/>
  <c r="AK785" i="2"/>
  <c r="AQ785" i="2"/>
  <c r="AK832" i="2"/>
  <c r="AQ832" i="2"/>
  <c r="AK782" i="2"/>
  <c r="AQ782" i="2"/>
  <c r="AK772" i="2"/>
  <c r="AQ772" i="2"/>
  <c r="AK716" i="2"/>
  <c r="AQ716" i="2"/>
  <c r="AK920" i="2"/>
  <c r="AQ920" i="2"/>
  <c r="AK525" i="2"/>
  <c r="AQ525" i="2"/>
  <c r="AK556" i="2"/>
  <c r="AQ556" i="2"/>
  <c r="AK815" i="2"/>
  <c r="AQ815" i="2"/>
  <c r="AK868" i="2"/>
  <c r="AQ868" i="2"/>
  <c r="AK950" i="2"/>
  <c r="AQ950" i="2"/>
  <c r="AK893" i="2"/>
  <c r="AQ893" i="2"/>
  <c r="AK741" i="2"/>
  <c r="AQ741" i="2"/>
  <c r="AK607" i="2"/>
  <c r="AQ607" i="2"/>
  <c r="AK947" i="2"/>
  <c r="AQ947" i="2"/>
  <c r="AK731" i="2"/>
  <c r="AQ731" i="2"/>
  <c r="AK775" i="2"/>
  <c r="AQ775" i="2"/>
  <c r="AK534" i="2"/>
  <c r="AQ534" i="2"/>
  <c r="AK795" i="2"/>
  <c r="AQ795" i="2"/>
  <c r="AK675" i="2"/>
  <c r="AQ675" i="2"/>
  <c r="AK951" i="2"/>
  <c r="AQ951" i="2"/>
  <c r="AK900" i="2"/>
  <c r="AQ900" i="2"/>
  <c r="AK712" i="2"/>
  <c r="AQ712" i="2"/>
  <c r="AK717" i="2"/>
  <c r="AQ717" i="2"/>
  <c r="AK551" i="2"/>
  <c r="AQ551" i="2"/>
  <c r="AK872" i="2"/>
  <c r="AQ872" i="2"/>
  <c r="AK593" i="2"/>
  <c r="AQ593" i="2"/>
  <c r="AK970" i="2"/>
  <c r="AQ970" i="2"/>
  <c r="AK913" i="2"/>
  <c r="AQ913" i="2"/>
  <c r="AK600" i="2"/>
  <c r="AQ600" i="2"/>
  <c r="AK975" i="2"/>
  <c r="AQ975" i="2"/>
  <c r="AK528" i="2"/>
  <c r="AQ528" i="2"/>
  <c r="AK634" i="2"/>
  <c r="AQ634" i="2"/>
  <c r="AK651" i="2"/>
  <c r="AQ651" i="2"/>
  <c r="AK656" i="2"/>
  <c r="AQ656" i="2"/>
  <c r="AK797" i="2"/>
  <c r="AQ797" i="2"/>
  <c r="AK783" i="2"/>
  <c r="AQ783" i="2"/>
  <c r="AK552" i="2"/>
  <c r="AQ552" i="2"/>
  <c r="AK598" i="2"/>
  <c r="AQ598" i="2"/>
  <c r="AK879" i="2"/>
  <c r="AQ879" i="2"/>
  <c r="AK883" i="2"/>
  <c r="AQ883" i="2"/>
  <c r="AK506" i="2"/>
  <c r="AQ506" i="2"/>
  <c r="AK898" i="2"/>
  <c r="AQ898" i="2"/>
  <c r="AK987" i="2"/>
  <c r="AQ987" i="2"/>
  <c r="AK699" i="2"/>
  <c r="AQ699" i="2"/>
  <c r="AK704" i="2"/>
  <c r="AQ704" i="2"/>
  <c r="AK821" i="2"/>
  <c r="AQ821" i="2"/>
  <c r="AK725" i="2"/>
  <c r="AQ725" i="2"/>
  <c r="AK938" i="2"/>
  <c r="AQ938" i="2"/>
  <c r="AK709" i="2"/>
  <c r="AQ709" i="2"/>
  <c r="AK895" i="2"/>
  <c r="AQ895" i="2"/>
  <c r="AK627" i="2"/>
  <c r="AQ627" i="2"/>
  <c r="AK994" i="2"/>
  <c r="AQ994" i="2"/>
  <c r="AK646" i="2"/>
  <c r="AQ646" i="2"/>
  <c r="AK756" i="2"/>
  <c r="AQ756" i="2"/>
  <c r="AK800" i="2"/>
  <c r="AQ800" i="2"/>
  <c r="AK713" i="2"/>
  <c r="AQ713" i="2"/>
  <c r="AK577" i="2"/>
  <c r="AQ577" i="2"/>
  <c r="AK869" i="2"/>
  <c r="AQ869" i="2"/>
  <c r="AK626" i="2"/>
  <c r="AQ626" i="2"/>
  <c r="AK997" i="2"/>
  <c r="AQ997" i="2"/>
  <c r="AK818" i="2"/>
  <c r="AQ818" i="2"/>
  <c r="AK520" i="2"/>
  <c r="AQ520" i="2"/>
  <c r="AK762" i="2"/>
  <c r="AQ762" i="2"/>
  <c r="AK512" i="2"/>
  <c r="AQ512" i="2"/>
  <c r="AK666" i="2"/>
  <c r="AQ666" i="2"/>
  <c r="AK621" i="2"/>
  <c r="AQ621" i="2"/>
  <c r="AK660" i="2"/>
  <c r="AQ660" i="2"/>
  <c r="AK604" i="2"/>
  <c r="AQ604" i="2"/>
  <c r="AK691" i="2"/>
  <c r="AQ691" i="2"/>
  <c r="AK538" i="2"/>
  <c r="AQ538" i="2"/>
  <c r="AK876" i="2"/>
  <c r="AQ876" i="2"/>
  <c r="AK985" i="2"/>
  <c r="AQ985" i="2"/>
  <c r="AK890" i="2"/>
  <c r="AQ890" i="2"/>
  <c r="AK698" i="2"/>
  <c r="AQ698" i="2"/>
  <c r="AK811" i="2"/>
  <c r="AQ811" i="2"/>
  <c r="AK572" i="2"/>
  <c r="AQ572" i="2"/>
  <c r="AK591" i="2"/>
  <c r="AQ591" i="2"/>
  <c r="AK892" i="2"/>
  <c r="AQ892" i="2"/>
  <c r="AK921" i="2"/>
  <c r="AQ921" i="2"/>
  <c r="AK882" i="2"/>
  <c r="AQ882" i="2"/>
  <c r="AK705" i="2"/>
  <c r="AQ705" i="2"/>
  <c r="AK529" i="2"/>
  <c r="AQ529" i="2"/>
  <c r="AK735" i="2"/>
  <c r="AQ735" i="2"/>
  <c r="AK957" i="2"/>
  <c r="AQ957" i="2"/>
  <c r="AK983" i="2"/>
  <c r="AQ983" i="2"/>
  <c r="AK859" i="2"/>
  <c r="AQ859" i="2"/>
  <c r="AK912" i="2"/>
  <c r="AQ912" i="2"/>
  <c r="AK608" i="2"/>
  <c r="AQ608" i="2"/>
  <c r="AK567" i="2"/>
  <c r="AQ567" i="2"/>
  <c r="AK522" i="2"/>
  <c r="AQ522" i="2"/>
  <c r="AK972" i="2"/>
  <c r="AQ972" i="2"/>
  <c r="AK840" i="2"/>
  <c r="AQ840" i="2"/>
  <c r="AK816" i="2"/>
  <c r="AQ816" i="2"/>
  <c r="AK908" i="2"/>
  <c r="AQ908" i="2"/>
  <c r="AK903" i="2"/>
  <c r="AQ903" i="2"/>
  <c r="AK620" i="2"/>
  <c r="AQ620" i="2"/>
  <c r="AK579" i="2"/>
  <c r="AQ579" i="2"/>
  <c r="AK719" i="2"/>
  <c r="AQ719" i="2"/>
  <c r="AK825" i="2"/>
  <c r="AQ825" i="2"/>
  <c r="AK553" i="2"/>
  <c r="AQ553" i="2"/>
  <c r="AK874" i="2"/>
  <c r="AQ874" i="2"/>
  <c r="AK963" i="2"/>
  <c r="AQ963" i="2"/>
  <c r="AK542" i="2"/>
  <c r="AQ542" i="2"/>
  <c r="AK910" i="2"/>
  <c r="AQ910" i="2"/>
  <c r="AK999" i="2"/>
  <c r="AQ999" i="2"/>
  <c r="AK934" i="2"/>
  <c r="AQ934" i="2"/>
  <c r="AK842" i="2"/>
  <c r="AQ842" i="2"/>
  <c r="AK844" i="2"/>
  <c r="AQ844" i="2"/>
  <c r="AK502" i="2"/>
  <c r="AQ502" i="2"/>
  <c r="AK585" i="2"/>
  <c r="AQ585" i="2"/>
  <c r="AK707" i="2"/>
  <c r="AQ707" i="2"/>
  <c r="AK904" i="2"/>
  <c r="AQ904" i="2"/>
  <c r="AK693" i="2"/>
  <c r="AQ693" i="2"/>
  <c r="AK897" i="2"/>
  <c r="AQ897" i="2"/>
  <c r="AK720" i="2"/>
  <c r="AQ720" i="2"/>
  <c r="AK728" i="2"/>
  <c r="AQ728" i="2"/>
  <c r="AK812" i="2"/>
  <c r="AQ812" i="2"/>
  <c r="AK973" i="2"/>
  <c r="AQ973" i="2"/>
  <c r="AK941" i="2"/>
  <c r="AQ941" i="2"/>
  <c r="AK964" i="2"/>
  <c r="AQ964" i="2"/>
  <c r="AK730" i="2"/>
  <c r="AQ730" i="2"/>
  <c r="AK517" i="2"/>
  <c r="AQ517" i="2"/>
  <c r="AK532" i="2"/>
  <c r="AQ532" i="2"/>
  <c r="AK944" i="2"/>
  <c r="AQ944" i="2"/>
  <c r="AK674" i="2"/>
  <c r="AQ674" i="2"/>
  <c r="AK613" i="2"/>
  <c r="AQ613" i="2"/>
  <c r="AK574" i="2"/>
  <c r="AQ574" i="2"/>
  <c r="AK946" i="2"/>
  <c r="AQ946" i="2"/>
  <c r="AK976" i="2"/>
  <c r="AQ976" i="2"/>
  <c r="AK857" i="2"/>
  <c r="AQ857" i="2"/>
  <c r="AK746" i="2"/>
  <c r="AQ746" i="2"/>
  <c r="AK817" i="2"/>
  <c r="AQ817" i="2"/>
  <c r="AK738" i="2"/>
  <c r="AQ738" i="2"/>
  <c r="AK982" i="2"/>
  <c r="AQ982" i="2"/>
  <c r="AK702" i="2"/>
  <c r="AQ702" i="2"/>
  <c r="AK986" i="2"/>
  <c r="AQ986" i="2"/>
  <c r="AK984" i="2"/>
  <c r="AQ984" i="2"/>
  <c r="AK949" i="2"/>
  <c r="AQ949" i="2"/>
  <c r="AK891" i="2"/>
  <c r="AQ891" i="2"/>
  <c r="AK629" i="2"/>
  <c r="AQ629" i="2"/>
  <c r="AK511" i="2"/>
  <c r="AQ511" i="2"/>
  <c r="AK791" i="2"/>
  <c r="AQ791" i="2"/>
  <c r="AK540" i="2"/>
  <c r="AQ540" i="2"/>
  <c r="AK648" i="2"/>
  <c r="AQ648" i="2"/>
  <c r="AK509" i="2"/>
  <c r="AQ509" i="2"/>
  <c r="AK996" i="2"/>
  <c r="AQ996" i="2"/>
  <c r="AK835" i="2"/>
  <c r="AQ835" i="2"/>
  <c r="AK834" i="2"/>
  <c r="AQ834" i="2"/>
  <c r="AK793" i="2"/>
  <c r="AQ793" i="2"/>
  <c r="AK544" i="2"/>
  <c r="AQ544" i="2"/>
  <c r="AK923" i="2"/>
  <c r="AQ923" i="2"/>
  <c r="AK990" i="2"/>
  <c r="AQ990" i="2"/>
  <c r="AK822" i="2"/>
  <c r="AQ822" i="2"/>
  <c r="AK828" i="2"/>
  <c r="AQ828" i="2"/>
  <c r="AK899" i="2"/>
  <c r="AQ899" i="2"/>
  <c r="AK995" i="2"/>
  <c r="AQ995" i="2"/>
  <c r="AK573" i="2"/>
  <c r="AQ573" i="2"/>
  <c r="AK860" i="2"/>
  <c r="AQ860" i="2"/>
  <c r="AK664" i="2"/>
  <c r="AQ664" i="2"/>
  <c r="AK513" i="2"/>
  <c r="AQ513" i="2"/>
  <c r="AK896" i="2"/>
  <c r="AQ896" i="2"/>
  <c r="AK919" i="2"/>
  <c r="AQ919" i="2"/>
  <c r="AK936" i="2"/>
  <c r="AQ936" i="2"/>
  <c r="AK718" i="2"/>
  <c r="AQ718" i="2"/>
  <c r="AK805" i="2"/>
  <c r="AQ805" i="2"/>
  <c r="AK722" i="2"/>
  <c r="AQ722" i="2"/>
  <c r="AK870" i="2"/>
  <c r="AQ870" i="2"/>
  <c r="AK925" i="2"/>
  <c r="AQ925" i="2"/>
  <c r="AK765" i="2"/>
  <c r="AQ765" i="2"/>
  <c r="AK531" i="2"/>
  <c r="AQ531" i="2"/>
  <c r="AK784" i="2"/>
  <c r="AQ784" i="2"/>
  <c r="AK954" i="2"/>
  <c r="AQ954" i="2"/>
  <c r="AK841" i="2"/>
  <c r="AQ841" i="2"/>
  <c r="AK776" i="2"/>
  <c r="AQ776" i="2"/>
  <c r="AK880" i="2"/>
  <c r="AQ880" i="2"/>
  <c r="AK568" i="2"/>
  <c r="AQ568" i="2"/>
  <c r="AK937" i="2"/>
  <c r="AQ937" i="2"/>
  <c r="AK518" i="2"/>
  <c r="AQ518" i="2"/>
  <c r="AK640" i="2"/>
  <c r="AQ640" i="2"/>
  <c r="AK881" i="2"/>
  <c r="AQ881" i="2"/>
  <c r="AK733" i="2"/>
  <c r="AQ733" i="2"/>
  <c r="AK711" i="2"/>
  <c r="AQ711" i="2"/>
  <c r="AK873" i="2"/>
  <c r="AQ873" i="2"/>
  <c r="AK943" i="2"/>
  <c r="AQ943" i="2"/>
  <c r="AK615" i="2"/>
  <c r="AQ615" i="2"/>
  <c r="AK643" i="2"/>
  <c r="AQ643" i="2"/>
  <c r="AK582" i="2"/>
  <c r="AQ582" i="2"/>
  <c r="AK989" i="2"/>
  <c r="AQ989" i="2"/>
  <c r="AK678" i="2"/>
  <c r="AQ678" i="2"/>
  <c r="AK676" i="2"/>
  <c r="AQ676" i="2"/>
  <c r="AQ14" i="2"/>
  <c r="AK557" i="2"/>
  <c r="AQ557" i="2"/>
  <c r="AK523" i="2"/>
  <c r="AQ523" i="2"/>
  <c r="AK837" i="2"/>
  <c r="AQ837" i="2"/>
  <c r="AK766" i="2"/>
  <c r="AQ766" i="2"/>
  <c r="AK501" i="2"/>
  <c r="AQ501" i="2"/>
  <c r="AK631" i="2"/>
  <c r="AQ631" i="2"/>
  <c r="AK980" i="2"/>
  <c r="AQ980" i="2"/>
  <c r="AK603" i="2"/>
  <c r="AQ603" i="2"/>
  <c r="AK796" i="2"/>
  <c r="AQ796" i="2"/>
  <c r="AK867" i="2"/>
  <c r="AQ867" i="2"/>
  <c r="AK802" i="2"/>
  <c r="AQ802" i="2"/>
  <c r="AK659" i="2"/>
  <c r="AQ659" i="2"/>
  <c r="AK654" i="2"/>
  <c r="AQ654" i="2"/>
  <c r="AK547" i="2"/>
  <c r="AQ547" i="2"/>
  <c r="AK829" i="2"/>
  <c r="AQ829" i="2"/>
  <c r="AK558" i="2"/>
  <c r="AQ558" i="2"/>
  <c r="AK798" i="2"/>
  <c r="AQ798" i="2"/>
  <c r="AK748" i="2"/>
  <c r="AQ748" i="2"/>
  <c r="AK614" i="2"/>
  <c r="AQ614" i="2"/>
  <c r="AK831" i="2"/>
  <c r="AQ831" i="2"/>
  <c r="AK541" i="2"/>
  <c r="AQ541" i="2"/>
  <c r="AK539" i="2"/>
  <c r="AQ539" i="2"/>
  <c r="AK894" i="2"/>
  <c r="AQ894" i="2"/>
  <c r="AK780" i="2"/>
  <c r="AQ780" i="2"/>
  <c r="AK590" i="2"/>
  <c r="AQ590" i="2"/>
  <c r="AK694" i="2"/>
  <c r="AQ694" i="2"/>
  <c r="AK680" i="2"/>
  <c r="AQ680" i="2"/>
  <c r="AK533" i="2"/>
  <c r="AQ533" i="2"/>
  <c r="AK618" i="2"/>
  <c r="AQ618" i="2"/>
  <c r="AK635" i="2"/>
  <c r="AQ635" i="2"/>
  <c r="AK924" i="2"/>
  <c r="AQ924" i="2"/>
  <c r="AK575" i="2"/>
  <c r="AQ575" i="2"/>
  <c r="AK959" i="2"/>
  <c r="AQ959" i="2"/>
  <c r="AK945" i="2"/>
  <c r="AQ945" i="2"/>
  <c r="AK863" i="2"/>
  <c r="AQ863" i="2"/>
  <c r="AK515" i="2"/>
  <c r="AQ515" i="2"/>
  <c r="AK981" i="2"/>
  <c r="AQ981" i="2"/>
  <c r="AK723" i="2"/>
  <c r="AQ723" i="2"/>
  <c r="AK619" i="2"/>
  <c r="AQ619" i="2"/>
  <c r="AK968" i="2"/>
  <c r="AQ968" i="2"/>
  <c r="AK905" i="2"/>
  <c r="AQ905" i="2"/>
  <c r="AK550" i="2"/>
  <c r="AQ550" i="2"/>
  <c r="AK953" i="2"/>
  <c r="AQ953" i="2"/>
  <c r="AK638" i="2"/>
  <c r="AQ638" i="2"/>
  <c r="AK521" i="2"/>
  <c r="AQ521" i="2"/>
  <c r="AK589" i="2"/>
  <c r="AQ589" i="2"/>
  <c r="AK932" i="2"/>
  <c r="AQ932" i="2"/>
  <c r="AK576" i="2"/>
  <c r="AQ576" i="2"/>
  <c r="AK503" i="2"/>
  <c r="AQ503" i="2"/>
  <c r="AK979" i="2"/>
  <c r="AQ979" i="2"/>
  <c r="AK833" i="2"/>
  <c r="AQ833" i="2"/>
  <c r="AK787" i="2"/>
  <c r="AQ787" i="2"/>
  <c r="AK650" i="2"/>
  <c r="AQ650" i="2"/>
  <c r="AK686" i="2"/>
  <c r="AQ686" i="2"/>
  <c r="AK786" i="2"/>
  <c r="AQ786" i="2"/>
  <c r="AK687" i="2"/>
  <c r="AQ687" i="2"/>
  <c r="AK902" i="2"/>
  <c r="AQ902" i="2"/>
  <c r="AK814" i="2"/>
  <c r="AQ814" i="2"/>
  <c r="AK526" i="2"/>
  <c r="AQ526" i="2"/>
  <c r="AK586" i="2"/>
  <c r="AQ586" i="2"/>
  <c r="AK992" i="2"/>
  <c r="AQ992" i="2"/>
  <c r="AK630" i="2"/>
  <c r="AQ630" i="2"/>
  <c r="AK682" i="2"/>
  <c r="AQ682" i="2"/>
  <c r="AK670" i="2"/>
  <c r="AQ670" i="2"/>
  <c r="AK706" i="2"/>
  <c r="AQ706" i="2"/>
  <c r="AK681" i="2"/>
  <c r="AQ681" i="2"/>
  <c r="AK962" i="2"/>
  <c r="AQ962" i="2"/>
  <c r="AK820" i="2"/>
  <c r="AQ820" i="2"/>
  <c r="AK807" i="2"/>
  <c r="AQ807" i="2"/>
  <c r="AK642" i="2"/>
  <c r="AQ642" i="2"/>
  <c r="AK535" i="2"/>
  <c r="AQ535" i="2"/>
  <c r="AK617" i="2"/>
  <c r="AQ617" i="2"/>
  <c r="AK616" i="2"/>
  <c r="AQ616" i="2"/>
  <c r="AK888" i="2"/>
  <c r="AQ888" i="2"/>
  <c r="AK665" i="2"/>
  <c r="AQ665" i="2"/>
  <c r="AK695" i="2"/>
  <c r="AQ695" i="2"/>
  <c r="AK754" i="2"/>
  <c r="AQ754" i="2"/>
  <c r="AK516" i="2"/>
  <c r="AQ516" i="2"/>
  <c r="AK507" i="2"/>
  <c r="AQ507" i="2"/>
  <c r="AK952" i="2"/>
  <c r="AQ952" i="2"/>
  <c r="AK742" i="2"/>
  <c r="AQ742" i="2"/>
  <c r="AK584" i="2"/>
  <c r="AQ584" i="2"/>
  <c r="AK744" i="2"/>
  <c r="AQ744" i="2"/>
  <c r="AK639" i="2"/>
  <c r="AQ639" i="2"/>
  <c r="AK692" i="2"/>
  <c r="AQ692" i="2"/>
  <c r="AK926" i="2"/>
  <c r="AQ926" i="2"/>
  <c r="AK561" i="2"/>
  <c r="AQ561" i="2"/>
  <c r="AK845" i="2"/>
  <c r="AQ845" i="2"/>
  <c r="AK808" i="2"/>
  <c r="AQ808" i="2"/>
  <c r="AK570" i="2"/>
  <c r="AQ570" i="2"/>
  <c r="AK927" i="2"/>
  <c r="AQ927" i="2"/>
  <c r="AK806" i="2"/>
  <c r="AQ806" i="2"/>
  <c r="AK710" i="2"/>
  <c r="AQ710" i="2"/>
  <c r="AK974" i="2"/>
  <c r="AQ974" i="2"/>
  <c r="AK955" i="2"/>
  <c r="AQ955" i="2"/>
  <c r="AK851" i="2"/>
  <c r="AQ851" i="2"/>
  <c r="AK624" i="2"/>
  <c r="AQ624" i="2"/>
  <c r="AK628" i="2"/>
  <c r="AQ628" i="2"/>
  <c r="AK956" i="2"/>
  <c r="AQ956" i="2"/>
  <c r="AK850" i="2"/>
  <c r="AQ850" i="2"/>
  <c r="AK566" i="2"/>
  <c r="AQ566" i="2"/>
  <c r="AQ33" i="2"/>
  <c r="AK803" i="2"/>
  <c r="AQ803" i="2"/>
  <c r="AK790" i="2"/>
  <c r="AQ790" i="2"/>
  <c r="AK789" i="2"/>
  <c r="AQ789" i="2"/>
  <c r="AK524" i="2"/>
  <c r="AQ524" i="2"/>
  <c r="AK810" i="2"/>
  <c r="AQ810" i="2"/>
  <c r="AK788" i="2"/>
  <c r="AQ788" i="2"/>
  <c r="AK747" i="2"/>
  <c r="AQ747" i="2"/>
  <c r="AK611" i="2"/>
  <c r="AQ611" i="2"/>
  <c r="AK846" i="2"/>
  <c r="AQ846" i="2"/>
  <c r="AK595" i="2"/>
  <c r="AQ595" i="2"/>
  <c r="AK864" i="2"/>
  <c r="AQ864" i="2"/>
  <c r="AK764" i="2"/>
  <c r="AQ764" i="2"/>
  <c r="AK792" i="2"/>
  <c r="AQ792" i="2"/>
  <c r="AK592" i="2"/>
  <c r="AQ592" i="2"/>
  <c r="AK701" i="2"/>
  <c r="AQ701" i="2"/>
  <c r="AK668" i="2"/>
  <c r="AQ668" i="2"/>
  <c r="AK581" i="2"/>
  <c r="AQ581" i="2"/>
  <c r="AK830" i="2"/>
  <c r="AQ830" i="2"/>
  <c r="AK884" i="2"/>
  <c r="AQ884" i="2"/>
  <c r="AK907" i="2"/>
  <c r="AQ907" i="2"/>
  <c r="AK685" i="2"/>
  <c r="AQ685" i="2"/>
  <c r="AK548" i="2"/>
  <c r="AQ548" i="2"/>
  <c r="AK978" i="2"/>
  <c r="AQ978" i="2"/>
  <c r="AK657" i="2"/>
  <c r="AQ657" i="2"/>
  <c r="AK697" i="2"/>
  <c r="AQ697" i="2"/>
  <c r="AK977" i="2"/>
  <c r="AQ977" i="2"/>
  <c r="AK560" i="2"/>
  <c r="AQ560" i="2"/>
  <c r="AK714" i="2"/>
  <c r="AQ714" i="2"/>
  <c r="AK527" i="2"/>
  <c r="AQ527" i="2"/>
  <c r="AK931" i="2"/>
  <c r="AQ931" i="2"/>
  <c r="AK750" i="2"/>
  <c r="AQ750" i="2"/>
  <c r="AK839" i="2"/>
  <c r="AQ839" i="2"/>
  <c r="AK530" i="2"/>
  <c r="AQ530" i="2"/>
  <c r="AK658" i="2"/>
  <c r="AQ658" i="2"/>
  <c r="AK636" i="2"/>
  <c r="AQ636" i="2"/>
  <c r="AK998" i="2"/>
  <c r="AQ998" i="2"/>
  <c r="AK724" i="2"/>
  <c r="AQ724" i="2"/>
  <c r="AK625" i="2"/>
  <c r="AQ625" i="2"/>
  <c r="AK988" i="2"/>
  <c r="AQ988" i="2"/>
  <c r="AK537" i="2"/>
  <c r="AQ537" i="2"/>
  <c r="AK781" i="2"/>
  <c r="AQ781" i="2"/>
  <c r="AK565" i="2"/>
  <c r="AQ565" i="2"/>
  <c r="AK824" i="2"/>
  <c r="AQ824" i="2"/>
  <c r="AK594" i="2"/>
  <c r="AQ594" i="2"/>
  <c r="AK777" i="2"/>
  <c r="AQ777" i="2"/>
  <c r="AK684" i="2"/>
  <c r="AQ684" i="2"/>
  <c r="AK763" i="2"/>
  <c r="AQ763" i="2"/>
  <c r="AK922" i="2"/>
  <c r="AQ922" i="2"/>
  <c r="AK637" i="2"/>
  <c r="AQ637" i="2"/>
  <c r="AK602" i="2"/>
  <c r="AQ602" i="2"/>
  <c r="AK774" i="2"/>
  <c r="AQ774" i="2"/>
  <c r="AK671" i="2"/>
  <c r="AQ671" i="2"/>
  <c r="AK965" i="2"/>
  <c r="AQ965" i="2"/>
  <c r="AK960" i="2"/>
  <c r="AQ960" i="2"/>
  <c r="AK623" i="2"/>
  <c r="AQ623" i="2"/>
  <c r="AK734" i="2"/>
  <c r="AQ734" i="2"/>
  <c r="AK554" i="2"/>
  <c r="AQ554" i="2"/>
  <c r="AK939" i="2"/>
  <c r="AQ939" i="2"/>
  <c r="AK504" i="2"/>
  <c r="AQ504" i="2"/>
  <c r="AK736" i="2"/>
  <c r="AQ736" i="2"/>
  <c r="AK1000" i="2"/>
  <c r="AQ1000" i="2"/>
  <c r="AK563" i="2"/>
  <c r="AQ563" i="2"/>
  <c r="AK662" i="2"/>
  <c r="AQ662" i="2"/>
  <c r="AK683" i="2"/>
  <c r="AQ683" i="2"/>
  <c r="AK588" i="2"/>
  <c r="AQ588" i="2"/>
  <c r="AK673" i="2"/>
  <c r="AQ673" i="2"/>
  <c r="AK758" i="2"/>
  <c r="AQ758" i="2"/>
  <c r="AK969" i="2"/>
  <c r="AQ969" i="2"/>
  <c r="AK752" i="2"/>
  <c r="AQ752" i="2"/>
  <c r="AK779" i="2"/>
  <c r="AQ779" i="2"/>
  <c r="AK571" i="2"/>
  <c r="AQ571" i="2"/>
  <c r="AK942" i="2"/>
  <c r="AQ942" i="2"/>
  <c r="AK751" i="2"/>
  <c r="AQ751" i="2"/>
  <c r="AK827" i="2"/>
  <c r="AQ827" i="2"/>
  <c r="AK753" i="2"/>
  <c r="AQ753" i="2"/>
  <c r="AK885" i="2"/>
  <c r="AQ885" i="2"/>
  <c r="AK865" i="2"/>
  <c r="AQ865" i="2"/>
  <c r="AK914" i="2"/>
  <c r="AQ914" i="2"/>
  <c r="AK757" i="2"/>
  <c r="AQ757" i="2"/>
  <c r="AK809" i="2"/>
  <c r="AQ809" i="2"/>
  <c r="AK543" i="2"/>
  <c r="AQ543" i="2"/>
  <c r="AK559" i="2"/>
  <c r="AQ559" i="2"/>
  <c r="AK508" i="2"/>
  <c r="AQ508" i="2"/>
  <c r="AK917" i="2"/>
  <c r="AQ917" i="2"/>
  <c r="AK967" i="2"/>
  <c r="AQ967" i="2"/>
  <c r="AK633" i="2"/>
  <c r="AQ633" i="2"/>
  <c r="AK971" i="2"/>
  <c r="AQ971" i="2"/>
  <c r="AK649" i="2"/>
  <c r="AQ649" i="2"/>
  <c r="AK755" i="2"/>
  <c r="AQ755" i="2"/>
  <c r="AK652" i="2"/>
  <c r="AQ652" i="2"/>
  <c r="AK647" i="2"/>
  <c r="AQ647" i="2"/>
  <c r="AK930" i="2"/>
  <c r="AQ930" i="2"/>
  <c r="AK610" i="2"/>
  <c r="AQ610" i="2"/>
  <c r="AK587" i="2"/>
  <c r="AQ587" i="2"/>
  <c r="AK771" i="2"/>
  <c r="AQ771" i="2"/>
  <c r="AK906" i="2"/>
  <c r="AQ906" i="2"/>
  <c r="AK961" i="2"/>
  <c r="AQ961" i="2"/>
  <c r="AK856" i="2"/>
  <c r="AQ856" i="2"/>
  <c r="AK940" i="2"/>
  <c r="AQ940" i="2"/>
  <c r="AK677" i="2"/>
  <c r="AQ677" i="2"/>
  <c r="AK514" i="2"/>
  <c r="AQ514" i="2"/>
  <c r="AK866" i="2"/>
  <c r="AQ866" i="2"/>
  <c r="AK838" i="2"/>
  <c r="AQ838" i="2"/>
  <c r="AK852" i="2"/>
  <c r="AQ852" i="2"/>
  <c r="AK583" i="2"/>
  <c r="AQ583" i="2"/>
  <c r="AK606" i="2"/>
  <c r="AQ606" i="2"/>
  <c r="AK569" i="2"/>
  <c r="AQ569" i="2"/>
  <c r="AK768" i="2"/>
  <c r="AQ768" i="2"/>
  <c r="AK669" i="2"/>
  <c r="AQ669" i="2"/>
  <c r="AK847" i="2"/>
  <c r="AQ847" i="2"/>
  <c r="AK562" i="2"/>
  <c r="AQ562" i="2"/>
  <c r="AK935" i="2"/>
  <c r="AQ935" i="2"/>
  <c r="AK778" i="2"/>
  <c r="AQ778" i="2"/>
  <c r="AK700" i="2"/>
  <c r="AQ700" i="2"/>
  <c r="AK703" i="2"/>
  <c r="AQ703" i="2"/>
  <c r="AK655" i="2"/>
  <c r="AQ655" i="2"/>
  <c r="AK767" i="2"/>
  <c r="AQ767" i="2"/>
  <c r="AK849" i="2"/>
  <c r="AQ849" i="2"/>
  <c r="AK877" i="2"/>
  <c r="AQ877" i="2"/>
  <c r="AK761" i="2"/>
  <c r="AQ761" i="2"/>
  <c r="AK886" i="2"/>
  <c r="AQ886" i="2"/>
  <c r="AK916" i="2"/>
  <c r="AQ916" i="2"/>
  <c r="AK909" i="2"/>
  <c r="AQ909" i="2"/>
  <c r="AK991" i="2"/>
  <c r="AQ991" i="2"/>
  <c r="AK601" i="2"/>
  <c r="AQ601" i="2"/>
  <c r="AK679" i="2"/>
  <c r="AQ679" i="2"/>
  <c r="AK605" i="2"/>
  <c r="AQ605" i="2"/>
  <c r="AK721" i="2"/>
  <c r="AQ721" i="2"/>
  <c r="AK737" i="2"/>
  <c r="AQ737" i="2"/>
  <c r="AK596" i="2"/>
  <c r="AQ596" i="2"/>
  <c r="AK853" i="2"/>
  <c r="AQ853" i="2"/>
  <c r="AK653" i="2"/>
  <c r="AQ653" i="2"/>
  <c r="AK729" i="2"/>
  <c r="AQ729" i="2"/>
  <c r="AK564" i="2"/>
  <c r="AQ564" i="2"/>
  <c r="AK536" i="2"/>
  <c r="AQ536" i="2"/>
  <c r="AK993" i="2"/>
  <c r="AQ993" i="2"/>
  <c r="AK545" i="2"/>
  <c r="AQ545" i="2"/>
  <c r="AK726" i="2"/>
  <c r="AQ726" i="2"/>
  <c r="AK858" i="2"/>
  <c r="AQ858" i="2"/>
  <c r="AK843" i="2"/>
  <c r="AQ843" i="2"/>
  <c r="AQ31" i="2"/>
  <c r="AK555" i="2"/>
  <c r="AQ555" i="2"/>
  <c r="AK861" i="2"/>
  <c r="AQ861" i="2"/>
  <c r="AK901" i="2"/>
  <c r="AQ901" i="2"/>
  <c r="AK836" i="2"/>
  <c r="AQ836" i="2"/>
  <c r="AK823" i="2"/>
  <c r="AQ823" i="2"/>
  <c r="AK597" i="2"/>
  <c r="AQ597" i="2"/>
  <c r="AK549" i="2"/>
  <c r="AQ549" i="2"/>
  <c r="AK878" i="2"/>
  <c r="AQ878" i="2"/>
  <c r="AK632" i="2"/>
  <c r="AQ632" i="2"/>
  <c r="AK715" i="2"/>
  <c r="AQ715" i="2"/>
  <c r="AK2" i="2"/>
  <c r="AQ2" i="2"/>
  <c r="V202" i="2"/>
  <c r="AQ3" i="2" l="1"/>
  <c r="AQ4" i="2" s="1"/>
  <c r="AL823" i="2"/>
  <c r="AR823" i="2"/>
  <c r="AL559" i="2"/>
  <c r="AR559" i="2"/>
  <c r="AL758" i="2"/>
  <c r="AR758" i="2"/>
  <c r="AL637" i="2"/>
  <c r="AR637" i="2"/>
  <c r="AL530" i="2"/>
  <c r="AR530" i="2"/>
  <c r="AL685" i="2"/>
  <c r="AR685" i="2"/>
  <c r="AL788" i="2"/>
  <c r="AR788" i="2"/>
  <c r="AL639" i="2"/>
  <c r="AR639" i="2"/>
  <c r="AL687" i="2"/>
  <c r="AR687" i="2"/>
  <c r="AL968" i="2"/>
  <c r="AR968" i="2"/>
  <c r="AL925" i="2"/>
  <c r="AR925" i="2"/>
  <c r="AL629" i="2"/>
  <c r="AR629" i="2"/>
  <c r="AL567" i="2"/>
  <c r="AR567" i="2"/>
  <c r="AL818" i="2"/>
  <c r="AR818" i="2"/>
  <c r="AL552" i="2"/>
  <c r="AR552" i="2"/>
  <c r="AL545" i="2"/>
  <c r="AR545" i="2"/>
  <c r="AL729" i="2"/>
  <c r="AR729" i="2"/>
  <c r="AL737" i="2"/>
  <c r="AR737" i="2"/>
  <c r="AL601" i="2"/>
  <c r="AR601" i="2"/>
  <c r="AL886" i="2"/>
  <c r="AR886" i="2"/>
  <c r="AL767" i="2"/>
  <c r="AR767" i="2"/>
  <c r="AL778" i="2"/>
  <c r="AR778" i="2"/>
  <c r="AL669" i="2"/>
  <c r="AR669" i="2"/>
  <c r="AL583" i="2"/>
  <c r="AR583" i="2"/>
  <c r="AL514" i="2"/>
  <c r="AR514" i="2"/>
  <c r="AL961" i="2"/>
  <c r="AR961" i="2"/>
  <c r="AL610" i="2"/>
  <c r="AR610" i="2"/>
  <c r="AL755" i="2"/>
  <c r="AR755" i="2"/>
  <c r="AL967" i="2"/>
  <c r="AR967" i="2"/>
  <c r="AL914" i="2"/>
  <c r="AR914" i="2"/>
  <c r="AL827" i="2"/>
  <c r="AR827" i="2"/>
  <c r="AL504" i="2"/>
  <c r="AR504" i="2"/>
  <c r="AL671" i="2"/>
  <c r="AR671" i="2"/>
  <c r="AL581" i="2"/>
  <c r="AR581" i="2"/>
  <c r="AL792" i="2"/>
  <c r="AR792" i="2"/>
  <c r="AL846" i="2"/>
  <c r="AR846" i="2"/>
  <c r="AL956" i="2"/>
  <c r="AR956" i="2"/>
  <c r="AL515" i="2"/>
  <c r="AR515" i="2"/>
  <c r="AL575" i="2"/>
  <c r="AR575" i="2"/>
  <c r="AL533" i="2"/>
  <c r="AR533" i="2"/>
  <c r="AL780" i="2"/>
  <c r="AR780" i="2"/>
  <c r="AL831" i="2"/>
  <c r="AR831" i="2"/>
  <c r="AL796" i="2"/>
  <c r="AR796" i="2"/>
  <c r="AL501" i="2"/>
  <c r="AR501" i="2"/>
  <c r="AL557" i="2"/>
  <c r="AR557" i="2"/>
  <c r="AL964" i="2"/>
  <c r="AR964" i="2"/>
  <c r="AL728" i="2"/>
  <c r="AR728" i="2"/>
  <c r="AL904" i="2"/>
  <c r="AR904" i="2"/>
  <c r="AL844" i="2"/>
  <c r="AR844" i="2"/>
  <c r="AL910" i="2"/>
  <c r="AR910" i="2"/>
  <c r="AL553" i="2"/>
  <c r="AR553" i="2"/>
  <c r="AL620" i="2"/>
  <c r="AR620" i="2"/>
  <c r="AL840" i="2"/>
  <c r="AR840" i="2"/>
  <c r="AL900" i="2"/>
  <c r="AR900" i="2"/>
  <c r="AL534" i="2"/>
  <c r="AR534" i="2"/>
  <c r="AL607" i="2"/>
  <c r="AR607" i="2"/>
  <c r="AL868" i="2"/>
  <c r="AR868" i="2"/>
  <c r="AL920" i="2"/>
  <c r="AR920" i="2"/>
  <c r="AL832" i="2"/>
  <c r="AR832" i="2"/>
  <c r="AL770" i="2"/>
  <c r="AR770" i="2"/>
  <c r="AL689" i="2"/>
  <c r="AR689" i="2"/>
  <c r="AL696" i="2"/>
  <c r="AR696" i="2"/>
  <c r="AL813" i="2"/>
  <c r="AR813" i="2"/>
  <c r="AL739" i="2"/>
  <c r="AR739" i="2"/>
  <c r="AL749" i="2"/>
  <c r="AR749" i="2"/>
  <c r="AL760" i="2"/>
  <c r="AR760" i="2"/>
  <c r="AL958" i="2"/>
  <c r="AR958" i="2"/>
  <c r="AL690" i="2"/>
  <c r="AR690" i="2"/>
  <c r="AL745" i="2"/>
  <c r="AR745" i="2"/>
  <c r="AL727" i="2"/>
  <c r="AR727" i="2"/>
  <c r="AL929" i="2"/>
  <c r="AR929" i="2"/>
  <c r="AL854" i="2"/>
  <c r="AR854" i="2"/>
  <c r="AL663" i="2"/>
  <c r="AR663" i="2"/>
  <c r="AL724" i="2"/>
  <c r="AR724" i="2"/>
  <c r="AL617" i="2"/>
  <c r="AR617" i="2"/>
  <c r="AL576" i="2"/>
  <c r="AR576" i="2"/>
  <c r="AL718" i="2"/>
  <c r="AR718" i="2"/>
  <c r="AL986" i="2"/>
  <c r="AR986" i="2"/>
  <c r="AL666" i="2"/>
  <c r="AR666" i="2"/>
  <c r="AL651" i="2"/>
  <c r="AR651" i="2"/>
  <c r="AL543" i="2"/>
  <c r="AR543" i="2"/>
  <c r="AL779" i="2"/>
  <c r="AR779" i="2"/>
  <c r="AL673" i="2"/>
  <c r="AR673" i="2"/>
  <c r="AL563" i="2"/>
  <c r="AR563" i="2"/>
  <c r="AL922" i="2"/>
  <c r="AR922" i="2"/>
  <c r="AL594" i="2"/>
  <c r="AR594" i="2"/>
  <c r="AL537" i="2"/>
  <c r="AR537" i="2"/>
  <c r="AL998" i="2"/>
  <c r="AR998" i="2"/>
  <c r="AL839" i="2"/>
  <c r="AR839" i="2"/>
  <c r="AL714" i="2"/>
  <c r="AR714" i="2"/>
  <c r="AL657" i="2"/>
  <c r="AR657" i="2"/>
  <c r="AL810" i="2"/>
  <c r="AR810" i="2"/>
  <c r="AL803" i="2"/>
  <c r="AR803" i="2"/>
  <c r="AL955" i="2"/>
  <c r="AR955" i="2"/>
  <c r="AL927" i="2"/>
  <c r="AR927" i="2"/>
  <c r="AL561" i="2"/>
  <c r="AR561" i="2"/>
  <c r="AL744" i="2"/>
  <c r="AR744" i="2"/>
  <c r="AL507" i="2"/>
  <c r="AR507" i="2"/>
  <c r="AL665" i="2"/>
  <c r="AR665" i="2"/>
  <c r="AL535" i="2"/>
  <c r="AR535" i="2"/>
  <c r="AL962" i="2"/>
  <c r="AR962" i="2"/>
  <c r="AL682" i="2"/>
  <c r="AR682" i="2"/>
  <c r="AL526" i="2"/>
  <c r="AR526" i="2"/>
  <c r="AL786" i="2"/>
  <c r="AR786" i="2"/>
  <c r="AL833" i="2"/>
  <c r="AR833" i="2"/>
  <c r="AL932" i="2"/>
  <c r="AR932" i="2"/>
  <c r="AL953" i="2"/>
  <c r="AR953" i="2"/>
  <c r="AL619" i="2"/>
  <c r="AR619" i="2"/>
  <c r="AL558" i="2"/>
  <c r="AR558" i="2"/>
  <c r="AL659" i="2"/>
  <c r="AR659" i="2"/>
  <c r="AL582" i="2"/>
  <c r="AR582" i="2"/>
  <c r="AL873" i="2"/>
  <c r="AR873" i="2"/>
  <c r="AL640" i="2"/>
  <c r="AR640" i="2"/>
  <c r="AL880" i="2"/>
  <c r="AR880" i="2"/>
  <c r="AL784" i="2"/>
  <c r="AR784" i="2"/>
  <c r="AL870" i="2"/>
  <c r="AR870" i="2"/>
  <c r="AL936" i="2"/>
  <c r="AR936" i="2"/>
  <c r="AL664" i="2"/>
  <c r="AR664" i="2"/>
  <c r="AL899" i="2"/>
  <c r="AR899" i="2"/>
  <c r="AL923" i="2"/>
  <c r="AR923" i="2"/>
  <c r="AL835" i="2"/>
  <c r="AR835" i="2"/>
  <c r="AL540" i="2"/>
  <c r="AR540" i="2"/>
  <c r="AL891" i="2"/>
  <c r="AR891" i="2"/>
  <c r="AL702" i="2"/>
  <c r="AR702" i="2"/>
  <c r="AL746" i="2"/>
  <c r="AR746" i="2"/>
  <c r="AL574" i="2"/>
  <c r="AR574" i="2"/>
  <c r="AL532" i="2"/>
  <c r="AR532" i="2"/>
  <c r="AL608" i="2"/>
  <c r="AR608" i="2"/>
  <c r="AL957" i="2"/>
  <c r="AR957" i="2"/>
  <c r="AL882" i="2"/>
  <c r="AR882" i="2"/>
  <c r="AL572" i="2"/>
  <c r="AR572" i="2"/>
  <c r="AL985" i="2"/>
  <c r="AR985" i="2"/>
  <c r="AL604" i="2"/>
  <c r="AR604" i="2"/>
  <c r="AL512" i="2"/>
  <c r="AR512" i="2"/>
  <c r="AL997" i="2"/>
  <c r="AR997" i="2"/>
  <c r="AL713" i="2"/>
  <c r="AR713" i="2"/>
  <c r="AL994" i="2"/>
  <c r="AR994" i="2"/>
  <c r="AL938" i="2"/>
  <c r="AR938" i="2"/>
  <c r="AL699" i="2"/>
  <c r="AR699" i="2"/>
  <c r="AL883" i="2"/>
  <c r="AR883" i="2"/>
  <c r="AL783" i="2"/>
  <c r="AR783" i="2"/>
  <c r="AL634" i="2"/>
  <c r="AR634" i="2"/>
  <c r="AL913" i="2"/>
  <c r="AR913" i="2"/>
  <c r="AL551" i="2"/>
  <c r="AR551" i="2"/>
  <c r="AL697" i="2"/>
  <c r="AR697" i="2"/>
  <c r="AL851" i="2"/>
  <c r="AR851" i="2"/>
  <c r="AL670" i="2"/>
  <c r="AR670" i="2"/>
  <c r="AL654" i="2"/>
  <c r="AR654" i="2"/>
  <c r="AL568" i="2"/>
  <c r="AR568" i="2"/>
  <c r="AL834" i="2"/>
  <c r="AR834" i="2"/>
  <c r="AL944" i="2"/>
  <c r="AR944" i="2"/>
  <c r="AL705" i="2"/>
  <c r="AR705" i="2"/>
  <c r="AL709" i="2"/>
  <c r="AR709" i="2"/>
  <c r="AL653" i="2"/>
  <c r="AR653" i="2"/>
  <c r="AL761" i="2"/>
  <c r="AR761" i="2"/>
  <c r="AL935" i="2"/>
  <c r="AR935" i="2"/>
  <c r="AL852" i="2"/>
  <c r="AR852" i="2"/>
  <c r="AL906" i="2"/>
  <c r="AR906" i="2"/>
  <c r="AL930" i="2"/>
  <c r="AR930" i="2"/>
  <c r="AL649" i="2"/>
  <c r="AR649" i="2"/>
  <c r="AL917" i="2"/>
  <c r="AR917" i="2"/>
  <c r="AL865" i="2"/>
  <c r="AR865" i="2"/>
  <c r="AL751" i="2"/>
  <c r="AR751" i="2"/>
  <c r="AL939" i="2"/>
  <c r="AR939" i="2"/>
  <c r="AL623" i="2"/>
  <c r="AR623" i="2"/>
  <c r="AL907" i="2"/>
  <c r="AR907" i="2"/>
  <c r="AL668" i="2"/>
  <c r="AR668" i="2"/>
  <c r="AL764" i="2"/>
  <c r="AR764" i="2"/>
  <c r="AL628" i="2"/>
  <c r="AR628" i="2"/>
  <c r="AL863" i="2"/>
  <c r="AR863" i="2"/>
  <c r="AL924" i="2"/>
  <c r="AR924" i="2"/>
  <c r="AL680" i="2"/>
  <c r="AR680" i="2"/>
  <c r="AL894" i="2"/>
  <c r="AR894" i="2"/>
  <c r="AL614" i="2"/>
  <c r="AR614" i="2"/>
  <c r="AL603" i="2"/>
  <c r="AR603" i="2"/>
  <c r="AL766" i="2"/>
  <c r="AR766" i="2"/>
  <c r="AL941" i="2"/>
  <c r="AR941" i="2"/>
  <c r="AL720" i="2"/>
  <c r="AR720" i="2"/>
  <c r="AL707" i="2"/>
  <c r="AR707" i="2"/>
  <c r="AL842" i="2"/>
  <c r="AR842" i="2"/>
  <c r="AL542" i="2"/>
  <c r="AR542" i="2"/>
  <c r="AL825" i="2"/>
  <c r="AR825" i="2"/>
  <c r="AL903" i="2"/>
  <c r="AR903" i="2"/>
  <c r="AL972" i="2"/>
  <c r="AR972" i="2"/>
  <c r="AL951" i="2"/>
  <c r="AR951" i="2"/>
  <c r="AL775" i="2"/>
  <c r="AR775" i="2"/>
  <c r="AL741" i="2"/>
  <c r="AR741" i="2"/>
  <c r="AL815" i="2"/>
  <c r="AR815" i="2"/>
  <c r="AL716" i="2"/>
  <c r="AR716" i="2"/>
  <c r="AL785" i="2"/>
  <c r="AR785" i="2"/>
  <c r="AL519" i="2"/>
  <c r="AR519" i="2"/>
  <c r="AL804" i="2"/>
  <c r="AR804" i="2"/>
  <c r="AL546" i="2"/>
  <c r="AR546" i="2"/>
  <c r="AL848" i="2"/>
  <c r="AR848" i="2"/>
  <c r="AL948" i="2"/>
  <c r="AR948" i="2"/>
  <c r="AL855" i="2"/>
  <c r="AR855" i="2"/>
  <c r="AL915" i="2"/>
  <c r="AR915" i="2"/>
  <c r="AL887" i="2"/>
  <c r="AR887" i="2"/>
  <c r="AL505" i="2"/>
  <c r="AR505" i="2"/>
  <c r="AL622" i="2"/>
  <c r="AR622" i="2"/>
  <c r="AL928" i="2"/>
  <c r="AR928" i="2"/>
  <c r="AL911" i="2"/>
  <c r="AR911" i="2"/>
  <c r="AL819" i="2"/>
  <c r="AR819" i="2"/>
  <c r="AL799" i="2"/>
  <c r="AR799" i="2"/>
  <c r="AL662" i="2"/>
  <c r="AR662" i="2"/>
  <c r="AL781" i="2"/>
  <c r="AR781" i="2"/>
  <c r="AL806" i="2"/>
  <c r="AR806" i="2"/>
  <c r="AL820" i="2"/>
  <c r="AR820" i="2"/>
  <c r="AL638" i="2"/>
  <c r="AR638" i="2"/>
  <c r="AL989" i="2"/>
  <c r="AR989" i="2"/>
  <c r="AL954" i="2"/>
  <c r="AR954" i="2"/>
  <c r="AL990" i="2"/>
  <c r="AR990" i="2"/>
  <c r="AL817" i="2"/>
  <c r="AR817" i="2"/>
  <c r="AL890" i="2"/>
  <c r="AR890" i="2"/>
  <c r="AL600" i="2"/>
  <c r="AR600" i="2"/>
  <c r="AL878" i="2"/>
  <c r="AR878" i="2"/>
  <c r="AL843" i="2"/>
  <c r="AR843" i="2"/>
  <c r="AL993" i="2"/>
  <c r="AR993" i="2"/>
  <c r="AL721" i="2"/>
  <c r="AR721" i="2"/>
  <c r="AL991" i="2"/>
  <c r="AR991" i="2"/>
  <c r="AL655" i="2"/>
  <c r="AR655" i="2"/>
  <c r="AL768" i="2"/>
  <c r="AR768" i="2"/>
  <c r="AL677" i="2"/>
  <c r="AR677" i="2"/>
  <c r="AL549" i="2"/>
  <c r="AR549" i="2"/>
  <c r="AL901" i="2"/>
  <c r="AR901" i="2"/>
  <c r="AL809" i="2"/>
  <c r="AR809" i="2"/>
  <c r="AL752" i="2"/>
  <c r="AR752" i="2"/>
  <c r="AL588" i="2"/>
  <c r="AR588" i="2"/>
  <c r="AL774" i="2"/>
  <c r="AR774" i="2"/>
  <c r="AL763" i="2"/>
  <c r="AR763" i="2"/>
  <c r="AL824" i="2"/>
  <c r="AR824" i="2"/>
  <c r="AL988" i="2"/>
  <c r="AR988" i="2"/>
  <c r="AL636" i="2"/>
  <c r="AR636" i="2"/>
  <c r="AL750" i="2"/>
  <c r="AR750" i="2"/>
  <c r="AL560" i="2"/>
  <c r="AR560" i="2"/>
  <c r="AL978" i="2"/>
  <c r="AR978" i="2"/>
  <c r="AL611" i="2"/>
  <c r="AR611" i="2"/>
  <c r="AL524" i="2"/>
  <c r="AR524" i="2"/>
  <c r="AL974" i="2"/>
  <c r="AR974" i="2"/>
  <c r="AL570" i="2"/>
  <c r="AR570" i="2"/>
  <c r="AL926" i="2"/>
  <c r="AR926" i="2"/>
  <c r="AL584" i="2"/>
  <c r="AR584" i="2"/>
  <c r="AL516" i="2"/>
  <c r="AR516" i="2"/>
  <c r="AL888" i="2"/>
  <c r="AR888" i="2"/>
  <c r="AL642" i="2"/>
  <c r="AR642" i="2"/>
  <c r="AL681" i="2"/>
  <c r="AR681" i="2"/>
  <c r="AL630" i="2"/>
  <c r="AR630" i="2"/>
  <c r="AL814" i="2"/>
  <c r="AR814" i="2"/>
  <c r="AL686" i="2"/>
  <c r="AR686" i="2"/>
  <c r="AL979" i="2"/>
  <c r="AR979" i="2"/>
  <c r="AL589" i="2"/>
  <c r="AR589" i="2"/>
  <c r="AL550" i="2"/>
  <c r="AR550" i="2"/>
  <c r="AL723" i="2"/>
  <c r="AR723" i="2"/>
  <c r="AL829" i="2"/>
  <c r="AR829" i="2"/>
  <c r="AL802" i="2"/>
  <c r="AR802" i="2"/>
  <c r="AL676" i="2"/>
  <c r="AR676" i="2"/>
  <c r="AL643" i="2"/>
  <c r="AR643" i="2"/>
  <c r="AL711" i="2"/>
  <c r="AR711" i="2"/>
  <c r="AL518" i="2"/>
  <c r="AR518" i="2"/>
  <c r="AL776" i="2"/>
  <c r="AR776" i="2"/>
  <c r="AL531" i="2"/>
  <c r="AR531" i="2"/>
  <c r="AL722" i="2"/>
  <c r="AR722" i="2"/>
  <c r="AL919" i="2"/>
  <c r="AR919" i="2"/>
  <c r="AL860" i="2"/>
  <c r="AR860" i="2"/>
  <c r="AL828" i="2"/>
  <c r="AR828" i="2"/>
  <c r="AL544" i="2"/>
  <c r="AR544" i="2"/>
  <c r="AL996" i="2"/>
  <c r="AR996" i="2"/>
  <c r="AL791" i="2"/>
  <c r="AR791" i="2"/>
  <c r="AL949" i="2"/>
  <c r="AR949" i="2"/>
  <c r="AL982" i="2"/>
  <c r="AR982" i="2"/>
  <c r="AL857" i="2"/>
  <c r="AR857" i="2"/>
  <c r="AL613" i="2"/>
  <c r="AR613" i="2"/>
  <c r="AL912" i="2"/>
  <c r="AR912" i="2"/>
  <c r="AL735" i="2"/>
  <c r="AR735" i="2"/>
  <c r="AL921" i="2"/>
  <c r="AR921" i="2"/>
  <c r="AL811" i="2"/>
  <c r="AR811" i="2"/>
  <c r="AL876" i="2"/>
  <c r="AR876" i="2"/>
  <c r="AL660" i="2"/>
  <c r="AR660" i="2"/>
  <c r="AL762" i="2"/>
  <c r="AR762" i="2"/>
  <c r="AL626" i="2"/>
  <c r="AR626" i="2"/>
  <c r="AL800" i="2"/>
  <c r="AR800" i="2"/>
  <c r="AL627" i="2"/>
  <c r="AR627" i="2"/>
  <c r="AL725" i="2"/>
  <c r="AR725" i="2"/>
  <c r="AL987" i="2"/>
  <c r="AR987" i="2"/>
  <c r="AL879" i="2"/>
  <c r="AR879" i="2"/>
  <c r="AL797" i="2"/>
  <c r="AR797" i="2"/>
  <c r="AL528" i="2"/>
  <c r="AR528" i="2"/>
  <c r="AL970" i="2"/>
  <c r="AR970" i="2"/>
  <c r="AL717" i="2"/>
  <c r="AR717" i="2"/>
  <c r="AL777" i="2"/>
  <c r="AR777" i="2"/>
  <c r="AL952" i="2"/>
  <c r="AR952" i="2"/>
  <c r="AL513" i="2"/>
  <c r="AR513" i="2"/>
  <c r="AL591" i="2"/>
  <c r="AR591" i="2"/>
  <c r="AL577" i="2"/>
  <c r="AR577" i="2"/>
  <c r="AL506" i="2"/>
  <c r="AR506" i="2"/>
  <c r="AL872" i="2"/>
  <c r="AR872" i="2"/>
  <c r="AL836" i="2"/>
  <c r="AR836" i="2"/>
  <c r="AL536" i="2"/>
  <c r="AR536" i="2"/>
  <c r="AL853" i="2"/>
  <c r="AR853" i="2"/>
  <c r="AL605" i="2"/>
  <c r="AR605" i="2"/>
  <c r="AL909" i="2"/>
  <c r="AR909" i="2"/>
  <c r="AL877" i="2"/>
  <c r="AR877" i="2"/>
  <c r="AL703" i="2"/>
  <c r="AR703" i="2"/>
  <c r="AL562" i="2"/>
  <c r="AR562" i="2"/>
  <c r="AL569" i="2"/>
  <c r="AR569" i="2"/>
  <c r="AL838" i="2"/>
  <c r="AR838" i="2"/>
  <c r="AL940" i="2"/>
  <c r="AR940" i="2"/>
  <c r="AL771" i="2"/>
  <c r="AR771" i="2"/>
  <c r="AL647" i="2"/>
  <c r="AR647" i="2"/>
  <c r="AL971" i="2"/>
  <c r="AR971" i="2"/>
  <c r="AL508" i="2"/>
  <c r="AR508" i="2"/>
  <c r="AL885" i="2"/>
  <c r="AR885" i="2"/>
  <c r="AL942" i="2"/>
  <c r="AR942" i="2"/>
  <c r="AL1000" i="2"/>
  <c r="AR1000" i="2"/>
  <c r="AL554" i="2"/>
  <c r="AR554" i="2"/>
  <c r="AL960" i="2"/>
  <c r="AR960" i="2"/>
  <c r="AL884" i="2"/>
  <c r="AR884" i="2"/>
  <c r="AL701" i="2"/>
  <c r="AR701" i="2"/>
  <c r="AL864" i="2"/>
  <c r="AR864" i="2"/>
  <c r="AL566" i="2"/>
  <c r="AR566" i="2"/>
  <c r="AL945" i="2"/>
  <c r="AR945" i="2"/>
  <c r="AL635" i="2"/>
  <c r="AR635" i="2"/>
  <c r="AL694" i="2"/>
  <c r="AR694" i="2"/>
  <c r="AL539" i="2"/>
  <c r="AR539" i="2"/>
  <c r="AL980" i="2"/>
  <c r="AR980" i="2"/>
  <c r="AL837" i="2"/>
  <c r="AR837" i="2"/>
  <c r="AL517" i="2"/>
  <c r="AR517" i="2"/>
  <c r="AL973" i="2"/>
  <c r="AR973" i="2"/>
  <c r="AL897" i="2"/>
  <c r="AR897" i="2"/>
  <c r="AL585" i="2"/>
  <c r="AR585" i="2"/>
  <c r="AL934" i="2"/>
  <c r="AR934" i="2"/>
  <c r="AL963" i="2"/>
  <c r="AR963" i="2"/>
  <c r="AL719" i="2"/>
  <c r="AR719" i="2"/>
  <c r="AL908" i="2"/>
  <c r="AR908" i="2"/>
  <c r="AL522" i="2"/>
  <c r="AR522" i="2"/>
  <c r="AL675" i="2"/>
  <c r="AR675" i="2"/>
  <c r="AL731" i="2"/>
  <c r="AR731" i="2"/>
  <c r="AL893" i="2"/>
  <c r="AR893" i="2"/>
  <c r="AL556" i="2"/>
  <c r="AR556" i="2"/>
  <c r="AL772" i="2"/>
  <c r="AR772" i="2"/>
  <c r="AL889" i="2"/>
  <c r="AR889" i="2"/>
  <c r="AL862" i="2"/>
  <c r="AR862" i="2"/>
  <c r="AL667" i="2"/>
  <c r="AR667" i="2"/>
  <c r="AL708" i="2"/>
  <c r="AR708" i="2"/>
  <c r="AL645" i="2"/>
  <c r="AR645" i="2"/>
  <c r="AL826" i="2"/>
  <c r="AR826" i="2"/>
  <c r="AL743" i="2"/>
  <c r="AR743" i="2"/>
  <c r="AL688" i="2"/>
  <c r="AR688" i="2"/>
  <c r="AL801" i="2"/>
  <c r="AR801" i="2"/>
  <c r="AL933" i="2"/>
  <c r="AR933" i="2"/>
  <c r="AL794" i="2"/>
  <c r="AR794" i="2"/>
  <c r="AL644" i="2"/>
  <c r="AR644" i="2"/>
  <c r="AL580" i="2"/>
  <c r="AR580" i="2"/>
  <c r="AL641" i="2"/>
  <c r="AR641" i="2"/>
  <c r="AL510" i="2"/>
  <c r="AR510" i="2"/>
  <c r="AL555" i="2"/>
  <c r="AR555" i="2"/>
  <c r="AL527" i="2"/>
  <c r="AR527" i="2"/>
  <c r="AL790" i="2"/>
  <c r="AR790" i="2"/>
  <c r="AL695" i="2"/>
  <c r="AR695" i="2"/>
  <c r="AL787" i="2"/>
  <c r="AR787" i="2"/>
  <c r="AL943" i="2"/>
  <c r="AR943" i="2"/>
  <c r="AL995" i="2"/>
  <c r="AR995" i="2"/>
  <c r="AL946" i="2"/>
  <c r="AR946" i="2"/>
  <c r="AL983" i="2"/>
  <c r="AR983" i="2"/>
  <c r="AL691" i="2"/>
  <c r="AR691" i="2"/>
  <c r="AL704" i="2"/>
  <c r="AR704" i="2"/>
  <c r="AL715" i="2"/>
  <c r="AR715" i="2"/>
  <c r="AL861" i="2"/>
  <c r="AR861" i="2"/>
  <c r="AL757" i="2"/>
  <c r="AR757" i="2"/>
  <c r="AL969" i="2"/>
  <c r="AR969" i="2"/>
  <c r="AL683" i="2"/>
  <c r="AR683" i="2"/>
  <c r="AL602" i="2"/>
  <c r="AR602" i="2"/>
  <c r="AL684" i="2"/>
  <c r="AR684" i="2"/>
  <c r="AL565" i="2"/>
  <c r="AR565" i="2"/>
  <c r="AL625" i="2"/>
  <c r="AR625" i="2"/>
  <c r="AL658" i="2"/>
  <c r="AR658" i="2"/>
  <c r="AL931" i="2"/>
  <c r="AR931" i="2"/>
  <c r="AL977" i="2"/>
  <c r="AR977" i="2"/>
  <c r="AL548" i="2"/>
  <c r="AR548" i="2"/>
  <c r="AL747" i="2"/>
  <c r="AR747" i="2"/>
  <c r="AL789" i="2"/>
  <c r="AR789" i="2"/>
  <c r="AL624" i="2"/>
  <c r="AR624" i="2"/>
  <c r="AL710" i="2"/>
  <c r="AR710" i="2"/>
  <c r="AL808" i="2"/>
  <c r="AR808" i="2"/>
  <c r="AL692" i="2"/>
  <c r="AR692" i="2"/>
  <c r="AL742" i="2"/>
  <c r="AR742" i="2"/>
  <c r="AL754" i="2"/>
  <c r="AR754" i="2"/>
  <c r="AL616" i="2"/>
  <c r="AR616" i="2"/>
  <c r="AL807" i="2"/>
  <c r="AR807" i="2"/>
  <c r="AL706" i="2"/>
  <c r="AR706" i="2"/>
  <c r="AL992" i="2"/>
  <c r="AR992" i="2"/>
  <c r="AL902" i="2"/>
  <c r="AR902" i="2"/>
  <c r="AL650" i="2"/>
  <c r="AR650" i="2"/>
  <c r="AL503" i="2"/>
  <c r="AR503" i="2"/>
  <c r="AL521" i="2"/>
  <c r="AR521" i="2"/>
  <c r="AL905" i="2"/>
  <c r="AR905" i="2"/>
  <c r="AL748" i="2"/>
  <c r="AR748" i="2"/>
  <c r="AL547" i="2"/>
  <c r="AR547" i="2"/>
  <c r="AL678" i="2"/>
  <c r="AR678" i="2"/>
  <c r="AL615" i="2"/>
  <c r="AR615" i="2"/>
  <c r="AL733" i="2"/>
  <c r="AR733" i="2"/>
  <c r="AL937" i="2"/>
  <c r="AR937" i="2"/>
  <c r="AL841" i="2"/>
  <c r="AR841" i="2"/>
  <c r="AL765" i="2"/>
  <c r="AR765" i="2"/>
  <c r="AL805" i="2"/>
  <c r="AR805" i="2"/>
  <c r="AL896" i="2"/>
  <c r="AR896" i="2"/>
  <c r="AL573" i="2"/>
  <c r="AR573" i="2"/>
  <c r="AL822" i="2"/>
  <c r="AR822" i="2"/>
  <c r="AL793" i="2"/>
  <c r="AR793" i="2"/>
  <c r="AL509" i="2"/>
  <c r="AR509" i="2"/>
  <c r="AL511" i="2"/>
  <c r="AR511" i="2"/>
  <c r="AL984" i="2"/>
  <c r="AR984" i="2"/>
  <c r="AL738" i="2"/>
  <c r="AR738" i="2"/>
  <c r="AL976" i="2"/>
  <c r="AR976" i="2"/>
  <c r="AL674" i="2"/>
  <c r="AR674" i="2"/>
  <c r="AL859" i="2"/>
  <c r="AR859" i="2"/>
  <c r="AL529" i="2"/>
  <c r="AR529" i="2"/>
  <c r="AL892" i="2"/>
  <c r="AR892" i="2"/>
  <c r="AL698" i="2"/>
  <c r="AR698" i="2"/>
  <c r="AL538" i="2"/>
  <c r="AR538" i="2"/>
  <c r="AL621" i="2"/>
  <c r="AR621" i="2"/>
  <c r="AL520" i="2"/>
  <c r="AR520" i="2"/>
  <c r="AL869" i="2"/>
  <c r="AR869" i="2"/>
  <c r="AL756" i="2"/>
  <c r="AR756" i="2"/>
  <c r="AL895" i="2"/>
  <c r="AR895" i="2"/>
  <c r="AL821" i="2"/>
  <c r="AR821" i="2"/>
  <c r="AL898" i="2"/>
  <c r="AR898" i="2"/>
  <c r="AL598" i="2"/>
  <c r="AR598" i="2"/>
  <c r="AL656" i="2"/>
  <c r="AR656" i="2"/>
  <c r="AL975" i="2"/>
  <c r="AR975" i="2"/>
  <c r="AL593" i="2"/>
  <c r="AR593" i="2"/>
  <c r="AL712" i="2"/>
  <c r="AR712" i="2"/>
  <c r="AL632" i="2"/>
  <c r="AR632" i="2"/>
  <c r="AL845" i="2"/>
  <c r="AR845" i="2"/>
  <c r="AL586" i="2"/>
  <c r="AR586" i="2"/>
  <c r="AL798" i="2"/>
  <c r="AR798" i="2"/>
  <c r="AL881" i="2"/>
  <c r="AR881" i="2"/>
  <c r="AL648" i="2"/>
  <c r="AR648" i="2"/>
  <c r="AL646" i="2"/>
  <c r="AR646" i="2"/>
  <c r="AL858" i="2"/>
  <c r="AR858" i="2"/>
  <c r="AL597" i="2"/>
  <c r="AR597" i="2"/>
  <c r="AL726" i="2"/>
  <c r="AR726" i="2"/>
  <c r="AL564" i="2"/>
  <c r="AR564" i="2"/>
  <c r="AL596" i="2"/>
  <c r="AR596" i="2"/>
  <c r="AL679" i="2"/>
  <c r="AR679" i="2"/>
  <c r="AL916" i="2"/>
  <c r="AR916" i="2"/>
  <c r="AL849" i="2"/>
  <c r="AR849" i="2"/>
  <c r="AL700" i="2"/>
  <c r="AR700" i="2"/>
  <c r="AL847" i="2"/>
  <c r="AR847" i="2"/>
  <c r="AL606" i="2"/>
  <c r="AR606" i="2"/>
  <c r="AL866" i="2"/>
  <c r="AR866" i="2"/>
  <c r="AL856" i="2"/>
  <c r="AR856" i="2"/>
  <c r="AL587" i="2"/>
  <c r="AR587" i="2"/>
  <c r="AL652" i="2"/>
  <c r="AR652" i="2"/>
  <c r="AL633" i="2"/>
  <c r="AR633" i="2"/>
  <c r="AL753" i="2"/>
  <c r="AR753" i="2"/>
  <c r="AL571" i="2"/>
  <c r="AR571" i="2"/>
  <c r="AL736" i="2"/>
  <c r="AR736" i="2"/>
  <c r="AL734" i="2"/>
  <c r="AR734" i="2"/>
  <c r="AL965" i="2"/>
  <c r="AR965" i="2"/>
  <c r="AL830" i="2"/>
  <c r="AR830" i="2"/>
  <c r="AL592" i="2"/>
  <c r="AR592" i="2"/>
  <c r="AL595" i="2"/>
  <c r="AR595" i="2"/>
  <c r="AL850" i="2"/>
  <c r="AR850" i="2"/>
  <c r="AL981" i="2"/>
  <c r="AR981" i="2"/>
  <c r="AL959" i="2"/>
  <c r="AR959" i="2"/>
  <c r="AL618" i="2"/>
  <c r="AR618" i="2"/>
  <c r="AL590" i="2"/>
  <c r="AR590" i="2"/>
  <c r="AL541" i="2"/>
  <c r="AR541" i="2"/>
  <c r="AL867" i="2"/>
  <c r="AR867" i="2"/>
  <c r="AL631" i="2"/>
  <c r="AR631" i="2"/>
  <c r="AL523" i="2"/>
  <c r="AR523" i="2"/>
  <c r="AL730" i="2"/>
  <c r="AR730" i="2"/>
  <c r="AL812" i="2"/>
  <c r="AR812" i="2"/>
  <c r="AL693" i="2"/>
  <c r="AR693" i="2"/>
  <c r="AL502" i="2"/>
  <c r="AR502" i="2"/>
  <c r="AL999" i="2"/>
  <c r="AR999" i="2"/>
  <c r="AL874" i="2"/>
  <c r="AR874" i="2"/>
  <c r="AL579" i="2"/>
  <c r="AR579" i="2"/>
  <c r="AL816" i="2"/>
  <c r="AR816" i="2"/>
  <c r="AL795" i="2"/>
  <c r="AR795" i="2"/>
  <c r="AL947" i="2"/>
  <c r="AR947" i="2"/>
  <c r="AL950" i="2"/>
  <c r="AR950" i="2"/>
  <c r="AL525" i="2"/>
  <c r="AR525" i="2"/>
  <c r="AL782" i="2"/>
  <c r="AR782" i="2"/>
  <c r="AL871" i="2"/>
  <c r="AR871" i="2"/>
  <c r="AL875" i="2"/>
  <c r="AR875" i="2"/>
  <c r="AL672" i="2"/>
  <c r="AR672" i="2"/>
  <c r="AL966" i="2"/>
  <c r="AR966" i="2"/>
  <c r="AL769" i="2"/>
  <c r="AR769" i="2"/>
  <c r="AL740" i="2"/>
  <c r="AR740" i="2"/>
  <c r="AL609" i="2"/>
  <c r="AR609" i="2"/>
  <c r="AL918" i="2"/>
  <c r="AR918" i="2"/>
  <c r="AL732" i="2"/>
  <c r="AR732" i="2"/>
  <c r="AL612" i="2"/>
  <c r="AR612" i="2"/>
  <c r="AL578" i="2"/>
  <c r="AR578" i="2"/>
  <c r="AL759" i="2"/>
  <c r="AR759" i="2"/>
  <c r="AL773" i="2"/>
  <c r="AR773" i="2"/>
  <c r="AL661" i="2"/>
  <c r="AR661" i="2"/>
  <c r="AL599" i="2"/>
  <c r="AR599" i="2"/>
  <c r="C64" i="6"/>
  <c r="B71" i="2"/>
  <c r="AQ5" i="2" l="1"/>
  <c r="AQ6" i="2" s="1"/>
  <c r="B162" i="2"/>
  <c r="V162" i="2" s="1"/>
  <c r="AQ7" i="2" l="1"/>
  <c r="B302" i="2"/>
  <c r="V302" i="2" s="1"/>
  <c r="B260" i="2"/>
  <c r="V260" i="2" s="1"/>
  <c r="B163" i="2"/>
  <c r="V163" i="2" s="1"/>
  <c r="B164" i="2"/>
  <c r="V164" i="2" s="1"/>
  <c r="B165" i="2"/>
  <c r="V165" i="2" s="1"/>
  <c r="B166" i="2"/>
  <c r="V166" i="2" s="1"/>
  <c r="B57" i="2"/>
  <c r="V57" i="2" s="1"/>
  <c r="B58" i="2"/>
  <c r="V58" i="2" s="1"/>
  <c r="V59" i="2"/>
  <c r="V60" i="2"/>
  <c r="B61" i="2"/>
  <c r="V61" i="2" s="1"/>
  <c r="B307" i="2"/>
  <c r="V307" i="2" s="1"/>
  <c r="B308" i="2"/>
  <c r="V308" i="2" s="1"/>
  <c r="B309" i="2"/>
  <c r="V309" i="2" s="1"/>
  <c r="B310" i="2"/>
  <c r="V310" i="2" s="1"/>
  <c r="B311" i="2"/>
  <c r="V311" i="2" s="1"/>
  <c r="B246" i="2"/>
  <c r="V246" i="2" s="1"/>
  <c r="Q383" i="2" a="1"/>
  <c r="S359" i="2" a="1"/>
  <c r="S323" i="2" a="1"/>
  <c r="P420" i="2" a="1"/>
  <c r="H405" i="2" a="1"/>
  <c r="O475" i="2" a="1"/>
  <c r="U382" i="2" a="1"/>
  <c r="W375" i="2" a="1"/>
  <c r="M422" i="2" a="1"/>
  <c r="T369" i="2" a="1"/>
  <c r="U449" i="2" a="1"/>
  <c r="T341" i="2" a="1"/>
  <c r="W354" i="2" a="1"/>
  <c r="O454" i="2" a="1"/>
  <c r="P419" i="2" a="1"/>
  <c r="S448" i="2" a="1"/>
  <c r="N478" i="2" a="1"/>
  <c r="U475" i="2" a="1"/>
  <c r="U468" i="2" a="1"/>
  <c r="T387" i="2" a="1"/>
  <c r="H459" i="2" a="1"/>
  <c r="W392" i="2" a="1"/>
  <c r="O319" i="2" a="1"/>
  <c r="N415" i="2" a="1"/>
  <c r="S497" i="2" a="1"/>
  <c r="R500" i="2" a="1"/>
  <c r="U454" i="2" a="1"/>
  <c r="R462" i="2" a="1"/>
  <c r="W344" i="2" a="1"/>
  <c r="U491" i="2" a="1"/>
  <c r="P487" i="2" a="1"/>
  <c r="N472" i="2" a="1"/>
  <c r="S406" i="2" a="1"/>
  <c r="Q462" i="2" a="1"/>
  <c r="U482" i="2" a="1"/>
  <c r="S317" i="2" a="1"/>
  <c r="R380" i="2" a="1"/>
  <c r="W478" i="2" a="1"/>
  <c r="Q388" i="2" a="1"/>
  <c r="T325" i="2" a="1"/>
  <c r="R365" i="2" a="1"/>
  <c r="R336" i="2" a="1"/>
  <c r="U486" i="2" a="1"/>
  <c r="R322" i="2" a="1"/>
  <c r="Q402" i="2" a="1"/>
  <c r="R480" i="2" a="1"/>
  <c r="U485" i="2" a="1"/>
  <c r="U320" i="2" a="1"/>
  <c r="O333" i="2" a="1"/>
  <c r="M414" i="2" a="1"/>
  <c r="S385" i="2" a="1"/>
  <c r="S394" i="2" a="1"/>
  <c r="P381" i="2" a="1"/>
  <c r="P475" i="2" a="1"/>
  <c r="M490" i="2" a="1"/>
  <c r="Q333" i="2" a="1"/>
  <c r="R329" i="2" a="1"/>
  <c r="W454" i="2" a="1"/>
  <c r="N422" i="2" a="1"/>
  <c r="W411" i="2" a="1"/>
  <c r="H324" i="2" a="1"/>
  <c r="R338" i="2" a="1"/>
  <c r="H375" i="2" a="1"/>
  <c r="H462" i="2" a="1"/>
  <c r="S393" i="2" a="1"/>
  <c r="O352" i="2" a="1"/>
  <c r="P359" i="2" a="1"/>
  <c r="P345" i="2" a="1"/>
  <c r="P469" i="2" a="1"/>
  <c r="P446" i="2" a="1"/>
  <c r="H472" i="2" a="1"/>
  <c r="H355" i="2" a="1"/>
  <c r="H340" i="2" a="1"/>
  <c r="W389" i="2" a="1"/>
  <c r="W358" i="2" a="1"/>
  <c r="H488" i="2" a="1"/>
  <c r="U354" i="2" a="1"/>
  <c r="N341" i="2" a="1"/>
  <c r="M423" i="2" a="1"/>
  <c r="S433" i="2" a="1"/>
  <c r="U324" i="2" a="1"/>
  <c r="Q414" i="2" a="1"/>
  <c r="R326" i="2" a="1"/>
  <c r="P401" i="2" a="1"/>
  <c r="U338" i="2" a="1"/>
  <c r="Q410" i="2" a="1"/>
  <c r="H402" i="2" a="1"/>
  <c r="W431" i="2" a="1"/>
  <c r="S488" i="2" a="1"/>
  <c r="N416" i="2" a="1"/>
  <c r="P396" i="2" a="1"/>
  <c r="O467" i="2" a="1"/>
  <c r="W324" i="2" a="1"/>
  <c r="W381" i="2" a="1"/>
  <c r="Q348" i="2" a="1"/>
  <c r="T333" i="2" a="1"/>
  <c r="T373" i="2" a="1"/>
  <c r="M488" i="2" a="1"/>
  <c r="R351" i="2" a="1"/>
  <c r="O431" i="2" a="1"/>
  <c r="W428" i="2" a="1"/>
  <c r="M459" i="2" a="1"/>
  <c r="S382" i="2" a="1"/>
  <c r="M388" i="2" a="1"/>
  <c r="O425" i="2" a="1"/>
  <c r="T458" i="2" a="1"/>
  <c r="S349" i="2" a="1"/>
  <c r="T419" i="2" a="1"/>
  <c r="Q439" i="2" a="1"/>
  <c r="Q482" i="2" a="1"/>
  <c r="W421" i="2" a="1"/>
  <c r="O427" i="2" a="1"/>
  <c r="H359" i="2" a="1"/>
  <c r="N332" i="2" a="1"/>
  <c r="O490" i="2" a="1"/>
  <c r="N440" i="2" a="1"/>
  <c r="H482" i="2" a="1"/>
  <c r="Q479" i="2" a="1"/>
  <c r="Q340" i="2" a="1"/>
  <c r="W446" i="2" a="1"/>
  <c r="Q415" i="2" a="1"/>
  <c r="R395" i="2" a="1"/>
  <c r="R337" i="2" a="1"/>
  <c r="Q441" i="2" a="1"/>
  <c r="T480" i="2" a="1"/>
  <c r="U400" i="2" a="1"/>
  <c r="W405" i="2" a="1"/>
  <c r="M323" i="2" a="1"/>
  <c r="P425" i="2" a="1"/>
  <c r="O325" i="2" a="1"/>
  <c r="M470" i="2" a="1"/>
  <c r="U381" i="2" a="1"/>
  <c r="W402" i="2" a="1"/>
  <c r="S475" i="2" a="1"/>
  <c r="M461" i="2" a="1"/>
  <c r="P352" i="2" a="1"/>
  <c r="U455" i="2" a="1"/>
  <c r="U450" i="2" a="1"/>
  <c r="Q353" i="2" a="1"/>
  <c r="P443" i="2" a="1"/>
  <c r="R378" i="2" a="1"/>
  <c r="N378" i="2" a="1"/>
  <c r="O438" i="2" a="1"/>
  <c r="W486" i="2" a="1"/>
  <c r="Q476" i="2" a="1"/>
  <c r="U346" i="2" a="1"/>
  <c r="T438" i="2" a="1"/>
  <c r="W466" i="2" a="1"/>
  <c r="M435" i="2" a="1"/>
  <c r="R447" i="2" a="1"/>
  <c r="N354" i="2" a="1"/>
  <c r="H463" i="2" a="1"/>
  <c r="O461" i="2" a="1"/>
  <c r="N445" i="2" a="1"/>
  <c r="T356" i="2" a="1"/>
  <c r="O446" i="2" a="1"/>
  <c r="Q500" i="2" a="1"/>
  <c r="N488" i="2" a="1"/>
  <c r="W327" i="2" a="1"/>
  <c r="R381" i="2" a="1"/>
  <c r="Q397" i="2" a="1"/>
  <c r="H387" i="2" a="1"/>
  <c r="S399" i="2" a="1"/>
  <c r="T428" i="2" a="1"/>
  <c r="P333" i="2" a="1"/>
  <c r="Q483" i="2" a="1"/>
  <c r="M418" i="2" a="1"/>
  <c r="R435" i="2" a="1"/>
  <c r="Q343" i="2" a="1"/>
  <c r="U350" i="2" a="1"/>
  <c r="T417" i="2" a="1"/>
  <c r="N396" i="2" a="1"/>
  <c r="S322" i="2" a="1"/>
  <c r="M348" i="2" a="1"/>
  <c r="O340" i="2" a="1"/>
  <c r="T500" i="2" a="1"/>
  <c r="U440" i="2" a="1"/>
  <c r="N489" i="2" a="1"/>
  <c r="U368" i="2" a="1"/>
  <c r="N421" i="2" a="1"/>
  <c r="P373" i="2" a="1"/>
  <c r="M400" i="2" a="1"/>
  <c r="P411" i="2" a="1"/>
  <c r="W343" i="2" a="1"/>
  <c r="S449" i="2" a="1"/>
  <c r="M487" i="2" a="1"/>
  <c r="R367" i="2" a="1"/>
  <c r="N365" i="2" a="1"/>
  <c r="Q360" i="2" a="1"/>
  <c r="H418" i="2" a="1"/>
  <c r="O382" i="2" a="1"/>
  <c r="U499" i="2" a="1"/>
  <c r="H474" i="2" a="1"/>
  <c r="N361" i="2" a="1"/>
  <c r="S441" i="2" a="1"/>
  <c r="Q395" i="2" a="1"/>
  <c r="M457" i="2" a="1"/>
  <c r="O417" i="2" a="1"/>
  <c r="Q375" i="2" a="1"/>
  <c r="H448" i="2" a="1"/>
  <c r="Q472" i="2" a="1"/>
  <c r="W472" i="2" a="1"/>
  <c r="S330" i="2" a="1"/>
  <c r="N458" i="2" a="1"/>
  <c r="O362" i="2" a="1"/>
  <c r="N391" i="2" a="1"/>
  <c r="R366" i="2" a="1"/>
  <c r="W457" i="2" a="1"/>
  <c r="T352" i="2" a="1"/>
  <c r="U423" i="2" a="1"/>
  <c r="W338" i="2" a="1"/>
  <c r="W422" i="2" a="1"/>
  <c r="P414" i="2" a="1"/>
  <c r="N451" i="2" a="1"/>
  <c r="H383" i="2" a="1"/>
  <c r="P350" i="2" a="1"/>
  <c r="N375" i="2" a="1"/>
  <c r="O497" i="2" a="1"/>
  <c r="N340" i="2" a="1"/>
  <c r="T472" i="2" a="1"/>
  <c r="R343" i="2" a="1"/>
  <c r="R426" i="2" a="1"/>
  <c r="O420" i="2" a="1"/>
  <c r="S466" i="2" a="1"/>
  <c r="U319" i="2" a="1"/>
  <c r="U452" i="2" a="1"/>
  <c r="N444" i="2" a="1"/>
  <c r="M451" i="2" a="1"/>
  <c r="N346" i="2" a="1"/>
  <c r="R446" i="2" a="1"/>
  <c r="S361" i="2" a="1"/>
  <c r="P344" i="2" a="1"/>
  <c r="P497" i="2" a="1"/>
  <c r="Q374" i="2" a="1"/>
  <c r="R346" i="2" a="1"/>
  <c r="N455" i="2" a="1"/>
  <c r="U389" i="2" a="1"/>
  <c r="H467" i="2" a="1"/>
  <c r="M358" i="2" a="1"/>
  <c r="T433" i="2" a="1"/>
  <c r="T467" i="2" a="1"/>
  <c r="M438" i="2" a="1"/>
  <c r="M406" i="2" a="1"/>
  <c r="W334" i="2" a="1"/>
  <c r="M334" i="2" a="1"/>
  <c r="S376" i="2" a="1"/>
  <c r="T432" i="2" a="1"/>
  <c r="Q334" i="2" a="1"/>
  <c r="N441" i="2" a="1"/>
  <c r="T330" i="2" a="1"/>
  <c r="N482" i="2" a="1"/>
  <c r="U445" i="2" a="1"/>
  <c r="O358" i="2" a="1"/>
  <c r="O396" i="2" a="1"/>
  <c r="M471" i="2" a="1"/>
  <c r="H367" i="2" a="1"/>
  <c r="T455" i="2" a="1"/>
  <c r="U416" i="2" a="1"/>
  <c r="N425" i="2" a="1"/>
  <c r="O465" i="2" a="1"/>
  <c r="U436" i="2" a="1"/>
  <c r="P486" i="2" a="1"/>
  <c r="S343" i="2" a="1"/>
  <c r="W450" i="2" a="1"/>
  <c r="U396" i="2" a="1"/>
  <c r="W427" i="2" a="1"/>
  <c r="O448" i="2" a="1"/>
  <c r="H438" i="2" a="1"/>
  <c r="O435" i="2" a="1"/>
  <c r="R390" i="2" a="1"/>
  <c r="S485" i="2" a="1"/>
  <c r="T418" i="2" a="1"/>
  <c r="M359" i="2" a="1"/>
  <c r="W459" i="2" a="1"/>
  <c r="N395" i="2" a="1"/>
  <c r="U426" i="2" a="1"/>
  <c r="O432" i="2" a="1"/>
  <c r="R475" i="2" a="1"/>
  <c r="R342" i="2" a="1"/>
  <c r="T367" i="2" a="1"/>
  <c r="O347" i="2" a="1"/>
  <c r="O495" i="2" a="1"/>
  <c r="W359" i="2" a="1"/>
  <c r="O412" i="2" a="1"/>
  <c r="P442" i="2" a="1"/>
  <c r="M498" i="2" a="1"/>
  <c r="N407" i="2" a="1"/>
  <c r="N398" i="2" a="1"/>
  <c r="M377" i="2" a="1"/>
  <c r="Q356" i="2" a="1"/>
  <c r="O489" i="2" a="1"/>
  <c r="T380" i="2" a="1"/>
  <c r="M380" i="2" a="1"/>
  <c r="N373" i="2" a="1"/>
  <c r="R334" i="2" a="1"/>
  <c r="R487" i="2" a="1"/>
  <c r="O386" i="2" a="1"/>
  <c r="P485" i="2" a="1"/>
  <c r="P500" i="2" a="1"/>
  <c r="R498" i="2" a="1"/>
  <c r="P380" i="2" a="1"/>
  <c r="R348" i="2" a="1"/>
  <c r="N412" i="2" a="1"/>
  <c r="N427" i="2" a="1"/>
  <c r="O430" i="2" a="1"/>
  <c r="M399" i="2" a="1"/>
  <c r="T377" i="2" a="1"/>
  <c r="S369" i="2" a="1"/>
  <c r="N495" i="2" a="1"/>
  <c r="N485" i="2" a="1"/>
  <c r="Q403" i="2" a="1"/>
  <c r="P491" i="2" a="1"/>
  <c r="U359" i="2" a="1"/>
  <c r="W453" i="2" a="1"/>
  <c r="S410" i="2" a="1"/>
  <c r="O327" i="2" a="1"/>
  <c r="U345" i="2" a="1"/>
  <c r="Q430" i="2" a="1"/>
  <c r="M384" i="2" a="1"/>
  <c r="S494" i="2" a="1"/>
  <c r="O426" i="2" a="1"/>
  <c r="O414" i="2" a="1"/>
  <c r="T497" i="2" a="1"/>
  <c r="N344" i="2" a="1"/>
  <c r="S430" i="2" a="1"/>
  <c r="R481" i="2" a="1"/>
  <c r="Q357" i="2" a="1"/>
  <c r="P474" i="2" a="1"/>
  <c r="U479" i="2" a="1"/>
  <c r="W441" i="2" a="1"/>
  <c r="Q326" i="2" a="1"/>
  <c r="W415" i="2" a="1"/>
  <c r="P370" i="2" a="1"/>
  <c r="H410" i="2" a="1"/>
  <c r="H458" i="2" a="1"/>
  <c r="R414" i="2" a="1"/>
  <c r="R328" i="2" a="1"/>
  <c r="N404" i="2" a="1"/>
  <c r="P361" i="2" a="1"/>
  <c r="T368" i="2" a="1"/>
  <c r="P341" i="2" a="1"/>
  <c r="U463" i="2" a="1"/>
  <c r="W362" i="2" a="1"/>
  <c r="O413" i="2" a="1"/>
  <c r="S400" i="2" a="1"/>
  <c r="S408" i="2" a="1"/>
  <c r="O384" i="2" a="1"/>
  <c r="O375" i="2" a="1"/>
  <c r="S375" i="2" a="1"/>
  <c r="P463" i="2" a="1"/>
  <c r="U493" i="2" a="1"/>
  <c r="P405" i="2" a="1"/>
  <c r="W322" i="2" a="1"/>
  <c r="U483" i="2" a="1"/>
  <c r="U377" i="2" a="1"/>
  <c r="T460" i="2" a="1"/>
  <c r="S487" i="2" a="1"/>
  <c r="T498" i="2" a="1"/>
  <c r="U380" i="2" a="1"/>
  <c r="O442" i="2" a="1"/>
  <c r="P448" i="2" a="1"/>
  <c r="Q427" i="2" a="1"/>
  <c r="U487" i="2" a="1"/>
  <c r="S319" i="2" a="1"/>
  <c r="T336" i="2" a="1"/>
  <c r="Q372" i="2" a="1"/>
  <c r="Q458" i="2" a="1"/>
  <c r="Q464" i="2" a="1"/>
  <c r="U481" i="2" a="1"/>
  <c r="Q426" i="2" a="1"/>
  <c r="O424" i="2" a="1"/>
  <c r="T471" i="2" a="1"/>
  <c r="U334" i="2" a="1"/>
  <c r="O383" i="2" a="1"/>
  <c r="U409" i="2" a="1"/>
  <c r="R413" i="2" a="1"/>
  <c r="R404" i="2" a="1"/>
  <c r="U344" i="2" a="1"/>
  <c r="T475" i="2" a="1"/>
  <c r="Q496" i="2" a="1"/>
  <c r="T318" i="2" a="1"/>
  <c r="N426" i="2" a="1"/>
  <c r="N497" i="2" a="1"/>
  <c r="H339" i="2" a="1"/>
  <c r="T448" i="2" a="1"/>
  <c r="P437" i="2" a="1"/>
  <c r="U500" i="2" a="1"/>
  <c r="P447" i="2" a="1"/>
  <c r="T436" i="2" a="1"/>
  <c r="O439" i="2" a="1"/>
  <c r="P488" i="2" a="1"/>
  <c r="U437" i="2" a="1"/>
  <c r="S383" i="2" a="1"/>
  <c r="U391" i="2" a="1"/>
  <c r="S326" i="2" a="1"/>
  <c r="S345" i="2" a="1"/>
  <c r="S346" i="2" a="1"/>
  <c r="H414" i="2" a="1"/>
  <c r="S458" i="2" a="1"/>
  <c r="T499" i="2" a="1"/>
  <c r="U435" i="2" a="1"/>
  <c r="N490" i="2" a="1"/>
  <c r="O354" i="2" a="1"/>
  <c r="U362" i="2" a="1"/>
  <c r="Q488" i="2" a="1"/>
  <c r="R458" i="2" a="1"/>
  <c r="H323" i="2" a="1"/>
  <c r="O423" i="2" a="1"/>
  <c r="O367" i="2" a="1"/>
  <c r="Q453" i="2" a="1"/>
  <c r="O460" i="2" a="1"/>
  <c r="S384" i="2" a="1"/>
  <c r="S381" i="2" a="1"/>
  <c r="M431" i="2" a="1"/>
  <c r="U480" i="2" a="1"/>
  <c r="S486" i="2" a="1"/>
  <c r="T447" i="2" a="1"/>
  <c r="T415" i="2" a="1"/>
  <c r="W482" i="2" a="1"/>
  <c r="P388" i="2" a="1"/>
  <c r="M362" i="2" a="1"/>
  <c r="O381" i="2" a="1"/>
  <c r="Q421" i="2" a="1"/>
  <c r="H362" i="2" a="1"/>
  <c r="Q359" i="2" a="1"/>
  <c r="M473" i="2" a="1"/>
  <c r="M477" i="2" a="1"/>
  <c r="M439" i="2" a="1"/>
  <c r="S377" i="2" a="1"/>
  <c r="O345" i="2" a="1"/>
  <c r="O317" i="2" a="1"/>
  <c r="R427" i="2" a="1"/>
  <c r="Q406" i="2" a="1"/>
  <c r="O332" i="2" a="1"/>
  <c r="O320" i="2" a="1"/>
  <c r="P349" i="2" a="1"/>
  <c r="P445" i="2" a="1"/>
  <c r="W401" i="2" a="1"/>
  <c r="O469" i="2" a="1"/>
  <c r="U330" i="2" a="1"/>
  <c r="P477" i="2" a="1"/>
  <c r="O353" i="2" a="1"/>
  <c r="T365" i="2" a="1"/>
  <c r="U399" i="2" a="1"/>
  <c r="W318" i="2" a="1"/>
  <c r="M472" i="2" a="1"/>
  <c r="M361" i="2" a="1"/>
  <c r="Q329" i="2" a="1"/>
  <c r="U434" i="2" a="1"/>
  <c r="U422" i="2" a="1"/>
  <c r="P355" i="2" a="1"/>
  <c r="T485" i="2" a="1"/>
  <c r="T414" i="2" a="1"/>
  <c r="S366" i="2" a="1"/>
  <c r="P454" i="2" a="1"/>
  <c r="O418" i="2" a="1"/>
  <c r="U336" i="2" a="1"/>
  <c r="Q400" i="2" a="1"/>
  <c r="N437" i="2" a="1"/>
  <c r="T479" i="2" a="1"/>
  <c r="Q370" i="2" a="1"/>
  <c r="O388" i="2" a="1"/>
  <c r="P451" i="2" a="1"/>
  <c r="Q365" i="2" a="1"/>
  <c r="H479" i="2" a="1"/>
  <c r="O453" i="2" a="1"/>
  <c r="T354" i="2" a="1"/>
  <c r="W443" i="2" a="1"/>
  <c r="P353" i="2" a="1"/>
  <c r="Q380" i="2" a="1"/>
  <c r="S379" i="2" a="1"/>
  <c r="S495" i="2" a="1"/>
  <c r="H401" i="2" a="1"/>
  <c r="O390" i="2" a="1"/>
  <c r="T331" i="2" a="1"/>
  <c r="T402" i="2" a="1"/>
  <c r="T340" i="2" a="1"/>
  <c r="M350" i="2" a="1"/>
  <c r="Q366" i="2" a="1"/>
  <c r="O377" i="2" a="1"/>
  <c r="T382" i="2" a="1"/>
  <c r="U498" i="2" a="1"/>
  <c r="M392" i="2" a="1"/>
  <c r="Q460" i="2" a="1"/>
  <c r="O363" i="2" a="1"/>
  <c r="R489" i="2" a="1"/>
  <c r="W418" i="2" a="1"/>
  <c r="P387" i="2" a="1"/>
  <c r="P369" i="2" a="1"/>
  <c r="S334" i="2" a="1"/>
  <c r="N413" i="2" a="1"/>
  <c r="T322" i="2" a="1"/>
  <c r="R358" i="2" a="1"/>
  <c r="O324" i="2" a="1"/>
  <c r="N401" i="2" a="1"/>
  <c r="N345" i="2" a="1"/>
  <c r="U424" i="2" a="1"/>
  <c r="R491" i="2" a="1"/>
  <c r="U394" i="2" a="1"/>
  <c r="Q477" i="2" a="1"/>
  <c r="W371" i="2" a="1"/>
  <c r="T353" i="2" a="1"/>
  <c r="U466" i="2" a="1"/>
  <c r="M367" i="2" a="1"/>
  <c r="S444" i="2" a="1"/>
  <c r="M474" i="2" a="1"/>
  <c r="T392" i="2" a="1"/>
  <c r="W397" i="2" a="1"/>
  <c r="M419" i="2" a="1"/>
  <c r="U388" i="2" a="1"/>
  <c r="H454" i="2" a="1"/>
  <c r="R377" i="2" a="1"/>
  <c r="S336" i="2" a="1"/>
  <c r="W447" i="2" a="1"/>
  <c r="R410" i="2" a="1"/>
  <c r="R469" i="2" a="1"/>
  <c r="U317" i="2" a="1"/>
  <c r="O321" i="2" a="1"/>
  <c r="Q394" i="2" a="1"/>
  <c r="Q399" i="2" a="1"/>
  <c r="O494" i="2" a="1"/>
  <c r="W416" i="2" a="1"/>
  <c r="R335" i="2" a="1"/>
  <c r="R421" i="2" a="1"/>
  <c r="Q332" i="2" a="1"/>
  <c r="W388" i="2" a="1"/>
  <c r="N434" i="2" a="1"/>
  <c r="P322" i="2" a="1"/>
  <c r="M336" i="2" a="1"/>
  <c r="N358" i="2" a="1"/>
  <c r="S455" i="2" a="1"/>
  <c r="W444" i="2" a="1"/>
  <c r="H370" i="2" a="1"/>
  <c r="S432" i="2" a="1"/>
  <c r="Q345" i="2" a="1"/>
  <c r="Q381" i="2" a="1"/>
  <c r="Q455" i="2" a="1"/>
  <c r="N400" i="2" a="1"/>
  <c r="H331" i="2" a="1"/>
  <c r="M340" i="2" a="1"/>
  <c r="P376" i="2" a="1"/>
  <c r="U392" i="2" a="1"/>
  <c r="Q347" i="2" a="1"/>
  <c r="S418" i="2" a="1"/>
  <c r="M458" i="2" a="1"/>
  <c r="P410" i="2" a="1"/>
  <c r="O444" i="2" a="1"/>
  <c r="P375" i="2" a="1"/>
  <c r="R361" i="2" a="1"/>
  <c r="N474" i="2" a="1"/>
  <c r="O369" i="2" a="1"/>
  <c r="S356" i="2" a="1"/>
  <c r="M463" i="2" a="1"/>
  <c r="P490" i="2" a="1"/>
  <c r="Q438" i="2" a="1"/>
  <c r="M403" i="2" a="1"/>
  <c r="S442" i="2" a="1"/>
  <c r="N448" i="2" a="1"/>
  <c r="W382" i="2" a="1"/>
  <c r="W445" i="2" a="1"/>
  <c r="R330" i="2" a="1"/>
  <c r="N397" i="2" a="1"/>
  <c r="U453" i="2" a="1"/>
  <c r="S342" i="2" a="1"/>
  <c r="S405" i="2" a="1"/>
  <c r="O416" i="2" a="1"/>
  <c r="T464" i="2" a="1"/>
  <c r="U473" i="2" a="1"/>
  <c r="N453" i="2" a="1"/>
  <c r="U369" i="2" a="1"/>
  <c r="P404" i="2" a="1"/>
  <c r="M424" i="2" a="1"/>
  <c r="W396" i="2" a="1"/>
  <c r="W470" i="2" a="1"/>
  <c r="R353" i="2" a="1"/>
  <c r="S479" i="2" a="1"/>
  <c r="O341" i="2" a="1"/>
  <c r="U427" i="2" a="1"/>
  <c r="H328" i="2" a="1"/>
  <c r="M408" i="2" a="1"/>
  <c r="T483" i="2" a="1"/>
  <c r="W339" i="2" a="1"/>
  <c r="R434" i="2" a="1"/>
  <c r="Q335" i="2" a="1"/>
  <c r="P336" i="2" a="1"/>
  <c r="U406" i="2" a="1"/>
  <c r="M415" i="2" a="1"/>
  <c r="P409" i="2" a="1"/>
  <c r="U472" i="2" a="1"/>
  <c r="P334" i="2" a="1"/>
  <c r="P399" i="2" a="1"/>
  <c r="W329" i="2" a="1"/>
  <c r="S332" i="2" a="1"/>
  <c r="W326" i="2" a="1"/>
  <c r="S465" i="2" a="1"/>
  <c r="P382" i="2" a="1"/>
  <c r="Q396" i="2" a="1"/>
  <c r="P374" i="2" a="1"/>
  <c r="R478" i="2" a="1"/>
  <c r="M411" i="2" a="1"/>
  <c r="S453" i="2" a="1"/>
  <c r="O326" i="2" a="1"/>
  <c r="U414" i="2" a="1"/>
  <c r="O499" i="2" a="1"/>
  <c r="R391" i="2" a="1"/>
  <c r="S429" i="2" a="1"/>
  <c r="Q489" i="2" a="1"/>
  <c r="U430" i="2" a="1"/>
  <c r="M443" i="2" a="1"/>
  <c r="T453" i="2" a="1"/>
  <c r="R455" i="2" a="1"/>
  <c r="O457" i="2" a="1"/>
  <c r="M447" i="2" a="1"/>
  <c r="O470" i="2" a="1"/>
  <c r="T389" i="2" a="1"/>
  <c r="N454" i="2" a="1"/>
  <c r="O486" i="2" a="1"/>
  <c r="N470" i="2" a="1"/>
  <c r="P493" i="2" a="1"/>
  <c r="T332" i="2" a="1"/>
  <c r="U410" i="2" a="1"/>
  <c r="P453" i="2" a="1"/>
  <c r="W331" i="2" a="1"/>
  <c r="Q411" i="2" a="1"/>
  <c r="O488" i="2" a="1"/>
  <c r="R333" i="2" a="1"/>
  <c r="N452" i="2" a="1"/>
  <c r="W337" i="2" a="1"/>
  <c r="T359" i="2" a="1"/>
  <c r="W387" i="2" a="1"/>
  <c r="S478" i="2" a="1"/>
  <c r="N389" i="2" a="1"/>
  <c r="N323" i="2" a="1"/>
  <c r="R450" i="2" a="1"/>
  <c r="W483" i="2" a="1"/>
  <c r="N333" i="2" a="1"/>
  <c r="P432" i="2" a="1"/>
  <c r="S329" i="2" a="1"/>
  <c r="R372" i="2" a="1"/>
  <c r="U332" i="2" a="1"/>
  <c r="M460" i="2" a="1"/>
  <c r="O450" i="2" a="1"/>
  <c r="U417" i="2" a="1"/>
  <c r="P496" i="2" a="1"/>
  <c r="Q324" i="2" a="1"/>
  <c r="T441" i="2" a="1"/>
  <c r="Q454" i="2" a="1"/>
  <c r="H470" i="2" a="1"/>
  <c r="M320" i="2" a="1"/>
  <c r="W355" i="2" a="1"/>
  <c r="P368" i="2" a="1"/>
  <c r="Q386" i="2" a="1"/>
  <c r="Q412" i="2" a="1"/>
  <c r="R465" i="2" a="1"/>
  <c r="M475" i="2" a="1"/>
  <c r="S452" i="2" a="1"/>
  <c r="P467" i="2" a="1"/>
  <c r="U478" i="2" a="1"/>
  <c r="M407" i="2" a="1"/>
  <c r="H399" i="2" a="1"/>
  <c r="O478" i="2" a="1"/>
  <c r="W353" i="2" a="1"/>
  <c r="P202" i="2" a="1"/>
  <c r="W491" i="2" a="1"/>
  <c r="H381" i="2" a="1"/>
  <c r="W412" i="2" a="1"/>
  <c r="S395" i="2" a="1"/>
  <c r="R494" i="2" a="1"/>
  <c r="U343" i="2" a="1"/>
  <c r="M450" i="2" a="1"/>
  <c r="O429" i="2" a="1"/>
  <c r="W370" i="2" a="1"/>
  <c r="U373" i="2" a="1"/>
  <c r="O385" i="2" a="1"/>
  <c r="R493" i="2" a="1"/>
  <c r="N380" i="2" a="1"/>
  <c r="M352" i="2" a="1"/>
  <c r="P430" i="2" a="1"/>
  <c r="R389" i="2" a="1"/>
  <c r="T326" i="2" a="1"/>
  <c r="R384" i="2" a="1"/>
  <c r="O391" i="2" a="1"/>
  <c r="U467" i="2" a="1"/>
  <c r="O400" i="2" a="1"/>
  <c r="Q434" i="2" a="1"/>
  <c r="H440" i="2" a="1"/>
  <c r="P412" i="2" a="1"/>
  <c r="R488" i="2" a="1"/>
  <c r="T476" i="2" a="1"/>
  <c r="Q423" i="2" a="1"/>
  <c r="Q440" i="2" a="1"/>
  <c r="M412" i="2" a="1"/>
  <c r="O371" i="2" a="1"/>
  <c r="M363" i="2" a="1"/>
  <c r="H356" i="2" a="1"/>
  <c r="N371" i="2" a="1"/>
  <c r="H441" i="2" a="1"/>
  <c r="H475" i="2" a="1"/>
  <c r="U459" i="2" a="1"/>
  <c r="O472" i="2" a="1"/>
  <c r="H366" i="2" a="1"/>
  <c r="O408" i="2" a="1"/>
  <c r="M357" i="2" a="1"/>
  <c r="W452" i="2" a="1"/>
  <c r="Q404" i="2" a="1"/>
  <c r="M391" i="2" a="1"/>
  <c r="S484" i="2" a="1"/>
  <c r="Q499" i="2" a="1"/>
  <c r="Q486" i="2" a="1"/>
  <c r="P393" i="2" a="1"/>
  <c r="R379" i="2" a="1"/>
  <c r="N326" i="2" a="1"/>
  <c r="N379" i="2" a="1"/>
  <c r="M499" i="2" a="1"/>
  <c r="T425" i="2" a="1"/>
  <c r="U418" i="2" a="1"/>
  <c r="Q470" i="2" a="1"/>
  <c r="R430" i="2" a="1"/>
  <c r="Q382" i="2" a="1"/>
  <c r="N342" i="2" a="1"/>
  <c r="W391" i="2" a="1"/>
  <c r="S388" i="2" a="1"/>
  <c r="S468" i="2" a="1"/>
  <c r="U490" i="2" a="1"/>
  <c r="P422" i="2" a="1"/>
  <c r="O479" i="2" a="1"/>
  <c r="S318" i="2" a="1"/>
  <c r="W410" i="2" a="1"/>
  <c r="S402" i="2" a="1"/>
  <c r="W458" i="2" a="1"/>
  <c r="Q385" i="2" a="1"/>
  <c r="T396" i="2" a="1"/>
  <c r="O428" i="2" a="1"/>
  <c r="R461" i="2" a="1"/>
  <c r="T320" i="2" a="1"/>
  <c r="O398" i="2" a="1"/>
  <c r="W430" i="2" a="1"/>
  <c r="S446" i="2" a="1"/>
  <c r="O399" i="2" a="1"/>
  <c r="S396" i="2" a="1"/>
  <c r="P325" i="2" a="1"/>
  <c r="U412" i="2" a="1"/>
  <c r="S490" i="2" a="1"/>
  <c r="T496" i="2" a="1"/>
  <c r="W498" i="2" a="1"/>
  <c r="U352" i="2" a="1"/>
  <c r="H477" i="2" a="1"/>
  <c r="T358" i="2" a="1"/>
  <c r="W488" i="2" a="1"/>
  <c r="N385" i="2" a="1"/>
  <c r="T361" i="2" a="1"/>
  <c r="S325" i="2" a="1"/>
  <c r="O411" i="2" a="1"/>
  <c r="N339" i="2" a="1"/>
  <c r="R396" i="2" a="1"/>
  <c r="O422" i="2" a="1"/>
  <c r="O464" i="2" a="1"/>
  <c r="Q459" i="2" a="1"/>
  <c r="Q376" i="2" a="1"/>
  <c r="S462" i="2" a="1"/>
  <c r="N499" i="2" a="1"/>
  <c r="P397" i="2" a="1"/>
  <c r="P339" i="2" a="1"/>
  <c r="N392" i="2" a="1"/>
  <c r="M466" i="2" a="1"/>
  <c r="R441" i="2" a="1"/>
  <c r="P494" i="2" a="1"/>
  <c r="M449" i="2" a="1"/>
  <c r="N481" i="2" a="1"/>
  <c r="S391" i="2" a="1"/>
  <c r="O462" i="2" a="1"/>
  <c r="Q398" i="2" a="1"/>
  <c r="H490" i="2" a="1"/>
  <c r="W364" i="2" a="1"/>
  <c r="P417" i="2" a="1"/>
  <c r="S422" i="2" a="1"/>
  <c r="Q456" i="2" a="1"/>
  <c r="U442" i="2" a="1"/>
  <c r="H461" i="2" a="1"/>
  <c r="U397" i="2" a="1"/>
  <c r="P441" i="2" a="1"/>
  <c r="O407" i="2" a="1"/>
  <c r="T399" i="2" a="1"/>
  <c r="H384" i="2" a="1"/>
  <c r="H496" i="2" a="1"/>
  <c r="H413" i="2" a="1"/>
  <c r="O447" i="2" a="1"/>
  <c r="M467" i="2" a="1"/>
  <c r="Q202" i="2" a="1"/>
  <c r="T378" i="2" a="1"/>
  <c r="U371" i="2" a="1"/>
  <c r="N384" i="2" a="1"/>
  <c r="U411" i="2" a="1"/>
  <c r="H457" i="2" a="1"/>
  <c r="T494" i="2" a="1"/>
  <c r="M410" i="2" a="1"/>
  <c r="T477" i="2" a="1"/>
  <c r="P436" i="2" a="1"/>
  <c r="T321" i="2" a="1"/>
  <c r="R431" i="2" a="1"/>
  <c r="T482" i="2" a="1"/>
  <c r="M376" i="2" a="1"/>
  <c r="M344" i="2" a="1"/>
  <c r="W400" i="2" a="1"/>
  <c r="P416" i="2" a="1"/>
  <c r="Q317" i="2" a="1"/>
  <c r="R422" i="2" a="1"/>
  <c r="O342" i="2" a="1"/>
  <c r="R320" i="2" a="1"/>
  <c r="Q424" i="2" a="1"/>
  <c r="R344" i="2" a="1"/>
  <c r="Q422" i="2" a="1"/>
  <c r="O334" i="2" a="1"/>
  <c r="O500" i="2" a="1"/>
  <c r="R341" i="2" a="1"/>
  <c r="W429" i="2" a="1"/>
  <c r="R423" i="2" a="1"/>
  <c r="U366" i="2" a="1"/>
  <c r="M381" i="2" a="1"/>
  <c r="H361" i="2" a="1"/>
  <c r="H376" i="2" a="1"/>
  <c r="O343" i="2" a="1"/>
  <c r="N475" i="2" a="1"/>
  <c r="R444" i="2" a="1"/>
  <c r="U329" i="2" a="1"/>
  <c r="O445" i="2" a="1"/>
  <c r="S398" i="2" a="1"/>
  <c r="Q378" i="2" a="1"/>
  <c r="O483" i="2" a="1"/>
  <c r="W479" i="2" a="1"/>
  <c r="R438" i="2" a="1"/>
  <c r="N457" i="2" a="1"/>
  <c r="W350" i="2" a="1"/>
  <c r="S338" i="2" a="1"/>
  <c r="O484" i="2" a="1"/>
  <c r="U383" i="2" a="1"/>
  <c r="U353" i="2" a="1"/>
  <c r="W439" i="2" a="1"/>
  <c r="O394" i="2" a="1"/>
  <c r="P433" i="2" a="1"/>
  <c r="S438" i="2" a="1"/>
  <c r="T468" i="2" a="1"/>
  <c r="R443" i="2" a="1"/>
  <c r="W480" i="2" a="1"/>
  <c r="S412" i="2" a="1"/>
  <c r="R490" i="2" a="1"/>
  <c r="W463" i="2" a="1"/>
  <c r="O373" i="2" a="1"/>
  <c r="N450" i="2" a="1"/>
  <c r="T360" i="2" a="1"/>
  <c r="Q322" i="2" a="1"/>
  <c r="U360" i="2" a="1"/>
  <c r="O493" i="2" a="1"/>
  <c r="U339" i="2" a="1"/>
  <c r="R442" i="2" a="1"/>
  <c r="H345" i="2" a="1"/>
  <c r="O359" i="2" a="1"/>
  <c r="H499" i="2" a="1"/>
  <c r="U358" i="2" a="1"/>
  <c r="W448" i="2" a="1"/>
  <c r="W366" i="2" a="1"/>
  <c r="M368" i="2" a="1"/>
  <c r="N317" i="2" a="1"/>
  <c r="M335" i="2" a="1"/>
  <c r="R406" i="2" a="1"/>
  <c r="T456" i="2" a="1"/>
  <c r="U347" i="2" a="1"/>
  <c r="S354" i="2" a="1"/>
  <c r="O455" i="2" a="1"/>
  <c r="H443" i="2" a="1"/>
  <c r="Q420" i="2" a="1"/>
  <c r="S450" i="2" a="1"/>
  <c r="H353" i="2" a="1"/>
  <c r="T410" i="2" a="1"/>
  <c r="N390" i="2" a="1"/>
  <c r="P329" i="2" a="1"/>
  <c r="T397" i="2" a="1"/>
  <c r="T391" i="2" a="1"/>
  <c r="O434" i="2" a="1"/>
  <c r="R483" i="2" a="1"/>
  <c r="U341" i="2" a="1"/>
  <c r="S437" i="2" a="1"/>
  <c r="P348" i="2" a="1"/>
  <c r="U402" i="2" a="1"/>
  <c r="R486" i="2" a="1"/>
  <c r="U355" i="2" a="1"/>
  <c r="T406" i="2" a="1"/>
  <c r="N353" i="2" a="1"/>
  <c r="R405" i="2" a="1"/>
  <c r="O456" i="2" a="1"/>
  <c r="N387" i="2" a="1"/>
  <c r="S202" i="2" a="1"/>
  <c r="T319" i="2" a="1"/>
  <c r="M427" i="2" a="1"/>
  <c r="U470" i="2" a="1"/>
  <c r="R388" i="2" a="1"/>
  <c r="U327" i="2" a="1"/>
  <c r="W437" i="2" a="1"/>
  <c r="M339" i="2" a="1"/>
  <c r="W496" i="2" a="1"/>
  <c r="M366" i="2" a="1"/>
  <c r="M385" i="2" a="1"/>
  <c r="P424" i="2" a="1"/>
  <c r="O202" i="2" a="1"/>
  <c r="P465" i="2" a="1"/>
  <c r="P428" i="2" a="1"/>
  <c r="U372" i="2" a="1"/>
  <c r="S425" i="2" a="1"/>
  <c r="N500" i="2" a="1"/>
  <c r="U494" i="2" a="1"/>
  <c r="O387" i="2" a="1"/>
  <c r="S421" i="2" a="1"/>
  <c r="T484" i="2" a="1"/>
  <c r="Q495" i="2" a="1"/>
  <c r="H417" i="2" a="1"/>
  <c r="M356" i="2" a="1"/>
  <c r="N386" i="2" a="1"/>
  <c r="O421" i="2" a="1"/>
  <c r="T384" i="2" a="1"/>
  <c r="N459" i="2" a="1"/>
  <c r="O329" i="2" a="1"/>
  <c r="T328" i="2" a="1"/>
  <c r="Q466" i="2" a="1"/>
  <c r="Q425" i="2" a="1"/>
  <c r="R340" i="2" a="1"/>
  <c r="W335" i="2" a="1"/>
  <c r="H391" i="2" a="1"/>
  <c r="O403" i="2" a="1"/>
  <c r="W451" i="2" a="1"/>
  <c r="R339" i="2" a="1"/>
  <c r="W346" i="2" a="1"/>
  <c r="Q413" i="2" a="1"/>
  <c r="O487" i="2" a="1"/>
  <c r="O404" i="2" a="1"/>
  <c r="U323" i="2" a="1"/>
  <c r="U335" i="2" a="1"/>
  <c r="Q478" i="2" a="1"/>
  <c r="N338" i="2" a="1"/>
  <c r="S374" i="2" a="1"/>
  <c r="M496" i="2" a="1"/>
  <c r="M386" i="2" a="1"/>
  <c r="S489" i="2" a="1"/>
  <c r="S469" i="2" a="1"/>
  <c r="N355" i="2" a="1"/>
  <c r="T383" i="2" a="1"/>
  <c r="O366" i="2" a="1"/>
  <c r="T435" i="2" a="1"/>
  <c r="W467" i="2" a="1"/>
  <c r="S428" i="2" a="1"/>
  <c r="Q490" i="2" a="1"/>
  <c r="S481" i="2" a="1"/>
  <c r="T487" i="2" a="1"/>
  <c r="O318" i="2" a="1"/>
  <c r="Q407" i="2" a="1"/>
  <c r="M465" i="2" a="1"/>
  <c r="U340" i="2" a="1"/>
  <c r="O349" i="2" a="1"/>
  <c r="T422" i="2" a="1"/>
  <c r="R471" i="2" a="1"/>
  <c r="U488" i="2" a="1"/>
  <c r="M453" i="2" a="1"/>
  <c r="Q417" i="2" a="1"/>
  <c r="N393" i="2" a="1"/>
  <c r="S367" i="2" a="1"/>
  <c r="P426" i="2" a="1"/>
  <c r="T339" i="2" a="1"/>
  <c r="U384" i="2" a="1"/>
  <c r="O402" i="2" a="1"/>
  <c r="W435" i="2" a="1"/>
  <c r="P342" i="2" a="1"/>
  <c r="P330" i="2" a="1"/>
  <c r="R345" i="2" a="1"/>
  <c r="T386" i="2" a="1"/>
  <c r="M343" i="2" a="1"/>
  <c r="U364" i="2" a="1"/>
  <c r="O441" i="2" a="1"/>
  <c r="R440" i="2" a="1"/>
  <c r="Q387" i="2" a="1"/>
  <c r="R386" i="2" a="1"/>
  <c r="M364" i="2" a="1"/>
  <c r="T351" i="2" a="1"/>
  <c r="R408" i="2" a="1"/>
  <c r="T429" i="2" a="1"/>
  <c r="S445" i="2" a="1"/>
  <c r="N480" i="2" a="1"/>
  <c r="M328" i="2" a="1"/>
  <c r="O356" i="2" a="1"/>
  <c r="S440" i="2" a="1"/>
  <c r="Q442" i="2" a="1"/>
  <c r="W321" i="2" a="1"/>
  <c r="U447" i="2" a="1"/>
  <c r="W386" i="2" a="1"/>
  <c r="N491" i="2" a="1"/>
  <c r="T375" i="2" a="1"/>
  <c r="T459" i="2" a="1"/>
  <c r="Q428" i="2" a="1"/>
  <c r="O436" i="2" a="1"/>
  <c r="Q392" i="2" a="1"/>
  <c r="Q358" i="2" a="1"/>
  <c r="Q362" i="2" a="1"/>
  <c r="O344" i="2" a="1"/>
  <c r="W408" i="2" a="1"/>
  <c r="S333" i="2" a="1"/>
  <c r="Q361" i="2" a="1"/>
  <c r="T202" i="2" a="1"/>
  <c r="R385" i="2" a="1"/>
  <c r="P317" i="2" a="1"/>
  <c r="U374" i="2" a="1"/>
  <c r="N473" i="2" a="1"/>
  <c r="W328" i="2" a="1"/>
  <c r="N479" i="2" a="1"/>
  <c r="H332" i="2" a="1"/>
  <c r="U462" i="2" a="1"/>
  <c r="T357" i="2" a="1"/>
  <c r="W406" i="2" a="1"/>
  <c r="U477" i="2" a="1"/>
  <c r="S350" i="2" a="1"/>
  <c r="S496" i="2" a="1"/>
  <c r="W330" i="2" a="1"/>
  <c r="R399" i="2" a="1"/>
  <c r="O466" i="2" a="1"/>
  <c r="S348" i="2" a="1"/>
  <c r="Q328" i="2" a="1"/>
  <c r="R479" i="2" a="1"/>
  <c r="O322" i="2" a="1"/>
  <c r="T489" i="2" a="1"/>
  <c r="H397" i="2" a="1"/>
  <c r="R370" i="2" a="1"/>
  <c r="H348" i="2" a="1"/>
  <c r="T420" i="2" a="1"/>
  <c r="P492" i="2" a="1"/>
  <c r="N383" i="2" a="1"/>
  <c r="U331" i="2" a="1"/>
  <c r="O406" i="2" a="1"/>
  <c r="M346" i="2" a="1"/>
  <c r="M444" i="2" a="1"/>
  <c r="T342" i="2" a="1"/>
  <c r="W464" i="2" a="1"/>
  <c r="Q339" i="2" a="1"/>
  <c r="O374" i="2" a="1"/>
  <c r="T376" i="2" a="1"/>
  <c r="O481" i="2" a="1"/>
  <c r="U349" i="2" a="1"/>
  <c r="S386" i="2" a="1"/>
  <c r="S362" i="2" a="1"/>
  <c r="U379" i="2" a="1"/>
  <c r="S360" i="2" a="1"/>
  <c r="S451" i="2" a="1"/>
  <c r="T395" i="2" a="1"/>
  <c r="R318" i="2" a="1"/>
  <c r="P444" i="2" a="1"/>
  <c r="P499" i="2" a="1"/>
  <c r="T334" i="2" a="1"/>
  <c r="W372" i="2" a="1"/>
  <c r="R495" i="2" a="1"/>
  <c r="U348" i="2" a="1"/>
  <c r="N435" i="2" a="1"/>
  <c r="Q445" i="2" a="1"/>
  <c r="N471" i="2" a="1"/>
  <c r="N320" i="2" a="1"/>
  <c r="P415" i="2" a="1"/>
  <c r="P389" i="2" a="1"/>
  <c r="O498" i="2" a="1"/>
  <c r="P481" i="2" a="1"/>
  <c r="W423" i="2" a="1"/>
  <c r="M404" i="2" a="1"/>
  <c r="U419" i="2" a="1"/>
  <c r="W332" i="2" a="1"/>
  <c r="P429" i="2" a="1"/>
  <c r="H476" i="2" a="1"/>
  <c r="O364" i="2" a="1"/>
  <c r="M454" i="2" a="1"/>
  <c r="N321" i="2" a="1"/>
  <c r="W494" i="2" a="1"/>
  <c r="W460" i="2" a="1"/>
  <c r="P326" i="2" a="1"/>
  <c r="O496" i="2" a="1"/>
  <c r="O482" i="2" a="1"/>
  <c r="R439" i="2" a="1"/>
  <c r="N376" i="2" a="1"/>
  <c r="U443" i="2" a="1"/>
  <c r="S331" i="2" a="1"/>
  <c r="Q393" i="2" a="1"/>
  <c r="Q446" i="2" a="1"/>
  <c r="N438" i="2" a="1"/>
  <c r="S436" i="2" a="1"/>
  <c r="N494" i="2" a="1"/>
  <c r="H334" i="2" a="1"/>
  <c r="W384" i="2" a="1"/>
  <c r="O328" i="2" a="1"/>
  <c r="N462" i="2" a="1"/>
  <c r="M387" i="2" a="1"/>
  <c r="W404" i="2" a="1"/>
  <c r="N370" i="2" a="1"/>
  <c r="Q367" i="2" a="1"/>
  <c r="N377" i="2" a="1"/>
  <c r="N369" i="2" a="1"/>
  <c r="Q342" i="2" a="1"/>
  <c r="T374" i="2" a="1"/>
  <c r="R437" i="2" a="1"/>
  <c r="Q341" i="2" a="1"/>
  <c r="Q491" i="2" a="1"/>
  <c r="N324" i="2" a="1"/>
  <c r="T424" i="2" a="1"/>
  <c r="R418" i="2" a="1"/>
  <c r="R448" i="2" a="1"/>
  <c r="H344" i="2" a="1"/>
  <c r="S352" i="2" a="1"/>
  <c r="H439" i="2" a="1"/>
  <c r="P459" i="2" a="1"/>
  <c r="T370" i="2" a="1"/>
  <c r="W489" i="2" a="1"/>
  <c r="R470" i="2" a="1"/>
  <c r="Q349" i="2" a="1"/>
  <c r="P498" i="2" a="1"/>
  <c r="S419" i="2" a="1"/>
  <c r="N351" i="2" a="1"/>
  <c r="U446" i="2" a="1"/>
  <c r="S344" i="2" a="1"/>
  <c r="O336" i="2" a="1"/>
  <c r="R411" i="2" a="1"/>
  <c r="P458" i="2" a="1"/>
  <c r="P482" i="2" a="1"/>
  <c r="T490" i="2" a="1"/>
  <c r="R449" i="2" a="1"/>
  <c r="M342" i="2" a="1"/>
  <c r="M448" i="2" a="1"/>
  <c r="S404" i="2" a="1"/>
  <c r="P461" i="2" a="1"/>
  <c r="M382" i="2" a="1"/>
  <c r="U375" i="2" a="1"/>
  <c r="R375" i="2" a="1"/>
  <c r="H318" i="2" a="1"/>
  <c r="N439" i="2" a="1"/>
  <c r="W462" i="2" a="1"/>
  <c r="Q468" i="2" a="1"/>
  <c r="P372" i="2" a="1"/>
  <c r="M491" i="2" a="1"/>
  <c r="W390" i="2" a="1"/>
  <c r="S380" i="2" a="1"/>
  <c r="N388" i="2" a="1"/>
  <c r="U385" i="2" a="1"/>
  <c r="T348" i="2" a="1"/>
  <c r="N363" i="2" a="1"/>
  <c r="W379" i="2" a="1"/>
  <c r="Q369" i="2" a="1"/>
  <c r="S353" i="2" a="1"/>
  <c r="M390" i="2" a="1"/>
  <c r="N410" i="2" a="1"/>
  <c r="P377" i="2" a="1"/>
  <c r="T491" i="2" a="1"/>
  <c r="N418" i="2" a="1"/>
  <c r="O433" i="2" a="1"/>
  <c r="O330" i="2" a="1"/>
  <c r="O337" i="2" a="1"/>
  <c r="N493" i="2" a="1"/>
  <c r="U404" i="2" a="1"/>
  <c r="Q321" i="2" a="1"/>
  <c r="S327" i="2" a="1"/>
  <c r="N433" i="2" a="1"/>
  <c r="N335" i="2" a="1"/>
  <c r="H392" i="2" a="1"/>
  <c r="T408" i="2" a="1"/>
  <c r="M485" i="2" a="1"/>
  <c r="H378" i="2" a="1"/>
  <c r="P318" i="2" a="1"/>
  <c r="P480" i="2" a="1"/>
  <c r="S464" i="2" a="1"/>
  <c r="Q487" i="2" a="1"/>
  <c r="W432" i="2" a="1"/>
  <c r="W407" i="2" a="1"/>
  <c r="M338" i="2" a="1"/>
  <c r="S358" i="2" a="1"/>
  <c r="Q484" i="2" a="1"/>
  <c r="M202" i="2" a="1"/>
  <c r="P356" i="2" a="1"/>
  <c r="H379" i="2" a="1"/>
  <c r="M333" i="2" a="1"/>
  <c r="O331" i="2" a="1"/>
  <c r="N456" i="2" a="1"/>
  <c r="U321" i="2" a="1"/>
  <c r="Q471" i="2" a="1"/>
  <c r="M365" i="2" a="1"/>
  <c r="Q350" i="2" a="1"/>
  <c r="M372" i="2" a="1"/>
  <c r="N357" i="2" a="1"/>
  <c r="S321" i="2" a="1"/>
  <c r="H450" i="2" a="1"/>
  <c r="N486" i="2" a="1"/>
  <c r="P343" i="2" a="1"/>
  <c r="M446" i="2" a="1"/>
  <c r="W365" i="2" a="1"/>
  <c r="N382" i="2" a="1"/>
  <c r="Q320" i="2" a="1"/>
  <c r="N319" i="2" a="1"/>
  <c r="S365" i="2" a="1"/>
  <c r="T401" i="2" a="1"/>
  <c r="R499" i="2" a="1"/>
  <c r="M374" i="2" a="1"/>
  <c r="T371" i="2" a="1"/>
  <c r="T411" i="2" a="1"/>
  <c r="R354" i="2" a="1"/>
  <c r="Q418" i="2" a="1"/>
  <c r="T445" i="2" a="1"/>
  <c r="N446" i="2" a="1"/>
  <c r="P489" i="2" a="1"/>
  <c r="Q443" i="2" a="1"/>
  <c r="T469" i="2" a="1"/>
  <c r="W485" i="2" a="1"/>
  <c r="R323" i="2" a="1"/>
  <c r="N431" i="2" a="1"/>
  <c r="R436" i="2" a="1"/>
  <c r="W398" i="2" a="1"/>
  <c r="R350" i="2" a="1"/>
  <c r="S420" i="2" a="1"/>
  <c r="N447" i="2" a="1"/>
  <c r="P386" i="2" a="1"/>
  <c r="O365" i="2" a="1"/>
  <c r="U432" i="2" a="1"/>
  <c r="U456" i="2" a="1"/>
  <c r="N381" i="2" a="1"/>
  <c r="S434" i="2" a="1"/>
  <c r="S471" i="2" a="1"/>
  <c r="P363" i="2" a="1"/>
  <c r="N318" i="2" a="1"/>
  <c r="P421" i="2" a="1"/>
  <c r="N443" i="2" a="1"/>
  <c r="N202" i="2" a="1"/>
  <c r="W409" i="2" a="1"/>
  <c r="P323" i="2" a="1"/>
  <c r="M436" i="2" a="1"/>
  <c r="W360" i="2" a="1"/>
  <c r="R497" i="2" a="1"/>
  <c r="O458" i="2" a="1"/>
  <c r="O449" i="2" a="1"/>
  <c r="P332" i="2" a="1"/>
  <c r="R459" i="2" a="1"/>
  <c r="N403" i="2" a="1"/>
  <c r="T442" i="2" a="1"/>
  <c r="H491" i="2" a="1"/>
  <c r="T388" i="2" a="1"/>
  <c r="W436" i="2" a="1"/>
  <c r="T350" i="2" a="1"/>
  <c r="T493" i="2" a="1"/>
  <c r="Q390" i="2" a="1"/>
  <c r="T355" i="2" a="1"/>
  <c r="U438" i="2" a="1"/>
  <c r="U367" i="2" a="1"/>
  <c r="W378" i="2" a="1"/>
  <c r="T366" i="2" a="1"/>
  <c r="W342" i="2" a="1"/>
  <c r="N483" i="2" a="1"/>
  <c r="R476" i="2" a="1"/>
  <c r="T421" i="2" a="1"/>
  <c r="H321" i="2" a="1"/>
  <c r="W202" i="2" a="1"/>
  <c r="M428" i="2" a="1"/>
  <c r="Q463" i="2" a="1"/>
  <c r="H456" i="2" a="1"/>
  <c r="W368" i="2" a="1"/>
  <c r="U342" i="2" a="1"/>
  <c r="P455" i="2" a="1"/>
  <c r="P456" i="2" a="1"/>
  <c r="H445" i="2" a="1"/>
  <c r="R383" i="2" a="1"/>
  <c r="H326" i="2" a="1"/>
  <c r="R393" i="2" a="1"/>
  <c r="N498" i="2" a="1"/>
  <c r="N328" i="2" a="1"/>
  <c r="P321" i="2" a="1"/>
  <c r="M462" i="2" a="1"/>
  <c r="P390" i="2" a="1"/>
  <c r="W393" i="2" a="1"/>
  <c r="H371" i="2" a="1"/>
  <c r="U407" i="2" a="1"/>
  <c r="M402" i="2" a="1"/>
  <c r="T427" i="2" a="1"/>
  <c r="S337" i="2" a="1"/>
  <c r="U398" i="2" a="1"/>
  <c r="S461" i="2" a="1"/>
  <c r="T478" i="2" a="1"/>
  <c r="O351" i="2" a="1"/>
  <c r="W349" i="2" a="1"/>
  <c r="P395" i="2" a="1"/>
  <c r="T345" i="2" a="1"/>
  <c r="R474" i="2" a="1"/>
  <c r="N414" i="2" a="1"/>
  <c r="S397" i="2" a="1"/>
  <c r="U420" i="2" a="1"/>
  <c r="S371" i="2" a="1"/>
  <c r="N463" i="2" a="1"/>
  <c r="R371" i="2" a="1"/>
  <c r="Q429" i="2" a="1"/>
  <c r="P337" i="2" a="1"/>
  <c r="H350" i="2" a="1"/>
  <c r="R492" i="2" a="1"/>
  <c r="U386" i="2" a="1"/>
  <c r="T440" i="2" a="1"/>
  <c r="N487" i="2" a="1"/>
  <c r="W455" i="2" a="1"/>
  <c r="P471" i="2" a="1"/>
  <c r="R363" i="2" a="1"/>
  <c r="T324" i="2" a="1"/>
  <c r="T381" i="2" a="1"/>
  <c r="U403" i="2" a="1"/>
  <c r="W367" i="2" a="1"/>
  <c r="W348" i="2" a="1"/>
  <c r="P367" i="2" a="1"/>
  <c r="S498" i="2" a="1"/>
  <c r="P472" i="2" a="1"/>
  <c r="T431" i="2" a="1"/>
  <c r="U356" i="2" a="1"/>
  <c r="P479" i="2" a="1"/>
  <c r="H465" i="2" a="1"/>
  <c r="T437" i="2" a="1"/>
  <c r="W492" i="2" a="1"/>
  <c r="M401" i="2" a="1"/>
  <c r="H483" i="2" a="1"/>
  <c r="S373" i="2" a="1"/>
  <c r="S477" i="2" a="1"/>
  <c r="U448" i="2" a="1"/>
  <c r="N417" i="2" a="1"/>
  <c r="O393" i="2" a="1"/>
  <c r="N347" i="2" a="1"/>
  <c r="M318" i="2" a="1"/>
  <c r="O370" i="2" a="1"/>
  <c r="M326" i="2" a="1"/>
  <c r="R467" i="2" a="1"/>
  <c r="U484" i="2" a="1"/>
  <c r="M455" i="2" a="1"/>
  <c r="R477" i="2" a="1"/>
  <c r="R401" i="2" a="1"/>
  <c r="T423" i="2" a="1"/>
  <c r="H380" i="2" a="1"/>
  <c r="U387" i="2" a="1"/>
  <c r="T495" i="2" a="1"/>
  <c r="T344" i="2" a="1"/>
  <c r="N336" i="2" a="1"/>
  <c r="W336" i="2" a="1"/>
  <c r="R429" i="2" a="1"/>
  <c r="H202" i="2" a="1"/>
  <c r="O355" i="2" a="1"/>
  <c r="T462" i="2" a="1"/>
  <c r="N343" i="2" a="1"/>
  <c r="H333" i="2" a="1"/>
  <c r="R332" i="2" a="1"/>
  <c r="Q447" i="2" a="1"/>
  <c r="U439" i="2" a="1"/>
  <c r="W317" i="2" a="1"/>
  <c r="R327" i="2" a="1"/>
  <c r="T363" i="2" a="1"/>
  <c r="M441" i="2" a="1"/>
  <c r="U415" i="2" a="1"/>
  <c r="M445" i="2" a="1"/>
  <c r="R466" i="2" a="1"/>
  <c r="N331" i="2" a="1"/>
  <c r="S493" i="2" a="1"/>
  <c r="W363" i="2" a="1"/>
  <c r="U325" i="2" a="1"/>
  <c r="R398" i="2" a="1"/>
  <c r="S409" i="2" a="1"/>
  <c r="N366" i="2" a="1"/>
  <c r="H409" i="2" a="1"/>
  <c r="T347" i="2" a="1"/>
  <c r="T488" i="2" a="1"/>
  <c r="Q409" i="2" a="1"/>
  <c r="N322" i="2" a="1"/>
  <c r="N429" i="2" a="1"/>
  <c r="S411" i="2" a="1"/>
  <c r="P347" i="2" a="1"/>
  <c r="O437" i="2" a="1"/>
  <c r="N329" i="2" a="1"/>
  <c r="S482" i="2" a="1"/>
  <c r="U496" i="2" a="1"/>
  <c r="N330" i="2" a="1"/>
  <c r="N492" i="2" a="1"/>
  <c r="R425" i="2" a="1"/>
  <c r="U444" i="2" a="1"/>
  <c r="W356" i="2" a="1"/>
  <c r="W374" i="2" a="1"/>
  <c r="S340" i="2" a="1"/>
  <c r="S378" i="2" a="1"/>
  <c r="U458" i="2" a="1"/>
  <c r="S372" i="2" a="1"/>
  <c r="P450" i="2" a="1"/>
  <c r="Q473" i="2" a="1"/>
  <c r="U460" i="2" a="1"/>
  <c r="R373" i="2" a="1"/>
  <c r="W376" i="2" a="1"/>
  <c r="P439" i="2" a="1"/>
  <c r="Q480" i="2" a="1"/>
  <c r="H473" i="2" a="1"/>
  <c r="Q373" i="2" a="1"/>
  <c r="O476" i="2" a="1"/>
  <c r="Q431" i="2" a="1"/>
  <c r="M434" i="2" a="1"/>
  <c r="S339" i="2" a="1"/>
  <c r="M331" i="2" a="1"/>
  <c r="H444" i="2" a="1"/>
  <c r="H365" i="2" a="1"/>
  <c r="O492" i="2" a="1"/>
  <c r="T404" i="2" a="1"/>
  <c r="N411" i="2" a="1"/>
  <c r="M481" i="2" a="1"/>
  <c r="W345" i="2" a="1"/>
  <c r="Q492" i="2" a="1"/>
  <c r="R355" i="2" a="1"/>
  <c r="R331" i="2" a="1"/>
  <c r="Q346" i="2" a="1"/>
  <c r="T329" i="2" a="1"/>
  <c r="W484" i="2" a="1"/>
  <c r="W468" i="2" a="1"/>
  <c r="W456" i="2" a="1"/>
  <c r="W325" i="2" a="1"/>
  <c r="U390" i="2" a="1"/>
  <c r="M432" i="2" a="1"/>
  <c r="N350" i="2" a="1"/>
  <c r="O376" i="2" a="1"/>
  <c r="P440" i="2" a="1"/>
  <c r="O397" i="2" a="1"/>
  <c r="O346" i="2" a="1"/>
  <c r="T405" i="2" a="1"/>
  <c r="W440" i="2" a="1"/>
  <c r="Q355" i="2" a="1"/>
  <c r="Q485" i="2" a="1"/>
  <c r="N349" i="2" a="1"/>
  <c r="P362" i="2" a="1"/>
  <c r="O339" i="2" a="1"/>
  <c r="Q436" i="2" a="1"/>
  <c r="U413" i="2" a="1"/>
  <c r="U365" i="2" a="1"/>
  <c r="Q475" i="2" a="1"/>
  <c r="Q336" i="2" a="1"/>
  <c r="S424" i="2" a="1"/>
  <c r="P371" i="2" a="1"/>
  <c r="P365" i="2" a="1"/>
  <c r="P434" i="2" a="1"/>
  <c r="O389" i="2" a="1"/>
  <c r="R453" i="2" a="1"/>
  <c r="W442" i="2" a="1"/>
  <c r="T481" i="2" a="1"/>
  <c r="O491" i="2" a="1"/>
  <c r="M324" i="2" a="1"/>
  <c r="W475" i="2" a="1"/>
  <c r="T444" i="2" a="1"/>
  <c r="Q331" i="2" a="1"/>
  <c r="U489" i="2" a="1"/>
  <c r="T450" i="2" a="1"/>
  <c r="W438" i="2" a="1"/>
  <c r="Q354" i="2" a="1"/>
  <c r="O452" i="2" a="1"/>
  <c r="S392" i="2" a="1"/>
  <c r="W424" i="2" a="1"/>
  <c r="N476" i="2" a="1"/>
  <c r="T430" i="2" a="1"/>
  <c r="R347" i="2" a="1"/>
  <c r="P391" i="2" a="1"/>
  <c r="Q444" i="2" a="1"/>
  <c r="N449" i="2" a="1"/>
  <c r="M500" i="2" a="1"/>
  <c r="H357" i="2" a="1"/>
  <c r="U495" i="2" a="1"/>
  <c r="P478" i="2" a="1"/>
  <c r="Q450" i="2" a="1"/>
  <c r="H498" i="2" a="1"/>
  <c r="W499" i="2" a="1"/>
  <c r="R484" i="2" a="1"/>
  <c r="M319" i="2" a="1"/>
  <c r="N356" i="2" a="1"/>
  <c r="U428" i="2" a="1"/>
  <c r="Q433" i="2" a="1"/>
  <c r="H373" i="2" a="1"/>
  <c r="U497" i="2" a="1"/>
  <c r="N327" i="2" a="1"/>
  <c r="T379" i="2" a="1"/>
  <c r="N325" i="2" a="1"/>
  <c r="R412" i="2" a="1"/>
  <c r="S426" i="2" a="1"/>
  <c r="H394" i="2" a="1"/>
  <c r="N394" i="2" a="1"/>
  <c r="N337" i="2" a="1"/>
  <c r="T337" i="2" a="1"/>
  <c r="N496" i="2" a="1"/>
  <c r="N423" i="2" a="1"/>
  <c r="M332" i="2" a="1"/>
  <c r="S460" i="2" a="1"/>
  <c r="Q451" i="2" a="1"/>
  <c r="R445" i="2" a="1"/>
  <c r="O405" i="2" a="1"/>
  <c r="M395" i="2" a="1"/>
  <c r="M409" i="2" a="1"/>
  <c r="U328" i="2" a="1"/>
  <c r="U318" i="2" a="1"/>
  <c r="M420" i="2" a="1"/>
  <c r="M327" i="2" a="1"/>
  <c r="M337" i="2" a="1"/>
  <c r="U333" i="2" a="1"/>
  <c r="N406" i="2" a="1"/>
  <c r="Q352" i="2" a="1"/>
  <c r="O379" i="2" a="1"/>
  <c r="N442" i="2" a="1"/>
  <c r="R319" i="2" a="1"/>
  <c r="Q481" i="2" a="1"/>
  <c r="T461" i="2" a="1"/>
  <c r="S470" i="2" a="1"/>
  <c r="W347" i="2" a="1"/>
  <c r="Q319" i="2" a="1"/>
  <c r="U471" i="2" a="1"/>
  <c r="T317" i="2" a="1"/>
  <c r="T451" i="2" a="1"/>
  <c r="T385" i="2" a="1"/>
  <c r="O323" i="2" a="1"/>
  <c r="Q493" i="2" a="1"/>
  <c r="W426" i="2" a="1"/>
  <c r="R433" i="2" a="1"/>
  <c r="W414" i="2" a="1"/>
  <c r="M396" i="2" a="1"/>
  <c r="W413" i="2" a="1"/>
  <c r="T439" i="2" a="1"/>
  <c r="R357" i="2" a="1"/>
  <c r="O485" i="2" a="1"/>
  <c r="P413" i="2" a="1"/>
  <c r="Q330" i="2" a="1"/>
  <c r="N461" i="2" a="1"/>
  <c r="H349" i="2" a="1"/>
  <c r="O361" i="2" a="1"/>
  <c r="S500" i="2" a="1"/>
  <c r="U476" i="2" a="1"/>
  <c r="U431" i="2" a="1"/>
  <c r="P383" i="2" a="1"/>
  <c r="O348" i="2" a="1"/>
  <c r="O410" i="2" a="1"/>
  <c r="M478" i="2" a="1"/>
  <c r="N409" i="2" a="1"/>
  <c r="S341" i="2" a="1"/>
  <c r="S439" i="2" a="1"/>
  <c r="Q384" i="2" a="1"/>
  <c r="U451" i="2" a="1"/>
  <c r="U378" i="2" a="1"/>
  <c r="N374" i="2" a="1"/>
  <c r="T452" i="2" a="1"/>
  <c r="N372" i="2" a="1"/>
  <c r="O392" i="2" a="1"/>
  <c r="O357" i="2" a="1"/>
  <c r="P379" i="2" a="1"/>
  <c r="U492" i="2" a="1"/>
  <c r="T412" i="2" a="1"/>
  <c r="M321" i="2" a="1"/>
  <c r="R387" i="2" a="1"/>
  <c r="W425" i="2" a="1"/>
  <c r="N430" i="2" a="1"/>
  <c r="S416" i="2" a="1"/>
  <c r="H411" i="2" a="1"/>
  <c r="W487" i="2" a="1"/>
  <c r="N467" i="2" a="1"/>
  <c r="T416" i="2" a="1"/>
  <c r="R324" i="2" a="1"/>
  <c r="S417" i="2" a="1"/>
  <c r="R359" i="2" a="1"/>
  <c r="H435" i="2" a="1"/>
  <c r="P357" i="2" a="1"/>
  <c r="T393" i="2" a="1"/>
  <c r="O468" i="2" a="1"/>
  <c r="H406" i="2" a="1"/>
  <c r="P483" i="2" a="1"/>
  <c r="U363" i="2" a="1"/>
  <c r="S335" i="2" a="1"/>
  <c r="N362" i="2" a="1"/>
  <c r="W417" i="2" a="1"/>
  <c r="U202" i="2" a="1"/>
  <c r="W383" i="2" a="1"/>
  <c r="M417" i="2" a="1"/>
  <c r="P351" i="2" a="1"/>
  <c r="P473" i="2" a="1"/>
  <c r="R397" i="2" a="1"/>
  <c r="U351" i="2" a="1"/>
  <c r="S389" i="2" a="1"/>
  <c r="S357" i="2" a="1"/>
  <c r="M351" i="2" a="1"/>
  <c r="S390" i="2" a="1"/>
  <c r="R349" i="2" a="1"/>
  <c r="W333" i="2" a="1"/>
  <c r="T403" i="2" a="1"/>
  <c r="W320" i="2" a="1"/>
  <c r="N466" i="2" a="1"/>
  <c r="U408" i="2" a="1"/>
  <c r="P340" i="2" a="1"/>
  <c r="N465" i="2" a="1"/>
  <c r="N399" i="2" a="1"/>
  <c r="R362" i="2" a="1"/>
  <c r="S401" i="2" a="1"/>
  <c r="M378" i="2" a="1"/>
  <c r="O350" i="2" a="1"/>
  <c r="T463" i="2" a="1"/>
  <c r="S413" i="2" a="1"/>
  <c r="Q494" i="2" a="1"/>
  <c r="P484" i="2" a="1"/>
  <c r="W380" i="2" a="1"/>
  <c r="Q368" i="2" a="1"/>
  <c r="O378" i="2" a="1"/>
  <c r="P408" i="2" a="1"/>
  <c r="O440" i="2" a="1"/>
  <c r="N484" i="2" a="1"/>
  <c r="P495" i="2" a="1"/>
  <c r="R463" i="2" a="1"/>
  <c r="Q391" i="2" a="1"/>
  <c r="P470" i="2" a="1"/>
  <c r="P392" i="2" a="1"/>
  <c r="O477" i="2" a="1"/>
  <c r="O480" i="2" a="1"/>
  <c r="T394" i="2" a="1"/>
  <c r="S491" i="2" a="1"/>
  <c r="Q497" i="2" a="1"/>
  <c r="N368" i="2" a="1"/>
  <c r="N477" i="2" a="1"/>
  <c r="P385" i="2" a="1"/>
  <c r="T492" i="2" a="1"/>
  <c r="R392" i="2" a="1"/>
  <c r="M495" i="2" a="1"/>
  <c r="W394" i="2" a="1"/>
  <c r="O415" i="2" a="1"/>
  <c r="U395" i="2" a="1"/>
  <c r="W319" i="2" a="1"/>
  <c r="W323" i="2" a="1"/>
  <c r="M482" i="2" a="1"/>
  <c r="S492" i="2" a="1"/>
  <c r="T486" i="2" a="1"/>
  <c r="M394" i="2" a="1"/>
  <c r="R454" i="2" a="1"/>
  <c r="O409" i="2" a="1"/>
  <c r="T466" i="2" a="1"/>
  <c r="O419" i="2" a="1"/>
  <c r="T362" i="2" a="1"/>
  <c r="M426" i="2" a="1"/>
  <c r="H337" i="2" a="1"/>
  <c r="Q377" i="2" a="1"/>
  <c r="S480" i="2" a="1"/>
  <c r="U376" i="2" a="1"/>
  <c r="P457" i="2" a="1"/>
  <c r="Q379" i="2" a="1"/>
  <c r="O368" i="2" a="1"/>
  <c r="Q432" i="2" a="1"/>
  <c r="S483" i="2" a="1"/>
  <c r="R368" i="2" a="1"/>
  <c r="H455" i="2" a="1"/>
  <c r="W490" i="2" a="1"/>
  <c r="S457" i="2" a="1"/>
  <c r="Q351" i="2" a="1"/>
  <c r="Q364" i="2" a="1"/>
  <c r="T343" i="2" a="1"/>
  <c r="R376" i="2" a="1"/>
  <c r="R394" i="2" a="1"/>
  <c r="H471" i="2" a="1"/>
  <c r="Q498" i="2" a="1"/>
  <c r="N348" i="2" a="1"/>
  <c r="O380" i="2" a="1"/>
  <c r="Q416" i="2" a="1"/>
  <c r="O372" i="2" a="1"/>
  <c r="N359" i="2" a="1"/>
  <c r="N469" i="2" a="1"/>
  <c r="W433" i="2" a="1"/>
  <c r="U464" i="2" a="1"/>
  <c r="N367" i="2" a="1"/>
  <c r="T443" i="2" a="1"/>
  <c r="Q327" i="2" a="1"/>
  <c r="P378" i="2" a="1"/>
  <c r="S499" i="2" a="1"/>
  <c r="M322" i="2" a="1"/>
  <c r="O395" i="2" a="1"/>
  <c r="H386" i="2" a="1"/>
  <c r="P418" i="2" a="1"/>
  <c r="R409" i="2" a="1"/>
  <c r="Q344" i="2" a="1"/>
  <c r="O335" i="2" a="1"/>
  <c r="U326" i="2" a="1"/>
  <c r="T349" i="2" a="1"/>
  <c r="Q408" i="2" a="1"/>
  <c r="P452" i="2" a="1"/>
  <c r="N334" i="2" a="1"/>
  <c r="W434" i="2" a="1"/>
  <c r="N405" i="2" a="1"/>
  <c r="P331" i="2" a="1"/>
  <c r="Q325" i="2" a="1"/>
  <c r="W357" i="2" a="1"/>
  <c r="M373" i="2" a="1"/>
  <c r="O463" i="2" a="1"/>
  <c r="T409" i="2" a="1"/>
  <c r="H442" i="2" a="1"/>
  <c r="S387" i="2" a="1"/>
  <c r="W500" i="2" a="1"/>
  <c r="S456" i="2" a="1"/>
  <c r="R496" i="2" a="1"/>
  <c r="R202" i="2" a="1"/>
  <c r="W495" i="2" a="1"/>
  <c r="M430" i="2" a="1"/>
  <c r="R485" i="2" a="1"/>
  <c r="M442" i="2" a="1"/>
  <c r="R482" i="2" a="1"/>
  <c r="U405" i="2" a="1"/>
  <c r="T465" i="2" a="1"/>
  <c r="AQ8" i="2" l="1"/>
  <c r="AQ9" i="2"/>
  <c r="AQ10" i="2" s="1"/>
  <c r="T465" i="2"/>
  <c r="U405" i="2"/>
  <c r="R482" i="2"/>
  <c r="M442" i="2"/>
  <c r="R485" i="2"/>
  <c r="M430" i="2"/>
  <c r="W495" i="2"/>
  <c r="AP495" i="2" s="1"/>
  <c r="R202" i="2"/>
  <c r="R496" i="2"/>
  <c r="S456" i="2"/>
  <c r="W500" i="2"/>
  <c r="AP500" i="2" s="1"/>
  <c r="S387" i="2"/>
  <c r="H442" i="2"/>
  <c r="T409" i="2"/>
  <c r="O463" i="2"/>
  <c r="AO463" i="2" s="1"/>
  <c r="M373" i="2"/>
  <c r="W357" i="2"/>
  <c r="AP357" i="2" s="1"/>
  <c r="Q325" i="2"/>
  <c r="P331" i="2"/>
  <c r="N405" i="2"/>
  <c r="AN405" i="2" s="1"/>
  <c r="W434" i="2"/>
  <c r="AP434" i="2" s="1"/>
  <c r="N334" i="2"/>
  <c r="AN334" i="2" s="1"/>
  <c r="P452" i="2"/>
  <c r="Q408" i="2"/>
  <c r="T349" i="2"/>
  <c r="U326" i="2"/>
  <c r="O335" i="2"/>
  <c r="AO335" i="2" s="1"/>
  <c r="Q344" i="2"/>
  <c r="R409" i="2"/>
  <c r="P418" i="2"/>
  <c r="H386" i="2"/>
  <c r="O395" i="2"/>
  <c r="AO395" i="2" s="1"/>
  <c r="M322" i="2"/>
  <c r="S499" i="2"/>
  <c r="P378" i="2"/>
  <c r="Q327" i="2"/>
  <c r="T443" i="2"/>
  <c r="N367" i="2"/>
  <c r="AN367" i="2" s="1"/>
  <c r="U464" i="2"/>
  <c r="W433" i="2"/>
  <c r="AP433" i="2" s="1"/>
  <c r="N469" i="2"/>
  <c r="AN469" i="2" s="1"/>
  <c r="N359" i="2"/>
  <c r="AN359" i="2" s="1"/>
  <c r="O372" i="2"/>
  <c r="AO372" i="2" s="1"/>
  <c r="Q416" i="2"/>
  <c r="O380" i="2"/>
  <c r="AO380" i="2" s="1"/>
  <c r="N348" i="2"/>
  <c r="AN348" i="2" s="1"/>
  <c r="Q498" i="2"/>
  <c r="H471" i="2"/>
  <c r="R394" i="2"/>
  <c r="R376" i="2"/>
  <c r="T343" i="2"/>
  <c r="Q364" i="2"/>
  <c r="Q351" i="2"/>
  <c r="S457" i="2"/>
  <c r="W490" i="2"/>
  <c r="AP490" i="2" s="1"/>
  <c r="H455" i="2"/>
  <c r="R368" i="2"/>
  <c r="S483" i="2"/>
  <c r="Q432" i="2"/>
  <c r="O368" i="2"/>
  <c r="AO368" i="2" s="1"/>
  <c r="Q379" i="2"/>
  <c r="P457" i="2"/>
  <c r="U376" i="2"/>
  <c r="S480" i="2"/>
  <c r="Q377" i="2"/>
  <c r="H337" i="2"/>
  <c r="M426" i="2"/>
  <c r="T362" i="2"/>
  <c r="O419" i="2"/>
  <c r="AO419" i="2" s="1"/>
  <c r="T466" i="2"/>
  <c r="O409" i="2"/>
  <c r="AO409" i="2" s="1"/>
  <c r="R454" i="2"/>
  <c r="M394" i="2"/>
  <c r="T486" i="2"/>
  <c r="S492" i="2"/>
  <c r="M482" i="2"/>
  <c r="W323" i="2"/>
  <c r="AP323" i="2" s="1"/>
  <c r="W319" i="2"/>
  <c r="AP319" i="2" s="1"/>
  <c r="U395" i="2"/>
  <c r="O415" i="2"/>
  <c r="AO415" i="2" s="1"/>
  <c r="W394" i="2"/>
  <c r="AP394" i="2" s="1"/>
  <c r="M495" i="2"/>
  <c r="R392" i="2"/>
  <c r="T492" i="2"/>
  <c r="P385" i="2"/>
  <c r="N477" i="2"/>
  <c r="AN477" i="2" s="1"/>
  <c r="N368" i="2"/>
  <c r="AN368" i="2" s="1"/>
  <c r="Q497" i="2"/>
  <c r="S491" i="2"/>
  <c r="T394" i="2"/>
  <c r="O480" i="2"/>
  <c r="AO480" i="2" s="1"/>
  <c r="O477" i="2"/>
  <c r="AO477" i="2" s="1"/>
  <c r="P392" i="2"/>
  <c r="P470" i="2"/>
  <c r="Q391" i="2"/>
  <c r="R463" i="2"/>
  <c r="P495" i="2"/>
  <c r="N484" i="2"/>
  <c r="AN484" i="2" s="1"/>
  <c r="O440" i="2"/>
  <c r="AO440" i="2" s="1"/>
  <c r="P408" i="2"/>
  <c r="O378" i="2"/>
  <c r="AO378" i="2" s="1"/>
  <c r="Q368" i="2"/>
  <c r="W380" i="2"/>
  <c r="AP380" i="2" s="1"/>
  <c r="P484" i="2"/>
  <c r="Q494" i="2"/>
  <c r="S413" i="2"/>
  <c r="T463" i="2"/>
  <c r="O350" i="2"/>
  <c r="AO350" i="2" s="1"/>
  <c r="M378" i="2"/>
  <c r="S401" i="2"/>
  <c r="R362" i="2"/>
  <c r="N399" i="2"/>
  <c r="AN399" i="2" s="1"/>
  <c r="N465" i="2"/>
  <c r="AN465" i="2" s="1"/>
  <c r="P340" i="2"/>
  <c r="U408" i="2"/>
  <c r="N466" i="2"/>
  <c r="AN466" i="2" s="1"/>
  <c r="W320" i="2"/>
  <c r="AP320" i="2" s="1"/>
  <c r="T403" i="2"/>
  <c r="W333" i="2"/>
  <c r="AP333" i="2" s="1"/>
  <c r="R349" i="2"/>
  <c r="S390" i="2"/>
  <c r="M351" i="2"/>
  <c r="S357" i="2"/>
  <c r="S389" i="2"/>
  <c r="U351" i="2"/>
  <c r="R397" i="2"/>
  <c r="P473" i="2"/>
  <c r="P351" i="2"/>
  <c r="M417" i="2"/>
  <c r="W383" i="2"/>
  <c r="AP383" i="2" s="1"/>
  <c r="U202" i="2"/>
  <c r="W417" i="2"/>
  <c r="AP417" i="2" s="1"/>
  <c r="N362" i="2"/>
  <c r="AN362" i="2" s="1"/>
  <c r="S335" i="2"/>
  <c r="U363" i="2"/>
  <c r="P483" i="2"/>
  <c r="H406" i="2"/>
  <c r="O468" i="2"/>
  <c r="AO468" i="2" s="1"/>
  <c r="T393" i="2"/>
  <c r="P357" i="2"/>
  <c r="H435" i="2"/>
  <c r="R359" i="2"/>
  <c r="S417" i="2"/>
  <c r="R324" i="2"/>
  <c r="T416" i="2"/>
  <c r="N467" i="2"/>
  <c r="AN467" i="2" s="1"/>
  <c r="W487" i="2"/>
  <c r="AP487" i="2" s="1"/>
  <c r="H411" i="2"/>
  <c r="S416" i="2"/>
  <c r="N430" i="2"/>
  <c r="AN430" i="2" s="1"/>
  <c r="W425" i="2"/>
  <c r="AP425" i="2" s="1"/>
  <c r="R387" i="2"/>
  <c r="M321" i="2"/>
  <c r="T412" i="2"/>
  <c r="U492" i="2"/>
  <c r="P379" i="2"/>
  <c r="O357" i="2"/>
  <c r="AO357" i="2" s="1"/>
  <c r="O392" i="2"/>
  <c r="AO392" i="2" s="1"/>
  <c r="N372" i="2"/>
  <c r="AN372" i="2" s="1"/>
  <c r="T452" i="2"/>
  <c r="N374" i="2"/>
  <c r="AN374" i="2" s="1"/>
  <c r="U378" i="2"/>
  <c r="U451" i="2"/>
  <c r="Q384" i="2"/>
  <c r="S439" i="2"/>
  <c r="S341" i="2"/>
  <c r="N409" i="2"/>
  <c r="AN409" i="2" s="1"/>
  <c r="M478" i="2"/>
  <c r="O410" i="2"/>
  <c r="AO410" i="2" s="1"/>
  <c r="O348" i="2"/>
  <c r="AO348" i="2" s="1"/>
  <c r="P383" i="2"/>
  <c r="U431" i="2"/>
  <c r="U476" i="2"/>
  <c r="S500" i="2"/>
  <c r="O361" i="2"/>
  <c r="AO361" i="2" s="1"/>
  <c r="H349" i="2"/>
  <c r="N461" i="2"/>
  <c r="AN461" i="2" s="1"/>
  <c r="Q330" i="2"/>
  <c r="P413" i="2"/>
  <c r="O485" i="2"/>
  <c r="AO485" i="2" s="1"/>
  <c r="R357" i="2"/>
  <c r="T439" i="2"/>
  <c r="W413" i="2"/>
  <c r="AP413" i="2" s="1"/>
  <c r="M396" i="2"/>
  <c r="W414" i="2"/>
  <c r="AP414" i="2" s="1"/>
  <c r="R433" i="2"/>
  <c r="W426" i="2"/>
  <c r="AP426" i="2" s="1"/>
  <c r="Q493" i="2"/>
  <c r="O323" i="2"/>
  <c r="AO323" i="2" s="1"/>
  <c r="T385" i="2"/>
  <c r="T451" i="2"/>
  <c r="T317" i="2"/>
  <c r="U471" i="2"/>
  <c r="Q319" i="2"/>
  <c r="W347" i="2"/>
  <c r="AP347" i="2" s="1"/>
  <c r="S470" i="2"/>
  <c r="T461" i="2"/>
  <c r="Q481" i="2"/>
  <c r="R319" i="2"/>
  <c r="N442" i="2"/>
  <c r="AN442" i="2" s="1"/>
  <c r="O379" i="2"/>
  <c r="AO379" i="2" s="1"/>
  <c r="Q352" i="2"/>
  <c r="N406" i="2"/>
  <c r="AN406" i="2" s="1"/>
  <c r="U333" i="2"/>
  <c r="M337" i="2"/>
  <c r="M327" i="2"/>
  <c r="M420" i="2"/>
  <c r="U318" i="2"/>
  <c r="U328" i="2"/>
  <c r="M409" i="2"/>
  <c r="M395" i="2"/>
  <c r="O405" i="2"/>
  <c r="AO405" i="2" s="1"/>
  <c r="R445" i="2"/>
  <c r="Q451" i="2"/>
  <c r="S460" i="2"/>
  <c r="M332" i="2"/>
  <c r="N423" i="2"/>
  <c r="AN423" i="2" s="1"/>
  <c r="N496" i="2"/>
  <c r="AN496" i="2" s="1"/>
  <c r="T337" i="2"/>
  <c r="N337" i="2"/>
  <c r="AN337" i="2" s="1"/>
  <c r="N394" i="2"/>
  <c r="AN394" i="2" s="1"/>
  <c r="H394" i="2"/>
  <c r="S426" i="2"/>
  <c r="R412" i="2"/>
  <c r="N325" i="2"/>
  <c r="AN325" i="2" s="1"/>
  <c r="T379" i="2"/>
  <c r="N327" i="2"/>
  <c r="AN327" i="2" s="1"/>
  <c r="U497" i="2"/>
  <c r="H373" i="2"/>
  <c r="Q433" i="2"/>
  <c r="U428" i="2"/>
  <c r="N356" i="2"/>
  <c r="AN356" i="2" s="1"/>
  <c r="M319" i="2"/>
  <c r="R484" i="2"/>
  <c r="W499" i="2"/>
  <c r="AP499" i="2" s="1"/>
  <c r="H498" i="2"/>
  <c r="Q450" i="2"/>
  <c r="P478" i="2"/>
  <c r="U495" i="2"/>
  <c r="H357" i="2"/>
  <c r="M500" i="2"/>
  <c r="N449" i="2"/>
  <c r="AN449" i="2" s="1"/>
  <c r="Q444" i="2"/>
  <c r="P391" i="2"/>
  <c r="R347" i="2"/>
  <c r="T430" i="2"/>
  <c r="N476" i="2"/>
  <c r="AN476" i="2" s="1"/>
  <c r="W424" i="2"/>
  <c r="AP424" i="2" s="1"/>
  <c r="S392" i="2"/>
  <c r="O452" i="2"/>
  <c r="AO452" i="2" s="1"/>
  <c r="Q354" i="2"/>
  <c r="W438" i="2"/>
  <c r="AP438" i="2" s="1"/>
  <c r="T450" i="2"/>
  <c r="U489" i="2"/>
  <c r="Q331" i="2"/>
  <c r="T444" i="2"/>
  <c r="W475" i="2"/>
  <c r="AP475" i="2" s="1"/>
  <c r="M324" i="2"/>
  <c r="O491" i="2"/>
  <c r="AO491" i="2" s="1"/>
  <c r="T481" i="2"/>
  <c r="W442" i="2"/>
  <c r="AP442" i="2" s="1"/>
  <c r="R453" i="2"/>
  <c r="O389" i="2"/>
  <c r="AO389" i="2" s="1"/>
  <c r="P434" i="2"/>
  <c r="P365" i="2"/>
  <c r="P371" i="2"/>
  <c r="S424" i="2"/>
  <c r="Q336" i="2"/>
  <c r="Q475" i="2"/>
  <c r="U365" i="2"/>
  <c r="U413" i="2"/>
  <c r="Q436" i="2"/>
  <c r="O339" i="2"/>
  <c r="AO339" i="2" s="1"/>
  <c r="P362" i="2"/>
  <c r="N349" i="2"/>
  <c r="AN349" i="2" s="1"/>
  <c r="Q485" i="2"/>
  <c r="Q355" i="2"/>
  <c r="W440" i="2"/>
  <c r="AP440" i="2" s="1"/>
  <c r="T405" i="2"/>
  <c r="O346" i="2"/>
  <c r="AO346" i="2" s="1"/>
  <c r="O397" i="2"/>
  <c r="AO397" i="2" s="1"/>
  <c r="P440" i="2"/>
  <c r="O376" i="2"/>
  <c r="AO376" i="2" s="1"/>
  <c r="N350" i="2"/>
  <c r="AN350" i="2" s="1"/>
  <c r="M432" i="2"/>
  <c r="U390" i="2"/>
  <c r="W325" i="2"/>
  <c r="AP325" i="2" s="1"/>
  <c r="W456" i="2"/>
  <c r="AP456" i="2" s="1"/>
  <c r="W468" i="2"/>
  <c r="AP468" i="2" s="1"/>
  <c r="W484" i="2"/>
  <c r="AP484" i="2" s="1"/>
  <c r="T329" i="2"/>
  <c r="Q346" i="2"/>
  <c r="R331" i="2"/>
  <c r="R355" i="2"/>
  <c r="Q492" i="2"/>
  <c r="W345" i="2"/>
  <c r="AP345" i="2" s="1"/>
  <c r="M481" i="2"/>
  <c r="N411" i="2"/>
  <c r="AN411" i="2" s="1"/>
  <c r="T404" i="2"/>
  <c r="O492" i="2"/>
  <c r="AO492" i="2" s="1"/>
  <c r="H365" i="2"/>
  <c r="H444" i="2"/>
  <c r="M331" i="2"/>
  <c r="S339" i="2"/>
  <c r="M434" i="2"/>
  <c r="Q431" i="2"/>
  <c r="O476" i="2"/>
  <c r="AO476" i="2" s="1"/>
  <c r="Q373" i="2"/>
  <c r="H473" i="2"/>
  <c r="Q480" i="2"/>
  <c r="P439" i="2"/>
  <c r="W376" i="2"/>
  <c r="AP376" i="2" s="1"/>
  <c r="R373" i="2"/>
  <c r="U460" i="2"/>
  <c r="Q473" i="2"/>
  <c r="P450" i="2"/>
  <c r="S372" i="2"/>
  <c r="U458" i="2"/>
  <c r="S378" i="2"/>
  <c r="S340" i="2"/>
  <c r="W374" i="2"/>
  <c r="AP374" i="2" s="1"/>
  <c r="W356" i="2"/>
  <c r="AP356" i="2" s="1"/>
  <c r="U444" i="2"/>
  <c r="R425" i="2"/>
  <c r="N492" i="2"/>
  <c r="AN492" i="2" s="1"/>
  <c r="N330" i="2"/>
  <c r="AN330" i="2" s="1"/>
  <c r="U496" i="2"/>
  <c r="S482" i="2"/>
  <c r="N329" i="2"/>
  <c r="AN329" i="2" s="1"/>
  <c r="O437" i="2"/>
  <c r="AO437" i="2" s="1"/>
  <c r="P347" i="2"/>
  <c r="S411" i="2"/>
  <c r="N429" i="2"/>
  <c r="AN429" i="2" s="1"/>
  <c r="N322" i="2"/>
  <c r="AN322" i="2" s="1"/>
  <c r="Q409" i="2"/>
  <c r="T488" i="2"/>
  <c r="T347" i="2"/>
  <c r="H409" i="2"/>
  <c r="N366" i="2"/>
  <c r="AN366" i="2" s="1"/>
  <c r="S409" i="2"/>
  <c r="R398" i="2"/>
  <c r="U325" i="2"/>
  <c r="W363" i="2"/>
  <c r="AP363" i="2" s="1"/>
  <c r="S493" i="2"/>
  <c r="N331" i="2"/>
  <c r="AN331" i="2" s="1"/>
  <c r="R466" i="2"/>
  <c r="M445" i="2"/>
  <c r="U415" i="2"/>
  <c r="M441" i="2"/>
  <c r="T363" i="2"/>
  <c r="R327" i="2"/>
  <c r="W317" i="2"/>
  <c r="AP317" i="2" s="1"/>
  <c r="U439" i="2"/>
  <c r="Q447" i="2"/>
  <c r="R332" i="2"/>
  <c r="H333" i="2"/>
  <c r="N343" i="2"/>
  <c r="AN343" i="2" s="1"/>
  <c r="T462" i="2"/>
  <c r="O355" i="2"/>
  <c r="AO355" i="2" s="1"/>
  <c r="H202" i="2"/>
  <c r="R429" i="2"/>
  <c r="W336" i="2"/>
  <c r="AP336" i="2" s="1"/>
  <c r="N336" i="2"/>
  <c r="AN336" i="2" s="1"/>
  <c r="T344" i="2"/>
  <c r="T495" i="2"/>
  <c r="U387" i="2"/>
  <c r="H380" i="2"/>
  <c r="T423" i="2"/>
  <c r="R401" i="2"/>
  <c r="R477" i="2"/>
  <c r="M455" i="2"/>
  <c r="U484" i="2"/>
  <c r="R467" i="2"/>
  <c r="M326" i="2"/>
  <c r="O370" i="2"/>
  <c r="AO370" i="2" s="1"/>
  <c r="M318" i="2"/>
  <c r="N347" i="2"/>
  <c r="AN347" i="2" s="1"/>
  <c r="O393" i="2"/>
  <c r="AO393" i="2" s="1"/>
  <c r="N417" i="2"/>
  <c r="AN417" i="2" s="1"/>
  <c r="U448" i="2"/>
  <c r="S477" i="2"/>
  <c r="S373" i="2"/>
  <c r="H483" i="2"/>
  <c r="M401" i="2"/>
  <c r="W492" i="2"/>
  <c r="AP492" i="2" s="1"/>
  <c r="T437" i="2"/>
  <c r="H465" i="2"/>
  <c r="P479" i="2"/>
  <c r="U356" i="2"/>
  <c r="T431" i="2"/>
  <c r="P472" i="2"/>
  <c r="S498" i="2"/>
  <c r="P367" i="2"/>
  <c r="W348" i="2"/>
  <c r="AP348" i="2" s="1"/>
  <c r="W367" i="2"/>
  <c r="AP367" i="2" s="1"/>
  <c r="U403" i="2"/>
  <c r="T381" i="2"/>
  <c r="T324" i="2"/>
  <c r="R363" i="2"/>
  <c r="P471" i="2"/>
  <c r="W455" i="2"/>
  <c r="AP455" i="2" s="1"/>
  <c r="N487" i="2"/>
  <c r="AN487" i="2" s="1"/>
  <c r="T440" i="2"/>
  <c r="U386" i="2"/>
  <c r="R492" i="2"/>
  <c r="H350" i="2"/>
  <c r="P337" i="2"/>
  <c r="Q429" i="2"/>
  <c r="R371" i="2"/>
  <c r="N463" i="2"/>
  <c r="AN463" i="2" s="1"/>
  <c r="S371" i="2"/>
  <c r="U420" i="2"/>
  <c r="S397" i="2"/>
  <c r="N414" i="2"/>
  <c r="AN414" i="2" s="1"/>
  <c r="R474" i="2"/>
  <c r="T345" i="2"/>
  <c r="P395" i="2"/>
  <c r="W349" i="2"/>
  <c r="AP349" i="2" s="1"/>
  <c r="O351" i="2"/>
  <c r="AO351" i="2" s="1"/>
  <c r="T478" i="2"/>
  <c r="S461" i="2"/>
  <c r="U398" i="2"/>
  <c r="S337" i="2"/>
  <c r="T427" i="2"/>
  <c r="M402" i="2"/>
  <c r="U407" i="2"/>
  <c r="H371" i="2"/>
  <c r="W393" i="2"/>
  <c r="AP393" i="2" s="1"/>
  <c r="P390" i="2"/>
  <c r="M462" i="2"/>
  <c r="P321" i="2"/>
  <c r="N328" i="2"/>
  <c r="AN328" i="2" s="1"/>
  <c r="N498" i="2"/>
  <c r="AN498" i="2" s="1"/>
  <c r="R393" i="2"/>
  <c r="H326" i="2"/>
  <c r="R383" i="2"/>
  <c r="H445" i="2"/>
  <c r="P456" i="2"/>
  <c r="P455" i="2"/>
  <c r="U342" i="2"/>
  <c r="W368" i="2"/>
  <c r="AP368" i="2" s="1"/>
  <c r="H456" i="2"/>
  <c r="Q463" i="2"/>
  <c r="M428" i="2"/>
  <c r="W202" i="2"/>
  <c r="AP202" i="2" s="1"/>
  <c r="H321" i="2"/>
  <c r="T421" i="2"/>
  <c r="R476" i="2"/>
  <c r="N483" i="2"/>
  <c r="AN483" i="2" s="1"/>
  <c r="W342" i="2"/>
  <c r="AP342" i="2" s="1"/>
  <c r="T366" i="2"/>
  <c r="W378" i="2"/>
  <c r="AP378" i="2" s="1"/>
  <c r="U367" i="2"/>
  <c r="U438" i="2"/>
  <c r="T355" i="2"/>
  <c r="Q390" i="2"/>
  <c r="T493" i="2"/>
  <c r="T350" i="2"/>
  <c r="W436" i="2"/>
  <c r="AP436" i="2" s="1"/>
  <c r="T388" i="2"/>
  <c r="H491" i="2"/>
  <c r="T442" i="2"/>
  <c r="N403" i="2"/>
  <c r="AN403" i="2" s="1"/>
  <c r="R459" i="2"/>
  <c r="P332" i="2"/>
  <c r="O449" i="2"/>
  <c r="AO449" i="2" s="1"/>
  <c r="O458" i="2"/>
  <c r="AO458" i="2" s="1"/>
  <c r="R497" i="2"/>
  <c r="W360" i="2"/>
  <c r="AP360" i="2" s="1"/>
  <c r="M436" i="2"/>
  <c r="P323" i="2"/>
  <c r="W409" i="2"/>
  <c r="AP409" i="2" s="1"/>
  <c r="N202" i="2"/>
  <c r="AN202" i="2" s="1"/>
  <c r="N443" i="2"/>
  <c r="AN443" i="2" s="1"/>
  <c r="P421" i="2"/>
  <c r="N318" i="2"/>
  <c r="AN318" i="2" s="1"/>
  <c r="P363" i="2"/>
  <c r="S471" i="2"/>
  <c r="S434" i="2"/>
  <c r="N381" i="2"/>
  <c r="AN381" i="2" s="1"/>
  <c r="U456" i="2"/>
  <c r="U432" i="2"/>
  <c r="O365" i="2"/>
  <c r="AO365" i="2" s="1"/>
  <c r="P386" i="2"/>
  <c r="N447" i="2"/>
  <c r="AN447" i="2" s="1"/>
  <c r="S420" i="2"/>
  <c r="R350" i="2"/>
  <c r="W398" i="2"/>
  <c r="AP398" i="2" s="1"/>
  <c r="R436" i="2"/>
  <c r="N431" i="2"/>
  <c r="AN431" i="2" s="1"/>
  <c r="R323" i="2"/>
  <c r="W485" i="2"/>
  <c r="AP485" i="2" s="1"/>
  <c r="T469" i="2"/>
  <c r="Q443" i="2"/>
  <c r="P489" i="2"/>
  <c r="N446" i="2"/>
  <c r="AN446" i="2" s="1"/>
  <c r="T445" i="2"/>
  <c r="Q418" i="2"/>
  <c r="R354" i="2"/>
  <c r="T411" i="2"/>
  <c r="T371" i="2"/>
  <c r="M374" i="2"/>
  <c r="R499" i="2"/>
  <c r="T401" i="2"/>
  <c r="S365" i="2"/>
  <c r="N319" i="2"/>
  <c r="AN319" i="2" s="1"/>
  <c r="Q320" i="2"/>
  <c r="N382" i="2"/>
  <c r="AN382" i="2" s="1"/>
  <c r="W365" i="2"/>
  <c r="AP365" i="2" s="1"/>
  <c r="M446" i="2"/>
  <c r="P343" i="2"/>
  <c r="N486" i="2"/>
  <c r="AN486" i="2" s="1"/>
  <c r="H450" i="2"/>
  <c r="S321" i="2"/>
  <c r="N357" i="2"/>
  <c r="AN357" i="2" s="1"/>
  <c r="M372" i="2"/>
  <c r="Q350" i="2"/>
  <c r="M365" i="2"/>
  <c r="Q471" i="2"/>
  <c r="U321" i="2"/>
  <c r="N456" i="2"/>
  <c r="AN456" i="2" s="1"/>
  <c r="O331" i="2"/>
  <c r="AO331" i="2" s="1"/>
  <c r="M333" i="2"/>
  <c r="H379" i="2"/>
  <c r="P356" i="2"/>
  <c r="M202" i="2"/>
  <c r="Q484" i="2"/>
  <c r="S358" i="2"/>
  <c r="M338" i="2"/>
  <c r="W407" i="2"/>
  <c r="AP407" i="2" s="1"/>
  <c r="W432" i="2"/>
  <c r="AP432" i="2" s="1"/>
  <c r="Q487" i="2"/>
  <c r="S464" i="2"/>
  <c r="P480" i="2"/>
  <c r="P318" i="2"/>
  <c r="H378" i="2"/>
  <c r="M485" i="2"/>
  <c r="T408" i="2"/>
  <c r="H392" i="2"/>
  <c r="N335" i="2"/>
  <c r="AN335" i="2" s="1"/>
  <c r="N433" i="2"/>
  <c r="AN433" i="2" s="1"/>
  <c r="S327" i="2"/>
  <c r="Q321" i="2"/>
  <c r="U404" i="2"/>
  <c r="N493" i="2"/>
  <c r="AN493" i="2" s="1"/>
  <c r="O337" i="2"/>
  <c r="AO337" i="2" s="1"/>
  <c r="O330" i="2"/>
  <c r="AO330" i="2" s="1"/>
  <c r="O433" i="2"/>
  <c r="AO433" i="2" s="1"/>
  <c r="N418" i="2"/>
  <c r="AN418" i="2" s="1"/>
  <c r="T491" i="2"/>
  <c r="P377" i="2"/>
  <c r="N410" i="2"/>
  <c r="AN410" i="2" s="1"/>
  <c r="M390" i="2"/>
  <c r="S353" i="2"/>
  <c r="Q369" i="2"/>
  <c r="W379" i="2"/>
  <c r="AP379" i="2" s="1"/>
  <c r="N363" i="2"/>
  <c r="AN363" i="2" s="1"/>
  <c r="T348" i="2"/>
  <c r="U385" i="2"/>
  <c r="N388" i="2"/>
  <c r="AN388" i="2" s="1"/>
  <c r="S380" i="2"/>
  <c r="W390" i="2"/>
  <c r="AP390" i="2" s="1"/>
  <c r="M491" i="2"/>
  <c r="P372" i="2"/>
  <c r="Q468" i="2"/>
  <c r="W462" i="2"/>
  <c r="AP462" i="2" s="1"/>
  <c r="N439" i="2"/>
  <c r="AN439" i="2" s="1"/>
  <c r="H318" i="2"/>
  <c r="R375" i="2"/>
  <c r="U375" i="2"/>
  <c r="M382" i="2"/>
  <c r="P461" i="2"/>
  <c r="S404" i="2"/>
  <c r="M448" i="2"/>
  <c r="M342" i="2"/>
  <c r="R449" i="2"/>
  <c r="T490" i="2"/>
  <c r="P482" i="2"/>
  <c r="P458" i="2"/>
  <c r="R411" i="2"/>
  <c r="O336" i="2"/>
  <c r="AO336" i="2" s="1"/>
  <c r="S344" i="2"/>
  <c r="U446" i="2"/>
  <c r="N351" i="2"/>
  <c r="AN351" i="2" s="1"/>
  <c r="S419" i="2"/>
  <c r="P498" i="2"/>
  <c r="Q349" i="2"/>
  <c r="R470" i="2"/>
  <c r="W489" i="2"/>
  <c r="AP489" i="2" s="1"/>
  <c r="T370" i="2"/>
  <c r="P459" i="2"/>
  <c r="H439" i="2"/>
  <c r="S352" i="2"/>
  <c r="H344" i="2"/>
  <c r="R448" i="2"/>
  <c r="R418" i="2"/>
  <c r="T424" i="2"/>
  <c r="N324" i="2"/>
  <c r="AN324" i="2" s="1"/>
  <c r="Q491" i="2"/>
  <c r="Q341" i="2"/>
  <c r="R437" i="2"/>
  <c r="T374" i="2"/>
  <c r="Q342" i="2"/>
  <c r="N369" i="2"/>
  <c r="AN369" i="2" s="1"/>
  <c r="N377" i="2"/>
  <c r="AN377" i="2" s="1"/>
  <c r="Q367" i="2"/>
  <c r="N370" i="2"/>
  <c r="AN370" i="2" s="1"/>
  <c r="W404" i="2"/>
  <c r="AP404" i="2" s="1"/>
  <c r="M387" i="2"/>
  <c r="N462" i="2"/>
  <c r="AN462" i="2" s="1"/>
  <c r="O328" i="2"/>
  <c r="AO328" i="2" s="1"/>
  <c r="W384" i="2"/>
  <c r="AP384" i="2" s="1"/>
  <c r="H334" i="2"/>
  <c r="N494" i="2"/>
  <c r="AN494" i="2" s="1"/>
  <c r="S436" i="2"/>
  <c r="N438" i="2"/>
  <c r="AN438" i="2" s="1"/>
  <c r="Q446" i="2"/>
  <c r="Q393" i="2"/>
  <c r="S331" i="2"/>
  <c r="U443" i="2"/>
  <c r="N376" i="2"/>
  <c r="AN376" i="2" s="1"/>
  <c r="R439" i="2"/>
  <c r="O482" i="2"/>
  <c r="AO482" i="2" s="1"/>
  <c r="O496" i="2"/>
  <c r="AO496" i="2" s="1"/>
  <c r="P326" i="2"/>
  <c r="W460" i="2"/>
  <c r="AP460" i="2" s="1"/>
  <c r="W494" i="2"/>
  <c r="AP494" i="2" s="1"/>
  <c r="N321" i="2"/>
  <c r="AN321" i="2" s="1"/>
  <c r="M454" i="2"/>
  <c r="O364" i="2"/>
  <c r="AO364" i="2" s="1"/>
  <c r="H476" i="2"/>
  <c r="P429" i="2"/>
  <c r="W332" i="2"/>
  <c r="AP332" i="2" s="1"/>
  <c r="U419" i="2"/>
  <c r="M404" i="2"/>
  <c r="W423" i="2"/>
  <c r="AP423" i="2" s="1"/>
  <c r="P481" i="2"/>
  <c r="O498" i="2"/>
  <c r="AO498" i="2" s="1"/>
  <c r="P389" i="2"/>
  <c r="P415" i="2"/>
  <c r="N320" i="2"/>
  <c r="AN320" i="2" s="1"/>
  <c r="N471" i="2"/>
  <c r="AN471" i="2" s="1"/>
  <c r="Q445" i="2"/>
  <c r="N435" i="2"/>
  <c r="AN435" i="2" s="1"/>
  <c r="U348" i="2"/>
  <c r="R495" i="2"/>
  <c r="W372" i="2"/>
  <c r="AP372" i="2" s="1"/>
  <c r="T334" i="2"/>
  <c r="P499" i="2"/>
  <c r="P444" i="2"/>
  <c r="R318" i="2"/>
  <c r="T395" i="2"/>
  <c r="S451" i="2"/>
  <c r="S360" i="2"/>
  <c r="U379" i="2"/>
  <c r="S362" i="2"/>
  <c r="S386" i="2"/>
  <c r="U349" i="2"/>
  <c r="O481" i="2"/>
  <c r="AO481" i="2" s="1"/>
  <c r="T376" i="2"/>
  <c r="O374" i="2"/>
  <c r="AO374" i="2" s="1"/>
  <c r="Q339" i="2"/>
  <c r="W464" i="2"/>
  <c r="AP464" i="2" s="1"/>
  <c r="T342" i="2"/>
  <c r="M444" i="2"/>
  <c r="M346" i="2"/>
  <c r="O406" i="2"/>
  <c r="AO406" i="2" s="1"/>
  <c r="U331" i="2"/>
  <c r="N383" i="2"/>
  <c r="AN383" i="2" s="1"/>
  <c r="P492" i="2"/>
  <c r="T420" i="2"/>
  <c r="H348" i="2"/>
  <c r="R370" i="2"/>
  <c r="H397" i="2"/>
  <c r="T489" i="2"/>
  <c r="O322" i="2"/>
  <c r="AO322" i="2" s="1"/>
  <c r="R479" i="2"/>
  <c r="Q328" i="2"/>
  <c r="S348" i="2"/>
  <c r="O466" i="2"/>
  <c r="AO466" i="2" s="1"/>
  <c r="R399" i="2"/>
  <c r="W330" i="2"/>
  <c r="AP330" i="2" s="1"/>
  <c r="S496" i="2"/>
  <c r="S350" i="2"/>
  <c r="U477" i="2"/>
  <c r="W406" i="2"/>
  <c r="AP406" i="2" s="1"/>
  <c r="T357" i="2"/>
  <c r="U462" i="2"/>
  <c r="H332" i="2"/>
  <c r="N479" i="2"/>
  <c r="AN479" i="2" s="1"/>
  <c r="W328" i="2"/>
  <c r="AP328" i="2" s="1"/>
  <c r="N473" i="2"/>
  <c r="AN473" i="2" s="1"/>
  <c r="U374" i="2"/>
  <c r="P317" i="2"/>
  <c r="R385" i="2"/>
  <c r="T202" i="2"/>
  <c r="Q361" i="2"/>
  <c r="S333" i="2"/>
  <c r="W408" i="2"/>
  <c r="AP408" i="2" s="1"/>
  <c r="O344" i="2"/>
  <c r="AO344" i="2" s="1"/>
  <c r="Q362" i="2"/>
  <c r="Q358" i="2"/>
  <c r="Q392" i="2"/>
  <c r="O436" i="2"/>
  <c r="AO436" i="2" s="1"/>
  <c r="Q428" i="2"/>
  <c r="T459" i="2"/>
  <c r="T375" i="2"/>
  <c r="N491" i="2"/>
  <c r="AN491" i="2" s="1"/>
  <c r="W386" i="2"/>
  <c r="AP386" i="2" s="1"/>
  <c r="U447" i="2"/>
  <c r="W321" i="2"/>
  <c r="AP321" i="2" s="1"/>
  <c r="Q442" i="2"/>
  <c r="S440" i="2"/>
  <c r="O356" i="2"/>
  <c r="AO356" i="2" s="1"/>
  <c r="M328" i="2"/>
  <c r="N480" i="2"/>
  <c r="AN480" i="2" s="1"/>
  <c r="S445" i="2"/>
  <c r="T429" i="2"/>
  <c r="R408" i="2"/>
  <c r="T351" i="2"/>
  <c r="M364" i="2"/>
  <c r="R386" i="2"/>
  <c r="Q387" i="2"/>
  <c r="R440" i="2"/>
  <c r="O441" i="2"/>
  <c r="AO441" i="2" s="1"/>
  <c r="U364" i="2"/>
  <c r="M343" i="2"/>
  <c r="T386" i="2"/>
  <c r="R345" i="2"/>
  <c r="P330" i="2"/>
  <c r="P342" i="2"/>
  <c r="W435" i="2"/>
  <c r="AP435" i="2" s="1"/>
  <c r="O402" i="2"/>
  <c r="AO402" i="2" s="1"/>
  <c r="U384" i="2"/>
  <c r="T339" i="2"/>
  <c r="P426" i="2"/>
  <c r="S367" i="2"/>
  <c r="N393" i="2"/>
  <c r="AN393" i="2" s="1"/>
  <c r="Q417" i="2"/>
  <c r="M453" i="2"/>
  <c r="U488" i="2"/>
  <c r="R471" i="2"/>
  <c r="T422" i="2"/>
  <c r="O349" i="2"/>
  <c r="AO349" i="2" s="1"/>
  <c r="U340" i="2"/>
  <c r="M465" i="2"/>
  <c r="Q407" i="2"/>
  <c r="O318" i="2"/>
  <c r="AO318" i="2" s="1"/>
  <c r="T487" i="2"/>
  <c r="S481" i="2"/>
  <c r="Q490" i="2"/>
  <c r="S428" i="2"/>
  <c r="W467" i="2"/>
  <c r="AP467" i="2" s="1"/>
  <c r="T435" i="2"/>
  <c r="O366" i="2"/>
  <c r="AO366" i="2" s="1"/>
  <c r="T383" i="2"/>
  <c r="N355" i="2"/>
  <c r="AN355" i="2" s="1"/>
  <c r="S469" i="2"/>
  <c r="S489" i="2"/>
  <c r="M386" i="2"/>
  <c r="M496" i="2"/>
  <c r="S374" i="2"/>
  <c r="N338" i="2"/>
  <c r="AN338" i="2" s="1"/>
  <c r="Q478" i="2"/>
  <c r="U335" i="2"/>
  <c r="U323" i="2"/>
  <c r="O404" i="2"/>
  <c r="AO404" i="2" s="1"/>
  <c r="O487" i="2"/>
  <c r="AO487" i="2" s="1"/>
  <c r="Q413" i="2"/>
  <c r="W346" i="2"/>
  <c r="AP346" i="2" s="1"/>
  <c r="R339" i="2"/>
  <c r="W451" i="2"/>
  <c r="AP451" i="2" s="1"/>
  <c r="O403" i="2"/>
  <c r="AO403" i="2" s="1"/>
  <c r="H391" i="2"/>
  <c r="W335" i="2"/>
  <c r="AP335" i="2" s="1"/>
  <c r="R340" i="2"/>
  <c r="Q425" i="2"/>
  <c r="Q466" i="2"/>
  <c r="T328" i="2"/>
  <c r="O329" i="2"/>
  <c r="AO329" i="2" s="1"/>
  <c r="N459" i="2"/>
  <c r="AN459" i="2" s="1"/>
  <c r="T384" i="2"/>
  <c r="O421" i="2"/>
  <c r="AO421" i="2" s="1"/>
  <c r="N386" i="2"/>
  <c r="AN386" i="2" s="1"/>
  <c r="M356" i="2"/>
  <c r="H417" i="2"/>
  <c r="Q495" i="2"/>
  <c r="T484" i="2"/>
  <c r="S421" i="2"/>
  <c r="O387" i="2"/>
  <c r="AO387" i="2" s="1"/>
  <c r="U494" i="2"/>
  <c r="N500" i="2"/>
  <c r="AN500" i="2" s="1"/>
  <c r="S425" i="2"/>
  <c r="U372" i="2"/>
  <c r="P428" i="2"/>
  <c r="P465" i="2"/>
  <c r="O202" i="2"/>
  <c r="AO202" i="2" s="1"/>
  <c r="P424" i="2"/>
  <c r="M385" i="2"/>
  <c r="M366" i="2"/>
  <c r="W496" i="2"/>
  <c r="AP496" i="2" s="1"/>
  <c r="M339" i="2"/>
  <c r="W437" i="2"/>
  <c r="AP437" i="2" s="1"/>
  <c r="U327" i="2"/>
  <c r="R388" i="2"/>
  <c r="U470" i="2"/>
  <c r="M427" i="2"/>
  <c r="T319" i="2"/>
  <c r="S202" i="2"/>
  <c r="N387" i="2"/>
  <c r="AN387" i="2" s="1"/>
  <c r="O456" i="2"/>
  <c r="AO456" i="2" s="1"/>
  <c r="R405" i="2"/>
  <c r="N353" i="2"/>
  <c r="AN353" i="2" s="1"/>
  <c r="T406" i="2"/>
  <c r="U355" i="2"/>
  <c r="R486" i="2"/>
  <c r="U402" i="2"/>
  <c r="P348" i="2"/>
  <c r="S437" i="2"/>
  <c r="U341" i="2"/>
  <c r="R483" i="2"/>
  <c r="O434" i="2"/>
  <c r="AO434" i="2" s="1"/>
  <c r="T391" i="2"/>
  <c r="T397" i="2"/>
  <c r="P329" i="2"/>
  <c r="N390" i="2"/>
  <c r="AN390" i="2" s="1"/>
  <c r="T410" i="2"/>
  <c r="H353" i="2"/>
  <c r="S450" i="2"/>
  <c r="Q420" i="2"/>
  <c r="H443" i="2"/>
  <c r="O455" i="2"/>
  <c r="AO455" i="2" s="1"/>
  <c r="S354" i="2"/>
  <c r="U347" i="2"/>
  <c r="T456" i="2"/>
  <c r="R406" i="2"/>
  <c r="M335" i="2"/>
  <c r="N317" i="2"/>
  <c r="AN317" i="2" s="1"/>
  <c r="M368" i="2"/>
  <c r="W366" i="2"/>
  <c r="AP366" i="2" s="1"/>
  <c r="W448" i="2"/>
  <c r="AP448" i="2" s="1"/>
  <c r="U358" i="2"/>
  <c r="H499" i="2"/>
  <c r="O359" i="2"/>
  <c r="AO359" i="2" s="1"/>
  <c r="H345" i="2"/>
  <c r="R442" i="2"/>
  <c r="U339" i="2"/>
  <c r="O493" i="2"/>
  <c r="AO493" i="2" s="1"/>
  <c r="U360" i="2"/>
  <c r="Q322" i="2"/>
  <c r="T360" i="2"/>
  <c r="N450" i="2"/>
  <c r="AN450" i="2" s="1"/>
  <c r="O373" i="2"/>
  <c r="AO373" i="2" s="1"/>
  <c r="W463" i="2"/>
  <c r="AP463" i="2" s="1"/>
  <c r="R490" i="2"/>
  <c r="S412" i="2"/>
  <c r="W480" i="2"/>
  <c r="AP480" i="2" s="1"/>
  <c r="R443" i="2"/>
  <c r="T468" i="2"/>
  <c r="S438" i="2"/>
  <c r="P433" i="2"/>
  <c r="O394" i="2"/>
  <c r="AO394" i="2" s="1"/>
  <c r="W439" i="2"/>
  <c r="AP439" i="2" s="1"/>
  <c r="U353" i="2"/>
  <c r="U383" i="2"/>
  <c r="O484" i="2"/>
  <c r="AO484" i="2" s="1"/>
  <c r="S338" i="2"/>
  <c r="W350" i="2"/>
  <c r="AP350" i="2" s="1"/>
  <c r="N457" i="2"/>
  <c r="AN457" i="2" s="1"/>
  <c r="R438" i="2"/>
  <c r="W479" i="2"/>
  <c r="AP479" i="2" s="1"/>
  <c r="O483" i="2"/>
  <c r="AO483" i="2" s="1"/>
  <c r="Q378" i="2"/>
  <c r="S398" i="2"/>
  <c r="O445" i="2"/>
  <c r="AO445" i="2" s="1"/>
  <c r="U329" i="2"/>
  <c r="R444" i="2"/>
  <c r="N475" i="2"/>
  <c r="AN475" i="2" s="1"/>
  <c r="O343" i="2"/>
  <c r="AO343" i="2" s="1"/>
  <c r="H376" i="2"/>
  <c r="H361" i="2"/>
  <c r="M381" i="2"/>
  <c r="U366" i="2"/>
  <c r="R423" i="2"/>
  <c r="W429" i="2"/>
  <c r="AP429" i="2" s="1"/>
  <c r="R341" i="2"/>
  <c r="O500" i="2"/>
  <c r="AO500" i="2" s="1"/>
  <c r="O334" i="2"/>
  <c r="AO334" i="2" s="1"/>
  <c r="Q422" i="2"/>
  <c r="R344" i="2"/>
  <c r="Q424" i="2"/>
  <c r="R320" i="2"/>
  <c r="O342" i="2"/>
  <c r="AO342" i="2" s="1"/>
  <c r="R422" i="2"/>
  <c r="Q317" i="2"/>
  <c r="P416" i="2"/>
  <c r="W400" i="2"/>
  <c r="AP400" i="2" s="1"/>
  <c r="M344" i="2"/>
  <c r="M376" i="2"/>
  <c r="T482" i="2"/>
  <c r="R431" i="2"/>
  <c r="T321" i="2"/>
  <c r="P436" i="2"/>
  <c r="T477" i="2"/>
  <c r="M410" i="2"/>
  <c r="T494" i="2"/>
  <c r="H457" i="2"/>
  <c r="U411" i="2"/>
  <c r="N384" i="2"/>
  <c r="AN384" i="2" s="1"/>
  <c r="U371" i="2"/>
  <c r="T378" i="2"/>
  <c r="Q202" i="2"/>
  <c r="M467" i="2"/>
  <c r="O447" i="2"/>
  <c r="AO447" i="2" s="1"/>
  <c r="H413" i="2"/>
  <c r="H496" i="2"/>
  <c r="H384" i="2"/>
  <c r="T399" i="2"/>
  <c r="O407" i="2"/>
  <c r="AO407" i="2" s="1"/>
  <c r="P441" i="2"/>
  <c r="U397" i="2"/>
  <c r="H461" i="2"/>
  <c r="U442" i="2"/>
  <c r="Q456" i="2"/>
  <c r="S422" i="2"/>
  <c r="P417" i="2"/>
  <c r="W364" i="2"/>
  <c r="AP364" i="2" s="1"/>
  <c r="H490" i="2"/>
  <c r="Q398" i="2"/>
  <c r="O462" i="2"/>
  <c r="AO462" i="2" s="1"/>
  <c r="S391" i="2"/>
  <c r="N481" i="2"/>
  <c r="AN481" i="2" s="1"/>
  <c r="M449" i="2"/>
  <c r="P494" i="2"/>
  <c r="R441" i="2"/>
  <c r="M466" i="2"/>
  <c r="N392" i="2"/>
  <c r="AN392" i="2" s="1"/>
  <c r="P339" i="2"/>
  <c r="P397" i="2"/>
  <c r="N499" i="2"/>
  <c r="AN499" i="2" s="1"/>
  <c r="S462" i="2"/>
  <c r="Q376" i="2"/>
  <c r="Q459" i="2"/>
  <c r="O464" i="2"/>
  <c r="AO464" i="2" s="1"/>
  <c r="O422" i="2"/>
  <c r="AO422" i="2" s="1"/>
  <c r="R396" i="2"/>
  <c r="N339" i="2"/>
  <c r="AN339" i="2" s="1"/>
  <c r="O411" i="2"/>
  <c r="AO411" i="2" s="1"/>
  <c r="S325" i="2"/>
  <c r="T361" i="2"/>
  <c r="N385" i="2"/>
  <c r="AN385" i="2" s="1"/>
  <c r="W488" i="2"/>
  <c r="AP488" i="2" s="1"/>
  <c r="T358" i="2"/>
  <c r="H477" i="2"/>
  <c r="U352" i="2"/>
  <c r="W498" i="2"/>
  <c r="AP498" i="2" s="1"/>
  <c r="T496" i="2"/>
  <c r="S490" i="2"/>
  <c r="U412" i="2"/>
  <c r="P325" i="2"/>
  <c r="S396" i="2"/>
  <c r="O399" i="2"/>
  <c r="AO399" i="2" s="1"/>
  <c r="S446" i="2"/>
  <c r="W430" i="2"/>
  <c r="AP430" i="2" s="1"/>
  <c r="O398" i="2"/>
  <c r="AO398" i="2" s="1"/>
  <c r="T320" i="2"/>
  <c r="R461" i="2"/>
  <c r="O428" i="2"/>
  <c r="AO428" i="2" s="1"/>
  <c r="T396" i="2"/>
  <c r="Q385" i="2"/>
  <c r="W458" i="2"/>
  <c r="AP458" i="2" s="1"/>
  <c r="S402" i="2"/>
  <c r="W410" i="2"/>
  <c r="AP410" i="2" s="1"/>
  <c r="S318" i="2"/>
  <c r="O479" i="2"/>
  <c r="AO479" i="2" s="1"/>
  <c r="P422" i="2"/>
  <c r="U490" i="2"/>
  <c r="S468" i="2"/>
  <c r="S388" i="2"/>
  <c r="W391" i="2"/>
  <c r="AP391" i="2" s="1"/>
  <c r="N342" i="2"/>
  <c r="AN342" i="2" s="1"/>
  <c r="Q382" i="2"/>
  <c r="R430" i="2"/>
  <c r="Q470" i="2"/>
  <c r="U418" i="2"/>
  <c r="T425" i="2"/>
  <c r="M499" i="2"/>
  <c r="N379" i="2"/>
  <c r="AN379" i="2" s="1"/>
  <c r="N326" i="2"/>
  <c r="AN326" i="2" s="1"/>
  <c r="R379" i="2"/>
  <c r="P393" i="2"/>
  <c r="Q486" i="2"/>
  <c r="Q499" i="2"/>
  <c r="S484" i="2"/>
  <c r="M391" i="2"/>
  <c r="Q404" i="2"/>
  <c r="W452" i="2"/>
  <c r="AP452" i="2" s="1"/>
  <c r="M357" i="2"/>
  <c r="O408" i="2"/>
  <c r="AO408" i="2" s="1"/>
  <c r="H366" i="2"/>
  <c r="O472" i="2"/>
  <c r="AO472" i="2" s="1"/>
  <c r="U459" i="2"/>
  <c r="H475" i="2"/>
  <c r="H441" i="2"/>
  <c r="N371" i="2"/>
  <c r="AN371" i="2" s="1"/>
  <c r="H356" i="2"/>
  <c r="M363" i="2"/>
  <c r="O371" i="2"/>
  <c r="AO371" i="2" s="1"/>
  <c r="M412" i="2"/>
  <c r="Q440" i="2"/>
  <c r="Q423" i="2"/>
  <c r="T476" i="2"/>
  <c r="R488" i="2"/>
  <c r="P412" i="2"/>
  <c r="H440" i="2"/>
  <c r="Q434" i="2"/>
  <c r="O400" i="2"/>
  <c r="AO400" i="2" s="1"/>
  <c r="U467" i="2"/>
  <c r="O391" i="2"/>
  <c r="AO391" i="2" s="1"/>
  <c r="R384" i="2"/>
  <c r="T326" i="2"/>
  <c r="R389" i="2"/>
  <c r="P430" i="2"/>
  <c r="M352" i="2"/>
  <c r="N380" i="2"/>
  <c r="AN380" i="2" s="1"/>
  <c r="R493" i="2"/>
  <c r="O385" i="2"/>
  <c r="AO385" i="2" s="1"/>
  <c r="U373" i="2"/>
  <c r="W370" i="2"/>
  <c r="AP370" i="2" s="1"/>
  <c r="O429" i="2"/>
  <c r="AO429" i="2" s="1"/>
  <c r="M450" i="2"/>
  <c r="U343" i="2"/>
  <c r="R494" i="2"/>
  <c r="S395" i="2"/>
  <c r="W412" i="2"/>
  <c r="AP412" i="2" s="1"/>
  <c r="H381" i="2"/>
  <c r="W491" i="2"/>
  <c r="AP491" i="2" s="1"/>
  <c r="P202" i="2"/>
  <c r="W353" i="2"/>
  <c r="AP353" i="2" s="1"/>
  <c r="O478" i="2"/>
  <c r="AO478" i="2" s="1"/>
  <c r="H399" i="2"/>
  <c r="M407" i="2"/>
  <c r="U478" i="2"/>
  <c r="P467" i="2"/>
  <c r="S452" i="2"/>
  <c r="M475" i="2"/>
  <c r="R465" i="2"/>
  <c r="Q412" i="2"/>
  <c r="Q386" i="2"/>
  <c r="P368" i="2"/>
  <c r="W355" i="2"/>
  <c r="AP355" i="2" s="1"/>
  <c r="M320" i="2"/>
  <c r="H470" i="2"/>
  <c r="Q454" i="2"/>
  <c r="T441" i="2"/>
  <c r="Q324" i="2"/>
  <c r="P496" i="2"/>
  <c r="U417" i="2"/>
  <c r="O450" i="2"/>
  <c r="AO450" i="2" s="1"/>
  <c r="M460" i="2"/>
  <c r="U332" i="2"/>
  <c r="R372" i="2"/>
  <c r="S329" i="2"/>
  <c r="P432" i="2"/>
  <c r="N333" i="2"/>
  <c r="AN333" i="2" s="1"/>
  <c r="W483" i="2"/>
  <c r="AP483" i="2" s="1"/>
  <c r="R450" i="2"/>
  <c r="N323" i="2"/>
  <c r="AN323" i="2" s="1"/>
  <c r="N389" i="2"/>
  <c r="AN389" i="2" s="1"/>
  <c r="S478" i="2"/>
  <c r="W387" i="2"/>
  <c r="AP387" i="2" s="1"/>
  <c r="T359" i="2"/>
  <c r="W337" i="2"/>
  <c r="AP337" i="2" s="1"/>
  <c r="N452" i="2"/>
  <c r="AN452" i="2" s="1"/>
  <c r="R333" i="2"/>
  <c r="O488" i="2"/>
  <c r="AO488" i="2" s="1"/>
  <c r="Q411" i="2"/>
  <c r="W331" i="2"/>
  <c r="AP331" i="2" s="1"/>
  <c r="P453" i="2"/>
  <c r="U410" i="2"/>
  <c r="T332" i="2"/>
  <c r="P493" i="2"/>
  <c r="N470" i="2"/>
  <c r="AN470" i="2" s="1"/>
  <c r="O486" i="2"/>
  <c r="AO486" i="2" s="1"/>
  <c r="N454" i="2"/>
  <c r="AN454" i="2" s="1"/>
  <c r="T389" i="2"/>
  <c r="O470" i="2"/>
  <c r="AO470" i="2" s="1"/>
  <c r="M447" i="2"/>
  <c r="O457" i="2"/>
  <c r="AO457" i="2" s="1"/>
  <c r="R455" i="2"/>
  <c r="T453" i="2"/>
  <c r="M443" i="2"/>
  <c r="U430" i="2"/>
  <c r="Q489" i="2"/>
  <c r="S429" i="2"/>
  <c r="R391" i="2"/>
  <c r="O499" i="2"/>
  <c r="AO499" i="2" s="1"/>
  <c r="U414" i="2"/>
  <c r="O326" i="2"/>
  <c r="AO326" i="2" s="1"/>
  <c r="S453" i="2"/>
  <c r="M411" i="2"/>
  <c r="R478" i="2"/>
  <c r="P374" i="2"/>
  <c r="Q396" i="2"/>
  <c r="P382" i="2"/>
  <c r="S465" i="2"/>
  <c r="W326" i="2"/>
  <c r="AP326" i="2" s="1"/>
  <c r="S332" i="2"/>
  <c r="W329" i="2"/>
  <c r="AP329" i="2" s="1"/>
  <c r="P399" i="2"/>
  <c r="P334" i="2"/>
  <c r="U472" i="2"/>
  <c r="P409" i="2"/>
  <c r="M415" i="2"/>
  <c r="U406" i="2"/>
  <c r="P336" i="2"/>
  <c r="Q335" i="2"/>
  <c r="R434" i="2"/>
  <c r="W339" i="2"/>
  <c r="AP339" i="2" s="1"/>
  <c r="T483" i="2"/>
  <c r="M408" i="2"/>
  <c r="H328" i="2"/>
  <c r="U427" i="2"/>
  <c r="O341" i="2"/>
  <c r="AO341" i="2" s="1"/>
  <c r="S479" i="2"/>
  <c r="R353" i="2"/>
  <c r="W470" i="2"/>
  <c r="AP470" i="2" s="1"/>
  <c r="W396" i="2"/>
  <c r="AP396" i="2" s="1"/>
  <c r="M424" i="2"/>
  <c r="P404" i="2"/>
  <c r="U369" i="2"/>
  <c r="N453" i="2"/>
  <c r="AN453" i="2" s="1"/>
  <c r="U473" i="2"/>
  <c r="T464" i="2"/>
  <c r="O416" i="2"/>
  <c r="AO416" i="2" s="1"/>
  <c r="S405" i="2"/>
  <c r="S342" i="2"/>
  <c r="U453" i="2"/>
  <c r="N397" i="2"/>
  <c r="AN397" i="2" s="1"/>
  <c r="R330" i="2"/>
  <c r="W445" i="2"/>
  <c r="AP445" i="2" s="1"/>
  <c r="W382" i="2"/>
  <c r="AP382" i="2" s="1"/>
  <c r="N448" i="2"/>
  <c r="AN448" i="2" s="1"/>
  <c r="S442" i="2"/>
  <c r="M403" i="2"/>
  <c r="Q438" i="2"/>
  <c r="P490" i="2"/>
  <c r="M463" i="2"/>
  <c r="S356" i="2"/>
  <c r="O369" i="2"/>
  <c r="AO369" i="2" s="1"/>
  <c r="N474" i="2"/>
  <c r="AN474" i="2" s="1"/>
  <c r="R361" i="2"/>
  <c r="P375" i="2"/>
  <c r="O444" i="2"/>
  <c r="AO444" i="2" s="1"/>
  <c r="P410" i="2"/>
  <c r="M458" i="2"/>
  <c r="S418" i="2"/>
  <c r="Q347" i="2"/>
  <c r="U392" i="2"/>
  <c r="P376" i="2"/>
  <c r="M340" i="2"/>
  <c r="H331" i="2"/>
  <c r="N400" i="2"/>
  <c r="AN400" i="2" s="1"/>
  <c r="Q455" i="2"/>
  <c r="Q381" i="2"/>
  <c r="Q345" i="2"/>
  <c r="S432" i="2"/>
  <c r="H370" i="2"/>
  <c r="W444" i="2"/>
  <c r="AP444" i="2" s="1"/>
  <c r="S455" i="2"/>
  <c r="N358" i="2"/>
  <c r="AN358" i="2" s="1"/>
  <c r="M336" i="2"/>
  <c r="P322" i="2"/>
  <c r="N434" i="2"/>
  <c r="AN434" i="2" s="1"/>
  <c r="W388" i="2"/>
  <c r="AP388" i="2" s="1"/>
  <c r="Q332" i="2"/>
  <c r="R421" i="2"/>
  <c r="R335" i="2"/>
  <c r="W416" i="2"/>
  <c r="AP416" i="2" s="1"/>
  <c r="O494" i="2"/>
  <c r="AO494" i="2" s="1"/>
  <c r="Q399" i="2"/>
  <c r="Q394" i="2"/>
  <c r="O321" i="2"/>
  <c r="AO321" i="2" s="1"/>
  <c r="U317" i="2"/>
  <c r="R469" i="2"/>
  <c r="R410" i="2"/>
  <c r="W447" i="2"/>
  <c r="AP447" i="2" s="1"/>
  <c r="S336" i="2"/>
  <c r="R377" i="2"/>
  <c r="H454" i="2"/>
  <c r="U388" i="2"/>
  <c r="M419" i="2"/>
  <c r="W397" i="2"/>
  <c r="AP397" i="2" s="1"/>
  <c r="T392" i="2"/>
  <c r="M474" i="2"/>
  <c r="S444" i="2"/>
  <c r="M367" i="2"/>
  <c r="U466" i="2"/>
  <c r="T353" i="2"/>
  <c r="W371" i="2"/>
  <c r="AP371" i="2" s="1"/>
  <c r="Q477" i="2"/>
  <c r="U394" i="2"/>
  <c r="R491" i="2"/>
  <c r="U424" i="2"/>
  <c r="N345" i="2"/>
  <c r="AN345" i="2" s="1"/>
  <c r="N401" i="2"/>
  <c r="AN401" i="2" s="1"/>
  <c r="O324" i="2"/>
  <c r="AO324" i="2" s="1"/>
  <c r="R358" i="2"/>
  <c r="T322" i="2"/>
  <c r="N413" i="2"/>
  <c r="AN413" i="2" s="1"/>
  <c r="S334" i="2"/>
  <c r="P369" i="2"/>
  <c r="P387" i="2"/>
  <c r="W418" i="2"/>
  <c r="AP418" i="2" s="1"/>
  <c r="R489" i="2"/>
  <c r="O363" i="2"/>
  <c r="AO363" i="2" s="1"/>
  <c r="Q460" i="2"/>
  <c r="M392" i="2"/>
  <c r="U498" i="2"/>
  <c r="T382" i="2"/>
  <c r="O377" i="2"/>
  <c r="AO377" i="2" s="1"/>
  <c r="Q366" i="2"/>
  <c r="M350" i="2"/>
  <c r="T340" i="2"/>
  <c r="T402" i="2"/>
  <c r="T331" i="2"/>
  <c r="O390" i="2"/>
  <c r="AO390" i="2" s="1"/>
  <c r="H401" i="2"/>
  <c r="S495" i="2"/>
  <c r="S379" i="2"/>
  <c r="Q380" i="2"/>
  <c r="P353" i="2"/>
  <c r="W443" i="2"/>
  <c r="AP443" i="2" s="1"/>
  <c r="T354" i="2"/>
  <c r="O453" i="2"/>
  <c r="AO453" i="2" s="1"/>
  <c r="H479" i="2"/>
  <c r="Q365" i="2"/>
  <c r="P451" i="2"/>
  <c r="O388" i="2"/>
  <c r="AO388" i="2" s="1"/>
  <c r="Q370" i="2"/>
  <c r="T479" i="2"/>
  <c r="N437" i="2"/>
  <c r="AN437" i="2" s="1"/>
  <c r="Q400" i="2"/>
  <c r="U336" i="2"/>
  <c r="O418" i="2"/>
  <c r="AO418" i="2" s="1"/>
  <c r="P454" i="2"/>
  <c r="S366" i="2"/>
  <c r="T414" i="2"/>
  <c r="T485" i="2"/>
  <c r="P355" i="2"/>
  <c r="U422" i="2"/>
  <c r="U434" i="2"/>
  <c r="Q329" i="2"/>
  <c r="M361" i="2"/>
  <c r="M472" i="2"/>
  <c r="W318" i="2"/>
  <c r="AP318" i="2" s="1"/>
  <c r="U399" i="2"/>
  <c r="T365" i="2"/>
  <c r="O353" i="2"/>
  <c r="AO353" i="2" s="1"/>
  <c r="P477" i="2"/>
  <c r="U330" i="2"/>
  <c r="O469" i="2"/>
  <c r="AO469" i="2" s="1"/>
  <c r="W401" i="2"/>
  <c r="AP401" i="2" s="1"/>
  <c r="P445" i="2"/>
  <c r="P349" i="2"/>
  <c r="O320" i="2"/>
  <c r="AO320" i="2" s="1"/>
  <c r="O332" i="2"/>
  <c r="AO332" i="2" s="1"/>
  <c r="Q406" i="2"/>
  <c r="R427" i="2"/>
  <c r="O317" i="2"/>
  <c r="AO317" i="2" s="1"/>
  <c r="O345" i="2"/>
  <c r="AO345" i="2" s="1"/>
  <c r="S377" i="2"/>
  <c r="M439" i="2"/>
  <c r="M477" i="2"/>
  <c r="M473" i="2"/>
  <c r="Q359" i="2"/>
  <c r="H362" i="2"/>
  <c r="Q421" i="2"/>
  <c r="O381" i="2"/>
  <c r="AO381" i="2" s="1"/>
  <c r="M362" i="2"/>
  <c r="P388" i="2"/>
  <c r="W482" i="2"/>
  <c r="AP482" i="2" s="1"/>
  <c r="T415" i="2"/>
  <c r="T447" i="2"/>
  <c r="S486" i="2"/>
  <c r="U480" i="2"/>
  <c r="M431" i="2"/>
  <c r="S381" i="2"/>
  <c r="S384" i="2"/>
  <c r="O460" i="2"/>
  <c r="AO460" i="2" s="1"/>
  <c r="Q453" i="2"/>
  <c r="O367" i="2"/>
  <c r="AO367" i="2" s="1"/>
  <c r="O423" i="2"/>
  <c r="AO423" i="2" s="1"/>
  <c r="H323" i="2"/>
  <c r="R458" i="2"/>
  <c r="Q488" i="2"/>
  <c r="U362" i="2"/>
  <c r="O354" i="2"/>
  <c r="AO354" i="2" s="1"/>
  <c r="N490" i="2"/>
  <c r="AN490" i="2" s="1"/>
  <c r="U435" i="2"/>
  <c r="T499" i="2"/>
  <c r="S458" i="2"/>
  <c r="H414" i="2"/>
  <c r="S346" i="2"/>
  <c r="S345" i="2"/>
  <c r="S326" i="2"/>
  <c r="U391" i="2"/>
  <c r="S383" i="2"/>
  <c r="U437" i="2"/>
  <c r="P488" i="2"/>
  <c r="O439" i="2"/>
  <c r="AO439" i="2" s="1"/>
  <c r="T436" i="2"/>
  <c r="P447" i="2"/>
  <c r="U500" i="2"/>
  <c r="P437" i="2"/>
  <c r="T448" i="2"/>
  <c r="H339" i="2"/>
  <c r="N497" i="2"/>
  <c r="AN497" i="2" s="1"/>
  <c r="N426" i="2"/>
  <c r="AN426" i="2" s="1"/>
  <c r="T318" i="2"/>
  <c r="Q496" i="2"/>
  <c r="T475" i="2"/>
  <c r="U344" i="2"/>
  <c r="R404" i="2"/>
  <c r="R413" i="2"/>
  <c r="U409" i="2"/>
  <c r="O383" i="2"/>
  <c r="AO383" i="2" s="1"/>
  <c r="U334" i="2"/>
  <c r="T471" i="2"/>
  <c r="O424" i="2"/>
  <c r="AO424" i="2" s="1"/>
  <c r="Q426" i="2"/>
  <c r="U481" i="2"/>
  <c r="Q464" i="2"/>
  <c r="Q458" i="2"/>
  <c r="Q372" i="2"/>
  <c r="T336" i="2"/>
  <c r="S319" i="2"/>
  <c r="U487" i="2"/>
  <c r="Q427" i="2"/>
  <c r="P448" i="2"/>
  <c r="O442" i="2"/>
  <c r="AO442" i="2" s="1"/>
  <c r="U380" i="2"/>
  <c r="T498" i="2"/>
  <c r="S487" i="2"/>
  <c r="T460" i="2"/>
  <c r="U377" i="2"/>
  <c r="U483" i="2"/>
  <c r="W322" i="2"/>
  <c r="AP322" i="2" s="1"/>
  <c r="P405" i="2"/>
  <c r="U493" i="2"/>
  <c r="P463" i="2"/>
  <c r="S375" i="2"/>
  <c r="O375" i="2"/>
  <c r="AO375" i="2" s="1"/>
  <c r="O384" i="2"/>
  <c r="AO384" i="2" s="1"/>
  <c r="S408" i="2"/>
  <c r="S400" i="2"/>
  <c r="O413" i="2"/>
  <c r="AO413" i="2" s="1"/>
  <c r="W362" i="2"/>
  <c r="AP362" i="2" s="1"/>
  <c r="U463" i="2"/>
  <c r="P341" i="2"/>
  <c r="T368" i="2"/>
  <c r="P361" i="2"/>
  <c r="N404" i="2"/>
  <c r="AN404" i="2" s="1"/>
  <c r="R328" i="2"/>
  <c r="R414" i="2"/>
  <c r="H458" i="2"/>
  <c r="H410" i="2"/>
  <c r="P370" i="2"/>
  <c r="W415" i="2"/>
  <c r="AP415" i="2" s="1"/>
  <c r="Q326" i="2"/>
  <c r="W441" i="2"/>
  <c r="AP441" i="2" s="1"/>
  <c r="U479" i="2"/>
  <c r="P474" i="2"/>
  <c r="Q357" i="2"/>
  <c r="R481" i="2"/>
  <c r="S430" i="2"/>
  <c r="N344" i="2"/>
  <c r="AN344" i="2" s="1"/>
  <c r="T497" i="2"/>
  <c r="O414" i="2"/>
  <c r="AO414" i="2" s="1"/>
  <c r="O426" i="2"/>
  <c r="AO426" i="2" s="1"/>
  <c r="S494" i="2"/>
  <c r="M384" i="2"/>
  <c r="Q430" i="2"/>
  <c r="U345" i="2"/>
  <c r="O327" i="2"/>
  <c r="AO327" i="2" s="1"/>
  <c r="S410" i="2"/>
  <c r="W453" i="2"/>
  <c r="AP453" i="2" s="1"/>
  <c r="U359" i="2"/>
  <c r="P491" i="2"/>
  <c r="Q403" i="2"/>
  <c r="N485" i="2"/>
  <c r="AN485" i="2" s="1"/>
  <c r="N495" i="2"/>
  <c r="AN495" i="2" s="1"/>
  <c r="S369" i="2"/>
  <c r="T377" i="2"/>
  <c r="M399" i="2"/>
  <c r="O430" i="2"/>
  <c r="AO430" i="2" s="1"/>
  <c r="N427" i="2"/>
  <c r="AN427" i="2" s="1"/>
  <c r="N412" i="2"/>
  <c r="AN412" i="2" s="1"/>
  <c r="R348" i="2"/>
  <c r="P380" i="2"/>
  <c r="R498" i="2"/>
  <c r="P500" i="2"/>
  <c r="P485" i="2"/>
  <c r="O386" i="2"/>
  <c r="AO386" i="2" s="1"/>
  <c r="R487" i="2"/>
  <c r="R334" i="2"/>
  <c r="N373" i="2"/>
  <c r="AN373" i="2" s="1"/>
  <c r="M380" i="2"/>
  <c r="T380" i="2"/>
  <c r="O489" i="2"/>
  <c r="AO489" i="2" s="1"/>
  <c r="Q356" i="2"/>
  <c r="M377" i="2"/>
  <c r="N398" i="2"/>
  <c r="AN398" i="2" s="1"/>
  <c r="N407" i="2"/>
  <c r="AN407" i="2" s="1"/>
  <c r="M498" i="2"/>
  <c r="P442" i="2"/>
  <c r="O412" i="2"/>
  <c r="AO412" i="2" s="1"/>
  <c r="W359" i="2"/>
  <c r="AP359" i="2" s="1"/>
  <c r="O495" i="2"/>
  <c r="AO495" i="2" s="1"/>
  <c r="O347" i="2"/>
  <c r="AO347" i="2" s="1"/>
  <c r="T367" i="2"/>
  <c r="R342" i="2"/>
  <c r="R475" i="2"/>
  <c r="O432" i="2"/>
  <c r="AO432" i="2" s="1"/>
  <c r="U426" i="2"/>
  <c r="N395" i="2"/>
  <c r="AN395" i="2" s="1"/>
  <c r="W459" i="2"/>
  <c r="AP459" i="2" s="1"/>
  <c r="M359" i="2"/>
  <c r="T418" i="2"/>
  <c r="S485" i="2"/>
  <c r="R390" i="2"/>
  <c r="O435" i="2"/>
  <c r="AO435" i="2" s="1"/>
  <c r="H438" i="2"/>
  <c r="O448" i="2"/>
  <c r="AO448" i="2" s="1"/>
  <c r="W427" i="2"/>
  <c r="AP427" i="2" s="1"/>
  <c r="U396" i="2"/>
  <c r="W450" i="2"/>
  <c r="AP450" i="2" s="1"/>
  <c r="S343" i="2"/>
  <c r="P486" i="2"/>
  <c r="U436" i="2"/>
  <c r="O465" i="2"/>
  <c r="AO465" i="2" s="1"/>
  <c r="N425" i="2"/>
  <c r="AN425" i="2" s="1"/>
  <c r="U416" i="2"/>
  <c r="T455" i="2"/>
  <c r="H367" i="2"/>
  <c r="M471" i="2"/>
  <c r="O396" i="2"/>
  <c r="AO396" i="2" s="1"/>
  <c r="O358" i="2"/>
  <c r="AO358" i="2" s="1"/>
  <c r="U445" i="2"/>
  <c r="N482" i="2"/>
  <c r="AN482" i="2" s="1"/>
  <c r="T330" i="2"/>
  <c r="N441" i="2"/>
  <c r="AN441" i="2" s="1"/>
  <c r="Q334" i="2"/>
  <c r="T432" i="2"/>
  <c r="S376" i="2"/>
  <c r="M334" i="2"/>
  <c r="W334" i="2"/>
  <c r="AP334" i="2" s="1"/>
  <c r="M406" i="2"/>
  <c r="M438" i="2"/>
  <c r="T467" i="2"/>
  <c r="T433" i="2"/>
  <c r="M358" i="2"/>
  <c r="H467" i="2"/>
  <c r="U389" i="2"/>
  <c r="N455" i="2"/>
  <c r="AN455" i="2" s="1"/>
  <c r="R346" i="2"/>
  <c r="Q374" i="2"/>
  <c r="P497" i="2"/>
  <c r="P344" i="2"/>
  <c r="S361" i="2"/>
  <c r="R446" i="2"/>
  <c r="N346" i="2"/>
  <c r="AN346" i="2" s="1"/>
  <c r="M451" i="2"/>
  <c r="N444" i="2"/>
  <c r="AN444" i="2" s="1"/>
  <c r="U452" i="2"/>
  <c r="U319" i="2"/>
  <c r="S466" i="2"/>
  <c r="O420" i="2"/>
  <c r="AO420" i="2" s="1"/>
  <c r="R426" i="2"/>
  <c r="R343" i="2"/>
  <c r="T472" i="2"/>
  <c r="N340" i="2"/>
  <c r="AN340" i="2" s="1"/>
  <c r="O497" i="2"/>
  <c r="AO497" i="2" s="1"/>
  <c r="N375" i="2"/>
  <c r="AN375" i="2" s="1"/>
  <c r="P350" i="2"/>
  <c r="H383" i="2"/>
  <c r="N451" i="2"/>
  <c r="AN451" i="2" s="1"/>
  <c r="P414" i="2"/>
  <c r="W422" i="2"/>
  <c r="AP422" i="2" s="1"/>
  <c r="W338" i="2"/>
  <c r="AP338" i="2" s="1"/>
  <c r="U423" i="2"/>
  <c r="T352" i="2"/>
  <c r="W457" i="2"/>
  <c r="AP457" i="2" s="1"/>
  <c r="R366" i="2"/>
  <c r="N391" i="2"/>
  <c r="AN391" i="2" s="1"/>
  <c r="O362" i="2"/>
  <c r="AO362" i="2" s="1"/>
  <c r="N458" i="2"/>
  <c r="AN458" i="2" s="1"/>
  <c r="S330" i="2"/>
  <c r="W472" i="2"/>
  <c r="AP472" i="2" s="1"/>
  <c r="Q472" i="2"/>
  <c r="H448" i="2"/>
  <c r="Q375" i="2"/>
  <c r="O417" i="2"/>
  <c r="AO417" i="2" s="1"/>
  <c r="M457" i="2"/>
  <c r="Q395" i="2"/>
  <c r="S441" i="2"/>
  <c r="N361" i="2"/>
  <c r="AN361" i="2" s="1"/>
  <c r="H474" i="2"/>
  <c r="U499" i="2"/>
  <c r="O382" i="2"/>
  <c r="AO382" i="2" s="1"/>
  <c r="H418" i="2"/>
  <c r="Q360" i="2"/>
  <c r="N365" i="2"/>
  <c r="AN365" i="2" s="1"/>
  <c r="R367" i="2"/>
  <c r="M487" i="2"/>
  <c r="S449" i="2"/>
  <c r="W343" i="2"/>
  <c r="AP343" i="2" s="1"/>
  <c r="P411" i="2"/>
  <c r="M400" i="2"/>
  <c r="P373" i="2"/>
  <c r="N421" i="2"/>
  <c r="AN421" i="2" s="1"/>
  <c r="U368" i="2"/>
  <c r="N489" i="2"/>
  <c r="AN489" i="2" s="1"/>
  <c r="U440" i="2"/>
  <c r="T500" i="2"/>
  <c r="O340" i="2"/>
  <c r="AO340" i="2" s="1"/>
  <c r="M348" i="2"/>
  <c r="S322" i="2"/>
  <c r="N396" i="2"/>
  <c r="AN396" i="2" s="1"/>
  <c r="T417" i="2"/>
  <c r="U350" i="2"/>
  <c r="Q343" i="2"/>
  <c r="R435" i="2"/>
  <c r="M418" i="2"/>
  <c r="Q483" i="2"/>
  <c r="P333" i="2"/>
  <c r="T428" i="2"/>
  <c r="S399" i="2"/>
  <c r="H387" i="2"/>
  <c r="Q397" i="2"/>
  <c r="R381" i="2"/>
  <c r="W327" i="2"/>
  <c r="AP327" i="2" s="1"/>
  <c r="N488" i="2"/>
  <c r="AN488" i="2" s="1"/>
  <c r="Q500" i="2"/>
  <c r="O446" i="2"/>
  <c r="AO446" i="2" s="1"/>
  <c r="T356" i="2"/>
  <c r="N445" i="2"/>
  <c r="AN445" i="2" s="1"/>
  <c r="O461" i="2"/>
  <c r="AO461" i="2" s="1"/>
  <c r="H463" i="2"/>
  <c r="N354" i="2"/>
  <c r="AN354" i="2" s="1"/>
  <c r="R447" i="2"/>
  <c r="M435" i="2"/>
  <c r="W466" i="2"/>
  <c r="AP466" i="2" s="1"/>
  <c r="T438" i="2"/>
  <c r="U346" i="2"/>
  <c r="Q476" i="2"/>
  <c r="W486" i="2"/>
  <c r="AP486" i="2" s="1"/>
  <c r="O438" i="2"/>
  <c r="AO438" i="2" s="1"/>
  <c r="N378" i="2"/>
  <c r="AN378" i="2" s="1"/>
  <c r="R378" i="2"/>
  <c r="P443" i="2"/>
  <c r="Q353" i="2"/>
  <c r="U450" i="2"/>
  <c r="U455" i="2"/>
  <c r="P352" i="2"/>
  <c r="M461" i="2"/>
  <c r="S475" i="2"/>
  <c r="W402" i="2"/>
  <c r="AP402" i="2" s="1"/>
  <c r="U381" i="2"/>
  <c r="M470" i="2"/>
  <c r="O325" i="2"/>
  <c r="AO325" i="2" s="1"/>
  <c r="P425" i="2"/>
  <c r="M323" i="2"/>
  <c r="W405" i="2"/>
  <c r="AP405" i="2" s="1"/>
  <c r="U400" i="2"/>
  <c r="T480" i="2"/>
  <c r="Q441" i="2"/>
  <c r="R337" i="2"/>
  <c r="R395" i="2"/>
  <c r="Q415" i="2"/>
  <c r="W446" i="2"/>
  <c r="AP446" i="2" s="1"/>
  <c r="Q340" i="2"/>
  <c r="Q479" i="2"/>
  <c r="H482" i="2"/>
  <c r="N440" i="2"/>
  <c r="AN440" i="2" s="1"/>
  <c r="O490" i="2"/>
  <c r="AO490" i="2" s="1"/>
  <c r="N332" i="2"/>
  <c r="AN332" i="2" s="1"/>
  <c r="H359" i="2"/>
  <c r="O427" i="2"/>
  <c r="AO427" i="2" s="1"/>
  <c r="W421" i="2"/>
  <c r="AP421" i="2" s="1"/>
  <c r="Q482" i="2"/>
  <c r="Q439" i="2"/>
  <c r="T419" i="2"/>
  <c r="S349" i="2"/>
  <c r="T458" i="2"/>
  <c r="O425" i="2"/>
  <c r="AO425" i="2" s="1"/>
  <c r="M388" i="2"/>
  <c r="S382" i="2"/>
  <c r="M459" i="2"/>
  <c r="W428" i="2"/>
  <c r="AP428" i="2" s="1"/>
  <c r="O431" i="2"/>
  <c r="AO431" i="2" s="1"/>
  <c r="R351" i="2"/>
  <c r="M488" i="2"/>
  <c r="T373" i="2"/>
  <c r="T333" i="2"/>
  <c r="Q348" i="2"/>
  <c r="W381" i="2"/>
  <c r="AP381" i="2" s="1"/>
  <c r="W324" i="2"/>
  <c r="AP324" i="2" s="1"/>
  <c r="O467" i="2"/>
  <c r="AO467" i="2" s="1"/>
  <c r="P396" i="2"/>
  <c r="N416" i="2"/>
  <c r="AN416" i="2" s="1"/>
  <c r="S488" i="2"/>
  <c r="W431" i="2"/>
  <c r="AP431" i="2" s="1"/>
  <c r="H402" i="2"/>
  <c r="Q410" i="2"/>
  <c r="U338" i="2"/>
  <c r="P401" i="2"/>
  <c r="R326" i="2"/>
  <c r="Q414" i="2"/>
  <c r="U324" i="2"/>
  <c r="S433" i="2"/>
  <c r="M423" i="2"/>
  <c r="N341" i="2"/>
  <c r="AN341" i="2" s="1"/>
  <c r="U354" i="2"/>
  <c r="H488" i="2"/>
  <c r="W358" i="2"/>
  <c r="AP358" i="2" s="1"/>
  <c r="W389" i="2"/>
  <c r="AP389" i="2" s="1"/>
  <c r="H340" i="2"/>
  <c r="H355" i="2"/>
  <c r="H472" i="2"/>
  <c r="P446" i="2"/>
  <c r="P469" i="2"/>
  <c r="P345" i="2"/>
  <c r="P359" i="2"/>
  <c r="O352" i="2"/>
  <c r="AO352" i="2" s="1"/>
  <c r="S393" i="2"/>
  <c r="H462" i="2"/>
  <c r="H375" i="2"/>
  <c r="R338" i="2"/>
  <c r="H324" i="2"/>
  <c r="W411" i="2"/>
  <c r="AP411" i="2" s="1"/>
  <c r="N422" i="2"/>
  <c r="AN422" i="2" s="1"/>
  <c r="W454" i="2"/>
  <c r="AP454" i="2" s="1"/>
  <c r="R329" i="2"/>
  <c r="Q333" i="2"/>
  <c r="M490" i="2"/>
  <c r="P475" i="2"/>
  <c r="P381" i="2"/>
  <c r="S394" i="2"/>
  <c r="S385" i="2"/>
  <c r="M414" i="2"/>
  <c r="O333" i="2"/>
  <c r="AO333" i="2" s="1"/>
  <c r="U320" i="2"/>
  <c r="U485" i="2"/>
  <c r="R480" i="2"/>
  <c r="Q402" i="2"/>
  <c r="R322" i="2"/>
  <c r="U486" i="2"/>
  <c r="R336" i="2"/>
  <c r="R365" i="2"/>
  <c r="T325" i="2"/>
  <c r="Q388" i="2"/>
  <c r="W478" i="2"/>
  <c r="AP478" i="2" s="1"/>
  <c r="R380" i="2"/>
  <c r="S317" i="2"/>
  <c r="U482" i="2"/>
  <c r="Q462" i="2"/>
  <c r="S406" i="2"/>
  <c r="N472" i="2"/>
  <c r="AN472" i="2" s="1"/>
  <c r="P487" i="2"/>
  <c r="U491" i="2"/>
  <c r="W344" i="2"/>
  <c r="AP344" i="2" s="1"/>
  <c r="R462" i="2"/>
  <c r="U454" i="2"/>
  <c r="R500" i="2"/>
  <c r="S497" i="2"/>
  <c r="N415" i="2"/>
  <c r="AN415" i="2" s="1"/>
  <c r="O319" i="2"/>
  <c r="AO319" i="2" s="1"/>
  <c r="W392" i="2"/>
  <c r="AP392" i="2" s="1"/>
  <c r="H459" i="2"/>
  <c r="T387" i="2"/>
  <c r="U468" i="2"/>
  <c r="U475" i="2"/>
  <c r="N478" i="2"/>
  <c r="AN478" i="2" s="1"/>
  <c r="S448" i="2"/>
  <c r="P419" i="2"/>
  <c r="O454" i="2"/>
  <c r="AO454" i="2" s="1"/>
  <c r="W354" i="2"/>
  <c r="AP354" i="2" s="1"/>
  <c r="T341" i="2"/>
  <c r="U449" i="2"/>
  <c r="T369" i="2"/>
  <c r="M422" i="2"/>
  <c r="W375" i="2"/>
  <c r="AP375" i="2" s="1"/>
  <c r="U382" i="2"/>
  <c r="O475" i="2"/>
  <c r="AO475" i="2" s="1"/>
  <c r="H405" i="2"/>
  <c r="P420" i="2"/>
  <c r="S323" i="2"/>
  <c r="S359" i="2"/>
  <c r="Q383" i="2"/>
  <c r="B137" i="2"/>
  <c r="V137" i="2" s="1"/>
  <c r="B138" i="2"/>
  <c r="V138" i="2" s="1"/>
  <c r="AQ11" i="2" l="1"/>
  <c r="AQ12" i="2"/>
  <c r="C468" i="2" a="1"/>
  <c r="C468" i="2" s="1"/>
  <c r="AK468" i="2" s="1"/>
  <c r="C418" i="2" a="1"/>
  <c r="C418" i="2" s="1"/>
  <c r="AK418" i="2" s="1"/>
  <c r="C411" i="2" a="1"/>
  <c r="C411" i="2" s="1"/>
  <c r="AK411" i="2" s="1"/>
  <c r="C402" i="2" a="1"/>
  <c r="C402" i="2" s="1"/>
  <c r="AK402" i="2" s="1"/>
  <c r="C435" i="2" a="1"/>
  <c r="C435" i="2" s="1"/>
  <c r="AK435" i="2" s="1"/>
  <c r="C367" i="2" a="1"/>
  <c r="C367" i="2" s="1"/>
  <c r="AK367" i="2" s="1"/>
  <c r="C335" i="2" a="1"/>
  <c r="C335" i="2" s="1"/>
  <c r="AK335" i="2" s="1"/>
  <c r="C365" i="2" a="1"/>
  <c r="C365" i="2" s="1"/>
  <c r="AK365" i="2" s="1"/>
  <c r="C467" i="2" a="1"/>
  <c r="C467" i="2" s="1"/>
  <c r="AK467" i="2" s="1"/>
  <c r="C333" i="2" a="1"/>
  <c r="C333" i="2" s="1"/>
  <c r="AK333" i="2" s="1"/>
  <c r="C382" i="2" a="1"/>
  <c r="C382" i="2" s="1"/>
  <c r="AK382" i="2" s="1"/>
  <c r="C440" i="2" a="1"/>
  <c r="C440" i="2" s="1"/>
  <c r="AK440" i="2" s="1"/>
  <c r="C348" i="2" a="1"/>
  <c r="C348" i="2" s="1"/>
  <c r="AK348" i="2" s="1"/>
  <c r="C481" i="2" a="1"/>
  <c r="C481" i="2" s="1"/>
  <c r="AK481" i="2" s="1"/>
  <c r="C347" i="2" a="1"/>
  <c r="C347" i="2" s="1"/>
  <c r="AK347" i="2" s="1"/>
  <c r="C406" i="2" a="1"/>
  <c r="C406" i="2" s="1"/>
  <c r="AK406" i="2" s="1"/>
  <c r="C344" i="2" a="1"/>
  <c r="C344" i="2" s="1"/>
  <c r="AK344" i="2" s="1"/>
  <c r="C443" i="2" a="1"/>
  <c r="C443" i="2" s="1"/>
  <c r="AK443" i="2" s="1"/>
  <c r="C456" i="2" a="1"/>
  <c r="C456" i="2" s="1"/>
  <c r="AK456" i="2" s="1"/>
  <c r="C398" i="2" a="1"/>
  <c r="C398" i="2" s="1"/>
  <c r="AK398" i="2" s="1"/>
  <c r="C433" i="2" a="1"/>
  <c r="C433" i="2" s="1"/>
  <c r="AK433" i="2" s="1"/>
  <c r="C469" i="2" a="1"/>
  <c r="C469" i="2" s="1"/>
  <c r="AK469" i="2" s="1"/>
  <c r="C322" i="2" a="1"/>
  <c r="C322" i="2" s="1"/>
  <c r="AK322" i="2" s="1"/>
  <c r="C360" i="2" a="1"/>
  <c r="C360" i="2" s="1"/>
  <c r="AK360" i="2" s="1"/>
  <c r="C457" i="2" a="1"/>
  <c r="C457" i="2" s="1"/>
  <c r="AK457" i="2" s="1"/>
  <c r="C369" i="2" a="1"/>
  <c r="C369" i="2" s="1"/>
  <c r="AK369" i="2" s="1"/>
  <c r="C364" i="2" a="1"/>
  <c r="C364" i="2" s="1"/>
  <c r="AK364" i="2" s="1"/>
  <c r="C414" i="2" a="1"/>
  <c r="C414" i="2" s="1"/>
  <c r="AK414" i="2" s="1"/>
  <c r="C375" i="2" a="1"/>
  <c r="C375" i="2" s="1"/>
  <c r="AK375" i="2" s="1"/>
  <c r="C453" i="2" a="1"/>
  <c r="C453" i="2" s="1"/>
  <c r="AK453" i="2" s="1"/>
  <c r="C336" i="2" a="1"/>
  <c r="C336" i="2" s="1"/>
  <c r="AK336" i="2" s="1"/>
  <c r="C445" i="2" a="1"/>
  <c r="C445" i="2" s="1"/>
  <c r="AK445" i="2" s="1"/>
  <c r="C202" i="2" a="1"/>
  <c r="C202" i="2" s="1"/>
  <c r="AK202" i="2" s="1"/>
  <c r="C419" i="2" a="1"/>
  <c r="C419" i="2" s="1"/>
  <c r="C376" i="2" a="1"/>
  <c r="C376" i="2" s="1"/>
  <c r="AK376" i="2" s="1"/>
  <c r="C472" i="2" a="1"/>
  <c r="C472" i="2" s="1"/>
  <c r="C352" i="2" a="1"/>
  <c r="C352" i="2" s="1"/>
  <c r="AK352" i="2" s="1"/>
  <c r="C325" i="2" a="1"/>
  <c r="C325" i="2" s="1"/>
  <c r="AK325" i="2" s="1"/>
  <c r="C466" i="2" a="1"/>
  <c r="C466" i="2" s="1"/>
  <c r="AK466" i="2" s="1"/>
  <c r="C397" i="2" a="1"/>
  <c r="C397" i="2" s="1"/>
  <c r="AK397" i="2" s="1"/>
  <c r="C462" i="2" a="1"/>
  <c r="C462" i="2" s="1"/>
  <c r="AK462" i="2" s="1"/>
  <c r="C449" i="2" a="1"/>
  <c r="C449" i="2" s="1"/>
  <c r="AK449" i="2" s="1"/>
  <c r="C423" i="2" a="1"/>
  <c r="C423" i="2" s="1"/>
  <c r="C387" i="2" a="1"/>
  <c r="C387" i="2" s="1"/>
  <c r="C497" i="2" a="1"/>
  <c r="C497" i="2" s="1"/>
  <c r="AK497" i="2" s="1"/>
  <c r="C425" i="2" a="1"/>
  <c r="C425" i="2" s="1"/>
  <c r="AK425" i="2" s="1"/>
  <c r="C458" i="2" a="1"/>
  <c r="C458" i="2" s="1"/>
  <c r="AK458" i="2" s="1"/>
  <c r="C431" i="2" a="1"/>
  <c r="C431" i="2" s="1"/>
  <c r="AK431" i="2" s="1"/>
  <c r="C350" i="2" a="1"/>
  <c r="C350" i="2" s="1"/>
  <c r="AK350" i="2" s="1"/>
  <c r="C374" i="2" a="1"/>
  <c r="C374" i="2" s="1"/>
  <c r="AK374" i="2" s="1"/>
  <c r="C329" i="2" a="1"/>
  <c r="C329" i="2" s="1"/>
  <c r="C465" i="2" a="1"/>
  <c r="C465" i="2" s="1"/>
  <c r="AK465" i="2" s="1"/>
  <c r="C450" i="2" a="1"/>
  <c r="C450" i="2" s="1"/>
  <c r="C393" i="2" a="1"/>
  <c r="C393" i="2" s="1"/>
  <c r="AK393" i="2" s="1"/>
  <c r="C461" i="2" a="1"/>
  <c r="C461" i="2" s="1"/>
  <c r="AK461" i="2" s="1"/>
  <c r="C460" i="2" a="1"/>
  <c r="C460" i="2" s="1"/>
  <c r="C434" i="2" a="1"/>
  <c r="C434" i="2" s="1"/>
  <c r="C401" i="2" a="1"/>
  <c r="C401" i="2" s="1"/>
  <c r="C330" i="2" a="1"/>
  <c r="C330" i="2" s="1"/>
  <c r="AK330" i="2" s="1"/>
  <c r="C368" i="2" a="1"/>
  <c r="C368" i="2" s="1"/>
  <c r="C494" i="2" a="1"/>
  <c r="C494" i="2" s="1"/>
  <c r="AK494" i="2" s="1"/>
  <c r="C357" i="2" a="1"/>
  <c r="C357" i="2" s="1"/>
  <c r="AK357" i="2" s="1"/>
  <c r="C379" i="2" a="1"/>
  <c r="C379" i="2" s="1"/>
  <c r="AK379" i="2" s="1"/>
  <c r="C499" i="2" a="1"/>
  <c r="C499" i="2" s="1"/>
  <c r="AK499" i="2" s="1"/>
  <c r="C327" i="2" a="1"/>
  <c r="C327" i="2" s="1"/>
  <c r="AK327" i="2" s="1"/>
  <c r="C492" i="2" a="1"/>
  <c r="C492" i="2" s="1"/>
  <c r="AK492" i="2" s="1"/>
  <c r="C386" i="2" a="1"/>
  <c r="C386" i="2" s="1"/>
  <c r="AK386" i="2" s="1"/>
  <c r="C478" i="2" a="1"/>
  <c r="C478" i="2" s="1"/>
  <c r="C422" i="2" a="1"/>
  <c r="C422" i="2" s="1"/>
  <c r="C332" i="2" a="1"/>
  <c r="C332" i="2" s="1"/>
  <c r="C451" i="2" a="1"/>
  <c r="C451" i="2" s="1"/>
  <c r="AK451" i="2" s="1"/>
  <c r="C359" i="2" a="1"/>
  <c r="C359" i="2" s="1"/>
  <c r="C326" i="2" a="1"/>
  <c r="C326" i="2" s="1"/>
  <c r="AK326" i="2" s="1"/>
  <c r="C477" i="2" a="1"/>
  <c r="C477" i="2" s="1"/>
  <c r="AK477" i="2" s="1"/>
  <c r="C394" i="2" a="1"/>
  <c r="C394" i="2" s="1"/>
  <c r="C415" i="2" a="1"/>
  <c r="C415" i="2" s="1"/>
  <c r="AK415" i="2" s="1"/>
  <c r="C338" i="2" a="1"/>
  <c r="C338" i="2" s="1"/>
  <c r="C353" i="2" a="1"/>
  <c r="C353" i="2" s="1"/>
  <c r="AK353" i="2" s="1"/>
  <c r="C363" i="2" a="1"/>
  <c r="C363" i="2" s="1"/>
  <c r="AK363" i="2" s="1"/>
  <c r="C412" i="2" a="1"/>
  <c r="C412" i="2" s="1"/>
  <c r="AK412" i="2" s="1"/>
  <c r="C317" i="2" a="1"/>
  <c r="C317" i="2" s="1"/>
  <c r="AK317" i="2" s="1"/>
  <c r="C490" i="2" a="1"/>
  <c r="C490" i="2" s="1"/>
  <c r="AK490" i="2" s="1"/>
  <c r="C339" i="2" a="1"/>
  <c r="C339" i="2" s="1"/>
  <c r="AK339" i="2" s="1"/>
  <c r="C343" i="2" a="1"/>
  <c r="C343" i="2" s="1"/>
  <c r="C392" i="2" a="1"/>
  <c r="C392" i="2" s="1"/>
  <c r="AK392" i="2" s="1"/>
  <c r="C491" i="2" a="1"/>
  <c r="C491" i="2" s="1"/>
  <c r="AK491" i="2" s="1"/>
  <c r="C342" i="2" a="1"/>
  <c r="C342" i="2" s="1"/>
  <c r="AK342" i="2" s="1"/>
  <c r="C377" i="2" a="1"/>
  <c r="C377" i="2" s="1"/>
  <c r="AK377" i="2" s="1"/>
  <c r="C318" i="2" a="1"/>
  <c r="C318" i="2" s="1"/>
  <c r="AK318" i="2" s="1"/>
  <c r="C484" i="2" a="1"/>
  <c r="C484" i="2" s="1"/>
  <c r="AK484" i="2" s="1"/>
  <c r="C471" i="2" a="1"/>
  <c r="C471" i="2" s="1"/>
  <c r="AK471" i="2" s="1"/>
  <c r="C489" i="2" a="1"/>
  <c r="C489" i="2" s="1"/>
  <c r="AK489" i="2" s="1"/>
  <c r="C323" i="2" a="1"/>
  <c r="C323" i="2" s="1"/>
  <c r="AK323" i="2" s="1"/>
  <c r="C455" i="2" a="1"/>
  <c r="C455" i="2" s="1"/>
  <c r="AK455" i="2" s="1"/>
  <c r="C337" i="2" a="1"/>
  <c r="C337" i="2" s="1"/>
  <c r="AK337" i="2" s="1"/>
  <c r="C331" i="2" a="1"/>
  <c r="C331" i="2" s="1"/>
  <c r="AK331" i="2" s="1"/>
  <c r="C405" i="2" a="1"/>
  <c r="C405" i="2" s="1"/>
  <c r="C495" i="2" a="1"/>
  <c r="C495" i="2" s="1"/>
  <c r="AK495" i="2" s="1"/>
  <c r="C428" i="2" a="1"/>
  <c r="C428" i="2" s="1"/>
  <c r="AK428" i="2" s="1"/>
  <c r="C420" i="2" a="1"/>
  <c r="C420" i="2" s="1"/>
  <c r="AK420" i="2" s="1"/>
  <c r="C319" i="2" a="1"/>
  <c r="C319" i="2" s="1"/>
  <c r="AK319" i="2" s="1"/>
  <c r="C473" i="2" a="1"/>
  <c r="C473" i="2" s="1"/>
  <c r="C362" i="2" a="1"/>
  <c r="C362" i="2" s="1"/>
  <c r="AK362" i="2" s="1"/>
  <c r="C395" i="2" a="1"/>
  <c r="C395" i="2" s="1"/>
  <c r="AK395" i="2" s="1"/>
  <c r="C464" i="2" a="1"/>
  <c r="C464" i="2" s="1"/>
  <c r="AK464" i="2" s="1"/>
  <c r="C452" i="2" a="1"/>
  <c r="C452" i="2" s="1"/>
  <c r="AK452" i="2" s="1"/>
  <c r="C410" i="2" a="1"/>
  <c r="C410" i="2" s="1"/>
  <c r="C400" i="2" a="1"/>
  <c r="C400" i="2" s="1"/>
  <c r="C432" i="2" a="1"/>
  <c r="C432" i="2" s="1"/>
  <c r="C354" i="2" a="1"/>
  <c r="C354" i="2" s="1"/>
  <c r="AK354" i="2" s="1"/>
  <c r="C424" i="2" a="1"/>
  <c r="C424" i="2" s="1"/>
  <c r="AK424" i="2" s="1"/>
  <c r="C383" i="2" a="1"/>
  <c r="C383" i="2" s="1"/>
  <c r="AK383" i="2" s="1"/>
  <c r="C496" i="2" a="1"/>
  <c r="C496" i="2" s="1"/>
  <c r="AK496" i="2" s="1"/>
  <c r="C480" i="2" a="1"/>
  <c r="C480" i="2" s="1"/>
  <c r="AK480" i="2" s="1"/>
  <c r="C483" i="2" a="1"/>
  <c r="C483" i="2" s="1"/>
  <c r="AK483" i="2" s="1"/>
  <c r="C390" i="2" a="1"/>
  <c r="C390" i="2" s="1"/>
  <c r="C380" i="2" a="1"/>
  <c r="C380" i="2" s="1"/>
  <c r="C429" i="2" a="1"/>
  <c r="C429" i="2" s="1"/>
  <c r="AK429" i="2" s="1"/>
  <c r="C430" i="2" a="1"/>
  <c r="C430" i="2" s="1"/>
  <c r="AK430" i="2" s="1"/>
  <c r="C441" i="2" a="1"/>
  <c r="C441" i="2" s="1"/>
  <c r="C436" i="2" a="1"/>
  <c r="C436" i="2" s="1"/>
  <c r="AK436" i="2" s="1"/>
  <c r="C486" i="2" a="1"/>
  <c r="C486" i="2" s="1"/>
  <c r="AK486" i="2" s="1"/>
  <c r="C384" i="2" a="1"/>
  <c r="C384" i="2" s="1"/>
  <c r="AK384" i="2" s="1"/>
  <c r="C437" i="2" a="1"/>
  <c r="C437" i="2" s="1"/>
  <c r="AK437" i="2" s="1"/>
  <c r="C444" i="2" a="1"/>
  <c r="C444" i="2" s="1"/>
  <c r="C442" i="2" a="1"/>
  <c r="C442" i="2" s="1"/>
  <c r="AK442" i="2" s="1"/>
  <c r="C371" i="2" a="1"/>
  <c r="C371" i="2" s="1"/>
  <c r="AK371" i="2" s="1"/>
  <c r="C446" i="2" a="1"/>
  <c r="C446" i="2" s="1"/>
  <c r="C427" i="2" a="1"/>
  <c r="C427" i="2" s="1"/>
  <c r="AK427" i="2" s="1"/>
  <c r="C340" i="2" a="1"/>
  <c r="C340" i="2" s="1"/>
  <c r="AK340" i="2" s="1"/>
  <c r="C413" i="2" a="1"/>
  <c r="C413" i="2" s="1"/>
  <c r="C349" i="2" a="1"/>
  <c r="C349" i="2" s="1"/>
  <c r="AK349" i="2" s="1"/>
  <c r="C459" i="2" a="1"/>
  <c r="C459" i="2" s="1"/>
  <c r="C498" i="2" a="1"/>
  <c r="C498" i="2" s="1"/>
  <c r="AK498" i="2" s="1"/>
  <c r="C334" i="2" a="1"/>
  <c r="C334" i="2" s="1"/>
  <c r="C385" i="2" a="1"/>
  <c r="C385" i="2" s="1"/>
  <c r="AK385" i="2" s="1"/>
  <c r="C438" i="2" a="1"/>
  <c r="C438" i="2" s="1"/>
  <c r="AK438" i="2" s="1"/>
  <c r="C324" i="2" a="1"/>
  <c r="C324" i="2" s="1"/>
  <c r="C488" i="2" a="1"/>
  <c r="C488" i="2" s="1"/>
  <c r="AK488" i="2" s="1"/>
  <c r="C320" i="2" a="1"/>
  <c r="C320" i="2" s="1"/>
  <c r="AK320" i="2" s="1"/>
  <c r="C447" i="2" a="1"/>
  <c r="C447" i="2" s="1"/>
  <c r="AK447" i="2" s="1"/>
  <c r="C346" i="2" a="1"/>
  <c r="C346" i="2" s="1"/>
  <c r="AK346" i="2" s="1"/>
  <c r="C487" i="2" a="1"/>
  <c r="C487" i="2" s="1"/>
  <c r="AK487" i="2" s="1"/>
  <c r="C328" i="2" a="1"/>
  <c r="C328" i="2" s="1"/>
  <c r="C358" i="2" a="1"/>
  <c r="C358" i="2" s="1"/>
  <c r="C366" i="2" a="1"/>
  <c r="C366" i="2" s="1"/>
  <c r="C351" i="2" a="1"/>
  <c r="C351" i="2" s="1"/>
  <c r="AK351" i="2" s="1"/>
  <c r="C356" i="2" a="1"/>
  <c r="C356" i="2" s="1"/>
  <c r="C493" i="2" a="1"/>
  <c r="C493" i="2" s="1"/>
  <c r="C391" i="2" a="1"/>
  <c r="C391" i="2" s="1"/>
  <c r="AK391" i="2" s="1"/>
  <c r="C399" i="2" a="1"/>
  <c r="C399" i="2" s="1"/>
  <c r="AK399" i="2" s="1"/>
  <c r="C416" i="2" a="1"/>
  <c r="C416" i="2" s="1"/>
  <c r="AK416" i="2" s="1"/>
  <c r="C500" i="2" a="1"/>
  <c r="C500" i="2" s="1"/>
  <c r="AK500" i="2" s="1"/>
  <c r="C454" i="2" a="1"/>
  <c r="C454" i="2" s="1"/>
  <c r="C463" i="2" a="1"/>
  <c r="C463" i="2" s="1"/>
  <c r="AK463" i="2" s="1"/>
  <c r="C372" i="2" a="1"/>
  <c r="C372" i="2" s="1"/>
  <c r="C404" i="2" a="1"/>
  <c r="C404" i="2" s="1"/>
  <c r="AK404" i="2" s="1"/>
  <c r="C396" i="2" a="1"/>
  <c r="C396" i="2" s="1"/>
  <c r="AK396" i="2" s="1"/>
  <c r="C378" i="2" a="1"/>
  <c r="C378" i="2" s="1"/>
  <c r="C417" i="2" a="1"/>
  <c r="C417" i="2" s="1"/>
  <c r="AK417" i="2" s="1"/>
  <c r="C426" i="2" a="1"/>
  <c r="C426" i="2" s="1"/>
  <c r="AK426" i="2" s="1"/>
  <c r="C355" i="2" a="1"/>
  <c r="C355" i="2" s="1"/>
  <c r="AK355" i="2" s="1"/>
  <c r="C388" i="2" a="1"/>
  <c r="C388" i="2" s="1"/>
  <c r="C479" i="2" a="1"/>
  <c r="C479" i="2" s="1"/>
  <c r="C370" i="2" a="1"/>
  <c r="C370" i="2" s="1"/>
  <c r="AK370" i="2" s="1"/>
  <c r="C476" i="2" a="1"/>
  <c r="C476" i="2" s="1"/>
  <c r="AK476" i="2" s="1"/>
  <c r="C407" i="2" a="1"/>
  <c r="C407" i="2" s="1"/>
  <c r="AK407" i="2" s="1"/>
  <c r="C321" i="2" a="1"/>
  <c r="C321" i="2" s="1"/>
  <c r="C373" i="2" a="1"/>
  <c r="C373" i="2" s="1"/>
  <c r="AK373" i="2" s="1"/>
  <c r="C381" i="2" a="1"/>
  <c r="C381" i="2" s="1"/>
  <c r="C421" i="2" a="1"/>
  <c r="C421" i="2" s="1"/>
  <c r="AK421" i="2" s="1"/>
  <c r="C485" i="2" a="1"/>
  <c r="C485" i="2" s="1"/>
  <c r="C403" i="2" a="1"/>
  <c r="C403" i="2" s="1"/>
  <c r="AK403" i="2" s="1"/>
  <c r="C448" i="2" a="1"/>
  <c r="C448" i="2" s="1"/>
  <c r="AK448" i="2" s="1"/>
  <c r="C389" i="2" a="1"/>
  <c r="C389" i="2" s="1"/>
  <c r="AK389" i="2" s="1"/>
  <c r="C475" i="2" a="1"/>
  <c r="C475" i="2" s="1"/>
  <c r="C474" i="2" a="1"/>
  <c r="C474" i="2" s="1"/>
  <c r="AK474" i="2" s="1"/>
  <c r="C341" i="2" a="1"/>
  <c r="C341" i="2" s="1"/>
  <c r="C409" i="2" a="1"/>
  <c r="C409" i="2" s="1"/>
  <c r="C439" i="2" a="1"/>
  <c r="C439" i="2" s="1"/>
  <c r="C361" i="2" a="1"/>
  <c r="C361" i="2" s="1"/>
  <c r="AK361" i="2" s="1"/>
  <c r="C482" i="2" a="1"/>
  <c r="C482" i="2" s="1"/>
  <c r="C345" i="2" a="1"/>
  <c r="C345" i="2" s="1"/>
  <c r="AK345" i="2" s="1"/>
  <c r="C408" i="2" a="1"/>
  <c r="C408" i="2" s="1"/>
  <c r="AK408" i="2" s="1"/>
  <c r="C470" i="2" a="1"/>
  <c r="C470" i="2" s="1"/>
  <c r="AK470" i="2" s="1"/>
  <c r="J27" i="6"/>
  <c r="AQ15" i="2" l="1"/>
  <c r="AQ16" i="2" s="1"/>
  <c r="AQ13" i="2"/>
  <c r="AQ17" i="2" s="1"/>
  <c r="AQ409" i="2"/>
  <c r="AQ445" i="2"/>
  <c r="AQ481" i="2"/>
  <c r="AQ340" i="2"/>
  <c r="AQ478" i="2"/>
  <c r="AQ359" i="2"/>
  <c r="AQ418" i="2"/>
  <c r="AQ432" i="2"/>
  <c r="AQ401" i="2"/>
  <c r="AQ410" i="2"/>
  <c r="AQ367" i="2"/>
  <c r="AQ366" i="2"/>
  <c r="AQ321" i="2"/>
  <c r="AQ335" i="2"/>
  <c r="AQ466" i="2"/>
  <c r="AQ467" i="2"/>
  <c r="AQ336" i="2"/>
  <c r="AQ333" i="2"/>
  <c r="AQ332" i="2"/>
  <c r="AQ381" i="2"/>
  <c r="AQ472" i="2"/>
  <c r="AQ413" i="2"/>
  <c r="AQ433" i="2"/>
  <c r="AQ440" i="2"/>
  <c r="AQ460" i="2"/>
  <c r="AQ468" i="2"/>
  <c r="AK332" i="2"/>
  <c r="AR331" i="2" s="1"/>
  <c r="AK473" i="2"/>
  <c r="AL473" i="2" s="1"/>
  <c r="AQ480" i="2"/>
  <c r="AQ357" i="2"/>
  <c r="AQ453" i="2"/>
  <c r="AQ458" i="2"/>
  <c r="AQ398" i="2"/>
  <c r="AQ347" i="2"/>
  <c r="AQ362" i="2"/>
  <c r="AQ424" i="2"/>
  <c r="AQ393" i="2"/>
  <c r="AQ334" i="2"/>
  <c r="AQ465" i="2"/>
  <c r="AQ456" i="2"/>
  <c r="AQ457" i="2"/>
  <c r="AK358" i="2"/>
  <c r="AR357" i="2" s="1"/>
  <c r="AK359" i="2"/>
  <c r="AR359" i="2" s="1"/>
  <c r="AQ423" i="2"/>
  <c r="AK441" i="2"/>
  <c r="AR440" i="2" s="1"/>
  <c r="AK401" i="2"/>
  <c r="AR401" i="2" s="1"/>
  <c r="AQ490" i="2"/>
  <c r="AQ317" i="2"/>
  <c r="AQ374" i="2"/>
  <c r="AQ492" i="2"/>
  <c r="AQ449" i="2"/>
  <c r="AQ484" i="2"/>
  <c r="AQ400" i="2"/>
  <c r="AQ343" i="2"/>
  <c r="AK419" i="2"/>
  <c r="AL419" i="2" s="1"/>
  <c r="AK454" i="2"/>
  <c r="AR454" i="2" s="1"/>
  <c r="AQ364" i="2"/>
  <c r="AQ328" i="2"/>
  <c r="AQ477" i="2"/>
  <c r="AQ363" i="2"/>
  <c r="AQ329" i="2"/>
  <c r="AK394" i="2"/>
  <c r="AR394" i="2" s="1"/>
  <c r="AQ368" i="2"/>
  <c r="AK460" i="2"/>
  <c r="AL460" i="2" s="1"/>
  <c r="AK423" i="2"/>
  <c r="AL423" i="2" s="1"/>
  <c r="AK413" i="2"/>
  <c r="AR412" i="2" s="1"/>
  <c r="AQ419" i="2"/>
  <c r="AK409" i="2"/>
  <c r="AL409" i="2" s="1"/>
  <c r="AK329" i="2"/>
  <c r="AL329" i="2" s="1"/>
  <c r="AK478" i="2"/>
  <c r="AL478" i="2" s="1"/>
  <c r="AQ411" i="2"/>
  <c r="AQ444" i="2"/>
  <c r="AK334" i="2"/>
  <c r="AL334" i="2" s="1"/>
  <c r="AK328" i="2"/>
  <c r="AR327" i="2" s="1"/>
  <c r="AK410" i="2"/>
  <c r="AQ376" i="2"/>
  <c r="AQ338" i="2"/>
  <c r="AQ422" i="2"/>
  <c r="AQ386" i="2"/>
  <c r="AQ471" i="2"/>
  <c r="AK472" i="2"/>
  <c r="AL472" i="2" s="1"/>
  <c r="AQ339" i="2"/>
  <c r="AQ387" i="2"/>
  <c r="AQ355" i="2"/>
  <c r="AQ402" i="2"/>
  <c r="AK368" i="2"/>
  <c r="AL368" i="2" s="1"/>
  <c r="AQ414" i="2"/>
  <c r="AQ451" i="2"/>
  <c r="AK387" i="2"/>
  <c r="AR386" i="2" s="1"/>
  <c r="AQ443" i="2"/>
  <c r="AQ375" i="2"/>
  <c r="AQ488" i="2"/>
  <c r="AQ380" i="2"/>
  <c r="AK381" i="2"/>
  <c r="AR381" i="2" s="1"/>
  <c r="AQ361" i="2"/>
  <c r="AK432" i="2"/>
  <c r="AR431" i="2" s="1"/>
  <c r="AK380" i="2"/>
  <c r="AL380" i="2" s="1"/>
  <c r="AK444" i="2"/>
  <c r="AL444" i="2" s="1"/>
  <c r="AQ337" i="2"/>
  <c r="AQ351" i="2"/>
  <c r="AQ450" i="2"/>
  <c r="AQ493" i="2"/>
  <c r="AK450" i="2"/>
  <c r="AR450" i="2" s="1"/>
  <c r="AK493" i="2"/>
  <c r="AL493" i="2" s="1"/>
  <c r="AK422" i="2"/>
  <c r="AL422" i="2" s="1"/>
  <c r="AQ322" i="2"/>
  <c r="AQ379" i="2"/>
  <c r="AQ494" i="2"/>
  <c r="AQ323" i="2"/>
  <c r="AQ403" i="2"/>
  <c r="AK338" i="2"/>
  <c r="AL338" i="2" s="1"/>
  <c r="AK459" i="2"/>
  <c r="AR458" i="2" s="1"/>
  <c r="AQ404" i="2"/>
  <c r="AQ360" i="2"/>
  <c r="AQ370" i="2"/>
  <c r="AQ395" i="2"/>
  <c r="AQ431" i="2"/>
  <c r="AQ497" i="2"/>
  <c r="AQ369" i="2"/>
  <c r="AQ425" i="2"/>
  <c r="AQ325" i="2"/>
  <c r="AQ426" i="2"/>
  <c r="AQ469" i="2"/>
  <c r="AQ405" i="2"/>
  <c r="AK434" i="2"/>
  <c r="AL434" i="2" s="1"/>
  <c r="AQ459" i="2"/>
  <c r="AQ464" i="2"/>
  <c r="AQ377" i="2"/>
  <c r="AQ434" i="2"/>
  <c r="AK405" i="2"/>
  <c r="AR405" i="2" s="1"/>
  <c r="AQ435" i="2"/>
  <c r="AQ327" i="2"/>
  <c r="AQ415" i="2"/>
  <c r="AQ473" i="2"/>
  <c r="AQ353" i="2"/>
  <c r="AQ331" i="2"/>
  <c r="AQ499" i="2"/>
  <c r="AQ430" i="2"/>
  <c r="AQ417" i="2"/>
  <c r="AQ330" i="2"/>
  <c r="AQ385" i="2"/>
  <c r="AQ427" i="2"/>
  <c r="AQ318" i="2"/>
  <c r="AQ496" i="2"/>
  <c r="AQ383" i="2"/>
  <c r="AQ446" i="2"/>
  <c r="AQ500" i="2"/>
  <c r="AQ438" i="2"/>
  <c r="AQ382" i="2"/>
  <c r="AQ461" i="2"/>
  <c r="AQ326" i="2"/>
  <c r="AQ397" i="2"/>
  <c r="AK446" i="2"/>
  <c r="AR445" i="2" s="1"/>
  <c r="AQ350" i="2"/>
  <c r="AQ394" i="2"/>
  <c r="AQ358" i="2"/>
  <c r="AQ392" i="2"/>
  <c r="AK341" i="2"/>
  <c r="AR340" i="2" s="1"/>
  <c r="AQ371" i="2"/>
  <c r="AQ356" i="2"/>
  <c r="AQ352" i="2"/>
  <c r="AQ454" i="2"/>
  <c r="AQ442" i="2"/>
  <c r="AQ441" i="2"/>
  <c r="AQ391" i="2"/>
  <c r="AQ476" i="2"/>
  <c r="AQ346" i="2"/>
  <c r="AQ491" i="2"/>
  <c r="AQ455" i="2"/>
  <c r="AQ429" i="2"/>
  <c r="AQ428" i="2"/>
  <c r="AQ498" i="2"/>
  <c r="AQ474" i="2"/>
  <c r="AQ345" i="2"/>
  <c r="AQ416" i="2"/>
  <c r="AQ470" i="2"/>
  <c r="AQ373" i="2"/>
  <c r="AQ389" i="2"/>
  <c r="AQ342" i="2"/>
  <c r="AQ487" i="2"/>
  <c r="AQ412" i="2"/>
  <c r="AQ486" i="2"/>
  <c r="AQ483" i="2"/>
  <c r="AQ390" i="2"/>
  <c r="AQ452" i="2"/>
  <c r="AK400" i="2"/>
  <c r="AL400" i="2" s="1"/>
  <c r="AQ365" i="2"/>
  <c r="AQ439" i="2"/>
  <c r="AQ354" i="2"/>
  <c r="AQ324" i="2"/>
  <c r="AK366" i="2"/>
  <c r="AL366" i="2" s="1"/>
  <c r="AQ495" i="2"/>
  <c r="AK324" i="2"/>
  <c r="AR323" i="2" s="1"/>
  <c r="AQ341" i="2"/>
  <c r="AK343" i="2"/>
  <c r="AL343" i="2" s="1"/>
  <c r="AQ319" i="2"/>
  <c r="AQ372" i="2"/>
  <c r="AQ489" i="2"/>
  <c r="AQ388" i="2"/>
  <c r="AQ348" i="2"/>
  <c r="AK390" i="2"/>
  <c r="AL390" i="2" s="1"/>
  <c r="AK388" i="2"/>
  <c r="AL388" i="2" s="1"/>
  <c r="AQ479" i="2"/>
  <c r="AK439" i="2"/>
  <c r="AL439" i="2" s="1"/>
  <c r="AK372" i="2"/>
  <c r="AR371" i="2" s="1"/>
  <c r="AQ436" i="2"/>
  <c r="AQ463" i="2"/>
  <c r="AQ349" i="2"/>
  <c r="AQ462" i="2"/>
  <c r="AK479" i="2"/>
  <c r="AL479" i="2" s="1"/>
  <c r="AQ485" i="2"/>
  <c r="AQ421" i="2"/>
  <c r="AQ384" i="2"/>
  <c r="AQ420" i="2"/>
  <c r="AQ437" i="2"/>
  <c r="AQ408" i="2"/>
  <c r="AK485" i="2"/>
  <c r="AL485" i="2" s="1"/>
  <c r="AK356" i="2"/>
  <c r="AR355" i="2" s="1"/>
  <c r="AQ399" i="2"/>
  <c r="AK378" i="2"/>
  <c r="AR377" i="2" s="1"/>
  <c r="AQ475" i="2"/>
  <c r="AQ344" i="2"/>
  <c r="AK475" i="2"/>
  <c r="AR474" i="2" s="1"/>
  <c r="AQ378" i="2"/>
  <c r="AQ482" i="2"/>
  <c r="AQ448" i="2"/>
  <c r="AQ407" i="2"/>
  <c r="AK321" i="2"/>
  <c r="AL321" i="2" s="1"/>
  <c r="AQ406" i="2"/>
  <c r="AQ396" i="2"/>
  <c r="AQ447" i="2"/>
  <c r="AK482" i="2"/>
  <c r="AL482" i="2" s="1"/>
  <c r="AQ320" i="2"/>
  <c r="AL433" i="2"/>
  <c r="AL463" i="2"/>
  <c r="AR463" i="2"/>
  <c r="AL383" i="2"/>
  <c r="AR383" i="2"/>
  <c r="AL489" i="2"/>
  <c r="AR489" i="2"/>
  <c r="AL470" i="2"/>
  <c r="AR470" i="2"/>
  <c r="AL464" i="2"/>
  <c r="AR464" i="2"/>
  <c r="AL351" i="2"/>
  <c r="AR351" i="2"/>
  <c r="AL325" i="2"/>
  <c r="AR325" i="2"/>
  <c r="AL411" i="2"/>
  <c r="AR411" i="2"/>
  <c r="AL416" i="2"/>
  <c r="AR416" i="2"/>
  <c r="AL385" i="2"/>
  <c r="AR385" i="2"/>
  <c r="AL345" i="2"/>
  <c r="AR345" i="2"/>
  <c r="AL386" i="2"/>
  <c r="AL322" i="2"/>
  <c r="AR322" i="2"/>
  <c r="AL355" i="2"/>
  <c r="AL320" i="2"/>
  <c r="AL317" i="2"/>
  <c r="AR317" i="2"/>
  <c r="AL365" i="2"/>
  <c r="AL403" i="2"/>
  <c r="AR403" i="2"/>
  <c r="AL476" i="2"/>
  <c r="AR476" i="2"/>
  <c r="AL458" i="2"/>
  <c r="AL364" i="2"/>
  <c r="AR364" i="2"/>
  <c r="AL354" i="2"/>
  <c r="AR354" i="2"/>
  <c r="AL346" i="2"/>
  <c r="AR346" i="2"/>
  <c r="AL466" i="2"/>
  <c r="AR466" i="2"/>
  <c r="AL477" i="2"/>
  <c r="AL369" i="2"/>
  <c r="AR369" i="2"/>
  <c r="AL451" i="2"/>
  <c r="AR451" i="2"/>
  <c r="AL376" i="2"/>
  <c r="AR376" i="2"/>
  <c r="AL330" i="2"/>
  <c r="AR330" i="2"/>
  <c r="AL323" i="2"/>
  <c r="AL431" i="2"/>
  <c r="AL349" i="2"/>
  <c r="AR349" i="2"/>
  <c r="AL353" i="2"/>
  <c r="AR353" i="2"/>
  <c r="AL491" i="2"/>
  <c r="AR491" i="2"/>
  <c r="AL202" i="2"/>
  <c r="AL363" i="2"/>
  <c r="AR363" i="2"/>
  <c r="AL374" i="2"/>
  <c r="AR374" i="2"/>
  <c r="AL348" i="2"/>
  <c r="AR348" i="2"/>
  <c r="AL442" i="2"/>
  <c r="AR442" i="2"/>
  <c r="AL453" i="2"/>
  <c r="AL440" i="2"/>
  <c r="AL428" i="2"/>
  <c r="AR428" i="2"/>
  <c r="AL474" i="2"/>
  <c r="AL389" i="2"/>
  <c r="AL339" i="2"/>
  <c r="AR339" i="2"/>
  <c r="AL319" i="2"/>
  <c r="AR319" i="2"/>
  <c r="AL395" i="2"/>
  <c r="AR395" i="2"/>
  <c r="AL429" i="2"/>
  <c r="AR429" i="2"/>
  <c r="AL360" i="2"/>
  <c r="AR360" i="2"/>
  <c r="AL494" i="2"/>
  <c r="AR494" i="2"/>
  <c r="AL347" i="2"/>
  <c r="AR347" i="2"/>
  <c r="AL382" i="2"/>
  <c r="AR382" i="2"/>
  <c r="AL404" i="2"/>
  <c r="AL393" i="2"/>
  <c r="AL486" i="2"/>
  <c r="AR486" i="2"/>
  <c r="AL350" i="2"/>
  <c r="AR350" i="2"/>
  <c r="AL497" i="2"/>
  <c r="AR497" i="2"/>
  <c r="AL417" i="2"/>
  <c r="AR417" i="2"/>
  <c r="AL500" i="2"/>
  <c r="AR500" i="2"/>
  <c r="AL438" i="2"/>
  <c r="AL377" i="2"/>
  <c r="AL481" i="2"/>
  <c r="AL487" i="2"/>
  <c r="AR487" i="2"/>
  <c r="AL344" i="2"/>
  <c r="AR344" i="2"/>
  <c r="AL495" i="2"/>
  <c r="AR495" i="2"/>
  <c r="AL469" i="2"/>
  <c r="AR469" i="2"/>
  <c r="AL342" i="2"/>
  <c r="AL371" i="2"/>
  <c r="AL499" i="2"/>
  <c r="AR499" i="2"/>
  <c r="AL465" i="2"/>
  <c r="AR465" i="2"/>
  <c r="AL352" i="2"/>
  <c r="AR352" i="2"/>
  <c r="AL430" i="2"/>
  <c r="AR430" i="2"/>
  <c r="AL398" i="2"/>
  <c r="AR398" i="2"/>
  <c r="AL488" i="2"/>
  <c r="AR488" i="2"/>
  <c r="AL397" i="2"/>
  <c r="AR397" i="2"/>
  <c r="AL361" i="2"/>
  <c r="AR361" i="2"/>
  <c r="AL449" i="2"/>
  <c r="AL399" i="2"/>
  <c r="AL340" i="2"/>
  <c r="AL336" i="2"/>
  <c r="AR336" i="2"/>
  <c r="AL462" i="2"/>
  <c r="AR462" i="2"/>
  <c r="AL455" i="2"/>
  <c r="AR455" i="2"/>
  <c r="AL362" i="2"/>
  <c r="AR362" i="2"/>
  <c r="AL327" i="2"/>
  <c r="AL483" i="2"/>
  <c r="AR483" i="2"/>
  <c r="AL335" i="2"/>
  <c r="AR335" i="2"/>
  <c r="AL467" i="2"/>
  <c r="AR467" i="2"/>
  <c r="AL318" i="2"/>
  <c r="AR318" i="2"/>
  <c r="AL445" i="2"/>
  <c r="AL373" i="2"/>
  <c r="AR373" i="2"/>
  <c r="AL415" i="2"/>
  <c r="AR415" i="2"/>
  <c r="AL370" i="2"/>
  <c r="AR370" i="2"/>
  <c r="AL424" i="2"/>
  <c r="AR424" i="2"/>
  <c r="AL437" i="2"/>
  <c r="AR437" i="2"/>
  <c r="AL436" i="2"/>
  <c r="AR436" i="2"/>
  <c r="AL418" i="2"/>
  <c r="AL384" i="2"/>
  <c r="AR384" i="2"/>
  <c r="AL457" i="2"/>
  <c r="AR457" i="2"/>
  <c r="AL484" i="2"/>
  <c r="AL468" i="2"/>
  <c r="AR468" i="2"/>
  <c r="AL408" i="2"/>
  <c r="AL443" i="2"/>
  <c r="AL420" i="2"/>
  <c r="AR420" i="2"/>
  <c r="AL490" i="2"/>
  <c r="AR490" i="2"/>
  <c r="AL426" i="2"/>
  <c r="AR426" i="2"/>
  <c r="AL375" i="2"/>
  <c r="AR375" i="2"/>
  <c r="AL392" i="2"/>
  <c r="AR392" i="2"/>
  <c r="AL406" i="2"/>
  <c r="AR406" i="2"/>
  <c r="AL461" i="2"/>
  <c r="AR461" i="2"/>
  <c r="AL396" i="2"/>
  <c r="AR396" i="2"/>
  <c r="AL480" i="2"/>
  <c r="AR480" i="2"/>
  <c r="AL447" i="2"/>
  <c r="AR447" i="2"/>
  <c r="AL326" i="2"/>
  <c r="AR326" i="2"/>
  <c r="AL496" i="2"/>
  <c r="AR496" i="2"/>
  <c r="AL402" i="2"/>
  <c r="AR402" i="2"/>
  <c r="AL391" i="2"/>
  <c r="AR391" i="2"/>
  <c r="AL456" i="2"/>
  <c r="AR456" i="2"/>
  <c r="AL435" i="2"/>
  <c r="AR435" i="2"/>
  <c r="AL427" i="2"/>
  <c r="AR427" i="2"/>
  <c r="AL357" i="2"/>
  <c r="AL492" i="2"/>
  <c r="AL367" i="2"/>
  <c r="AL452" i="2"/>
  <c r="AR452" i="2"/>
  <c r="AL331" i="2"/>
  <c r="AL471" i="2"/>
  <c r="AL412" i="2"/>
  <c r="AL448" i="2"/>
  <c r="AR448" i="2"/>
  <c r="AL337" i="2"/>
  <c r="AL333" i="2"/>
  <c r="AL425" i="2"/>
  <c r="AR425" i="2"/>
  <c r="AL421" i="2"/>
  <c r="AL379" i="2"/>
  <c r="AL414" i="2"/>
  <c r="AR414" i="2"/>
  <c r="AL498" i="2"/>
  <c r="AR498" i="2"/>
  <c r="AL407" i="2"/>
  <c r="AR407" i="2"/>
  <c r="B62" i="2"/>
  <c r="V62" i="2" s="1"/>
  <c r="J55" i="6"/>
  <c r="J41" i="6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02" i="2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02" i="2"/>
  <c r="G102" i="2" s="1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03" i="2"/>
  <c r="D102" i="2"/>
  <c r="AQ18" i="2" l="1"/>
  <c r="AL332" i="2"/>
  <c r="AL358" i="2"/>
  <c r="AL387" i="2"/>
  <c r="AR446" i="2"/>
  <c r="AR472" i="2"/>
  <c r="AL359" i="2"/>
  <c r="AR358" i="2"/>
  <c r="AR473" i="2"/>
  <c r="AR332" i="2"/>
  <c r="AL454" i="2"/>
  <c r="AR453" i="2"/>
  <c r="AR408" i="2"/>
  <c r="AR389" i="2"/>
  <c r="AR484" i="2"/>
  <c r="AR418" i="2"/>
  <c r="AL441" i="2"/>
  <c r="AR441" i="2"/>
  <c r="AL401" i="2"/>
  <c r="AL394" i="2"/>
  <c r="AR367" i="2"/>
  <c r="AR341" i="2"/>
  <c r="AL341" i="2"/>
  <c r="AR477" i="2"/>
  <c r="AR393" i="2"/>
  <c r="AR419" i="2"/>
  <c r="AR379" i="2"/>
  <c r="AR333" i="2"/>
  <c r="AR471" i="2"/>
  <c r="AL446" i="2"/>
  <c r="AR390" i="2"/>
  <c r="AR421" i="2"/>
  <c r="AL405" i="2"/>
  <c r="AR422" i="2"/>
  <c r="AR423" i="2"/>
  <c r="AR443" i="2"/>
  <c r="AR324" i="2"/>
  <c r="AR413" i="2"/>
  <c r="AR485" i="2"/>
  <c r="AL324" i="2"/>
  <c r="AR380" i="2"/>
  <c r="AR334" i="2"/>
  <c r="AL372" i="2"/>
  <c r="AR329" i="2"/>
  <c r="AL328" i="2"/>
  <c r="AR328" i="2"/>
  <c r="AR444" i="2"/>
  <c r="AR404" i="2"/>
  <c r="AR400" i="2"/>
  <c r="AL432" i="2"/>
  <c r="AR492" i="2"/>
  <c r="AR460" i="2"/>
  <c r="AR409" i="2"/>
  <c r="AR410" i="2"/>
  <c r="AL413" i="2"/>
  <c r="AR387" i="2"/>
  <c r="AR399" i="2"/>
  <c r="AL410" i="2"/>
  <c r="AR493" i="2"/>
  <c r="AR481" i="2"/>
  <c r="AR388" i="2"/>
  <c r="AL459" i="2"/>
  <c r="AR432" i="2"/>
  <c r="AR482" i="2"/>
  <c r="AR459" i="2"/>
  <c r="AL450" i="2"/>
  <c r="AL381" i="2"/>
  <c r="AR475" i="2"/>
  <c r="AL475" i="2"/>
  <c r="AR449" i="2"/>
  <c r="AR338" i="2"/>
  <c r="AR337" i="2"/>
  <c r="AR368" i="2"/>
  <c r="AR372" i="2"/>
  <c r="AR320" i="2"/>
  <c r="AR434" i="2"/>
  <c r="AR433" i="2"/>
  <c r="AR366" i="2"/>
  <c r="AR365" i="2"/>
  <c r="AR438" i="2"/>
  <c r="AR342" i="2"/>
  <c r="AR378" i="2"/>
  <c r="AL378" i="2"/>
  <c r="AR439" i="2"/>
  <c r="AR321" i="2"/>
  <c r="AR343" i="2"/>
  <c r="AR479" i="2"/>
  <c r="AR478" i="2"/>
  <c r="AR356" i="2"/>
  <c r="AL356" i="2"/>
  <c r="J46" i="6"/>
  <c r="J47" i="6"/>
  <c r="J48" i="6"/>
  <c r="J49" i="6"/>
  <c r="J50" i="6"/>
  <c r="J51" i="6"/>
  <c r="J52" i="6"/>
  <c r="J53" i="6"/>
  <c r="J54" i="6"/>
  <c r="J45" i="6"/>
  <c r="H46" i="6"/>
  <c r="H47" i="6"/>
  <c r="H48" i="6"/>
  <c r="H49" i="6"/>
  <c r="H50" i="6"/>
  <c r="H51" i="6"/>
  <c r="H52" i="6"/>
  <c r="H53" i="6"/>
  <c r="H54" i="6"/>
  <c r="H45" i="6"/>
  <c r="J32" i="6"/>
  <c r="J33" i="6"/>
  <c r="J34" i="6"/>
  <c r="J35" i="6"/>
  <c r="J36" i="6"/>
  <c r="J37" i="6"/>
  <c r="J38" i="6"/>
  <c r="J39" i="6"/>
  <c r="J40" i="6"/>
  <c r="J31" i="6"/>
  <c r="H32" i="6"/>
  <c r="H33" i="6"/>
  <c r="H34" i="6"/>
  <c r="H35" i="6"/>
  <c r="H36" i="6"/>
  <c r="H37" i="6"/>
  <c r="H38" i="6"/>
  <c r="H39" i="6"/>
  <c r="H40" i="6"/>
  <c r="H31" i="6"/>
  <c r="J18" i="6"/>
  <c r="J19" i="6"/>
  <c r="J20" i="6"/>
  <c r="J21" i="6"/>
  <c r="J22" i="6"/>
  <c r="J23" i="6"/>
  <c r="J24" i="6"/>
  <c r="J25" i="6"/>
  <c r="J26" i="6"/>
  <c r="J17" i="6"/>
  <c r="H18" i="6"/>
  <c r="H19" i="6"/>
  <c r="H20" i="6"/>
  <c r="H21" i="6"/>
  <c r="H22" i="6"/>
  <c r="H23" i="6"/>
  <c r="H24" i="6"/>
  <c r="H25" i="6"/>
  <c r="H26" i="6"/>
  <c r="H17" i="6"/>
  <c r="J12" i="6"/>
  <c r="AQ19" i="2" l="1"/>
  <c r="AQ20" i="2" s="1"/>
  <c r="AQ21" i="2" s="1"/>
  <c r="AQ22" i="2" s="1"/>
  <c r="B35" i="2"/>
  <c r="V35" i="2" s="1"/>
  <c r="B36" i="2"/>
  <c r="V36" i="2" s="1"/>
  <c r="B37" i="2"/>
  <c r="V37" i="2" s="1"/>
  <c r="B38" i="2"/>
  <c r="V38" i="2" s="1"/>
  <c r="B39" i="2"/>
  <c r="V39" i="2" s="1"/>
  <c r="B40" i="2"/>
  <c r="V40" i="2" s="1"/>
  <c r="B41" i="2"/>
  <c r="V41" i="2" s="1"/>
  <c r="B42" i="2"/>
  <c r="V42" i="2" s="1"/>
  <c r="B43" i="2"/>
  <c r="V43" i="2" s="1"/>
  <c r="B44" i="2"/>
  <c r="V44" i="2" s="1"/>
  <c r="B45" i="2"/>
  <c r="V45" i="2" s="1"/>
  <c r="B46" i="2"/>
  <c r="V46" i="2" s="1"/>
  <c r="B47" i="2"/>
  <c r="V47" i="2" s="1"/>
  <c r="B48" i="2"/>
  <c r="V48" i="2" s="1"/>
  <c r="B49" i="2"/>
  <c r="V49" i="2" s="1"/>
  <c r="B50" i="2"/>
  <c r="V50" i="2" s="1"/>
  <c r="B51" i="2"/>
  <c r="V51" i="2" s="1"/>
  <c r="B52" i="2"/>
  <c r="V52" i="2" s="1"/>
  <c r="B53" i="2"/>
  <c r="V53" i="2" s="1"/>
  <c r="B54" i="2"/>
  <c r="V54" i="2" s="1"/>
  <c r="B55" i="2"/>
  <c r="V55" i="2" s="1"/>
  <c r="B56" i="2"/>
  <c r="V56" i="2" s="1"/>
  <c r="B63" i="2"/>
  <c r="V63" i="2" s="1"/>
  <c r="B64" i="2"/>
  <c r="V64" i="2" s="1"/>
  <c r="B65" i="2"/>
  <c r="V65" i="2" s="1"/>
  <c r="B66" i="2"/>
  <c r="V66" i="2" s="1"/>
  <c r="B67" i="2"/>
  <c r="V67" i="2" s="1"/>
  <c r="B68" i="2"/>
  <c r="V68" i="2" s="1"/>
  <c r="B69" i="2"/>
  <c r="V69" i="2" s="1"/>
  <c r="B70" i="2"/>
  <c r="V70" i="2" s="1"/>
  <c r="V71" i="2"/>
  <c r="B72" i="2"/>
  <c r="V72" i="2" s="1"/>
  <c r="B73" i="2"/>
  <c r="V73" i="2" s="1"/>
  <c r="B74" i="2"/>
  <c r="V74" i="2" s="1"/>
  <c r="B75" i="2"/>
  <c r="V75" i="2" s="1"/>
  <c r="B76" i="2"/>
  <c r="V76" i="2" s="1"/>
  <c r="B77" i="2"/>
  <c r="V77" i="2" s="1"/>
  <c r="B78" i="2"/>
  <c r="V78" i="2" s="1"/>
  <c r="B79" i="2"/>
  <c r="V79" i="2" s="1"/>
  <c r="B80" i="2"/>
  <c r="V80" i="2" s="1"/>
  <c r="B81" i="2"/>
  <c r="V81" i="2" s="1"/>
  <c r="B82" i="2"/>
  <c r="V82" i="2" s="1"/>
  <c r="B83" i="2"/>
  <c r="V83" i="2" s="1"/>
  <c r="B84" i="2"/>
  <c r="V84" i="2" s="1"/>
  <c r="B85" i="2"/>
  <c r="V85" i="2" s="1"/>
  <c r="B86" i="2"/>
  <c r="V86" i="2" s="1"/>
  <c r="B87" i="2"/>
  <c r="V87" i="2" s="1"/>
  <c r="B88" i="2"/>
  <c r="V88" i="2" s="1"/>
  <c r="B89" i="2"/>
  <c r="V89" i="2" s="1"/>
  <c r="B90" i="2"/>
  <c r="V90" i="2" s="1"/>
  <c r="B91" i="2"/>
  <c r="V91" i="2" s="1"/>
  <c r="B92" i="2"/>
  <c r="V92" i="2" s="1"/>
  <c r="B93" i="2"/>
  <c r="V93" i="2" s="1"/>
  <c r="B94" i="2"/>
  <c r="V94" i="2" s="1"/>
  <c r="B95" i="2"/>
  <c r="V95" i="2" s="1"/>
  <c r="B96" i="2"/>
  <c r="V96" i="2" s="1"/>
  <c r="B97" i="2"/>
  <c r="V97" i="2" s="1"/>
  <c r="B98" i="2"/>
  <c r="V98" i="2" s="1"/>
  <c r="B99" i="2"/>
  <c r="V99" i="2" s="1"/>
  <c r="B100" i="2"/>
  <c r="V100" i="2" s="1"/>
  <c r="B101" i="2"/>
  <c r="V101" i="2" s="1"/>
  <c r="B102" i="2"/>
  <c r="V102" i="2" s="1"/>
  <c r="B103" i="2"/>
  <c r="V103" i="2" s="1"/>
  <c r="B104" i="2"/>
  <c r="V104" i="2" s="1"/>
  <c r="B105" i="2"/>
  <c r="V105" i="2" s="1"/>
  <c r="B106" i="2"/>
  <c r="V106" i="2" s="1"/>
  <c r="B107" i="2"/>
  <c r="V107" i="2" s="1"/>
  <c r="B108" i="2"/>
  <c r="V108" i="2" s="1"/>
  <c r="B109" i="2"/>
  <c r="V109" i="2" s="1"/>
  <c r="B110" i="2"/>
  <c r="V110" i="2" s="1"/>
  <c r="B111" i="2"/>
  <c r="V111" i="2" s="1"/>
  <c r="B112" i="2"/>
  <c r="V112" i="2" s="1"/>
  <c r="B113" i="2"/>
  <c r="V113" i="2" s="1"/>
  <c r="B114" i="2"/>
  <c r="V114" i="2" s="1"/>
  <c r="B115" i="2"/>
  <c r="V115" i="2" s="1"/>
  <c r="B116" i="2"/>
  <c r="V116" i="2" s="1"/>
  <c r="B117" i="2"/>
  <c r="V117" i="2" s="1"/>
  <c r="B118" i="2"/>
  <c r="V118" i="2" s="1"/>
  <c r="B119" i="2"/>
  <c r="V119" i="2" s="1"/>
  <c r="B120" i="2"/>
  <c r="V120" i="2" s="1"/>
  <c r="B121" i="2"/>
  <c r="V121" i="2" s="1"/>
  <c r="B122" i="2"/>
  <c r="V122" i="2" s="1"/>
  <c r="B123" i="2"/>
  <c r="V123" i="2" s="1"/>
  <c r="B124" i="2"/>
  <c r="V124" i="2" s="1"/>
  <c r="B125" i="2"/>
  <c r="V125" i="2" s="1"/>
  <c r="B126" i="2"/>
  <c r="V126" i="2" s="1"/>
  <c r="B127" i="2"/>
  <c r="V127" i="2" s="1"/>
  <c r="B128" i="2"/>
  <c r="V128" i="2" s="1"/>
  <c r="B129" i="2"/>
  <c r="V129" i="2" s="1"/>
  <c r="V130" i="2"/>
  <c r="B131" i="2"/>
  <c r="V131" i="2" s="1"/>
  <c r="B132" i="2"/>
  <c r="V132" i="2" s="1"/>
  <c r="B133" i="2"/>
  <c r="V133" i="2" s="1"/>
  <c r="B134" i="2"/>
  <c r="V134" i="2" s="1"/>
  <c r="B135" i="2"/>
  <c r="V135" i="2" s="1"/>
  <c r="B136" i="2"/>
  <c r="V136" i="2" s="1"/>
  <c r="B139" i="2"/>
  <c r="V139" i="2" s="1"/>
  <c r="B140" i="2"/>
  <c r="V140" i="2" s="1"/>
  <c r="B141" i="2"/>
  <c r="V141" i="2" s="1"/>
  <c r="B142" i="2"/>
  <c r="V142" i="2" s="1"/>
  <c r="B143" i="2"/>
  <c r="V143" i="2" s="1"/>
  <c r="B144" i="2"/>
  <c r="V144" i="2" s="1"/>
  <c r="B145" i="2"/>
  <c r="V145" i="2" s="1"/>
  <c r="B146" i="2"/>
  <c r="V146" i="2" s="1"/>
  <c r="B147" i="2"/>
  <c r="V147" i="2" s="1"/>
  <c r="B148" i="2"/>
  <c r="V148" i="2" s="1"/>
  <c r="B149" i="2"/>
  <c r="V149" i="2" s="1"/>
  <c r="B150" i="2"/>
  <c r="V150" i="2" s="1"/>
  <c r="B151" i="2"/>
  <c r="V151" i="2" s="1"/>
  <c r="B152" i="2"/>
  <c r="V152" i="2" s="1"/>
  <c r="B153" i="2"/>
  <c r="V153" i="2" s="1"/>
  <c r="B154" i="2"/>
  <c r="V154" i="2" s="1"/>
  <c r="B155" i="2"/>
  <c r="V155" i="2" s="1"/>
  <c r="B156" i="2"/>
  <c r="V156" i="2" s="1"/>
  <c r="B157" i="2"/>
  <c r="V157" i="2" s="1"/>
  <c r="B158" i="2"/>
  <c r="V158" i="2" s="1"/>
  <c r="B159" i="2"/>
  <c r="V159" i="2" s="1"/>
  <c r="B160" i="2"/>
  <c r="V160" i="2" s="1"/>
  <c r="B161" i="2"/>
  <c r="V161" i="2" s="1"/>
  <c r="B261" i="2"/>
  <c r="V261" i="2" s="1"/>
  <c r="B259" i="2"/>
  <c r="V259" i="2" s="1"/>
  <c r="B258" i="2"/>
  <c r="V258" i="2" s="1"/>
  <c r="B257" i="2"/>
  <c r="V257" i="2" s="1"/>
  <c r="B256" i="2"/>
  <c r="V256" i="2" s="1"/>
  <c r="B255" i="2"/>
  <c r="V255" i="2" s="1"/>
  <c r="B254" i="2"/>
  <c r="V254" i="2" s="1"/>
  <c r="B253" i="2"/>
  <c r="V253" i="2" s="1"/>
  <c r="B252" i="2"/>
  <c r="V252" i="2" s="1"/>
  <c r="B251" i="2"/>
  <c r="V251" i="2" s="1"/>
  <c r="B250" i="2"/>
  <c r="V250" i="2" s="1"/>
  <c r="B249" i="2"/>
  <c r="V249" i="2" s="1"/>
  <c r="B248" i="2"/>
  <c r="V248" i="2" s="1"/>
  <c r="B247" i="2"/>
  <c r="V247" i="2" s="1"/>
  <c r="B245" i="2"/>
  <c r="V245" i="2" s="1"/>
  <c r="B244" i="2"/>
  <c r="V244" i="2" s="1"/>
  <c r="B243" i="2"/>
  <c r="V243" i="2" s="1"/>
  <c r="B242" i="2"/>
  <c r="V242" i="2" s="1"/>
  <c r="B241" i="2"/>
  <c r="V241" i="2" s="1"/>
  <c r="B240" i="2"/>
  <c r="V240" i="2" s="1"/>
  <c r="B239" i="2"/>
  <c r="V239" i="2" s="1"/>
  <c r="B238" i="2"/>
  <c r="V238" i="2" s="1"/>
  <c r="B237" i="2"/>
  <c r="V237" i="2" s="1"/>
  <c r="B236" i="2"/>
  <c r="V236" i="2" s="1"/>
  <c r="B235" i="2"/>
  <c r="V235" i="2" s="1"/>
  <c r="B234" i="2"/>
  <c r="V234" i="2" s="1"/>
  <c r="B233" i="2"/>
  <c r="V233" i="2" s="1"/>
  <c r="B232" i="2"/>
  <c r="V232" i="2" s="1"/>
  <c r="B231" i="2"/>
  <c r="V231" i="2" s="1"/>
  <c r="B230" i="2"/>
  <c r="V230" i="2" s="1"/>
  <c r="B229" i="2"/>
  <c r="V229" i="2" s="1"/>
  <c r="B228" i="2"/>
  <c r="V228" i="2" s="1"/>
  <c r="B227" i="2"/>
  <c r="V227" i="2" s="1"/>
  <c r="B226" i="2"/>
  <c r="V226" i="2" s="1"/>
  <c r="B225" i="2"/>
  <c r="V225" i="2" s="1"/>
  <c r="B224" i="2"/>
  <c r="V224" i="2" s="1"/>
  <c r="B223" i="2"/>
  <c r="V223" i="2" s="1"/>
  <c r="B222" i="2"/>
  <c r="V222" i="2" s="1"/>
  <c r="B221" i="2"/>
  <c r="V221" i="2" s="1"/>
  <c r="B220" i="2"/>
  <c r="V220" i="2" s="1"/>
  <c r="B219" i="2"/>
  <c r="V219" i="2" s="1"/>
  <c r="B218" i="2"/>
  <c r="V218" i="2" s="1"/>
  <c r="B217" i="2"/>
  <c r="V217" i="2" s="1"/>
  <c r="B216" i="2"/>
  <c r="V216" i="2" s="1"/>
  <c r="B215" i="2"/>
  <c r="V215" i="2" s="1"/>
  <c r="B214" i="2"/>
  <c r="V214" i="2" s="1"/>
  <c r="B213" i="2"/>
  <c r="V213" i="2" s="1"/>
  <c r="B212" i="2"/>
  <c r="V212" i="2" s="1"/>
  <c r="B211" i="2"/>
  <c r="V211" i="2" s="1"/>
  <c r="B210" i="2"/>
  <c r="V210" i="2" s="1"/>
  <c r="B209" i="2"/>
  <c r="V209" i="2" s="1"/>
  <c r="B208" i="2"/>
  <c r="V208" i="2" s="1"/>
  <c r="B207" i="2"/>
  <c r="V207" i="2" s="1"/>
  <c r="B206" i="2"/>
  <c r="V206" i="2" s="1"/>
  <c r="B205" i="2"/>
  <c r="V205" i="2" s="1"/>
  <c r="B204" i="2"/>
  <c r="V204" i="2" s="1"/>
  <c r="B203" i="2"/>
  <c r="V203" i="2" s="1"/>
  <c r="B201" i="2"/>
  <c r="V201" i="2" s="1"/>
  <c r="B200" i="2"/>
  <c r="V200" i="2" s="1"/>
  <c r="B199" i="2"/>
  <c r="V199" i="2" s="1"/>
  <c r="B198" i="2"/>
  <c r="V198" i="2" s="1"/>
  <c r="B197" i="2"/>
  <c r="V197" i="2" s="1"/>
  <c r="B196" i="2"/>
  <c r="V196" i="2" s="1"/>
  <c r="B195" i="2"/>
  <c r="V195" i="2" s="1"/>
  <c r="B194" i="2"/>
  <c r="V194" i="2" s="1"/>
  <c r="B193" i="2"/>
  <c r="V193" i="2" s="1"/>
  <c r="B192" i="2"/>
  <c r="V192" i="2" s="1"/>
  <c r="B191" i="2"/>
  <c r="V191" i="2" s="1"/>
  <c r="B190" i="2"/>
  <c r="V190" i="2" s="1"/>
  <c r="B189" i="2"/>
  <c r="V189" i="2" s="1"/>
  <c r="B188" i="2"/>
  <c r="V188" i="2" s="1"/>
  <c r="B187" i="2"/>
  <c r="V187" i="2" s="1"/>
  <c r="B186" i="2"/>
  <c r="V186" i="2" s="1"/>
  <c r="B185" i="2"/>
  <c r="V185" i="2" s="1"/>
  <c r="B184" i="2"/>
  <c r="V184" i="2" s="1"/>
  <c r="B183" i="2"/>
  <c r="V183" i="2" s="1"/>
  <c r="B182" i="2"/>
  <c r="V182" i="2" s="1"/>
  <c r="B181" i="2"/>
  <c r="V181" i="2" s="1"/>
  <c r="B180" i="2"/>
  <c r="V180" i="2" s="1"/>
  <c r="B179" i="2"/>
  <c r="V179" i="2" s="1"/>
  <c r="B178" i="2"/>
  <c r="V178" i="2" s="1"/>
  <c r="B177" i="2"/>
  <c r="V177" i="2" s="1"/>
  <c r="B176" i="2"/>
  <c r="V176" i="2" s="1"/>
  <c r="B175" i="2"/>
  <c r="V175" i="2" s="1"/>
  <c r="B174" i="2"/>
  <c r="V174" i="2" s="1"/>
  <c r="B173" i="2"/>
  <c r="V173" i="2" s="1"/>
  <c r="B172" i="2"/>
  <c r="V172" i="2" s="1"/>
  <c r="B171" i="2"/>
  <c r="V171" i="2" s="1"/>
  <c r="V170" i="2"/>
  <c r="V169" i="2"/>
  <c r="B168" i="2"/>
  <c r="V168" i="2" s="1"/>
  <c r="B167" i="2"/>
  <c r="V167" i="2" s="1"/>
  <c r="E55" i="6"/>
  <c r="AQ24" i="2" l="1"/>
  <c r="AQ23" i="2"/>
  <c r="B262" i="2"/>
  <c r="V262" i="2" s="1"/>
  <c r="B263" i="2"/>
  <c r="V263" i="2" s="1"/>
  <c r="B264" i="2"/>
  <c r="V264" i="2" s="1"/>
  <c r="B265" i="2"/>
  <c r="V265" i="2" s="1"/>
  <c r="B266" i="2"/>
  <c r="V266" i="2" s="1"/>
  <c r="B267" i="2"/>
  <c r="V267" i="2" s="1"/>
  <c r="B268" i="2"/>
  <c r="V268" i="2" s="1"/>
  <c r="B269" i="2"/>
  <c r="V269" i="2" s="1"/>
  <c r="B270" i="2"/>
  <c r="V270" i="2" s="1"/>
  <c r="B271" i="2"/>
  <c r="V271" i="2" s="1"/>
  <c r="B272" i="2"/>
  <c r="V272" i="2" s="1"/>
  <c r="B273" i="2"/>
  <c r="V273" i="2" s="1"/>
  <c r="B274" i="2"/>
  <c r="V274" i="2" s="1"/>
  <c r="B275" i="2"/>
  <c r="V275" i="2" s="1"/>
  <c r="B276" i="2"/>
  <c r="V276" i="2" s="1"/>
  <c r="B277" i="2"/>
  <c r="V277" i="2" s="1"/>
  <c r="B278" i="2"/>
  <c r="V278" i="2" s="1"/>
  <c r="B279" i="2"/>
  <c r="V279" i="2" s="1"/>
  <c r="B280" i="2"/>
  <c r="V280" i="2" s="1"/>
  <c r="B281" i="2"/>
  <c r="V281" i="2" s="1"/>
  <c r="B282" i="2"/>
  <c r="V282" i="2" s="1"/>
  <c r="B283" i="2"/>
  <c r="V283" i="2" s="1"/>
  <c r="B284" i="2"/>
  <c r="V284" i="2" s="1"/>
  <c r="B285" i="2"/>
  <c r="V285" i="2" s="1"/>
  <c r="B286" i="2"/>
  <c r="V286" i="2" s="1"/>
  <c r="B287" i="2"/>
  <c r="V287" i="2" s="1"/>
  <c r="B288" i="2"/>
  <c r="V288" i="2" s="1"/>
  <c r="B289" i="2"/>
  <c r="V289" i="2" s="1"/>
  <c r="B290" i="2"/>
  <c r="V290" i="2" s="1"/>
  <c r="B291" i="2"/>
  <c r="V291" i="2" s="1"/>
  <c r="B292" i="2"/>
  <c r="V292" i="2" s="1"/>
  <c r="B293" i="2"/>
  <c r="V293" i="2" s="1"/>
  <c r="B294" i="2"/>
  <c r="V294" i="2" s="1"/>
  <c r="B295" i="2"/>
  <c r="V295" i="2" s="1"/>
  <c r="B296" i="2"/>
  <c r="V296" i="2" s="1"/>
  <c r="B297" i="2"/>
  <c r="V297" i="2" s="1"/>
  <c r="B298" i="2"/>
  <c r="V298" i="2" s="1"/>
  <c r="B299" i="2"/>
  <c r="V299" i="2" s="1"/>
  <c r="B300" i="2"/>
  <c r="V300" i="2" s="1"/>
  <c r="B301" i="2"/>
  <c r="V301" i="2" s="1"/>
  <c r="B303" i="2"/>
  <c r="V303" i="2" s="1"/>
  <c r="B304" i="2"/>
  <c r="V304" i="2" s="1"/>
  <c r="B305" i="2"/>
  <c r="V305" i="2" s="1"/>
  <c r="B306" i="2"/>
  <c r="V306" i="2" s="1"/>
  <c r="B312" i="2"/>
  <c r="V312" i="2" s="1"/>
  <c r="B313" i="2"/>
  <c r="V313" i="2" s="1"/>
  <c r="B314" i="2"/>
  <c r="V314" i="2" s="1"/>
  <c r="B315" i="2"/>
  <c r="V315" i="2" s="1"/>
  <c r="B316" i="2"/>
  <c r="V316" i="2" s="1"/>
  <c r="AQ25" i="2" l="1"/>
  <c r="AQ26" i="2" s="1"/>
  <c r="AQ27" i="2" s="1"/>
  <c r="E41" i="6"/>
  <c r="AQ29" i="2" l="1"/>
  <c r="AQ30" i="2" s="1"/>
  <c r="AQ32" i="2" s="1"/>
  <c r="AQ28" i="2"/>
  <c r="AI367" i="2"/>
  <c r="AI359" i="2" l="1"/>
  <c r="I35" i="2" l="1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E37" i="6" l="1"/>
  <c r="E38" i="6"/>
  <c r="E39" i="6"/>
  <c r="E40" i="6"/>
  <c r="F35" i="2" l="1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J116" i="6" l="1"/>
  <c r="E116" i="6"/>
  <c r="J115" i="6"/>
  <c r="H115" i="6"/>
  <c r="E115" i="6"/>
  <c r="C115" i="6"/>
  <c r="J114" i="6"/>
  <c r="H114" i="6"/>
  <c r="E114" i="6"/>
  <c r="C114" i="6"/>
  <c r="J113" i="6"/>
  <c r="H113" i="6"/>
  <c r="E113" i="6"/>
  <c r="C113" i="6"/>
  <c r="J112" i="6"/>
  <c r="H112" i="6"/>
  <c r="E112" i="6"/>
  <c r="C112" i="6"/>
  <c r="J111" i="6"/>
  <c r="H111" i="6"/>
  <c r="E111" i="6"/>
  <c r="C111" i="6"/>
  <c r="J110" i="6"/>
  <c r="H110" i="6"/>
  <c r="E110" i="6"/>
  <c r="C110" i="6"/>
  <c r="J109" i="6"/>
  <c r="H109" i="6"/>
  <c r="E109" i="6"/>
  <c r="C109" i="6"/>
  <c r="J108" i="6"/>
  <c r="H108" i="6"/>
  <c r="E108" i="6"/>
  <c r="C108" i="6"/>
  <c r="J107" i="6"/>
  <c r="H107" i="6"/>
  <c r="E107" i="6"/>
  <c r="C107" i="6"/>
  <c r="J106" i="6"/>
  <c r="H106" i="6"/>
  <c r="E106" i="6"/>
  <c r="C106" i="6"/>
  <c r="J102" i="6"/>
  <c r="E102" i="6"/>
  <c r="J101" i="6"/>
  <c r="H101" i="6"/>
  <c r="E101" i="6"/>
  <c r="C101" i="6"/>
  <c r="J100" i="6"/>
  <c r="H100" i="6"/>
  <c r="E100" i="6"/>
  <c r="C100" i="6"/>
  <c r="J99" i="6"/>
  <c r="H99" i="6"/>
  <c r="E99" i="6"/>
  <c r="C99" i="6"/>
  <c r="J98" i="6"/>
  <c r="H98" i="6"/>
  <c r="E98" i="6"/>
  <c r="C98" i="6"/>
  <c r="J97" i="6"/>
  <c r="H97" i="6"/>
  <c r="E97" i="6"/>
  <c r="C97" i="6"/>
  <c r="J96" i="6"/>
  <c r="H96" i="6"/>
  <c r="E96" i="6"/>
  <c r="C96" i="6"/>
  <c r="J95" i="6"/>
  <c r="H95" i="6"/>
  <c r="E95" i="6"/>
  <c r="C95" i="6"/>
  <c r="J94" i="6"/>
  <c r="H94" i="6"/>
  <c r="E94" i="6"/>
  <c r="C94" i="6"/>
  <c r="J93" i="6"/>
  <c r="H93" i="6"/>
  <c r="E93" i="6"/>
  <c r="C93" i="6"/>
  <c r="J92" i="6"/>
  <c r="H92" i="6"/>
  <c r="E92" i="6"/>
  <c r="C92" i="6"/>
  <c r="J88" i="6"/>
  <c r="E88" i="6"/>
  <c r="J87" i="6"/>
  <c r="H87" i="6"/>
  <c r="E87" i="6"/>
  <c r="C87" i="6"/>
  <c r="J86" i="6"/>
  <c r="H86" i="6"/>
  <c r="E86" i="6"/>
  <c r="C86" i="6"/>
  <c r="J85" i="6"/>
  <c r="H85" i="6"/>
  <c r="E85" i="6"/>
  <c r="C85" i="6"/>
  <c r="J84" i="6"/>
  <c r="H84" i="6"/>
  <c r="E84" i="6"/>
  <c r="C84" i="6"/>
  <c r="J83" i="6"/>
  <c r="H83" i="6"/>
  <c r="E83" i="6"/>
  <c r="C83" i="6"/>
  <c r="J82" i="6"/>
  <c r="H82" i="6"/>
  <c r="E82" i="6"/>
  <c r="C82" i="6"/>
  <c r="J81" i="6"/>
  <c r="H81" i="6"/>
  <c r="E81" i="6"/>
  <c r="C81" i="6"/>
  <c r="J80" i="6"/>
  <c r="H80" i="6"/>
  <c r="E80" i="6"/>
  <c r="C80" i="6"/>
  <c r="J79" i="6"/>
  <c r="H79" i="6"/>
  <c r="E79" i="6"/>
  <c r="C79" i="6"/>
  <c r="J78" i="6"/>
  <c r="H78" i="6"/>
  <c r="E78" i="6"/>
  <c r="C78" i="6"/>
  <c r="J74" i="6"/>
  <c r="E74" i="6"/>
  <c r="J73" i="6"/>
  <c r="H73" i="6"/>
  <c r="E73" i="6"/>
  <c r="C73" i="6"/>
  <c r="J72" i="6"/>
  <c r="H72" i="6"/>
  <c r="E72" i="6"/>
  <c r="C72" i="6"/>
  <c r="J71" i="6"/>
  <c r="H71" i="6"/>
  <c r="E71" i="6"/>
  <c r="C71" i="6"/>
  <c r="J70" i="6"/>
  <c r="H70" i="6"/>
  <c r="E70" i="6"/>
  <c r="C70" i="6"/>
  <c r="J69" i="6"/>
  <c r="H69" i="6"/>
  <c r="E69" i="6"/>
  <c r="C69" i="6"/>
  <c r="J68" i="6"/>
  <c r="H68" i="6"/>
  <c r="E68" i="6"/>
  <c r="C68" i="6"/>
  <c r="J67" i="6"/>
  <c r="H67" i="6"/>
  <c r="E67" i="6"/>
  <c r="C67" i="6"/>
  <c r="J66" i="6"/>
  <c r="H66" i="6"/>
  <c r="E66" i="6"/>
  <c r="C66" i="6"/>
  <c r="J65" i="6"/>
  <c r="H65" i="6"/>
  <c r="E65" i="6"/>
  <c r="C65" i="6"/>
  <c r="J64" i="6"/>
  <c r="H64" i="6"/>
  <c r="E64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C40" i="6"/>
  <c r="C39" i="6"/>
  <c r="C38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J13" i="6"/>
  <c r="E13" i="6"/>
  <c r="H12" i="6"/>
  <c r="E12" i="6"/>
  <c r="C12" i="6"/>
  <c r="J11" i="6"/>
  <c r="H11" i="6"/>
  <c r="E11" i="6"/>
  <c r="C11" i="6"/>
  <c r="J10" i="6"/>
  <c r="H10" i="6"/>
  <c r="E10" i="6"/>
  <c r="C10" i="6"/>
  <c r="J9" i="6"/>
  <c r="H9" i="6"/>
  <c r="E9" i="6"/>
  <c r="C9" i="6"/>
  <c r="J8" i="6"/>
  <c r="H8" i="6"/>
  <c r="E8" i="6"/>
  <c r="C8" i="6"/>
  <c r="J7" i="6"/>
  <c r="H7" i="6"/>
  <c r="E7" i="6"/>
  <c r="C7" i="6"/>
  <c r="J6" i="6"/>
  <c r="H6" i="6"/>
  <c r="E6" i="6"/>
  <c r="C6" i="6"/>
  <c r="J5" i="6"/>
  <c r="H5" i="6"/>
  <c r="E5" i="6"/>
  <c r="C5" i="6"/>
  <c r="J4" i="6"/>
  <c r="H4" i="6"/>
  <c r="E4" i="6"/>
  <c r="C4" i="6"/>
  <c r="J3" i="6"/>
  <c r="H3" i="6"/>
  <c r="E3" i="6"/>
  <c r="C3" i="6"/>
  <c r="AP2" i="2" l="1"/>
  <c r="D316" i="2"/>
  <c r="E316" i="2" s="1"/>
  <c r="D315" i="2"/>
  <c r="E315" i="2" s="1"/>
  <c r="D314" i="2"/>
  <c r="E314" i="2" s="1"/>
  <c r="D313" i="2"/>
  <c r="E313" i="2" s="1"/>
  <c r="D312" i="2"/>
  <c r="E312" i="2" s="1"/>
  <c r="D311" i="2"/>
  <c r="E311" i="2" s="1"/>
  <c r="D310" i="2"/>
  <c r="E310" i="2" s="1"/>
  <c r="D309" i="2"/>
  <c r="E309" i="2" s="1"/>
  <c r="D308" i="2"/>
  <c r="E308" i="2" s="1"/>
  <c r="D307" i="2"/>
  <c r="E307" i="2" s="1"/>
  <c r="D306" i="2"/>
  <c r="E306" i="2" s="1"/>
  <c r="D305" i="2"/>
  <c r="E305" i="2" s="1"/>
  <c r="D304" i="2"/>
  <c r="E304" i="2" s="1"/>
  <c r="D303" i="2"/>
  <c r="E303" i="2" s="1"/>
  <c r="D302" i="2"/>
  <c r="E302" i="2" s="1"/>
  <c r="D301" i="2"/>
  <c r="E301" i="2" s="1"/>
  <c r="D300" i="2"/>
  <c r="E300" i="2" s="1"/>
  <c r="D299" i="2"/>
  <c r="E299" i="2" s="1"/>
  <c r="D298" i="2"/>
  <c r="E298" i="2" s="1"/>
  <c r="D297" i="2"/>
  <c r="E297" i="2" s="1"/>
  <c r="D296" i="2"/>
  <c r="E296" i="2" s="1"/>
  <c r="D295" i="2"/>
  <c r="E295" i="2" s="1"/>
  <c r="D294" i="2"/>
  <c r="E294" i="2" s="1"/>
  <c r="D293" i="2"/>
  <c r="E293" i="2" s="1"/>
  <c r="D292" i="2"/>
  <c r="E292" i="2" s="1"/>
  <c r="D291" i="2"/>
  <c r="E291" i="2" s="1"/>
  <c r="D290" i="2"/>
  <c r="E290" i="2" s="1"/>
  <c r="D289" i="2"/>
  <c r="E289" i="2" s="1"/>
  <c r="D288" i="2"/>
  <c r="E288" i="2" s="1"/>
  <c r="D287" i="2"/>
  <c r="E287" i="2" s="1"/>
  <c r="D286" i="2"/>
  <c r="E286" i="2" s="1"/>
  <c r="D285" i="2"/>
  <c r="E285" i="2" s="1"/>
  <c r="D284" i="2"/>
  <c r="E284" i="2" s="1"/>
  <c r="D283" i="2"/>
  <c r="E283" i="2" s="1"/>
  <c r="D282" i="2"/>
  <c r="E282" i="2" s="1"/>
  <c r="D281" i="2"/>
  <c r="E281" i="2" s="1"/>
  <c r="D280" i="2"/>
  <c r="E280" i="2" s="1"/>
  <c r="D279" i="2"/>
  <c r="E279" i="2" s="1"/>
  <c r="D278" i="2"/>
  <c r="E278" i="2" s="1"/>
  <c r="D277" i="2"/>
  <c r="E277" i="2" s="1"/>
  <c r="D276" i="2"/>
  <c r="E276" i="2" s="1"/>
  <c r="D275" i="2"/>
  <c r="E275" i="2" s="1"/>
  <c r="D274" i="2"/>
  <c r="E274" i="2" s="1"/>
  <c r="D273" i="2"/>
  <c r="E273" i="2" s="1"/>
  <c r="D272" i="2"/>
  <c r="E272" i="2" s="1"/>
  <c r="D271" i="2"/>
  <c r="E271" i="2" s="1"/>
  <c r="D270" i="2"/>
  <c r="E270" i="2" s="1"/>
  <c r="D269" i="2"/>
  <c r="E269" i="2" s="1"/>
  <c r="D268" i="2"/>
  <c r="E268" i="2" s="1"/>
  <c r="D267" i="2"/>
  <c r="E267" i="2" s="1"/>
  <c r="D266" i="2"/>
  <c r="E266" i="2" s="1"/>
  <c r="D265" i="2"/>
  <c r="E265" i="2" s="1"/>
  <c r="D264" i="2"/>
  <c r="E264" i="2" s="1"/>
  <c r="D263" i="2"/>
  <c r="E263" i="2" s="1"/>
  <c r="D262" i="2"/>
  <c r="E262" i="2" s="1"/>
  <c r="D261" i="2"/>
  <c r="E261" i="2" s="1"/>
  <c r="D260" i="2"/>
  <c r="E260" i="2" s="1"/>
  <c r="D259" i="2"/>
  <c r="E259" i="2" s="1"/>
  <c r="D258" i="2"/>
  <c r="E258" i="2" s="1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D251" i="2"/>
  <c r="E251" i="2" s="1"/>
  <c r="D250" i="2"/>
  <c r="E250" i="2" s="1"/>
  <c r="D249" i="2"/>
  <c r="E249" i="2" s="1"/>
  <c r="D248" i="2"/>
  <c r="E248" i="2" s="1"/>
  <c r="D247" i="2"/>
  <c r="E247" i="2" s="1"/>
  <c r="D246" i="2"/>
  <c r="E246" i="2" s="1"/>
  <c r="D245" i="2"/>
  <c r="E245" i="2" s="1"/>
  <c r="D244" i="2"/>
  <c r="E244" i="2" s="1"/>
  <c r="D243" i="2"/>
  <c r="E243" i="2" s="1"/>
  <c r="D242" i="2"/>
  <c r="E242" i="2" s="1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D235" i="2"/>
  <c r="E235" i="2" s="1"/>
  <c r="D234" i="2"/>
  <c r="E234" i="2" s="1"/>
  <c r="D233" i="2"/>
  <c r="E233" i="2" s="1"/>
  <c r="D232" i="2"/>
  <c r="E232" i="2" s="1"/>
  <c r="D231" i="2"/>
  <c r="E231" i="2" s="1"/>
  <c r="D230" i="2"/>
  <c r="E230" i="2" s="1"/>
  <c r="D229" i="2"/>
  <c r="E229" i="2" s="1"/>
  <c r="D228" i="2"/>
  <c r="E228" i="2" s="1"/>
  <c r="D227" i="2"/>
  <c r="E227" i="2" s="1"/>
  <c r="D226" i="2"/>
  <c r="E226" i="2" s="1"/>
  <c r="D225" i="2"/>
  <c r="E225" i="2" s="1"/>
  <c r="D224" i="2"/>
  <c r="E224" i="2" s="1"/>
  <c r="D223" i="2"/>
  <c r="E223" i="2" s="1"/>
  <c r="D222" i="2"/>
  <c r="E222" i="2" s="1"/>
  <c r="D221" i="2"/>
  <c r="E221" i="2" s="1"/>
  <c r="D220" i="2"/>
  <c r="E220" i="2" s="1"/>
  <c r="D219" i="2"/>
  <c r="E219" i="2" s="1"/>
  <c r="D218" i="2"/>
  <c r="E218" i="2" s="1"/>
  <c r="D217" i="2"/>
  <c r="E217" i="2" s="1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D210" i="2"/>
  <c r="E210" i="2" s="1"/>
  <c r="D209" i="2"/>
  <c r="E209" i="2" s="1"/>
  <c r="D208" i="2"/>
  <c r="E208" i="2" s="1"/>
  <c r="D207" i="2"/>
  <c r="E207" i="2" s="1"/>
  <c r="D206" i="2"/>
  <c r="E206" i="2" s="1"/>
  <c r="D205" i="2"/>
  <c r="E205" i="2" s="1"/>
  <c r="D204" i="2"/>
  <c r="E204" i="2" s="1"/>
  <c r="D203" i="2"/>
  <c r="E203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E186" i="2" s="1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D178" i="2"/>
  <c r="E178" i="2" s="1"/>
  <c r="D177" i="2"/>
  <c r="E177" i="2" s="1"/>
  <c r="D176" i="2"/>
  <c r="E176" i="2" s="1"/>
  <c r="D175" i="2"/>
  <c r="E175" i="2" s="1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D162" i="2"/>
  <c r="E162" i="2" s="1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K314" i="2" l="1"/>
  <c r="K309" i="2"/>
  <c r="J302" i="2"/>
  <c r="L300" i="2"/>
  <c r="K298" i="2"/>
  <c r="L294" i="2"/>
  <c r="J293" i="2"/>
  <c r="L292" i="2"/>
  <c r="K290" i="2"/>
  <c r="L283" i="2"/>
  <c r="J281" i="2"/>
  <c r="L280" i="2"/>
  <c r="K278" i="2"/>
  <c r="K272" i="2"/>
  <c r="K271" i="2"/>
  <c r="K270" i="2"/>
  <c r="K269" i="2"/>
  <c r="J268" i="2"/>
  <c r="L264" i="2"/>
  <c r="K263" i="2"/>
  <c r="L262" i="2"/>
  <c r="K261" i="2"/>
  <c r="K259" i="2"/>
  <c r="J256" i="2"/>
  <c r="L252" i="2"/>
  <c r="K251" i="2"/>
  <c r="L243" i="2"/>
  <c r="K241" i="2"/>
  <c r="L240" i="2"/>
  <c r="J238" i="2"/>
  <c r="K237" i="2"/>
  <c r="L234" i="2"/>
  <c r="L233" i="2"/>
  <c r="K231" i="2"/>
  <c r="L227" i="2"/>
  <c r="L225" i="2"/>
  <c r="L224" i="2"/>
  <c r="L219" i="2"/>
  <c r="L218" i="2"/>
  <c r="J214" i="2"/>
  <c r="L211" i="2"/>
  <c r="K210" i="2"/>
  <c r="J209" i="2"/>
  <c r="K205" i="2"/>
  <c r="L196" i="2"/>
  <c r="L193" i="2"/>
  <c r="K191" i="2"/>
  <c r="L184" i="2"/>
  <c r="K181" i="2"/>
  <c r="J179" i="2"/>
  <c r="L178" i="2"/>
  <c r="L176" i="2"/>
  <c r="K170" i="2"/>
  <c r="L169" i="2"/>
  <c r="K165" i="2"/>
  <c r="J160" i="2"/>
  <c r="L159" i="2"/>
  <c r="K157" i="2"/>
  <c r="L151" i="2"/>
  <c r="L150" i="2"/>
  <c r="K147" i="2"/>
  <c r="K144" i="2"/>
  <c r="J143" i="2"/>
  <c r="L141" i="2"/>
  <c r="K135" i="2"/>
  <c r="L132" i="2"/>
  <c r="L130" i="2"/>
  <c r="L128" i="2"/>
  <c r="L127" i="2"/>
  <c r="K125" i="2"/>
  <c r="L124" i="2"/>
  <c r="J121" i="2"/>
  <c r="J118" i="2"/>
  <c r="L116" i="2"/>
  <c r="K115" i="2"/>
  <c r="K112" i="2"/>
  <c r="L110" i="2"/>
  <c r="L107" i="2"/>
  <c r="L106" i="2"/>
  <c r="L104" i="2"/>
  <c r="L103" i="2"/>
  <c r="J97" i="2"/>
  <c r="K91" i="2"/>
  <c r="K88" i="2"/>
  <c r="K76" i="2"/>
  <c r="L72" i="2"/>
  <c r="J70" i="2"/>
  <c r="J67" i="2"/>
  <c r="K65" i="2"/>
  <c r="L64" i="2"/>
  <c r="L61" i="2"/>
  <c r="K58" i="2"/>
  <c r="K49" i="2"/>
  <c r="J37" i="2"/>
  <c r="K218" i="2"/>
  <c r="J147" i="2"/>
  <c r="K176" i="2"/>
  <c r="K169" i="2"/>
  <c r="L181" i="2"/>
  <c r="L58" i="2"/>
  <c r="J49" i="2"/>
  <c r="K294" i="2"/>
  <c r="J227" i="2"/>
  <c r="K225" i="2"/>
  <c r="K214" i="2"/>
  <c r="K211" i="2"/>
  <c r="J210" i="2"/>
  <c r="L179" i="2"/>
  <c r="J178" i="2"/>
  <c r="K178" i="2"/>
  <c r="L144" i="2"/>
  <c r="J141" i="2"/>
  <c r="K132" i="2"/>
  <c r="K124" i="2"/>
  <c r="J128" i="2"/>
  <c r="K300" i="2"/>
  <c r="L49" i="2"/>
  <c r="J110" i="2"/>
  <c r="J233" i="2"/>
  <c r="J269" i="2"/>
  <c r="J176" i="2"/>
  <c r="K116" i="2"/>
  <c r="J135" i="2"/>
  <c r="J184" i="2"/>
  <c r="K219" i="2"/>
  <c r="J314" i="2"/>
  <c r="J91" i="2"/>
  <c r="J127" i="2"/>
  <c r="J191" i="2"/>
  <c r="J262" i="2"/>
  <c r="L91" i="2"/>
  <c r="J312" i="2"/>
  <c r="K312" i="2"/>
  <c r="L312" i="2"/>
  <c r="J308" i="2"/>
  <c r="K308" i="2"/>
  <c r="J306" i="2"/>
  <c r="K306" i="2"/>
  <c r="L306" i="2"/>
  <c r="K304" i="2"/>
  <c r="K302" i="2"/>
  <c r="L301" i="2"/>
  <c r="J300" i="2"/>
  <c r="J299" i="2"/>
  <c r="K297" i="2"/>
  <c r="J296" i="2"/>
  <c r="K296" i="2"/>
  <c r="J294" i="2"/>
  <c r="K291" i="2"/>
  <c r="K289" i="2"/>
  <c r="L289" i="2"/>
  <c r="J288" i="2"/>
  <c r="K288" i="2"/>
  <c r="L288" i="2"/>
  <c r="J284" i="2"/>
  <c r="K284" i="2"/>
  <c r="L282" i="2"/>
  <c r="J280" i="2"/>
  <c r="J279" i="2"/>
  <c r="L277" i="2"/>
  <c r="K276" i="2"/>
  <c r="J275" i="2"/>
  <c r="K275" i="2"/>
  <c r="L275" i="2"/>
  <c r="J271" i="2"/>
  <c r="L271" i="2"/>
  <c r="L269" i="2"/>
  <c r="K266" i="2"/>
  <c r="L266" i="2"/>
  <c r="J265" i="2"/>
  <c r="K265" i="2"/>
  <c r="L265" i="2"/>
  <c r="L263" i="2"/>
  <c r="J263" i="2"/>
  <c r="L260" i="2"/>
  <c r="J259" i="2"/>
  <c r="L259" i="2"/>
  <c r="K258" i="2"/>
  <c r="L258" i="2"/>
  <c r="J257" i="2"/>
  <c r="K257" i="2"/>
  <c r="L253" i="2"/>
  <c r="K253" i="2"/>
  <c r="J250" i="2"/>
  <c r="L249" i="2"/>
  <c r="K247" i="2"/>
  <c r="K245" i="2"/>
  <c r="J244" i="2"/>
  <c r="K244" i="2"/>
  <c r="K243" i="2"/>
  <c r="J243" i="2"/>
  <c r="K240" i="2"/>
  <c r="J239" i="2"/>
  <c r="K238" i="2"/>
  <c r="L238" i="2"/>
  <c r="J237" i="2"/>
  <c r="L237" i="2"/>
  <c r="K235" i="2"/>
  <c r="K234" i="2"/>
  <c r="J230" i="2"/>
  <c r="K230" i="2"/>
  <c r="L230" i="2"/>
  <c r="J229" i="2"/>
  <c r="L229" i="2"/>
  <c r="J228" i="2"/>
  <c r="K228" i="2"/>
  <c r="L228" i="2"/>
  <c r="J224" i="2"/>
  <c r="K224" i="2"/>
  <c r="J222" i="2"/>
  <c r="K222" i="2"/>
  <c r="L222" i="2"/>
  <c r="J221" i="2"/>
  <c r="L221" i="2"/>
  <c r="J218" i="2"/>
  <c r="J216" i="2"/>
  <c r="K216" i="2"/>
  <c r="L214" i="2"/>
  <c r="J211" i="2"/>
  <c r="L210" i="2"/>
  <c r="J208" i="2"/>
  <c r="K208" i="2"/>
  <c r="L208" i="2"/>
  <c r="J205" i="2"/>
  <c r="L205" i="2"/>
  <c r="L204" i="2"/>
  <c r="J204" i="2"/>
  <c r="K204" i="2"/>
  <c r="J203" i="2"/>
  <c r="L203" i="2"/>
  <c r="L200" i="2"/>
  <c r="J196" i="2"/>
  <c r="K196" i="2"/>
  <c r="J194" i="2"/>
  <c r="K194" i="2"/>
  <c r="J193" i="2"/>
  <c r="K193" i="2"/>
  <c r="J190" i="2"/>
  <c r="K190" i="2"/>
  <c r="L190" i="2"/>
  <c r="K188" i="2"/>
  <c r="J187" i="2"/>
  <c r="K187" i="2"/>
  <c r="L187" i="2"/>
  <c r="J185" i="2"/>
  <c r="K185" i="2"/>
  <c r="K184" i="2"/>
  <c r="J183" i="2"/>
  <c r="J181" i="2"/>
  <c r="J180" i="2"/>
  <c r="J177" i="2"/>
  <c r="K175" i="2"/>
  <c r="L175" i="2"/>
  <c r="J172" i="2"/>
  <c r="K172" i="2"/>
  <c r="L172" i="2"/>
  <c r="J171" i="2"/>
  <c r="J170" i="2"/>
  <c r="L170" i="2"/>
  <c r="J167" i="2"/>
  <c r="K167" i="2"/>
  <c r="J166" i="2"/>
  <c r="L165" i="2"/>
  <c r="J163" i="2"/>
  <c r="J162" i="2"/>
  <c r="K162" i="2"/>
  <c r="L162" i="2"/>
  <c r="L160" i="2"/>
  <c r="K160" i="2"/>
  <c r="J159" i="2"/>
  <c r="J157" i="2"/>
  <c r="J156" i="2"/>
  <c r="K156" i="2"/>
  <c r="L156" i="2"/>
  <c r="J154" i="2"/>
  <c r="K154" i="2"/>
  <c r="J153" i="2"/>
  <c r="K153" i="2"/>
  <c r="J152" i="2"/>
  <c r="K152" i="2"/>
  <c r="J150" i="2"/>
  <c r="K150" i="2"/>
  <c r="L147" i="2"/>
  <c r="J144" i="2"/>
  <c r="K141" i="2"/>
  <c r="J140" i="2"/>
  <c r="L140" i="2"/>
  <c r="J138" i="2"/>
  <c r="K138" i="2"/>
  <c r="L138" i="2"/>
  <c r="J137" i="2"/>
  <c r="L137" i="2"/>
  <c r="L135" i="2"/>
  <c r="J132" i="2"/>
  <c r="J131" i="2"/>
  <c r="K128" i="2"/>
  <c r="K127" i="2"/>
  <c r="J124" i="2"/>
  <c r="J122" i="2"/>
  <c r="K122" i="2"/>
  <c r="L122" i="2"/>
  <c r="K121" i="2"/>
  <c r="L121" i="2"/>
  <c r="K119" i="2"/>
  <c r="K118" i="2"/>
  <c r="L118" i="2"/>
  <c r="J116" i="2"/>
  <c r="J115" i="2"/>
  <c r="L115" i="2"/>
  <c r="K113" i="2"/>
  <c r="L112" i="2"/>
  <c r="J111" i="2"/>
  <c r="K110" i="2"/>
  <c r="J109" i="2"/>
  <c r="K109" i="2"/>
  <c r="L109" i="2"/>
  <c r="K107" i="2"/>
  <c r="K106" i="2"/>
  <c r="J105" i="2"/>
  <c r="K103" i="2"/>
  <c r="J104" i="2"/>
  <c r="K104" i="2"/>
  <c r="J103" i="2"/>
  <c r="K100" i="2"/>
  <c r="J99" i="2"/>
  <c r="K97" i="2"/>
  <c r="L97" i="2"/>
  <c r="K95" i="2"/>
  <c r="K94" i="2"/>
  <c r="K89" i="2"/>
  <c r="J86" i="2"/>
  <c r="L86" i="2"/>
  <c r="J84" i="2"/>
  <c r="K84" i="2"/>
  <c r="L84" i="2"/>
  <c r="L82" i="2"/>
  <c r="J82" i="2"/>
  <c r="K82" i="2"/>
  <c r="J78" i="2"/>
  <c r="K78" i="2"/>
  <c r="L78" i="2"/>
  <c r="J76" i="2"/>
  <c r="L76" i="2"/>
  <c r="J72" i="2"/>
  <c r="K72" i="2"/>
  <c r="L70" i="2"/>
  <c r="K70" i="2"/>
  <c r="J69" i="2"/>
  <c r="K69" i="2"/>
  <c r="J68" i="2"/>
  <c r="K67" i="2"/>
  <c r="L67" i="2"/>
  <c r="K64" i="2"/>
  <c r="J64" i="2"/>
  <c r="L63" i="2"/>
  <c r="J61" i="2"/>
  <c r="K61" i="2"/>
  <c r="J58" i="2"/>
  <c r="L57" i="2"/>
  <c r="K55" i="2"/>
  <c r="J55" i="2"/>
  <c r="L55" i="2"/>
  <c r="K53" i="2"/>
  <c r="J52" i="2"/>
  <c r="K52" i="2"/>
  <c r="L51" i="2"/>
  <c r="L45" i="2"/>
  <c r="K44" i="2"/>
  <c r="L43" i="2"/>
  <c r="J43" i="2"/>
  <c r="L42" i="2"/>
  <c r="L41" i="2"/>
  <c r="K40" i="2"/>
  <c r="K39" i="2"/>
  <c r="L37" i="2"/>
  <c r="L36" i="2"/>
  <c r="J36" i="2"/>
  <c r="K37" i="2"/>
  <c r="K41" i="2"/>
  <c r="K43" i="2"/>
  <c r="J44" i="2"/>
  <c r="K45" i="2"/>
  <c r="L65" i="2"/>
  <c r="J65" i="2"/>
  <c r="L59" i="2"/>
  <c r="J59" i="2"/>
  <c r="K59" i="2"/>
  <c r="L73" i="2"/>
  <c r="K73" i="2"/>
  <c r="J73" i="2"/>
  <c r="L50" i="2"/>
  <c r="K50" i="2"/>
  <c r="L80" i="2"/>
  <c r="J80" i="2"/>
  <c r="K80" i="2"/>
  <c r="K36" i="2"/>
  <c r="L39" i="2"/>
  <c r="J39" i="2"/>
  <c r="J41" i="2"/>
  <c r="J50" i="2"/>
  <c r="L74" i="2"/>
  <c r="J74" i="2"/>
  <c r="K74" i="2"/>
  <c r="L60" i="2"/>
  <c r="K60" i="2"/>
  <c r="J60" i="2"/>
  <c r="L56" i="2"/>
  <c r="K56" i="2"/>
  <c r="K120" i="2"/>
  <c r="J120" i="2"/>
  <c r="L120" i="2"/>
  <c r="L44" i="2"/>
  <c r="L48" i="2"/>
  <c r="K48" i="2"/>
  <c r="J48" i="2"/>
  <c r="J56" i="2"/>
  <c r="J81" i="2"/>
  <c r="L81" i="2"/>
  <c r="K81" i="2"/>
  <c r="L87" i="2"/>
  <c r="J87" i="2"/>
  <c r="K87" i="2"/>
  <c r="J35" i="2"/>
  <c r="L38" i="2"/>
  <c r="J46" i="2"/>
  <c r="L46" i="2"/>
  <c r="L47" i="2"/>
  <c r="J47" i="2"/>
  <c r="L54" i="2"/>
  <c r="K54" i="2"/>
  <c r="J54" i="2"/>
  <c r="L62" i="2"/>
  <c r="K62" i="2"/>
  <c r="L66" i="2"/>
  <c r="K66" i="2"/>
  <c r="J66" i="2"/>
  <c r="L85" i="2"/>
  <c r="K85" i="2"/>
  <c r="J85" i="2"/>
  <c r="L93" i="2"/>
  <c r="K93" i="2"/>
  <c r="J93" i="2"/>
  <c r="K35" i="2"/>
  <c r="J38" i="2"/>
  <c r="K42" i="2"/>
  <c r="J42" i="2"/>
  <c r="K46" i="2"/>
  <c r="K47" i="2"/>
  <c r="J62" i="2"/>
  <c r="J75" i="2"/>
  <c r="L75" i="2"/>
  <c r="K75" i="2"/>
  <c r="L35" i="2"/>
  <c r="K38" i="2"/>
  <c r="J40" i="2"/>
  <c r="L40" i="2"/>
  <c r="L53" i="2"/>
  <c r="J53" i="2"/>
  <c r="L79" i="2"/>
  <c r="K79" i="2"/>
  <c r="J79" i="2"/>
  <c r="J98" i="2"/>
  <c r="K98" i="2"/>
  <c r="L52" i="2"/>
  <c r="L98" i="2"/>
  <c r="K90" i="2"/>
  <c r="L90" i="2"/>
  <c r="L92" i="2"/>
  <c r="J92" i="2"/>
  <c r="J89" i="2"/>
  <c r="L89" i="2"/>
  <c r="J90" i="2"/>
  <c r="K92" i="2"/>
  <c r="K96" i="2"/>
  <c r="L96" i="2"/>
  <c r="J96" i="2"/>
  <c r="K102" i="2"/>
  <c r="L102" i="2"/>
  <c r="J102" i="2"/>
  <c r="K108" i="2"/>
  <c r="L108" i="2"/>
  <c r="J108" i="2"/>
  <c r="K68" i="2"/>
  <c r="L69" i="2"/>
  <c r="L71" i="2"/>
  <c r="J71" i="2"/>
  <c r="L77" i="2"/>
  <c r="J77" i="2"/>
  <c r="L83" i="2"/>
  <c r="J83" i="2"/>
  <c r="L129" i="2"/>
  <c r="K129" i="2"/>
  <c r="J129" i="2"/>
  <c r="J45" i="2"/>
  <c r="J51" i="2"/>
  <c r="J57" i="2"/>
  <c r="J63" i="2"/>
  <c r="L68" i="2"/>
  <c r="K71" i="2"/>
  <c r="K77" i="2"/>
  <c r="K83" i="2"/>
  <c r="L123" i="2"/>
  <c r="K123" i="2"/>
  <c r="J123" i="2"/>
  <c r="L148" i="2"/>
  <c r="K148" i="2"/>
  <c r="J148" i="2"/>
  <c r="K51" i="2"/>
  <c r="K57" i="2"/>
  <c r="K63" i="2"/>
  <c r="K86" i="2"/>
  <c r="J101" i="2"/>
  <c r="K101" i="2"/>
  <c r="L101" i="2"/>
  <c r="L105" i="2"/>
  <c r="K105" i="2"/>
  <c r="L111" i="2"/>
  <c r="K111" i="2"/>
  <c r="L113" i="2"/>
  <c r="J113" i="2"/>
  <c r="K131" i="2"/>
  <c r="L131" i="2"/>
  <c r="L149" i="2"/>
  <c r="K149" i="2"/>
  <c r="J149" i="2"/>
  <c r="L99" i="2"/>
  <c r="K99" i="2"/>
  <c r="K146" i="2"/>
  <c r="L146" i="2"/>
  <c r="J107" i="2"/>
  <c r="J146" i="2"/>
  <c r="L88" i="2"/>
  <c r="J88" i="2"/>
  <c r="L119" i="2"/>
  <c r="J119" i="2"/>
  <c r="J133" i="2"/>
  <c r="L133" i="2"/>
  <c r="K133" i="2"/>
  <c r="K136" i="2"/>
  <c r="J136" i="2"/>
  <c r="L136" i="2"/>
  <c r="J95" i="2"/>
  <c r="L117" i="2"/>
  <c r="K117" i="2"/>
  <c r="J117" i="2"/>
  <c r="K126" i="2"/>
  <c r="J126" i="2"/>
  <c r="L126" i="2"/>
  <c r="L95" i="2"/>
  <c r="K114" i="2"/>
  <c r="J114" i="2"/>
  <c r="L114" i="2"/>
  <c r="L125" i="2"/>
  <c r="J125" i="2"/>
  <c r="L139" i="2"/>
  <c r="K142" i="2"/>
  <c r="J151" i="2"/>
  <c r="L142" i="2"/>
  <c r="K151" i="2"/>
  <c r="K134" i="2"/>
  <c r="J182" i="2"/>
  <c r="L182" i="2"/>
  <c r="K182" i="2"/>
  <c r="J130" i="2"/>
  <c r="J134" i="2"/>
  <c r="K137" i="2"/>
  <c r="K140" i="2"/>
  <c r="J161" i="2"/>
  <c r="L161" i="2"/>
  <c r="K161" i="2"/>
  <c r="J94" i="2"/>
  <c r="J100" i="2"/>
  <c r="J106" i="2"/>
  <c r="J112" i="2"/>
  <c r="K130" i="2"/>
  <c r="L134" i="2"/>
  <c r="K143" i="2"/>
  <c r="L94" i="2"/>
  <c r="L100" i="2"/>
  <c r="L143" i="2"/>
  <c r="J155" i="2"/>
  <c r="L155" i="2"/>
  <c r="K155" i="2"/>
  <c r="L197" i="2"/>
  <c r="K197" i="2"/>
  <c r="J197" i="2"/>
  <c r="K207" i="2"/>
  <c r="L207" i="2"/>
  <c r="J207" i="2"/>
  <c r="J145" i="2"/>
  <c r="K158" i="2"/>
  <c r="L158" i="2"/>
  <c r="J158" i="2"/>
  <c r="L174" i="2"/>
  <c r="K174" i="2"/>
  <c r="J174" i="2"/>
  <c r="J139" i="2"/>
  <c r="K145" i="2"/>
  <c r="K139" i="2"/>
  <c r="J142" i="2"/>
  <c r="L145" i="2"/>
  <c r="L168" i="2"/>
  <c r="K168" i="2"/>
  <c r="J168" i="2"/>
  <c r="L167" i="2"/>
  <c r="L206" i="2"/>
  <c r="K206" i="2"/>
  <c r="J206" i="2"/>
  <c r="L212" i="2"/>
  <c r="K212" i="2"/>
  <c r="J212" i="2"/>
  <c r="L183" i="2"/>
  <c r="K183" i="2"/>
  <c r="L163" i="2"/>
  <c r="J188" i="2"/>
  <c r="L154" i="2"/>
  <c r="K163" i="2"/>
  <c r="L188" i="2"/>
  <c r="L164" i="2"/>
  <c r="K164" i="2"/>
  <c r="J164" i="2"/>
  <c r="L152" i="2"/>
  <c r="L153" i="2"/>
  <c r="L157" i="2"/>
  <c r="J186" i="2"/>
  <c r="L186" i="2"/>
  <c r="K186" i="2"/>
  <c r="K223" i="2"/>
  <c r="L223" i="2"/>
  <c r="J223" i="2"/>
  <c r="L180" i="2"/>
  <c r="K180" i="2"/>
  <c r="L191" i="2"/>
  <c r="K226" i="2"/>
  <c r="L226" i="2"/>
  <c r="J226" i="2"/>
  <c r="K209" i="2"/>
  <c r="L209" i="2"/>
  <c r="K217" i="2"/>
  <c r="L217" i="2"/>
  <c r="J217" i="2"/>
  <c r="L189" i="2"/>
  <c r="K189" i="2"/>
  <c r="L194" i="2"/>
  <c r="K201" i="2"/>
  <c r="K166" i="2"/>
  <c r="L171" i="2"/>
  <c r="K171" i="2"/>
  <c r="J173" i="2"/>
  <c r="L177" i="2"/>
  <c r="K177" i="2"/>
  <c r="J189" i="2"/>
  <c r="J192" i="2"/>
  <c r="L192" i="2"/>
  <c r="K192" i="2"/>
  <c r="J198" i="2"/>
  <c r="L198" i="2"/>
  <c r="K198" i="2"/>
  <c r="J199" i="2"/>
  <c r="K199" i="2"/>
  <c r="L199" i="2"/>
  <c r="J201" i="2"/>
  <c r="L166" i="2"/>
  <c r="K173" i="2"/>
  <c r="L195" i="2"/>
  <c r="K195" i="2"/>
  <c r="L201" i="2"/>
  <c r="K215" i="2"/>
  <c r="J215" i="2"/>
  <c r="L215" i="2"/>
  <c r="K159" i="2"/>
  <c r="J165" i="2"/>
  <c r="L173" i="2"/>
  <c r="K179" i="2"/>
  <c r="J195" i="2"/>
  <c r="K220" i="2"/>
  <c r="L220" i="2"/>
  <c r="J220" i="2"/>
  <c r="K213" i="2"/>
  <c r="J213" i="2"/>
  <c r="L213" i="2"/>
  <c r="L185" i="2"/>
  <c r="J169" i="2"/>
  <c r="J175" i="2"/>
  <c r="K246" i="2"/>
  <c r="L246" i="2"/>
  <c r="J246" i="2"/>
  <c r="K236" i="2"/>
  <c r="L236" i="2"/>
  <c r="J236" i="2"/>
  <c r="K232" i="2"/>
  <c r="J232" i="2"/>
  <c r="J200" i="2"/>
  <c r="K203" i="2"/>
  <c r="L232" i="2"/>
  <c r="K200" i="2"/>
  <c r="L231" i="2"/>
  <c r="J231" i="2"/>
  <c r="K229" i="2"/>
  <c r="J260" i="2"/>
  <c r="K260" i="2"/>
  <c r="J264" i="2"/>
  <c r="K264" i="2"/>
  <c r="K279" i="2"/>
  <c r="L279" i="2"/>
  <c r="K242" i="2"/>
  <c r="L242" i="2"/>
  <c r="J242" i="2"/>
  <c r="L244" i="2"/>
  <c r="L267" i="2"/>
  <c r="J267" i="2"/>
  <c r="K267" i="2"/>
  <c r="L216" i="2"/>
  <c r="J219" i="2"/>
  <c r="J225" i="2"/>
  <c r="L256" i="2"/>
  <c r="K256" i="2"/>
  <c r="K262" i="2"/>
  <c r="J252" i="2"/>
  <c r="L239" i="2"/>
  <c r="K239" i="2"/>
  <c r="K252" i="2"/>
  <c r="K274" i="2"/>
  <c r="J274" i="2"/>
  <c r="J255" i="2"/>
  <c r="L255" i="2"/>
  <c r="K255" i="2"/>
  <c r="L274" i="2"/>
  <c r="L247" i="2"/>
  <c r="J247" i="2"/>
  <c r="L250" i="2"/>
  <c r="L257" i="2"/>
  <c r="K250" i="2"/>
  <c r="J235" i="2"/>
  <c r="J241" i="2"/>
  <c r="J245" i="2"/>
  <c r="J251" i="2"/>
  <c r="L281" i="2"/>
  <c r="K281" i="2"/>
  <c r="J283" i="2"/>
  <c r="K283" i="2"/>
  <c r="L285" i="2"/>
  <c r="J285" i="2"/>
  <c r="K285" i="2"/>
  <c r="K221" i="2"/>
  <c r="K227" i="2"/>
  <c r="K233" i="2"/>
  <c r="J234" i="2"/>
  <c r="L235" i="2"/>
  <c r="J240" i="2"/>
  <c r="L241" i="2"/>
  <c r="L245" i="2"/>
  <c r="L248" i="2"/>
  <c r="J248" i="2"/>
  <c r="K248" i="2"/>
  <c r="L251" i="2"/>
  <c r="J249" i="2"/>
  <c r="K249" i="2"/>
  <c r="L254" i="2"/>
  <c r="J254" i="2"/>
  <c r="K254" i="2"/>
  <c r="J266" i="2"/>
  <c r="K268" i="2"/>
  <c r="J270" i="2"/>
  <c r="L272" i="2"/>
  <c r="J272" i="2"/>
  <c r="L276" i="2"/>
  <c r="J276" i="2"/>
  <c r="L290" i="2"/>
  <c r="J290" i="2"/>
  <c r="L293" i="2"/>
  <c r="K293" i="2"/>
  <c r="L313" i="2"/>
  <c r="K313" i="2"/>
  <c r="J313" i="2"/>
  <c r="L261" i="2"/>
  <c r="J261" i="2"/>
  <c r="L268" i="2"/>
  <c r="L270" i="2"/>
  <c r="J277" i="2"/>
  <c r="K277" i="2"/>
  <c r="K301" i="2"/>
  <c r="J301" i="2"/>
  <c r="L273" i="2"/>
  <c r="J273" i="2"/>
  <c r="L278" i="2"/>
  <c r="J286" i="2"/>
  <c r="L286" i="2"/>
  <c r="J292" i="2"/>
  <c r="J253" i="2"/>
  <c r="J258" i="2"/>
  <c r="K273" i="2"/>
  <c r="J278" i="2"/>
  <c r="K286" i="2"/>
  <c r="K292" i="2"/>
  <c r="K295" i="2"/>
  <c r="J295" i="2"/>
  <c r="J282" i="2"/>
  <c r="K282" i="2"/>
  <c r="L295" i="2"/>
  <c r="L287" i="2"/>
  <c r="K287" i="2"/>
  <c r="J287" i="2"/>
  <c r="J298" i="2"/>
  <c r="L299" i="2"/>
  <c r="K299" i="2"/>
  <c r="K280" i="2"/>
  <c r="L298" i="2"/>
  <c r="L310" i="2"/>
  <c r="J310" i="2"/>
  <c r="L315" i="2"/>
  <c r="J315" i="2"/>
  <c r="K315" i="2"/>
  <c r="L284" i="2"/>
  <c r="J289" i="2"/>
  <c r="K310" i="2"/>
  <c r="L303" i="2"/>
  <c r="J303" i="2"/>
  <c r="K303" i="2"/>
  <c r="L304" i="2"/>
  <c r="J304" i="2"/>
  <c r="L305" i="2"/>
  <c r="K305" i="2"/>
  <c r="J305" i="2"/>
  <c r="L307" i="2"/>
  <c r="K307" i="2"/>
  <c r="J307" i="2"/>
  <c r="L291" i="2"/>
  <c r="J291" i="2"/>
  <c r="L297" i="2"/>
  <c r="J297" i="2"/>
  <c r="L311" i="2"/>
  <c r="K311" i="2"/>
  <c r="J311" i="2"/>
  <c r="L309" i="2"/>
  <c r="J309" i="2"/>
  <c r="L316" i="2"/>
  <c r="J316" i="2"/>
  <c r="K316" i="2"/>
  <c r="L296" i="2"/>
  <c r="L302" i="2"/>
  <c r="L308" i="2"/>
  <c r="L314" i="2"/>
  <c r="AM278" i="2" l="1"/>
  <c r="I121" i="6" l="1"/>
  <c r="AM992" i="2" l="1"/>
  <c r="AN18" i="2" l="1"/>
  <c r="AP10" i="2"/>
  <c r="AN14" i="2"/>
  <c r="AP25" i="2"/>
  <c r="AO33" i="2"/>
  <c r="AN8" i="2"/>
  <c r="AO12" i="2"/>
  <c r="AN19" i="2"/>
  <c r="AO13" i="2"/>
  <c r="AO3" i="2"/>
  <c r="AO34" i="2"/>
  <c r="AO22" i="2"/>
  <c r="AP12" i="2"/>
  <c r="AP34" i="2"/>
  <c r="AN28" i="2"/>
  <c r="AO23" i="2"/>
  <c r="AP28" i="2"/>
  <c r="AN4" i="2"/>
  <c r="AP11" i="2"/>
  <c r="AN15" i="2"/>
  <c r="AP24" i="2"/>
  <c r="AO11" i="2"/>
  <c r="AN13" i="2"/>
  <c r="AO19" i="2"/>
  <c r="AP32" i="2"/>
  <c r="AO20" i="2"/>
  <c r="AP6" i="2"/>
  <c r="AP26" i="2"/>
  <c r="AN6" i="2"/>
  <c r="AN20" i="2"/>
  <c r="AN31" i="2"/>
  <c r="AO32" i="2"/>
  <c r="AP14" i="2"/>
  <c r="AK28" i="2"/>
  <c r="AO18" i="2"/>
  <c r="AN10" i="2"/>
  <c r="AP30" i="2"/>
  <c r="AO30" i="2"/>
  <c r="AP17" i="2"/>
  <c r="AO31" i="2"/>
  <c r="AN26" i="2"/>
  <c r="AN30" i="2"/>
  <c r="AN3" i="2"/>
  <c r="AP16" i="2"/>
  <c r="AP15" i="2"/>
  <c r="AO5" i="2"/>
  <c r="AO15" i="2"/>
  <c r="AO16" i="2"/>
  <c r="AN27" i="2"/>
  <c r="AP7" i="2"/>
  <c r="AO21" i="2"/>
  <c r="AN12" i="2"/>
  <c r="AN7" i="2"/>
  <c r="AP18" i="2"/>
  <c r="AN11" i="2"/>
  <c r="AO9" i="2"/>
  <c r="AK30" i="2"/>
  <c r="AP23" i="2"/>
  <c r="AN34" i="2"/>
  <c r="AP31" i="2"/>
  <c r="AO25" i="2"/>
  <c r="AP4" i="2"/>
  <c r="AN17" i="2"/>
  <c r="AP29" i="2"/>
  <c r="AP5" i="2"/>
  <c r="AN16" i="2"/>
  <c r="AP3" i="2"/>
  <c r="AO24" i="2"/>
  <c r="AO14" i="2"/>
  <c r="AK19" i="2"/>
  <c r="AP27" i="2"/>
  <c r="AN23" i="2"/>
  <c r="AO4" i="2"/>
  <c r="AP22" i="2"/>
  <c r="AK18" i="2"/>
  <c r="AP13" i="2"/>
  <c r="AN32" i="2"/>
  <c r="AP21" i="2"/>
  <c r="AO27" i="2"/>
  <c r="AP20" i="2"/>
  <c r="AO17" i="2"/>
  <c r="AO26" i="2"/>
  <c r="AP19" i="2"/>
  <c r="AP9" i="2"/>
  <c r="AO28" i="2"/>
  <c r="AO10" i="2"/>
  <c r="AP8" i="2"/>
  <c r="AN22" i="2"/>
  <c r="AN9" i="2"/>
  <c r="AP33" i="2"/>
  <c r="AN25" i="2"/>
  <c r="AK13" i="2"/>
  <c r="AN21" i="2"/>
  <c r="AO8" i="2"/>
  <c r="AN24" i="2"/>
  <c r="AN29" i="2"/>
  <c r="AO29" i="2"/>
  <c r="AO7" i="2"/>
  <c r="AO6" i="2"/>
  <c r="AN33" i="2"/>
  <c r="AK32" i="2"/>
  <c r="AK29" i="2"/>
  <c r="AK15" i="2"/>
  <c r="AK33" i="2"/>
  <c r="AK23" i="2"/>
  <c r="AN2" i="2"/>
  <c r="AK16" i="2"/>
  <c r="AK26" i="2"/>
  <c r="AK31" i="2"/>
  <c r="AK3" i="2"/>
  <c r="AN5" i="2"/>
  <c r="AK5" i="2"/>
  <c r="AK25" i="2"/>
  <c r="AK11" i="2"/>
  <c r="AK24" i="2"/>
  <c r="AK7" i="2"/>
  <c r="AK14" i="2"/>
  <c r="AK4" i="2"/>
  <c r="AK27" i="2"/>
  <c r="AK9" i="2"/>
  <c r="AK6" i="2"/>
  <c r="AK34" i="2"/>
  <c r="AK12" i="2"/>
  <c r="AK21" i="2"/>
  <c r="AK17" i="2"/>
  <c r="AL33" i="2" l="1"/>
  <c r="AR33" i="2"/>
  <c r="AR14" i="2"/>
  <c r="AL31" i="2"/>
  <c r="AR31" i="2"/>
  <c r="AL32" i="2"/>
  <c r="AL34" i="2"/>
  <c r="AL30" i="2"/>
  <c r="AL9" i="2"/>
  <c r="AL27" i="2"/>
  <c r="AL15" i="2"/>
  <c r="AL4" i="2"/>
  <c r="AL19" i="2"/>
  <c r="AL29" i="2"/>
  <c r="AL21" i="2"/>
  <c r="AL7" i="2"/>
  <c r="AL26" i="2"/>
  <c r="AL13" i="2"/>
  <c r="AL5" i="2"/>
  <c r="AL17" i="2"/>
  <c r="AL12" i="2"/>
  <c r="AL24" i="2"/>
  <c r="AL16" i="2"/>
  <c r="AL18" i="2"/>
  <c r="AL11" i="2"/>
  <c r="AL28" i="2"/>
  <c r="AL14" i="2"/>
  <c r="AL6" i="2"/>
  <c r="AL25" i="2"/>
  <c r="AL23" i="2"/>
  <c r="AL3" i="2"/>
  <c r="AR2" i="2"/>
  <c r="AR3" i="2" s="1"/>
  <c r="AK10" i="2"/>
  <c r="AO2" i="2"/>
  <c r="AK8" i="2"/>
  <c r="AK20" i="2"/>
  <c r="A3" i="6" a="1"/>
  <c r="A3" i="6" s="1"/>
  <c r="AL2" i="2"/>
  <c r="AK22" i="2"/>
  <c r="AM518" i="2"/>
  <c r="AM418" i="2"/>
  <c r="AM402" i="2"/>
  <c r="AM539" i="2"/>
  <c r="AM516" i="2"/>
  <c r="AM504" i="2"/>
  <c r="AM494" i="2"/>
  <c r="AM409" i="2"/>
  <c r="AM391" i="2"/>
  <c r="AM382" i="2"/>
  <c r="AM327" i="2"/>
  <c r="AM335" i="2"/>
  <c r="AM502" i="2"/>
  <c r="AM490" i="2"/>
  <c r="AM479" i="2"/>
  <c r="AM399" i="2"/>
  <c r="AM379" i="2"/>
  <c r="AM520" i="2"/>
  <c r="AM432" i="2"/>
  <c r="AM422" i="2"/>
  <c r="AM377" i="2"/>
  <c r="AM333" i="2"/>
  <c r="AM323" i="2"/>
  <c r="AM492" i="2"/>
  <c r="AM357" i="2"/>
  <c r="AM413" i="2"/>
  <c r="AM397" i="2"/>
  <c r="AM375" i="2"/>
  <c r="AM354" i="2"/>
  <c r="AM385" i="2"/>
  <c r="AM499" i="2"/>
  <c r="AM420" i="2"/>
  <c r="AM554" i="2"/>
  <c r="AM497" i="2"/>
  <c r="AM485" i="2"/>
  <c r="AM439" i="2"/>
  <c r="AM372" i="2"/>
  <c r="AM340" i="2"/>
  <c r="AM527" i="2"/>
  <c r="AM275" i="2"/>
  <c r="AM264" i="2"/>
  <c r="AM256" i="2"/>
  <c r="AM267" i="2"/>
  <c r="W187" i="2" a="1"/>
  <c r="P188" i="2" a="1"/>
  <c r="P307" i="2" a="1"/>
  <c r="O77" i="2" a="1"/>
  <c r="N187" i="2" a="1"/>
  <c r="H76" i="2" a="1"/>
  <c r="Q275" i="2" a="1"/>
  <c r="S110" i="2" a="1"/>
  <c r="H235" i="2" a="1"/>
  <c r="H185" i="2" a="1"/>
  <c r="P250" i="2" a="1"/>
  <c r="U174" i="2" a="1"/>
  <c r="W146" i="2" a="1"/>
  <c r="R280" i="2" a="1"/>
  <c r="R76" i="2" a="1"/>
  <c r="M273" i="2" a="1"/>
  <c r="N268" i="2" a="1"/>
  <c r="U112" i="2" a="1"/>
  <c r="W37" i="2" a="1"/>
  <c r="U217" i="2" a="1"/>
  <c r="T154" i="2" a="1"/>
  <c r="S46" i="2" a="1"/>
  <c r="M236" i="2" a="1"/>
  <c r="R293" i="2" a="1"/>
  <c r="W223" i="2" a="1"/>
  <c r="M196" i="2" a="1"/>
  <c r="W184" i="2" a="1"/>
  <c r="W174" i="2" a="1"/>
  <c r="U289" i="2" a="1"/>
  <c r="U122" i="2" a="1"/>
  <c r="M194" i="2" a="1"/>
  <c r="S111" i="2" a="1"/>
  <c r="U56" i="2" a="1"/>
  <c r="W289" i="2" a="1"/>
  <c r="W225" i="2" a="1"/>
  <c r="O267" i="2" a="1"/>
  <c r="W126" i="2" a="1"/>
  <c r="R239" i="2" a="1"/>
  <c r="P288" i="2" a="1"/>
  <c r="T67" i="2" a="1"/>
  <c r="P136" i="2" a="1"/>
  <c r="Q186" i="2" a="1"/>
  <c r="W276" i="2" a="1"/>
  <c r="O67" i="2" a="1"/>
  <c r="U94" i="2" a="1"/>
  <c r="O260" i="2" a="1"/>
  <c r="P177" i="2" a="1"/>
  <c r="N209" i="2" a="1"/>
  <c r="W228" i="2" a="1"/>
  <c r="P275" i="2" a="1"/>
  <c r="T314" i="2" a="1"/>
  <c r="Q103" i="2" a="1"/>
  <c r="H210" i="2" a="1"/>
  <c r="R79" i="2" a="1"/>
  <c r="M250" i="2" a="1"/>
  <c r="W137" i="2" a="1"/>
  <c r="O136" i="2" a="1"/>
  <c r="W316" i="2" a="1"/>
  <c r="P82" i="2" a="1"/>
  <c r="R105" i="2" a="1"/>
  <c r="O65" i="2" a="1"/>
  <c r="T252" i="2" a="1"/>
  <c r="O62" i="2" a="1"/>
  <c r="H206" i="2" a="1"/>
  <c r="R289" i="2" a="1"/>
  <c r="O112" i="2" a="1"/>
  <c r="M225" i="2" a="1"/>
  <c r="Q117" i="2" a="1"/>
  <c r="R294" i="2" a="1"/>
  <c r="H77" i="2" a="1"/>
  <c r="H261" i="2" a="1"/>
  <c r="U266" i="2" a="1"/>
  <c r="Q214" i="2" a="1"/>
  <c r="M46" i="2" a="1"/>
  <c r="R85" i="2" a="1"/>
  <c r="Q119" i="2" a="1"/>
  <c r="H109" i="2" a="1"/>
  <c r="N121" i="2" a="1"/>
  <c r="P91" i="2" a="1"/>
  <c r="H212" i="2" a="1"/>
  <c r="P103" i="2" a="1"/>
  <c r="O109" i="2" a="1"/>
  <c r="R200" i="2" a="1"/>
  <c r="M44" i="2" a="1"/>
  <c r="S48" i="2" a="1"/>
  <c r="U46" i="2" a="1"/>
  <c r="P51" i="2" a="1"/>
  <c r="T163" i="2" a="1"/>
  <c r="U277" i="2" a="1"/>
  <c r="Q85" i="2" a="1"/>
  <c r="M83" i="2" a="1"/>
  <c r="Q124" i="2" a="1"/>
  <c r="H166" i="2" a="1"/>
  <c r="T153" i="2" a="1"/>
  <c r="W128" i="2" a="1"/>
  <c r="U89" i="2" a="1"/>
  <c r="N243" i="2" a="1"/>
  <c r="Q243" i="2" a="1"/>
  <c r="S72" i="2" a="1"/>
  <c r="M261" i="2" a="1"/>
  <c r="T282" i="2" a="1"/>
  <c r="U291" i="2" a="1"/>
  <c r="P235" i="2" a="1"/>
  <c r="W156" i="2" a="1"/>
  <c r="Q178" i="2" a="1"/>
  <c r="P271" i="2" a="1"/>
  <c r="N281" i="2" a="1"/>
  <c r="W203" i="2" a="1"/>
  <c r="O220" i="2" a="1"/>
  <c r="M170" i="2" a="1"/>
  <c r="Q50" i="2" a="1"/>
  <c r="W115" i="2" a="1"/>
  <c r="H130" i="2" a="1"/>
  <c r="P198" i="2" a="1"/>
  <c r="Q263" i="2" a="1"/>
  <c r="H233" i="2" a="1"/>
  <c r="R63" i="2" a="1"/>
  <c r="R181" i="2" a="1"/>
  <c r="U78" i="2" a="1"/>
  <c r="W51" i="2" a="1"/>
  <c r="H88" i="2" a="1"/>
  <c r="T87" i="2" a="1"/>
  <c r="N185" i="2" a="1"/>
  <c r="N98" i="2" a="1"/>
  <c r="N199" i="2" a="1"/>
  <c r="P172" i="2" a="1"/>
  <c r="R165" i="2" a="1"/>
  <c r="S293" i="2" a="1"/>
  <c r="R217" i="2" a="1"/>
  <c r="P124" i="2" a="1"/>
  <c r="T47" i="2" a="1"/>
  <c r="H215" i="2" a="1"/>
  <c r="T174" i="2" a="1"/>
  <c r="P281" i="2" a="1"/>
  <c r="W270" i="2" a="1"/>
  <c r="Q212" i="2" a="1"/>
  <c r="T43" i="2" a="1"/>
  <c r="O256" i="2" a="1"/>
  <c r="U275" i="2" a="1"/>
  <c r="P215" i="2" a="1"/>
  <c r="H281" i="2" a="1"/>
  <c r="H94" i="2" a="1"/>
  <c r="S128" i="2" a="1"/>
  <c r="H304" i="2" a="1"/>
  <c r="U121" i="2" a="1"/>
  <c r="M190" i="2" a="1"/>
  <c r="R65" i="2" a="1"/>
  <c r="P222" i="2" a="1"/>
  <c r="P53" i="2" a="1"/>
  <c r="R36" i="2" a="1"/>
  <c r="P64" i="2" a="1"/>
  <c r="O125" i="2" a="1"/>
  <c r="W299" i="2" a="1"/>
  <c r="U315" i="2" a="1"/>
  <c r="Q93" i="2" a="1"/>
  <c r="N270" i="2" a="1"/>
  <c r="N165" i="2" a="1"/>
  <c r="S307" i="2" a="1"/>
  <c r="R302" i="2" a="1"/>
  <c r="T74" i="2" a="1"/>
  <c r="N253" i="2" a="1"/>
  <c r="P60" i="2" a="1"/>
  <c r="N80" i="2" a="1"/>
  <c r="Q55" i="2" a="1"/>
  <c r="R81" i="2" a="1"/>
  <c r="R307" i="2" a="1"/>
  <c r="W197" i="2" a="1"/>
  <c r="H291" i="2" a="1"/>
  <c r="Q138" i="2" a="1"/>
  <c r="Q273" i="2" a="1"/>
  <c r="U66" i="2" a="1"/>
  <c r="P239" i="2" a="1"/>
  <c r="T289" i="2" a="1"/>
  <c r="N181" i="2" a="1"/>
  <c r="H182" i="2" a="1"/>
  <c r="U251" i="2" a="1"/>
  <c r="U284" i="2" a="1"/>
  <c r="S139" i="2" a="1"/>
  <c r="S241" i="2" a="1"/>
  <c r="Q104" i="2" a="1"/>
  <c r="W62" i="2" a="1"/>
  <c r="T256" i="2" a="1"/>
  <c r="N277" i="2" a="1"/>
  <c r="R191" i="2" a="1"/>
  <c r="N91" i="2" a="1"/>
  <c r="P173" i="2" a="1"/>
  <c r="P78" i="2" a="1"/>
  <c r="S304" i="2" a="1"/>
  <c r="U231" i="2" a="1"/>
  <c r="T70" i="2" a="1"/>
  <c r="W209" i="2" a="1"/>
  <c r="O279" i="2" a="1"/>
  <c r="Q38" i="2" a="1"/>
  <c r="T193" i="2" a="1"/>
  <c r="U213" i="2" a="1"/>
  <c r="S185" i="2" a="1"/>
  <c r="H294" i="2" a="1"/>
  <c r="S148" i="2" a="1"/>
  <c r="T126" i="2" a="1"/>
  <c r="P93" i="2" a="1"/>
  <c r="M307" i="2" a="1"/>
  <c r="N221" i="2" a="1"/>
  <c r="W298" i="2" a="1"/>
  <c r="P176" i="2" a="1"/>
  <c r="R201" i="2" a="1"/>
  <c r="H239" i="2" a="1"/>
  <c r="P203" i="2" a="1"/>
  <c r="N295" i="2" a="1"/>
  <c r="H219" i="2" a="1"/>
  <c r="P141" i="2" a="1"/>
  <c r="R138" i="2" a="1"/>
  <c r="N66" i="2" a="1"/>
  <c r="P87" i="2" a="1"/>
  <c r="H124" i="2" a="1"/>
  <c r="T66" i="2" a="1"/>
  <c r="H171" i="2" a="1"/>
  <c r="Q229" i="2" a="1"/>
  <c r="T235" i="2" a="1"/>
  <c r="T58" i="2" a="1"/>
  <c r="N173" i="2" a="1"/>
  <c r="H302" i="2" a="1"/>
  <c r="O185" i="2" a="1"/>
  <c r="M134" i="2" a="1"/>
  <c r="Q114" i="2" a="1"/>
  <c r="S250" i="2" a="1"/>
  <c r="R147" i="2" a="1"/>
  <c r="T42" i="2" a="1"/>
  <c r="Q219" i="2" a="1"/>
  <c r="O124" i="2" a="1"/>
  <c r="P266" i="2" a="1"/>
  <c r="S182" i="2" a="1"/>
  <c r="S242" i="2" a="1"/>
  <c r="S221" i="2" a="1"/>
  <c r="S262" i="2" a="1"/>
  <c r="M218" i="2" a="1"/>
  <c r="W199" i="2" a="1"/>
  <c r="W230" i="2" a="1"/>
  <c r="N297" i="2" a="1"/>
  <c r="M303" i="2" a="1"/>
  <c r="H82" i="2" a="1"/>
  <c r="N212" i="2" a="1"/>
  <c r="N169" i="2" a="1"/>
  <c r="N38" i="2" a="1"/>
  <c r="S100" i="2" a="1"/>
  <c r="N266" i="2" a="1"/>
  <c r="O175" i="2" a="1"/>
  <c r="N309" i="2" a="1"/>
  <c r="O152" i="2" a="1"/>
  <c r="W143" i="2" a="1"/>
  <c r="R287" i="2" a="1"/>
  <c r="M310" i="2" a="1"/>
  <c r="M184" i="2" a="1"/>
  <c r="S103" i="2" a="1"/>
  <c r="N39" i="2" a="1"/>
  <c r="W200" i="2" a="1"/>
  <c r="M94" i="2" a="1"/>
  <c r="H114" i="2" a="1"/>
  <c r="Q189" i="2" a="1"/>
  <c r="S220" i="2" a="1"/>
  <c r="O68" i="2" a="1"/>
  <c r="Q75" i="2" a="1"/>
  <c r="O293" i="2" a="1"/>
  <c r="P134" i="2" a="1"/>
  <c r="U199" i="2" a="1"/>
  <c r="O186" i="2" a="1"/>
  <c r="P179" i="2" a="1"/>
  <c r="T203" i="2" a="1"/>
  <c r="R199" i="2" a="1"/>
  <c r="T215" i="2" a="1"/>
  <c r="S208" i="2" a="1"/>
  <c r="R110" i="2" a="1"/>
  <c r="M118" i="2" a="1"/>
  <c r="M155" i="2" a="1"/>
  <c r="Q73" i="2" a="1"/>
  <c r="U299" i="2" a="1"/>
  <c r="S92" i="2" a="1"/>
  <c r="M212" i="2" a="1"/>
  <c r="W77" i="2" a="1"/>
  <c r="U109" i="2" a="1"/>
  <c r="W226" i="2" a="1"/>
  <c r="N218" i="2" a="1"/>
  <c r="Q281" i="2" a="1"/>
  <c r="H192" i="2" a="1"/>
  <c r="U287" i="2" a="1"/>
  <c r="O43" i="2" a="1"/>
  <c r="R112" i="2" a="1"/>
  <c r="O310" i="2" a="1"/>
  <c r="S177" i="2" a="1"/>
  <c r="U67" i="2" a="1"/>
  <c r="H79" i="2" a="1"/>
  <c r="S47" i="2" a="1"/>
  <c r="O108" i="2" a="1"/>
  <c r="N283" i="2" a="1"/>
  <c r="O69" i="2" a="1"/>
  <c r="W75" i="2" a="1"/>
  <c r="N244" i="2" a="1"/>
  <c r="W281" i="2" a="1"/>
  <c r="O253" i="2" a="1"/>
  <c r="U192" i="2" a="1"/>
  <c r="O302" i="2" a="1"/>
  <c r="Q238" i="2" a="1"/>
  <c r="R166" i="2" a="1"/>
  <c r="Q46" i="2" a="1"/>
  <c r="M230" i="2" a="1"/>
  <c r="M162" i="2" a="1"/>
  <c r="H314" i="2" a="1"/>
  <c r="P55" i="2" a="1"/>
  <c r="Q209" i="2" a="1"/>
  <c r="R106" i="2" a="1"/>
  <c r="U50" i="2" a="1"/>
  <c r="R268" i="2" a="1"/>
  <c r="P249" i="2" a="1"/>
  <c r="N160" i="2" a="1"/>
  <c r="N278" i="2" a="1"/>
  <c r="W211" i="2" a="1"/>
  <c r="W176" i="2" a="1"/>
  <c r="H177" i="2" a="1"/>
  <c r="M166" i="2" a="1"/>
  <c r="R203" i="2" a="1"/>
  <c r="T81" i="2" a="1"/>
  <c r="W254" i="2" a="1"/>
  <c r="W47" i="2" a="1"/>
  <c r="W120" i="2" a="1"/>
  <c r="M203" i="2" a="1"/>
  <c r="P168" i="2" a="1"/>
  <c r="O103" i="2" a="1"/>
  <c r="S195" i="2" a="1"/>
  <c r="M146" i="2" a="1"/>
  <c r="R291" i="2" a="1"/>
  <c r="N288" i="2" a="1"/>
  <c r="H223" i="2" a="1"/>
  <c r="R171" i="2" a="1"/>
  <c r="O79" i="2" a="1"/>
  <c r="O73" i="2" a="1"/>
  <c r="O137" i="2" a="1"/>
  <c r="W286" i="2" a="1"/>
  <c r="R216" i="2" a="1"/>
  <c r="T125" i="2" a="1"/>
  <c r="W294" i="2" a="1"/>
  <c r="S145" i="2" a="1"/>
  <c r="R218" i="2" a="1"/>
  <c r="H220" i="2" a="1"/>
  <c r="Q101" i="2" a="1"/>
  <c r="H217" i="2" a="1"/>
  <c r="R91" i="2" a="1"/>
  <c r="Q45" i="2" a="1"/>
  <c r="R101" i="2" a="1"/>
  <c r="N287" i="2" a="1"/>
  <c r="N132" i="2" a="1"/>
  <c r="Q244" i="2" a="1"/>
  <c r="U238" i="2" a="1"/>
  <c r="U312" i="2" a="1"/>
  <c r="T312" i="2" a="1"/>
  <c r="R233" i="2" a="1"/>
  <c r="M227" i="2" a="1"/>
  <c r="W134" i="2" a="1"/>
  <c r="M240" i="2" a="1"/>
  <c r="N184" i="2" a="1"/>
  <c r="R227" i="2" a="1"/>
  <c r="W301" i="2" a="1"/>
  <c r="R55" i="2" a="1"/>
  <c r="U188" i="2" a="1"/>
  <c r="H91" i="2" a="1"/>
  <c r="P313" i="2" a="1"/>
  <c r="O246" i="2" a="1"/>
  <c r="W178" i="2" a="1"/>
  <c r="M244" i="2" a="1"/>
  <c r="O207" i="2" a="1"/>
  <c r="W92" i="2" a="1"/>
  <c r="Q159" i="2" a="1"/>
  <c r="M64" i="2" a="1"/>
  <c r="R259" i="2" a="1"/>
  <c r="T77" i="2" a="1"/>
  <c r="O117" i="2" a="1"/>
  <c r="W100" i="2" a="1"/>
  <c r="H254" i="2" a="1"/>
  <c r="R189" i="2" a="1"/>
  <c r="O122" i="2" a="1"/>
  <c r="M211" i="2" a="1"/>
  <c r="U187" i="2" a="1"/>
  <c r="U45" i="2" a="1"/>
  <c r="N215" i="2" a="1"/>
  <c r="S120" i="2" a="1"/>
  <c r="R118" i="2" a="1"/>
  <c r="Q115" i="2" a="1"/>
  <c r="U149" i="2" a="1"/>
  <c r="O113" i="2" a="1"/>
  <c r="U310" i="2" a="1"/>
  <c r="Q184" i="2" a="1"/>
  <c r="T230" i="2" a="1"/>
  <c r="M112" i="2" a="1"/>
  <c r="H48" i="2" a="1"/>
  <c r="T296" i="2" a="1"/>
  <c r="U73" i="2" a="1"/>
  <c r="S276" i="2" a="1"/>
  <c r="N238" i="2" a="1"/>
  <c r="H313" i="2" a="1"/>
  <c r="O176" i="2" a="1"/>
  <c r="O254" i="2" a="1"/>
  <c r="Q266" i="2" a="1"/>
  <c r="S234" i="2" a="1"/>
  <c r="P164" i="2" a="1"/>
  <c r="N47" i="2" a="1"/>
  <c r="W304" i="2" a="1"/>
  <c r="W177" i="2" a="1"/>
  <c r="M158" i="2" a="1"/>
  <c r="M206" i="2" a="1"/>
  <c r="U117" i="2" a="1"/>
  <c r="O53" i="2" a="1"/>
  <c r="N315" i="2" a="1"/>
  <c r="Q175" i="2" a="1"/>
  <c r="S161" i="2" a="1"/>
  <c r="N41" i="2" a="1"/>
  <c r="R314" i="2" a="1"/>
  <c r="U313" i="2" a="1"/>
  <c r="W296" i="2" a="1"/>
  <c r="N107" i="2" a="1"/>
  <c r="P291" i="2" a="1"/>
  <c r="M299" i="2" a="1"/>
  <c r="Q232" i="2" a="1"/>
  <c r="W56" i="2" a="1"/>
  <c r="H111" i="2" a="1"/>
  <c r="O100" i="2" a="1"/>
  <c r="R140" i="2" a="1"/>
  <c r="O172" i="2" a="1"/>
  <c r="S44" i="2" a="1"/>
  <c r="T38" i="2" a="1"/>
  <c r="P312" i="2" a="1"/>
  <c r="Q269" i="2" a="1"/>
  <c r="H263" i="2" a="1"/>
  <c r="M191" i="2" a="1"/>
  <c r="M144" i="2" a="1"/>
  <c r="W169" i="2" a="1"/>
  <c r="H118" i="2" a="1"/>
  <c r="M93" i="2" a="1"/>
  <c r="S227" i="2" a="1"/>
  <c r="H301" i="2" a="1"/>
  <c r="U58" i="2" a="1"/>
  <c r="T198" i="2" a="1"/>
  <c r="O199" i="2" a="1"/>
  <c r="T69" i="2" a="1"/>
  <c r="U167" i="2" a="1"/>
  <c r="T297" i="2" a="1"/>
  <c r="P184" i="2" a="1"/>
  <c r="W41" i="2" a="1"/>
  <c r="P154" i="2" a="1"/>
  <c r="T129" i="2" a="1"/>
  <c r="M285" i="2" a="1"/>
  <c r="M145" i="2" a="1"/>
  <c r="U62" i="2" a="1"/>
  <c r="P160" i="2" a="1"/>
  <c r="Q133" i="2" a="1"/>
  <c r="N258" i="2" a="1"/>
  <c r="Q72" i="2" a="1"/>
  <c r="R282" i="2" a="1"/>
  <c r="M282" i="2" a="1"/>
  <c r="R286" i="2" a="1"/>
  <c r="P214" i="2" a="1"/>
  <c r="O70" i="2" a="1"/>
  <c r="P206" i="2" a="1"/>
  <c r="S305" i="2" a="1"/>
  <c r="Q62" i="2" a="1"/>
  <c r="M306" i="2" a="1"/>
  <c r="W50" i="2" a="1"/>
  <c r="S123" i="2" a="1"/>
  <c r="O115" i="2" a="1"/>
  <c r="M110" i="2" a="1"/>
  <c r="W40" i="2" a="1"/>
  <c r="U130" i="2" a="1"/>
  <c r="W272" i="2" a="1"/>
  <c r="S172" i="2" a="1"/>
  <c r="R245" i="2" a="1"/>
  <c r="R67" i="2" a="1"/>
  <c r="T133" i="2" a="1"/>
  <c r="O251" i="2" a="1"/>
  <c r="W266" i="2" a="1"/>
  <c r="W249" i="2" a="1"/>
  <c r="H277" i="2" a="1"/>
  <c r="O235" i="2" a="1"/>
  <c r="T295" i="2" a="1"/>
  <c r="N93" i="2" a="1"/>
  <c r="W55" i="2" a="1"/>
  <c r="P289" i="2" a="1"/>
  <c r="H180" i="2" a="1"/>
  <c r="Q221" i="2" a="1"/>
  <c r="U126" i="2" a="1"/>
  <c r="U314" i="2" a="1"/>
  <c r="W113" i="2" a="1"/>
  <c r="M95" i="2" a="1"/>
  <c r="O126" i="2" a="1"/>
  <c r="U92" i="2" a="1"/>
  <c r="M209" i="2" a="1"/>
  <c r="R156" i="2" a="1"/>
  <c r="Q236" i="2" a="1"/>
  <c r="H165" i="2" a="1"/>
  <c r="T219" i="2" a="1"/>
  <c r="R179" i="2" a="1"/>
  <c r="Q120" i="2" a="1"/>
  <c r="Q57" i="2" a="1"/>
  <c r="Q35" i="2" a="1"/>
  <c r="N176" i="2" a="1"/>
  <c r="S155" i="2" a="1"/>
  <c r="T290" i="2" a="1"/>
  <c r="Q225" i="2" a="1"/>
  <c r="H178" i="2" a="1"/>
  <c r="O104" i="2" a="1"/>
  <c r="W196" i="2" a="1"/>
  <c r="P46" i="2" a="1"/>
  <c r="N211" i="2" a="1"/>
  <c r="N53" i="2" a="1"/>
  <c r="M197" i="2" a="1"/>
  <c r="N190" i="2" a="1"/>
  <c r="S166" i="2" a="1"/>
  <c r="Q135" i="2" a="1"/>
  <c r="N55" i="2" a="1"/>
  <c r="P37" i="2" a="1"/>
  <c r="S76" i="2" a="1"/>
  <c r="H98" i="2" a="1"/>
  <c r="M292" i="2" a="1"/>
  <c r="U226" i="2" a="1"/>
  <c r="M63" i="2" a="1"/>
  <c r="U206" i="2" a="1"/>
  <c r="M48" i="2" a="1"/>
  <c r="S36" i="2" a="1"/>
  <c r="N120" i="2" a="1"/>
  <c r="O284" i="2" a="1"/>
  <c r="U182" i="2" a="1"/>
  <c r="N214" i="2" a="1"/>
  <c r="O210" i="2" a="1"/>
  <c r="P39" i="2" a="1"/>
  <c r="W306" i="2" a="1"/>
  <c r="T152" i="2" a="1"/>
  <c r="N247" i="2" a="1"/>
  <c r="W233" i="2" a="1"/>
  <c r="M152" i="2" a="1"/>
  <c r="P236" i="2" a="1"/>
  <c r="S135" i="2" a="1"/>
  <c r="U59" i="2" a="1"/>
  <c r="S94" i="2" a="1"/>
  <c r="T307" i="2" a="1"/>
  <c r="O201" i="2" a="1"/>
  <c r="S285" i="2" a="1"/>
  <c r="R256" i="2" a="1"/>
  <c r="W138" i="2" a="1"/>
  <c r="M287" i="2" a="1"/>
  <c r="H194" i="2" a="1"/>
  <c r="S233" i="2" a="1"/>
  <c r="Q168" i="2" a="1"/>
  <c r="S131" i="2" a="1"/>
  <c r="P148" i="2" a="1"/>
  <c r="M176" i="2" a="1"/>
  <c r="H246" i="2" a="1"/>
  <c r="Q171" i="2" a="1"/>
  <c r="Q97" i="2" a="1"/>
  <c r="S38" i="2" a="1"/>
  <c r="H236" i="2" a="1"/>
  <c r="S294" i="2" a="1"/>
  <c r="P130" i="2" a="1"/>
  <c r="Q142" i="2" a="1"/>
  <c r="S125" i="2" a="1"/>
  <c r="O51" i="2" a="1"/>
  <c r="H214" i="2" a="1"/>
  <c r="P246" i="2" a="1"/>
  <c r="H93" i="2" a="1"/>
  <c r="H264" i="2" a="1"/>
  <c r="O194" i="2" a="1"/>
  <c r="U163" i="2" a="1"/>
  <c r="W105" i="2" a="1"/>
  <c r="O95" i="2" a="1"/>
  <c r="R263" i="2" a="1"/>
  <c r="Q126" i="2" a="1"/>
  <c r="T96" i="2" a="1"/>
  <c r="O311" i="2" a="1"/>
  <c r="H144" i="2" a="1"/>
  <c r="P218" i="2" a="1"/>
  <c r="S57" i="2" a="1"/>
  <c r="O221" i="2" a="1"/>
  <c r="S81" i="2" a="1"/>
  <c r="O148" i="2" a="1"/>
  <c r="R265" i="2" a="1"/>
  <c r="Q128" i="2" a="1"/>
  <c r="N205" i="2" a="1"/>
  <c r="H311" i="2" a="1"/>
  <c r="H248" i="2" a="1"/>
  <c r="R58" i="2" a="1"/>
  <c r="P314" i="2" a="1"/>
  <c r="R207" i="2" a="1"/>
  <c r="P81" i="2" a="1"/>
  <c r="M242" i="2" a="1"/>
  <c r="M217" i="2" a="1"/>
  <c r="Q300" i="2" a="1"/>
  <c r="U237" i="2" a="1"/>
  <c r="T262" i="2" a="1"/>
  <c r="U39" i="2" a="1"/>
  <c r="R225" i="2" a="1"/>
  <c r="H179" i="2" a="1"/>
  <c r="M157" i="2" a="1"/>
  <c r="U37" i="2" a="1"/>
  <c r="O252" i="2" a="1"/>
  <c r="O127" i="2" a="1"/>
  <c r="S273" i="2" a="1"/>
  <c r="S292" i="2" a="1"/>
  <c r="P234" i="2" a="1"/>
  <c r="S223" i="2" a="1"/>
  <c r="H280" i="2" a="1"/>
  <c r="P192" i="2" a="1"/>
  <c r="T151" i="2" a="1"/>
  <c r="R276" i="2" a="1"/>
  <c r="H225" i="2" a="1"/>
  <c r="P310" i="2" a="1"/>
  <c r="T162" i="2" a="1"/>
  <c r="M67" i="2" a="1"/>
  <c r="M183" i="2" a="1"/>
  <c r="P259" i="2" a="1"/>
  <c r="M228" i="2" a="1"/>
  <c r="U193" i="2" a="1"/>
  <c r="P73" i="2" a="1"/>
  <c r="R161" i="2" a="1"/>
  <c r="N192" i="2" a="1"/>
  <c r="N109" i="2" a="1"/>
  <c r="Q211" i="2" a="1"/>
  <c r="U211" i="2" a="1"/>
  <c r="P105" i="2" a="1"/>
  <c r="T253" i="2" a="1"/>
  <c r="N72" i="2" a="1"/>
  <c r="P50" i="2" a="1"/>
  <c r="M92" i="2" a="1"/>
  <c r="M189" i="2" a="1"/>
  <c r="T217" i="2" a="1"/>
  <c r="U196" i="2" a="1"/>
  <c r="R129" i="2" a="1"/>
  <c r="U79" i="2" a="1"/>
  <c r="S187" i="2" a="1"/>
  <c r="R75" i="2" a="1"/>
  <c r="W244" i="2" a="1"/>
  <c r="T52" i="2" a="1"/>
  <c r="Q82" i="2" a="1"/>
  <c r="U210" i="2" a="1"/>
  <c r="U118" i="2" a="1"/>
  <c r="T211" i="2" a="1"/>
  <c r="W308" i="2" a="1"/>
  <c r="M188" i="2" a="1"/>
  <c r="Q297" i="2" a="1"/>
  <c r="U234" i="2" a="1"/>
  <c r="W114" i="2" a="1"/>
  <c r="Q272" i="2" a="1"/>
  <c r="W53" i="2" a="1"/>
  <c r="H135" i="2" a="1"/>
  <c r="P265" i="2" a="1"/>
  <c r="Q100" i="2" a="1"/>
  <c r="U105" i="2" a="1"/>
  <c r="U148" i="2" a="1"/>
  <c r="T311" i="2" a="1"/>
  <c r="S157" i="2" a="1"/>
  <c r="W142" i="2" a="1"/>
  <c r="Q153" i="2" a="1"/>
  <c r="O243" i="2" a="1"/>
  <c r="M90" i="2" a="1"/>
  <c r="P155" i="2" a="1"/>
  <c r="S146" i="2" a="1"/>
  <c r="N294" i="2" a="1"/>
  <c r="T118" i="2" a="1"/>
  <c r="S288" i="2" a="1"/>
  <c r="U138" i="2" a="1"/>
  <c r="O228" i="2" a="1"/>
  <c r="R223" i="2" a="1"/>
  <c r="T100" i="2" a="1"/>
  <c r="W88" i="2" a="1"/>
  <c r="N40" i="2" a="1"/>
  <c r="H53" i="2" a="1"/>
  <c r="S51" i="2" a="1"/>
  <c r="R308" i="2" a="1"/>
  <c r="R53" i="2" a="1"/>
  <c r="Q314" i="2" a="1"/>
  <c r="N304" i="2" a="1"/>
  <c r="O308" i="2" a="1"/>
  <c r="H65" i="2" a="1"/>
  <c r="T266" i="2" a="1"/>
  <c r="Q118" i="2" a="1"/>
  <c r="M37" i="2" a="1"/>
  <c r="H146" i="2" a="1"/>
  <c r="N303" i="2" a="1"/>
  <c r="W256" i="2" a="1"/>
  <c r="S243" i="2" a="1"/>
  <c r="R209" i="2" a="1"/>
  <c r="R42" i="2" a="1"/>
  <c r="Q68" i="2" a="1"/>
  <c r="H183" i="2" a="1"/>
  <c r="T272" i="2" a="1"/>
  <c r="P118" i="2" a="1"/>
  <c r="N71" i="2" a="1"/>
  <c r="N223" i="2" a="1"/>
  <c r="T292" i="2" a="1"/>
  <c r="H95" i="2" a="1"/>
  <c r="S165" i="2" a="1"/>
  <c r="U285" i="2" a="1"/>
  <c r="Q150" i="2" a="1"/>
  <c r="M238" i="2" a="1"/>
  <c r="T89" i="2" a="1"/>
  <c r="S134" i="2" a="1"/>
  <c r="P131" i="2" a="1"/>
  <c r="R136" i="2" a="1"/>
  <c r="S296" i="2" a="1"/>
  <c r="O213" i="2" a="1"/>
  <c r="N42" i="2" a="1"/>
  <c r="W91" i="2" a="1"/>
  <c r="M45" i="2" a="1"/>
  <c r="H250" i="2" a="1"/>
  <c r="U288" i="2" a="1"/>
  <c r="T146" i="2" a="1"/>
  <c r="W57" i="2" a="1"/>
  <c r="T309" i="2" a="1"/>
  <c r="U257" i="2" a="1"/>
  <c r="O91" i="2" a="1"/>
  <c r="U232" i="2" a="1"/>
  <c r="H40" i="2" a="1"/>
  <c r="T36" i="2" a="1"/>
  <c r="U180" i="2" a="1"/>
  <c r="N175" i="2" a="1"/>
  <c r="N128" i="2" a="1"/>
  <c r="M178" i="2" a="1"/>
  <c r="S150" i="2" a="1"/>
  <c r="O257" i="2" a="1"/>
  <c r="R89" i="2" a="1"/>
  <c r="U201" i="2" a="1"/>
  <c r="W73" i="2" a="1"/>
  <c r="R46" i="2" a="1"/>
  <c r="U129" i="2" a="1"/>
  <c r="S50" i="2" a="1"/>
  <c r="P137" i="2" a="1"/>
  <c r="U309" i="2" a="1"/>
  <c r="H257" i="2" a="1"/>
  <c r="O121" i="2" a="1"/>
  <c r="Q134" i="2" a="1"/>
  <c r="R49" i="2" a="1"/>
  <c r="W150" i="2" a="1"/>
  <c r="S60" i="2" a="1"/>
  <c r="H162" i="2" a="1"/>
  <c r="U85" i="2" a="1"/>
  <c r="W61" i="2" a="1"/>
  <c r="P111" i="2" a="1"/>
  <c r="U161" i="2" a="1"/>
  <c r="P311" i="2" a="1"/>
  <c r="Q144" i="2" a="1"/>
  <c r="O119" i="2" a="1"/>
  <c r="O165" i="2" a="1"/>
  <c r="Q80" i="2" a="1"/>
  <c r="P99" i="2" a="1"/>
  <c r="W87" i="2" a="1"/>
  <c r="O161" i="2" a="1"/>
  <c r="H308" i="2" a="1"/>
  <c r="M129" i="2" a="1"/>
  <c r="Q152" i="2" a="1"/>
  <c r="P279" i="2" a="1"/>
  <c r="H299" i="2" a="1"/>
  <c r="M174" i="2" a="1"/>
  <c r="W117" i="2" a="1"/>
  <c r="U280" i="2" a="1"/>
  <c r="W147" i="2" a="1"/>
  <c r="H89" i="2" a="1"/>
  <c r="Q313" i="2" a="1"/>
  <c r="P240" i="2" a="1"/>
  <c r="O192" i="2" a="1"/>
  <c r="U281" i="2" a="1"/>
  <c r="Q301" i="2" a="1"/>
  <c r="S116" i="2" a="1"/>
  <c r="P233" i="2" a="1"/>
  <c r="W81" i="2" a="1"/>
  <c r="H237" i="2" a="1"/>
  <c r="H216" i="2" a="1"/>
  <c r="S278" i="2" a="1"/>
  <c r="W257" i="2" a="1"/>
  <c r="H128" i="2" a="1"/>
  <c r="R241" i="2" a="1"/>
  <c r="N116" i="2" a="1"/>
  <c r="H228" i="2" a="1"/>
  <c r="W110" i="2" a="1"/>
  <c r="W186" i="2" a="1"/>
  <c r="T294" i="2" a="1"/>
  <c r="T306" i="2" a="1"/>
  <c r="S180" i="2" a="1"/>
  <c r="H200" i="2" a="1"/>
  <c r="H154" i="2" a="1"/>
  <c r="M125" i="2" a="1"/>
  <c r="P199" i="2" a="1"/>
  <c r="W267" i="2" a="1"/>
  <c r="W49" i="2" a="1"/>
  <c r="S87" i="2" a="1"/>
  <c r="P127" i="2" a="1"/>
  <c r="R132" i="2" a="1"/>
  <c r="S268" i="2" a="1"/>
  <c r="U208" i="2" a="1"/>
  <c r="W180" i="2" a="1"/>
  <c r="O72" i="2" a="1"/>
  <c r="U177" i="2" a="1"/>
  <c r="M61" i="2" a="1"/>
  <c r="Q166" i="2" a="1"/>
  <c r="U101" i="2" a="1"/>
  <c r="H96" i="2" a="1"/>
  <c r="Q194" i="2" a="1"/>
  <c r="U51" i="2" a="1"/>
  <c r="M246" i="2" a="1"/>
  <c r="U107" i="2" a="1"/>
  <c r="R128" i="2" a="1"/>
  <c r="O204" i="2" a="1"/>
  <c r="R158" i="2" a="1"/>
  <c r="U123" i="2" a="1"/>
  <c r="Q58" i="2" a="1"/>
  <c r="N246" i="2" a="1"/>
  <c r="Q192" i="2" a="1"/>
  <c r="Q81" i="2" a="1"/>
  <c r="M210" i="2" a="1"/>
  <c r="H193" i="2" a="1"/>
  <c r="P226" i="2" a="1"/>
  <c r="S313" i="2" a="1"/>
  <c r="M253" i="2" a="1"/>
  <c r="H253" i="2" a="1"/>
  <c r="N274" i="2" a="1"/>
  <c r="O55" i="2" a="1"/>
  <c r="S213" i="2" a="1"/>
  <c r="U253" i="2" a="1"/>
  <c r="W106" i="2" a="1"/>
  <c r="M51" i="2" a="1"/>
  <c r="T158" i="2" a="1"/>
  <c r="P274" i="2" a="1"/>
  <c r="S102" i="2" a="1"/>
  <c r="W283" i="2" a="1"/>
  <c r="Q294" i="2" a="1"/>
  <c r="Q256" i="2" a="1"/>
  <c r="U228" i="2" a="1"/>
  <c r="N290" i="2" a="1"/>
  <c r="S209" i="2" a="1"/>
  <c r="N311" i="2" a="1"/>
  <c r="U189" i="2" a="1"/>
  <c r="P156" i="2" a="1"/>
  <c r="Q228" i="2" a="1"/>
  <c r="U176" i="2" a="1"/>
  <c r="S89" i="2" a="1"/>
  <c r="O66" i="2" a="1"/>
  <c r="U55" i="2" a="1"/>
  <c r="W252" i="2" a="1"/>
  <c r="P253" i="2" a="1"/>
  <c r="N267" i="2" a="1"/>
  <c r="W99" i="2" a="1"/>
  <c r="N97" i="2" a="1"/>
  <c r="T249" i="2" a="1"/>
  <c r="H90" i="2" a="1"/>
  <c r="H55" i="2" a="1"/>
  <c r="N257" i="2" a="1"/>
  <c r="M53" i="2" a="1"/>
  <c r="O157" i="2" a="1"/>
  <c r="O296" i="2" a="1"/>
  <c r="H161" i="2" a="1"/>
  <c r="T205" i="2" a="1"/>
  <c r="N255" i="2" a="1"/>
  <c r="U298" i="2" a="1"/>
  <c r="N307" i="2" a="1"/>
  <c r="S204" i="2" a="1"/>
  <c r="W121" i="2" a="1"/>
  <c r="U134" i="2" a="1"/>
  <c r="O61" i="2" a="1"/>
  <c r="N217" i="2" a="1"/>
  <c r="N235" i="2" a="1"/>
  <c r="S282" i="2" a="1"/>
  <c r="P69" i="2" a="1"/>
  <c r="S101" i="2" a="1"/>
  <c r="N219" i="2" a="1"/>
  <c r="N154" i="2" a="1"/>
  <c r="P159" i="2" a="1"/>
  <c r="Q257" i="2" a="1"/>
  <c r="O307" i="2" a="1"/>
  <c r="T210" i="2" a="1"/>
  <c r="T137" i="2" a="1"/>
  <c r="N36" i="2" a="1"/>
  <c r="U203" i="2" a="1"/>
  <c r="S299" i="2" a="1"/>
  <c r="U181" i="2" a="1"/>
  <c r="P190" i="2" a="1"/>
  <c r="O250" i="2" a="1"/>
  <c r="N280" i="2" a="1"/>
  <c r="P101" i="2" a="1"/>
  <c r="R300" i="2" a="1"/>
  <c r="W206" i="2" a="1"/>
  <c r="N204" i="2" a="1"/>
  <c r="P204" i="2" a="1"/>
  <c r="M195" i="2" a="1"/>
  <c r="M109" i="2" a="1"/>
  <c r="S275" i="2" a="1"/>
  <c r="W108" i="2" a="1"/>
  <c r="H204" i="2" a="1"/>
  <c r="Q213" i="2" a="1"/>
  <c r="M159" i="2" a="1"/>
  <c r="O290" i="2" a="1"/>
  <c r="Q193" i="2" a="1"/>
  <c r="R195" i="2" a="1"/>
  <c r="M192" i="2" a="1"/>
  <c r="O167" i="2" a="1"/>
  <c r="Q285" i="2" a="1"/>
  <c r="O294" i="2" a="1"/>
  <c r="O116" i="2" a="1"/>
  <c r="N226" i="2" a="1"/>
  <c r="Q107" i="2" a="1"/>
  <c r="P287" i="2" a="1"/>
  <c r="M171" i="2" a="1"/>
  <c r="T243" i="2" a="1"/>
  <c r="P104" i="2" a="1"/>
  <c r="Q56" i="2" a="1"/>
  <c r="R275" i="2" a="1"/>
  <c r="N145" i="2" a="1"/>
  <c r="R62" i="2" a="1"/>
  <c r="M102" i="2" a="1"/>
  <c r="M68" i="2" a="1"/>
  <c r="M270" i="2" a="1"/>
  <c r="W65" i="2" a="1"/>
  <c r="S174" i="2" a="1"/>
  <c r="S45" i="2" a="1"/>
  <c r="P269" i="2" a="1"/>
  <c r="M185" i="2" a="1"/>
  <c r="M59" i="2" a="1"/>
  <c r="H125" i="2" a="1"/>
  <c r="S271" i="2" a="1"/>
  <c r="W292" i="2" a="1"/>
  <c r="W273" i="2" a="1"/>
  <c r="R51" i="2" a="1"/>
  <c r="N147" i="2" a="1"/>
  <c r="W189" i="2" a="1"/>
  <c r="R120" i="2" a="1"/>
  <c r="T50" i="2" a="1"/>
  <c r="U69" i="2" a="1"/>
  <c r="N73" i="2" a="1"/>
  <c r="T180" i="2" a="1"/>
  <c r="M126" i="2" a="1"/>
  <c r="Q105" i="2" a="1"/>
  <c r="U175" i="2" a="1"/>
  <c r="H295" i="2" a="1"/>
  <c r="R303" i="2" a="1"/>
  <c r="O139" i="2" a="1"/>
  <c r="N113" i="2" a="1"/>
  <c r="N189" i="2" a="1"/>
  <c r="M300" i="2" a="1"/>
  <c r="M272" i="2" a="1"/>
  <c r="T183" i="2" a="1"/>
  <c r="S207" i="2" a="1"/>
  <c r="R229" i="2" a="1"/>
  <c r="T259" i="2" a="1"/>
  <c r="N314" i="2" a="1"/>
  <c r="N129" i="2" a="1"/>
  <c r="Q293" i="2" a="1"/>
  <c r="Q274" i="2" a="1"/>
  <c r="H106" i="2" a="1"/>
  <c r="Q88" i="2" a="1"/>
  <c r="Q98" i="2" a="1"/>
  <c r="N230" i="2" a="1"/>
  <c r="P238" i="2" a="1"/>
  <c r="S86" i="2" a="1"/>
  <c r="S309" i="2" a="1"/>
  <c r="R124" i="2" a="1"/>
  <c r="Q224" i="2" a="1"/>
  <c r="P208" i="2" a="1"/>
  <c r="Q248" i="2" a="1"/>
  <c r="R254" i="2" a="1"/>
  <c r="W145" i="2" a="1"/>
  <c r="U48" i="2" a="1"/>
  <c r="H50" i="2" a="1"/>
  <c r="T271" i="2" a="1"/>
  <c r="S238" i="2" a="1"/>
  <c r="Q268" i="2" a="1"/>
  <c r="O101" i="2" a="1"/>
  <c r="Q267" i="2" a="1"/>
  <c r="N162" i="2" a="1"/>
  <c r="R160" i="2" a="1"/>
  <c r="P151" i="2" a="1"/>
  <c r="W46" i="2" a="1"/>
  <c r="S235" i="2" a="1"/>
  <c r="O268" i="2" a="1"/>
  <c r="W210" i="2" a="1"/>
  <c r="P182" i="2" a="1"/>
  <c r="W222" i="2" a="1"/>
  <c r="U256" i="2" a="1"/>
  <c r="Q226" i="2" a="1"/>
  <c r="P107" i="2" a="1"/>
  <c r="T278" i="2" a="1"/>
  <c r="Q241" i="2" a="1"/>
  <c r="N89" i="2" a="1"/>
  <c r="S257" i="2" a="1"/>
  <c r="Q122" i="2" a="1"/>
  <c r="S143" i="2" a="1"/>
  <c r="U183" i="2" a="1"/>
  <c r="P197" i="2" a="1"/>
  <c r="U178" i="2" a="1"/>
  <c r="Q205" i="2" a="1"/>
  <c r="S226" i="2" a="1"/>
  <c r="T308" i="2" a="1"/>
  <c r="Q215" i="2" a="1"/>
  <c r="M182" i="2" a="1"/>
  <c r="H197" i="2" a="1"/>
  <c r="T106" i="2" a="1"/>
  <c r="N179" i="2" a="1"/>
  <c r="W103" i="2" a="1"/>
  <c r="H306" i="2" a="1"/>
  <c r="W302" i="2" a="1"/>
  <c r="Q148" i="2" a="1"/>
  <c r="T168" i="2" a="1"/>
  <c r="P169" i="2" a="1"/>
  <c r="Q92" i="2" a="1"/>
  <c r="W239" i="2" a="1"/>
  <c r="U98" i="2" a="1"/>
  <c r="U247" i="2" a="1"/>
  <c r="S104" i="2" a="1"/>
  <c r="Q282" i="2" a="1"/>
  <c r="H274" i="2" a="1"/>
  <c r="M58" i="2" a="1"/>
  <c r="S218" i="2" a="1"/>
  <c r="R56" i="2" a="1"/>
  <c r="H267" i="2" a="1"/>
  <c r="U169" i="2" a="1"/>
  <c r="R313" i="2" a="1"/>
  <c r="R44" i="2" a="1"/>
  <c r="N106" i="2" a="1"/>
  <c r="U215" i="2" a="1"/>
  <c r="U136" i="2" a="1"/>
  <c r="H205" i="2" a="1"/>
  <c r="M98" i="2" a="1"/>
  <c r="R148" i="2" a="1"/>
  <c r="W235" i="2" a="1"/>
  <c r="O289" i="2" a="1"/>
  <c r="H244" i="2" a="1"/>
  <c r="S281" i="2" a="1"/>
  <c r="M278" i="2" a="1"/>
  <c r="T122" i="2" a="1"/>
  <c r="M254" i="2" a="1"/>
  <c r="W179" i="2" a="1"/>
  <c r="W86" i="2" a="1"/>
  <c r="M237" i="2" a="1"/>
  <c r="H102" i="2" a="1"/>
  <c r="Q206" i="2" a="1"/>
  <c r="W165" i="2" a="1"/>
  <c r="Q245" i="2" a="1"/>
  <c r="W293" i="2" a="1"/>
  <c r="H292" i="2" a="1"/>
  <c r="O211" i="2" a="1"/>
  <c r="S153" i="2" a="1"/>
  <c r="M296" i="2" a="1"/>
  <c r="T114" i="2" a="1"/>
  <c r="O264" i="2" a="1"/>
  <c r="Q222" i="2" a="1"/>
  <c r="H41" i="2" a="1"/>
  <c r="M286" i="2" a="1"/>
  <c r="O74" i="2" a="1"/>
  <c r="P163" i="2" a="1"/>
  <c r="O158" i="2" a="1"/>
  <c r="S65" i="2" a="1"/>
  <c r="N264" i="2" a="1"/>
  <c r="N186" i="2" a="1"/>
  <c r="H142" i="2" a="1"/>
  <c r="Q60" i="2" a="1"/>
  <c r="T98" i="2" a="1"/>
  <c r="Q303" i="2" a="1"/>
  <c r="O131" i="2" a="1"/>
  <c r="T127" i="2" a="1"/>
  <c r="W227" i="2" a="1"/>
  <c r="R149" i="2" a="1"/>
  <c r="U139" i="2" a="1"/>
  <c r="R237" i="2" a="1"/>
  <c r="U294" i="2" a="1"/>
  <c r="T161" i="2" a="1"/>
  <c r="U276" i="2" a="1"/>
  <c r="U86" i="2" a="1"/>
  <c r="R52" i="2" a="1"/>
  <c r="T141" i="2" a="1"/>
  <c r="H140" i="2" a="1"/>
  <c r="P77" i="2" a="1"/>
  <c r="P44" i="2" a="1"/>
  <c r="P122" i="2" a="1"/>
  <c r="N86" i="2" a="1"/>
  <c r="P110" i="2" a="1"/>
  <c r="W243" i="2" a="1"/>
  <c r="M247" i="2" a="1"/>
  <c r="W64" i="2" a="1"/>
  <c r="M255" i="2" a="1"/>
  <c r="H270" i="2" a="1"/>
  <c r="T300" i="2" a="1"/>
  <c r="T225" i="2" a="1"/>
  <c r="T276" i="2" a="1"/>
  <c r="N250" i="2" a="1"/>
  <c r="P277" i="2" a="1"/>
  <c r="H293" i="2" a="1"/>
  <c r="W101" i="2" a="1"/>
  <c r="S55" i="2" a="1"/>
  <c r="U145" i="2" a="1"/>
  <c r="R121" i="2" a="1"/>
  <c r="H249" i="2" a="1"/>
  <c r="T94" i="2" a="1"/>
  <c r="W155" i="2" a="1"/>
  <c r="S306" i="2" a="1"/>
  <c r="W112" i="2" a="1"/>
  <c r="U166" i="2" a="1"/>
  <c r="U157" i="2" a="1"/>
  <c r="R261" i="2" a="1"/>
  <c r="N125" i="2" a="1"/>
  <c r="S151" i="2" a="1"/>
  <c r="T206" i="2" a="1"/>
  <c r="W269" i="2" a="1"/>
  <c r="S74" i="2" a="1"/>
  <c r="Q185" i="2" a="1"/>
  <c r="P114" i="2" a="1"/>
  <c r="S274" i="2" a="1"/>
  <c r="W78" i="2" a="1"/>
  <c r="H100" i="2" a="1"/>
  <c r="W291" i="2" a="1"/>
  <c r="N111" i="2" a="1"/>
  <c r="P142" i="2" a="1"/>
  <c r="M54" i="2" a="1"/>
  <c r="O191" i="2" a="1"/>
  <c r="R262" i="2" a="1"/>
  <c r="O271" i="2" a="1"/>
  <c r="M220" i="2" a="1"/>
  <c r="N236" i="2" a="1"/>
  <c r="U96" i="2" a="1"/>
  <c r="O206" i="2" a="1"/>
  <c r="O123" i="2" a="1"/>
  <c r="M150" i="2" a="1"/>
  <c r="O234" i="2" a="1"/>
  <c r="T283" i="2" a="1"/>
  <c r="U100" i="2" a="1"/>
  <c r="O177" i="2" a="1"/>
  <c r="T54" i="2" a="1"/>
  <c r="O56" i="2" a="1"/>
  <c r="Q83" i="2" a="1"/>
  <c r="T231" i="2" a="1"/>
  <c r="S175" i="2" a="1"/>
  <c r="O111" i="2" a="1"/>
  <c r="M127" i="2" a="1"/>
  <c r="O178" i="2" a="1"/>
  <c r="P174" i="2" a="1"/>
  <c r="P41" i="2" a="1"/>
  <c r="H92" i="2" a="1"/>
  <c r="O156" i="2" a="1"/>
  <c r="U249" i="2" a="1"/>
  <c r="Q210" i="2" a="1"/>
  <c r="U90" i="2" a="1"/>
  <c r="Q89" i="2" a="1"/>
  <c r="R109" i="2" a="1"/>
  <c r="U172" i="2" a="1"/>
  <c r="U209" i="2" a="1"/>
  <c r="N124" i="2" a="1"/>
  <c r="P270" i="2" a="1"/>
  <c r="H66" i="2" a="1"/>
  <c r="N119" i="2" a="1"/>
  <c r="Q231" i="2" a="1"/>
  <c r="O130" i="2" a="1"/>
  <c r="H52" i="2" a="1"/>
  <c r="P167" i="2" a="1"/>
  <c r="H62" i="2" a="1"/>
  <c r="P166" i="2" a="1"/>
  <c r="W284" i="2" a="1"/>
  <c r="N74" i="2" a="1"/>
  <c r="T130" i="2" a="1"/>
  <c r="P221" i="2" a="1"/>
  <c r="S252" i="2" a="1"/>
  <c r="O212" i="2" a="1"/>
  <c r="U151" i="2" a="1"/>
  <c r="S84" i="2" a="1"/>
  <c r="T48" i="2" a="1"/>
  <c r="S35" i="2" a="1"/>
  <c r="O86" i="2" a="1"/>
  <c r="H224" i="2" a="1"/>
  <c r="S260" i="2" a="1"/>
  <c r="N312" i="2" a="1"/>
  <c r="N88" i="2" a="1"/>
  <c r="S308" i="2" a="1"/>
  <c r="O140" i="2" a="1"/>
  <c r="P194" i="2" a="1"/>
  <c r="Q59" i="2" a="1"/>
  <c r="Q84" i="2" a="1"/>
  <c r="R155" i="2" a="1"/>
  <c r="Q234" i="2" a="1"/>
  <c r="R230" i="2" a="1"/>
  <c r="W305" i="2" a="1"/>
  <c r="W258" i="2" a="1"/>
  <c r="Q196" i="2" a="1"/>
  <c r="R116" i="2" a="1"/>
  <c r="N296" i="2" a="1"/>
  <c r="W277" i="2" a="1"/>
  <c r="O187" i="2" a="1"/>
  <c r="R187" i="2" a="1"/>
  <c r="P79" i="2" a="1"/>
  <c r="T142" i="2" a="1"/>
  <c r="P252" i="2" a="1"/>
  <c r="S117" i="2" a="1"/>
  <c r="S197" i="2" a="1"/>
  <c r="M216" i="2" a="1"/>
  <c r="M262" i="2" a="1"/>
  <c r="T222" i="2" a="1"/>
  <c r="M259" i="2" a="1"/>
  <c r="U108" i="2" a="1"/>
  <c r="U278" i="2" a="1"/>
  <c r="H285" i="2" a="1"/>
  <c r="S287" i="2" a="1"/>
  <c r="W124" i="2" a="1"/>
  <c r="H232" i="2" a="1"/>
  <c r="T159" i="2" a="1"/>
  <c r="N150" i="2" a="1"/>
  <c r="O50" i="2" a="1"/>
  <c r="N284" i="2" a="1"/>
  <c r="Q123" i="2" a="1"/>
  <c r="N259" i="2" a="1"/>
  <c r="W279" i="2" a="1"/>
  <c r="H186" i="2" a="1"/>
  <c r="H275" i="2" a="1"/>
  <c r="S178" i="2" a="1"/>
  <c r="Q63" i="2" a="1"/>
  <c r="S312" i="2" a="1"/>
  <c r="U75" i="2" a="1"/>
  <c r="Q258" i="2" a="1"/>
  <c r="P52" i="2" a="1"/>
  <c r="P138" i="2" a="1"/>
  <c r="Q51" i="2" a="1"/>
  <c r="P135" i="2" a="1"/>
  <c r="O64" i="2" a="1"/>
  <c r="S183" i="2" a="1"/>
  <c r="S88" i="2" a="1"/>
  <c r="O75" i="2" a="1"/>
  <c r="H242" i="2" a="1"/>
  <c r="N87" i="2" a="1"/>
  <c r="R264" i="2" a="1"/>
  <c r="O153" i="2" a="1"/>
  <c r="W205" i="2" a="1"/>
  <c r="H282" i="2" a="1"/>
  <c r="P297" i="2" a="1"/>
  <c r="Q69" i="2" a="1"/>
  <c r="T166" i="2" a="1"/>
  <c r="Q240" i="2" a="1"/>
  <c r="M128" i="2" a="1"/>
  <c r="W313" i="2" a="1"/>
  <c r="O182" i="2" a="1"/>
  <c r="M130" i="2" a="1"/>
  <c r="R281" i="2" a="1"/>
  <c r="W161" i="2" a="1"/>
  <c r="H43" i="2" a="1"/>
  <c r="M205" i="2" a="1"/>
  <c r="Q99" i="2" a="1"/>
  <c r="M106" i="2" a="1"/>
  <c r="N76" i="2" a="1"/>
  <c r="O128" i="2" a="1"/>
  <c r="U220" i="2" a="1"/>
  <c r="M101" i="2" a="1"/>
  <c r="R41" i="2" a="1"/>
  <c r="M153" i="2" a="1"/>
  <c r="H51" i="2" a="1"/>
  <c r="U263" i="2" a="1"/>
  <c r="P57" i="2" a="1"/>
  <c r="O118" i="2" a="1"/>
  <c r="Q109" i="2" a="1"/>
  <c r="S272" i="2" a="1"/>
  <c r="H36" i="2" a="1"/>
  <c r="T61" i="2" a="1"/>
  <c r="U84" i="2" a="1"/>
  <c r="M91" i="2" a="1"/>
  <c r="W83" i="2" a="1"/>
  <c r="W38" i="2" a="1"/>
  <c r="O94" i="2" a="1"/>
  <c r="T136" i="2" a="1"/>
  <c r="N206" i="2" a="1"/>
  <c r="W72" i="2" a="1"/>
  <c r="O266" i="2" a="1"/>
  <c r="N70" i="2" a="1"/>
  <c r="P175" i="2" a="1"/>
  <c r="N256" i="2" a="1"/>
  <c r="O225" i="2" a="1"/>
  <c r="N65" i="2" a="1"/>
  <c r="S53" i="2" a="1"/>
  <c r="O76" i="2" a="1"/>
  <c r="T139" i="2" a="1"/>
  <c r="S91" i="2" a="1"/>
  <c r="P178" i="2" a="1"/>
  <c r="S311" i="2" a="1"/>
  <c r="U239" i="2" a="1"/>
  <c r="N261" i="2" a="1"/>
  <c r="R274" i="2" a="1"/>
  <c r="Q190" i="2" a="1"/>
  <c r="R137" i="2" a="1"/>
  <c r="P316" i="2" a="1"/>
  <c r="M69" i="2" a="1"/>
  <c r="P59" i="2" a="1"/>
  <c r="W241" i="2" a="1"/>
  <c r="N241" i="2" a="1"/>
  <c r="N58" i="2" a="1"/>
  <c r="R73" i="2" a="1"/>
  <c r="H150" i="2" a="1"/>
  <c r="T238" i="2" a="1"/>
  <c r="R177" i="2" a="1"/>
  <c r="H133" i="2" a="1"/>
  <c r="P308" i="2" a="1"/>
  <c r="W263" i="2" a="1"/>
  <c r="T247" i="2" a="1"/>
  <c r="O40" i="2" a="1"/>
  <c r="U292" i="2" a="1"/>
  <c r="H138" i="2" a="1"/>
  <c r="P228" i="2" a="1"/>
  <c r="W246" i="2" a="1"/>
  <c r="P98" i="2" a="1"/>
  <c r="W164" i="2" a="1"/>
  <c r="N156" i="2" a="1"/>
  <c r="R135" i="2" a="1"/>
  <c r="P256" i="2" a="1"/>
  <c r="W238" i="2" a="1"/>
  <c r="P84" i="2" a="1"/>
  <c r="P70" i="2" a="1"/>
  <c r="R83" i="2" a="1"/>
  <c r="U52" i="2" a="1"/>
  <c r="W280" i="2" a="1"/>
  <c r="S290" i="2" a="1"/>
  <c r="T170" i="2" a="1"/>
  <c r="W139" i="2" a="1"/>
  <c r="S164" i="2" a="1"/>
  <c r="R299" i="2" a="1"/>
  <c r="P196" i="2" a="1"/>
  <c r="R206" i="2" a="1"/>
  <c r="T221" i="2" a="1"/>
  <c r="S112" i="2" a="1"/>
  <c r="H84" i="2" a="1"/>
  <c r="S310" i="2" a="1"/>
  <c r="H108" i="2" a="1"/>
  <c r="S144" i="2" a="1"/>
  <c r="T196" i="2" a="1"/>
  <c r="N275" i="2" a="1"/>
  <c r="O129" i="2" a="1"/>
  <c r="P112" i="2" a="1"/>
  <c r="O37" i="2" a="1"/>
  <c r="N115" i="2" a="1"/>
  <c r="M198" i="2" a="1"/>
  <c r="S49" i="2" a="1"/>
  <c r="Q295" i="2" a="1"/>
  <c r="R122" i="2" a="1"/>
  <c r="U186" i="2" a="1"/>
  <c r="S217" i="2" a="1"/>
  <c r="R173" i="2" a="1"/>
  <c r="W170" i="2" a="1"/>
  <c r="U254" i="2" a="1"/>
  <c r="U60" i="2" a="1"/>
  <c r="R125" i="2" a="1"/>
  <c r="Q278" i="2" a="1"/>
  <c r="P227" i="2" a="1"/>
  <c r="S253" i="2" a="1"/>
  <c r="M301" i="2" a="1"/>
  <c r="M139" i="2" a="1"/>
  <c r="N276" i="2" a="1"/>
  <c r="W232" i="2" a="1"/>
  <c r="H296" i="2" a="1"/>
  <c r="N82" i="2" a="1"/>
  <c r="O134" i="2" a="1"/>
  <c r="O82" i="2" a="1"/>
  <c r="T79" i="2" a="1"/>
  <c r="P299" i="2" a="1"/>
  <c r="H123" i="2" a="1"/>
  <c r="Q108" i="2" a="1"/>
  <c r="R170" i="2" a="1"/>
  <c r="S133" i="2" a="1"/>
  <c r="H283" i="2" a="1"/>
  <c r="S168" i="2" a="1"/>
  <c r="T37" i="2" a="1"/>
  <c r="T277" i="2" a="1"/>
  <c r="T104" i="2" a="1"/>
  <c r="W312" i="2" a="1"/>
  <c r="H245" i="2" a="1"/>
  <c r="T286" i="2" a="1"/>
  <c r="Q164" i="2" a="1"/>
  <c r="W127" i="2" a="1"/>
  <c r="Q37" i="2" a="1"/>
  <c r="H238" i="2" a="1"/>
  <c r="Q283" i="2" a="1"/>
  <c r="O166" i="2" a="1"/>
  <c r="P140" i="2" a="1"/>
  <c r="R272" i="2" a="1"/>
  <c r="T313" i="2" a="1"/>
  <c r="H258" i="2" a="1"/>
  <c r="R249" i="2" a="1"/>
  <c r="O313" i="2" a="1"/>
  <c r="O316" i="2" a="1"/>
  <c r="S291" i="2" a="1"/>
  <c r="O305" i="2" a="1"/>
  <c r="W234" i="2" a="1"/>
  <c r="O196" i="2" a="1"/>
  <c r="S196" i="2" a="1"/>
  <c r="O143" i="2" a="1"/>
  <c r="R176" i="2" a="1"/>
  <c r="R238" i="2" a="1"/>
  <c r="U155" i="2" a="1"/>
  <c r="P243" i="2" a="1"/>
  <c r="N83" i="2" a="1"/>
  <c r="R77" i="2" a="1"/>
  <c r="W76" i="2" a="1"/>
  <c r="R215" i="2" a="1"/>
  <c r="W140" i="2" a="1"/>
  <c r="H139" i="2" a="1"/>
  <c r="M86" i="2" a="1"/>
  <c r="W159" i="2" a="1"/>
  <c r="P128" i="2" a="1"/>
  <c r="T268" i="2" a="1"/>
  <c r="Q306" i="2" a="1"/>
  <c r="T147" i="2" a="1"/>
  <c r="O195" i="2" a="1"/>
  <c r="U243" i="2" a="1"/>
  <c r="O138" i="2" a="1"/>
  <c r="N286" i="2" a="1"/>
  <c r="M65" i="2" a="1"/>
  <c r="R266" i="2" a="1"/>
  <c r="R271" i="2" a="1"/>
  <c r="O83" i="2" a="1"/>
  <c r="R114" i="2" a="1"/>
  <c r="O132" i="2" a="1"/>
  <c r="U283" i="2" a="1"/>
  <c r="T261" i="2" a="1"/>
  <c r="M200" i="2" a="1"/>
  <c r="Q179" i="2" a="1"/>
  <c r="N75" i="2" a="1"/>
  <c r="U307" i="2" a="1"/>
  <c r="P92" i="2" a="1"/>
  <c r="Q223" i="2" a="1"/>
  <c r="P302" i="2" a="1"/>
  <c r="W303" i="2" a="1"/>
  <c r="O52" i="2" a="1"/>
  <c r="Q288" i="2" a="1"/>
  <c r="U264" i="2" a="1"/>
  <c r="Q289" i="2" a="1"/>
  <c r="P306" i="2" a="1"/>
  <c r="T224" i="2" a="1"/>
  <c r="N298" i="2" a="1"/>
  <c r="M80" i="2" a="1"/>
  <c r="Q312" i="2" a="1"/>
  <c r="N269" i="2" a="1"/>
  <c r="N148" i="2" a="1"/>
  <c r="U61" i="2" a="1"/>
  <c r="W36" i="2" a="1"/>
  <c r="O81" i="2" a="1"/>
  <c r="Q298" i="2" a="1"/>
  <c r="W172" i="2" a="1"/>
  <c r="Q305" i="2" a="1"/>
  <c r="O107" i="2" a="1"/>
  <c r="S236" i="2" a="1"/>
  <c r="T229" i="2" a="1"/>
  <c r="T120" i="2" a="1"/>
  <c r="T63" i="2" a="1"/>
  <c r="H58" i="2" a="1"/>
  <c r="S132" i="2" a="1"/>
  <c r="O88" i="2" a="1"/>
  <c r="P109" i="2" a="1"/>
  <c r="M151" i="2" a="1"/>
  <c r="Q143" i="2" a="1"/>
  <c r="O223" i="2" a="1"/>
  <c r="M315" i="2" a="1"/>
  <c r="O255" i="2" a="1"/>
  <c r="T149" i="2" a="1"/>
  <c r="H103" i="2" a="1"/>
  <c r="P35" i="2" a="1"/>
  <c r="O245" i="2" a="1"/>
  <c r="N265" i="2" a="1"/>
  <c r="H37" i="2" a="1"/>
  <c r="P263" i="2" a="1"/>
  <c r="S186" i="2" a="1"/>
  <c r="U103" i="2" a="1"/>
  <c r="O239" i="2" a="1"/>
  <c r="H164" i="2" a="1"/>
  <c r="W136" i="2" a="1"/>
  <c r="S41" i="2" a="1"/>
  <c r="W314" i="2" a="1"/>
  <c r="T64" i="2" a="1"/>
  <c r="O200" i="2" a="1"/>
  <c r="R39" i="2" a="1"/>
  <c r="Q316" i="2" a="1"/>
  <c r="U76" i="2" a="1"/>
  <c r="S237" i="2" a="1"/>
  <c r="N57" i="2" a="1"/>
  <c r="M36" i="2" a="1"/>
  <c r="W89" i="2" a="1"/>
  <c r="S189" i="2" a="1"/>
  <c r="S269" i="2" a="1"/>
  <c r="O89" i="2" a="1"/>
  <c r="Q132" i="2" a="1"/>
  <c r="W310" i="2" a="1"/>
  <c r="P223" i="2" a="1"/>
  <c r="M82" i="2" a="1"/>
  <c r="R235" i="2" a="1"/>
  <c r="M133" i="2" a="1"/>
  <c r="M269" i="2" a="1"/>
  <c r="M175" i="2" a="1"/>
  <c r="U119" i="2" a="1"/>
  <c r="S142" i="2" a="1"/>
  <c r="W287" i="2" a="1"/>
  <c r="T167" i="2" a="1"/>
  <c r="W119" i="2" a="1"/>
  <c r="O149" i="2" a="1"/>
  <c r="Q270" i="2" a="1"/>
  <c r="H132" i="2" a="1"/>
  <c r="W67" i="2" a="1"/>
  <c r="P185" i="2" a="1"/>
  <c r="S121" i="2" a="1"/>
  <c r="W188" i="2" a="1"/>
  <c r="S138" i="2" a="1"/>
  <c r="H45" i="2" a="1"/>
  <c r="Q77" i="2" a="1"/>
  <c r="T176" i="2" a="1"/>
  <c r="T155" i="2" a="1"/>
  <c r="T237" i="2" a="1"/>
  <c r="T257" i="2" a="1"/>
  <c r="P245" i="2" a="1"/>
  <c r="H259" i="2" a="1"/>
  <c r="Q239" i="2" a="1"/>
  <c r="H173" i="2" a="1"/>
  <c r="O236" i="2" a="1"/>
  <c r="W300" i="2" a="1"/>
  <c r="Q125" i="2" a="1"/>
  <c r="S130" i="2" a="1"/>
  <c r="U303" i="2" a="1"/>
  <c r="U128" i="2" a="1"/>
  <c r="W275" i="2" a="1"/>
  <c r="R250" i="2" a="1"/>
  <c r="O217" i="2" a="1"/>
  <c r="U304" i="2" a="1"/>
  <c r="W297" i="2" a="1"/>
  <c r="N127" i="2" a="1"/>
  <c r="P258" i="2" a="1"/>
  <c r="M235" i="2" a="1"/>
  <c r="N104" i="2" a="1"/>
  <c r="R285" i="2" a="1"/>
  <c r="M234" i="2" a="1"/>
  <c r="N252" i="2" a="1"/>
  <c r="Q43" i="2" a="1"/>
  <c r="R169" i="2" a="1"/>
  <c r="H120" i="2" a="1"/>
  <c r="U258" i="2" a="1"/>
  <c r="R224" i="2" a="1"/>
  <c r="O133" i="2" a="1"/>
  <c r="S79" i="2" a="1"/>
  <c r="U200" i="2" a="1"/>
  <c r="P165" i="2" a="1"/>
  <c r="M199" i="2" a="1"/>
  <c r="S316" i="2" a="1"/>
  <c r="N51" i="2" a="1"/>
  <c r="O230" i="2" a="1"/>
  <c r="Q42" i="2" a="1"/>
  <c r="Q199" i="2" a="1"/>
  <c r="M207" i="2" a="1"/>
  <c r="H305" i="2" a="1"/>
  <c r="P83" i="2" a="1"/>
  <c r="P119" i="2" a="1"/>
  <c r="O173" i="2" a="1"/>
  <c r="W214" i="2" a="1"/>
  <c r="N142" i="2" a="1"/>
  <c r="U259" i="2" a="1"/>
  <c r="T245" i="2" a="1"/>
  <c r="H316" i="2" a="1"/>
  <c r="M117" i="2" a="1"/>
  <c r="W229" i="2" a="1"/>
  <c r="T62" i="2" a="1"/>
  <c r="N114" i="2" a="1"/>
  <c r="P149" i="2" a="1"/>
  <c r="U255" i="2" a="1"/>
  <c r="Q292" i="2" a="1"/>
  <c r="T241" i="2" a="1"/>
  <c r="R143" i="2" a="1"/>
  <c r="M252" i="2" a="1"/>
  <c r="M114" i="2" a="1"/>
  <c r="W171" i="2" a="1"/>
  <c r="N158" i="2" a="1"/>
  <c r="Q47" i="2" a="1"/>
  <c r="W44" i="2" a="1"/>
  <c r="N152" i="2" a="1"/>
  <c r="O162" i="2" a="1"/>
  <c r="S54" i="2" a="1"/>
  <c r="U120" i="2" a="1"/>
  <c r="U212" i="2" a="1"/>
  <c r="P121" i="2" a="1"/>
  <c r="M148" i="2" a="1"/>
  <c r="R221" i="2" a="1"/>
  <c r="P191" i="2" a="1"/>
  <c r="N48" i="2" a="1"/>
  <c r="Q40" i="2" a="1"/>
  <c r="U300" i="2" a="1"/>
  <c r="W79" i="2" a="1"/>
  <c r="W42" i="2" a="1"/>
  <c r="N37" i="2" a="1"/>
  <c r="P145" i="2" a="1"/>
  <c r="H213" i="2" a="1"/>
  <c r="Q255" i="2" a="1"/>
  <c r="U250" i="2" a="1"/>
  <c r="S240" i="2" a="1"/>
  <c r="T284" i="2" a="1"/>
  <c r="R174" i="2" a="1"/>
  <c r="R269" i="2" a="1"/>
  <c r="O160" i="2" a="1"/>
  <c r="Q90" i="2" a="1"/>
  <c r="R153" i="2" a="1"/>
  <c r="N302" i="2" a="1"/>
  <c r="N242" i="2" a="1"/>
  <c r="R243" i="2" a="1"/>
  <c r="S302" i="2" a="1"/>
  <c r="R194" i="2" a="1"/>
  <c r="H175" i="2" a="1"/>
  <c r="U140" i="2" a="1"/>
  <c r="S303" i="2" a="1"/>
  <c r="W148" i="2" a="1"/>
  <c r="R78" i="2" a="1"/>
  <c r="N49" i="2" a="1"/>
  <c r="T55" i="2" a="1"/>
  <c r="Q216" i="2" a="1"/>
  <c r="S225" i="2" a="1"/>
  <c r="P100" i="2" a="1"/>
  <c r="Q146" i="2" a="1"/>
  <c r="M97" i="2" a="1"/>
  <c r="M274" i="2" a="1"/>
  <c r="W116" i="2" a="1"/>
  <c r="U260" i="2" a="1"/>
  <c r="H266" i="2" a="1"/>
  <c r="U38" i="2" a="1"/>
  <c r="U286" i="2" a="1"/>
  <c r="O306" i="2" a="1"/>
  <c r="P210" i="2" a="1"/>
  <c r="T80" i="2" a="1"/>
  <c r="O315" i="2" a="1"/>
  <c r="P43" i="2" a="1"/>
  <c r="P150" i="2" a="1"/>
  <c r="R131" i="2" a="1"/>
  <c r="U49" i="2" a="1"/>
  <c r="T226" i="2" a="1"/>
  <c r="N157" i="2" a="1"/>
  <c r="M281" i="2" a="1"/>
  <c r="Q169" i="2" a="1"/>
  <c r="U242" i="2" a="1"/>
  <c r="Q188" i="2" a="1"/>
  <c r="U173" i="2" a="1"/>
  <c r="N131" i="2" a="1"/>
  <c r="T83" i="2" a="1"/>
  <c r="S109" i="2" a="1"/>
  <c r="W66" i="2" a="1"/>
  <c r="R94" i="2" a="1"/>
  <c r="U53" i="2" a="1"/>
  <c r="M121" i="2" a="1"/>
  <c r="P62" i="2" a="1"/>
  <c r="R240" i="2" a="1"/>
  <c r="S62" i="2" a="1"/>
  <c r="H117" i="2" a="1"/>
  <c r="T164" i="2" a="1"/>
  <c r="O179" i="2" a="1"/>
  <c r="M164" i="2" a="1"/>
  <c r="R127" i="2" a="1"/>
  <c r="N193" i="2" a="1"/>
  <c r="M267" i="2" a="1"/>
  <c r="H218" i="2" a="1"/>
  <c r="W282" i="2" a="1"/>
  <c r="W290" i="2" a="1"/>
  <c r="O276" i="2" a="1"/>
  <c r="H73" i="2" a="1"/>
  <c r="R90" i="2" a="1"/>
  <c r="H191" i="2" a="1"/>
  <c r="O71" i="2" a="1"/>
  <c r="P42" i="2" a="1"/>
  <c r="N96" i="2" a="1"/>
  <c r="U35" i="2" a="1"/>
  <c r="N100" i="2" a="1"/>
  <c r="W69" i="2" a="1"/>
  <c r="S206" i="2" a="1"/>
  <c r="M290" i="2" a="1"/>
  <c r="M49" i="2" a="1"/>
  <c r="T213" i="2" a="1"/>
  <c r="W43" i="2" a="1"/>
  <c r="T150" i="2" a="1"/>
  <c r="Q235" i="2" a="1"/>
  <c r="H69" i="2" a="1"/>
  <c r="W285" i="2" a="1"/>
  <c r="Q65" i="2" a="1"/>
  <c r="P237" i="2" a="1"/>
  <c r="N299" i="2" a="1"/>
  <c r="U223" i="2" a="1"/>
  <c r="P56" i="2" a="1"/>
  <c r="T117" i="2" a="1"/>
  <c r="S137" i="2" a="1"/>
  <c r="P213" i="2" a="1"/>
  <c r="T254" i="2" a="1"/>
  <c r="R48" i="2" a="1"/>
  <c r="P301" i="2" a="1"/>
  <c r="O159" i="2" a="1"/>
  <c r="H78" i="2" a="1"/>
  <c r="S118" i="2" a="1"/>
  <c r="R288" i="2" a="1"/>
  <c r="H64" i="2" a="1"/>
  <c r="R144" i="2" a="1"/>
  <c r="T240" i="2" a="1"/>
  <c r="T119" i="2" a="1"/>
  <c r="H251" i="2" a="1"/>
  <c r="P305" i="2" a="1"/>
  <c r="N273" i="2" a="1"/>
  <c r="N44" i="2" a="1"/>
  <c r="N61" i="2" a="1"/>
  <c r="T310" i="2" a="1"/>
  <c r="Q129" i="2" a="1"/>
  <c r="U204" i="2" a="1"/>
  <c r="Q208" i="2" a="1"/>
  <c r="M143" i="2" a="1"/>
  <c r="P113" i="2" a="1"/>
  <c r="U65" i="2" a="1"/>
  <c r="P75" i="2" a="1"/>
  <c r="U68" i="2" a="1"/>
  <c r="W131" i="2" a="1"/>
  <c r="N95" i="2" a="1"/>
  <c r="H208" i="2" a="1"/>
  <c r="O275" i="2" a="1"/>
  <c r="P262" i="2" a="1"/>
  <c r="O45" i="2" a="1"/>
  <c r="U195" i="2" a="1"/>
  <c r="T116" i="2" a="1"/>
  <c r="S107" i="2" a="1"/>
  <c r="R152" i="2" a="1"/>
  <c r="T250" i="2" a="1"/>
  <c r="Q271" i="2" a="1"/>
  <c r="P201" i="2" a="1"/>
  <c r="W54" i="2" a="1"/>
  <c r="H268" i="2" a="1"/>
  <c r="R273" i="2" a="1"/>
  <c r="M213" i="2" a="1"/>
  <c r="U279" i="2" a="1"/>
  <c r="U93" i="2" a="1"/>
  <c r="W74" i="2" a="1"/>
  <c r="M115" i="2" a="1"/>
  <c r="R84" i="2" a="1"/>
  <c r="O272" i="2" a="1"/>
  <c r="R183" i="2" a="1"/>
  <c r="W236" i="2" a="1"/>
  <c r="W96" i="2" a="1"/>
  <c r="H157" i="2" a="1"/>
  <c r="H187" i="2" a="1"/>
  <c r="S77" i="2" a="1"/>
  <c r="M179" i="2" a="1"/>
  <c r="T39" i="2" a="1"/>
  <c r="R310" i="2" a="1"/>
  <c r="S149" i="2" a="1"/>
  <c r="P170" i="2" a="1"/>
  <c r="P61" i="2" a="1"/>
  <c r="N174" i="2" a="1"/>
  <c r="M74" i="2" a="1"/>
  <c r="S188" i="2" a="1"/>
  <c r="W208" i="2" a="1"/>
  <c r="U296" i="2" a="1"/>
  <c r="H199" i="2" a="1"/>
  <c r="N260" i="2" a="1"/>
  <c r="W141" i="2" a="1"/>
  <c r="N177" i="2" a="1"/>
  <c r="S173" i="2" a="1"/>
  <c r="M305" i="2" a="1"/>
  <c r="P205" i="2" a="1"/>
  <c r="O98" i="2" a="1"/>
  <c r="Q53" i="2" a="1"/>
  <c r="R193" i="2" a="1"/>
  <c r="W191" i="2" a="1"/>
  <c r="R220" i="2" a="1"/>
  <c r="M295" i="2" a="1"/>
  <c r="Q162" i="2" a="1"/>
  <c r="O169" i="2" a="1"/>
  <c r="N194" i="2" a="1"/>
  <c r="H243" i="2" a="1"/>
  <c r="S96" i="2" a="1"/>
  <c r="S265" i="2" a="1"/>
  <c r="R40" i="2" a="1"/>
  <c r="S199" i="2" a="1"/>
  <c r="O244" i="2" a="1"/>
  <c r="P241" i="2" a="1"/>
  <c r="O102" i="2" a="1"/>
  <c r="M135" i="2" a="1"/>
  <c r="O229" i="2" a="1"/>
  <c r="R180" i="2" a="1"/>
  <c r="S106" i="2" a="1"/>
  <c r="M111" i="2" a="1"/>
  <c r="P211" i="2" a="1"/>
  <c r="O285" i="2" a="1"/>
  <c r="U102" i="2" a="1"/>
  <c r="M75" i="2" a="1"/>
  <c r="T244" i="2" a="1"/>
  <c r="N170" i="2" a="1"/>
  <c r="M43" i="2" a="1"/>
  <c r="M50" i="2" a="1"/>
  <c r="R142" i="2" a="1"/>
  <c r="H75" i="2" a="1"/>
  <c r="S190" i="2" a="1"/>
  <c r="M40" i="2" a="1"/>
  <c r="T227" i="2" a="1"/>
  <c r="O242" i="2" a="1"/>
  <c r="Q172" i="2" a="1"/>
  <c r="O274" i="2" a="1"/>
  <c r="S184" i="2" a="1"/>
  <c r="M79" i="2" a="1"/>
  <c r="N228" i="2" a="1"/>
  <c r="W201" i="2" a="1"/>
  <c r="Q76" i="2" a="1"/>
  <c r="T41" i="2" a="1"/>
  <c r="R270" i="2" a="1"/>
  <c r="S170" i="2" a="1"/>
  <c r="M264" i="2" a="1"/>
  <c r="M149" i="2" a="1"/>
  <c r="S140" i="2" a="1"/>
  <c r="P286" i="2" a="1"/>
  <c r="U111" i="2" a="1"/>
  <c r="U236" i="2" a="1"/>
  <c r="M263" i="2" a="1"/>
  <c r="M204" i="2" a="1"/>
  <c r="Q49" i="2" a="1"/>
  <c r="M288" i="2" a="1"/>
  <c r="Q145" i="2" a="1"/>
  <c r="P65" i="2" a="1"/>
  <c r="H256" i="2" a="1"/>
  <c r="Q130" i="2" a="1"/>
  <c r="O135" i="2" a="1"/>
  <c r="T57" i="2" a="1"/>
  <c r="M132" i="2" a="1"/>
  <c r="N195" i="2" a="1"/>
  <c r="N313" i="2" a="1"/>
  <c r="T92" i="2" a="1"/>
  <c r="R126" i="2" a="1"/>
  <c r="U164" i="2" a="1"/>
  <c r="R284" i="2" a="1"/>
  <c r="S228" i="2" a="1"/>
  <c r="M229" i="2" a="1"/>
  <c r="W111" i="2" a="1"/>
  <c r="S295" i="2" a="1"/>
  <c r="T264" i="2" a="1"/>
  <c r="U274" i="2" a="1"/>
  <c r="U150" i="2" a="1"/>
  <c r="N210" i="2" a="1"/>
  <c r="N224" i="2" a="1"/>
  <c r="W247" i="2" a="1"/>
  <c r="S232" i="2" a="1"/>
  <c r="U267" i="2" a="1"/>
  <c r="S258" i="2" a="1"/>
  <c r="Q155" i="2" a="1"/>
  <c r="U311" i="2" a="1"/>
  <c r="N291" i="2" a="1"/>
  <c r="P273" i="2" a="1"/>
  <c r="S43" i="2" a="1"/>
  <c r="W288" i="2" a="1"/>
  <c r="R219" i="2" a="1"/>
  <c r="T132" i="2" a="1"/>
  <c r="H86" i="2" a="1"/>
  <c r="S222" i="2" a="1"/>
  <c r="S248" i="2" a="1"/>
  <c r="S212" i="2" a="1"/>
  <c r="U132" i="2" a="1"/>
  <c r="W98" i="2" a="1"/>
  <c r="U268" i="2" a="1"/>
  <c r="T112" i="2" a="1"/>
  <c r="M271" i="2" a="1"/>
  <c r="S239" i="2" a="1"/>
  <c r="P108" i="2" a="1"/>
  <c r="M293" i="2" a="1"/>
  <c r="P220" i="2" a="1"/>
  <c r="O44" i="2" a="1"/>
  <c r="R74" i="2" a="1"/>
  <c r="H85" i="2" a="1"/>
  <c r="W60" i="2" a="1"/>
  <c r="P195" i="2" a="1"/>
  <c r="S261" i="2" a="1"/>
  <c r="T49" i="2" a="1"/>
  <c r="R43" i="2" a="1"/>
  <c r="T302" i="2" a="1"/>
  <c r="U191" i="2" a="1"/>
  <c r="T185" i="2" a="1"/>
  <c r="R267" i="2" a="1"/>
  <c r="S215" i="2" a="1"/>
  <c r="R35" i="2" a="1"/>
  <c r="T138" i="2" a="1"/>
  <c r="U302" i="2" a="1"/>
  <c r="N262" i="2" a="1"/>
  <c r="S52" i="2" a="1"/>
  <c r="S156" i="2" a="1"/>
  <c r="M239" i="2" a="1"/>
  <c r="S93" i="2" a="1"/>
  <c r="S98" i="2" a="1"/>
  <c r="M131" i="2" a="1"/>
  <c r="O87" i="2" a="1"/>
  <c r="O190" i="2" a="1"/>
  <c r="M284" i="2" a="1"/>
  <c r="S254" i="2" a="1"/>
  <c r="T143" i="2" a="1"/>
  <c r="Q112" i="2" a="1"/>
  <c r="N207" i="2" a="1"/>
  <c r="H163" i="2" a="1"/>
  <c r="P45" i="2" a="1"/>
  <c r="Q141" i="2" a="1"/>
  <c r="O295" i="2" a="1"/>
  <c r="M84" i="2" a="1"/>
  <c r="T181" i="2" a="1"/>
  <c r="O97" i="2" a="1"/>
  <c r="M257" i="2" a="1"/>
  <c r="W204" i="2" a="1"/>
  <c r="W309" i="2" a="1"/>
  <c r="Q52" i="2" a="1"/>
  <c r="Q315" i="2" a="1"/>
  <c r="R257" i="2" a="1"/>
  <c r="P144" i="2" a="1"/>
  <c r="T84" i="2" a="1"/>
  <c r="Q147" i="2" a="1"/>
  <c r="U269" i="2" a="1"/>
  <c r="U141" i="2" a="1"/>
  <c r="H159" i="2" a="1"/>
  <c r="H234" i="2" a="1"/>
  <c r="M221" i="2" a="1"/>
  <c r="Q70" i="2" a="1"/>
  <c r="U87" i="2" a="1"/>
  <c r="M308" i="2" a="1"/>
  <c r="H87" i="2" a="1"/>
  <c r="P292" i="2" a="1"/>
  <c r="H284" i="2" a="1"/>
  <c r="M208" i="2" a="1"/>
  <c r="M140" i="2" a="1"/>
  <c r="M302" i="2" a="1"/>
  <c r="S264" i="2" a="1"/>
  <c r="R305" i="2" a="1"/>
  <c r="U265" i="2" a="1"/>
  <c r="U127" i="2" a="1"/>
  <c r="Q48" i="2" a="1"/>
  <c r="H67" i="2" a="1"/>
  <c r="H155" i="2" a="1"/>
  <c r="T51" i="2" a="1"/>
  <c r="O106" i="2" a="1"/>
  <c r="H189" i="2" a="1"/>
  <c r="H172" i="2" a="1"/>
  <c r="Q110" i="2" a="1"/>
  <c r="U159" i="2" a="1"/>
  <c r="N305" i="2" a="1"/>
  <c r="S40" i="2" a="1"/>
  <c r="H60" i="2" a="1"/>
  <c r="R96" i="2" a="1"/>
  <c r="O59" i="2" a="1"/>
  <c r="T246" i="2" a="1"/>
  <c r="T40" i="2" a="1"/>
  <c r="M313" i="2" a="1"/>
  <c r="R231" i="2" a="1"/>
  <c r="M120" i="2" a="1"/>
  <c r="R301" i="2" a="1"/>
  <c r="P294" i="2" a="1"/>
  <c r="R213" i="2" a="1"/>
  <c r="P126" i="2" a="1"/>
  <c r="M258" i="2" a="1"/>
  <c r="T265" i="2" a="1"/>
  <c r="Q161" i="2" a="1"/>
  <c r="T156" i="2" a="1"/>
  <c r="T199" i="2" a="1"/>
  <c r="N99" i="2" a="1"/>
  <c r="N271" i="2" a="1"/>
  <c r="U235" i="2" a="1"/>
  <c r="N110" i="2" a="1"/>
  <c r="S181" i="2" a="1"/>
  <c r="P95" i="2" a="1"/>
  <c r="T59" i="2" a="1"/>
  <c r="W224" i="2" a="1"/>
  <c r="Q176" i="2" a="1"/>
  <c r="O171" i="2" a="1"/>
  <c r="R315" i="2" a="1"/>
  <c r="R87" i="2" a="1"/>
  <c r="O231" i="2" a="1"/>
  <c r="P224" i="2" a="1"/>
  <c r="R242" i="2" a="1"/>
  <c r="N240" i="2" a="1"/>
  <c r="S289" i="2" a="1"/>
  <c r="N282" i="2" a="1"/>
  <c r="Q131" i="2" a="1"/>
  <c r="Q253" i="2" a="1"/>
  <c r="T270" i="2" a="1"/>
  <c r="S297" i="2" a="1"/>
  <c r="P272" i="2" a="1"/>
  <c r="W85" i="2" a="1"/>
  <c r="T44" i="2" a="1"/>
  <c r="P54" i="2" a="1"/>
  <c r="R167" i="2" a="1"/>
  <c r="Q259" i="2" a="1"/>
  <c r="H99" i="2" a="1"/>
  <c r="O80" i="2" a="1"/>
  <c r="S99" i="2" a="1"/>
  <c r="O215" i="2" a="1"/>
  <c r="Q151" i="2" a="1"/>
  <c r="N68" i="2" a="1"/>
  <c r="H70" i="2" a="1"/>
  <c r="O241" i="2" a="1"/>
  <c r="T208" i="2" a="1"/>
  <c r="T191" i="2" a="1"/>
  <c r="H46" i="2" a="1"/>
  <c r="T95" i="2" a="1"/>
  <c r="Q181" i="2" a="1"/>
  <c r="S70" i="2" a="1"/>
  <c r="O184" i="2" a="1"/>
  <c r="M314" i="2" a="1"/>
  <c r="P63" i="2" a="1"/>
  <c r="Q41" i="2" a="1"/>
  <c r="M224" i="2" a="1"/>
  <c r="O164" i="2" a="1"/>
  <c r="P85" i="2" a="1"/>
  <c r="H300" i="2" a="1"/>
  <c r="U262" i="2" a="1"/>
  <c r="M141" i="2" a="1"/>
  <c r="N272" i="2" a="1"/>
  <c r="U218" i="2" a="1"/>
  <c r="T287" i="2" a="1"/>
  <c r="W162" i="2" a="1"/>
  <c r="O141" i="2" a="1"/>
  <c r="W68" i="2" a="1"/>
  <c r="M223" i="2" a="1"/>
  <c r="M309" i="2" a="1"/>
  <c r="U168" i="2" a="1"/>
  <c r="H71" i="2" a="1"/>
  <c r="S66" i="2" a="1"/>
  <c r="T97" i="2" a="1"/>
  <c r="R253" i="2" a="1"/>
  <c r="P298" i="2" a="1"/>
  <c r="R88" i="2" a="1"/>
  <c r="R252" i="2" a="1"/>
  <c r="O292" i="2" a="1"/>
  <c r="W94" i="2" a="1"/>
  <c r="P94" i="2" a="1"/>
  <c r="M187" i="2" a="1"/>
  <c r="S85" i="2" a="1"/>
  <c r="R59" i="2" a="1"/>
  <c r="R115" i="2" a="1"/>
  <c r="S300" i="2" a="1"/>
  <c r="T280" i="2" a="1"/>
  <c r="N46" i="2" a="1"/>
  <c r="H152" i="2" a="1"/>
  <c r="R184" i="2" a="1"/>
  <c r="Q158" i="2" a="1"/>
  <c r="U77" i="2" a="1"/>
  <c r="M297" i="2" a="1"/>
  <c r="R159" i="2" a="1"/>
  <c r="W80" i="2" a="1"/>
  <c r="N164" i="2" a="1"/>
  <c r="H278" i="2" a="1"/>
  <c r="M289" i="2" a="1"/>
  <c r="O263" i="2" a="1"/>
  <c r="R186" i="2" a="1"/>
  <c r="M173" i="2" a="1"/>
  <c r="Q203" i="2" a="1"/>
  <c r="U153" i="2" a="1"/>
  <c r="H229" i="2" a="1"/>
  <c r="M47" i="2" a="1"/>
  <c r="M231" i="2" a="1"/>
  <c r="P293" i="2" a="1"/>
  <c r="U185" i="2" a="1"/>
  <c r="M147" i="2" a="1"/>
  <c r="P123" i="2" a="1"/>
  <c r="N216" i="2" a="1"/>
  <c r="Q201" i="2" a="1"/>
  <c r="S176" i="2" a="1"/>
  <c r="U99" i="2" a="1"/>
  <c r="O237" i="2" a="1"/>
  <c r="P97" i="2" a="1"/>
  <c r="P255" i="2" a="1"/>
  <c r="N54" i="2" a="1"/>
  <c r="U97" i="2" a="1"/>
  <c r="N90" i="2" a="1"/>
  <c r="W158" i="2" a="1"/>
  <c r="U144" i="2" a="1"/>
  <c r="S301" i="2" a="1"/>
  <c r="W215" i="2" a="1"/>
  <c r="T260" i="2" a="1"/>
  <c r="H145" i="2" a="1"/>
  <c r="U198" i="2" a="1"/>
  <c r="N84" i="2" a="1"/>
  <c r="H168" i="2" a="1"/>
  <c r="S231" i="2" a="1"/>
  <c r="M71" i="2" a="1"/>
  <c r="W264" i="2" a="1"/>
  <c r="N62" i="2" a="1"/>
  <c r="S127" i="2" a="1"/>
  <c r="T218" i="2" a="1"/>
  <c r="H209" i="2" a="1"/>
  <c r="Q279" i="2" a="1"/>
  <c r="Q251" i="2" a="1"/>
  <c r="U40" i="2" a="1"/>
  <c r="U297" i="2" a="1"/>
  <c r="P284" i="2" a="1"/>
  <c r="P72" i="2" a="1"/>
  <c r="N123" i="2" a="1"/>
  <c r="R244" i="2" a="1"/>
  <c r="U133" i="2" a="1"/>
  <c r="O218" i="2" a="1"/>
  <c r="S211" i="2" a="1"/>
  <c r="W58" i="2" a="1"/>
  <c r="H44" i="2" a="1"/>
  <c r="N183" i="2" a="1"/>
  <c r="Q252" i="2" a="1"/>
  <c r="Q167" i="2" a="1"/>
  <c r="W59" i="2" a="1"/>
  <c r="T160" i="2" a="1"/>
  <c r="P296" i="2" a="1"/>
  <c r="Q116" i="2" a="1"/>
  <c r="N233" i="2" a="1"/>
  <c r="T197" i="2" a="1"/>
  <c r="W262" i="2" a="1"/>
  <c r="N126" i="2" a="1"/>
  <c r="U207" i="2" a="1"/>
  <c r="N239" i="2" a="1"/>
  <c r="R292" i="2" a="1"/>
  <c r="Q174" i="2" a="1"/>
  <c r="S56" i="2" a="1"/>
  <c r="R123" i="2" a="1"/>
  <c r="H188" i="2" a="1"/>
  <c r="N60" i="2" a="1"/>
  <c r="R98" i="2" a="1"/>
  <c r="M214" i="2" a="1"/>
  <c r="M163" i="2" a="1"/>
  <c r="M280" i="2" a="1"/>
  <c r="T194" i="2" a="1"/>
  <c r="R212" i="2" a="1"/>
  <c r="H196" i="2" a="1"/>
  <c r="N161" i="2" a="1"/>
  <c r="W71" i="2" a="1"/>
  <c r="S280" i="2" a="1"/>
  <c r="M186" i="2" a="1"/>
  <c r="N77" i="2" a="1"/>
  <c r="S69" i="2" a="1"/>
  <c r="R192" i="2" a="1"/>
  <c r="P125" i="2" a="1"/>
  <c r="O155" i="2" a="1"/>
  <c r="H42" i="2" a="1"/>
  <c r="U301" i="2" a="1"/>
  <c r="Q96" i="2" a="1"/>
  <c r="U41" i="2" a="1"/>
  <c r="H201" i="2" a="1"/>
  <c r="H57" i="2" a="1"/>
  <c r="H230" i="2" a="1"/>
  <c r="S163" i="2" a="1"/>
  <c r="O227" i="2" a="1"/>
  <c r="M156" i="2" a="1"/>
  <c r="S141" i="2" a="1"/>
  <c r="H272" i="2" a="1"/>
  <c r="U293" i="2" a="1"/>
  <c r="U165" i="2" a="1"/>
  <c r="Q187" i="2" a="1"/>
  <c r="R69" i="2" a="1"/>
  <c r="M165" i="2" a="1"/>
  <c r="Q67" i="2" a="1"/>
  <c r="W118" i="2" a="1"/>
  <c r="S83" i="2" a="1"/>
  <c r="T75" i="2" a="1"/>
  <c r="M57" i="2" a="1"/>
  <c r="T148" i="2" a="1"/>
  <c r="O281" i="2" a="1"/>
  <c r="R208" i="2" a="1"/>
  <c r="T263" i="2" a="1"/>
  <c r="U154" i="2" a="1"/>
  <c r="U197" i="2" a="1"/>
  <c r="N92" i="2" a="1"/>
  <c r="O170" i="2" a="1"/>
  <c r="W163" i="2" a="1"/>
  <c r="R312" i="2" a="1"/>
  <c r="U113" i="2" a="1"/>
  <c r="W107" i="2" a="1"/>
  <c r="S58" i="2" a="1"/>
  <c r="W219" i="2" a="1"/>
  <c r="S216" i="2" a="1"/>
  <c r="R197" i="2" a="1"/>
  <c r="M193" i="2" a="1"/>
  <c r="H110" i="2" a="1"/>
  <c r="Q265" i="2" a="1"/>
  <c r="Q121" i="2" a="1"/>
  <c r="R68" i="2" a="1"/>
  <c r="P278" i="2" a="1"/>
  <c r="R146" i="2" a="1"/>
  <c r="H83" i="2" a="1"/>
  <c r="U44" i="2" a="1"/>
  <c r="N180" i="2" a="1"/>
  <c r="W216" i="2" a="1"/>
  <c r="N263" i="2" a="1"/>
  <c r="U82" i="2" a="1"/>
  <c r="P189" i="2" a="1"/>
  <c r="T101" i="2" a="1"/>
  <c r="O283" i="2" a="1"/>
  <c r="N118" i="2" a="1"/>
  <c r="W194" i="2" a="1"/>
  <c r="O238" i="2" a="1"/>
  <c r="W90" i="2" a="1"/>
  <c r="Q71" i="2" a="1"/>
  <c r="O209" i="2" a="1"/>
  <c r="W173" i="2" a="1"/>
  <c r="T274" i="2" a="1"/>
  <c r="O47" i="2" a="1"/>
  <c r="U270" i="2" a="1"/>
  <c r="P219" i="2" a="1"/>
  <c r="T82" i="2" a="1"/>
  <c r="N78" i="2" a="1"/>
  <c r="H101" i="2" a="1"/>
  <c r="S198" i="2" a="1"/>
  <c r="Q204" i="2" a="1"/>
  <c r="W144" i="2" a="1"/>
  <c r="U290" i="2" a="1"/>
  <c r="P229" i="2" a="1"/>
  <c r="U306" i="2" a="1"/>
  <c r="T85" i="2" a="1"/>
  <c r="U184" i="2" a="1"/>
  <c r="N166" i="2" a="1"/>
  <c r="W295" i="2" a="1"/>
  <c r="P300" i="2" a="1"/>
  <c r="R113" i="2" a="1"/>
  <c r="S224" i="2" a="1"/>
  <c r="P76" i="2" a="1"/>
  <c r="Q180" i="2" a="1"/>
  <c r="U83" i="2" a="1"/>
  <c r="S266" i="2" a="1"/>
  <c r="M248" i="2" a="1"/>
  <c r="M275" i="2" a="1"/>
  <c r="T128" i="2" a="1"/>
  <c r="U64" i="2" a="1"/>
  <c r="O314" i="2" a="1"/>
  <c r="O151" i="2" a="1"/>
  <c r="R251" i="2" a="1"/>
  <c r="O147" i="2" a="1"/>
  <c r="M201" i="2" a="1"/>
  <c r="U205" i="2" a="1"/>
  <c r="S126" i="2" a="1"/>
  <c r="H147" i="2" a="1"/>
  <c r="U156" i="2" a="1"/>
  <c r="P89" i="2" a="1"/>
  <c r="O247" i="2" a="1"/>
  <c r="W95" i="2" a="1"/>
  <c r="S95" i="2" a="1"/>
  <c r="U74" i="2" a="1"/>
  <c r="H38" i="2" a="1"/>
  <c r="R248" i="2" a="1"/>
  <c r="T144" i="2" a="1"/>
  <c r="M124" i="2" a="1"/>
  <c r="R198" i="2" a="1"/>
  <c r="U125" i="2" a="1"/>
  <c r="P180" i="2" a="1"/>
  <c r="M172" i="2" a="1"/>
  <c r="O174" i="2" a="1"/>
  <c r="H303" i="2" a="1"/>
  <c r="M100" i="2" a="1"/>
  <c r="H198" i="2" a="1"/>
  <c r="M89" i="2" a="1"/>
  <c r="W231" i="2" a="1"/>
  <c r="R80" i="2" a="1"/>
  <c r="H160" i="2" a="1"/>
  <c r="P282" i="2" a="1"/>
  <c r="T192" i="2" a="1"/>
  <c r="R234" i="2" a="1"/>
  <c r="R107" i="2" a="1"/>
  <c r="T195" i="2" a="1"/>
  <c r="Q217" i="2" a="1"/>
  <c r="R232" i="2" a="1"/>
  <c r="H287" i="2" a="1"/>
  <c r="H262" i="2" a="1"/>
  <c r="T223" i="2" a="1"/>
  <c r="U72" i="2" a="1"/>
  <c r="W102" i="2" a="1"/>
  <c r="P260" i="2" a="1"/>
  <c r="R133" i="2" a="1"/>
  <c r="P187" i="2" a="1"/>
  <c r="T255" i="2" a="1"/>
  <c r="Q61" i="2" a="1"/>
  <c r="H309" i="2" a="1"/>
  <c r="W183" i="2" a="1"/>
  <c r="S244" i="2" a="1"/>
  <c r="H226" i="2" a="1"/>
  <c r="P66" i="2" a="1"/>
  <c r="H153" i="2" a="1"/>
  <c r="T188" i="2" a="1"/>
  <c r="R247" i="2" a="1"/>
  <c r="H80" i="2" a="1"/>
  <c r="Q276" i="2" a="1"/>
  <c r="T140" i="2" a="1"/>
  <c r="O181" i="2" a="1"/>
  <c r="Q170" i="2" a="1"/>
  <c r="Q250" i="2" a="1"/>
  <c r="O193" i="2" a="1"/>
  <c r="Q230" i="2" a="1"/>
  <c r="W185" i="2" a="1"/>
  <c r="M78" i="2" a="1"/>
  <c r="T204" i="2" a="1"/>
  <c r="H119" i="2" a="1"/>
  <c r="S124" i="2" a="1"/>
  <c r="H141" i="2" a="1"/>
  <c r="N45" i="2" a="1"/>
  <c r="O154" i="2" a="1"/>
  <c r="N59" i="2" a="1"/>
  <c r="N151" i="2" a="1"/>
  <c r="T316" i="2" a="1"/>
  <c r="N178" i="2" a="1"/>
  <c r="T102" i="2" a="1"/>
  <c r="R226" i="2" a="1"/>
  <c r="O198" i="2" a="1"/>
  <c r="T124" i="2" a="1"/>
  <c r="T178" i="2" a="1"/>
  <c r="W166" i="2" a="1"/>
  <c r="T315" i="2" a="1"/>
  <c r="R295" i="2" a="1"/>
  <c r="U295" i="2" a="1"/>
  <c r="M66" i="2" a="1"/>
  <c r="W192" i="2" a="1"/>
  <c r="O291" i="2" a="1"/>
  <c r="R246" i="2" a="1"/>
  <c r="M169" i="2" a="1"/>
  <c r="N85" i="2" a="1"/>
  <c r="M122" i="2" a="1"/>
  <c r="T103" i="2" a="1"/>
  <c r="T212" i="2" a="1"/>
  <c r="Q246" i="2" a="1"/>
  <c r="S82" i="2" a="1"/>
  <c r="N225" i="2" a="1"/>
  <c r="T298" i="2" a="1"/>
  <c r="P106" i="2" a="1"/>
  <c r="M81" i="2" a="1"/>
  <c r="W82" i="2" a="1"/>
  <c r="T113" i="2" a="1"/>
  <c r="W259" i="2" a="1"/>
  <c r="W97" i="2" a="1"/>
  <c r="M138" i="2" a="1"/>
  <c r="T228" i="2" a="1"/>
  <c r="Q195" i="2" a="1"/>
  <c r="S284" i="2" a="1"/>
  <c r="P71" i="2" a="1"/>
  <c r="M277" i="2" a="1"/>
  <c r="H143" i="2" a="1"/>
  <c r="P315" i="2" a="1"/>
  <c r="W104" i="2" a="1"/>
  <c r="T157" i="2" a="1"/>
  <c r="U80" i="2" a="1"/>
  <c r="M62" i="2" a="1"/>
  <c r="N102" i="2" a="1"/>
  <c r="M76" i="2" a="1"/>
  <c r="U252" i="2" a="1"/>
  <c r="O63" i="2" a="1"/>
  <c r="M142" i="2" a="1"/>
  <c r="M266" i="2" a="1"/>
  <c r="O145" i="2" a="1"/>
  <c r="O142" i="2" a="1"/>
  <c r="P290" i="2" a="1"/>
  <c r="H255" i="2" a="1"/>
  <c r="T242" i="2" a="1"/>
  <c r="R145" i="2" a="1"/>
  <c r="T135" i="2" a="1"/>
  <c r="R304" i="2" a="1"/>
  <c r="T288" i="2" a="1"/>
  <c r="U54" i="2" a="1"/>
  <c r="W93" i="2" a="1"/>
  <c r="R278" i="2" a="1"/>
  <c r="O303" i="2" a="1"/>
  <c r="U137" i="2" a="1"/>
  <c r="O248" i="2" a="1"/>
  <c r="W175" i="2" a="1"/>
  <c r="M168" i="2" a="1"/>
  <c r="Q139" i="2" a="1"/>
  <c r="U227" i="2" a="1"/>
  <c r="U246" i="2" a="1"/>
  <c r="T123" i="2" a="1"/>
  <c r="R205" i="2" a="1"/>
  <c r="M181" i="2" a="1"/>
  <c r="T214" i="2" a="1"/>
  <c r="M116" i="2" a="1"/>
  <c r="M268" i="2" a="1"/>
  <c r="P88" i="2" a="1"/>
  <c r="Q177" i="2" a="1"/>
  <c r="M283" i="2" a="1"/>
  <c r="N234" i="2" a="1"/>
  <c r="N220" i="2" a="1"/>
  <c r="W132" i="2" a="1"/>
  <c r="M312" i="2" a="1"/>
  <c r="N248" i="2" a="1"/>
  <c r="R182" i="2" a="1"/>
  <c r="M73" i="2" a="1"/>
  <c r="W182" i="2" a="1"/>
  <c r="N159" i="2" a="1"/>
  <c r="U124" i="2" a="1"/>
  <c r="M136" i="2" a="1"/>
  <c r="U261" i="2" a="1"/>
  <c r="R64" i="2" a="1"/>
  <c r="T248" i="2" a="1"/>
  <c r="T179" i="2" a="1"/>
  <c r="T171" i="2" a="1"/>
  <c r="N289" i="2" a="1"/>
  <c r="S42" i="2" a="1"/>
  <c r="P96" i="2" a="1"/>
  <c r="U114" i="2" a="1"/>
  <c r="R258" i="2" a="1"/>
  <c r="H273" i="2" a="1"/>
  <c r="P254" i="2" a="1"/>
  <c r="U229" i="2" a="1"/>
  <c r="T172" i="2" a="1"/>
  <c r="N213" i="2" a="1"/>
  <c r="T279" i="2" a="1"/>
  <c r="S75" i="2" a="1"/>
  <c r="Q254" i="2" a="1"/>
  <c r="N130" i="2" a="1"/>
  <c r="T60" i="2" a="1"/>
  <c r="H260" i="2" a="1"/>
  <c r="N231" i="2" a="1"/>
  <c r="W39" i="2" a="1"/>
  <c r="N200" i="2" a="1"/>
  <c r="U88" i="2" a="1"/>
  <c r="N167" i="2" a="1"/>
  <c r="T190" i="2" a="1"/>
  <c r="S97" i="2" a="1"/>
  <c r="S159" i="2" a="1"/>
  <c r="W181" i="2" a="1"/>
  <c r="R164" i="2" a="1"/>
  <c r="U47" i="2" a="1"/>
  <c r="W168" i="2" a="1"/>
  <c r="M105" i="2" a="1"/>
  <c r="Q66" i="2" a="1"/>
  <c r="T305" i="2" a="1"/>
  <c r="P58" i="2" a="1"/>
  <c r="W207" i="2" a="1"/>
  <c r="H167" i="2" a="1"/>
  <c r="H207" i="2" a="1"/>
  <c r="M260" i="2" a="1"/>
  <c r="T216" i="2" a="1"/>
  <c r="U225" i="2" a="1"/>
  <c r="Q218" i="2" a="1"/>
  <c r="M107" i="2" a="1"/>
  <c r="W198" i="2" a="1"/>
  <c r="R154" i="2" a="1"/>
  <c r="U43" i="2" a="1"/>
  <c r="S200" i="2" a="1"/>
  <c r="O277" i="2" a="1"/>
  <c r="O110" i="2" a="1"/>
  <c r="M245" i="2" a="1"/>
  <c r="N168" i="2" a="1"/>
  <c r="P158" i="2" a="1"/>
  <c r="U115" i="2" a="1"/>
  <c r="Q91" i="2" a="1"/>
  <c r="T236" i="2" a="1"/>
  <c r="H222" i="2" a="1"/>
  <c r="T269" i="2" a="1"/>
  <c r="H35" i="2" a="1"/>
  <c r="R222" i="2" a="1"/>
  <c r="R175" i="2" a="1"/>
  <c r="Q156" i="2" a="1"/>
  <c r="M215" i="2" a="1"/>
  <c r="U244" i="2" a="1"/>
  <c r="S286" i="2" a="1"/>
  <c r="T169" i="2" a="1"/>
  <c r="O188" i="2" a="1"/>
  <c r="H47" i="2" a="1"/>
  <c r="W35" i="2" a="1"/>
  <c r="O58" i="2" a="1"/>
  <c r="U222" i="2" a="1"/>
  <c r="T304" i="2" a="1"/>
  <c r="S267" i="2" a="1"/>
  <c r="W237" i="2" a="1"/>
  <c r="H149" i="2" a="1"/>
  <c r="M291" i="2" a="1"/>
  <c r="S277" i="2" a="1"/>
  <c r="P244" i="2" a="1"/>
  <c r="Q86" i="2" a="1"/>
  <c r="W245" i="2" a="1"/>
  <c r="M38" i="2" a="1"/>
  <c r="H112" i="2" a="1"/>
  <c r="H312" i="2" a="1"/>
  <c r="R296" i="2" a="1"/>
  <c r="U241" i="2" a="1"/>
  <c r="O301" i="2" a="1"/>
  <c r="N122" i="2" a="1"/>
  <c r="N227" i="2" a="1"/>
  <c r="W154" i="2" a="1"/>
  <c r="W311" i="2" a="1"/>
  <c r="S67" i="2" a="1"/>
  <c r="S147" i="2" a="1"/>
  <c r="N139" i="2" a="1"/>
  <c r="S171" i="2" a="1"/>
  <c r="P139" i="2" a="1"/>
  <c r="T301" i="2" a="1"/>
  <c r="H271" i="2" a="1"/>
  <c r="O219" i="2" a="1"/>
  <c r="S154" i="2" a="1"/>
  <c r="N108" i="2" a="1"/>
  <c r="U36" i="2" a="1"/>
  <c r="P193" i="2" a="1"/>
  <c r="W260" i="2" a="1"/>
  <c r="R316" i="2" a="1"/>
  <c r="Q127" i="2" a="1"/>
  <c r="R185" i="2" a="1"/>
  <c r="M52" i="2" a="1"/>
  <c r="O262" i="2" a="1"/>
  <c r="R309" i="2" a="1"/>
  <c r="T88" i="2" a="1"/>
  <c r="M103" i="2" a="1"/>
  <c r="P200" i="2" a="1"/>
  <c r="P285" i="2" a="1"/>
  <c r="T107" i="2" a="1"/>
  <c r="R283" i="2" a="1"/>
  <c r="O90" i="2" a="1"/>
  <c r="W157" i="2" a="1"/>
  <c r="M41" i="2" a="1"/>
  <c r="M35" i="2" a="1"/>
  <c r="U106" i="2" a="1"/>
  <c r="Q39" i="2" a="1"/>
  <c r="P74" i="2" a="1"/>
  <c r="O163" i="2" a="1"/>
  <c r="N64" i="2" a="1"/>
  <c r="Q44" i="2" a="1"/>
  <c r="O105" i="2" a="1"/>
  <c r="Q299" i="2" a="1"/>
  <c r="W218" i="2" a="1"/>
  <c r="Q290" i="2" a="1"/>
  <c r="R104" i="2" a="1"/>
  <c r="S205" i="2" a="1"/>
  <c r="S59" i="2" a="1"/>
  <c r="R290" i="2" a="1"/>
  <c r="W45" i="2" a="1"/>
  <c r="U57" i="2" a="1"/>
  <c r="Q286" i="2" a="1"/>
  <c r="M222" i="2" a="1"/>
  <c r="H289" i="2" a="1"/>
  <c r="R102" i="2" a="1"/>
  <c r="M304" i="2" a="1"/>
  <c r="O298" i="2" a="1"/>
  <c r="U190" i="2" a="1"/>
  <c r="S259" i="2" a="1"/>
  <c r="W278" i="2" a="1"/>
  <c r="T251" i="2" a="1"/>
  <c r="T184" i="2" a="1"/>
  <c r="P183" i="2" a="1"/>
  <c r="N197" i="2" a="1"/>
  <c r="U104" i="2" a="1"/>
  <c r="N201" i="2" a="1"/>
  <c r="T239" i="2" a="1"/>
  <c r="O60" i="2" a="1"/>
  <c r="S39" i="2" a="1"/>
  <c r="N103" i="2" a="1"/>
  <c r="U135" i="2" a="1"/>
  <c r="T233" i="2" a="1"/>
  <c r="H113" i="2" a="1"/>
  <c r="O240" i="2" a="1"/>
  <c r="R119" i="2" a="1"/>
  <c r="R111" i="2" a="1"/>
  <c r="N222" i="2" a="1"/>
  <c r="Q140" i="2" a="1"/>
  <c r="W248" i="2" a="1"/>
  <c r="T99" i="2" a="1"/>
  <c r="T186" i="2" a="1"/>
  <c r="U316" i="2" a="1"/>
  <c r="P268" i="2" a="1"/>
  <c r="R228" i="2" a="1"/>
  <c r="W125" i="2" a="1"/>
  <c r="P102" i="2" a="1"/>
  <c r="W123" i="2" a="1"/>
  <c r="T165" i="2" a="1"/>
  <c r="W84" i="2" a="1"/>
  <c r="O146" i="2" a="1"/>
  <c r="T131" i="2" a="1"/>
  <c r="R57" i="2" a="1"/>
  <c r="T86" i="2" a="1"/>
  <c r="W193" i="2" a="1"/>
  <c r="W213" i="2" a="1"/>
  <c r="H288" i="2" a="1"/>
  <c r="S229" i="2" a="1"/>
  <c r="T56" i="2" a="1"/>
  <c r="O249" i="2" a="1"/>
  <c r="P207" i="2" a="1"/>
  <c r="H170" i="2" a="1"/>
  <c r="R92" i="2" a="1"/>
  <c r="H68" i="2" a="1"/>
  <c r="M77" i="2" a="1"/>
  <c r="O42" i="2" a="1"/>
  <c r="W212" i="2" a="1"/>
  <c r="R108" i="2" a="1"/>
  <c r="T46" i="2" a="1"/>
  <c r="T73" i="2" a="1"/>
  <c r="T234" i="2" a="1"/>
  <c r="U273" i="2" a="1"/>
  <c r="W255" i="2" a="1"/>
  <c r="P120" i="2" a="1"/>
  <c r="R178" i="2" a="1"/>
  <c r="U170" i="2" a="1"/>
  <c r="M104" i="2" a="1"/>
  <c r="N285" i="2" a="1"/>
  <c r="N229" i="2" a="1"/>
  <c r="H298" i="2" a="1"/>
  <c r="P304" i="2" a="1"/>
  <c r="P251" i="2" a="1"/>
  <c r="H81" i="2" a="1"/>
  <c r="N171" i="2" a="1"/>
  <c r="Q302" i="2" a="1"/>
  <c r="R150" i="2" a="1"/>
  <c r="R210" i="2" a="1"/>
  <c r="R97" i="2" a="1"/>
  <c r="P295" i="2" a="1"/>
  <c r="U70" i="2" a="1"/>
  <c r="O46" i="2" a="1"/>
  <c r="H158" i="2" a="1"/>
  <c r="S192" i="2" a="1"/>
  <c r="N56" i="2" a="1"/>
  <c r="Q198" i="2" a="1"/>
  <c r="R162" i="2" a="1"/>
  <c r="M70" i="2" a="1"/>
  <c r="M72" i="2" a="1"/>
  <c r="O226" i="2" a="1"/>
  <c r="M256" i="2" a="1"/>
  <c r="W167" i="2" a="1"/>
  <c r="U305" i="2" a="1"/>
  <c r="S129" i="2" a="1"/>
  <c r="T200" i="2" a="1"/>
  <c r="W220" i="2" a="1"/>
  <c r="N135" i="2" a="1"/>
  <c r="O287" i="2" a="1"/>
  <c r="O180" i="2" a="1"/>
  <c r="T220" i="2" a="1"/>
  <c r="T303" i="2" a="1"/>
  <c r="P225" i="2" a="1"/>
  <c r="W195" i="2" a="1"/>
  <c r="S68" i="2" a="1"/>
  <c r="Q291" i="2" a="1"/>
  <c r="W251" i="2" a="1"/>
  <c r="T201" i="2" a="1"/>
  <c r="O258" i="2" a="1"/>
  <c r="P247" i="2" a="1"/>
  <c r="N144" i="2" a="1"/>
  <c r="H279" i="2" a="1"/>
  <c r="Q227" i="2" a="1"/>
  <c r="T299" i="2" a="1"/>
  <c r="M311" i="2" a="1"/>
  <c r="H211" i="2" a="1"/>
  <c r="S279" i="2" a="1"/>
  <c r="O286" i="2" a="1"/>
  <c r="O309" i="2" a="1"/>
  <c r="R95" i="2" a="1"/>
  <c r="R190" i="2" a="1"/>
  <c r="M226" i="2" a="1"/>
  <c r="Q296" i="2" a="1"/>
  <c r="M161" i="2" a="1"/>
  <c r="O261" i="2" a="1"/>
  <c r="S80" i="2" a="1"/>
  <c r="M265" i="2" a="1"/>
  <c r="Q310" i="2" a="1"/>
  <c r="P276" i="2" a="1"/>
  <c r="R298" i="2" a="1"/>
  <c r="M96" i="2" a="1"/>
  <c r="N138" i="2" a="1"/>
  <c r="Q113" i="2" a="1"/>
  <c r="H231" i="2" a="1"/>
  <c r="P80" i="2" a="1"/>
  <c r="T293" i="2" a="1"/>
  <c r="M167" i="2" a="1"/>
  <c r="O49" i="2" a="1"/>
  <c r="P257" i="2" a="1"/>
  <c r="Q149" i="2" a="1"/>
  <c r="H136" i="2" a="1"/>
  <c r="Q173" i="2" a="1"/>
  <c r="R163" i="2" a="1"/>
  <c r="H190" i="2" a="1"/>
  <c r="Q197" i="2" a="1"/>
  <c r="T177" i="2" a="1"/>
  <c r="Q36" i="2" a="1"/>
  <c r="M160" i="2" a="1"/>
  <c r="P40" i="2" a="1"/>
  <c r="P133" i="2" a="1"/>
  <c r="N301" i="2" a="1"/>
  <c r="R93" i="2" a="1"/>
  <c r="T111" i="2" a="1"/>
  <c r="H247" i="2" a="1"/>
  <c r="M276" i="2" a="1"/>
  <c r="O312" i="2" a="1"/>
  <c r="S63" i="2" a="1"/>
  <c r="M298" i="2" a="1"/>
  <c r="H137" i="2" a="1"/>
  <c r="R214" i="2" a="1"/>
  <c r="U147" i="2" a="1"/>
  <c r="H74" i="2" a="1"/>
  <c r="S249" i="2" a="1"/>
  <c r="O84" i="2" a="1"/>
  <c r="T267" i="2" a="1"/>
  <c r="O259" i="2" a="1"/>
  <c r="W122" i="2" a="1"/>
  <c r="S194" i="2" a="1"/>
  <c r="O282" i="2" a="1"/>
  <c r="T108" i="2" a="1"/>
  <c r="Q262" i="2" a="1"/>
  <c r="Q182" i="2" a="1"/>
  <c r="M249" i="2" a="1"/>
  <c r="R151" i="2" a="1"/>
  <c r="M88" i="2" a="1"/>
  <c r="N117" i="2" a="1"/>
  <c r="M294" i="2" a="1"/>
  <c r="Q311" i="2" a="1"/>
  <c r="W160" i="2" a="1"/>
  <c r="U219" i="2" a="1"/>
  <c r="R134" i="2" a="1"/>
  <c r="H151" i="2" a="1"/>
  <c r="H61" i="2" a="1"/>
  <c r="N141" i="2" a="1"/>
  <c r="U171" i="2" a="1"/>
  <c r="U158" i="2" a="1"/>
  <c r="O48" i="2" a="1"/>
  <c r="P242" i="2" a="1"/>
  <c r="U71" i="2" a="1"/>
  <c r="M232" i="2" a="1"/>
  <c r="S167" i="2" a="1"/>
  <c r="Q154" i="2" a="1"/>
  <c r="O144" i="2" a="1"/>
  <c r="H115" i="2" a="1"/>
  <c r="P153" i="2" a="1"/>
  <c r="R71" i="2" a="1"/>
  <c r="P68" i="2" a="1"/>
  <c r="T53" i="2" a="1"/>
  <c r="H56" i="2" a="1"/>
  <c r="N163" i="2" a="1"/>
  <c r="Q191" i="2" a="1"/>
  <c r="O280" i="2" a="1"/>
  <c r="N254" i="2" a="1"/>
  <c r="U240" i="2" a="1"/>
  <c r="P129" i="2" a="1"/>
  <c r="Q163" i="2" a="1"/>
  <c r="O168" i="2" a="1"/>
  <c r="W217" i="2" a="1"/>
  <c r="R211" i="2" a="1"/>
  <c r="P212" i="2" a="1"/>
  <c r="H241" i="2" a="1"/>
  <c r="Q94" i="2" a="1"/>
  <c r="H107" i="2" a="1"/>
  <c r="S230" i="2" a="1"/>
  <c r="Q280" i="2" a="1"/>
  <c r="S219" i="2" a="1"/>
  <c r="Q78" i="2" a="1"/>
  <c r="R117" i="2" a="1"/>
  <c r="H184" i="2" a="1"/>
  <c r="Q304" i="2" a="1"/>
  <c r="N279" i="2" a="1"/>
  <c r="M154" i="2" a="1"/>
  <c r="R100" i="2" a="1"/>
  <c r="U110" i="2" a="1"/>
  <c r="O269" i="2" a="1"/>
  <c r="M39" i="2" a="1"/>
  <c r="Q260" i="2" a="1"/>
  <c r="T91" i="2" a="1"/>
  <c r="T105" i="2" a="1"/>
  <c r="W242" i="2" a="1"/>
  <c r="U216" i="2" a="1"/>
  <c r="M316" i="2" a="1"/>
  <c r="W135" i="2" a="1"/>
  <c r="N153" i="2" a="1"/>
  <c r="P231" i="2" a="1"/>
  <c r="W240" i="2" a="1"/>
  <c r="O265" i="2" a="1"/>
  <c r="Q237" i="2" a="1"/>
  <c r="R72" i="2" a="1"/>
  <c r="U194" i="2" a="1"/>
  <c r="R61" i="2" a="1"/>
  <c r="P248" i="2" a="1"/>
  <c r="W268" i="2" a="1"/>
  <c r="T65" i="2" a="1"/>
  <c r="N112" i="2" a="1"/>
  <c r="W315" i="2" a="1"/>
  <c r="H54" i="2" a="1"/>
  <c r="S114" i="2" a="1"/>
  <c r="S119" i="2" a="1"/>
  <c r="P280" i="2" a="1"/>
  <c r="S251" i="2" a="1"/>
  <c r="W149" i="2" a="1"/>
  <c r="N245" i="2" a="1"/>
  <c r="T232" i="2" a="1"/>
  <c r="N105" i="2" a="1"/>
  <c r="P38" i="2" a="1"/>
  <c r="S61" i="2" a="1"/>
  <c r="O300" i="2" a="1"/>
  <c r="O54" i="2" a="1"/>
  <c r="T189" i="2" a="1"/>
  <c r="S270" i="2" a="1"/>
  <c r="N63" i="2" a="1"/>
  <c r="S73" i="2" a="1"/>
  <c r="T109" i="2" a="1"/>
  <c r="H131" i="2" a="1"/>
  <c r="H169" i="2" a="1"/>
  <c r="R277" i="2" a="1"/>
  <c r="H126" i="2" a="1"/>
  <c r="Q64" i="2" a="1"/>
  <c r="U81" i="2" a="1"/>
  <c r="S315" i="2" a="1"/>
  <c r="P171" i="2" a="1"/>
  <c r="P117" i="2" a="1"/>
  <c r="W152" i="2" a="1"/>
  <c r="H252" i="2" a="1"/>
  <c r="H240" i="2" a="1"/>
  <c r="Q307" i="2" a="1"/>
  <c r="N143" i="2" a="1"/>
  <c r="H49" i="2" a="1"/>
  <c r="U162" i="2" a="1"/>
  <c r="P161" i="2" a="1"/>
  <c r="N203" i="2" a="1"/>
  <c r="R47" i="2" a="1"/>
  <c r="N300" i="2" a="1"/>
  <c r="S255" i="2" a="1"/>
  <c r="S193" i="2" a="1"/>
  <c r="T78" i="2" a="1"/>
  <c r="R196" i="2" a="1"/>
  <c r="T71" i="2" a="1"/>
  <c r="O93" i="2" a="1"/>
  <c r="N191" i="2" a="1"/>
  <c r="O39" i="2" a="1"/>
  <c r="P86" i="2" a="1"/>
  <c r="O270" i="2" a="1"/>
  <c r="N137" i="2" a="1"/>
  <c r="N149" i="2" a="1"/>
  <c r="U179" i="2" a="1"/>
  <c r="H310" i="2" a="1"/>
  <c r="P264" i="2" a="1"/>
  <c r="R99" i="2" a="1"/>
  <c r="S256" i="2" a="1"/>
  <c r="R37" i="2" a="1"/>
  <c r="U282" i="2" a="1"/>
  <c r="Q136" i="2" a="1"/>
  <c r="O189" i="2" a="1"/>
  <c r="U142" i="2" a="1"/>
  <c r="Q309" i="2" a="1"/>
  <c r="S191" i="2" a="1"/>
  <c r="O297" i="2" a="1"/>
  <c r="P186" i="2" a="1"/>
  <c r="O304" i="2" a="1"/>
  <c r="O150" i="2" a="1"/>
  <c r="S158" i="2" a="1"/>
  <c r="M180" i="2" a="1"/>
  <c r="T115" i="2" a="1"/>
  <c r="S64" i="2" a="1"/>
  <c r="P116" i="2" a="1"/>
  <c r="P309" i="2" a="1"/>
  <c r="O114" i="2" a="1"/>
  <c r="U116" i="2" a="1"/>
  <c r="R255" i="2" a="1"/>
  <c r="H39" i="2" a="1"/>
  <c r="Q220" i="2" a="1"/>
  <c r="S314" i="2" a="1"/>
  <c r="S246" i="2" a="1"/>
  <c r="H148" i="2" a="1"/>
  <c r="W130" i="2" a="1"/>
  <c r="H181" i="2" a="1"/>
  <c r="H174" i="2" a="1"/>
  <c r="T121" i="2" a="1"/>
  <c r="O224" i="2" a="1"/>
  <c r="T291" i="2" a="1"/>
  <c r="H129" i="2" a="1"/>
  <c r="N308" i="2" a="1"/>
  <c r="Q165" i="2" a="1"/>
  <c r="T175" i="2" a="1"/>
  <c r="W129" i="2" a="1"/>
  <c r="Q249" i="2" a="1"/>
  <c r="M219" i="2" a="1"/>
  <c r="Q207" i="2" a="1"/>
  <c r="H97" i="2" a="1"/>
  <c r="Q277" i="2" a="1"/>
  <c r="T209" i="2" a="1"/>
  <c r="O85" i="2" a="1"/>
  <c r="W261" i="2" a="1"/>
  <c r="N136" i="2" a="1"/>
  <c r="S283" i="2" a="1"/>
  <c r="H221" i="2" a="1"/>
  <c r="O214" i="2" a="1"/>
  <c r="U221" i="2" a="1"/>
  <c r="T173" i="2" a="1"/>
  <c r="N146" i="2" a="1"/>
  <c r="S108" i="2" a="1"/>
  <c r="Q200" i="2" a="1"/>
  <c r="M123" i="2" a="1"/>
  <c r="O36" i="2" a="1"/>
  <c r="U42" i="2" a="1"/>
  <c r="W109" i="2" a="1"/>
  <c r="H265" i="2" a="1"/>
  <c r="M251" i="2" a="1"/>
  <c r="O273" i="2" a="1"/>
  <c r="S90" i="2" a="1"/>
  <c r="O197" i="2" a="1"/>
  <c r="R103" i="2" a="1"/>
  <c r="S152" i="2" a="1"/>
  <c r="Q157" i="2" a="1"/>
  <c r="N101" i="2" a="1"/>
  <c r="P181" i="2" a="1"/>
  <c r="H297" i="2" a="1"/>
  <c r="T45" i="2" a="1"/>
  <c r="S210" i="2" a="1"/>
  <c r="W307" i="2" a="1"/>
  <c r="P147" i="2" a="1"/>
  <c r="P48" i="2" a="1"/>
  <c r="O120" i="2" a="1"/>
  <c r="W274" i="2" a="1"/>
  <c r="W63" i="2" a="1"/>
  <c r="M279" i="2" a="1"/>
  <c r="R260" i="2" a="1"/>
  <c r="O183" i="2" a="1"/>
  <c r="N198" i="2" a="1"/>
  <c r="N140" i="2" a="1"/>
  <c r="T182" i="2" a="1"/>
  <c r="O96" i="2" a="1"/>
  <c r="H127" i="2" a="1"/>
  <c r="S203" i="2" a="1"/>
  <c r="U230" i="2" a="1"/>
  <c r="M85" i="2" a="1"/>
  <c r="O99" i="2" a="1"/>
  <c r="Q233" i="2" a="1"/>
  <c r="H290" i="2" a="1"/>
  <c r="W153" i="2" a="1"/>
  <c r="P90" i="2" a="1"/>
  <c r="Q74" i="2" a="1"/>
  <c r="S169" i="2" a="1"/>
  <c r="U271" i="2" a="1"/>
  <c r="M87" i="2" a="1"/>
  <c r="H276" i="2" a="1"/>
  <c r="O78" i="2" a="1"/>
  <c r="M241" i="2" a="1"/>
  <c r="Q106" i="2" a="1"/>
  <c r="S160" i="2" a="1"/>
  <c r="U233" i="2" a="1"/>
  <c r="N232" i="2" a="1"/>
  <c r="S263" i="2" a="1"/>
  <c r="O232" i="2" a="1"/>
  <c r="N172" i="2" a="1"/>
  <c r="Q242" i="2" a="1"/>
  <c r="S105" i="2" a="1"/>
  <c r="U95" i="2" a="1"/>
  <c r="N52" i="2" a="1"/>
  <c r="Q183" i="2" a="1"/>
  <c r="Q79" i="2" a="1"/>
  <c r="T207" i="2" a="1"/>
  <c r="S214" i="2" a="1"/>
  <c r="W48" i="2" a="1"/>
  <c r="T35" i="2" a="1"/>
  <c r="Q87" i="2" a="1"/>
  <c r="N293" i="2" a="1"/>
  <c r="T258" i="2" a="1"/>
  <c r="T110" i="2" a="1"/>
  <c r="O216" i="2" a="1"/>
  <c r="H203" i="2" a="1"/>
  <c r="R38" i="2" a="1"/>
  <c r="M60" i="2" a="1"/>
  <c r="N188" i="2" a="1"/>
  <c r="N81" i="2" a="1"/>
  <c r="P67" i="2" a="1"/>
  <c r="N50" i="2" a="1"/>
  <c r="Q264" i="2" a="1"/>
  <c r="Q308" i="2" a="1"/>
  <c r="P146" i="2" a="1"/>
  <c r="N134" i="2" a="1"/>
  <c r="N292" i="2" a="1"/>
  <c r="O208" i="2" a="1"/>
  <c r="S201" i="2" a="1"/>
  <c r="U248" i="2" a="1"/>
  <c r="H156" i="2" a="1"/>
  <c r="S113" i="2" a="1"/>
  <c r="Q137" i="2" a="1"/>
  <c r="W253" i="2" a="1"/>
  <c r="U152" i="2" a="1"/>
  <c r="O299" i="2" a="1"/>
  <c r="H176" i="2" a="1"/>
  <c r="H269" i="2" a="1"/>
  <c r="O278" i="2" a="1"/>
  <c r="R306" i="2" a="1"/>
  <c r="N316" i="2" a="1"/>
  <c r="M233" i="2" a="1"/>
  <c r="W265" i="2" a="1"/>
  <c r="H105" i="2" a="1"/>
  <c r="P162" i="2" a="1"/>
  <c r="N67" i="2" a="1"/>
  <c r="T145" i="2" a="1"/>
  <c r="O233" i="2" a="1"/>
  <c r="N35" i="2" a="1"/>
  <c r="O41" i="2" a="1"/>
  <c r="T285" i="2" a="1"/>
  <c r="M55" i="2" a="1"/>
  <c r="P132" i="2" a="1"/>
  <c r="H121" i="2" a="1"/>
  <c r="P230" i="2" a="1"/>
  <c r="H286" i="2" a="1"/>
  <c r="N310" i="2" a="1"/>
  <c r="P283" i="2" a="1"/>
  <c r="U224" i="2" a="1"/>
  <c r="P49" i="2" a="1"/>
  <c r="P143" i="2" a="1"/>
  <c r="P232" i="2" a="1"/>
  <c r="P217" i="2" a="1"/>
  <c r="R54" i="2" a="1"/>
  <c r="M243" i="2" a="1"/>
  <c r="P267" i="2" a="1"/>
  <c r="R130" i="2" a="1"/>
  <c r="Q102" i="2" a="1"/>
  <c r="H227" i="2" a="1"/>
  <c r="S162" i="2" a="1"/>
  <c r="W151" i="2" a="1"/>
  <c r="T273" i="2" a="1"/>
  <c r="U131" i="2" a="1"/>
  <c r="U308" i="2" a="1"/>
  <c r="W221" i="2" a="1"/>
  <c r="M177" i="2" a="1"/>
  <c r="W133" i="2" a="1"/>
  <c r="Q111" i="2" a="1"/>
  <c r="O203" i="2" a="1"/>
  <c r="N196" i="2" a="1"/>
  <c r="P152" i="2" a="1"/>
  <c r="P47" i="2" a="1"/>
  <c r="M119" i="2" a="1"/>
  <c r="U245" i="2" a="1"/>
  <c r="R60" i="2" a="1"/>
  <c r="Q247" i="2" a="1"/>
  <c r="N79" i="2" a="1"/>
  <c r="P36" i="2" a="1"/>
  <c r="S245" i="2" a="1"/>
  <c r="P216" i="2" a="1"/>
  <c r="N249" i="2" a="1"/>
  <c r="R70" i="2" a="1"/>
  <c r="H59" i="2" a="1"/>
  <c r="U146" i="2" a="1"/>
  <c r="R279" i="2" a="1"/>
  <c r="W190" i="2" a="1"/>
  <c r="S115" i="2" a="1"/>
  <c r="M137" i="2" a="1"/>
  <c r="T72" i="2" a="1"/>
  <c r="R311" i="2" a="1"/>
  <c r="N69" i="2" a="1"/>
  <c r="H104" i="2" a="1"/>
  <c r="N43" i="2" a="1"/>
  <c r="U160" i="2" a="1"/>
  <c r="H72" i="2" a="1"/>
  <c r="R82" i="2" a="1"/>
  <c r="T93" i="2" a="1"/>
  <c r="N251" i="2" a="1"/>
  <c r="R45" i="2" a="1"/>
  <c r="T76" i="2" a="1"/>
  <c r="T68" i="2" a="1"/>
  <c r="U63" i="2" a="1"/>
  <c r="M42" i="2" a="1"/>
  <c r="M113" i="2" a="1"/>
  <c r="W70" i="2" a="1"/>
  <c r="S122" i="2" a="1"/>
  <c r="W250" i="2" a="1"/>
  <c r="R236" i="2" a="1"/>
  <c r="U214" i="2" a="1"/>
  <c r="U143" i="2" a="1"/>
  <c r="T281" i="2" a="1"/>
  <c r="R204" i="2" a="1"/>
  <c r="T90" i="2" a="1"/>
  <c r="N182" i="2" a="1"/>
  <c r="O38" i="2" a="1"/>
  <c r="O35" i="2" a="1"/>
  <c r="N155" i="2" a="1"/>
  <c r="R139" i="2" a="1"/>
  <c r="Q261" i="2" a="1"/>
  <c r="O288" i="2" a="1"/>
  <c r="H134" i="2" a="1"/>
  <c r="P209" i="2" a="1"/>
  <c r="T275" i="2" a="1"/>
  <c r="S179" i="2" a="1"/>
  <c r="H195" i="2" a="1"/>
  <c r="H116" i="2" a="1"/>
  <c r="S71" i="2" a="1"/>
  <c r="R86" i="2" a="1"/>
  <c r="O57" i="2" a="1"/>
  <c r="R297" i="2" a="1"/>
  <c r="O205" i="2" a="1"/>
  <c r="N133" i="2" a="1"/>
  <c r="U91" i="2" a="1"/>
  <c r="M56" i="2" a="1"/>
  <c r="T134" i="2" a="1"/>
  <c r="P303" i="2" a="1"/>
  <c r="N306" i="2" a="1"/>
  <c r="S37" i="2" a="1"/>
  <c r="W271" i="2" a="1"/>
  <c r="Q284" i="2" a="1"/>
  <c r="T187" i="2" a="1"/>
  <c r="S247" i="2" a="1"/>
  <c r="N237" i="2" a="1"/>
  <c r="R157" i="2" a="1"/>
  <c r="Q160" i="2" a="1"/>
  <c r="S78" i="2" a="1"/>
  <c r="W52" i="2" a="1"/>
  <c r="R168" i="2" a="1"/>
  <c r="R66" i="2" a="1"/>
  <c r="H122" i="2" a="1"/>
  <c r="N94" i="2" a="1"/>
  <c r="R172" i="2" a="1"/>
  <c r="Q95" i="2" a="1"/>
  <c r="Q54" i="2" a="1"/>
  <c r="N208" i="2" a="1"/>
  <c r="R188" i="2" a="1"/>
  <c r="U272" i="2" a="1"/>
  <c r="S298" i="2" a="1"/>
  <c r="M99" i="2" a="1"/>
  <c r="H307" i="2" a="1"/>
  <c r="P261" i="2" a="1"/>
  <c r="O222" i="2" a="1"/>
  <c r="R50" i="2" a="1"/>
  <c r="S136" i="2" a="1"/>
  <c r="Q287" i="2" a="1"/>
  <c r="H315" i="2" a="1"/>
  <c r="P115" i="2" a="1"/>
  <c r="R141" i="2" a="1"/>
  <c r="O92" i="2" a="1"/>
  <c r="H63" i="2" a="1"/>
  <c r="P157" i="2" a="1"/>
  <c r="M108" i="2" a="1"/>
  <c r="AR24" i="2" l="1"/>
  <c r="AR4" i="2"/>
  <c r="AL10" i="2"/>
  <c r="AL22" i="2"/>
  <c r="AL20" i="2"/>
  <c r="AL8" i="2"/>
  <c r="P149" i="2"/>
  <c r="N224" i="2"/>
  <c r="AN224" i="2" s="1"/>
  <c r="U195" i="2"/>
  <c r="M113" i="2"/>
  <c r="R213" i="2"/>
  <c r="U115" i="2"/>
  <c r="W104" i="2"/>
  <c r="AP104" i="2" s="1"/>
  <c r="W158" i="2"/>
  <c r="AP158" i="2" s="1"/>
  <c r="H132" i="2"/>
  <c r="R236" i="2"/>
  <c r="T310" i="2"/>
  <c r="H49" i="2"/>
  <c r="W182" i="2"/>
  <c r="AP182" i="2" s="1"/>
  <c r="O248" i="2"/>
  <c r="AO248" i="2" s="1"/>
  <c r="U133" i="2"/>
  <c r="T264" i="2"/>
  <c r="M153" i="2"/>
  <c r="W79" i="2"/>
  <c r="AP79" i="2" s="1"/>
  <c r="W311" i="2"/>
  <c r="AP311" i="2" s="1"/>
  <c r="R150" i="2"/>
  <c r="H230" i="2"/>
  <c r="R98" i="2"/>
  <c r="T112" i="2"/>
  <c r="P191" i="2"/>
  <c r="Q215" i="2"/>
  <c r="R47" i="2"/>
  <c r="R86" i="2"/>
  <c r="H260" i="2"/>
  <c r="Q52" i="2"/>
  <c r="S156" i="2"/>
  <c r="U140" i="2"/>
  <c r="H174" i="2"/>
  <c r="H162" i="2"/>
  <c r="U261" i="2"/>
  <c r="U282" i="2"/>
  <c r="W163" i="2"/>
  <c r="AP163" i="2" s="1"/>
  <c r="R127" i="2"/>
  <c r="U49" i="2"/>
  <c r="M99" i="2"/>
  <c r="N188" i="2"/>
  <c r="AN188" i="2" s="1"/>
  <c r="U92" i="2"/>
  <c r="R188" i="2"/>
  <c r="O272" i="2"/>
  <c r="AO272" i="2" s="1"/>
  <c r="U127" i="2"/>
  <c r="H312" i="2"/>
  <c r="W245" i="2"/>
  <c r="AP245" i="2" s="1"/>
  <c r="W265" i="2"/>
  <c r="AP265" i="2" s="1"/>
  <c r="N141" i="2"/>
  <c r="AN141" i="2" s="1"/>
  <c r="S100" i="2"/>
  <c r="R210" i="2"/>
  <c r="M107" i="2"/>
  <c r="W285" i="2"/>
  <c r="AP285" i="2" s="1"/>
  <c r="S245" i="2"/>
  <c r="R130" i="2"/>
  <c r="W217" i="2"/>
  <c r="AP217" i="2" s="1"/>
  <c r="P102" i="2"/>
  <c r="Q176" i="2"/>
  <c r="Q264" i="2"/>
  <c r="H60" i="2"/>
  <c r="O92" i="2"/>
  <c r="AO92" i="2" s="1"/>
  <c r="T232" i="2"/>
  <c r="M316" i="2"/>
  <c r="R108" i="2"/>
  <c r="O291" i="2"/>
  <c r="AO291" i="2" s="1"/>
  <c r="N172" i="2"/>
  <c r="AN172" i="2" s="1"/>
  <c r="U88" i="2"/>
  <c r="S40" i="2"/>
  <c r="M42" i="2"/>
  <c r="T274" i="2"/>
  <c r="O238" i="2"/>
  <c r="AO238" i="2" s="1"/>
  <c r="P315" i="2"/>
  <c r="N90" i="2"/>
  <c r="AN90" i="2" s="1"/>
  <c r="Q270" i="2"/>
  <c r="P242" i="2"/>
  <c r="N61" i="2"/>
  <c r="AN61" i="2" s="1"/>
  <c r="N143" i="2"/>
  <c r="AN143" i="2" s="1"/>
  <c r="M73" i="2"/>
  <c r="U137" i="2"/>
  <c r="R244" i="2"/>
  <c r="S295" i="2"/>
  <c r="R41" i="2"/>
  <c r="T116" i="2"/>
  <c r="O80" i="2"/>
  <c r="AO80" i="2" s="1"/>
  <c r="T156" i="2"/>
  <c r="H57" i="2"/>
  <c r="N60" i="2"/>
  <c r="AN60" i="2" s="1"/>
  <c r="U268" i="2"/>
  <c r="R221" i="2"/>
  <c r="T308" i="2"/>
  <c r="S58" i="2"/>
  <c r="S71" i="2"/>
  <c r="T60" i="2"/>
  <c r="W309" i="2"/>
  <c r="AP309" i="2" s="1"/>
  <c r="S52" i="2"/>
  <c r="H175" i="2"/>
  <c r="R87" i="2"/>
  <c r="S60" i="2"/>
  <c r="O146" i="2"/>
  <c r="AO146" i="2" s="1"/>
  <c r="R37" i="2"/>
  <c r="O170" i="2"/>
  <c r="AO170" i="2" s="1"/>
  <c r="M164" i="2"/>
  <c r="R131" i="2"/>
  <c r="O226" i="2"/>
  <c r="AO226" i="2" s="1"/>
  <c r="M60" i="2"/>
  <c r="O126" i="2"/>
  <c r="AO126" i="2" s="1"/>
  <c r="H67" i="2"/>
  <c r="U290" i="2"/>
  <c r="U265" i="2"/>
  <c r="N135" i="2"/>
  <c r="AN135" i="2" s="1"/>
  <c r="O222" i="2"/>
  <c r="AO222" i="2" s="1"/>
  <c r="M233" i="2"/>
  <c r="H61" i="2"/>
  <c r="N38" i="2"/>
  <c r="AN38" i="2" s="1"/>
  <c r="M122" i="2"/>
  <c r="Q218" i="2"/>
  <c r="H69" i="2"/>
  <c r="P36" i="2"/>
  <c r="P267" i="2"/>
  <c r="O168" i="2"/>
  <c r="AO168" i="2" s="1"/>
  <c r="W125" i="2"/>
  <c r="AP125" i="2" s="1"/>
  <c r="T267" i="2"/>
  <c r="U223" i="2"/>
  <c r="O283" i="2"/>
  <c r="AO283" i="2" s="1"/>
  <c r="T220" i="2"/>
  <c r="N245" i="2"/>
  <c r="AN245" i="2" s="1"/>
  <c r="U216" i="2"/>
  <c r="S107" i="2"/>
  <c r="W192" i="2"/>
  <c r="AP192" i="2" s="1"/>
  <c r="T239" i="2"/>
  <c r="W215" i="2"/>
  <c r="AP215" i="2" s="1"/>
  <c r="O45" i="2"/>
  <c r="AO45" i="2" s="1"/>
  <c r="U63" i="2"/>
  <c r="T269" i="2"/>
  <c r="T40" i="2"/>
  <c r="H143" i="2"/>
  <c r="U97" i="2"/>
  <c r="O149" i="2"/>
  <c r="AO149" i="2" s="1"/>
  <c r="M293" i="2"/>
  <c r="N44" i="2"/>
  <c r="AN44" i="2" s="1"/>
  <c r="Q307" i="2"/>
  <c r="R182" i="2"/>
  <c r="O303" i="2"/>
  <c r="AO303" i="2" s="1"/>
  <c r="N123" i="2"/>
  <c r="AN123" i="2" s="1"/>
  <c r="W111" i="2"/>
  <c r="AP111" i="2" s="1"/>
  <c r="M101" i="2"/>
  <c r="N210" i="2"/>
  <c r="AN210" i="2" s="1"/>
  <c r="U296" i="2"/>
  <c r="M215" i="2"/>
  <c r="H201" i="2"/>
  <c r="H188" i="2"/>
  <c r="W98" i="2"/>
  <c r="AP98" i="2" s="1"/>
  <c r="M148" i="2"/>
  <c r="S226" i="2"/>
  <c r="N122" i="2"/>
  <c r="AN122" i="2" s="1"/>
  <c r="H116" i="2"/>
  <c r="N130" i="2"/>
  <c r="AN130" i="2" s="1"/>
  <c r="W204" i="2"/>
  <c r="AP204" i="2" s="1"/>
  <c r="N262" i="2"/>
  <c r="AN262" i="2" s="1"/>
  <c r="R194" i="2"/>
  <c r="N208" i="2"/>
  <c r="AN208" i="2" s="1"/>
  <c r="W150" i="2"/>
  <c r="AP150" i="2" s="1"/>
  <c r="N49" i="2"/>
  <c r="AN49" i="2" s="1"/>
  <c r="S256" i="2"/>
  <c r="N92" i="2"/>
  <c r="AN92" i="2" s="1"/>
  <c r="O179" i="2"/>
  <c r="AO179" i="2" s="1"/>
  <c r="P150" i="2"/>
  <c r="Q180" i="2"/>
  <c r="R38" i="2"/>
  <c r="M95" i="2"/>
  <c r="S277" i="2"/>
  <c r="N110" i="2"/>
  <c r="AN110" i="2" s="1"/>
  <c r="Q129" i="2"/>
  <c r="S149" i="2"/>
  <c r="T175" i="2"/>
  <c r="N316" i="2"/>
  <c r="AN316" i="2" s="1"/>
  <c r="H151" i="2"/>
  <c r="N169" i="2"/>
  <c r="AN169" i="2" s="1"/>
  <c r="T145" i="2"/>
  <c r="U225" i="2"/>
  <c r="Q235" i="2"/>
  <c r="N79" i="2"/>
  <c r="AN79" i="2" s="1"/>
  <c r="M243" i="2"/>
  <c r="Q163" i="2"/>
  <c r="R228" i="2"/>
  <c r="S124" i="2"/>
  <c r="U300" i="2"/>
  <c r="T101" i="2"/>
  <c r="M74" i="2"/>
  <c r="W149" i="2"/>
  <c r="AP149" i="2" s="1"/>
  <c r="W242" i="2"/>
  <c r="AP242" i="2" s="1"/>
  <c r="N118" i="2"/>
  <c r="AN118" i="2" s="1"/>
  <c r="M66" i="2"/>
  <c r="M173" i="2"/>
  <c r="Q94" i="2"/>
  <c r="N305" i="2"/>
  <c r="AN305" i="2" s="1"/>
  <c r="T68" i="2"/>
  <c r="P201" i="2"/>
  <c r="M104" i="2"/>
  <c r="M277" i="2"/>
  <c r="N54" i="2"/>
  <c r="AN54" i="2" s="1"/>
  <c r="W119" i="2"/>
  <c r="AP119" i="2" s="1"/>
  <c r="T73" i="2"/>
  <c r="N273" i="2"/>
  <c r="AN273" i="2" s="1"/>
  <c r="H240" i="2"/>
  <c r="N248" i="2"/>
  <c r="AN248" i="2" s="1"/>
  <c r="R278" i="2"/>
  <c r="P72" i="2"/>
  <c r="M229" i="2"/>
  <c r="U220" i="2"/>
  <c r="S141" i="2"/>
  <c r="N136" i="2"/>
  <c r="AN136" i="2" s="1"/>
  <c r="N78" i="2"/>
  <c r="AN78" i="2" s="1"/>
  <c r="U41" i="2"/>
  <c r="R123" i="2"/>
  <c r="U132" i="2"/>
  <c r="P121" i="2"/>
  <c r="Q205" i="2"/>
  <c r="T84" i="2"/>
  <c r="H195" i="2"/>
  <c r="Q254" i="2"/>
  <c r="M257" i="2"/>
  <c r="U302" i="2"/>
  <c r="S302" i="2"/>
  <c r="Q198" i="2"/>
  <c r="R49" i="2"/>
  <c r="M62" i="2"/>
  <c r="R99" i="2"/>
  <c r="U197" i="2"/>
  <c r="T164" i="2"/>
  <c r="P43" i="2"/>
  <c r="M291" i="2"/>
  <c r="H203" i="2"/>
  <c r="W113" i="2"/>
  <c r="AP113" i="2" s="1"/>
  <c r="W282" i="2"/>
  <c r="AP282" i="2" s="1"/>
  <c r="R84" i="2"/>
  <c r="R305" i="2"/>
  <c r="Q287" i="2"/>
  <c r="Q131" i="2"/>
  <c r="R306" i="2"/>
  <c r="R134" i="2"/>
  <c r="N212" i="2"/>
  <c r="AN212" i="2" s="1"/>
  <c r="M288" i="2"/>
  <c r="T216" i="2"/>
  <c r="T150" i="2"/>
  <c r="Q247" i="2"/>
  <c r="R54" i="2"/>
  <c r="P129" i="2"/>
  <c r="P268" i="2"/>
  <c r="M204" i="2"/>
  <c r="W58" i="2"/>
  <c r="AP58" i="2" s="1"/>
  <c r="P189" i="2"/>
  <c r="O301" i="2"/>
  <c r="AO301" i="2" s="1"/>
  <c r="S251" i="2"/>
  <c r="T105" i="2"/>
  <c r="W212" i="2"/>
  <c r="AP212" i="2" s="1"/>
  <c r="U295" i="2"/>
  <c r="N114" i="2"/>
  <c r="AN114" i="2" s="1"/>
  <c r="O314" i="2"/>
  <c r="AO314" i="2" s="1"/>
  <c r="P262" i="2"/>
  <c r="T76" i="2"/>
  <c r="P294" i="2"/>
  <c r="P158" i="2"/>
  <c r="P71" i="2"/>
  <c r="P255" i="2"/>
  <c r="T167" i="2"/>
  <c r="U255" i="2"/>
  <c r="P305" i="2"/>
  <c r="H252" i="2"/>
  <c r="M312" i="2"/>
  <c r="W93" i="2"/>
  <c r="AP93" i="2" s="1"/>
  <c r="P284" i="2"/>
  <c r="S228" i="2"/>
  <c r="O128" i="2"/>
  <c r="AO128" i="2" s="1"/>
  <c r="P108" i="2"/>
  <c r="S126" i="2"/>
  <c r="M213" i="2"/>
  <c r="Q96" i="2"/>
  <c r="S56" i="2"/>
  <c r="S212" i="2"/>
  <c r="U212" i="2"/>
  <c r="U178" i="2"/>
  <c r="H59" i="2"/>
  <c r="S179" i="2"/>
  <c r="S75" i="2"/>
  <c r="O97" i="2"/>
  <c r="AO97" i="2" s="1"/>
  <c r="T138" i="2"/>
  <c r="R243" i="2"/>
  <c r="P300" i="2"/>
  <c r="Q134" i="2"/>
  <c r="O58" i="2"/>
  <c r="AO58" i="2" s="1"/>
  <c r="P264" i="2"/>
  <c r="U154" i="2"/>
  <c r="H117" i="2"/>
  <c r="O315" i="2"/>
  <c r="AO315" i="2" s="1"/>
  <c r="T291" i="2"/>
  <c r="O216" i="2"/>
  <c r="AO216" i="2" s="1"/>
  <c r="U314" i="2"/>
  <c r="R78" i="2"/>
  <c r="O188" i="2"/>
  <c r="AO188" i="2" s="1"/>
  <c r="S264" i="2"/>
  <c r="S297" i="2"/>
  <c r="U305" i="2"/>
  <c r="O278" i="2"/>
  <c r="AO278" i="2" s="1"/>
  <c r="U219" i="2"/>
  <c r="H82" i="2"/>
  <c r="S93" i="2"/>
  <c r="M260" i="2"/>
  <c r="W43" i="2"/>
  <c r="AP43" i="2" s="1"/>
  <c r="R60" i="2"/>
  <c r="P217" i="2"/>
  <c r="U240" i="2"/>
  <c r="U316" i="2"/>
  <c r="H148" i="2"/>
  <c r="Q242" i="2"/>
  <c r="U82" i="2"/>
  <c r="P54" i="2"/>
  <c r="P280" i="2"/>
  <c r="T91" i="2"/>
  <c r="O42" i="2"/>
  <c r="AO42" i="2" s="1"/>
  <c r="R295" i="2"/>
  <c r="O232" i="2"/>
  <c r="AO232" i="2" s="1"/>
  <c r="O300" i="2"/>
  <c r="AO300" i="2" s="1"/>
  <c r="U159" i="2"/>
  <c r="R45" i="2"/>
  <c r="P304" i="2"/>
  <c r="R152" i="2"/>
  <c r="S284" i="2"/>
  <c r="P97" i="2"/>
  <c r="W287" i="2"/>
  <c r="AP287" i="2" s="1"/>
  <c r="H187" i="2"/>
  <c r="H251" i="2"/>
  <c r="W152" i="2"/>
  <c r="AP152" i="2" s="1"/>
  <c r="W132" i="2"/>
  <c r="AP132" i="2" s="1"/>
  <c r="U54" i="2"/>
  <c r="U297" i="2"/>
  <c r="R284" i="2"/>
  <c r="N76" i="2"/>
  <c r="AN76" i="2" s="1"/>
  <c r="N157" i="2"/>
  <c r="AN157" i="2" s="1"/>
  <c r="M108" i="2"/>
  <c r="Q161" i="2"/>
  <c r="U301" i="2"/>
  <c r="Q174" i="2"/>
  <c r="S248" i="2"/>
  <c r="U120" i="2"/>
  <c r="P197" i="2"/>
  <c r="T106" i="2"/>
  <c r="T275" i="2"/>
  <c r="T279" i="2"/>
  <c r="T181" i="2"/>
  <c r="R35" i="2"/>
  <c r="N242" i="2"/>
  <c r="AN242" i="2" s="1"/>
  <c r="T304" i="2"/>
  <c r="O121" i="2"/>
  <c r="AO121" i="2" s="1"/>
  <c r="W250" i="2"/>
  <c r="AP250" i="2" s="1"/>
  <c r="H310" i="2"/>
  <c r="T263" i="2"/>
  <c r="S62" i="2"/>
  <c r="T80" i="2"/>
  <c r="R242" i="2"/>
  <c r="T110" i="2"/>
  <c r="U126" i="2"/>
  <c r="W54" i="2"/>
  <c r="AP54" i="2" s="1"/>
  <c r="U70" i="2"/>
  <c r="M302" i="2"/>
  <c r="U64" i="2"/>
  <c r="M179" i="2"/>
  <c r="H269" i="2"/>
  <c r="W160" i="2"/>
  <c r="AP160" i="2" s="1"/>
  <c r="M303" i="2"/>
  <c r="N67" i="2"/>
  <c r="AN67" i="2" s="1"/>
  <c r="H207" i="2"/>
  <c r="T213" i="2"/>
  <c r="U245" i="2"/>
  <c r="P232" i="2"/>
  <c r="N254" i="2"/>
  <c r="AN254" i="2" s="1"/>
  <c r="T186" i="2"/>
  <c r="O84" i="2"/>
  <c r="AO84" i="2" s="1"/>
  <c r="S129" i="2"/>
  <c r="N263" i="2"/>
  <c r="AN263" i="2" s="1"/>
  <c r="R251" i="2"/>
  <c r="S119" i="2"/>
  <c r="Q260" i="2"/>
  <c r="M77" i="2"/>
  <c r="T315" i="2"/>
  <c r="N201" i="2"/>
  <c r="AN201" i="2" s="1"/>
  <c r="P111" i="2"/>
  <c r="O275" i="2"/>
  <c r="AO275" i="2" s="1"/>
  <c r="N251" i="2"/>
  <c r="AN251" i="2" s="1"/>
  <c r="W173" i="2"/>
  <c r="AP173" i="2" s="1"/>
  <c r="T246" i="2"/>
  <c r="Q195" i="2"/>
  <c r="O237" i="2"/>
  <c r="AO237" i="2" s="1"/>
  <c r="S142" i="2"/>
  <c r="N203" i="2"/>
  <c r="AN203" i="2" s="1"/>
  <c r="T119" i="2"/>
  <c r="P117" i="2"/>
  <c r="N220" i="2"/>
  <c r="AN220" i="2" s="1"/>
  <c r="T288" i="2"/>
  <c r="U40" i="2"/>
  <c r="U164" i="2"/>
  <c r="M106" i="2"/>
  <c r="H241" i="2"/>
  <c r="W195" i="2"/>
  <c r="AP195" i="2" s="1"/>
  <c r="Q156" i="2"/>
  <c r="H42" i="2"/>
  <c r="R292" i="2"/>
  <c r="S222" i="2"/>
  <c r="S54" i="2"/>
  <c r="U183" i="2"/>
  <c r="M136" i="2"/>
  <c r="P209" i="2"/>
  <c r="N213" i="2"/>
  <c r="AN213" i="2" s="1"/>
  <c r="M84" i="2"/>
  <c r="S215" i="2"/>
  <c r="N302" i="2"/>
  <c r="AN302" i="2" s="1"/>
  <c r="H181" i="2"/>
  <c r="H257" i="2"/>
  <c r="Q236" i="2"/>
  <c r="U179" i="2"/>
  <c r="R208" i="2"/>
  <c r="R240" i="2"/>
  <c r="P210" i="2"/>
  <c r="H157" i="2"/>
  <c r="T258" i="2"/>
  <c r="Q221" i="2"/>
  <c r="H227" i="2"/>
  <c r="W144" i="2"/>
  <c r="AP144" i="2" s="1"/>
  <c r="M140" i="2"/>
  <c r="M219" i="2"/>
  <c r="M248" i="2"/>
  <c r="H176" i="2"/>
  <c r="Q311" i="2"/>
  <c r="N297" i="2"/>
  <c r="AN297" i="2" s="1"/>
  <c r="R113" i="2"/>
  <c r="H167" i="2"/>
  <c r="M49" i="2"/>
  <c r="M119" i="2"/>
  <c r="P143" i="2"/>
  <c r="O280" i="2"/>
  <c r="AO280" i="2" s="1"/>
  <c r="T99" i="2"/>
  <c r="H119" i="2"/>
  <c r="T199" i="2"/>
  <c r="W216" i="2"/>
  <c r="AP216" i="2" s="1"/>
  <c r="Q277" i="2"/>
  <c r="S114" i="2"/>
  <c r="M39" i="2"/>
  <c r="H68" i="2"/>
  <c r="W166" i="2"/>
  <c r="AP166" i="2" s="1"/>
  <c r="R186" i="2"/>
  <c r="T46" i="2"/>
  <c r="H208" i="2"/>
  <c r="T93" i="2"/>
  <c r="H222" i="2"/>
  <c r="U170" i="2"/>
  <c r="T228" i="2"/>
  <c r="U99" i="2"/>
  <c r="U119" i="2"/>
  <c r="M156" i="2"/>
  <c r="T240" i="2"/>
  <c r="P171" i="2"/>
  <c r="N234" i="2"/>
  <c r="AN234" i="2" s="1"/>
  <c r="R304" i="2"/>
  <c r="Q251" i="2"/>
  <c r="R126" i="2"/>
  <c r="Q99" i="2"/>
  <c r="N309" i="2"/>
  <c r="AN309" i="2" s="1"/>
  <c r="W154" i="2"/>
  <c r="AP154" i="2" s="1"/>
  <c r="Q302" i="2"/>
  <c r="O155" i="2"/>
  <c r="AO155" i="2" s="1"/>
  <c r="N239" i="2"/>
  <c r="AN239" i="2" s="1"/>
  <c r="H86" i="2"/>
  <c r="O162" i="2"/>
  <c r="AO162" i="2" s="1"/>
  <c r="S143" i="2"/>
  <c r="N50" i="2"/>
  <c r="AN50" i="2" s="1"/>
  <c r="H134" i="2"/>
  <c r="T172" i="2"/>
  <c r="O295" i="2"/>
  <c r="AO295" i="2" s="1"/>
  <c r="R267" i="2"/>
  <c r="R153" i="2"/>
  <c r="R315" i="2"/>
  <c r="U309" i="2"/>
  <c r="N153" i="2"/>
  <c r="AN153" i="2" s="1"/>
  <c r="N149" i="2"/>
  <c r="AN149" i="2" s="1"/>
  <c r="O281" i="2"/>
  <c r="AO281" i="2" s="1"/>
  <c r="P62" i="2"/>
  <c r="O306" i="2"/>
  <c r="AO306" i="2" s="1"/>
  <c r="P76" i="2"/>
  <c r="N293" i="2"/>
  <c r="AN293" i="2" s="1"/>
  <c r="H180" i="2"/>
  <c r="N200" i="2"/>
  <c r="AN200" i="2" s="1"/>
  <c r="U235" i="2"/>
  <c r="M208" i="2"/>
  <c r="H112" i="2"/>
  <c r="Q86" i="2"/>
  <c r="O299" i="2"/>
  <c r="AO299" i="2" s="1"/>
  <c r="M294" i="2"/>
  <c r="W230" i="2"/>
  <c r="AP230" i="2" s="1"/>
  <c r="U80" i="2"/>
  <c r="W207" i="2"/>
  <c r="AP207" i="2" s="1"/>
  <c r="M290" i="2"/>
  <c r="P47" i="2"/>
  <c r="P49" i="2"/>
  <c r="Q191" i="2"/>
  <c r="W248" i="2"/>
  <c r="AP248" i="2" s="1"/>
  <c r="M263" i="2"/>
  <c r="P144" i="2"/>
  <c r="N180" i="2"/>
  <c r="AN180" i="2" s="1"/>
  <c r="R141" i="2"/>
  <c r="H54" i="2"/>
  <c r="O269" i="2"/>
  <c r="AO269" i="2" s="1"/>
  <c r="R92" i="2"/>
  <c r="T178" i="2"/>
  <c r="T62" i="2"/>
  <c r="O259" i="2"/>
  <c r="AO259" i="2" s="1"/>
  <c r="Q110" i="2"/>
  <c r="R82" i="2"/>
  <c r="R301" i="2"/>
  <c r="N168" i="2"/>
  <c r="AN168" i="2" s="1"/>
  <c r="M138" i="2"/>
  <c r="S176" i="2"/>
  <c r="M175" i="2"/>
  <c r="O48" i="2"/>
  <c r="AO48" i="2" s="1"/>
  <c r="R144" i="2"/>
  <c r="S315" i="2"/>
  <c r="M283" i="2"/>
  <c r="T135" i="2"/>
  <c r="Q279" i="2"/>
  <c r="T92" i="2"/>
  <c r="M205" i="2"/>
  <c r="M313" i="2"/>
  <c r="H99" i="2"/>
  <c r="T82" i="2"/>
  <c r="P125" i="2"/>
  <c r="U207" i="2"/>
  <c r="T132" i="2"/>
  <c r="N152" i="2"/>
  <c r="AN152" i="2" s="1"/>
  <c r="Q122" i="2"/>
  <c r="W107" i="2"/>
  <c r="AP107" i="2" s="1"/>
  <c r="O288" i="2"/>
  <c r="AO288" i="2" s="1"/>
  <c r="U229" i="2"/>
  <c r="Q141" i="2"/>
  <c r="T185" i="2"/>
  <c r="Q90" i="2"/>
  <c r="N56" i="2"/>
  <c r="AN56" i="2" s="1"/>
  <c r="P137" i="2"/>
  <c r="S211" i="2"/>
  <c r="N137" i="2"/>
  <c r="AN137" i="2" s="1"/>
  <c r="T148" i="2"/>
  <c r="M121" i="2"/>
  <c r="U286" i="2"/>
  <c r="S298" i="2"/>
  <c r="Q87" i="2"/>
  <c r="P289" i="2"/>
  <c r="H218" i="2"/>
  <c r="M115" i="2"/>
  <c r="H284" i="2"/>
  <c r="W220" i="2"/>
  <c r="AP220" i="2" s="1"/>
  <c r="P261" i="2"/>
  <c r="U152" i="2"/>
  <c r="N117" i="2"/>
  <c r="AN117" i="2" s="1"/>
  <c r="W199" i="2"/>
  <c r="AP199" i="2" s="1"/>
  <c r="O60" i="2"/>
  <c r="AO60" i="2" s="1"/>
  <c r="P58" i="2"/>
  <c r="S206" i="2"/>
  <c r="P152" i="2"/>
  <c r="U224" i="2"/>
  <c r="N163" i="2"/>
  <c r="AN163" i="2" s="1"/>
  <c r="Q140" i="2"/>
  <c r="R172" i="2"/>
  <c r="W84" i="2"/>
  <c r="AP84" i="2" s="1"/>
  <c r="U44" i="2"/>
  <c r="N174" i="2"/>
  <c r="AN174" i="2" s="1"/>
  <c r="W315" i="2"/>
  <c r="AP315" i="2" s="1"/>
  <c r="U110" i="2"/>
  <c r="H170" i="2"/>
  <c r="T124" i="2"/>
  <c r="S263" i="2"/>
  <c r="Q208" i="2"/>
  <c r="N95" i="2"/>
  <c r="AN95" i="2" s="1"/>
  <c r="H72" i="2"/>
  <c r="H298" i="2"/>
  <c r="W194" i="2"/>
  <c r="AP194" i="2" s="1"/>
  <c r="W97" i="2"/>
  <c r="AP97" i="2" s="1"/>
  <c r="Q201" i="2"/>
  <c r="M269" i="2"/>
  <c r="W175" i="2"/>
  <c r="AP175" i="2" s="1"/>
  <c r="H64" i="2"/>
  <c r="U81" i="2"/>
  <c r="Q177" i="2"/>
  <c r="R145" i="2"/>
  <c r="H209" i="2"/>
  <c r="N313" i="2"/>
  <c r="AN313" i="2" s="1"/>
  <c r="H43" i="2"/>
  <c r="S239" i="2"/>
  <c r="W261" i="2"/>
  <c r="AP261" i="2" s="1"/>
  <c r="R273" i="2"/>
  <c r="R192" i="2"/>
  <c r="N126" i="2"/>
  <c r="AN126" i="2" s="1"/>
  <c r="R219" i="2"/>
  <c r="W44" i="2"/>
  <c r="AP44" i="2" s="1"/>
  <c r="S257" i="2"/>
  <c r="H315" i="2"/>
  <c r="Q261" i="2"/>
  <c r="P254" i="2"/>
  <c r="P45" i="2"/>
  <c r="U191" i="2"/>
  <c r="O160" i="2"/>
  <c r="AO160" i="2" s="1"/>
  <c r="Q54" i="2"/>
  <c r="S50" i="2"/>
  <c r="P185" i="2"/>
  <c r="O270" i="2"/>
  <c r="AO270" i="2" s="1"/>
  <c r="M57" i="2"/>
  <c r="U53" i="2"/>
  <c r="U38" i="2"/>
  <c r="M72" i="2"/>
  <c r="T35" i="2"/>
  <c r="W55" i="2"/>
  <c r="AP55" i="2" s="1"/>
  <c r="N85" i="2"/>
  <c r="AN85" i="2" s="1"/>
  <c r="T169" i="2"/>
  <c r="P292" i="2"/>
  <c r="S136" i="2"/>
  <c r="Q165" i="2"/>
  <c r="W253" i="2"/>
  <c r="AP253" i="2" s="1"/>
  <c r="M88" i="2"/>
  <c r="M218" i="2"/>
  <c r="N299" i="2"/>
  <c r="AN299" i="2" s="1"/>
  <c r="T305" i="2"/>
  <c r="W69" i="2"/>
  <c r="AP69" i="2" s="1"/>
  <c r="N196" i="2"/>
  <c r="AN196" i="2" s="1"/>
  <c r="P283" i="2"/>
  <c r="H56" i="2"/>
  <c r="N222" i="2"/>
  <c r="AN222" i="2" s="1"/>
  <c r="S249" i="2"/>
  <c r="W148" i="2"/>
  <c r="AP148" i="2" s="1"/>
  <c r="H83" i="2"/>
  <c r="U241" i="2"/>
  <c r="N112" i="2"/>
  <c r="AN112" i="2" s="1"/>
  <c r="R100" i="2"/>
  <c r="P207" i="2"/>
  <c r="O198" i="2"/>
  <c r="AO198" i="2" s="1"/>
  <c r="U104" i="2"/>
  <c r="M214" i="2"/>
  <c r="H172" i="2"/>
  <c r="U160" i="2"/>
  <c r="Q271" i="2"/>
  <c r="R178" i="2"/>
  <c r="W259" i="2"/>
  <c r="AP259" i="2" s="1"/>
  <c r="N216" i="2"/>
  <c r="AN216" i="2" s="1"/>
  <c r="M133" i="2"/>
  <c r="R70" i="2"/>
  <c r="R288" i="2"/>
  <c r="Q64" i="2"/>
  <c r="P88" i="2"/>
  <c r="T242" i="2"/>
  <c r="T218" i="2"/>
  <c r="N195" i="2"/>
  <c r="AN195" i="2" s="1"/>
  <c r="W161" i="2"/>
  <c r="AP161" i="2" s="1"/>
  <c r="U263" i="2"/>
  <c r="W208" i="2"/>
  <c r="AP208" i="2" s="1"/>
  <c r="R175" i="2"/>
  <c r="S69" i="2"/>
  <c r="W262" i="2"/>
  <c r="AP262" i="2" s="1"/>
  <c r="W288" i="2"/>
  <c r="AP288" i="2" s="1"/>
  <c r="Q47" i="2"/>
  <c r="N89" i="2"/>
  <c r="AN89" i="2" s="1"/>
  <c r="R167" i="2"/>
  <c r="R139" i="2"/>
  <c r="H273" i="2"/>
  <c r="H163" i="2"/>
  <c r="T302" i="2"/>
  <c r="R269" i="2"/>
  <c r="W295" i="2"/>
  <c r="AP295" i="2" s="1"/>
  <c r="U129" i="2"/>
  <c r="S301" i="2"/>
  <c r="P86" i="2"/>
  <c r="T75" i="2"/>
  <c r="R94" i="2"/>
  <c r="H266" i="2"/>
  <c r="H149" i="2"/>
  <c r="W48" i="2"/>
  <c r="AP48" i="2" s="1"/>
  <c r="N93" i="2"/>
  <c r="AN93" i="2" s="1"/>
  <c r="N240" i="2"/>
  <c r="AN240" i="2" s="1"/>
  <c r="P295" i="2"/>
  <c r="H87" i="2"/>
  <c r="R310" i="2"/>
  <c r="N282" i="2"/>
  <c r="AN282" i="2" s="1"/>
  <c r="Q137" i="2"/>
  <c r="R151" i="2"/>
  <c r="S262" i="2"/>
  <c r="S61" i="2"/>
  <c r="Q66" i="2"/>
  <c r="N100" i="2"/>
  <c r="AN100" i="2" s="1"/>
  <c r="O203" i="2"/>
  <c r="AO203" i="2" s="1"/>
  <c r="N310" i="2"/>
  <c r="AN310" i="2" s="1"/>
  <c r="T53" i="2"/>
  <c r="R111" i="2"/>
  <c r="T204" i="2"/>
  <c r="M239" i="2"/>
  <c r="R146" i="2"/>
  <c r="O180" i="2"/>
  <c r="AO180" i="2" s="1"/>
  <c r="T65" i="2"/>
  <c r="M154" i="2"/>
  <c r="O249" i="2"/>
  <c r="AO249" i="2" s="1"/>
  <c r="R226" i="2"/>
  <c r="O263" i="2"/>
  <c r="AO263" i="2" s="1"/>
  <c r="H197" i="2"/>
  <c r="W131" i="2"/>
  <c r="AP131" i="2" s="1"/>
  <c r="N43" i="2"/>
  <c r="AN43" i="2" s="1"/>
  <c r="O209" i="2"/>
  <c r="AO209" i="2" s="1"/>
  <c r="O59" i="2"/>
  <c r="AO59" i="2" s="1"/>
  <c r="T113" i="2"/>
  <c r="P123" i="2"/>
  <c r="R235" i="2"/>
  <c r="S122" i="2"/>
  <c r="S118" i="2"/>
  <c r="H126" i="2"/>
  <c r="M268" i="2"/>
  <c r="H255" i="2"/>
  <c r="S127" i="2"/>
  <c r="M132" i="2"/>
  <c r="R281" i="2"/>
  <c r="U150" i="2"/>
  <c r="U205" i="2"/>
  <c r="T265" i="2"/>
  <c r="N77" i="2"/>
  <c r="AN77" i="2" s="1"/>
  <c r="T197" i="2"/>
  <c r="S43" i="2"/>
  <c r="N158" i="2"/>
  <c r="AN158" i="2" s="1"/>
  <c r="Q241" i="2"/>
  <c r="P162" i="2"/>
  <c r="N155" i="2"/>
  <c r="AN155" i="2" s="1"/>
  <c r="R258" i="2"/>
  <c r="N207" i="2"/>
  <c r="AN207" i="2" s="1"/>
  <c r="R43" i="2"/>
  <c r="R174" i="2"/>
  <c r="U222" i="2"/>
  <c r="R46" i="2"/>
  <c r="O47" i="2"/>
  <c r="AO47" i="2" s="1"/>
  <c r="O39" i="2"/>
  <c r="AO39" i="2" s="1"/>
  <c r="S83" i="2"/>
  <c r="W66" i="2"/>
  <c r="AP66" i="2" s="1"/>
  <c r="U260" i="2"/>
  <c r="O224" i="2"/>
  <c r="AO224" i="2" s="1"/>
  <c r="S214" i="2"/>
  <c r="T295" i="2"/>
  <c r="T226" i="2"/>
  <c r="Q204" i="2"/>
  <c r="M308" i="2"/>
  <c r="T270" i="2"/>
  <c r="W167" i="2"/>
  <c r="AP167" i="2" s="1"/>
  <c r="S113" i="2"/>
  <c r="M249" i="2"/>
  <c r="S221" i="2"/>
  <c r="W61" i="2"/>
  <c r="AP61" i="2" s="1"/>
  <c r="M105" i="2"/>
  <c r="U35" i="2"/>
  <c r="Q111" i="2"/>
  <c r="H286" i="2"/>
  <c r="P68" i="2"/>
  <c r="R119" i="2"/>
  <c r="U236" i="2"/>
  <c r="P161" i="2"/>
  <c r="P278" i="2"/>
  <c r="T44" i="2"/>
  <c r="W268" i="2"/>
  <c r="AP268" i="2" s="1"/>
  <c r="N279" i="2"/>
  <c r="AN279" i="2" s="1"/>
  <c r="T56" i="2"/>
  <c r="O161" i="2"/>
  <c r="AO161" i="2" s="1"/>
  <c r="W229" i="2"/>
  <c r="AP229" i="2" s="1"/>
  <c r="U124" i="2"/>
  <c r="H189" i="2"/>
  <c r="H104" i="2"/>
  <c r="T236" i="2"/>
  <c r="M245" i="2"/>
  <c r="W82" i="2"/>
  <c r="AP82" i="2" s="1"/>
  <c r="T102" i="2"/>
  <c r="M82" i="2"/>
  <c r="Q40" i="2"/>
  <c r="H78" i="2"/>
  <c r="R277" i="2"/>
  <c r="M116" i="2"/>
  <c r="P290" i="2"/>
  <c r="N62" i="2"/>
  <c r="AN62" i="2" s="1"/>
  <c r="M147" i="2"/>
  <c r="M130" i="2"/>
  <c r="P212" i="2"/>
  <c r="P157" i="2"/>
  <c r="N171" i="2"/>
  <c r="AN171" i="2" s="1"/>
  <c r="M186" i="2"/>
  <c r="N233" i="2"/>
  <c r="AN233" i="2" s="1"/>
  <c r="P273" i="2"/>
  <c r="T57" i="2"/>
  <c r="T278" i="2"/>
  <c r="R156" i="2"/>
  <c r="O35" i="2"/>
  <c r="AO35" i="2" s="1"/>
  <c r="U114" i="2"/>
  <c r="Q112" i="2"/>
  <c r="T49" i="2"/>
  <c r="T284" i="2"/>
  <c r="W171" i="2"/>
  <c r="AP171" i="2" s="1"/>
  <c r="W73" i="2"/>
  <c r="AP73" i="2" s="1"/>
  <c r="M275" i="2"/>
  <c r="N191" i="2"/>
  <c r="AN191" i="2" s="1"/>
  <c r="W118" i="2"/>
  <c r="AP118" i="2" s="1"/>
  <c r="S109" i="2"/>
  <c r="W116" i="2"/>
  <c r="AP116" i="2" s="1"/>
  <c r="P224" i="2"/>
  <c r="W236" i="2"/>
  <c r="AP236" i="2" s="1"/>
  <c r="O235" i="2"/>
  <c r="AO235" i="2" s="1"/>
  <c r="O227" i="2"/>
  <c r="AO227" i="2" s="1"/>
  <c r="N271" i="2"/>
  <c r="AN271" i="2" s="1"/>
  <c r="U87" i="2"/>
  <c r="Q249" i="2"/>
  <c r="S77" i="2"/>
  <c r="H156" i="2"/>
  <c r="T207" i="2"/>
  <c r="S242" i="2"/>
  <c r="H101" i="2"/>
  <c r="W168" i="2"/>
  <c r="AP168" i="2" s="1"/>
  <c r="N96" i="2"/>
  <c r="AN96" i="2" s="1"/>
  <c r="W133" i="2"/>
  <c r="AP133" i="2" s="1"/>
  <c r="P230" i="2"/>
  <c r="R71" i="2"/>
  <c r="Q92" i="2"/>
  <c r="U184" i="2"/>
  <c r="R154" i="2"/>
  <c r="R68" i="2"/>
  <c r="O151" i="2"/>
  <c r="AO151" i="2" s="1"/>
  <c r="P248" i="2"/>
  <c r="Q304" i="2"/>
  <c r="W198" i="2"/>
  <c r="AP198" i="2" s="1"/>
  <c r="W87" i="2"/>
  <c r="AP87" i="2" s="1"/>
  <c r="N232" i="2"/>
  <c r="AN232" i="2" s="1"/>
  <c r="R162" i="2"/>
  <c r="U68" i="2"/>
  <c r="N69" i="2"/>
  <c r="AN69" i="2" s="1"/>
  <c r="M120" i="2"/>
  <c r="P120" i="2"/>
  <c r="M81" i="2"/>
  <c r="Q182" i="2"/>
  <c r="P223" i="2"/>
  <c r="O175" i="2"/>
  <c r="AO175" i="2" s="1"/>
  <c r="O159" i="2"/>
  <c r="AO159" i="2" s="1"/>
  <c r="H169" i="2"/>
  <c r="T214" i="2"/>
  <c r="O142" i="2"/>
  <c r="AO142" i="2" s="1"/>
  <c r="W264" i="2"/>
  <c r="AP264" i="2" s="1"/>
  <c r="O240" i="2"/>
  <c r="AO240" i="2" s="1"/>
  <c r="O182" i="2"/>
  <c r="AO182" i="2" s="1"/>
  <c r="R257" i="2"/>
  <c r="P225" i="2"/>
  <c r="P219" i="2"/>
  <c r="S280" i="2"/>
  <c r="Q116" i="2"/>
  <c r="N291" i="2"/>
  <c r="AN291" i="2" s="1"/>
  <c r="N178" i="2"/>
  <c r="AN178" i="2" s="1"/>
  <c r="P107" i="2"/>
  <c r="Q102" i="2"/>
  <c r="O38" i="2"/>
  <c r="AO38" i="2" s="1"/>
  <c r="P96" i="2"/>
  <c r="T143" i="2"/>
  <c r="S261" i="2"/>
  <c r="S240" i="2"/>
  <c r="U185" i="2"/>
  <c r="U201" i="2"/>
  <c r="W39" i="2"/>
  <c r="AP39" i="2" s="1"/>
  <c r="O93" i="2"/>
  <c r="AO93" i="2" s="1"/>
  <c r="Q67" i="2"/>
  <c r="T83" i="2"/>
  <c r="M274" i="2"/>
  <c r="S224" i="2"/>
  <c r="O135" i="2"/>
  <c r="AO135" i="2" s="1"/>
  <c r="H277" i="2"/>
  <c r="T157" i="2"/>
  <c r="W74" i="2"/>
  <c r="AP74" i="2" s="1"/>
  <c r="Q70" i="2"/>
  <c r="T128" i="2"/>
  <c r="S266" i="2"/>
  <c r="U248" i="2"/>
  <c r="M114" i="2"/>
  <c r="S182" i="2"/>
  <c r="P67" i="2"/>
  <c r="U47" i="2"/>
  <c r="P42" i="2"/>
  <c r="M177" i="2"/>
  <c r="H121" i="2"/>
  <c r="P153" i="2"/>
  <c r="P169" i="2"/>
  <c r="H74" i="2"/>
  <c r="M267" i="2"/>
  <c r="Q121" i="2"/>
  <c r="P61" i="2"/>
  <c r="R61" i="2"/>
  <c r="H184" i="2"/>
  <c r="S229" i="2"/>
  <c r="P99" i="2"/>
  <c r="N197" i="2"/>
  <c r="AN197" i="2" s="1"/>
  <c r="H141" i="2"/>
  <c r="P75" i="2"/>
  <c r="R311" i="2"/>
  <c r="N229" i="2"/>
  <c r="AN229" i="2" s="1"/>
  <c r="O110" i="2"/>
  <c r="AO110" i="2" s="1"/>
  <c r="P106" i="2"/>
  <c r="W130" i="2"/>
  <c r="AP130" i="2" s="1"/>
  <c r="W310" i="2"/>
  <c r="AP310" i="2" s="1"/>
  <c r="U113" i="2"/>
  <c r="P301" i="2"/>
  <c r="H131" i="2"/>
  <c r="M181" i="2"/>
  <c r="O145" i="2"/>
  <c r="AO145" i="2" s="1"/>
  <c r="M71" i="2"/>
  <c r="Q79" i="2"/>
  <c r="W313" i="2"/>
  <c r="AP313" i="2" s="1"/>
  <c r="U158" i="2"/>
  <c r="N227" i="2"/>
  <c r="AN227" i="2" s="1"/>
  <c r="H268" i="2"/>
  <c r="W71" i="2"/>
  <c r="AP71" i="2" s="1"/>
  <c r="P296" i="2"/>
  <c r="U311" i="2"/>
  <c r="Q262" i="2"/>
  <c r="Q226" i="2"/>
  <c r="O218" i="2"/>
  <c r="AO218" i="2" s="1"/>
  <c r="N182" i="2"/>
  <c r="AN182" i="2" s="1"/>
  <c r="S42" i="2"/>
  <c r="S254" i="2"/>
  <c r="P195" i="2"/>
  <c r="U250" i="2"/>
  <c r="H113" i="2"/>
  <c r="R89" i="2"/>
  <c r="P272" i="2"/>
  <c r="T71" i="2"/>
  <c r="M165" i="2"/>
  <c r="N131" i="2"/>
  <c r="AN131" i="2" s="1"/>
  <c r="M97" i="2"/>
  <c r="U272" i="2"/>
  <c r="T316" i="2"/>
  <c r="W249" i="2"/>
  <c r="AP249" i="2" s="1"/>
  <c r="Q203" i="2"/>
  <c r="S286" i="2"/>
  <c r="M221" i="2"/>
  <c r="T200" i="2"/>
  <c r="P244" i="2"/>
  <c r="S201" i="2"/>
  <c r="P293" i="2"/>
  <c r="P266" i="2"/>
  <c r="Q48" i="2"/>
  <c r="R164" i="2"/>
  <c r="O71" i="2"/>
  <c r="AO71" i="2" s="1"/>
  <c r="W221" i="2"/>
  <c r="AP221" i="2" s="1"/>
  <c r="P132" i="2"/>
  <c r="H115" i="2"/>
  <c r="T168" i="2"/>
  <c r="M78" i="2"/>
  <c r="T165" i="2"/>
  <c r="Q265" i="2"/>
  <c r="P115" i="2"/>
  <c r="U194" i="2"/>
  <c r="R117" i="2"/>
  <c r="H288" i="2"/>
  <c r="Q80" i="2"/>
  <c r="M289" i="2"/>
  <c r="W135" i="2"/>
  <c r="AP135" i="2" s="1"/>
  <c r="O106" i="2"/>
  <c r="AO106" i="2" s="1"/>
  <c r="T72" i="2"/>
  <c r="Q71" i="2"/>
  <c r="W255" i="2"/>
  <c r="AP255" i="2" s="1"/>
  <c r="T298" i="2"/>
  <c r="Q130" i="2"/>
  <c r="Q132" i="2"/>
  <c r="M271" i="2"/>
  <c r="R48" i="2"/>
  <c r="T109" i="2"/>
  <c r="R205" i="2"/>
  <c r="M266" i="2"/>
  <c r="S231" i="2"/>
  <c r="M252" i="2"/>
  <c r="M128" i="2"/>
  <c r="N249" i="2"/>
  <c r="AN249" i="2" s="1"/>
  <c r="Q259" i="2"/>
  <c r="R222" i="2"/>
  <c r="N161" i="2"/>
  <c r="AN161" i="2" s="1"/>
  <c r="T160" i="2"/>
  <c r="Q155" i="2"/>
  <c r="O171" i="2"/>
  <c r="AO171" i="2" s="1"/>
  <c r="U256" i="2"/>
  <c r="W67" i="2"/>
  <c r="AP67" i="2" s="1"/>
  <c r="T90" i="2"/>
  <c r="N289" i="2"/>
  <c r="AN289" i="2" s="1"/>
  <c r="M284" i="2"/>
  <c r="W60" i="2"/>
  <c r="AP60" i="2" s="1"/>
  <c r="Q255" i="2"/>
  <c r="Q183" i="2"/>
  <c r="O257" i="2"/>
  <c r="AO257" i="2" s="1"/>
  <c r="P237" i="2"/>
  <c r="R196" i="2"/>
  <c r="R69" i="2"/>
  <c r="U173" i="2"/>
  <c r="Q146" i="2"/>
  <c r="M70" i="2"/>
  <c r="T108" i="2"/>
  <c r="W266" i="2"/>
  <c r="AP266" i="2" s="1"/>
  <c r="M169" i="2"/>
  <c r="R97" i="2"/>
  <c r="H234" i="2"/>
  <c r="M38" i="2"/>
  <c r="N308" i="2"/>
  <c r="AN308" i="2" s="1"/>
  <c r="O208" i="2"/>
  <c r="AO208" i="2" s="1"/>
  <c r="T233" i="2"/>
  <c r="O124" i="2"/>
  <c r="AO124" i="2" s="1"/>
  <c r="P38" i="2"/>
  <c r="W181" i="2"/>
  <c r="AP181" i="2" s="1"/>
  <c r="H191" i="2"/>
  <c r="U308" i="2"/>
  <c r="M55" i="2"/>
  <c r="O144" i="2"/>
  <c r="AO144" i="2" s="1"/>
  <c r="Q148" i="2"/>
  <c r="U111" i="2"/>
  <c r="S303" i="2"/>
  <c r="H110" i="2"/>
  <c r="H97" i="2"/>
  <c r="R72" i="2"/>
  <c r="Q78" i="2"/>
  <c r="W213" i="2"/>
  <c r="AP213" i="2" s="1"/>
  <c r="O165" i="2"/>
  <c r="AO165" i="2" s="1"/>
  <c r="M117" i="2"/>
  <c r="O147" i="2"/>
  <c r="AO147" i="2" s="1"/>
  <c r="U65" i="2"/>
  <c r="M137" i="2"/>
  <c r="R231" i="2"/>
  <c r="O277" i="2"/>
  <c r="AO277" i="2" s="1"/>
  <c r="N225" i="2"/>
  <c r="AN225" i="2" s="1"/>
  <c r="N151" i="2"/>
  <c r="AN151" i="2" s="1"/>
  <c r="O89" i="2"/>
  <c r="AO89" i="2" s="1"/>
  <c r="H51" i="2"/>
  <c r="T254" i="2"/>
  <c r="S73" i="2"/>
  <c r="T123" i="2"/>
  <c r="M142" i="2"/>
  <c r="H168" i="2"/>
  <c r="M231" i="2"/>
  <c r="Q240" i="2"/>
  <c r="P251" i="2"/>
  <c r="O85" i="2"/>
  <c r="AO85" i="2" s="1"/>
  <c r="M258" i="2"/>
  <c r="H196" i="2"/>
  <c r="W59" i="2"/>
  <c r="AP59" i="2" s="1"/>
  <c r="S258" i="2"/>
  <c r="U278" i="2"/>
  <c r="S35" i="2"/>
  <c r="M127" i="2"/>
  <c r="S151" i="2"/>
  <c r="R52" i="2"/>
  <c r="P316" i="2"/>
  <c r="H256" i="2"/>
  <c r="S235" i="2"/>
  <c r="T183" i="2"/>
  <c r="R62" i="2"/>
  <c r="P190" i="2"/>
  <c r="T249" i="2"/>
  <c r="P226" i="2"/>
  <c r="W165" i="2"/>
  <c r="AP165" i="2" s="1"/>
  <c r="W222" i="2"/>
  <c r="AP222" i="2" s="1"/>
  <c r="U180" i="2"/>
  <c r="R42" i="2"/>
  <c r="S157" i="2"/>
  <c r="U211" i="2"/>
  <c r="M217" i="2"/>
  <c r="P130" i="2"/>
  <c r="H200" i="2"/>
  <c r="U144" i="2"/>
  <c r="S172" i="2"/>
  <c r="T198" i="2"/>
  <c r="M206" i="2"/>
  <c r="W100" i="2"/>
  <c r="AP100" i="2" s="1"/>
  <c r="Q101" i="2"/>
  <c r="R268" i="2"/>
  <c r="O284" i="2"/>
  <c r="AO284" i="2" s="1"/>
  <c r="R204" i="2"/>
  <c r="Q114" i="2"/>
  <c r="O279" i="2"/>
  <c r="AO279" i="2" s="1"/>
  <c r="T74" i="2"/>
  <c r="S293" i="2"/>
  <c r="U89" i="2"/>
  <c r="H206" i="2"/>
  <c r="U109" i="2"/>
  <c r="T171" i="2"/>
  <c r="S246" i="2"/>
  <c r="Q220" i="2"/>
  <c r="U116" i="2"/>
  <c r="S64" i="2"/>
  <c r="T187" i="2"/>
  <c r="N306" i="2"/>
  <c r="AN306" i="2" s="1"/>
  <c r="S111" i="2"/>
  <c r="O190" i="2"/>
  <c r="AO190" i="2" s="1"/>
  <c r="S160" i="2"/>
  <c r="Q74" i="2"/>
  <c r="S203" i="2"/>
  <c r="M279" i="2"/>
  <c r="T45" i="2"/>
  <c r="S90" i="2"/>
  <c r="U91" i="2"/>
  <c r="H85" i="2"/>
  <c r="N57" i="2"/>
  <c r="AN57" i="2" s="1"/>
  <c r="T229" i="2"/>
  <c r="O83" i="2"/>
  <c r="AO83" i="2" s="1"/>
  <c r="R249" i="2"/>
  <c r="M301" i="2"/>
  <c r="T170" i="2"/>
  <c r="Q200" i="2"/>
  <c r="H213" i="2"/>
  <c r="W205" i="2"/>
  <c r="AP205" i="2" s="1"/>
  <c r="U108" i="2"/>
  <c r="T48" i="2"/>
  <c r="O111" i="2"/>
  <c r="AO111" i="2" s="1"/>
  <c r="N125" i="2"/>
  <c r="AN125" i="2" s="1"/>
  <c r="U86" i="2"/>
  <c r="R137" i="2"/>
  <c r="R143" i="2"/>
  <c r="W46" i="2"/>
  <c r="AP46" i="2" s="1"/>
  <c r="M272" i="2"/>
  <c r="N145" i="2"/>
  <c r="AN145" i="2" s="1"/>
  <c r="U181" i="2"/>
  <c r="N97" i="2"/>
  <c r="AN97" i="2" s="1"/>
  <c r="H193" i="2"/>
  <c r="Q206" i="2"/>
  <c r="S150" i="2"/>
  <c r="T36" i="2"/>
  <c r="R209" i="2"/>
  <c r="T311" i="2"/>
  <c r="Q211" i="2"/>
  <c r="M242" i="2"/>
  <c r="S294" i="2"/>
  <c r="S180" i="2"/>
  <c r="H129" i="2"/>
  <c r="W272" i="2"/>
  <c r="AP272" i="2" s="1"/>
  <c r="U58" i="2"/>
  <c r="M158" i="2"/>
  <c r="O117" i="2"/>
  <c r="AO117" i="2" s="1"/>
  <c r="H220" i="2"/>
  <c r="U50" i="2"/>
  <c r="N120" i="2"/>
  <c r="AN120" i="2" s="1"/>
  <c r="T78" i="2"/>
  <c r="M134" i="2"/>
  <c r="W209" i="2"/>
  <c r="AP209" i="2" s="1"/>
  <c r="R302" i="2"/>
  <c r="R165" i="2"/>
  <c r="W128" i="2"/>
  <c r="AP128" i="2" s="1"/>
  <c r="O62" i="2"/>
  <c r="AO62" i="2" s="1"/>
  <c r="W77" i="2"/>
  <c r="AP77" i="2" s="1"/>
  <c r="Q187" i="2"/>
  <c r="R214" i="2"/>
  <c r="R93" i="2"/>
  <c r="H190" i="2"/>
  <c r="T293" i="2"/>
  <c r="Q310" i="2"/>
  <c r="R95" i="2"/>
  <c r="M194" i="2"/>
  <c r="Q188" i="2"/>
  <c r="T184" i="2"/>
  <c r="H289" i="2"/>
  <c r="R104" i="2"/>
  <c r="P74" i="2"/>
  <c r="T107" i="2"/>
  <c r="R185" i="2"/>
  <c r="H279" i="2"/>
  <c r="P100" i="2"/>
  <c r="S237" i="2"/>
  <c r="S236" i="2"/>
  <c r="R271" i="2"/>
  <c r="H258" i="2"/>
  <c r="S253" i="2"/>
  <c r="S290" i="2"/>
  <c r="O219" i="2"/>
  <c r="AO219" i="2" s="1"/>
  <c r="W237" i="2"/>
  <c r="AP237" i="2" s="1"/>
  <c r="O153" i="2"/>
  <c r="AO153" i="2" s="1"/>
  <c r="M259" i="2"/>
  <c r="S84" i="2"/>
  <c r="S175" i="2"/>
  <c r="R261" i="2"/>
  <c r="U276" i="2"/>
  <c r="Q190" i="2"/>
  <c r="Q95" i="2"/>
  <c r="P151" i="2"/>
  <c r="M300" i="2"/>
  <c r="R275" i="2"/>
  <c r="S299" i="2"/>
  <c r="W99" i="2"/>
  <c r="AP99" i="2" s="1"/>
  <c r="M210" i="2"/>
  <c r="H102" i="2"/>
  <c r="O251" i="2"/>
  <c r="AO251" i="2" s="1"/>
  <c r="H40" i="2"/>
  <c r="S243" i="2"/>
  <c r="U148" i="2"/>
  <c r="N109" i="2"/>
  <c r="AN109" i="2" s="1"/>
  <c r="P81" i="2"/>
  <c r="H236" i="2"/>
  <c r="T306" i="2"/>
  <c r="W70" i="2"/>
  <c r="AP70" i="2" s="1"/>
  <c r="U130" i="2"/>
  <c r="H301" i="2"/>
  <c r="W177" i="2"/>
  <c r="AP177" i="2" s="1"/>
  <c r="T77" i="2"/>
  <c r="R218" i="2"/>
  <c r="R106" i="2"/>
  <c r="S36" i="2"/>
  <c r="N99" i="2"/>
  <c r="AN99" i="2" s="1"/>
  <c r="O185" i="2"/>
  <c r="AO185" i="2" s="1"/>
  <c r="T70" i="2"/>
  <c r="S307" i="2"/>
  <c r="P172" i="2"/>
  <c r="T153" i="2"/>
  <c r="T252" i="2"/>
  <c r="M212" i="2"/>
  <c r="H159" i="2"/>
  <c r="Q230" i="2"/>
  <c r="R247" i="2"/>
  <c r="Q61" i="2"/>
  <c r="H262" i="2"/>
  <c r="P282" i="2"/>
  <c r="O174" i="2"/>
  <c r="AO174" i="2" s="1"/>
  <c r="U122" i="2"/>
  <c r="R50" i="2"/>
  <c r="N164" i="2"/>
  <c r="AN164" i="2" s="1"/>
  <c r="N46" i="2"/>
  <c r="AN46" i="2" s="1"/>
  <c r="W94" i="2"/>
  <c r="AP94" i="2" s="1"/>
  <c r="H71" i="2"/>
  <c r="U218" i="2"/>
  <c r="Q41" i="2"/>
  <c r="H38" i="2"/>
  <c r="H307" i="2"/>
  <c r="U76" i="2"/>
  <c r="O107" i="2"/>
  <c r="AO107" i="2" s="1"/>
  <c r="R266" i="2"/>
  <c r="T313" i="2"/>
  <c r="P227" i="2"/>
  <c r="W280" i="2"/>
  <c r="AP280" i="2" s="1"/>
  <c r="T191" i="2"/>
  <c r="N292" i="2"/>
  <c r="AN292" i="2" s="1"/>
  <c r="R264" i="2"/>
  <c r="T222" i="2"/>
  <c r="U151" i="2"/>
  <c r="T231" i="2"/>
  <c r="U157" i="2"/>
  <c r="T161" i="2"/>
  <c r="R274" i="2"/>
  <c r="N52" i="2"/>
  <c r="AN52" i="2" s="1"/>
  <c r="R160" i="2"/>
  <c r="N189" i="2"/>
  <c r="AN189" i="2" s="1"/>
  <c r="Q56" i="2"/>
  <c r="U203" i="2"/>
  <c r="N267" i="2"/>
  <c r="AN267" i="2" s="1"/>
  <c r="Q81" i="2"/>
  <c r="M237" i="2"/>
  <c r="Q219" i="2"/>
  <c r="U232" i="2"/>
  <c r="W256" i="2"/>
  <c r="AP256" i="2" s="1"/>
  <c r="U105" i="2"/>
  <c r="N192" i="2"/>
  <c r="AN192" i="2" s="1"/>
  <c r="R207" i="2"/>
  <c r="S38" i="2"/>
  <c r="T294" i="2"/>
  <c r="N159" i="2"/>
  <c r="AN159" i="2" s="1"/>
  <c r="W40" i="2"/>
  <c r="AP40" i="2" s="1"/>
  <c r="S227" i="2"/>
  <c r="W304" i="2"/>
  <c r="AP304" i="2" s="1"/>
  <c r="R259" i="2"/>
  <c r="S145" i="2"/>
  <c r="Q209" i="2"/>
  <c r="M48" i="2"/>
  <c r="S159" i="2"/>
  <c r="H302" i="2"/>
  <c r="U231" i="2"/>
  <c r="N165" i="2"/>
  <c r="AN165" i="2" s="1"/>
  <c r="N199" i="2"/>
  <c r="AN199" i="2" s="1"/>
  <c r="H166" i="2"/>
  <c r="O65" i="2"/>
  <c r="AO65" i="2" s="1"/>
  <c r="S92" i="2"/>
  <c r="R90" i="2"/>
  <c r="S140" i="2"/>
  <c r="N228" i="2"/>
  <c r="AN228" i="2" s="1"/>
  <c r="S190" i="2"/>
  <c r="U102" i="2"/>
  <c r="O102" i="2"/>
  <c r="AO102" i="2" s="1"/>
  <c r="N194" i="2"/>
  <c r="AN194" i="2" s="1"/>
  <c r="U289" i="2"/>
  <c r="U131" i="2"/>
  <c r="T245" i="2"/>
  <c r="M207" i="2"/>
  <c r="U200" i="2"/>
  <c r="N252" i="2"/>
  <c r="AN252" i="2" s="1"/>
  <c r="U304" i="2"/>
  <c r="W300" i="2"/>
  <c r="AP300" i="2" s="1"/>
  <c r="O98" i="2"/>
  <c r="AO98" i="2" s="1"/>
  <c r="T285" i="2"/>
  <c r="Q316" i="2"/>
  <c r="Q305" i="2"/>
  <c r="M65" i="2"/>
  <c r="R272" i="2"/>
  <c r="Q278" i="2"/>
  <c r="U52" i="2"/>
  <c r="T155" i="2"/>
  <c r="Q154" i="2"/>
  <c r="N87" i="2"/>
  <c r="AN87" i="2" s="1"/>
  <c r="M262" i="2"/>
  <c r="O212" i="2"/>
  <c r="AO212" i="2" s="1"/>
  <c r="Q83" i="2"/>
  <c r="U166" i="2"/>
  <c r="U294" i="2"/>
  <c r="N261" i="2"/>
  <c r="AN261" i="2" s="1"/>
  <c r="W302" i="2"/>
  <c r="AP302" i="2" s="1"/>
  <c r="N162" i="2"/>
  <c r="AN162" i="2" s="1"/>
  <c r="N113" i="2"/>
  <c r="AN113" i="2" s="1"/>
  <c r="P104" i="2"/>
  <c r="N36" i="2"/>
  <c r="AN36" i="2" s="1"/>
  <c r="P253" i="2"/>
  <c r="Q192" i="2"/>
  <c r="W86" i="2"/>
  <c r="AP86" i="2" s="1"/>
  <c r="W224" i="2"/>
  <c r="AP224" i="2" s="1"/>
  <c r="O91" i="2"/>
  <c r="AO91" i="2" s="1"/>
  <c r="N303" i="2"/>
  <c r="AN303" i="2" s="1"/>
  <c r="Q100" i="2"/>
  <c r="R161" i="2"/>
  <c r="P314" i="2"/>
  <c r="Q97" i="2"/>
  <c r="W186" i="2"/>
  <c r="AP186" i="2" s="1"/>
  <c r="M182" i="2"/>
  <c r="M110" i="2"/>
  <c r="M93" i="2"/>
  <c r="N47" i="2"/>
  <c r="AN47" i="2" s="1"/>
  <c r="M64" i="2"/>
  <c r="W294" i="2"/>
  <c r="AP294" i="2" s="1"/>
  <c r="P55" i="2"/>
  <c r="U206" i="2"/>
  <c r="M193" i="2"/>
  <c r="N173" i="2"/>
  <c r="AN173" i="2" s="1"/>
  <c r="S304" i="2"/>
  <c r="N270" i="2"/>
  <c r="AN270" i="2" s="1"/>
  <c r="N98" i="2"/>
  <c r="AN98" i="2" s="1"/>
  <c r="Q124" i="2"/>
  <c r="R105" i="2"/>
  <c r="U299" i="2"/>
  <c r="R296" i="2"/>
  <c r="N94" i="2"/>
  <c r="AN94" i="2" s="1"/>
  <c r="U306" i="2"/>
  <c r="S78" i="2"/>
  <c r="R183" i="2"/>
  <c r="M180" i="2"/>
  <c r="P186" i="2"/>
  <c r="W174" i="2"/>
  <c r="AP174" i="2" s="1"/>
  <c r="Q237" i="2"/>
  <c r="Q106" i="2"/>
  <c r="P90" i="2"/>
  <c r="H127" i="2"/>
  <c r="W63" i="2"/>
  <c r="AP63" i="2" s="1"/>
  <c r="H297" i="2"/>
  <c r="O273" i="2"/>
  <c r="AO273" i="2" s="1"/>
  <c r="U142" i="2"/>
  <c r="S219" i="2"/>
  <c r="R39" i="2"/>
  <c r="W172" i="2"/>
  <c r="AP172" i="2" s="1"/>
  <c r="N286" i="2"/>
  <c r="AN286" i="2" s="1"/>
  <c r="P140" i="2"/>
  <c r="R125" i="2"/>
  <c r="R83" i="2"/>
  <c r="S108" i="2"/>
  <c r="W193" i="2"/>
  <c r="AP193" i="2" s="1"/>
  <c r="H242" i="2"/>
  <c r="M216" i="2"/>
  <c r="S252" i="2"/>
  <c r="O56" i="2"/>
  <c r="AO56" i="2" s="1"/>
  <c r="W112" i="2"/>
  <c r="AP112" i="2" s="1"/>
  <c r="R237" i="2"/>
  <c r="U239" i="2"/>
  <c r="O119" i="2"/>
  <c r="AO119" i="2" s="1"/>
  <c r="Q267" i="2"/>
  <c r="O139" i="2"/>
  <c r="AO139" i="2" s="1"/>
  <c r="T243" i="2"/>
  <c r="T137" i="2"/>
  <c r="W252" i="2"/>
  <c r="AP252" i="2" s="1"/>
  <c r="N246" i="2"/>
  <c r="AN246" i="2" s="1"/>
  <c r="W179" i="2"/>
  <c r="AP179" i="2" s="1"/>
  <c r="U233" i="2"/>
  <c r="U257" i="2"/>
  <c r="H146" i="2"/>
  <c r="P265" i="2"/>
  <c r="P73" i="2"/>
  <c r="R58" i="2"/>
  <c r="Q171" i="2"/>
  <c r="W110" i="2"/>
  <c r="AP110" i="2" s="1"/>
  <c r="U274" i="2"/>
  <c r="O115" i="2"/>
  <c r="AO115" i="2" s="1"/>
  <c r="H118" i="2"/>
  <c r="P164" i="2"/>
  <c r="Q159" i="2"/>
  <c r="T125" i="2"/>
  <c r="H314" i="2"/>
  <c r="M63" i="2"/>
  <c r="T51" i="2"/>
  <c r="T58" i="2"/>
  <c r="P78" i="2"/>
  <c r="Q93" i="2"/>
  <c r="N185" i="2"/>
  <c r="AN185" i="2" s="1"/>
  <c r="M83" i="2"/>
  <c r="P82" i="2"/>
  <c r="Q73" i="2"/>
  <c r="S115" i="2"/>
  <c r="H137" i="2"/>
  <c r="N301" i="2"/>
  <c r="AN301" i="2" s="1"/>
  <c r="R163" i="2"/>
  <c r="P80" i="2"/>
  <c r="M265" i="2"/>
  <c r="O309" i="2"/>
  <c r="AO309" i="2" s="1"/>
  <c r="W184" i="2"/>
  <c r="AP184" i="2" s="1"/>
  <c r="Q91" i="2"/>
  <c r="T251" i="2"/>
  <c r="M222" i="2"/>
  <c r="Q290" i="2"/>
  <c r="Q39" i="2"/>
  <c r="P285" i="2"/>
  <c r="Q127" i="2"/>
  <c r="N144" i="2"/>
  <c r="AN144" i="2" s="1"/>
  <c r="U273" i="2"/>
  <c r="O200" i="2"/>
  <c r="AO200" i="2" s="1"/>
  <c r="Q298" i="2"/>
  <c r="O138" i="2"/>
  <c r="AO138" i="2" s="1"/>
  <c r="O166" i="2"/>
  <c r="AO166" i="2" s="1"/>
  <c r="U60" i="2"/>
  <c r="P70" i="2"/>
  <c r="H271" i="2"/>
  <c r="S82" i="2"/>
  <c r="O75" i="2"/>
  <c r="AO75" i="2" s="1"/>
  <c r="S197" i="2"/>
  <c r="P221" i="2"/>
  <c r="T54" i="2"/>
  <c r="S306" i="2"/>
  <c r="U139" i="2"/>
  <c r="S311" i="2"/>
  <c r="O282" i="2"/>
  <c r="AO282" i="2" s="1"/>
  <c r="O101" i="2"/>
  <c r="AO101" i="2" s="1"/>
  <c r="R303" i="2"/>
  <c r="M171" i="2"/>
  <c r="T210" i="2"/>
  <c r="U55" i="2"/>
  <c r="Q58" i="2"/>
  <c r="M254" i="2"/>
  <c r="S269" i="2"/>
  <c r="T309" i="2"/>
  <c r="M37" i="2"/>
  <c r="H135" i="2"/>
  <c r="U193" i="2"/>
  <c r="H248" i="2"/>
  <c r="H246" i="2"/>
  <c r="H228" i="2"/>
  <c r="S163" i="2"/>
  <c r="S123" i="2"/>
  <c r="W169" i="2"/>
  <c r="AP169" i="2" s="1"/>
  <c r="S234" i="2"/>
  <c r="W92" i="2"/>
  <c r="AP92" i="2" s="1"/>
  <c r="R216" i="2"/>
  <c r="M162" i="2"/>
  <c r="U226" i="2"/>
  <c r="P213" i="2"/>
  <c r="T235" i="2"/>
  <c r="P173" i="2"/>
  <c r="U315" i="2"/>
  <c r="T87" i="2"/>
  <c r="Q85" i="2"/>
  <c r="W316" i="2"/>
  <c r="AP316" i="2" s="1"/>
  <c r="M155" i="2"/>
  <c r="N63" i="2"/>
  <c r="AN63" i="2" s="1"/>
  <c r="O193" i="2"/>
  <c r="AO193" i="2" s="1"/>
  <c r="T188" i="2"/>
  <c r="T255" i="2"/>
  <c r="H287" i="2"/>
  <c r="H160" i="2"/>
  <c r="M172" i="2"/>
  <c r="M196" i="2"/>
  <c r="U246" i="2"/>
  <c r="W80" i="2"/>
  <c r="AP80" i="2" s="1"/>
  <c r="T280" i="2"/>
  <c r="O292" i="2"/>
  <c r="AO292" i="2" s="1"/>
  <c r="U168" i="2"/>
  <c r="N272" i="2"/>
  <c r="AN272" i="2" s="1"/>
  <c r="P63" i="2"/>
  <c r="U74" i="2"/>
  <c r="O63" i="2"/>
  <c r="AO63" i="2" s="1"/>
  <c r="T64" i="2"/>
  <c r="O81" i="2"/>
  <c r="AO81" i="2" s="1"/>
  <c r="U243" i="2"/>
  <c r="Q283" i="2"/>
  <c r="U254" i="2"/>
  <c r="P84" i="2"/>
  <c r="T208" i="2"/>
  <c r="N84" i="2"/>
  <c r="AN84" i="2" s="1"/>
  <c r="S88" i="2"/>
  <c r="S117" i="2"/>
  <c r="T130" i="2"/>
  <c r="O177" i="2"/>
  <c r="AO177" i="2" s="1"/>
  <c r="W155" i="2"/>
  <c r="AP155" i="2" s="1"/>
  <c r="R149" i="2"/>
  <c r="P178" i="2"/>
  <c r="U135" i="2"/>
  <c r="Q268" i="2"/>
  <c r="H295" i="2"/>
  <c r="P287" i="2"/>
  <c r="O307" i="2"/>
  <c r="AO307" i="2" s="1"/>
  <c r="O66" i="2"/>
  <c r="AO66" i="2" s="1"/>
  <c r="U123" i="2"/>
  <c r="T122" i="2"/>
  <c r="T166" i="2"/>
  <c r="W57" i="2"/>
  <c r="AP57" i="2" s="1"/>
  <c r="Q118" i="2"/>
  <c r="W53" i="2"/>
  <c r="AP53" i="2" s="1"/>
  <c r="M228" i="2"/>
  <c r="H311" i="2"/>
  <c r="M176" i="2"/>
  <c r="N116" i="2"/>
  <c r="AN116" i="2" s="1"/>
  <c r="U162" i="2"/>
  <c r="W50" i="2"/>
  <c r="AP50" i="2" s="1"/>
  <c r="M144" i="2"/>
  <c r="Q266" i="2"/>
  <c r="O207" i="2"/>
  <c r="AO207" i="2" s="1"/>
  <c r="W286" i="2"/>
  <c r="AP286" i="2" s="1"/>
  <c r="M230" i="2"/>
  <c r="M292" i="2"/>
  <c r="M201" i="2"/>
  <c r="Q229" i="2"/>
  <c r="N91" i="2"/>
  <c r="AN91" i="2" s="1"/>
  <c r="W299" i="2"/>
  <c r="AP299" i="2" s="1"/>
  <c r="H88" i="2"/>
  <c r="U277" i="2"/>
  <c r="O136" i="2"/>
  <c r="AO136" i="2" s="1"/>
  <c r="M118" i="2"/>
  <c r="U270" i="2"/>
  <c r="M149" i="2"/>
  <c r="M79" i="2"/>
  <c r="H75" i="2"/>
  <c r="O285" i="2"/>
  <c r="AO285" i="2" s="1"/>
  <c r="P241" i="2"/>
  <c r="O169" i="2"/>
  <c r="AO169" i="2" s="1"/>
  <c r="W223" i="2"/>
  <c r="AP223" i="2" s="1"/>
  <c r="R212" i="2"/>
  <c r="U259" i="2"/>
  <c r="Q199" i="2"/>
  <c r="S79" i="2"/>
  <c r="M234" i="2"/>
  <c r="O217" i="2"/>
  <c r="AO217" i="2" s="1"/>
  <c r="O236" i="2"/>
  <c r="AO236" i="2" s="1"/>
  <c r="P205" i="2"/>
  <c r="Q167" i="2"/>
  <c r="W314" i="2"/>
  <c r="AP314" i="2" s="1"/>
  <c r="W36" i="2"/>
  <c r="AP36" i="2" s="1"/>
  <c r="O195" i="2"/>
  <c r="AO195" i="2" s="1"/>
  <c r="H238" i="2"/>
  <c r="W170" i="2"/>
  <c r="AP170" i="2" s="1"/>
  <c r="W238" i="2"/>
  <c r="AP238" i="2" s="1"/>
  <c r="T176" i="2"/>
  <c r="U267" i="2"/>
  <c r="S183" i="2"/>
  <c r="P252" i="2"/>
  <c r="N74" i="2"/>
  <c r="AN74" i="2" s="1"/>
  <c r="U100" i="2"/>
  <c r="T94" i="2"/>
  <c r="W227" i="2"/>
  <c r="AP227" i="2" s="1"/>
  <c r="S91" i="2"/>
  <c r="N59" i="2"/>
  <c r="AN59" i="2" s="1"/>
  <c r="S238" i="2"/>
  <c r="U175" i="2"/>
  <c r="Q107" i="2"/>
  <c r="Q257" i="2"/>
  <c r="S89" i="2"/>
  <c r="R158" i="2"/>
  <c r="M278" i="2"/>
  <c r="P182" i="2"/>
  <c r="T146" i="2"/>
  <c r="T266" i="2"/>
  <c r="Q272" i="2"/>
  <c r="P259" i="2"/>
  <c r="N205" i="2"/>
  <c r="AN205" i="2" s="1"/>
  <c r="P148" i="2"/>
  <c r="R241" i="2"/>
  <c r="H105" i="2"/>
  <c r="M306" i="2"/>
  <c r="M191" i="2"/>
  <c r="O254" i="2"/>
  <c r="AO254" i="2" s="1"/>
  <c r="M244" i="2"/>
  <c r="O137" i="2"/>
  <c r="AO137" i="2" s="1"/>
  <c r="Q46" i="2"/>
  <c r="H98" i="2"/>
  <c r="T281" i="2"/>
  <c r="H171" i="2"/>
  <c r="R191" i="2"/>
  <c r="O125" i="2"/>
  <c r="AO125" i="2" s="1"/>
  <c r="W51" i="2"/>
  <c r="AP51" i="2" s="1"/>
  <c r="T163" i="2"/>
  <c r="W137" i="2"/>
  <c r="AP137" i="2" s="1"/>
  <c r="R110" i="2"/>
  <c r="T179" i="2"/>
  <c r="W35" i="2"/>
  <c r="AP35" i="2" s="1"/>
  <c r="P95" i="2"/>
  <c r="O114" i="2"/>
  <c r="AO114" i="2" s="1"/>
  <c r="P229" i="2"/>
  <c r="Q284" i="2"/>
  <c r="P303" i="2"/>
  <c r="R293" i="2"/>
  <c r="O87" i="2"/>
  <c r="AO87" i="2" s="1"/>
  <c r="M241" i="2"/>
  <c r="W153" i="2"/>
  <c r="AP153" i="2" s="1"/>
  <c r="O96" i="2"/>
  <c r="AO96" i="2" s="1"/>
  <c r="W274" i="2"/>
  <c r="AP274" i="2" s="1"/>
  <c r="P181" i="2"/>
  <c r="M251" i="2"/>
  <c r="N133" i="2"/>
  <c r="AN133" i="2" s="1"/>
  <c r="R74" i="2"/>
  <c r="S41" i="2"/>
  <c r="U61" i="2"/>
  <c r="T147" i="2"/>
  <c r="Q37" i="2"/>
  <c r="R173" i="2"/>
  <c r="P256" i="2"/>
  <c r="N146" i="2"/>
  <c r="AN146" i="2" s="1"/>
  <c r="P145" i="2"/>
  <c r="O64" i="2"/>
  <c r="AO64" i="2" s="1"/>
  <c r="T142" i="2"/>
  <c r="W284" i="2"/>
  <c r="AP284" i="2" s="1"/>
  <c r="T283" i="2"/>
  <c r="H249" i="2"/>
  <c r="T127" i="2"/>
  <c r="T139" i="2"/>
  <c r="M47" i="2"/>
  <c r="T271" i="2"/>
  <c r="Q105" i="2"/>
  <c r="N226" i="2"/>
  <c r="AN226" i="2" s="1"/>
  <c r="P159" i="2"/>
  <c r="U176" i="2"/>
  <c r="O204" i="2"/>
  <c r="AO204" i="2" s="1"/>
  <c r="S281" i="2"/>
  <c r="M178" i="2"/>
  <c r="U288" i="2"/>
  <c r="H65" i="2"/>
  <c r="W114" i="2"/>
  <c r="AP114" i="2" s="1"/>
  <c r="M183" i="2"/>
  <c r="Q128" i="2"/>
  <c r="S131" i="2"/>
  <c r="H128" i="2"/>
  <c r="U85" i="2"/>
  <c r="Q62" i="2"/>
  <c r="H263" i="2"/>
  <c r="O176" i="2"/>
  <c r="AO176" i="2" s="1"/>
  <c r="W178" i="2"/>
  <c r="AP178" i="2" s="1"/>
  <c r="O73" i="2"/>
  <c r="AO73" i="2" s="1"/>
  <c r="R166" i="2"/>
  <c r="S76" i="2"/>
  <c r="S193" i="2"/>
  <c r="T66" i="2"/>
  <c r="N277" i="2"/>
  <c r="AN277" i="2" s="1"/>
  <c r="P64" i="2"/>
  <c r="U78" i="2"/>
  <c r="P51" i="2"/>
  <c r="M250" i="2"/>
  <c r="S208" i="2"/>
  <c r="U165" i="2"/>
  <c r="M298" i="2"/>
  <c r="P133" i="2"/>
  <c r="Q173" i="2"/>
  <c r="H231" i="2"/>
  <c r="S80" i="2"/>
  <c r="O286" i="2"/>
  <c r="AO286" i="2" s="1"/>
  <c r="M236" i="2"/>
  <c r="U242" i="2"/>
  <c r="W278" i="2"/>
  <c r="AP278" i="2" s="1"/>
  <c r="Q286" i="2"/>
  <c r="W218" i="2"/>
  <c r="AP218" i="2" s="1"/>
  <c r="U106" i="2"/>
  <c r="P200" i="2"/>
  <c r="R316" i="2"/>
  <c r="P247" i="2"/>
  <c r="S225" i="2"/>
  <c r="W136" i="2"/>
  <c r="AP136" i="2" s="1"/>
  <c r="N148" i="2"/>
  <c r="AN148" i="2" s="1"/>
  <c r="Q306" i="2"/>
  <c r="W127" i="2"/>
  <c r="AP127" i="2" s="1"/>
  <c r="S217" i="2"/>
  <c r="R135" i="2"/>
  <c r="T301" i="2"/>
  <c r="T121" i="2"/>
  <c r="P135" i="2"/>
  <c r="P79" i="2"/>
  <c r="P166" i="2"/>
  <c r="O234" i="2"/>
  <c r="AO234" i="2" s="1"/>
  <c r="R121" i="2"/>
  <c r="O131" i="2"/>
  <c r="AO131" i="2" s="1"/>
  <c r="O76" i="2"/>
  <c r="AO76" i="2" s="1"/>
  <c r="P65" i="2"/>
  <c r="H50" i="2"/>
  <c r="M126" i="2"/>
  <c r="O116" i="2"/>
  <c r="AO116" i="2" s="1"/>
  <c r="N154" i="2"/>
  <c r="AN154" i="2" s="1"/>
  <c r="Q228" i="2"/>
  <c r="R128" i="2"/>
  <c r="H244" i="2"/>
  <c r="T133" i="2"/>
  <c r="H250" i="2"/>
  <c r="O308" i="2"/>
  <c r="AO308" i="2" s="1"/>
  <c r="U234" i="2"/>
  <c r="M67" i="2"/>
  <c r="R265" i="2"/>
  <c r="Q168" i="2"/>
  <c r="W257" i="2"/>
  <c r="AP257" i="2" s="1"/>
  <c r="N48" i="2"/>
  <c r="AN48" i="2" s="1"/>
  <c r="S305" i="2"/>
  <c r="Q269" i="2"/>
  <c r="H313" i="2"/>
  <c r="O246" i="2"/>
  <c r="AO246" i="2" s="1"/>
  <c r="O79" i="2"/>
  <c r="AO79" i="2" s="1"/>
  <c r="Q238" i="2"/>
  <c r="P37" i="2"/>
  <c r="S198" i="2"/>
  <c r="H124" i="2"/>
  <c r="T256" i="2"/>
  <c r="R36" i="2"/>
  <c r="R181" i="2"/>
  <c r="U46" i="2"/>
  <c r="R79" i="2"/>
  <c r="T215" i="2"/>
  <c r="U141" i="2"/>
  <c r="Q250" i="2"/>
  <c r="H153" i="2"/>
  <c r="P187" i="2"/>
  <c r="R232" i="2"/>
  <c r="R80" i="2"/>
  <c r="P180" i="2"/>
  <c r="S46" i="2"/>
  <c r="W129" i="2"/>
  <c r="AP129" i="2" s="1"/>
  <c r="R159" i="2"/>
  <c r="S300" i="2"/>
  <c r="R252" i="2"/>
  <c r="M309" i="2"/>
  <c r="M141" i="2"/>
  <c r="M314" i="2"/>
  <c r="S95" i="2"/>
  <c r="S289" i="2"/>
  <c r="H164" i="2"/>
  <c r="N269" i="2"/>
  <c r="AN269" i="2" s="1"/>
  <c r="T268" i="2"/>
  <c r="Q164" i="2"/>
  <c r="U186" i="2"/>
  <c r="N156" i="2"/>
  <c r="AN156" i="2" s="1"/>
  <c r="O241" i="2"/>
  <c r="AO241" i="2" s="1"/>
  <c r="N134" i="2"/>
  <c r="AN134" i="2" s="1"/>
  <c r="Q51" i="2"/>
  <c r="R187" i="2"/>
  <c r="H62" i="2"/>
  <c r="M150" i="2"/>
  <c r="U145" i="2"/>
  <c r="Q303" i="2"/>
  <c r="S53" i="2"/>
  <c r="T241" i="2"/>
  <c r="U48" i="2"/>
  <c r="T180" i="2"/>
  <c r="O294" i="2"/>
  <c r="AO294" i="2" s="1"/>
  <c r="N219" i="2"/>
  <c r="AN219" i="2" s="1"/>
  <c r="P156" i="2"/>
  <c r="U107" i="2"/>
  <c r="O289" i="2"/>
  <c r="AO289" i="2" s="1"/>
  <c r="T42" i="2"/>
  <c r="M45" i="2"/>
  <c r="N304" i="2"/>
  <c r="AN304" i="2" s="1"/>
  <c r="Q297" i="2"/>
  <c r="T162" i="2"/>
  <c r="O148" i="2"/>
  <c r="AO148" i="2" s="1"/>
  <c r="S233" i="2"/>
  <c r="S278" i="2"/>
  <c r="Q315" i="2"/>
  <c r="P206" i="2"/>
  <c r="P312" i="2"/>
  <c r="N238" i="2"/>
  <c r="AN238" i="2" s="1"/>
  <c r="P313" i="2"/>
  <c r="R171" i="2"/>
  <c r="O302" i="2"/>
  <c r="AO302" i="2" s="1"/>
  <c r="N55" i="2"/>
  <c r="AN55" i="2" s="1"/>
  <c r="S97" i="2"/>
  <c r="P87" i="2"/>
  <c r="W62" i="2"/>
  <c r="AP62" i="2" s="1"/>
  <c r="P53" i="2"/>
  <c r="R63" i="2"/>
  <c r="S48" i="2"/>
  <c r="H210" i="2"/>
  <c r="R199" i="2"/>
  <c r="H73" i="2"/>
  <c r="M264" i="2"/>
  <c r="S184" i="2"/>
  <c r="R142" i="2"/>
  <c r="P211" i="2"/>
  <c r="O244" i="2"/>
  <c r="AO244" i="2" s="1"/>
  <c r="Q162" i="2"/>
  <c r="T154" i="2"/>
  <c r="T273" i="2"/>
  <c r="N142" i="2"/>
  <c r="AN142" i="2" s="1"/>
  <c r="Q42" i="2"/>
  <c r="O133" i="2"/>
  <c r="AO133" i="2" s="1"/>
  <c r="R285" i="2"/>
  <c r="R250" i="2"/>
  <c r="H173" i="2"/>
  <c r="M305" i="2"/>
  <c r="O41" i="2"/>
  <c r="AO41" i="2" s="1"/>
  <c r="O239" i="2"/>
  <c r="AO239" i="2" s="1"/>
  <c r="Q312" i="2"/>
  <c r="P128" i="2"/>
  <c r="T286" i="2"/>
  <c r="R122" i="2"/>
  <c r="W164" i="2"/>
  <c r="AP164" i="2" s="1"/>
  <c r="Q77" i="2"/>
  <c r="S167" i="2"/>
  <c r="P138" i="2"/>
  <c r="O187" i="2"/>
  <c r="AO187" i="2" s="1"/>
  <c r="P167" i="2"/>
  <c r="O123" i="2"/>
  <c r="AO123" i="2" s="1"/>
  <c r="S55" i="2"/>
  <c r="T98" i="2"/>
  <c r="N65" i="2"/>
  <c r="AN65" i="2" s="1"/>
  <c r="H306" i="2"/>
  <c r="W145" i="2"/>
  <c r="AP145" i="2" s="1"/>
  <c r="N73" i="2"/>
  <c r="AN73" i="2" s="1"/>
  <c r="Q285" i="2"/>
  <c r="S101" i="2"/>
  <c r="U189" i="2"/>
  <c r="M246" i="2"/>
  <c r="W235" i="2"/>
  <c r="AP235" i="2" s="1"/>
  <c r="U147" i="2"/>
  <c r="W91" i="2"/>
  <c r="AP91" i="2" s="1"/>
  <c r="Q314" i="2"/>
  <c r="M188" i="2"/>
  <c r="P310" i="2"/>
  <c r="S81" i="2"/>
  <c r="H194" i="2"/>
  <c r="H216" i="2"/>
  <c r="U279" i="2"/>
  <c r="O70" i="2"/>
  <c r="AO70" i="2" s="1"/>
  <c r="T38" i="2"/>
  <c r="S276" i="2"/>
  <c r="H91" i="2"/>
  <c r="H223" i="2"/>
  <c r="U192" i="2"/>
  <c r="Q135" i="2"/>
  <c r="R197" i="2"/>
  <c r="N66" i="2"/>
  <c r="AN66" i="2" s="1"/>
  <c r="Q104" i="2"/>
  <c r="P222" i="2"/>
  <c r="H233" i="2"/>
  <c r="M44" i="2"/>
  <c r="Q103" i="2"/>
  <c r="T203" i="2"/>
  <c r="W85" i="2"/>
  <c r="AP85" i="2" s="1"/>
  <c r="H158" i="2"/>
  <c r="R66" i="2"/>
  <c r="Q160" i="2"/>
  <c r="S247" i="2"/>
  <c r="S158" i="2"/>
  <c r="O297" i="2"/>
  <c r="AO297" i="2" s="1"/>
  <c r="U217" i="2"/>
  <c r="O265" i="2"/>
  <c r="AO265" i="2" s="1"/>
  <c r="O78" i="2"/>
  <c r="AO78" i="2" s="1"/>
  <c r="H290" i="2"/>
  <c r="T182" i="2"/>
  <c r="O120" i="2"/>
  <c r="AO120" i="2" s="1"/>
  <c r="N101" i="2"/>
  <c r="AN101" i="2" s="1"/>
  <c r="H265" i="2"/>
  <c r="O189" i="2"/>
  <c r="AO189" i="2" s="1"/>
  <c r="Q280" i="2"/>
  <c r="U103" i="2"/>
  <c r="M80" i="2"/>
  <c r="W159" i="2"/>
  <c r="AP159" i="2" s="1"/>
  <c r="H245" i="2"/>
  <c r="Q295" i="2"/>
  <c r="P98" i="2"/>
  <c r="T173" i="2"/>
  <c r="T86" i="2"/>
  <c r="P52" i="2"/>
  <c r="W277" i="2"/>
  <c r="AP277" i="2" s="1"/>
  <c r="H52" i="2"/>
  <c r="O206" i="2"/>
  <c r="AO206" i="2" s="1"/>
  <c r="W101" i="2"/>
  <c r="AP101" i="2" s="1"/>
  <c r="Q60" i="2"/>
  <c r="O225" i="2"/>
  <c r="AO225" i="2" s="1"/>
  <c r="Q144" i="2"/>
  <c r="R254" i="2"/>
  <c r="U69" i="2"/>
  <c r="O167" i="2"/>
  <c r="AO167" i="2" s="1"/>
  <c r="P69" i="2"/>
  <c r="N311" i="2"/>
  <c r="AN311" i="2" s="1"/>
  <c r="U51" i="2"/>
  <c r="R148" i="2"/>
  <c r="P183" i="2"/>
  <c r="N42" i="2"/>
  <c r="AN42" i="2" s="1"/>
  <c r="R53" i="2"/>
  <c r="W308" i="2"/>
  <c r="AP308" i="2" s="1"/>
  <c r="H225" i="2"/>
  <c r="O221" i="2"/>
  <c r="AO221" i="2" s="1"/>
  <c r="M287" i="2"/>
  <c r="H237" i="2"/>
  <c r="R211" i="2"/>
  <c r="P214" i="2"/>
  <c r="S44" i="2"/>
  <c r="U73" i="2"/>
  <c r="U188" i="2"/>
  <c r="N288" i="2"/>
  <c r="AN288" i="2" s="1"/>
  <c r="O253" i="2"/>
  <c r="AO253" i="2" s="1"/>
  <c r="S166" i="2"/>
  <c r="P113" i="2"/>
  <c r="R138" i="2"/>
  <c r="S241" i="2"/>
  <c r="R65" i="2"/>
  <c r="Q263" i="2"/>
  <c r="R200" i="2"/>
  <c r="T314" i="2"/>
  <c r="P179" i="2"/>
  <c r="W190" i="2"/>
  <c r="AP190" i="2" s="1"/>
  <c r="S63" i="2"/>
  <c r="P40" i="2"/>
  <c r="H136" i="2"/>
  <c r="Q113" i="2"/>
  <c r="O261" i="2"/>
  <c r="AO261" i="2" s="1"/>
  <c r="S279" i="2"/>
  <c r="W37" i="2"/>
  <c r="AP37" i="2" s="1"/>
  <c r="T250" i="2"/>
  <c r="S259" i="2"/>
  <c r="U57" i="2"/>
  <c r="Q299" i="2"/>
  <c r="M35" i="2"/>
  <c r="M103" i="2"/>
  <c r="W260" i="2"/>
  <c r="AP260" i="2" s="1"/>
  <c r="O258" i="2"/>
  <c r="AO258" i="2" s="1"/>
  <c r="S200" i="2"/>
  <c r="S186" i="2"/>
  <c r="N298" i="2"/>
  <c r="AN298" i="2" s="1"/>
  <c r="M86" i="2"/>
  <c r="W312" i="2"/>
  <c r="AP312" i="2" s="1"/>
  <c r="S49" i="2"/>
  <c r="W246" i="2"/>
  <c r="AP246" i="2" s="1"/>
  <c r="P139" i="2"/>
  <c r="Q246" i="2"/>
  <c r="Q258" i="2"/>
  <c r="N296" i="2"/>
  <c r="AN296" i="2" s="1"/>
  <c r="O130" i="2"/>
  <c r="AO130" i="2" s="1"/>
  <c r="U96" i="2"/>
  <c r="H293" i="2"/>
  <c r="H142" i="2"/>
  <c r="N256" i="2"/>
  <c r="AN256" i="2" s="1"/>
  <c r="S192" i="2"/>
  <c r="Q248" i="2"/>
  <c r="T50" i="2"/>
  <c r="M192" i="2"/>
  <c r="S282" i="2"/>
  <c r="S209" i="2"/>
  <c r="Q194" i="2"/>
  <c r="M98" i="2"/>
  <c r="S189" i="2"/>
  <c r="O213" i="2"/>
  <c r="AO213" i="2" s="1"/>
  <c r="R308" i="2"/>
  <c r="T211" i="2"/>
  <c r="R276" i="2"/>
  <c r="S57" i="2"/>
  <c r="W138" i="2"/>
  <c r="AP138" i="2" s="1"/>
  <c r="W81" i="2"/>
  <c r="AP81" i="2" s="1"/>
  <c r="M209" i="2"/>
  <c r="R286" i="2"/>
  <c r="O172" i="2"/>
  <c r="AO172" i="2" s="1"/>
  <c r="T296" i="2"/>
  <c r="R55" i="2"/>
  <c r="R291" i="2"/>
  <c r="W281" i="2"/>
  <c r="AP281" i="2" s="1"/>
  <c r="N190" i="2"/>
  <c r="AN190" i="2" s="1"/>
  <c r="S137" i="2"/>
  <c r="P141" i="2"/>
  <c r="S139" i="2"/>
  <c r="M190" i="2"/>
  <c r="P198" i="2"/>
  <c r="O109" i="2"/>
  <c r="AO109" i="2" s="1"/>
  <c r="P275" i="2"/>
  <c r="O186" i="2"/>
  <c r="AO186" i="2" s="1"/>
  <c r="S270" i="2"/>
  <c r="Q170" i="2"/>
  <c r="P66" i="2"/>
  <c r="R133" i="2"/>
  <c r="Q217" i="2"/>
  <c r="W231" i="2"/>
  <c r="AP231" i="2" s="1"/>
  <c r="U125" i="2"/>
  <c r="U112" i="2"/>
  <c r="U227" i="2"/>
  <c r="M297" i="2"/>
  <c r="R115" i="2"/>
  <c r="R88" i="2"/>
  <c r="M223" i="2"/>
  <c r="U262" i="2"/>
  <c r="O184" i="2"/>
  <c r="AO184" i="2" s="1"/>
  <c r="W95" i="2"/>
  <c r="AP95" i="2" s="1"/>
  <c r="U252" i="2"/>
  <c r="P263" i="2"/>
  <c r="T224" i="2"/>
  <c r="H139" i="2"/>
  <c r="T104" i="2"/>
  <c r="M198" i="2"/>
  <c r="P228" i="2"/>
  <c r="H70" i="2"/>
  <c r="U198" i="2"/>
  <c r="U75" i="2"/>
  <c r="R116" i="2"/>
  <c r="Q231" i="2"/>
  <c r="N236" i="2"/>
  <c r="AN236" i="2" s="1"/>
  <c r="P277" i="2"/>
  <c r="N186" i="2"/>
  <c r="AN186" i="2" s="1"/>
  <c r="P175" i="2"/>
  <c r="U95" i="2"/>
  <c r="P208" i="2"/>
  <c r="R120" i="2"/>
  <c r="R195" i="2"/>
  <c r="N235" i="2"/>
  <c r="AN235" i="2" s="1"/>
  <c r="N290" i="2"/>
  <c r="AN290" i="2" s="1"/>
  <c r="H96" i="2"/>
  <c r="H205" i="2"/>
  <c r="Q69" i="2"/>
  <c r="S296" i="2"/>
  <c r="S51" i="2"/>
  <c r="U118" i="2"/>
  <c r="T151" i="2"/>
  <c r="P218" i="2"/>
  <c r="R256" i="2"/>
  <c r="P233" i="2"/>
  <c r="S267" i="2"/>
  <c r="M282" i="2"/>
  <c r="R140" i="2"/>
  <c r="H48" i="2"/>
  <c r="W301" i="2"/>
  <c r="AP301" i="2" s="1"/>
  <c r="M146" i="2"/>
  <c r="N244" i="2"/>
  <c r="AN244" i="2" s="1"/>
  <c r="M197" i="2"/>
  <c r="S188" i="2"/>
  <c r="H219" i="2"/>
  <c r="U284" i="2"/>
  <c r="U121" i="2"/>
  <c r="H130" i="2"/>
  <c r="P103" i="2"/>
  <c r="W228" i="2"/>
  <c r="AP228" i="2" s="1"/>
  <c r="U199" i="2"/>
  <c r="H81" i="2"/>
  <c r="S170" i="2"/>
  <c r="O274" i="2"/>
  <c r="AO274" i="2" s="1"/>
  <c r="M50" i="2"/>
  <c r="M111" i="2"/>
  <c r="S199" i="2"/>
  <c r="M295" i="2"/>
  <c r="N268" i="2"/>
  <c r="AN268" i="2" s="1"/>
  <c r="T194" i="2"/>
  <c r="W214" i="2"/>
  <c r="AP214" i="2" s="1"/>
  <c r="O230" i="2"/>
  <c r="AO230" i="2" s="1"/>
  <c r="R224" i="2"/>
  <c r="N104" i="2"/>
  <c r="AN104" i="2" s="1"/>
  <c r="W275" i="2"/>
  <c r="AP275" i="2" s="1"/>
  <c r="Q239" i="2"/>
  <c r="S173" i="2"/>
  <c r="Q252" i="2"/>
  <c r="H37" i="2"/>
  <c r="P306" i="2"/>
  <c r="W140" i="2"/>
  <c r="AP140" i="2" s="1"/>
  <c r="T277" i="2"/>
  <c r="N115" i="2"/>
  <c r="AN115" i="2" s="1"/>
  <c r="H138" i="2"/>
  <c r="H45" i="2"/>
  <c r="S232" i="2"/>
  <c r="S312" i="2"/>
  <c r="Q196" i="2"/>
  <c r="N119" i="2"/>
  <c r="AN119" i="2" s="1"/>
  <c r="M220" i="2"/>
  <c r="N250" i="2"/>
  <c r="AN250" i="2" s="1"/>
  <c r="N264" i="2"/>
  <c r="AN264" i="2" s="1"/>
  <c r="N70" i="2"/>
  <c r="AN70" i="2" s="1"/>
  <c r="S194" i="2"/>
  <c r="Q224" i="2"/>
  <c r="W189" i="2"/>
  <c r="AP189" i="2" s="1"/>
  <c r="Q193" i="2"/>
  <c r="N217" i="2"/>
  <c r="AN217" i="2" s="1"/>
  <c r="U228" i="2"/>
  <c r="U101" i="2"/>
  <c r="U136" i="2"/>
  <c r="W210" i="2"/>
  <c r="AP210" i="2" s="1"/>
  <c r="R136" i="2"/>
  <c r="H53" i="2"/>
  <c r="U210" i="2"/>
  <c r="P192" i="2"/>
  <c r="H144" i="2"/>
  <c r="S285" i="2"/>
  <c r="S116" i="2"/>
  <c r="N193" i="2"/>
  <c r="AN193" i="2" s="1"/>
  <c r="R282" i="2"/>
  <c r="O100" i="2"/>
  <c r="AO100" i="2" s="1"/>
  <c r="M112" i="2"/>
  <c r="R227" i="2"/>
  <c r="S195" i="2"/>
  <c r="W75" i="2"/>
  <c r="AP75" i="2" s="1"/>
  <c r="N53" i="2"/>
  <c r="AN53" i="2" s="1"/>
  <c r="U143" i="2"/>
  <c r="N295" i="2"/>
  <c r="AN295" i="2" s="1"/>
  <c r="U251" i="2"/>
  <c r="H304" i="2"/>
  <c r="W115" i="2"/>
  <c r="AP115" i="2" s="1"/>
  <c r="H212" i="2"/>
  <c r="N209" i="2"/>
  <c r="AN209" i="2" s="1"/>
  <c r="P134" i="2"/>
  <c r="T248" i="2"/>
  <c r="T85" i="2"/>
  <c r="H39" i="2"/>
  <c r="P309" i="2"/>
  <c r="H47" i="2"/>
  <c r="W271" i="2"/>
  <c r="AP271" i="2" s="1"/>
  <c r="T134" i="2"/>
  <c r="M273" i="2"/>
  <c r="M131" i="2"/>
  <c r="H276" i="2"/>
  <c r="Q233" i="2"/>
  <c r="N140" i="2"/>
  <c r="AN140" i="2" s="1"/>
  <c r="P48" i="2"/>
  <c r="Q157" i="2"/>
  <c r="W109" i="2"/>
  <c r="AP109" i="2" s="1"/>
  <c r="O205" i="2"/>
  <c r="AO205" i="2" s="1"/>
  <c r="O44" i="2"/>
  <c r="AO44" i="2" s="1"/>
  <c r="N265" i="2"/>
  <c r="AN265" i="2" s="1"/>
  <c r="Q289" i="2"/>
  <c r="R215" i="2"/>
  <c r="T37" i="2"/>
  <c r="O37" i="2"/>
  <c r="AO37" i="2" s="1"/>
  <c r="U292" i="2"/>
  <c r="U221" i="2"/>
  <c r="N37" i="2"/>
  <c r="AN37" i="2" s="1"/>
  <c r="Q63" i="2"/>
  <c r="W258" i="2"/>
  <c r="AP258" i="2" s="1"/>
  <c r="H66" i="2"/>
  <c r="O271" i="2"/>
  <c r="AO271" i="2" s="1"/>
  <c r="T276" i="2"/>
  <c r="S65" i="2"/>
  <c r="O266" i="2"/>
  <c r="AO266" i="2" s="1"/>
  <c r="N103" i="2"/>
  <c r="AN103" i="2" s="1"/>
  <c r="R124" i="2"/>
  <c r="N147" i="2"/>
  <c r="AN147" i="2" s="1"/>
  <c r="O290" i="2"/>
  <c r="AO290" i="2" s="1"/>
  <c r="O61" i="2"/>
  <c r="AO61" i="2" s="1"/>
  <c r="Q256" i="2"/>
  <c r="Q166" i="2"/>
  <c r="U215" i="2"/>
  <c r="N128" i="2"/>
  <c r="AN128" i="2" s="1"/>
  <c r="P131" i="2"/>
  <c r="N40" i="2"/>
  <c r="AN40" i="2" s="1"/>
  <c r="Q82" i="2"/>
  <c r="H280" i="2"/>
  <c r="O311" i="2"/>
  <c r="AO311" i="2" s="1"/>
  <c r="O201" i="2"/>
  <c r="AO201" i="2" s="1"/>
  <c r="Q301" i="2"/>
  <c r="N231" i="2"/>
  <c r="AN231" i="2" s="1"/>
  <c r="Q72" i="2"/>
  <c r="H111" i="2"/>
  <c r="T230" i="2"/>
  <c r="N184" i="2"/>
  <c r="AN184" i="2" s="1"/>
  <c r="O103" i="2"/>
  <c r="AO103" i="2" s="1"/>
  <c r="O69" i="2"/>
  <c r="AO69" i="2" s="1"/>
  <c r="N211" i="2"/>
  <c r="AN211" i="2" s="1"/>
  <c r="S255" i="2"/>
  <c r="P203" i="2"/>
  <c r="H182" i="2"/>
  <c r="S128" i="2"/>
  <c r="Q50" i="2"/>
  <c r="P91" i="2"/>
  <c r="P177" i="2"/>
  <c r="O293" i="2"/>
  <c r="AO293" i="2" s="1"/>
  <c r="U293" i="2"/>
  <c r="O312" i="2"/>
  <c r="AO312" i="2" s="1"/>
  <c r="M160" i="2"/>
  <c r="Q149" i="2"/>
  <c r="N138" i="2"/>
  <c r="AN138" i="2" s="1"/>
  <c r="M161" i="2"/>
  <c r="H211" i="2"/>
  <c r="R76" i="2"/>
  <c r="Q169" i="2"/>
  <c r="U190" i="2"/>
  <c r="W45" i="2"/>
  <c r="AP45" i="2" s="1"/>
  <c r="O105" i="2"/>
  <c r="AO105" i="2" s="1"/>
  <c r="M41" i="2"/>
  <c r="T88" i="2"/>
  <c r="P193" i="2"/>
  <c r="T201" i="2"/>
  <c r="Q216" i="2"/>
  <c r="O245" i="2"/>
  <c r="AO245" i="2" s="1"/>
  <c r="U264" i="2"/>
  <c r="W76" i="2"/>
  <c r="AP76" i="2" s="1"/>
  <c r="S168" i="2"/>
  <c r="P112" i="2"/>
  <c r="O40" i="2"/>
  <c r="AO40" i="2" s="1"/>
  <c r="S171" i="2"/>
  <c r="W96" i="2"/>
  <c r="AP96" i="2" s="1"/>
  <c r="S178" i="2"/>
  <c r="W305" i="2"/>
  <c r="AP305" i="2" s="1"/>
  <c r="P270" i="2"/>
  <c r="R262" i="2"/>
  <c r="T225" i="2"/>
  <c r="O158" i="2"/>
  <c r="AO158" i="2" s="1"/>
  <c r="W72" i="2"/>
  <c r="AP72" i="2" s="1"/>
  <c r="O154" i="2"/>
  <c r="AO154" i="2" s="1"/>
  <c r="S309" i="2"/>
  <c r="R51" i="2"/>
  <c r="M159" i="2"/>
  <c r="U134" i="2"/>
  <c r="Q294" i="2"/>
  <c r="M61" i="2"/>
  <c r="N106" i="2"/>
  <c r="AN106" i="2" s="1"/>
  <c r="R67" i="2"/>
  <c r="S134" i="2"/>
  <c r="W88" i="2"/>
  <c r="AP88" i="2" s="1"/>
  <c r="T52" i="2"/>
  <c r="S223" i="2"/>
  <c r="T96" i="2"/>
  <c r="T307" i="2"/>
  <c r="U281" i="2"/>
  <c r="N266" i="2"/>
  <c r="AN266" i="2" s="1"/>
  <c r="N258" i="2"/>
  <c r="AN258" i="2" s="1"/>
  <c r="W56" i="2"/>
  <c r="AP56" i="2" s="1"/>
  <c r="Q184" i="2"/>
  <c r="M240" i="2"/>
  <c r="P168" i="2"/>
  <c r="N283" i="2"/>
  <c r="AN283" i="2" s="1"/>
  <c r="P46" i="2"/>
  <c r="U93" i="2"/>
  <c r="H239" i="2"/>
  <c r="N181" i="2"/>
  <c r="AN181" i="2" s="1"/>
  <c r="H94" i="2"/>
  <c r="M170" i="2"/>
  <c r="N121" i="2"/>
  <c r="AN121" i="2" s="1"/>
  <c r="O260" i="2"/>
  <c r="AO260" i="2" s="1"/>
  <c r="Q75" i="2"/>
  <c r="U269" i="2"/>
  <c r="O181" i="2"/>
  <c r="AO181" i="2" s="1"/>
  <c r="H226" i="2"/>
  <c r="P260" i="2"/>
  <c r="T195" i="2"/>
  <c r="M89" i="2"/>
  <c r="R198" i="2"/>
  <c r="R280" i="2"/>
  <c r="T39" i="2"/>
  <c r="U77" i="2"/>
  <c r="R59" i="2"/>
  <c r="P298" i="2"/>
  <c r="W68" i="2"/>
  <c r="AP68" i="2" s="1"/>
  <c r="H300" i="2"/>
  <c r="S70" i="2"/>
  <c r="O247" i="2"/>
  <c r="AO247" i="2" s="1"/>
  <c r="M256" i="2"/>
  <c r="P35" i="2"/>
  <c r="Q288" i="2"/>
  <c r="R77" i="2"/>
  <c r="H283" i="2"/>
  <c r="O129" i="2"/>
  <c r="AO129" i="2" s="1"/>
  <c r="T247" i="2"/>
  <c r="N68" i="2"/>
  <c r="AN68" i="2" s="1"/>
  <c r="P146" i="2"/>
  <c r="H275" i="2"/>
  <c r="R230" i="2"/>
  <c r="N124" i="2"/>
  <c r="AN124" i="2" s="1"/>
  <c r="O191" i="2"/>
  <c r="AO191" i="2" s="1"/>
  <c r="T300" i="2"/>
  <c r="P163" i="2"/>
  <c r="N206" i="2"/>
  <c r="AN206" i="2" s="1"/>
  <c r="H229" i="2"/>
  <c r="S86" i="2"/>
  <c r="W273" i="2"/>
  <c r="AP273" i="2" s="1"/>
  <c r="Q213" i="2"/>
  <c r="W121" i="2"/>
  <c r="AP121" i="2" s="1"/>
  <c r="W283" i="2"/>
  <c r="AP283" i="2" s="1"/>
  <c r="U177" i="2"/>
  <c r="R44" i="2"/>
  <c r="R147" i="2"/>
  <c r="T89" i="2"/>
  <c r="T100" i="2"/>
  <c r="W244" i="2"/>
  <c r="AP244" i="2" s="1"/>
  <c r="P234" i="2"/>
  <c r="Q126" i="2"/>
  <c r="S94" i="2"/>
  <c r="O192" i="2"/>
  <c r="AO192" i="2" s="1"/>
  <c r="N81" i="2"/>
  <c r="AN81" i="2" s="1"/>
  <c r="Q133" i="2"/>
  <c r="Q232" i="2"/>
  <c r="U310" i="2"/>
  <c r="W134" i="2"/>
  <c r="AP134" i="2" s="1"/>
  <c r="M203" i="2"/>
  <c r="O108" i="2"/>
  <c r="AO108" i="2" s="1"/>
  <c r="W196" i="2"/>
  <c r="AP196" i="2" s="1"/>
  <c r="T190" i="2"/>
  <c r="R201" i="2"/>
  <c r="T289" i="2"/>
  <c r="H281" i="2"/>
  <c r="O220" i="2"/>
  <c r="AO220" i="2" s="1"/>
  <c r="H109" i="2"/>
  <c r="U94" i="2"/>
  <c r="O68" i="2"/>
  <c r="AO68" i="2" s="1"/>
  <c r="O276" i="2"/>
  <c r="AO276" i="2" s="1"/>
  <c r="R270" i="2"/>
  <c r="Q172" i="2"/>
  <c r="M43" i="2"/>
  <c r="S106" i="2"/>
  <c r="R40" i="2"/>
  <c r="R220" i="2"/>
  <c r="W146" i="2"/>
  <c r="AP146" i="2" s="1"/>
  <c r="W151" i="2"/>
  <c r="AP151" i="2" s="1"/>
  <c r="O173" i="2"/>
  <c r="AO173" i="2" s="1"/>
  <c r="N51" i="2"/>
  <c r="AN51" i="2" s="1"/>
  <c r="U258" i="2"/>
  <c r="M235" i="2"/>
  <c r="U128" i="2"/>
  <c r="H259" i="2"/>
  <c r="N177" i="2"/>
  <c r="AN177" i="2" s="1"/>
  <c r="N35" i="2"/>
  <c r="AN35" i="2" s="1"/>
  <c r="H103" i="2"/>
  <c r="O52" i="2"/>
  <c r="AO52" i="2" s="1"/>
  <c r="N83" i="2"/>
  <c r="AN83" i="2" s="1"/>
  <c r="S133" i="2"/>
  <c r="N275" i="2"/>
  <c r="AN275" i="2" s="1"/>
  <c r="W263" i="2"/>
  <c r="AP263" i="2" s="1"/>
  <c r="S138" i="2"/>
  <c r="M232" i="2"/>
  <c r="H186" i="2"/>
  <c r="Q234" i="2"/>
  <c r="U209" i="2"/>
  <c r="M54" i="2"/>
  <c r="H270" i="2"/>
  <c r="O74" i="2"/>
  <c r="AO74" i="2" s="1"/>
  <c r="T136" i="2"/>
  <c r="W103" i="2"/>
  <c r="AP103" i="2" s="1"/>
  <c r="P238" i="2"/>
  <c r="W292" i="2"/>
  <c r="AP292" i="2" s="1"/>
  <c r="H204" i="2"/>
  <c r="S204" i="2"/>
  <c r="S102" i="2"/>
  <c r="O72" i="2"/>
  <c r="AO72" i="2" s="1"/>
  <c r="R313" i="2"/>
  <c r="W185" i="2"/>
  <c r="AP185" i="2" s="1"/>
  <c r="M238" i="2"/>
  <c r="R223" i="2"/>
  <c r="R75" i="2"/>
  <c r="S292" i="2"/>
  <c r="R263" i="2"/>
  <c r="U59" i="2"/>
  <c r="P240" i="2"/>
  <c r="R96" i="2"/>
  <c r="P160" i="2"/>
  <c r="M299" i="2"/>
  <c r="O113" i="2"/>
  <c r="AO113" i="2" s="1"/>
  <c r="M227" i="2"/>
  <c r="W120" i="2"/>
  <c r="AP120" i="2" s="1"/>
  <c r="S47" i="2"/>
  <c r="O104" i="2"/>
  <c r="AO104" i="2" s="1"/>
  <c r="S216" i="2"/>
  <c r="P176" i="2"/>
  <c r="P239" i="2"/>
  <c r="P215" i="2"/>
  <c r="W203" i="2"/>
  <c r="AP203" i="2" s="1"/>
  <c r="Q119" i="2"/>
  <c r="O67" i="2"/>
  <c r="AO67" i="2" s="1"/>
  <c r="S220" i="2"/>
  <c r="O287" i="2"/>
  <c r="AO287" i="2" s="1"/>
  <c r="T59" i="2"/>
  <c r="R168" i="2"/>
  <c r="R157" i="2"/>
  <c r="O46" i="2"/>
  <c r="AO46" i="2" s="1"/>
  <c r="O150" i="2"/>
  <c r="AO150" i="2" s="1"/>
  <c r="S191" i="2"/>
  <c r="U174" i="2"/>
  <c r="W240" i="2"/>
  <c r="AP240" i="2" s="1"/>
  <c r="M87" i="2"/>
  <c r="O99" i="2"/>
  <c r="AO99" i="2" s="1"/>
  <c r="N198" i="2"/>
  <c r="AN198" i="2" s="1"/>
  <c r="P147" i="2"/>
  <c r="S152" i="2"/>
  <c r="U42" i="2"/>
  <c r="Q136" i="2"/>
  <c r="S230" i="2"/>
  <c r="T149" i="2"/>
  <c r="W303" i="2"/>
  <c r="AP303" i="2" s="1"/>
  <c r="P243" i="2"/>
  <c r="R170" i="2"/>
  <c r="T196" i="2"/>
  <c r="P308" i="2"/>
  <c r="O214" i="2"/>
  <c r="AO214" i="2" s="1"/>
  <c r="R57" i="2"/>
  <c r="W279" i="2"/>
  <c r="AP279" i="2" s="1"/>
  <c r="R155" i="2"/>
  <c r="U172" i="2"/>
  <c r="P142" i="2"/>
  <c r="M255" i="2"/>
  <c r="M286" i="2"/>
  <c r="O94" i="2"/>
  <c r="AO94" i="2" s="1"/>
  <c r="P311" i="2"/>
  <c r="N230" i="2"/>
  <c r="AN230" i="2" s="1"/>
  <c r="S271" i="2"/>
  <c r="W108" i="2"/>
  <c r="AP108" i="2" s="1"/>
  <c r="N307" i="2"/>
  <c r="AN307" i="2" s="1"/>
  <c r="P274" i="2"/>
  <c r="W180" i="2"/>
  <c r="AP180" i="2" s="1"/>
  <c r="U169" i="2"/>
  <c r="H278" i="2"/>
  <c r="Q150" i="2"/>
  <c r="O228" i="2"/>
  <c r="AO228" i="2" s="1"/>
  <c r="S187" i="2"/>
  <c r="S273" i="2"/>
  <c r="O95" i="2"/>
  <c r="AO95" i="2" s="1"/>
  <c r="S135" i="2"/>
  <c r="Q313" i="2"/>
  <c r="Q207" i="2"/>
  <c r="U62" i="2"/>
  <c r="P291" i="2"/>
  <c r="U149" i="2"/>
  <c r="R233" i="2"/>
  <c r="W47" i="2"/>
  <c r="AP47" i="2" s="1"/>
  <c r="H79" i="2"/>
  <c r="H178" i="2"/>
  <c r="H155" i="2"/>
  <c r="W298" i="2"/>
  <c r="AP298" i="2" s="1"/>
  <c r="U66" i="2"/>
  <c r="U275" i="2"/>
  <c r="N281" i="2"/>
  <c r="AN281" i="2" s="1"/>
  <c r="R85" i="2"/>
  <c r="W276" i="2"/>
  <c r="AP276" i="2" s="1"/>
  <c r="Q189" i="2"/>
  <c r="R279" i="2"/>
  <c r="M276" i="2"/>
  <c r="Q36" i="2"/>
  <c r="P257" i="2"/>
  <c r="M96" i="2"/>
  <c r="Q296" i="2"/>
  <c r="M311" i="2"/>
  <c r="P250" i="2"/>
  <c r="W90" i="2"/>
  <c r="AP90" i="2" s="1"/>
  <c r="O298" i="2"/>
  <c r="AO298" i="2" s="1"/>
  <c r="R290" i="2"/>
  <c r="Q44" i="2"/>
  <c r="W157" i="2"/>
  <c r="AP157" i="2" s="1"/>
  <c r="R309" i="2"/>
  <c r="U36" i="2"/>
  <c r="W251" i="2"/>
  <c r="AP251" i="2" s="1"/>
  <c r="T234" i="2"/>
  <c r="O255" i="2"/>
  <c r="AO255" i="2" s="1"/>
  <c r="P302" i="2"/>
  <c r="U155" i="2"/>
  <c r="Q108" i="2"/>
  <c r="S144" i="2"/>
  <c r="H133" i="2"/>
  <c r="N139" i="2"/>
  <c r="AN139" i="2" s="1"/>
  <c r="T212" i="2"/>
  <c r="N259" i="2"/>
  <c r="AN259" i="2" s="1"/>
  <c r="Q84" i="2"/>
  <c r="R109" i="2"/>
  <c r="N111" i="2"/>
  <c r="AN111" i="2" s="1"/>
  <c r="W64" i="2"/>
  <c r="AP64" i="2" s="1"/>
  <c r="H41" i="2"/>
  <c r="W38" i="2"/>
  <c r="AP38" i="2" s="1"/>
  <c r="Q145" i="2"/>
  <c r="Q98" i="2"/>
  <c r="H125" i="2"/>
  <c r="S275" i="2"/>
  <c r="U298" i="2"/>
  <c r="T158" i="2"/>
  <c r="U208" i="2"/>
  <c r="H267" i="2"/>
  <c r="W89" i="2"/>
  <c r="AP89" i="2" s="1"/>
  <c r="U285" i="2"/>
  <c r="U138" i="2"/>
  <c r="U79" i="2"/>
  <c r="O127" i="2"/>
  <c r="AO127" i="2" s="1"/>
  <c r="W105" i="2"/>
  <c r="AP105" i="2" s="1"/>
  <c r="P236" i="2"/>
  <c r="H89" i="2"/>
  <c r="R312" i="2"/>
  <c r="M145" i="2"/>
  <c r="N107" i="2"/>
  <c r="AN107" i="2" s="1"/>
  <c r="Q115" i="2"/>
  <c r="T312" i="2"/>
  <c r="W254" i="2"/>
  <c r="AP254" i="2" s="1"/>
  <c r="U67" i="2"/>
  <c r="Q225" i="2"/>
  <c r="T117" i="2"/>
  <c r="N221" i="2"/>
  <c r="AN221" i="2" s="1"/>
  <c r="Q273" i="2"/>
  <c r="O256" i="2"/>
  <c r="AO256" i="2" s="1"/>
  <c r="P271" i="2"/>
  <c r="M46" i="2"/>
  <c r="Q186" i="2"/>
  <c r="H114" i="2"/>
  <c r="T189" i="2"/>
  <c r="T140" i="2"/>
  <c r="S244" i="2"/>
  <c r="W102" i="2"/>
  <c r="AP102" i="2" s="1"/>
  <c r="R107" i="2"/>
  <c r="H198" i="2"/>
  <c r="M124" i="2"/>
  <c r="H185" i="2"/>
  <c r="Q139" i="2"/>
  <c r="Q158" i="2"/>
  <c r="S85" i="2"/>
  <c r="R253" i="2"/>
  <c r="O141" i="2"/>
  <c r="AO141" i="2" s="1"/>
  <c r="P85" i="2"/>
  <c r="Q181" i="2"/>
  <c r="P89" i="2"/>
  <c r="M76" i="2"/>
  <c r="M315" i="2"/>
  <c r="Q223" i="2"/>
  <c r="R238" i="2"/>
  <c r="H123" i="2"/>
  <c r="H108" i="2"/>
  <c r="R177" i="2"/>
  <c r="Q151" i="2"/>
  <c r="H145" i="2"/>
  <c r="Q123" i="2"/>
  <c r="Q59" i="2"/>
  <c r="Q89" i="2"/>
  <c r="W291" i="2"/>
  <c r="AP291" i="2" s="1"/>
  <c r="M247" i="2"/>
  <c r="Q222" i="2"/>
  <c r="W83" i="2"/>
  <c r="AP83" i="2" s="1"/>
  <c r="Q292" i="2"/>
  <c r="Q88" i="2"/>
  <c r="M59" i="2"/>
  <c r="M109" i="2"/>
  <c r="N255" i="2"/>
  <c r="AN255" i="2" s="1"/>
  <c r="M51" i="2"/>
  <c r="S268" i="2"/>
  <c r="R56" i="2"/>
  <c r="P297" i="2"/>
  <c r="S165" i="2"/>
  <c r="S288" i="2"/>
  <c r="R129" i="2"/>
  <c r="O252" i="2"/>
  <c r="AO252" i="2" s="1"/>
  <c r="U163" i="2"/>
  <c r="M152" i="2"/>
  <c r="W147" i="2"/>
  <c r="AP147" i="2" s="1"/>
  <c r="U171" i="2"/>
  <c r="M285" i="2"/>
  <c r="W296" i="2"/>
  <c r="AP296" i="2" s="1"/>
  <c r="R118" i="2"/>
  <c r="U312" i="2"/>
  <c r="T81" i="2"/>
  <c r="S177" i="2"/>
  <c r="T290" i="2"/>
  <c r="H63" i="2"/>
  <c r="M307" i="2"/>
  <c r="Q138" i="2"/>
  <c r="T43" i="2"/>
  <c r="Q178" i="2"/>
  <c r="Q214" i="2"/>
  <c r="P136" i="2"/>
  <c r="M94" i="2"/>
  <c r="P126" i="2"/>
  <c r="T41" i="2"/>
  <c r="O242" i="2"/>
  <c r="AO242" i="2" s="1"/>
  <c r="N170" i="2"/>
  <c r="AN170" i="2" s="1"/>
  <c r="R180" i="2"/>
  <c r="S265" i="2"/>
  <c r="W191" i="2"/>
  <c r="AP191" i="2" s="1"/>
  <c r="H235" i="2"/>
  <c r="M280" i="2"/>
  <c r="P119" i="2"/>
  <c r="S316" i="2"/>
  <c r="H120" i="2"/>
  <c r="P258" i="2"/>
  <c r="U303" i="2"/>
  <c r="P245" i="2"/>
  <c r="W141" i="2"/>
  <c r="AP141" i="2" s="1"/>
  <c r="N183" i="2"/>
  <c r="AN183" i="2" s="1"/>
  <c r="O223" i="2"/>
  <c r="AO223" i="2" s="1"/>
  <c r="P92" i="2"/>
  <c r="R176" i="2"/>
  <c r="P299" i="2"/>
  <c r="S310" i="2"/>
  <c r="T238" i="2"/>
  <c r="W188" i="2"/>
  <c r="AP188" i="2" s="1"/>
  <c r="W247" i="2"/>
  <c r="AP247" i="2" s="1"/>
  <c r="N284" i="2"/>
  <c r="AN284" i="2" s="1"/>
  <c r="P194" i="2"/>
  <c r="U90" i="2"/>
  <c r="H100" i="2"/>
  <c r="W243" i="2"/>
  <c r="AP243" i="2" s="1"/>
  <c r="O264" i="2"/>
  <c r="AO264" i="2" s="1"/>
  <c r="M91" i="2"/>
  <c r="N166" i="2"/>
  <c r="AN166" i="2" s="1"/>
  <c r="H106" i="2"/>
  <c r="M185" i="2"/>
  <c r="M195" i="2"/>
  <c r="T205" i="2"/>
  <c r="W106" i="2"/>
  <c r="AP106" i="2" s="1"/>
  <c r="R132" i="2"/>
  <c r="S218" i="2"/>
  <c r="O268" i="2"/>
  <c r="AO268" i="2" s="1"/>
  <c r="H95" i="2"/>
  <c r="T118" i="2"/>
  <c r="U196" i="2"/>
  <c r="U37" i="2"/>
  <c r="O194" i="2"/>
  <c r="AO194" i="2" s="1"/>
  <c r="W233" i="2"/>
  <c r="AP233" i="2" s="1"/>
  <c r="U280" i="2"/>
  <c r="P216" i="2"/>
  <c r="T129" i="2"/>
  <c r="U313" i="2"/>
  <c r="S120" i="2"/>
  <c r="U238" i="2"/>
  <c r="R203" i="2"/>
  <c r="O310" i="2"/>
  <c r="AO310" i="2" s="1"/>
  <c r="S155" i="2"/>
  <c r="U214" i="2"/>
  <c r="P93" i="2"/>
  <c r="H291" i="2"/>
  <c r="Q212" i="2"/>
  <c r="W156" i="2"/>
  <c r="AP156" i="2" s="1"/>
  <c r="U266" i="2"/>
  <c r="T67" i="2"/>
  <c r="W200" i="2"/>
  <c r="AP200" i="2" s="1"/>
  <c r="R64" i="2"/>
  <c r="S314" i="2"/>
  <c r="R255" i="2"/>
  <c r="P116" i="2"/>
  <c r="S181" i="2"/>
  <c r="S37" i="2"/>
  <c r="M56" i="2"/>
  <c r="S110" i="2"/>
  <c r="S98" i="2"/>
  <c r="U271" i="2"/>
  <c r="M85" i="2"/>
  <c r="O183" i="2"/>
  <c r="AO183" i="2" s="1"/>
  <c r="W307" i="2"/>
  <c r="AP307" i="2" s="1"/>
  <c r="R103" i="2"/>
  <c r="O36" i="2"/>
  <c r="AO36" i="2" s="1"/>
  <c r="R297" i="2"/>
  <c r="P220" i="2"/>
  <c r="Q143" i="2"/>
  <c r="U307" i="2"/>
  <c r="O143" i="2"/>
  <c r="AO143" i="2" s="1"/>
  <c r="T79" i="2"/>
  <c r="H84" i="2"/>
  <c r="H150" i="2"/>
  <c r="H221" i="2"/>
  <c r="W42" i="2"/>
  <c r="AP42" i="2" s="1"/>
  <c r="O50" i="2"/>
  <c r="AO50" i="2" s="1"/>
  <c r="O140" i="2"/>
  <c r="AO140" i="2" s="1"/>
  <c r="Q210" i="2"/>
  <c r="W78" i="2"/>
  <c r="AP78" i="2" s="1"/>
  <c r="P110" i="2"/>
  <c r="T114" i="2"/>
  <c r="U84" i="2"/>
  <c r="S105" i="2"/>
  <c r="Q274" i="2"/>
  <c r="P269" i="2"/>
  <c r="P204" i="2"/>
  <c r="H161" i="2"/>
  <c r="U253" i="2"/>
  <c r="P127" i="2"/>
  <c r="M58" i="2"/>
  <c r="N175" i="2"/>
  <c r="AN175" i="2" s="1"/>
  <c r="T292" i="2"/>
  <c r="N294" i="2"/>
  <c r="AN294" i="2" s="1"/>
  <c r="T217" i="2"/>
  <c r="M157" i="2"/>
  <c r="H264" i="2"/>
  <c r="N247" i="2"/>
  <c r="AN247" i="2" s="1"/>
  <c r="W117" i="2"/>
  <c r="AP117" i="2" s="1"/>
  <c r="U204" i="2"/>
  <c r="P154" i="2"/>
  <c r="R314" i="2"/>
  <c r="N215" i="2"/>
  <c r="AN215" i="2" s="1"/>
  <c r="Q244" i="2"/>
  <c r="M166" i="2"/>
  <c r="R112" i="2"/>
  <c r="N176" i="2"/>
  <c r="AN176" i="2" s="1"/>
  <c r="N300" i="2"/>
  <c r="AN300" i="2" s="1"/>
  <c r="T126" i="2"/>
  <c r="W197" i="2"/>
  <c r="AP197" i="2" s="1"/>
  <c r="W270" i="2"/>
  <c r="AP270" i="2" s="1"/>
  <c r="P235" i="2"/>
  <c r="H261" i="2"/>
  <c r="P288" i="2"/>
  <c r="N39" i="2"/>
  <c r="AN39" i="2" s="1"/>
  <c r="H272" i="2"/>
  <c r="H247" i="2"/>
  <c r="T177" i="2"/>
  <c r="O49" i="2"/>
  <c r="AO49" i="2" s="1"/>
  <c r="R298" i="2"/>
  <c r="M226" i="2"/>
  <c r="T299" i="2"/>
  <c r="Q275" i="2"/>
  <c r="M281" i="2"/>
  <c r="M304" i="2"/>
  <c r="S59" i="2"/>
  <c r="N64" i="2"/>
  <c r="AN64" i="2" s="1"/>
  <c r="O90" i="2"/>
  <c r="AO90" i="2" s="1"/>
  <c r="O262" i="2"/>
  <c r="AO262" i="2" s="1"/>
  <c r="N108" i="2"/>
  <c r="AN108" i="2" s="1"/>
  <c r="Q291" i="2"/>
  <c r="T55" i="2"/>
  <c r="M151" i="2"/>
  <c r="N75" i="2"/>
  <c r="AN75" i="2" s="1"/>
  <c r="S196" i="2"/>
  <c r="O82" i="2"/>
  <c r="AO82" i="2" s="1"/>
  <c r="S112" i="2"/>
  <c r="R73" i="2"/>
  <c r="S147" i="2"/>
  <c r="O231" i="2"/>
  <c r="AO231" i="2" s="1"/>
  <c r="N150" i="2"/>
  <c r="AN150" i="2" s="1"/>
  <c r="S308" i="2"/>
  <c r="U249" i="2"/>
  <c r="S274" i="2"/>
  <c r="N86" i="2"/>
  <c r="AN86" i="2" s="1"/>
  <c r="M296" i="2"/>
  <c r="T61" i="2"/>
  <c r="W122" i="2"/>
  <c r="AP122" i="2" s="1"/>
  <c r="Q293" i="2"/>
  <c r="S45" i="2"/>
  <c r="N204" i="2"/>
  <c r="AN204" i="2" s="1"/>
  <c r="O296" i="2"/>
  <c r="AO296" i="2" s="1"/>
  <c r="S213" i="2"/>
  <c r="S87" i="2"/>
  <c r="H274" i="2"/>
  <c r="R245" i="2"/>
  <c r="N223" i="2"/>
  <c r="AN223" i="2" s="1"/>
  <c r="S146" i="2"/>
  <c r="M189" i="2"/>
  <c r="H179" i="2"/>
  <c r="H93" i="2"/>
  <c r="T152" i="2"/>
  <c r="M174" i="2"/>
  <c r="W123" i="2"/>
  <c r="AP123" i="2" s="1"/>
  <c r="W41" i="2"/>
  <c r="AP41" i="2" s="1"/>
  <c r="N41" i="2"/>
  <c r="AN41" i="2" s="1"/>
  <c r="U45" i="2"/>
  <c r="N132" i="2"/>
  <c r="AN132" i="2" s="1"/>
  <c r="H177" i="2"/>
  <c r="O43" i="2"/>
  <c r="AO43" i="2" s="1"/>
  <c r="Q35" i="2"/>
  <c r="U244" i="2"/>
  <c r="S148" i="2"/>
  <c r="R307" i="2"/>
  <c r="P281" i="2"/>
  <c r="U291" i="2"/>
  <c r="H77" i="2"/>
  <c r="R239" i="2"/>
  <c r="S103" i="2"/>
  <c r="Q147" i="2"/>
  <c r="Q276" i="2"/>
  <c r="W183" i="2"/>
  <c r="AP183" i="2" s="1"/>
  <c r="U72" i="2"/>
  <c r="R234" i="2"/>
  <c r="M100" i="2"/>
  <c r="T144" i="2"/>
  <c r="H76" i="2"/>
  <c r="Q253" i="2"/>
  <c r="R184" i="2"/>
  <c r="M187" i="2"/>
  <c r="T97" i="2"/>
  <c r="W162" i="2"/>
  <c r="AP162" i="2" s="1"/>
  <c r="O164" i="2"/>
  <c r="AO164" i="2" s="1"/>
  <c r="T95" i="2"/>
  <c r="U156" i="2"/>
  <c r="U83" i="2"/>
  <c r="P109" i="2"/>
  <c r="Q179" i="2"/>
  <c r="O196" i="2"/>
  <c r="AO196" i="2" s="1"/>
  <c r="O134" i="2"/>
  <c r="AO134" i="2" s="1"/>
  <c r="T221" i="2"/>
  <c r="N58" i="2"/>
  <c r="AN58" i="2" s="1"/>
  <c r="O215" i="2"/>
  <c r="AO215" i="2" s="1"/>
  <c r="Q308" i="2"/>
  <c r="T159" i="2"/>
  <c r="N88" i="2"/>
  <c r="AN88" i="2" s="1"/>
  <c r="O156" i="2"/>
  <c r="AO156" i="2" s="1"/>
  <c r="P114" i="2"/>
  <c r="P122" i="2"/>
  <c r="S153" i="2"/>
  <c r="H36" i="2"/>
  <c r="S39" i="2"/>
  <c r="N129" i="2"/>
  <c r="AN129" i="2" s="1"/>
  <c r="S174" i="2"/>
  <c r="W206" i="2"/>
  <c r="AP206" i="2" s="1"/>
  <c r="O157" i="2"/>
  <c r="AO157" i="2" s="1"/>
  <c r="O55" i="2"/>
  <c r="AO55" i="2" s="1"/>
  <c r="W49" i="2"/>
  <c r="AP49" i="2" s="1"/>
  <c r="Q282" i="2"/>
  <c r="S250" i="2"/>
  <c r="N71" i="2"/>
  <c r="AN71" i="2" s="1"/>
  <c r="P155" i="2"/>
  <c r="M92" i="2"/>
  <c r="R225" i="2"/>
  <c r="P246" i="2"/>
  <c r="W306" i="2"/>
  <c r="AP306" i="2" s="1"/>
  <c r="H299" i="2"/>
  <c r="N105" i="2"/>
  <c r="AN105" i="2" s="1"/>
  <c r="P184" i="2"/>
  <c r="S161" i="2"/>
  <c r="U187" i="2"/>
  <c r="N287" i="2"/>
  <c r="AN287" i="2" s="1"/>
  <c r="W176" i="2"/>
  <c r="AP176" i="2" s="1"/>
  <c r="U287" i="2"/>
  <c r="Q57" i="2"/>
  <c r="N167" i="2"/>
  <c r="AN167" i="2" s="1"/>
  <c r="H294" i="2"/>
  <c r="R81" i="2"/>
  <c r="T174" i="2"/>
  <c r="T282" i="2"/>
  <c r="R294" i="2"/>
  <c r="W126" i="2"/>
  <c r="AP126" i="2" s="1"/>
  <c r="M184" i="2"/>
  <c r="W290" i="2"/>
  <c r="AP290" i="2" s="1"/>
  <c r="Q76" i="2"/>
  <c r="T227" i="2"/>
  <c r="T244" i="2"/>
  <c r="O229" i="2"/>
  <c r="AO229" i="2" s="1"/>
  <c r="S96" i="2"/>
  <c r="R193" i="2"/>
  <c r="N187" i="2"/>
  <c r="AN187" i="2" s="1"/>
  <c r="S162" i="2"/>
  <c r="P83" i="2"/>
  <c r="M199" i="2"/>
  <c r="R169" i="2"/>
  <c r="N127" i="2"/>
  <c r="AN127" i="2" s="1"/>
  <c r="S130" i="2"/>
  <c r="T257" i="2"/>
  <c r="N260" i="2"/>
  <c r="AN260" i="2" s="1"/>
  <c r="O233" i="2"/>
  <c r="AO233" i="2" s="1"/>
  <c r="O88" i="2"/>
  <c r="AO88" i="2" s="1"/>
  <c r="M200" i="2"/>
  <c r="W234" i="2"/>
  <c r="AP234" i="2" s="1"/>
  <c r="N82" i="2"/>
  <c r="AN82" i="2" s="1"/>
  <c r="R206" i="2"/>
  <c r="N241" i="2"/>
  <c r="AN241" i="2" s="1"/>
  <c r="S121" i="2"/>
  <c r="U71" i="2"/>
  <c r="H232" i="2"/>
  <c r="N312" i="2"/>
  <c r="AN312" i="2" s="1"/>
  <c r="H92" i="2"/>
  <c r="Q185" i="2"/>
  <c r="P44" i="2"/>
  <c r="O211" i="2"/>
  <c r="AO211" i="2" s="1"/>
  <c r="S272" i="2"/>
  <c r="N179" i="2"/>
  <c r="AN179" i="2" s="1"/>
  <c r="N314" i="2"/>
  <c r="AN314" i="2" s="1"/>
  <c r="W65" i="2"/>
  <c r="AP65" i="2" s="1"/>
  <c r="R300" i="2"/>
  <c r="M53" i="2"/>
  <c r="N274" i="2"/>
  <c r="AN274" i="2" s="1"/>
  <c r="W267" i="2"/>
  <c r="AP267" i="2" s="1"/>
  <c r="S104" i="2"/>
  <c r="P286" i="2"/>
  <c r="P118" i="2"/>
  <c r="M90" i="2"/>
  <c r="P50" i="2"/>
  <c r="U39" i="2"/>
  <c r="H214" i="2"/>
  <c r="P39" i="2"/>
  <c r="P279" i="2"/>
  <c r="Q65" i="2"/>
  <c r="T297" i="2"/>
  <c r="Q175" i="2"/>
  <c r="M211" i="2"/>
  <c r="R101" i="2"/>
  <c r="W211" i="2"/>
  <c r="AP211" i="2" s="1"/>
  <c r="H192" i="2"/>
  <c r="Q120" i="2"/>
  <c r="W219" i="2"/>
  <c r="AP219" i="2" s="1"/>
  <c r="S185" i="2"/>
  <c r="Q55" i="2"/>
  <c r="H215" i="2"/>
  <c r="M261" i="2"/>
  <c r="Q117" i="2"/>
  <c r="O267" i="2"/>
  <c r="AO267" i="2" s="1"/>
  <c r="M310" i="2"/>
  <c r="P170" i="2"/>
  <c r="H122" i="2"/>
  <c r="W52" i="2"/>
  <c r="AP52" i="2" s="1"/>
  <c r="N237" i="2"/>
  <c r="AN237" i="2" s="1"/>
  <c r="T115" i="2"/>
  <c r="O304" i="2"/>
  <c r="AO304" i="2" s="1"/>
  <c r="Q309" i="2"/>
  <c r="O77" i="2"/>
  <c r="AO77" i="2" s="1"/>
  <c r="P231" i="2"/>
  <c r="S169" i="2"/>
  <c r="U230" i="2"/>
  <c r="R260" i="2"/>
  <c r="S210" i="2"/>
  <c r="O197" i="2"/>
  <c r="AO197" i="2" s="1"/>
  <c r="M123" i="2"/>
  <c r="O57" i="2"/>
  <c r="AO57" i="2" s="1"/>
  <c r="H107" i="2"/>
  <c r="S132" i="2"/>
  <c r="T261" i="2"/>
  <c r="O305" i="2"/>
  <c r="AO305" i="2" s="1"/>
  <c r="H296" i="2"/>
  <c r="P196" i="2"/>
  <c r="W241" i="2"/>
  <c r="AP241" i="2" s="1"/>
  <c r="S283" i="2"/>
  <c r="T131" i="2"/>
  <c r="W124" i="2"/>
  <c r="AP124" i="2" s="1"/>
  <c r="S260" i="2"/>
  <c r="P41" i="2"/>
  <c r="S74" i="2"/>
  <c r="P77" i="2"/>
  <c r="H292" i="2"/>
  <c r="Q109" i="2"/>
  <c r="U161" i="2"/>
  <c r="T259" i="2"/>
  <c r="M270" i="2"/>
  <c r="P101" i="2"/>
  <c r="N257" i="2"/>
  <c r="AN257" i="2" s="1"/>
  <c r="H253" i="2"/>
  <c r="P199" i="2"/>
  <c r="U247" i="2"/>
  <c r="H316" i="2"/>
  <c r="T272" i="2"/>
  <c r="O243" i="2"/>
  <c r="AO243" i="2" s="1"/>
  <c r="N72" i="2"/>
  <c r="AN72" i="2" s="1"/>
  <c r="T262" i="2"/>
  <c r="O51" i="2"/>
  <c r="AO51" i="2" s="1"/>
  <c r="O210" i="2"/>
  <c r="AO210" i="2" s="1"/>
  <c r="Q152" i="2"/>
  <c r="R246" i="2"/>
  <c r="U167" i="2"/>
  <c r="N315" i="2"/>
  <c r="AN315" i="2" s="1"/>
  <c r="O122" i="2"/>
  <c r="AO122" i="2" s="1"/>
  <c r="Q45" i="2"/>
  <c r="N278" i="2"/>
  <c r="AN278" i="2" s="1"/>
  <c r="Q281" i="2"/>
  <c r="R179" i="2"/>
  <c r="M143" i="2"/>
  <c r="U213" i="2"/>
  <c r="N80" i="2"/>
  <c r="AN80" i="2" s="1"/>
  <c r="T47" i="2"/>
  <c r="S72" i="2"/>
  <c r="M225" i="2"/>
  <c r="W225" i="2"/>
  <c r="AP225" i="2" s="1"/>
  <c r="R287" i="2"/>
  <c r="U146" i="2"/>
  <c r="T111" i="2"/>
  <c r="Q197" i="2"/>
  <c r="M167" i="2"/>
  <c r="P276" i="2"/>
  <c r="R190" i="2"/>
  <c r="Q227" i="2"/>
  <c r="P307" i="2"/>
  <c r="N285" i="2"/>
  <c r="AN285" i="2" s="1"/>
  <c r="R102" i="2"/>
  <c r="S205" i="2"/>
  <c r="O163" i="2"/>
  <c r="AO163" i="2" s="1"/>
  <c r="R283" i="2"/>
  <c r="M52" i="2"/>
  <c r="S154" i="2"/>
  <c r="S68" i="2"/>
  <c r="U43" i="2"/>
  <c r="H58" i="2"/>
  <c r="U283" i="2"/>
  <c r="S291" i="2"/>
  <c r="W232" i="2"/>
  <c r="AP232" i="2" s="1"/>
  <c r="R299" i="2"/>
  <c r="P59" i="2"/>
  <c r="S67" i="2"/>
  <c r="T103" i="2"/>
  <c r="S287" i="2"/>
  <c r="H224" i="2"/>
  <c r="P174" i="2"/>
  <c r="W269" i="2"/>
  <c r="AP269" i="2" s="1"/>
  <c r="H140" i="2"/>
  <c r="W293" i="2"/>
  <c r="AP293" i="2" s="1"/>
  <c r="O118" i="2"/>
  <c r="AO118" i="2" s="1"/>
  <c r="N45" i="2"/>
  <c r="AN45" i="2" s="1"/>
  <c r="R229" i="2"/>
  <c r="M68" i="2"/>
  <c r="N280" i="2"/>
  <c r="AN280" i="2" s="1"/>
  <c r="H55" i="2"/>
  <c r="M253" i="2"/>
  <c r="M125" i="2"/>
  <c r="U98" i="2"/>
  <c r="M36" i="2"/>
  <c r="H183" i="2"/>
  <c r="Q153" i="2"/>
  <c r="T253" i="2"/>
  <c r="U237" i="2"/>
  <c r="S125" i="2"/>
  <c r="N214" i="2"/>
  <c r="AN214" i="2" s="1"/>
  <c r="M129" i="2"/>
  <c r="Q49" i="2"/>
  <c r="T69" i="2"/>
  <c r="O53" i="2"/>
  <c r="AO53" i="2" s="1"/>
  <c r="R189" i="2"/>
  <c r="R91" i="2"/>
  <c r="N160" i="2"/>
  <c r="AN160" i="2" s="1"/>
  <c r="N218" i="2"/>
  <c r="AN218" i="2" s="1"/>
  <c r="T219" i="2"/>
  <c r="P56" i="2"/>
  <c r="T193" i="2"/>
  <c r="P60" i="2"/>
  <c r="P124" i="2"/>
  <c r="Q243" i="2"/>
  <c r="O112" i="2"/>
  <c r="AO112" i="2" s="1"/>
  <c r="W289" i="2"/>
  <c r="AP289" i="2" s="1"/>
  <c r="W143" i="2"/>
  <c r="AP143" i="2" s="1"/>
  <c r="O54" i="2"/>
  <c r="AO54" i="2" s="1"/>
  <c r="H80" i="2"/>
  <c r="H309" i="2"/>
  <c r="T223" i="2"/>
  <c r="T192" i="2"/>
  <c r="H303" i="2"/>
  <c r="R248" i="2"/>
  <c r="P188" i="2"/>
  <c r="M168" i="2"/>
  <c r="H152" i="2"/>
  <c r="P94" i="2"/>
  <c r="S66" i="2"/>
  <c r="T287" i="2"/>
  <c r="M224" i="2"/>
  <c r="H46" i="2"/>
  <c r="H147" i="2"/>
  <c r="N102" i="2"/>
  <c r="AN102" i="2" s="1"/>
  <c r="T63" i="2"/>
  <c r="O132" i="2"/>
  <c r="AO132" i="2" s="1"/>
  <c r="O316" i="2"/>
  <c r="AO316" i="2" s="1"/>
  <c r="N276" i="2"/>
  <c r="AN276" i="2" s="1"/>
  <c r="S164" i="2"/>
  <c r="M69" i="2"/>
  <c r="S99" i="2"/>
  <c r="T260" i="2"/>
  <c r="H285" i="2"/>
  <c r="O86" i="2"/>
  <c r="AO86" i="2" s="1"/>
  <c r="O178" i="2"/>
  <c r="AO178" i="2" s="1"/>
  <c r="T206" i="2"/>
  <c r="T141" i="2"/>
  <c r="Q245" i="2"/>
  <c r="P57" i="2"/>
  <c r="U153" i="2"/>
  <c r="S207" i="2"/>
  <c r="M102" i="2"/>
  <c r="O250" i="2"/>
  <c r="AO250" i="2" s="1"/>
  <c r="H90" i="2"/>
  <c r="S313" i="2"/>
  <c r="H154" i="2"/>
  <c r="W239" i="2"/>
  <c r="AP239" i="2" s="1"/>
  <c r="H282" i="2"/>
  <c r="Q68" i="2"/>
  <c r="W142" i="2"/>
  <c r="AP142" i="2" s="1"/>
  <c r="P105" i="2"/>
  <c r="Q300" i="2"/>
  <c r="Q142" i="2"/>
  <c r="U182" i="2"/>
  <c r="H308" i="2"/>
  <c r="T209" i="2"/>
  <c r="O199" i="2"/>
  <c r="AO199" i="2" s="1"/>
  <c r="U117" i="2"/>
  <c r="H254" i="2"/>
  <c r="H217" i="2"/>
  <c r="P249" i="2"/>
  <c r="W226" i="2"/>
  <c r="AP226" i="2" s="1"/>
  <c r="H165" i="2"/>
  <c r="T303" i="2"/>
  <c r="Q38" i="2"/>
  <c r="N253" i="2"/>
  <c r="AN253" i="2" s="1"/>
  <c r="R217" i="2"/>
  <c r="N243" i="2"/>
  <c r="AN243" i="2" s="1"/>
  <c r="R289" i="2"/>
  <c r="U56" i="2"/>
  <c r="O152" i="2"/>
  <c r="AO152" i="2" s="1"/>
  <c r="H35" i="2"/>
  <c r="W201" i="2"/>
  <c r="AP201" i="2" s="1"/>
  <c r="M40" i="2"/>
  <c r="M75" i="2"/>
  <c r="M135" i="2"/>
  <c r="H243" i="2"/>
  <c r="Q53" i="2"/>
  <c r="W187" i="2"/>
  <c r="AP187" i="2" s="1"/>
  <c r="M163" i="2"/>
  <c r="H305" i="2"/>
  <c r="P165" i="2"/>
  <c r="Q43" i="2"/>
  <c r="W297" i="2"/>
  <c r="AP297" i="2" s="1"/>
  <c r="Q125" i="2"/>
  <c r="T237" i="2"/>
  <c r="H199" i="2"/>
  <c r="H44" i="2"/>
  <c r="T120" i="2"/>
  <c r="R114" i="2"/>
  <c r="O313" i="2"/>
  <c r="AO313" i="2" s="1"/>
  <c r="M139" i="2"/>
  <c r="W139" i="2"/>
  <c r="AP139" i="2" s="1"/>
  <c r="AR5" i="2" l="1"/>
  <c r="C145" i="2" a="1"/>
  <c r="C145" i="2" s="1"/>
  <c r="C205" i="2" a="1"/>
  <c r="C205" i="2" s="1"/>
  <c r="C261" i="2" a="1"/>
  <c r="C261" i="2" s="1"/>
  <c r="C177" i="2" a="1"/>
  <c r="C177" i="2" s="1"/>
  <c r="C157" i="2" a="1"/>
  <c r="C157" i="2" s="1"/>
  <c r="C83" i="2" a="1"/>
  <c r="C83" i="2" s="1"/>
  <c r="C292" i="2" a="1"/>
  <c r="C292" i="2" s="1"/>
  <c r="C122" i="2" a="1"/>
  <c r="C122" i="2" s="1"/>
  <c r="C125" i="2" a="1"/>
  <c r="C125" i="2" s="1"/>
  <c r="C167" i="2" a="1"/>
  <c r="C167" i="2" s="1"/>
  <c r="C109" i="2" a="1"/>
  <c r="C109" i="2" s="1"/>
  <c r="C154" i="2" a="1"/>
  <c r="C154" i="2" s="1"/>
  <c r="C285" i="2" a="1"/>
  <c r="C285" i="2" s="1"/>
  <c r="C98" i="2" a="1"/>
  <c r="C98" i="2" s="1"/>
  <c r="C238" i="2" a="1"/>
  <c r="C238" i="2" s="1"/>
  <c r="C89" i="2" a="1"/>
  <c r="C89" i="2" s="1"/>
  <c r="C309" i="2" a="1"/>
  <c r="C309" i="2" s="1"/>
  <c r="C203" i="2" a="1"/>
  <c r="C203" i="2" s="1"/>
  <c r="C136" i="2" a="1"/>
  <c r="C136" i="2" s="1"/>
  <c r="C263" i="2" a="1"/>
  <c r="C263" i="2" s="1"/>
  <c r="C103" i="2" a="1"/>
  <c r="C103" i="2" s="1"/>
  <c r="C206" i="2" a="1"/>
  <c r="C206" i="2" s="1"/>
  <c r="C250" i="2" a="1"/>
  <c r="C250" i="2" s="1"/>
  <c r="C137" i="2" a="1"/>
  <c r="C137" i="2" s="1"/>
  <c r="C39" i="2" a="1"/>
  <c r="C39" i="2" s="1"/>
  <c r="C127" i="2" a="1"/>
  <c r="C127" i="2" s="1"/>
  <c r="C218" i="2" a="1"/>
  <c r="C218" i="2" s="1"/>
  <c r="C112" i="2" a="1"/>
  <c r="C112" i="2" s="1"/>
  <c r="C281" i="2" a="1"/>
  <c r="C281" i="2" s="1"/>
  <c r="C204" i="2" a="1"/>
  <c r="C204" i="2" s="1"/>
  <c r="C96" i="2" a="1"/>
  <c r="C96" i="2" s="1"/>
  <c r="C67" i="2" a="1"/>
  <c r="C67" i="2" s="1"/>
  <c r="C192" i="2" a="1"/>
  <c r="C192" i="2" s="1"/>
  <c r="C211" i="2" a="1"/>
  <c r="C211" i="2" s="1"/>
  <c r="C82" i="2" a="1"/>
  <c r="C82" i="2" s="1"/>
  <c r="C210" i="2" a="1"/>
  <c r="C210" i="2" s="1"/>
  <c r="C217" i="2" a="1"/>
  <c r="C217" i="2" s="1"/>
  <c r="C156" i="2" a="1"/>
  <c r="C156" i="2" s="1"/>
  <c r="C38" i="2" a="1"/>
  <c r="C38" i="2" s="1"/>
  <c r="C257" i="2" a="1"/>
  <c r="C257" i="2" s="1"/>
  <c r="C43" i="2" a="1"/>
  <c r="C43" i="2" s="1"/>
  <c r="C275" i="2" a="1"/>
  <c r="C275" i="2" s="1"/>
  <c r="C182" i="2" a="1"/>
  <c r="C182" i="2" s="1"/>
  <c r="C270" i="2" a="1"/>
  <c r="C270" i="2" s="1"/>
  <c r="C199" i="2" a="1"/>
  <c r="C199" i="2" s="1"/>
  <c r="C187" i="2" a="1"/>
  <c r="C187" i="2" s="1"/>
  <c r="C84" i="2" a="1"/>
  <c r="C84" i="2" s="1"/>
  <c r="C290" i="2" a="1"/>
  <c r="C290" i="2" s="1"/>
  <c r="C196" i="2" a="1"/>
  <c r="C196" i="2" s="1"/>
  <c r="C116" i="2" a="1"/>
  <c r="C116" i="2" s="1"/>
  <c r="C126" i="2" a="1"/>
  <c r="C126" i="2" s="1"/>
  <c r="C61" i="2" a="1"/>
  <c r="C61" i="2" s="1"/>
  <c r="C95" i="2" a="1"/>
  <c r="C95" i="2" s="1"/>
  <c r="C222" i="2" a="1"/>
  <c r="C222" i="2" s="1"/>
  <c r="C216" i="2" a="1"/>
  <c r="C216" i="2" s="1"/>
  <c r="C262" i="2" a="1"/>
  <c r="C262" i="2" s="1"/>
  <c r="C247" i="2" a="1"/>
  <c r="C247" i="2" s="1"/>
  <c r="C236" i="2" a="1"/>
  <c r="C236" i="2" s="1"/>
  <c r="C47" i="2" a="1"/>
  <c r="C47" i="2" s="1"/>
  <c r="C121" i="2" a="1"/>
  <c r="C121" i="2" s="1"/>
  <c r="C77" i="2" a="1"/>
  <c r="C77" i="2" s="1"/>
  <c r="C215" i="2" a="1"/>
  <c r="C215" i="2" s="1"/>
  <c r="C101" i="2" a="1"/>
  <c r="C101" i="2" s="1"/>
  <c r="C79" i="2" a="1"/>
  <c r="C79" i="2" s="1"/>
  <c r="C227" i="2" a="1"/>
  <c r="C227" i="2" s="1"/>
  <c r="C186" i="2" a="1"/>
  <c r="C186" i="2" s="1"/>
  <c r="C283" i="2" a="1"/>
  <c r="C283" i="2" s="1"/>
  <c r="C174" i="2" a="1"/>
  <c r="C174" i="2" s="1"/>
  <c r="C104" i="2" a="1"/>
  <c r="C104" i="2" s="1"/>
  <c r="C100" i="2" a="1"/>
  <c r="C100" i="2" s="1"/>
  <c r="C176" i="2" a="1"/>
  <c r="C176" i="2" s="1"/>
  <c r="C267" i="2" a="1"/>
  <c r="C267" i="2" s="1"/>
  <c r="C132" i="2" a="1"/>
  <c r="C132" i="2" s="1"/>
  <c r="C69" i="2" a="1"/>
  <c r="C69" i="2" s="1"/>
  <c r="C165" i="2" a="1"/>
  <c r="C165" i="2" s="1"/>
  <c r="C282" i="2" a="1"/>
  <c r="C282" i="2" s="1"/>
  <c r="C288" i="2" a="1"/>
  <c r="C288" i="2" s="1"/>
  <c r="C80" i="2" a="1"/>
  <c r="C80" i="2" s="1"/>
  <c r="C118" i="2" a="1"/>
  <c r="C118" i="2" s="1"/>
  <c r="C147" i="2" a="1"/>
  <c r="C147" i="2" s="1"/>
  <c r="C294" i="2" a="1"/>
  <c r="C294" i="2" s="1"/>
  <c r="C60" i="2" a="1"/>
  <c r="C60" i="2" s="1"/>
  <c r="C306" i="2" a="1"/>
  <c r="C306" i="2" s="1"/>
  <c r="C36" i="2" a="1"/>
  <c r="C36" i="2" s="1"/>
  <c r="C151" i="2" a="1"/>
  <c r="C151" i="2" s="1"/>
  <c r="C119" i="2" a="1"/>
  <c r="C119" i="2" s="1"/>
  <c r="C86" i="2" a="1"/>
  <c r="C86" i="2" s="1"/>
  <c r="C52" i="2" a="1"/>
  <c r="C52" i="2" s="1"/>
  <c r="C240" i="2" a="1"/>
  <c r="C240" i="2" s="1"/>
  <c r="C72" i="2" a="1"/>
  <c r="C72" i="2" s="1"/>
  <c r="C90" i="2" a="1"/>
  <c r="C90" i="2" s="1"/>
  <c r="C40" i="2" a="1"/>
  <c r="C40" i="2" s="1"/>
  <c r="C194" i="2" a="1"/>
  <c r="C194" i="2" s="1"/>
  <c r="C99" i="2" a="1"/>
  <c r="C99" i="2" s="1"/>
  <c r="C198" i="2" a="1"/>
  <c r="C198" i="2" s="1"/>
  <c r="C166" i="2" a="1"/>
  <c r="C166" i="2" s="1"/>
  <c r="C56" i="2" a="1"/>
  <c r="C56" i="2" s="1"/>
  <c r="C46" i="2" a="1"/>
  <c r="C46" i="2" s="1"/>
  <c r="C173" i="2" a="1"/>
  <c r="C173" i="2" s="1"/>
  <c r="C277" i="2" a="1"/>
  <c r="C277" i="2" s="1"/>
  <c r="C184" i="2" a="1"/>
  <c r="C184" i="2" s="1"/>
  <c r="C307" i="2" a="1"/>
  <c r="C307" i="2" s="1"/>
  <c r="C276" i="2" a="1"/>
  <c r="C276" i="2" s="1"/>
  <c r="C133" i="2" a="1"/>
  <c r="C133" i="2" s="1"/>
  <c r="C124" i="2" a="1"/>
  <c r="C124" i="2" s="1"/>
  <c r="C297" i="2" a="1"/>
  <c r="C297" i="2" s="1"/>
  <c r="C264" i="2" a="1"/>
  <c r="C264" i="2" s="1"/>
  <c r="C305" i="2" a="1"/>
  <c r="C305" i="2" s="1"/>
  <c r="C241" i="2" a="1"/>
  <c r="C241" i="2" s="1"/>
  <c r="C229" i="2" a="1"/>
  <c r="C229" i="2" s="1"/>
  <c r="C114" i="2" a="1"/>
  <c r="C114" i="2" s="1"/>
  <c r="C231" i="2" a="1"/>
  <c r="C231" i="2" s="1"/>
  <c r="C228" i="2" a="1"/>
  <c r="C228" i="2" s="1"/>
  <c r="C233" i="2" a="1"/>
  <c r="C233" i="2" s="1"/>
  <c r="C260" i="2" a="1"/>
  <c r="C260" i="2" s="1"/>
  <c r="C170" i="2" a="1"/>
  <c r="C170" i="2" s="1"/>
  <c r="C190" i="2" a="1"/>
  <c r="C190" i="2" s="1"/>
  <c r="C252" i="2" a="1"/>
  <c r="C252" i="2" s="1"/>
  <c r="C212" i="2" a="1"/>
  <c r="C212" i="2" s="1"/>
  <c r="C296" i="2" a="1"/>
  <c r="C296" i="2" s="1"/>
  <c r="C269" i="2" a="1"/>
  <c r="C269" i="2" s="1"/>
  <c r="C111" i="2" a="1"/>
  <c r="C111" i="2" s="1"/>
  <c r="C293" i="2" a="1"/>
  <c r="C293" i="2" s="1"/>
  <c r="C93" i="2" a="1"/>
  <c r="C93" i="2" s="1"/>
  <c r="C35" i="2" a="1"/>
  <c r="C35" i="2" s="1"/>
  <c r="C85" i="2" a="1"/>
  <c r="C85" i="2" s="1"/>
  <c r="C51" i="2" a="1"/>
  <c r="C51" i="2" s="1"/>
  <c r="C271" i="2" a="1"/>
  <c r="C271" i="2" s="1"/>
  <c r="C146" i="2" a="1"/>
  <c r="C146" i="2" s="1"/>
  <c r="C58" i="2" a="1"/>
  <c r="C58" i="2" s="1"/>
  <c r="C140" i="2" a="1"/>
  <c r="C140" i="2" s="1"/>
  <c r="C237" i="2" a="1"/>
  <c r="C237" i="2" s="1"/>
  <c r="C235" i="2" a="1"/>
  <c r="C235" i="2" s="1"/>
  <c r="C71" i="2" a="1"/>
  <c r="C71" i="2" s="1"/>
  <c r="C273" i="2" a="1"/>
  <c r="C273" i="2" s="1"/>
  <c r="C53" i="2" a="1"/>
  <c r="C53" i="2" s="1"/>
  <c r="C219" i="2" a="1"/>
  <c r="C219" i="2" s="1"/>
  <c r="C191" i="2" a="1"/>
  <c r="C191" i="2" s="1"/>
  <c r="C291" i="2" a="1"/>
  <c r="C291" i="2" s="1"/>
  <c r="C108" i="2" a="1"/>
  <c r="C108" i="2" s="1"/>
  <c r="C139" i="2" a="1"/>
  <c r="C139" i="2" s="1"/>
  <c r="D119" i="6"/>
  <c r="E119" i="6" s="1"/>
  <c r="C143" i="2" a="1"/>
  <c r="C143" i="2" s="1"/>
  <c r="C286" i="2" a="1"/>
  <c r="C286" i="2" s="1"/>
  <c r="C220" i="2" a="1"/>
  <c r="C220" i="2" s="1"/>
  <c r="C234" i="2" a="1"/>
  <c r="C234" i="2" s="1"/>
  <c r="C256" i="2" a="1"/>
  <c r="C256" i="2" s="1"/>
  <c r="C209" i="2" a="1"/>
  <c r="C209" i="2" s="1"/>
  <c r="C197" i="2" a="1"/>
  <c r="C197" i="2" s="1"/>
  <c r="C201" i="2" a="1"/>
  <c r="C201" i="2" s="1"/>
  <c r="C171" i="2" a="1"/>
  <c r="C171" i="2" s="1"/>
  <c r="C266" i="2" a="1"/>
  <c r="C266" i="2" s="1"/>
  <c r="C97" i="2" a="1"/>
  <c r="C97" i="2" s="1"/>
  <c r="C120" i="2" a="1"/>
  <c r="C120" i="2" s="1"/>
  <c r="C49" i="2" a="1"/>
  <c r="C49" i="2" s="1"/>
  <c r="C279" i="2" a="1"/>
  <c r="C279" i="2" s="1"/>
  <c r="C172" i="2" a="1"/>
  <c r="C172" i="2" s="1"/>
  <c r="C265" i="2" a="1"/>
  <c r="C265" i="2" s="1"/>
  <c r="C272" i="2" a="1"/>
  <c r="C272" i="2" s="1"/>
  <c r="C148" i="2" a="1"/>
  <c r="C148" i="2" s="1"/>
  <c r="C158" i="2" a="1"/>
  <c r="C158" i="2" s="1"/>
  <c r="C141" i="2" a="1"/>
  <c r="C141" i="2" s="1"/>
  <c r="C45" i="2" a="1"/>
  <c r="C45" i="2" s="1"/>
  <c r="C298" i="2" a="1"/>
  <c r="C298" i="2" s="1"/>
  <c r="C149" i="2" a="1"/>
  <c r="C149" i="2" s="1"/>
  <c r="C110" i="2" a="1"/>
  <c r="C110" i="2" s="1"/>
  <c r="C130" i="2" a="1"/>
  <c r="C130" i="2" s="1"/>
  <c r="C155" i="2" a="1"/>
  <c r="C155" i="2" s="1"/>
  <c r="C81" i="2" a="1"/>
  <c r="C81" i="2" s="1"/>
  <c r="C207" i="2" a="1"/>
  <c r="C207" i="2" s="1"/>
  <c r="C138" i="2" a="1"/>
  <c r="C138" i="2" s="1"/>
  <c r="C243" i="2" a="1"/>
  <c r="C243" i="2" s="1"/>
  <c r="C180" i="2" a="1"/>
  <c r="C180" i="2" s="1"/>
  <c r="C244" i="2" a="1"/>
  <c r="C244" i="2" s="1"/>
  <c r="C178" i="2" a="1"/>
  <c r="C178" i="2" s="1"/>
  <c r="C303" i="2" a="1"/>
  <c r="C303" i="2" s="1"/>
  <c r="C161" i="2" a="1"/>
  <c r="C161" i="2" s="1"/>
  <c r="C311" i="2" a="1"/>
  <c r="C311" i="2" s="1"/>
  <c r="C169" i="2" a="1"/>
  <c r="C169" i="2" s="1"/>
  <c r="C189" i="2" a="1"/>
  <c r="C189" i="2" s="1"/>
  <c r="C289" i="2" a="1"/>
  <c r="C289" i="2" s="1"/>
  <c r="C74" i="2" a="1"/>
  <c r="C74" i="2" s="1"/>
  <c r="C55" i="2" a="1"/>
  <c r="C55" i="2" s="1"/>
  <c r="C195" i="2" a="1"/>
  <c r="C195" i="2" s="1"/>
  <c r="C274" i="2" a="1"/>
  <c r="C274" i="2" s="1"/>
  <c r="C248" i="2" a="1"/>
  <c r="C248" i="2" s="1"/>
  <c r="D59" i="6"/>
  <c r="E59" i="6" s="1"/>
  <c r="C48" i="2" a="1"/>
  <c r="C48" i="2" s="1"/>
  <c r="C313" i="2" a="1"/>
  <c r="C313" i="2" s="1"/>
  <c r="C105" i="2" a="1"/>
  <c r="C105" i="2" s="1"/>
  <c r="C224" i="2" a="1"/>
  <c r="C224" i="2" s="1"/>
  <c r="C304" i="2" a="1"/>
  <c r="C304" i="2" s="1"/>
  <c r="C315" i="2" a="1"/>
  <c r="C315" i="2" s="1"/>
  <c r="C87" i="2" a="1"/>
  <c r="C87" i="2" s="1"/>
  <c r="C214" i="2" a="1"/>
  <c r="C214" i="2" s="1"/>
  <c r="C135" i="2" a="1"/>
  <c r="C135" i="2" s="1"/>
  <c r="C41" i="2" a="1"/>
  <c r="C41" i="2" s="1"/>
  <c r="C183" i="2" a="1"/>
  <c r="C183" i="2" s="1"/>
  <c r="C268" i="2" a="1"/>
  <c r="C268" i="2" s="1"/>
  <c r="C134" i="2" a="1"/>
  <c r="C134" i="2" s="1"/>
  <c r="C70" i="2" a="1"/>
  <c r="C70" i="2" s="1"/>
  <c r="C106" i="2" a="1"/>
  <c r="C106" i="2" s="1"/>
  <c r="C68" i="2" a="1"/>
  <c r="C68" i="2" s="1"/>
  <c r="C152" i="2" a="1"/>
  <c r="C152" i="2" s="1"/>
  <c r="C92" i="2" a="1"/>
  <c r="C92" i="2" s="1"/>
  <c r="C107" i="2" a="1"/>
  <c r="C107" i="2" s="1"/>
  <c r="C73" i="2" a="1"/>
  <c r="C73" i="2" s="1"/>
  <c r="C168" i="2" a="1"/>
  <c r="C168" i="2" s="1"/>
  <c r="C246" i="2" a="1"/>
  <c r="C246" i="2" s="1"/>
  <c r="C253" i="2" a="1"/>
  <c r="C253" i="2" s="1"/>
  <c r="C76" i="2" a="1"/>
  <c r="C76" i="2" s="1"/>
  <c r="C232" i="2" a="1"/>
  <c r="C232" i="2" s="1"/>
  <c r="C131" i="2" a="1"/>
  <c r="C131" i="2" s="1"/>
  <c r="C113" i="2" a="1"/>
  <c r="C113" i="2" s="1"/>
  <c r="C65" i="2" a="1"/>
  <c r="C65" i="2" s="1"/>
  <c r="C142" i="2" a="1"/>
  <c r="C142" i="2" s="1"/>
  <c r="C117" i="2" a="1"/>
  <c r="C117" i="2" s="1"/>
  <c r="C188" i="2" a="1"/>
  <c r="C188" i="2" s="1"/>
  <c r="C284" i="2" a="1"/>
  <c r="C284" i="2" s="1"/>
  <c r="C301" i="2" a="1"/>
  <c r="C301" i="2" s="1"/>
  <c r="C153" i="2" a="1"/>
  <c r="C153" i="2" s="1"/>
  <c r="C181" i="2" a="1"/>
  <c r="C181" i="2" s="1"/>
  <c r="D120" i="6"/>
  <c r="E120" i="6" s="1"/>
  <c r="C280" i="2" a="1"/>
  <c r="C280" i="2" s="1"/>
  <c r="D58" i="6"/>
  <c r="E58" i="6" s="1"/>
  <c r="C312" i="2" a="1"/>
  <c r="C312" i="2" s="1"/>
  <c r="C160" i="2" a="1"/>
  <c r="C160" i="2" s="1"/>
  <c r="C150" i="2" a="1"/>
  <c r="C150" i="2" s="1"/>
  <c r="C94" i="2" a="1"/>
  <c r="C94" i="2" s="1"/>
  <c r="C226" i="2" a="1"/>
  <c r="C226" i="2" s="1"/>
  <c r="C50" i="2" a="1"/>
  <c r="C50" i="2" s="1"/>
  <c r="C242" i="2" a="1"/>
  <c r="C242" i="2" s="1"/>
  <c r="C254" i="2" a="1"/>
  <c r="C254" i="2" s="1"/>
  <c r="C255" i="2" a="1"/>
  <c r="C255" i="2" s="1"/>
  <c r="C245" i="2" a="1"/>
  <c r="C245" i="2" s="1"/>
  <c r="C64" i="2" a="1"/>
  <c r="C64" i="2" s="1"/>
  <c r="C129" i="2" a="1"/>
  <c r="C129" i="2" s="1"/>
  <c r="C287" i="2" a="1"/>
  <c r="C287" i="2" s="1"/>
  <c r="C37" i="2" a="1"/>
  <c r="C37" i="2" s="1"/>
  <c r="C300" i="2" a="1"/>
  <c r="C300" i="2" s="1"/>
  <c r="C144" i="2" a="1"/>
  <c r="C144" i="2" s="1"/>
  <c r="C57" i="2" a="1"/>
  <c r="C57" i="2" s="1"/>
  <c r="C62" i="2" a="1"/>
  <c r="C62" i="2" s="1"/>
  <c r="C44" i="2" a="1"/>
  <c r="C44" i="2" s="1"/>
  <c r="C162" i="2" a="1"/>
  <c r="C162" i="2" s="1"/>
  <c r="C164" i="2" a="1"/>
  <c r="C164" i="2" s="1"/>
  <c r="C223" i="2" a="1"/>
  <c r="C223" i="2" s="1"/>
  <c r="C193" i="2" a="1"/>
  <c r="C193" i="2" s="1"/>
  <c r="C213" i="2" a="1"/>
  <c r="C213" i="2" s="1"/>
  <c r="C185" i="2" a="1"/>
  <c r="C185" i="2" s="1"/>
  <c r="C316" i="2" a="1"/>
  <c r="C316" i="2" s="1"/>
  <c r="C88" i="2" a="1"/>
  <c r="C88" i="2" s="1"/>
  <c r="D60" i="6"/>
  <c r="E60" i="6" s="1"/>
  <c r="C123" i="2" a="1"/>
  <c r="C123" i="2" s="1"/>
  <c r="C225" i="2" a="1"/>
  <c r="C225" i="2" s="1"/>
  <c r="C249" i="2" a="1"/>
  <c r="C249" i="2" s="1"/>
  <c r="C66" i="2" a="1"/>
  <c r="C66" i="2" s="1"/>
  <c r="D121" i="6"/>
  <c r="E121" i="6" s="1"/>
  <c r="C221" i="2" a="1"/>
  <c r="C221" i="2" s="1"/>
  <c r="C91" i="2" a="1"/>
  <c r="C91" i="2" s="1"/>
  <c r="C314" i="2" a="1"/>
  <c r="C314" i="2" s="1"/>
  <c r="C310" i="2" a="1"/>
  <c r="C310" i="2" s="1"/>
  <c r="C128" i="2" a="1"/>
  <c r="C128" i="2" s="1"/>
  <c r="C258" i="2" a="1"/>
  <c r="C258" i="2" s="1"/>
  <c r="C259" i="2" a="1"/>
  <c r="C259" i="2" s="1"/>
  <c r="C308" i="2" a="1"/>
  <c r="C308" i="2" s="1"/>
  <c r="C179" i="2" a="1"/>
  <c r="C179" i="2" s="1"/>
  <c r="C299" i="2" a="1"/>
  <c r="C299" i="2" s="1"/>
  <c r="C102" i="2" a="1"/>
  <c r="C102" i="2" s="1"/>
  <c r="C75" i="2" a="1"/>
  <c r="C75" i="2" s="1"/>
  <c r="C239" i="2" a="1"/>
  <c r="C239" i="2" s="1"/>
  <c r="C163" i="2" a="1"/>
  <c r="C163" i="2" s="1"/>
  <c r="C63" i="2" a="1"/>
  <c r="C63" i="2" s="1"/>
  <c r="C251" i="2" a="1"/>
  <c r="C251" i="2" s="1"/>
  <c r="C59" i="2" a="1"/>
  <c r="C59" i="2" s="1"/>
  <c r="C302" i="2" a="1"/>
  <c r="C302" i="2" s="1"/>
  <c r="C115" i="2" a="1"/>
  <c r="C115" i="2" s="1"/>
  <c r="C42" i="2" a="1"/>
  <c r="C42" i="2" s="1"/>
  <c r="C278" i="2" a="1"/>
  <c r="C278" i="2" s="1"/>
  <c r="C295" i="2" a="1"/>
  <c r="C295" i="2" s="1"/>
  <c r="C78" i="2" a="1"/>
  <c r="C78" i="2" s="1"/>
  <c r="C200" i="2" a="1"/>
  <c r="C200" i="2" s="1"/>
  <c r="C175" i="2" a="1"/>
  <c r="C175" i="2" s="1"/>
  <c r="C159" i="2" a="1"/>
  <c r="C159" i="2" s="1"/>
  <c r="C208" i="2" a="1"/>
  <c r="C208" i="2" s="1"/>
  <c r="C54" i="2" a="1"/>
  <c r="C54" i="2" s="1"/>
  <c r="C230" i="2" a="1"/>
  <c r="C230" i="2" s="1"/>
  <c r="AR6" i="2" l="1"/>
  <c r="C1" i="2"/>
  <c r="AR7" i="2"/>
  <c r="AK213" i="2"/>
  <c r="AQ213" i="2"/>
  <c r="AK163" i="2"/>
  <c r="AQ163" i="2"/>
  <c r="AK242" i="2"/>
  <c r="AQ242" i="2"/>
  <c r="AK304" i="2"/>
  <c r="AQ304" i="2"/>
  <c r="AK266" i="2"/>
  <c r="AQ266" i="2"/>
  <c r="AK296" i="2"/>
  <c r="AQ296" i="2"/>
  <c r="AK147" i="2"/>
  <c r="AK262" i="2"/>
  <c r="AQ262" i="2"/>
  <c r="AK67" i="2"/>
  <c r="AK122" i="2"/>
  <c r="AK230" i="2"/>
  <c r="AK278" i="2"/>
  <c r="AQ278" i="2"/>
  <c r="AK239" i="2"/>
  <c r="AQ239" i="2"/>
  <c r="AK128" i="2"/>
  <c r="AQ128" i="2"/>
  <c r="AK225" i="2"/>
  <c r="AK223" i="2"/>
  <c r="AK37" i="2"/>
  <c r="AQ37" i="2"/>
  <c r="AK50" i="2"/>
  <c r="AK65" i="2"/>
  <c r="AK73" i="2"/>
  <c r="AQ73" i="2"/>
  <c r="AK268" i="2"/>
  <c r="AQ268" i="2"/>
  <c r="AK224" i="2"/>
  <c r="AQ224" i="2"/>
  <c r="AK55" i="2"/>
  <c r="AQ55" i="2"/>
  <c r="AK178" i="2"/>
  <c r="AK130" i="2"/>
  <c r="AQ130" i="2"/>
  <c r="AK272" i="2"/>
  <c r="AQ272" i="2"/>
  <c r="AK171" i="2"/>
  <c r="AK143" i="2"/>
  <c r="AQ143" i="2"/>
  <c r="AK273" i="2"/>
  <c r="AQ273" i="2"/>
  <c r="AK51" i="2"/>
  <c r="AK212" i="2"/>
  <c r="AK114" i="2"/>
  <c r="AK276" i="2"/>
  <c r="AQ276" i="2"/>
  <c r="AK198" i="2"/>
  <c r="AQ198" i="2"/>
  <c r="AK86" i="2"/>
  <c r="AQ86" i="2"/>
  <c r="AK118" i="2"/>
  <c r="AQ118" i="2"/>
  <c r="AK176" i="2"/>
  <c r="AK101" i="2"/>
  <c r="AK216" i="2"/>
  <c r="AK84" i="2"/>
  <c r="AK38" i="2"/>
  <c r="AK96" i="2"/>
  <c r="AQ96" i="2"/>
  <c r="AK250" i="2"/>
  <c r="AQ250" i="2"/>
  <c r="AK238" i="2"/>
  <c r="AQ238" i="2"/>
  <c r="AK292" i="2"/>
  <c r="AQ292" i="2"/>
  <c r="AK66" i="2"/>
  <c r="AK295" i="2"/>
  <c r="AQ295" i="2"/>
  <c r="AK300" i="2"/>
  <c r="AQ300" i="2"/>
  <c r="AK195" i="2"/>
  <c r="AK286" i="2"/>
  <c r="AQ286" i="2"/>
  <c r="AK231" i="2"/>
  <c r="AQ231" i="2"/>
  <c r="AK267" i="2"/>
  <c r="AQ267" i="2"/>
  <c r="AK290" i="2"/>
  <c r="AQ290" i="2"/>
  <c r="AK89" i="2"/>
  <c r="AQ89" i="2"/>
  <c r="AK42" i="2"/>
  <c r="AK75" i="2"/>
  <c r="AK310" i="2"/>
  <c r="AQ310" i="2"/>
  <c r="AK123" i="2"/>
  <c r="AQ123" i="2"/>
  <c r="AK164" i="2"/>
  <c r="AK287" i="2"/>
  <c r="AQ287" i="2"/>
  <c r="AK226" i="2"/>
  <c r="AK181" i="2"/>
  <c r="AK113" i="2"/>
  <c r="AQ113" i="2"/>
  <c r="AK107" i="2"/>
  <c r="AQ107" i="2"/>
  <c r="AK183" i="2"/>
  <c r="AQ183" i="2"/>
  <c r="AK105" i="2"/>
  <c r="AK74" i="2"/>
  <c r="AK244" i="2"/>
  <c r="AQ244" i="2"/>
  <c r="AK110" i="2"/>
  <c r="AQ110" i="2"/>
  <c r="AK265" i="2"/>
  <c r="AQ265" i="2"/>
  <c r="AK201" i="2"/>
  <c r="AQ201" i="2"/>
  <c r="AK71" i="2"/>
  <c r="AK85" i="2"/>
  <c r="AK252" i="2"/>
  <c r="AQ252" i="2"/>
  <c r="AK229" i="2"/>
  <c r="AQ229" i="2"/>
  <c r="AK307" i="2"/>
  <c r="AQ307" i="2"/>
  <c r="AK99" i="2"/>
  <c r="AK119" i="2"/>
  <c r="AK80" i="2"/>
  <c r="AK100" i="2"/>
  <c r="AQ100" i="2"/>
  <c r="AK215" i="2"/>
  <c r="AK222" i="2"/>
  <c r="AK187" i="2"/>
  <c r="AQ187" i="2"/>
  <c r="AK156" i="2"/>
  <c r="AK204" i="2"/>
  <c r="AQ204" i="2"/>
  <c r="AK206" i="2"/>
  <c r="AK98" i="2"/>
  <c r="AQ98" i="2"/>
  <c r="AK83" i="2"/>
  <c r="AK144" i="2"/>
  <c r="AK258" i="2"/>
  <c r="AQ258" i="2"/>
  <c r="AK280" i="2"/>
  <c r="AQ280" i="2"/>
  <c r="AK303" i="2"/>
  <c r="AQ303" i="2"/>
  <c r="AK53" i="2"/>
  <c r="AK133" i="2"/>
  <c r="AQ133" i="2"/>
  <c r="AK79" i="2"/>
  <c r="AK257" i="2"/>
  <c r="AQ257" i="2"/>
  <c r="AK137" i="2"/>
  <c r="AQ137" i="2"/>
  <c r="AK54" i="2"/>
  <c r="AK208" i="2"/>
  <c r="AK115" i="2"/>
  <c r="AK102" i="2"/>
  <c r="AQ102" i="2"/>
  <c r="AK314" i="2"/>
  <c r="AQ314" i="2"/>
  <c r="AK162" i="2"/>
  <c r="AK129" i="2"/>
  <c r="AK94" i="2"/>
  <c r="AQ94" i="2"/>
  <c r="AK153" i="2"/>
  <c r="AQ153" i="2"/>
  <c r="AK131" i="2"/>
  <c r="AK92" i="2"/>
  <c r="AQ92" i="2"/>
  <c r="AK41" i="2"/>
  <c r="AQ41" i="2"/>
  <c r="AK313" i="2"/>
  <c r="AQ313" i="2"/>
  <c r="AK289" i="2"/>
  <c r="AQ289" i="2"/>
  <c r="AK180" i="2"/>
  <c r="AQ180" i="2"/>
  <c r="AK149" i="2"/>
  <c r="AK172" i="2"/>
  <c r="AQ172" i="2"/>
  <c r="AK197" i="2"/>
  <c r="AK139" i="2"/>
  <c r="AK235" i="2"/>
  <c r="AQ235" i="2"/>
  <c r="AK35" i="2"/>
  <c r="AQ35" i="2"/>
  <c r="AQ34" i="2"/>
  <c r="AK190" i="2"/>
  <c r="AK241" i="2"/>
  <c r="AQ241" i="2"/>
  <c r="AK184" i="2"/>
  <c r="AK194" i="2"/>
  <c r="AK151" i="2"/>
  <c r="AK288" i="2"/>
  <c r="AQ288" i="2"/>
  <c r="AK104" i="2"/>
  <c r="AK77" i="2"/>
  <c r="AK95" i="2"/>
  <c r="AK199" i="2"/>
  <c r="AK217" i="2"/>
  <c r="AK281" i="2"/>
  <c r="AQ281" i="2"/>
  <c r="AK103" i="2"/>
  <c r="AK285" i="2"/>
  <c r="AQ285" i="2"/>
  <c r="AK157" i="2"/>
  <c r="AQ157" i="2"/>
  <c r="AK134" i="2"/>
  <c r="AK52" i="2"/>
  <c r="AQ52" i="2"/>
  <c r="AK88" i="2"/>
  <c r="AK301" i="2"/>
  <c r="AQ301" i="2"/>
  <c r="AK152" i="2"/>
  <c r="AK135" i="2"/>
  <c r="AQ135" i="2"/>
  <c r="AK48" i="2"/>
  <c r="AQ48" i="2"/>
  <c r="AK189" i="2"/>
  <c r="AQ189" i="2"/>
  <c r="AK243" i="2"/>
  <c r="AQ243" i="2"/>
  <c r="AK298" i="2"/>
  <c r="AQ298" i="2"/>
  <c r="AK279" i="2"/>
  <c r="AQ279" i="2"/>
  <c r="AK209" i="2"/>
  <c r="AK108" i="2"/>
  <c r="AQ108" i="2"/>
  <c r="AK237" i="2"/>
  <c r="AQ237" i="2"/>
  <c r="AK93" i="2"/>
  <c r="AQ93" i="2"/>
  <c r="AK170" i="2"/>
  <c r="AK305" i="2"/>
  <c r="AQ305" i="2"/>
  <c r="AK277" i="2"/>
  <c r="AQ277" i="2"/>
  <c r="AK40" i="2"/>
  <c r="AK36" i="2"/>
  <c r="AK282" i="2"/>
  <c r="AQ282" i="2"/>
  <c r="AK174" i="2"/>
  <c r="AK121" i="2"/>
  <c r="AQ121" i="2"/>
  <c r="AK61" i="2"/>
  <c r="AQ61" i="2"/>
  <c r="AK270" i="2"/>
  <c r="AQ270" i="2"/>
  <c r="AK210" i="2"/>
  <c r="AQ210" i="2"/>
  <c r="AK112" i="2"/>
  <c r="AK263" i="2"/>
  <c r="AQ263" i="2"/>
  <c r="AK154" i="2"/>
  <c r="AK177" i="2"/>
  <c r="AQ177" i="2"/>
  <c r="AK78" i="2"/>
  <c r="AQ78" i="2"/>
  <c r="AK259" i="2"/>
  <c r="AQ259" i="2"/>
  <c r="AK249" i="2"/>
  <c r="AQ249" i="2"/>
  <c r="AK142" i="2"/>
  <c r="AK155" i="2"/>
  <c r="AQ155" i="2"/>
  <c r="AK166" i="2"/>
  <c r="AK302" i="2"/>
  <c r="AQ302" i="2"/>
  <c r="AK91" i="2"/>
  <c r="AK64" i="2"/>
  <c r="AQ64" i="2"/>
  <c r="AK232" i="2"/>
  <c r="AQ232" i="2"/>
  <c r="AK59" i="2"/>
  <c r="AK221" i="2"/>
  <c r="AK316" i="2"/>
  <c r="AQ316" i="2"/>
  <c r="AK62" i="2"/>
  <c r="AK245" i="2"/>
  <c r="AQ245" i="2"/>
  <c r="AK160" i="2"/>
  <c r="AK284" i="2"/>
  <c r="AQ284" i="2"/>
  <c r="AK76" i="2"/>
  <c r="AK68" i="2"/>
  <c r="AK214" i="2"/>
  <c r="AK169" i="2"/>
  <c r="AQ169" i="2"/>
  <c r="AK138" i="2"/>
  <c r="AK45" i="2"/>
  <c r="AK49" i="2"/>
  <c r="AK256" i="2"/>
  <c r="AQ256" i="2"/>
  <c r="AK291" i="2"/>
  <c r="AQ291" i="2"/>
  <c r="AK140" i="2"/>
  <c r="AQ140" i="2"/>
  <c r="AK293" i="2"/>
  <c r="AQ293" i="2"/>
  <c r="AK260" i="2"/>
  <c r="AQ260" i="2"/>
  <c r="AK264" i="2"/>
  <c r="AQ264" i="2"/>
  <c r="AK173" i="2"/>
  <c r="AK90" i="2"/>
  <c r="AQ90" i="2"/>
  <c r="AK306" i="2"/>
  <c r="AQ306" i="2"/>
  <c r="AK165" i="2"/>
  <c r="AQ165" i="2"/>
  <c r="AK283" i="2"/>
  <c r="AQ283" i="2"/>
  <c r="AK47" i="2"/>
  <c r="AK126" i="2"/>
  <c r="AQ126" i="2"/>
  <c r="AK182" i="2"/>
  <c r="AK82" i="2"/>
  <c r="AK218" i="2"/>
  <c r="AQ218" i="2"/>
  <c r="AK136" i="2"/>
  <c r="AK109" i="2"/>
  <c r="AK261" i="2"/>
  <c r="AQ261" i="2"/>
  <c r="AK63" i="2"/>
  <c r="AK254" i="2"/>
  <c r="AQ254" i="2"/>
  <c r="AK193" i="2"/>
  <c r="AK168" i="2"/>
  <c r="AK148" i="2"/>
  <c r="AK271" i="2"/>
  <c r="AQ271" i="2"/>
  <c r="AK159" i="2"/>
  <c r="AQ159" i="2"/>
  <c r="AK299" i="2"/>
  <c r="AQ299" i="2"/>
  <c r="AK44" i="2"/>
  <c r="AK150" i="2"/>
  <c r="AQ150" i="2"/>
  <c r="AK175" i="2"/>
  <c r="AQ175" i="2"/>
  <c r="AK179" i="2"/>
  <c r="AK200" i="2"/>
  <c r="AQ200" i="2"/>
  <c r="AK251" i="2"/>
  <c r="AQ251" i="2"/>
  <c r="AK308" i="2"/>
  <c r="AQ308" i="2"/>
  <c r="AK185" i="2"/>
  <c r="AQ185" i="2"/>
  <c r="AK57" i="2"/>
  <c r="AK255" i="2"/>
  <c r="AQ255" i="2"/>
  <c r="AK312" i="2"/>
  <c r="AQ312" i="2"/>
  <c r="AK188" i="2"/>
  <c r="AK253" i="2"/>
  <c r="AQ253" i="2"/>
  <c r="AK106" i="2"/>
  <c r="AK87" i="2"/>
  <c r="AK248" i="2"/>
  <c r="AQ248" i="2"/>
  <c r="AK311" i="2"/>
  <c r="AQ311" i="2"/>
  <c r="AK207" i="2"/>
  <c r="AQ207" i="2"/>
  <c r="AK141" i="2"/>
  <c r="AK120" i="2"/>
  <c r="AQ120" i="2"/>
  <c r="AK234" i="2"/>
  <c r="AQ234" i="2"/>
  <c r="AK191" i="2"/>
  <c r="AQ191" i="2"/>
  <c r="AK58" i="2"/>
  <c r="AQ58" i="2"/>
  <c r="AK111" i="2"/>
  <c r="AK233" i="2"/>
  <c r="AQ233" i="2"/>
  <c r="AK297" i="2"/>
  <c r="AQ297" i="2"/>
  <c r="AK46" i="2"/>
  <c r="AQ46" i="2"/>
  <c r="AK72" i="2"/>
  <c r="AK60" i="2"/>
  <c r="AK69" i="2"/>
  <c r="AK186" i="2"/>
  <c r="AK236" i="2"/>
  <c r="AQ236" i="2"/>
  <c r="AK116" i="2"/>
  <c r="AQ116" i="2"/>
  <c r="AK275" i="2"/>
  <c r="AQ275" i="2"/>
  <c r="AK211" i="2"/>
  <c r="AK127" i="2"/>
  <c r="AK203" i="2"/>
  <c r="AQ202" i="2"/>
  <c r="AK167" i="2"/>
  <c r="AQ167" i="2"/>
  <c r="AK205" i="2"/>
  <c r="AK117" i="2"/>
  <c r="AK246" i="2"/>
  <c r="AQ246" i="2"/>
  <c r="AK70" i="2"/>
  <c r="AQ70" i="2"/>
  <c r="AK315" i="2"/>
  <c r="AQ315" i="2"/>
  <c r="AK274" i="2"/>
  <c r="AQ274" i="2"/>
  <c r="AK161" i="2"/>
  <c r="AQ161" i="2"/>
  <c r="I60" i="6" s="1"/>
  <c r="AK81" i="2"/>
  <c r="AQ81" i="2"/>
  <c r="AK158" i="2"/>
  <c r="AK97" i="2"/>
  <c r="AK220" i="2"/>
  <c r="AK219" i="2"/>
  <c r="AK146" i="2"/>
  <c r="AQ146" i="2"/>
  <c r="AK269" i="2"/>
  <c r="AQ269" i="2"/>
  <c r="AK228" i="2"/>
  <c r="AK124" i="2"/>
  <c r="AQ124" i="2"/>
  <c r="AK56" i="2"/>
  <c r="AQ56" i="2"/>
  <c r="AK240" i="2"/>
  <c r="AQ240" i="2"/>
  <c r="AK294" i="2"/>
  <c r="AQ294" i="2"/>
  <c r="AK132" i="2"/>
  <c r="AK227" i="2"/>
  <c r="AK247" i="2"/>
  <c r="AQ247" i="2"/>
  <c r="AK196" i="2"/>
  <c r="AK43" i="2"/>
  <c r="AQ43" i="2"/>
  <c r="AK192" i="2"/>
  <c r="AK39" i="2"/>
  <c r="AQ39" i="2"/>
  <c r="AK309" i="2"/>
  <c r="AQ309" i="2"/>
  <c r="AK125" i="2"/>
  <c r="AK145" i="2"/>
  <c r="F3" i="6" a="1"/>
  <c r="F3" i="6" s="1"/>
  <c r="F17" i="6" a="1"/>
  <c r="F17" i="6" s="1"/>
  <c r="F92" i="6" a="1"/>
  <c r="F92" i="6" s="1"/>
  <c r="A17" i="6" a="1"/>
  <c r="A17" i="6" s="1"/>
  <c r="A45" i="6" a="1"/>
  <c r="A45" i="6" s="1"/>
  <c r="F31" i="6" a="1"/>
  <c r="F31" i="6" s="1"/>
  <c r="A106" i="6" a="1"/>
  <c r="A106" i="6" s="1"/>
  <c r="F78" i="6" a="1"/>
  <c r="F78" i="6" s="1"/>
  <c r="A78" i="6" a="1"/>
  <c r="A78" i="6" s="1"/>
  <c r="X321" i="2" a="1"/>
  <c r="X321" i="2" s="1"/>
  <c r="A92" i="6" a="1"/>
  <c r="A92" i="6" s="1"/>
  <c r="F106" i="6" a="1"/>
  <c r="F106" i="6" s="1"/>
  <c r="F45" i="6" a="1"/>
  <c r="F45" i="6" s="1"/>
  <c r="A64" i="6" a="1"/>
  <c r="A64" i="6" s="1"/>
  <c r="A31" i="6" a="1"/>
  <c r="A31" i="6" s="1"/>
  <c r="F64" i="6" a="1"/>
  <c r="F64" i="6" s="1"/>
  <c r="AM81" i="2"/>
  <c r="AR8" i="2" l="1"/>
  <c r="AQ36" i="2"/>
  <c r="AL309" i="2"/>
  <c r="AR309" i="2"/>
  <c r="AL196" i="2"/>
  <c r="AL294" i="2"/>
  <c r="AR294" i="2"/>
  <c r="AL228" i="2"/>
  <c r="AL220" i="2"/>
  <c r="AL161" i="2"/>
  <c r="AR161" i="2"/>
  <c r="AL246" i="2"/>
  <c r="AR246" i="2"/>
  <c r="AL139" i="2"/>
  <c r="AL180" i="2"/>
  <c r="AR180" i="2"/>
  <c r="AL92" i="2"/>
  <c r="AR92" i="2"/>
  <c r="AL129" i="2"/>
  <c r="AL115" i="2"/>
  <c r="AL257" i="2"/>
  <c r="AR257" i="2"/>
  <c r="AL303" i="2"/>
  <c r="AR303" i="2"/>
  <c r="AL83" i="2"/>
  <c r="AL156" i="2"/>
  <c r="AL100" i="2"/>
  <c r="AR100" i="2"/>
  <c r="AL307" i="2"/>
  <c r="AR307" i="2"/>
  <c r="AL71" i="2"/>
  <c r="AL244" i="2"/>
  <c r="AR244" i="2"/>
  <c r="AL107" i="2"/>
  <c r="AR107" i="2"/>
  <c r="AL287" i="2"/>
  <c r="AR287" i="2"/>
  <c r="AL75" i="2"/>
  <c r="AL267" i="2"/>
  <c r="AR267" i="2"/>
  <c r="AL300" i="2"/>
  <c r="AR300" i="2"/>
  <c r="AL238" i="2"/>
  <c r="AR238" i="2"/>
  <c r="AL84" i="2"/>
  <c r="AL118" i="2"/>
  <c r="AR118" i="2"/>
  <c r="AL114" i="2"/>
  <c r="AL143" i="2"/>
  <c r="AR143" i="2"/>
  <c r="AL178" i="2"/>
  <c r="AL73" i="2"/>
  <c r="AR73" i="2"/>
  <c r="AL223" i="2"/>
  <c r="AL278" i="2"/>
  <c r="AR278" i="2"/>
  <c r="AL262" i="2"/>
  <c r="AR262" i="2"/>
  <c r="AL304" i="2"/>
  <c r="AR304" i="2"/>
  <c r="AL69" i="2"/>
  <c r="AL106" i="2"/>
  <c r="AL271" i="2"/>
  <c r="AR271" i="2"/>
  <c r="AL260" i="2"/>
  <c r="AR260" i="2"/>
  <c r="AL64" i="2"/>
  <c r="AR64" i="2"/>
  <c r="AL93" i="2"/>
  <c r="AR93" i="2"/>
  <c r="AL203" i="2"/>
  <c r="AR202" i="2"/>
  <c r="AL116" i="2"/>
  <c r="AR116" i="2"/>
  <c r="AL60" i="2"/>
  <c r="AL233" i="2"/>
  <c r="AR233" i="2"/>
  <c r="AL234" i="2"/>
  <c r="AR234" i="2"/>
  <c r="AL311" i="2"/>
  <c r="AR311" i="2"/>
  <c r="AL253" i="2"/>
  <c r="AR253" i="2"/>
  <c r="AL57" i="2"/>
  <c r="AL200" i="2"/>
  <c r="AR200" i="2"/>
  <c r="AL44" i="2"/>
  <c r="AL148" i="2"/>
  <c r="AL63" i="2"/>
  <c r="AL218" i="2"/>
  <c r="AR218" i="2"/>
  <c r="AL47" i="2"/>
  <c r="AL90" i="2"/>
  <c r="AR90" i="2"/>
  <c r="AL293" i="2"/>
  <c r="AR293" i="2"/>
  <c r="AL49" i="2"/>
  <c r="AL214" i="2"/>
  <c r="AL160" i="2"/>
  <c r="AL221" i="2"/>
  <c r="AL91" i="2"/>
  <c r="AL142" i="2"/>
  <c r="AL177" i="2"/>
  <c r="AR177" i="2"/>
  <c r="AL210" i="2"/>
  <c r="AR210" i="2"/>
  <c r="AL174" i="2"/>
  <c r="AL277" i="2"/>
  <c r="AR277" i="2"/>
  <c r="AL237" i="2"/>
  <c r="AR237" i="2"/>
  <c r="AL298" i="2"/>
  <c r="AR298" i="2"/>
  <c r="AL135" i="2"/>
  <c r="AR135" i="2"/>
  <c r="AL52" i="2"/>
  <c r="AR52" i="2"/>
  <c r="AL103" i="2"/>
  <c r="AL95" i="2"/>
  <c r="AL151" i="2"/>
  <c r="AL190" i="2"/>
  <c r="AL169" i="2"/>
  <c r="AR169" i="2"/>
  <c r="AL97" i="2"/>
  <c r="AL197" i="2"/>
  <c r="AL289" i="2"/>
  <c r="AR289" i="2"/>
  <c r="AL131" i="2"/>
  <c r="AL162" i="2"/>
  <c r="AL208" i="2"/>
  <c r="AL79" i="2"/>
  <c r="AL280" i="2"/>
  <c r="AR280" i="2"/>
  <c r="AL98" i="2"/>
  <c r="AR98" i="2"/>
  <c r="AL187" i="2"/>
  <c r="AR187" i="2"/>
  <c r="AL80" i="2"/>
  <c r="AL229" i="2"/>
  <c r="AR229" i="2"/>
  <c r="AL201" i="2"/>
  <c r="AR201" i="2"/>
  <c r="AL74" i="2"/>
  <c r="AL113" i="2"/>
  <c r="AR113" i="2"/>
  <c r="AL164" i="2"/>
  <c r="AL42" i="2"/>
  <c r="AL231" i="2"/>
  <c r="AR231" i="2"/>
  <c r="AL295" i="2"/>
  <c r="AR295" i="2"/>
  <c r="AL250" i="2"/>
  <c r="AR250" i="2"/>
  <c r="AL216" i="2"/>
  <c r="AL86" i="2"/>
  <c r="AR86" i="2"/>
  <c r="AL212" i="2"/>
  <c r="AL171" i="2"/>
  <c r="AL55" i="2"/>
  <c r="AR55" i="2"/>
  <c r="AL65" i="2"/>
  <c r="AL225" i="2"/>
  <c r="AL230" i="2"/>
  <c r="AL147" i="2"/>
  <c r="AL242" i="2"/>
  <c r="AR242" i="2"/>
  <c r="AL207" i="2"/>
  <c r="AR207" i="2"/>
  <c r="AL150" i="2"/>
  <c r="AR150" i="2"/>
  <c r="AL126" i="2"/>
  <c r="AR126" i="2"/>
  <c r="AL316" i="2"/>
  <c r="AR316" i="2"/>
  <c r="AL112" i="2"/>
  <c r="AL279" i="2"/>
  <c r="AR279" i="2"/>
  <c r="AL199" i="2"/>
  <c r="AL240" i="2"/>
  <c r="AR240" i="2"/>
  <c r="AL117" i="2"/>
  <c r="AL127" i="2"/>
  <c r="AL236" i="2"/>
  <c r="AR236" i="2"/>
  <c r="AL72" i="2"/>
  <c r="AL111" i="2"/>
  <c r="AL120" i="2"/>
  <c r="AR120" i="2"/>
  <c r="AL248" i="2"/>
  <c r="AR248" i="2"/>
  <c r="AL188" i="2"/>
  <c r="AL185" i="2"/>
  <c r="AR185" i="2"/>
  <c r="AL179" i="2"/>
  <c r="AL299" i="2"/>
  <c r="AR299" i="2"/>
  <c r="AL168" i="2"/>
  <c r="AL261" i="2"/>
  <c r="AR261" i="2"/>
  <c r="AL82" i="2"/>
  <c r="AL283" i="2"/>
  <c r="AR283" i="2"/>
  <c r="AL173" i="2"/>
  <c r="AL140" i="2"/>
  <c r="AR140" i="2"/>
  <c r="AL45" i="2"/>
  <c r="AL68" i="2"/>
  <c r="AL245" i="2"/>
  <c r="AR245" i="2"/>
  <c r="AL59" i="2"/>
  <c r="AL302" i="2"/>
  <c r="AR302" i="2"/>
  <c r="AL249" i="2"/>
  <c r="AR249" i="2"/>
  <c r="AL154" i="2"/>
  <c r="AL270" i="2"/>
  <c r="AR270" i="2"/>
  <c r="AL282" i="2"/>
  <c r="AR282" i="2"/>
  <c r="AL305" i="2"/>
  <c r="AR305" i="2"/>
  <c r="AL108" i="2"/>
  <c r="AR108" i="2"/>
  <c r="AL243" i="2"/>
  <c r="AR243" i="2"/>
  <c r="AL152" i="2"/>
  <c r="AL134" i="2"/>
  <c r="AL281" i="2"/>
  <c r="AR281" i="2"/>
  <c r="AL77" i="2"/>
  <c r="AL194" i="2"/>
  <c r="AL297" i="2"/>
  <c r="AR297" i="2"/>
  <c r="AL255" i="2"/>
  <c r="AR255" i="2"/>
  <c r="AL254" i="2"/>
  <c r="AR254" i="2"/>
  <c r="AL306" i="2"/>
  <c r="AR306" i="2"/>
  <c r="AL256" i="2"/>
  <c r="AR256" i="2"/>
  <c r="AL155" i="2"/>
  <c r="AR155" i="2"/>
  <c r="AL121" i="2"/>
  <c r="AR121" i="2"/>
  <c r="AL48" i="2"/>
  <c r="AR48" i="2"/>
  <c r="AL285" i="2"/>
  <c r="AR285" i="2"/>
  <c r="AL288" i="2"/>
  <c r="AR288" i="2"/>
  <c r="AL247" i="2"/>
  <c r="AR247" i="2"/>
  <c r="AL269" i="2"/>
  <c r="AR269" i="2"/>
  <c r="AL274" i="2"/>
  <c r="AR274" i="2"/>
  <c r="AL145" i="2"/>
  <c r="AL192" i="2"/>
  <c r="AL227" i="2"/>
  <c r="AL56" i="2"/>
  <c r="AR56" i="2"/>
  <c r="AL146" i="2"/>
  <c r="AR146" i="2"/>
  <c r="AL158" i="2"/>
  <c r="AL315" i="2"/>
  <c r="AR315" i="2"/>
  <c r="AL205" i="2"/>
  <c r="AL35" i="2"/>
  <c r="AL172" i="2"/>
  <c r="AR172" i="2"/>
  <c r="AL313" i="2"/>
  <c r="AR313" i="2"/>
  <c r="AL153" i="2"/>
  <c r="AR153" i="2"/>
  <c r="AL314" i="2"/>
  <c r="AR314" i="2"/>
  <c r="AL54" i="2"/>
  <c r="AL133" i="2"/>
  <c r="AR133" i="2"/>
  <c r="AL258" i="2"/>
  <c r="AR258" i="2"/>
  <c r="AL206" i="2"/>
  <c r="AL222" i="2"/>
  <c r="AL119" i="2"/>
  <c r="AL252" i="2"/>
  <c r="AR252" i="2"/>
  <c r="AL265" i="2"/>
  <c r="AR265" i="2"/>
  <c r="AL105" i="2"/>
  <c r="AL181" i="2"/>
  <c r="AL123" i="2"/>
  <c r="AR123" i="2"/>
  <c r="AL89" i="2"/>
  <c r="AR89" i="2"/>
  <c r="AL286" i="2"/>
  <c r="AR286" i="2"/>
  <c r="AL66" i="2"/>
  <c r="AL96" i="2"/>
  <c r="AR96" i="2"/>
  <c r="AL101" i="2"/>
  <c r="AL198" i="2"/>
  <c r="AR198" i="2"/>
  <c r="AL51" i="2"/>
  <c r="AL272" i="2"/>
  <c r="AR272" i="2"/>
  <c r="AL224" i="2"/>
  <c r="AR224" i="2"/>
  <c r="AL50" i="2"/>
  <c r="AL128" i="2"/>
  <c r="AR128" i="2"/>
  <c r="AL122" i="2"/>
  <c r="AL296" i="2"/>
  <c r="AR296" i="2"/>
  <c r="AL163" i="2"/>
  <c r="AR163" i="2"/>
  <c r="AL275" i="2"/>
  <c r="AR275" i="2"/>
  <c r="AL191" i="2"/>
  <c r="AR191" i="2"/>
  <c r="AL251" i="2"/>
  <c r="AR251" i="2"/>
  <c r="AL136" i="2"/>
  <c r="AL284" i="2"/>
  <c r="AR284" i="2"/>
  <c r="AL78" i="2"/>
  <c r="AR78" i="2"/>
  <c r="AL40" i="2"/>
  <c r="AL88" i="2"/>
  <c r="AL241" i="2"/>
  <c r="AR241" i="2"/>
  <c r="AL39" i="2"/>
  <c r="AR39" i="2"/>
  <c r="AL211" i="2"/>
  <c r="AL186" i="2"/>
  <c r="AL46" i="2"/>
  <c r="AR46" i="2"/>
  <c r="AL58" i="2"/>
  <c r="AR58" i="2"/>
  <c r="AL141" i="2"/>
  <c r="AL87" i="2"/>
  <c r="AL312" i="2"/>
  <c r="AR312" i="2"/>
  <c r="AL308" i="2"/>
  <c r="AR308" i="2"/>
  <c r="AL175" i="2"/>
  <c r="AR175" i="2"/>
  <c r="AL159" i="2"/>
  <c r="AR159" i="2"/>
  <c r="AL193" i="2"/>
  <c r="AL109" i="2"/>
  <c r="AL182" i="2"/>
  <c r="AL165" i="2"/>
  <c r="AR165" i="2"/>
  <c r="AL264" i="2"/>
  <c r="AR264" i="2"/>
  <c r="AL291" i="2"/>
  <c r="AR291" i="2"/>
  <c r="AL138" i="2"/>
  <c r="AL76" i="2"/>
  <c r="AL62" i="2"/>
  <c r="AL232" i="2"/>
  <c r="AR232" i="2"/>
  <c r="AL166" i="2"/>
  <c r="AL259" i="2"/>
  <c r="AR259" i="2"/>
  <c r="AL263" i="2"/>
  <c r="AR263" i="2"/>
  <c r="AL61" i="2"/>
  <c r="AR61" i="2"/>
  <c r="AL36" i="2"/>
  <c r="AL170" i="2"/>
  <c r="AL209" i="2"/>
  <c r="AL189" i="2"/>
  <c r="AR189" i="2"/>
  <c r="AL301" i="2"/>
  <c r="AR301" i="2"/>
  <c r="AL157" i="2"/>
  <c r="AR157" i="2"/>
  <c r="AL217" i="2"/>
  <c r="AL104" i="2"/>
  <c r="AL184" i="2"/>
  <c r="AL125" i="2"/>
  <c r="AL43" i="2"/>
  <c r="AR43" i="2"/>
  <c r="AL132" i="2"/>
  <c r="AL124" i="2"/>
  <c r="AR124" i="2"/>
  <c r="AL219" i="2"/>
  <c r="AL81" i="2"/>
  <c r="AR81" i="2"/>
  <c r="AL70" i="2"/>
  <c r="AR70" i="2"/>
  <c r="AL167" i="2"/>
  <c r="AR167" i="2"/>
  <c r="AL235" i="2"/>
  <c r="AR235" i="2"/>
  <c r="AL149" i="2"/>
  <c r="AL41" i="2"/>
  <c r="AR41" i="2"/>
  <c r="AL94" i="2"/>
  <c r="AR94" i="2"/>
  <c r="AL102" i="2"/>
  <c r="AR102" i="2"/>
  <c r="AL137" i="2"/>
  <c r="AR137" i="2"/>
  <c r="AL53" i="2"/>
  <c r="AL144" i="2"/>
  <c r="AL204" i="2"/>
  <c r="AR204" i="2"/>
  <c r="AL215" i="2"/>
  <c r="AL99" i="2"/>
  <c r="AL85" i="2"/>
  <c r="AL110" i="2"/>
  <c r="AR110" i="2"/>
  <c r="AL183" i="2"/>
  <c r="AR183" i="2"/>
  <c r="AL226" i="2"/>
  <c r="AL310" i="2"/>
  <c r="AR310" i="2"/>
  <c r="AL290" i="2"/>
  <c r="AR290" i="2"/>
  <c r="AL195" i="2"/>
  <c r="AL292" i="2"/>
  <c r="AR292" i="2"/>
  <c r="AL38" i="2"/>
  <c r="AL176" i="2"/>
  <c r="AL276" i="2"/>
  <c r="AR276" i="2"/>
  <c r="AL273" i="2"/>
  <c r="AR273" i="2"/>
  <c r="AL130" i="2"/>
  <c r="AR130" i="2"/>
  <c r="AL268" i="2"/>
  <c r="AR268" i="2"/>
  <c r="AL37" i="2"/>
  <c r="AR37" i="2"/>
  <c r="AL239" i="2"/>
  <c r="AR239" i="2"/>
  <c r="AL67" i="2"/>
  <c r="AL266" i="2"/>
  <c r="AR266" i="2"/>
  <c r="AL213" i="2"/>
  <c r="AR213" i="2"/>
  <c r="AM33" i="2"/>
  <c r="AM232" i="2"/>
  <c r="AM235" i="2"/>
  <c r="AM237" i="2"/>
  <c r="AM245" i="2"/>
  <c r="AM251" i="2"/>
  <c r="AM258" i="2"/>
  <c r="AM261" i="2"/>
  <c r="AM273" i="2"/>
  <c r="AM280" i="2"/>
  <c r="AM288" i="2"/>
  <c r="AM290" i="2"/>
  <c r="AM297" i="2"/>
  <c r="AM300" i="2"/>
  <c r="AM303" i="2"/>
  <c r="AM305" i="2"/>
  <c r="AM543" i="2"/>
  <c r="AM521" i="2"/>
  <c r="AM522" i="2"/>
  <c r="AM523" i="2"/>
  <c r="AM524" i="2"/>
  <c r="AM525" i="2"/>
  <c r="AM526" i="2"/>
  <c r="AM552" i="2"/>
  <c r="AM564" i="2"/>
  <c r="AM570" i="2"/>
  <c r="AM571" i="2"/>
  <c r="AM608" i="2"/>
  <c r="AM61" i="2"/>
  <c r="AM70" i="2"/>
  <c r="AM86" i="2"/>
  <c r="AM146" i="2"/>
  <c r="AM191" i="2"/>
  <c r="AM229" i="2"/>
  <c r="AM231" i="2"/>
  <c r="AM233" i="2"/>
  <c r="AM234" i="2"/>
  <c r="AM236" i="2"/>
  <c r="AM238" i="2"/>
  <c r="AM239" i="2"/>
  <c r="AM240" i="2"/>
  <c r="AM241" i="2"/>
  <c r="AM242" i="2"/>
  <c r="AM243" i="2"/>
  <c r="AM244" i="2"/>
  <c r="AM246" i="2"/>
  <c r="AM247" i="2"/>
  <c r="AM248" i="2"/>
  <c r="AM249" i="2"/>
  <c r="AM250" i="2"/>
  <c r="AM252" i="2"/>
  <c r="AM253" i="2"/>
  <c r="AM254" i="2"/>
  <c r="AM255" i="2"/>
  <c r="AM257" i="2"/>
  <c r="AM259" i="2"/>
  <c r="AM260" i="2"/>
  <c r="AM262" i="2"/>
  <c r="AM263" i="2"/>
  <c r="AM265" i="2"/>
  <c r="AM266" i="2"/>
  <c r="AM268" i="2"/>
  <c r="AM269" i="2"/>
  <c r="AM270" i="2"/>
  <c r="AM271" i="2"/>
  <c r="AM272" i="2"/>
  <c r="AM274" i="2"/>
  <c r="AM276" i="2"/>
  <c r="AM277" i="2"/>
  <c r="AM279" i="2"/>
  <c r="AM281" i="2"/>
  <c r="AM282" i="2"/>
  <c r="AM283" i="2"/>
  <c r="AM284" i="2"/>
  <c r="AM285" i="2"/>
  <c r="AM286" i="2"/>
  <c r="AM287" i="2"/>
  <c r="AM289" i="2"/>
  <c r="AM291" i="2"/>
  <c r="AM292" i="2"/>
  <c r="AM293" i="2"/>
  <c r="AM294" i="2"/>
  <c r="AM295" i="2"/>
  <c r="AM296" i="2"/>
  <c r="AM298" i="2"/>
  <c r="AM299" i="2"/>
  <c r="AM301" i="2"/>
  <c r="AM302" i="2"/>
  <c r="AM304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4" i="2"/>
  <c r="AM325" i="2"/>
  <c r="AM326" i="2"/>
  <c r="AM328" i="2"/>
  <c r="AM329" i="2"/>
  <c r="AM331" i="2"/>
  <c r="AM332" i="2"/>
  <c r="AM334" i="2"/>
  <c r="AM336" i="2"/>
  <c r="AM337" i="2"/>
  <c r="AM338" i="2"/>
  <c r="AM339" i="2"/>
  <c r="AM341" i="2"/>
  <c r="AM342" i="2"/>
  <c r="AM343" i="2"/>
  <c r="AM344" i="2"/>
  <c r="AM345" i="2"/>
  <c r="AM346" i="2"/>
  <c r="AM347" i="2"/>
  <c r="AM348" i="2"/>
  <c r="AM350" i="2"/>
  <c r="AM352" i="2"/>
  <c r="AM353" i="2"/>
  <c r="AM355" i="2"/>
  <c r="AM356" i="2"/>
  <c r="AM358" i="2"/>
  <c r="AM359" i="2"/>
  <c r="AM361" i="2"/>
  <c r="AM362" i="2"/>
  <c r="AM364" i="2"/>
  <c r="AM365" i="2"/>
  <c r="AM367" i="2"/>
  <c r="AM368" i="2"/>
  <c r="AM369" i="2"/>
  <c r="AM370" i="2"/>
  <c r="AM371" i="2"/>
  <c r="AM373" i="2"/>
  <c r="AM374" i="2"/>
  <c r="AM376" i="2"/>
  <c r="AM378" i="2"/>
  <c r="AM380" i="2"/>
  <c r="AM381" i="2"/>
  <c r="AM383" i="2"/>
  <c r="AM384" i="2"/>
  <c r="AM386" i="2"/>
  <c r="AM387" i="2"/>
  <c r="AM388" i="2"/>
  <c r="AM389" i="2"/>
  <c r="AM390" i="2"/>
  <c r="AM392" i="2"/>
  <c r="AM393" i="2"/>
  <c r="AM394" i="2"/>
  <c r="AM395" i="2"/>
  <c r="AM396" i="2"/>
  <c r="AM398" i="2"/>
  <c r="AM400" i="2"/>
  <c r="AM401" i="2"/>
  <c r="AM403" i="2"/>
  <c r="AM404" i="2"/>
  <c r="AM405" i="2"/>
  <c r="AM406" i="2"/>
  <c r="AM407" i="2"/>
  <c r="AM408" i="2"/>
  <c r="AM410" i="2"/>
  <c r="AM411" i="2"/>
  <c r="AM412" i="2"/>
  <c r="AM414" i="2"/>
  <c r="AM415" i="2"/>
  <c r="AM416" i="2"/>
  <c r="AM417" i="2"/>
  <c r="AM419" i="2"/>
  <c r="AM421" i="2"/>
  <c r="AM423" i="2"/>
  <c r="AM424" i="2"/>
  <c r="AM425" i="2"/>
  <c r="AM426" i="2"/>
  <c r="AM427" i="2"/>
  <c r="AM428" i="2"/>
  <c r="AM430" i="2"/>
  <c r="AM431" i="2"/>
  <c r="AM433" i="2"/>
  <c r="AM435" i="2"/>
  <c r="AM437" i="2"/>
  <c r="AM438" i="2"/>
  <c r="AM440" i="2"/>
  <c r="AM441" i="2"/>
  <c r="AM443" i="2"/>
  <c r="AM444" i="2"/>
  <c r="AM445" i="2"/>
  <c r="AM449" i="2"/>
  <c r="AM452" i="2"/>
  <c r="AM466" i="2"/>
  <c r="AM472" i="2"/>
  <c r="AM475" i="2"/>
  <c r="AM478" i="2"/>
  <c r="AM480" i="2"/>
  <c r="AM481" i="2"/>
  <c r="AM482" i="2"/>
  <c r="AM484" i="2"/>
  <c r="AM486" i="2"/>
  <c r="AM487" i="2"/>
  <c r="AM488" i="2"/>
  <c r="AM489" i="2"/>
  <c r="AM491" i="2"/>
  <c r="AM493" i="2"/>
  <c r="AM495" i="2"/>
  <c r="AM496" i="2"/>
  <c r="AM498" i="2"/>
  <c r="AM500" i="2"/>
  <c r="AM501" i="2"/>
  <c r="AM503" i="2"/>
  <c r="AM505" i="2"/>
  <c r="AM506" i="2"/>
  <c r="AM507" i="2"/>
  <c r="AM508" i="2"/>
  <c r="AM509" i="2"/>
  <c r="AM510" i="2"/>
  <c r="AM511" i="2"/>
  <c r="AM512" i="2"/>
  <c r="AM513" i="2"/>
  <c r="AM514" i="2"/>
  <c r="AM515" i="2"/>
  <c r="AM517" i="2"/>
  <c r="AM519" i="2"/>
  <c r="AM528" i="2"/>
  <c r="AM529" i="2"/>
  <c r="AM531" i="2"/>
  <c r="AM532" i="2"/>
  <c r="AM533" i="2"/>
  <c r="AM534" i="2"/>
  <c r="AM535" i="2"/>
  <c r="AM536" i="2"/>
  <c r="AM537" i="2"/>
  <c r="AM538" i="2"/>
  <c r="AM540" i="2"/>
  <c r="AM541" i="2"/>
  <c r="AM542" i="2"/>
  <c r="AM544" i="2"/>
  <c r="AM545" i="2"/>
  <c r="AM546" i="2"/>
  <c r="AM547" i="2"/>
  <c r="AM548" i="2"/>
  <c r="AM549" i="2"/>
  <c r="AM550" i="2"/>
  <c r="AM551" i="2"/>
  <c r="AM553" i="2"/>
  <c r="AM555" i="2"/>
  <c r="AM556" i="2"/>
  <c r="AM557" i="2"/>
  <c r="AM558" i="2"/>
  <c r="AM560" i="2"/>
  <c r="AM562" i="2"/>
  <c r="AM563" i="2"/>
  <c r="AM565" i="2"/>
  <c r="AM566" i="2"/>
  <c r="AM567" i="2"/>
  <c r="AM568" i="2"/>
  <c r="AM569" i="2"/>
  <c r="AM573" i="2"/>
  <c r="AM574" i="2"/>
  <c r="AM575" i="2"/>
  <c r="AM577" i="2"/>
  <c r="AM578" i="2"/>
  <c r="AM579" i="2"/>
  <c r="AM581" i="2"/>
  <c r="AM582" i="2"/>
  <c r="AM583" i="2"/>
  <c r="AM584" i="2"/>
  <c r="AM586" i="2"/>
  <c r="AM588" i="2"/>
  <c r="AM590" i="2"/>
  <c r="AM591" i="2"/>
  <c r="AM593" i="2"/>
  <c r="AM595" i="2"/>
  <c r="AM596" i="2"/>
  <c r="AM598" i="2"/>
  <c r="AM600" i="2"/>
  <c r="AM602" i="2"/>
  <c r="AM604" i="2"/>
  <c r="AM606" i="2"/>
  <c r="AM607" i="2"/>
  <c r="AM609" i="2"/>
  <c r="AM610" i="2"/>
  <c r="AM611" i="2"/>
  <c r="AM612" i="2"/>
  <c r="AM613" i="2"/>
  <c r="AM614" i="2"/>
  <c r="AM615" i="2"/>
  <c r="AM617" i="2"/>
  <c r="AM618" i="2"/>
  <c r="AM620" i="2"/>
  <c r="AM621" i="2"/>
  <c r="AM622" i="2"/>
  <c r="AM624" i="2"/>
  <c r="AM625" i="2"/>
  <c r="AM627" i="2"/>
  <c r="AM629" i="2"/>
  <c r="AM631" i="2"/>
  <c r="AM633" i="2"/>
  <c r="AM635" i="2"/>
  <c r="AM636" i="2"/>
  <c r="AM638" i="2"/>
  <c r="AM639" i="2"/>
  <c r="AM641" i="2"/>
  <c r="AM642" i="2"/>
  <c r="AM644" i="2"/>
  <c r="AM646" i="2"/>
  <c r="AM647" i="2"/>
  <c r="AM648" i="2"/>
  <c r="AM649" i="2"/>
  <c r="AR9" i="2" l="1"/>
  <c r="AR13" i="2"/>
  <c r="AR16" i="2" s="1"/>
  <c r="AR10" i="2"/>
  <c r="AQ38" i="2"/>
  <c r="AR21" i="2"/>
  <c r="AL1" i="2"/>
  <c r="AM464" i="2"/>
  <c r="AM456" i="2"/>
  <c r="AM447" i="2"/>
  <c r="AM448" i="2"/>
  <c r="AM450" i="2"/>
  <c r="AM451" i="2"/>
  <c r="AM453" i="2"/>
  <c r="AM454" i="2"/>
  <c r="AM455" i="2"/>
  <c r="AM457" i="2"/>
  <c r="AM458" i="2"/>
  <c r="AM459" i="2"/>
  <c r="AM460" i="2"/>
  <c r="AM461" i="2"/>
  <c r="AM462" i="2"/>
  <c r="AM463" i="2"/>
  <c r="AM465" i="2"/>
  <c r="AM467" i="2"/>
  <c r="AM468" i="2"/>
  <c r="AM469" i="2"/>
  <c r="AM470" i="2"/>
  <c r="AM471" i="2"/>
  <c r="AM473" i="2"/>
  <c r="AM474" i="2"/>
  <c r="AM476" i="2"/>
  <c r="AM477" i="2"/>
  <c r="AM224" i="2"/>
  <c r="AM41" i="2"/>
  <c r="AM43" i="2"/>
  <c r="AM96" i="2"/>
  <c r="AM113" i="2"/>
  <c r="AM155" i="2"/>
  <c r="AM157" i="2"/>
  <c r="AM161" i="2"/>
  <c r="AM175" i="2"/>
  <c r="AM189" i="2"/>
  <c r="AR11" i="2" l="1"/>
  <c r="AR12" i="2"/>
  <c r="AR15" i="2" s="1"/>
  <c r="AR18" i="2"/>
  <c r="AR17" i="2"/>
  <c r="AQ40" i="2"/>
  <c r="AM116" i="2"/>
  <c r="AM31" i="2"/>
  <c r="AM37" i="2"/>
  <c r="AM39" i="2"/>
  <c r="AM46" i="2"/>
  <c r="AM48" i="2"/>
  <c r="AM52" i="2"/>
  <c r="AM55" i="2"/>
  <c r="AM58" i="2"/>
  <c r="AM64" i="2"/>
  <c r="AM73" i="2"/>
  <c r="AM78" i="2"/>
  <c r="AM89" i="2"/>
  <c r="AM92" i="2"/>
  <c r="AM98" i="2"/>
  <c r="AM100" i="2"/>
  <c r="AM102" i="2"/>
  <c r="AM107" i="2"/>
  <c r="AM110" i="2"/>
  <c r="AM118" i="2"/>
  <c r="AM120" i="2"/>
  <c r="AM123" i="2"/>
  <c r="AM126" i="2"/>
  <c r="AM128" i="2"/>
  <c r="AM130" i="2"/>
  <c r="AM133" i="2"/>
  <c r="AM137" i="2"/>
  <c r="AM140" i="2"/>
  <c r="AM143" i="2"/>
  <c r="AM150" i="2"/>
  <c r="AM153" i="2"/>
  <c r="AM159" i="2"/>
  <c r="AM163" i="2"/>
  <c r="AM165" i="2"/>
  <c r="AM167" i="2"/>
  <c r="AM169" i="2"/>
  <c r="AM172" i="2"/>
  <c r="AM177" i="2"/>
  <c r="AM180" i="2"/>
  <c r="AM183" i="2"/>
  <c r="AM185" i="2"/>
  <c r="AM187" i="2"/>
  <c r="AM198" i="2"/>
  <c r="AM200" i="2"/>
  <c r="AM204" i="2"/>
  <c r="AM207" i="2"/>
  <c r="AM210" i="2"/>
  <c r="AM213" i="2"/>
  <c r="AM218" i="2"/>
  <c r="AR19" i="2" l="1"/>
  <c r="AR20" i="2" s="1"/>
  <c r="AQ42" i="2"/>
  <c r="AQ44" i="2"/>
  <c r="AR22" i="2" l="1"/>
  <c r="AQ45" i="2"/>
  <c r="AR29" i="2"/>
  <c r="AR34" i="2"/>
  <c r="AR23" i="2" l="1"/>
  <c r="AR25" i="2" s="1"/>
  <c r="AR26" i="2" s="1"/>
  <c r="AQ47" i="2"/>
  <c r="AQ49" i="2" s="1"/>
  <c r="AQ50" i="2" s="1"/>
  <c r="AQ51" i="2" s="1"/>
  <c r="AQ53" i="2" s="1"/>
  <c r="AQ54" i="2" s="1"/>
  <c r="AQ57" i="2" s="1"/>
  <c r="AQ59" i="2" s="1"/>
  <c r="AQ60" i="2" s="1"/>
  <c r="AQ62" i="2" s="1"/>
  <c r="AQ63" i="2" s="1"/>
  <c r="AQ65" i="2" s="1"/>
  <c r="AQ66" i="2" s="1"/>
  <c r="AQ67" i="2" s="1"/>
  <c r="AQ68" i="2" s="1"/>
  <c r="AQ69" i="2" s="1"/>
  <c r="AQ71" i="2" s="1"/>
  <c r="AQ72" i="2" s="1"/>
  <c r="AQ74" i="2" s="1"/>
  <c r="AQ75" i="2" s="1"/>
  <c r="AQ76" i="2" s="1"/>
  <c r="AQ77" i="2" s="1"/>
  <c r="AQ79" i="2" s="1"/>
  <c r="AQ80" i="2" s="1"/>
  <c r="AQ82" i="2" s="1"/>
  <c r="AQ83" i="2" s="1"/>
  <c r="AQ84" i="2" s="1"/>
  <c r="AQ85" i="2" s="1"/>
  <c r="AQ87" i="2" s="1"/>
  <c r="AQ88" i="2" s="1"/>
  <c r="AQ91" i="2" s="1"/>
  <c r="AQ95" i="2" s="1"/>
  <c r="AQ97" i="2" s="1"/>
  <c r="AQ99" i="2" s="1"/>
  <c r="AQ101" i="2" s="1"/>
  <c r="AQ103" i="2" s="1"/>
  <c r="AQ104" i="2" s="1"/>
  <c r="AQ105" i="2" s="1"/>
  <c r="AQ106" i="2" s="1"/>
  <c r="AQ109" i="2" s="1"/>
  <c r="AQ111" i="2" s="1"/>
  <c r="AQ112" i="2" s="1"/>
  <c r="AQ114" i="2" s="1"/>
  <c r="AQ115" i="2" s="1"/>
  <c r="AQ117" i="2" s="1"/>
  <c r="AQ119" i="2" s="1"/>
  <c r="AQ122" i="2" s="1"/>
  <c r="AQ125" i="2" s="1"/>
  <c r="AQ127" i="2" s="1"/>
  <c r="AQ129" i="2" s="1"/>
  <c r="AQ131" i="2" s="1"/>
  <c r="AQ132" i="2" s="1"/>
  <c r="AQ134" i="2" s="1"/>
  <c r="AQ136" i="2" s="1"/>
  <c r="AQ138" i="2" s="1"/>
  <c r="AQ139" i="2" s="1"/>
  <c r="AQ141" i="2" s="1"/>
  <c r="AQ142" i="2" s="1"/>
  <c r="AQ144" i="2" s="1"/>
  <c r="AQ145" i="2" s="1"/>
  <c r="AQ147" i="2" s="1"/>
  <c r="AQ148" i="2" s="1"/>
  <c r="AQ149" i="2" s="1"/>
  <c r="AQ151" i="2" s="1"/>
  <c r="AQ152" i="2" s="1"/>
  <c r="AQ154" i="2" s="1"/>
  <c r="AQ156" i="2" s="1"/>
  <c r="AQ158" i="2" s="1"/>
  <c r="AQ160" i="2" s="1"/>
  <c r="AQ162" i="2" s="1"/>
  <c r="AQ164" i="2" s="1"/>
  <c r="AQ166" i="2" s="1"/>
  <c r="AQ168" i="2" s="1"/>
  <c r="AQ170" i="2" s="1"/>
  <c r="AQ171" i="2" s="1"/>
  <c r="AQ173" i="2" s="1"/>
  <c r="AQ174" i="2" s="1"/>
  <c r="AQ176" i="2" s="1"/>
  <c r="AQ178" i="2" s="1"/>
  <c r="AQ179" i="2" s="1"/>
  <c r="AQ181" i="2" s="1"/>
  <c r="AQ182" i="2" s="1"/>
  <c r="AQ184" i="2" s="1"/>
  <c r="AQ186" i="2" s="1"/>
  <c r="AQ188" i="2" s="1"/>
  <c r="AQ190" i="2" s="1"/>
  <c r="AQ192" i="2" s="1"/>
  <c r="AQ193" i="2" s="1"/>
  <c r="AQ194" i="2" s="1"/>
  <c r="AQ195" i="2" s="1"/>
  <c r="AQ196" i="2" s="1"/>
  <c r="AQ197" i="2" s="1"/>
  <c r="AQ199" i="2" s="1"/>
  <c r="AQ203" i="2" s="1"/>
  <c r="AQ205" i="2" s="1"/>
  <c r="AQ206" i="2" s="1"/>
  <c r="AQ208" i="2" s="1"/>
  <c r="AQ209" i="2" s="1"/>
  <c r="AQ211" i="2" s="1"/>
  <c r="AQ212" i="2" s="1"/>
  <c r="AQ214" i="2" s="1"/>
  <c r="AQ215" i="2" s="1"/>
  <c r="AQ216" i="2" s="1"/>
  <c r="AQ217" i="2" s="1"/>
  <c r="AQ219" i="2" s="1"/>
  <c r="AQ220" i="2" s="1"/>
  <c r="AQ221" i="2" s="1"/>
  <c r="AQ222" i="2" s="1"/>
  <c r="AQ223" i="2" s="1"/>
  <c r="AQ225" i="2" s="1"/>
  <c r="AQ226" i="2" s="1"/>
  <c r="AQ227" i="2" s="1"/>
  <c r="AQ228" i="2" s="1"/>
  <c r="AQ230" i="2" s="1"/>
  <c r="AR30" i="2"/>
  <c r="AR35" i="2"/>
  <c r="AR27" i="2" l="1"/>
  <c r="AR28" i="2" s="1"/>
  <c r="AR32" i="2"/>
  <c r="AR36" i="2" s="1"/>
  <c r="AR38" i="2" s="1"/>
  <c r="AR40" i="2" s="1"/>
  <c r="AR42" i="2" s="1"/>
  <c r="AR44" i="2" s="1"/>
  <c r="AR45" i="2" s="1"/>
  <c r="AR47" i="2" l="1"/>
  <c r="AR49" i="2" s="1"/>
  <c r="AR50" i="2" s="1"/>
  <c r="AR51" i="2" s="1"/>
  <c r="AR53" i="2" s="1"/>
  <c r="AR54" i="2" s="1"/>
  <c r="AR57" i="2" s="1"/>
  <c r="AR59" i="2" s="1"/>
  <c r="AR60" i="2" s="1"/>
  <c r="AR62" i="2" s="1"/>
  <c r="AR63" i="2" s="1"/>
  <c r="AR65" i="2" s="1"/>
  <c r="AR66" i="2" s="1"/>
  <c r="AR67" i="2" s="1"/>
  <c r="AR68" i="2" s="1"/>
  <c r="AR69" i="2" s="1"/>
  <c r="AR71" i="2" s="1"/>
  <c r="AR72" i="2" s="1"/>
  <c r="AR74" i="2" s="1"/>
  <c r="AR75" i="2" s="1"/>
  <c r="AR76" i="2" s="1"/>
  <c r="AR77" i="2" s="1"/>
  <c r="AR79" i="2" s="1"/>
  <c r="AR80" i="2" s="1"/>
  <c r="AR82" i="2" s="1"/>
  <c r="AR83" i="2" s="1"/>
  <c r="AR84" i="2" s="1"/>
  <c r="AR85" i="2" s="1"/>
  <c r="AR87" i="2" s="1"/>
  <c r="AR88" i="2" s="1"/>
  <c r="AR91" i="2" s="1"/>
  <c r="AR95" i="2" s="1"/>
  <c r="AR97" i="2" s="1"/>
  <c r="AR99" i="2" s="1"/>
  <c r="AR101" i="2" s="1"/>
  <c r="AR103" i="2" s="1"/>
  <c r="AR104" i="2" s="1"/>
  <c r="AR105" i="2" s="1"/>
  <c r="AR106" i="2" s="1"/>
  <c r="AR109" i="2" s="1"/>
  <c r="AR111" i="2" s="1"/>
  <c r="AR112" i="2" s="1"/>
  <c r="AR114" i="2" s="1"/>
  <c r="AR115" i="2" s="1"/>
  <c r="AR117" i="2" s="1"/>
  <c r="AR119" i="2" s="1"/>
  <c r="AR122" i="2" s="1"/>
  <c r="AR125" i="2" s="1"/>
  <c r="AR127" i="2" s="1"/>
  <c r="AR129" i="2" s="1"/>
  <c r="AR131" i="2" s="1"/>
  <c r="AR132" i="2" s="1"/>
  <c r="AR134" i="2" s="1"/>
  <c r="AR136" i="2" s="1"/>
  <c r="AR138" i="2" s="1"/>
  <c r="AR139" i="2" s="1"/>
  <c r="AR141" i="2" s="1"/>
  <c r="AR142" i="2" s="1"/>
  <c r="AR144" i="2" s="1"/>
  <c r="AR145" i="2" s="1"/>
  <c r="AR147" i="2" s="1"/>
  <c r="AR148" i="2" s="1"/>
  <c r="AR149" i="2" s="1"/>
  <c r="AR151" i="2" s="1"/>
  <c r="AR152" i="2" s="1"/>
  <c r="AR154" i="2" s="1"/>
  <c r="AR156" i="2" s="1"/>
  <c r="AR158" i="2" s="1"/>
  <c r="AR160" i="2" s="1"/>
  <c r="AR162" i="2" s="1"/>
  <c r="AR164" i="2" s="1"/>
  <c r="AR166" i="2" s="1"/>
  <c r="AR168" i="2" s="1"/>
  <c r="AR170" i="2" s="1"/>
  <c r="AR171" i="2" s="1"/>
  <c r="AR173" i="2" s="1"/>
  <c r="AR174" i="2" s="1"/>
  <c r="AR176" i="2" s="1"/>
  <c r="AR178" i="2" s="1"/>
  <c r="AR179" i="2" s="1"/>
  <c r="AR181" i="2" s="1"/>
  <c r="AR182" i="2" s="1"/>
  <c r="AR184" i="2" s="1"/>
  <c r="AR186" i="2" s="1"/>
  <c r="AR188" i="2" s="1"/>
  <c r="AR190" i="2" s="1"/>
  <c r="AR192" i="2" s="1"/>
  <c r="AR193" i="2" s="1"/>
  <c r="AR194" i="2" s="1"/>
  <c r="AR195" i="2" s="1"/>
  <c r="AR196" i="2" s="1"/>
  <c r="AR197" i="2" s="1"/>
  <c r="AR199" i="2" s="1"/>
  <c r="AR203" i="2" s="1"/>
  <c r="AR205" i="2" s="1"/>
  <c r="AR206" i="2" s="1"/>
  <c r="AR208" i="2" s="1"/>
  <c r="AR209" i="2" s="1"/>
  <c r="AR211" i="2" s="1"/>
  <c r="AR212" i="2" s="1"/>
  <c r="AR214" i="2" s="1"/>
  <c r="AR215" i="2" s="1"/>
  <c r="AR216" i="2" s="1"/>
  <c r="AR217" i="2" s="1"/>
  <c r="AR219" i="2" s="1"/>
  <c r="AR220" i="2" s="1"/>
  <c r="AR221" i="2" s="1"/>
  <c r="AR222" i="2" s="1"/>
  <c r="AR223" i="2" s="1"/>
  <c r="AR225" i="2" s="1"/>
  <c r="AR226" i="2" s="1"/>
  <c r="AR227" i="2" s="1"/>
  <c r="AR228" i="2" s="1"/>
  <c r="AR230" i="2" s="1"/>
  <c r="AM5" i="2"/>
  <c r="AM7" i="2"/>
  <c r="AM12" i="2"/>
  <c r="AM21" i="2"/>
  <c r="AM24" i="2"/>
  <c r="AM26" i="2"/>
  <c r="AM29" i="2"/>
  <c r="AM30" i="2"/>
  <c r="AM32" i="2"/>
  <c r="AM34" i="2"/>
  <c r="AM35" i="2"/>
  <c r="AM36" i="2"/>
  <c r="AM38" i="2"/>
  <c r="AM40" i="2"/>
  <c r="AM42" i="2"/>
  <c r="AM44" i="2"/>
  <c r="AM45" i="2"/>
  <c r="AM47" i="2"/>
  <c r="AM49" i="2"/>
  <c r="AM50" i="2"/>
  <c r="AM51" i="2"/>
  <c r="AM53" i="2"/>
  <c r="AM54" i="2"/>
  <c r="AM56" i="2"/>
  <c r="AM57" i="2"/>
  <c r="AM59" i="2"/>
  <c r="AM60" i="2"/>
  <c r="AM62" i="2"/>
  <c r="AM63" i="2"/>
  <c r="AM65" i="2"/>
  <c r="AM66" i="2"/>
  <c r="AM67" i="2"/>
  <c r="AM68" i="2"/>
  <c r="AM69" i="2"/>
  <c r="AM71" i="2"/>
  <c r="AM72" i="2"/>
  <c r="AM74" i="2"/>
  <c r="AM75" i="2"/>
  <c r="AM76" i="2"/>
  <c r="AM77" i="2"/>
  <c r="AM79" i="2"/>
  <c r="AM80" i="2"/>
  <c r="AM82" i="2"/>
  <c r="AM83" i="2"/>
  <c r="AM84" i="2"/>
  <c r="AM85" i="2"/>
  <c r="AM87" i="2"/>
  <c r="AM88" i="2"/>
  <c r="AM90" i="2"/>
  <c r="AM91" i="2"/>
  <c r="AM93" i="2"/>
  <c r="AM94" i="2"/>
  <c r="AM95" i="2"/>
  <c r="AM97" i="2"/>
  <c r="AM99" i="2"/>
  <c r="AM101" i="2"/>
  <c r="AM103" i="2"/>
  <c r="AM104" i="2"/>
  <c r="AM105" i="2"/>
  <c r="AM106" i="2"/>
  <c r="AM108" i="2"/>
  <c r="AM109" i="2"/>
  <c r="AM111" i="2"/>
  <c r="AM112" i="2"/>
  <c r="AM114" i="2"/>
  <c r="AM115" i="2"/>
  <c r="AM117" i="2"/>
  <c r="AM119" i="2"/>
  <c r="AM121" i="2"/>
  <c r="AM122" i="2"/>
  <c r="AM124" i="2"/>
  <c r="AM125" i="2"/>
  <c r="AM127" i="2"/>
  <c r="AM129" i="2"/>
  <c r="AM131" i="2"/>
  <c r="AM132" i="2"/>
  <c r="AM134" i="2"/>
  <c r="AM135" i="2"/>
  <c r="AM136" i="2"/>
  <c r="AM138" i="2"/>
  <c r="AM139" i="2"/>
  <c r="AM141" i="2"/>
  <c r="AM142" i="2"/>
  <c r="AM144" i="2"/>
  <c r="AM145" i="2"/>
  <c r="AM147" i="2"/>
  <c r="AM148" i="2"/>
  <c r="AM149" i="2"/>
  <c r="AM151" i="2"/>
  <c r="AM152" i="2"/>
  <c r="AM154" i="2"/>
  <c r="AM156" i="2"/>
  <c r="AM158" i="2"/>
  <c r="AM160" i="2"/>
  <c r="AM162" i="2"/>
  <c r="AM164" i="2"/>
  <c r="AM166" i="2"/>
  <c r="AM168" i="2"/>
  <c r="AM170" i="2"/>
  <c r="AM171" i="2"/>
  <c r="AM173" i="2"/>
  <c r="AM174" i="2"/>
  <c r="AM176" i="2"/>
  <c r="AM178" i="2"/>
  <c r="AM179" i="2"/>
  <c r="AM181" i="2"/>
  <c r="AM182" i="2"/>
  <c r="AM184" i="2"/>
  <c r="AM186" i="2"/>
  <c r="AM188" i="2"/>
  <c r="AM190" i="2"/>
  <c r="AM192" i="2"/>
  <c r="AM193" i="2"/>
  <c r="AM194" i="2"/>
  <c r="AM195" i="2"/>
  <c r="AM196" i="2"/>
  <c r="AM197" i="2"/>
  <c r="AM199" i="2"/>
  <c r="AM201" i="2"/>
  <c r="AM202" i="2"/>
  <c r="AM203" i="2"/>
  <c r="AM205" i="2"/>
  <c r="AM206" i="2"/>
  <c r="AM208" i="2"/>
  <c r="AM209" i="2"/>
  <c r="AM211" i="2"/>
  <c r="AM212" i="2"/>
  <c r="AM214" i="2"/>
  <c r="AM215" i="2"/>
  <c r="AM216" i="2"/>
  <c r="AM217" i="2"/>
  <c r="AM219" i="2"/>
  <c r="AM220" i="2"/>
  <c r="AM221" i="2"/>
  <c r="AM222" i="2"/>
  <c r="AM223" i="2"/>
  <c r="AM225" i="2"/>
  <c r="AM226" i="2"/>
  <c r="AM227" i="2"/>
  <c r="AM228" i="2"/>
  <c r="AM230" i="2"/>
  <c r="AM3" i="2" l="1"/>
  <c r="AM2" i="2" l="1"/>
  <c r="AM4" i="2"/>
  <c r="AM6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2" i="2"/>
  <c r="AM23" i="2"/>
  <c r="AM25" i="2"/>
  <c r="AM27" i="2"/>
  <c r="AM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<sst xmlns="http://schemas.openxmlformats.org/spreadsheetml/2006/main" count="84" uniqueCount="47">
  <si>
    <t>2103 มาโนช สมิทธ์พงศ์ธาดา</t>
  </si>
  <si>
    <t>งวด</t>
  </si>
  <si>
    <t>วันที่</t>
  </si>
  <si>
    <t>เลข</t>
  </si>
  <si>
    <t>เลข 2 ท้าย</t>
  </si>
  <si>
    <t>เลข 3 หน้า</t>
  </si>
  <si>
    <t>เลข 3 หลัง</t>
  </si>
  <si>
    <t>2 ท้าย</t>
  </si>
  <si>
    <t>3 หน้า</t>
  </si>
  <si>
    <t>3 หลัง</t>
  </si>
  <si>
    <t>ที่ 1</t>
  </si>
  <si>
    <t>ข้างเคียง</t>
  </si>
  <si>
    <t>ที่ 2</t>
  </si>
  <si>
    <t>ที่ 3</t>
  </si>
  <si>
    <t>ที่ 4</t>
  </si>
  <si>
    <t>ที่ 5</t>
  </si>
  <si>
    <t>รวม</t>
  </si>
  <si>
    <t>ปี</t>
  </si>
  <si>
    <t>B2</t>
  </si>
  <si>
    <t>B4</t>
  </si>
  <si>
    <t>B5:C5</t>
  </si>
  <si>
    <t>L5</t>
  </si>
  <si>
    <t>L6</t>
  </si>
  <si>
    <t>L7</t>
  </si>
  <si>
    <t>L8</t>
  </si>
  <si>
    <t>L9</t>
  </si>
  <si>
    <t>L10</t>
  </si>
  <si>
    <t>L11</t>
  </si>
  <si>
    <t>L16</t>
  </si>
  <si>
    <t>B6:C6</t>
  </si>
  <si>
    <t>B7</t>
  </si>
  <si>
    <t>B8:C8</t>
  </si>
  <si>
    <t>B10:K10</t>
  </si>
  <si>
    <t>B11:K15</t>
  </si>
  <si>
    <t>B16:K25</t>
  </si>
  <si>
    <t>l4</t>
  </si>
  <si>
    <t>A2</t>
  </si>
  <si>
    <t>A1</t>
  </si>
  <si>
    <t>B9:F9</t>
  </si>
  <si>
    <t>p</t>
  </si>
  <si>
    <t>อายัด</t>
  </si>
  <si>
    <t>B26:K115</t>
  </si>
  <si>
    <t>L26</t>
  </si>
  <si>
    <t>%</t>
  </si>
  <si>
    <t>หน้า</t>
  </si>
  <si>
    <t>หลัง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</si>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</sst>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/m\ h:mm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6"/>
      <color theme="0"/>
      <name val="TH SarabunPSK"/>
      <family val="2"/>
      <charset val="222"/>
    </font>
    <font>
      <sz val="12"/>
      <color theme="1"/>
      <name val="TH SarabunPSK"/>
      <family val="2"/>
      <charset val="222"/>
    </font>
    <font>
      <u/>
      <sz val="16"/>
      <color theme="0"/>
      <name val="TH SarabunPSK"/>
      <family val="2"/>
      <charset val="222"/>
    </font>
    <font>
      <sz val="14"/>
      <color rgb="FF1C1E21"/>
      <name val="TH SarabunPSK"/>
      <family val="2"/>
      <charset val="222"/>
    </font>
    <font>
      <sz val="14"/>
      <color rgb="FFFF0000"/>
      <name val="TH SarabunPSK"/>
      <family val="2"/>
      <charset val="222"/>
    </font>
    <font>
      <sz val="14"/>
      <color rgb="FF333333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0" tint="-0.14999847407452621"/>
      <name val="TH SarabunPSK"/>
      <family val="2"/>
      <charset val="222"/>
    </font>
    <font>
      <u/>
      <sz val="16"/>
      <color theme="0"/>
      <name val="TH SarabunPSK"/>
      <family val="2"/>
    </font>
    <font>
      <sz val="16"/>
      <color theme="0"/>
      <name val="TH SarabunPSK"/>
      <family val="2"/>
    </font>
    <font>
      <sz val="14"/>
      <color theme="0"/>
      <name val="TH SarabunPSK"/>
      <family val="2"/>
    </font>
    <font>
      <b/>
      <sz val="12"/>
      <color theme="0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b/>
      <sz val="12"/>
      <color rgb="FFFF0000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93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22" fontId="0" fillId="0" borderId="7" xfId="0" applyNumberForma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165" fontId="11" fillId="0" borderId="14" xfId="3" applyNumberFormat="1" applyFont="1" applyBorder="1" applyAlignment="1">
      <alignment horizontal="center" vertical="center"/>
    </xf>
    <xf numFmtId="165" fontId="11" fillId="0" borderId="0" xfId="3" applyNumberFormat="1" applyFont="1" applyBorder="1" applyAlignment="1">
      <alignment horizontal="center" vertical="center"/>
    </xf>
    <xf numFmtId="165" fontId="16" fillId="0" borderId="0" xfId="3" applyNumberFormat="1" applyFont="1" applyBorder="1" applyAlignment="1">
      <alignment horizontal="center" vertical="center"/>
    </xf>
    <xf numFmtId="165" fontId="11" fillId="0" borderId="16" xfId="3" applyNumberFormat="1" applyFont="1" applyBorder="1" applyAlignment="1">
      <alignment horizontal="center" vertical="center"/>
    </xf>
    <xf numFmtId="0" fontId="11" fillId="0" borderId="0" xfId="2" quotePrefix="1" applyFont="1" applyAlignment="1">
      <alignment horizontal="center" vertical="center"/>
    </xf>
    <xf numFmtId="165" fontId="11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165" fontId="11" fillId="0" borderId="0" xfId="7" applyNumberFormat="1" applyFont="1" applyAlignment="1">
      <alignment horizontal="center" vertical="center"/>
    </xf>
    <xf numFmtId="9" fontId="11" fillId="0" borderId="0" xfId="2" applyNumberFormat="1" applyFont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165" fontId="11" fillId="0" borderId="17" xfId="2" applyNumberFormat="1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43" fontId="20" fillId="0" borderId="0" xfId="2" applyNumberFormat="1" applyFont="1" applyAlignment="1">
      <alignment horizontal="center" vertical="center"/>
    </xf>
    <xf numFmtId="166" fontId="14" fillId="0" borderId="0" xfId="2" applyNumberFormat="1" applyFont="1" applyAlignment="1">
      <alignment horizontal="center" vertical="center"/>
    </xf>
    <xf numFmtId="165" fontId="11" fillId="0" borderId="9" xfId="3" applyNumberFormat="1" applyFont="1" applyBorder="1" applyAlignment="1">
      <alignment horizontal="center" vertical="center"/>
    </xf>
    <xf numFmtId="165" fontId="11" fillId="0" borderId="9" xfId="3" applyNumberFormat="1" applyFont="1" applyFill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65" fontId="11" fillId="0" borderId="2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1" applyFont="1" applyFill="1" applyBorder="1" applyAlignment="1">
      <alignment horizontal="left" vertical="center"/>
    </xf>
    <xf numFmtId="0" fontId="22" fillId="0" borderId="0" xfId="1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2" applyFont="1" applyAlignment="1">
      <alignment horizontal="center" vertical="center"/>
    </xf>
    <xf numFmtId="0" fontId="11" fillId="0" borderId="15" xfId="2" applyFont="1" applyBorder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24" fillId="2" borderId="19" xfId="2" applyFont="1" applyFill="1" applyBorder="1" applyAlignment="1">
      <alignment horizontal="center" vertical="center"/>
    </xf>
    <xf numFmtId="0" fontId="25" fillId="2" borderId="21" xfId="2" applyFont="1" applyFill="1" applyBorder="1" applyAlignment="1">
      <alignment horizontal="right" vertical="center"/>
    </xf>
    <xf numFmtId="0" fontId="25" fillId="0" borderId="13" xfId="2" applyFont="1" applyBorder="1" applyAlignment="1">
      <alignment horizontal="center" vertical="center"/>
    </xf>
    <xf numFmtId="0" fontId="25" fillId="0" borderId="21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165" fontId="26" fillId="0" borderId="19" xfId="2" applyNumberFormat="1" applyFont="1" applyBorder="1" applyAlignment="1">
      <alignment horizontal="center" vertical="center"/>
    </xf>
    <xf numFmtId="166" fontId="25" fillId="0" borderId="19" xfId="2" applyNumberFormat="1" applyFont="1" applyBorder="1" applyAlignment="1">
      <alignment horizontal="center" vertical="center"/>
    </xf>
    <xf numFmtId="165" fontId="25" fillId="0" borderId="19" xfId="7" applyNumberFormat="1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25" fillId="0" borderId="21" xfId="2" applyFont="1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5" fontId="0" fillId="0" borderId="0" xfId="7" applyNumberFormat="1" applyFont="1" applyAlignment="1">
      <alignment horizontal="right" vertical="center"/>
    </xf>
    <xf numFmtId="165" fontId="26" fillId="0" borderId="25" xfId="2" applyNumberFormat="1" applyFont="1" applyFill="1" applyBorder="1" applyAlignment="1">
      <alignment horizontal="center" vertical="center"/>
    </xf>
  </cellXfs>
  <cellStyles count="8">
    <cellStyle name="Comma" xfId="7" builtinId="3"/>
    <cellStyle name="Comma 2" xfId="6" xr:uid="{3CA52D60-B8FE-4ACD-94BF-8D2C0A502990}"/>
    <cellStyle name="Hyperlink" xfId="1" builtinId="8"/>
    <cellStyle name="Hyperlink 2" xfId="4" xr:uid="{C6BABD94-2A0F-43CE-A184-1CE8D2B4AF21}"/>
    <cellStyle name="Normal" xfId="0" builtinId="0"/>
    <cellStyle name="Normal 2" xfId="5" xr:uid="{8832B0BE-A589-4153-A8BC-2B8C69CD3B97}"/>
    <cellStyle name="จุลภาค 2" xfId="3" xr:uid="{51A4DE6D-77A2-4006-929F-3347B8210465}"/>
    <cellStyle name="ปกติ 2" xfId="2" xr:uid="{75267CD1-7887-45FF-BAF9-41094069DEC6}"/>
  </cellStyles>
  <dxfs count="7"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55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838200</xdr:colOff>
      <xdr:row>151</xdr:row>
      <xdr:rowOff>159808</xdr:rowOff>
    </xdr:from>
    <xdr:to>
      <xdr:col>34</xdr:col>
      <xdr:colOff>828675</xdr:colOff>
      <xdr:row>157</xdr:row>
      <xdr:rowOff>142874</xdr:rowOff>
    </xdr:to>
    <xdr:sp macro="" textlink="">
      <xdr:nvSpPr>
        <xdr:cNvPr id="3" name="Triangle 1">
          <a:extLst>
            <a:ext uri="{FF2B5EF4-FFF2-40B4-BE49-F238E27FC236}">
              <a16:creationId xmlns:a16="http://schemas.microsoft.com/office/drawing/2014/main" id="{AB6A7271-B56D-4258-8893-8E1501E6E409}"/>
            </a:ext>
          </a:extLst>
        </xdr:cNvPr>
        <xdr:cNvSpPr/>
      </xdr:nvSpPr>
      <xdr:spPr>
        <a:xfrm>
          <a:off x="3648075" y="28934833"/>
          <a:ext cx="914400" cy="1126066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sheet</a:t>
          </a:r>
          <a:r>
            <a:rPr lang="en-US" sz="1100" baseline="0"/>
            <a:t> 3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82CD-4F32-468D-AC44-669391A049E3}">
  <dimension ref="A1:J122"/>
  <sheetViews>
    <sheetView topLeftCell="A83" zoomScale="80" zoomScaleNormal="80" workbookViewId="0">
      <selection activeCell="J122" sqref="J122"/>
    </sheetView>
  </sheetViews>
  <sheetFormatPr defaultColWidth="9.140625" defaultRowHeight="12" customHeight="1"/>
  <cols>
    <col min="1" max="2" width="3.140625" style="8" customWidth="1"/>
    <col min="3" max="3" width="17.140625" style="16" customWidth="1"/>
    <col min="4" max="4" width="3.7109375" style="8" customWidth="1"/>
    <col min="5" max="5" width="17.140625" style="16" customWidth="1"/>
    <col min="6" max="6" width="4" style="16" customWidth="1"/>
    <col min="7" max="7" width="3.140625" style="8" customWidth="1"/>
    <col min="8" max="8" width="17.140625" style="16" customWidth="1"/>
    <col min="9" max="9" width="3.7109375" style="8" customWidth="1"/>
    <col min="10" max="10" width="17.140625" style="16" customWidth="1"/>
    <col min="11" max="16384" width="9.140625" style="8"/>
  </cols>
  <sheetData>
    <row r="1" spans="1:10" ht="12" customHeight="1">
      <c r="A1" s="6"/>
      <c r="B1" s="6"/>
      <c r="C1" s="9"/>
      <c r="D1" s="6"/>
      <c r="E1" s="9"/>
      <c r="F1" s="9"/>
      <c r="G1" s="6"/>
      <c r="H1" s="9"/>
      <c r="I1" s="6"/>
      <c r="J1" s="9"/>
    </row>
    <row r="3" spans="1:10" ht="12" customHeight="1">
      <c r="A3" s="82" cm="1">
        <f t="array" aca="1" ref="A3" ca="1">SUM(IF(ISNUMBER(Sheet!C2:C21),Sheet!C2:C21,""))</f>
        <v>0</v>
      </c>
      <c r="B3" s="1">
        <v>1</v>
      </c>
      <c r="C3" s="10" t="str">
        <f>MID(Sheet!$A2,7,9)</f>
        <v/>
      </c>
      <c r="D3" s="1">
        <v>11</v>
      </c>
      <c r="E3" s="10" t="str">
        <f>MID(Sheet!$A12,7,9)</f>
        <v/>
      </c>
      <c r="F3" s="82" cm="1">
        <f t="array" aca="1" ref="F3" ca="1">SUM(IF(ISNUMBER(Sheet!C82:C101),Sheet!C82:C101,""))</f>
        <v>0</v>
      </c>
      <c r="G3" s="1">
        <v>1</v>
      </c>
      <c r="H3" s="13" t="str">
        <f>MID(Sheet!$A82,7,9)</f>
        <v/>
      </c>
      <c r="I3" s="1">
        <v>11</v>
      </c>
      <c r="J3" s="13" t="str">
        <f>MID(Sheet!$A92,7,9)</f>
        <v/>
      </c>
    </row>
    <row r="4" spans="1:10" ht="12" customHeight="1">
      <c r="A4" s="83"/>
      <c r="B4" s="1">
        <v>2</v>
      </c>
      <c r="C4" s="10" t="str">
        <f>MID(Sheet!A3,7,9)</f>
        <v/>
      </c>
      <c r="D4" s="1">
        <v>12</v>
      </c>
      <c r="E4" s="10" t="str">
        <f>MID(Sheet!$A13,7,9)</f>
        <v/>
      </c>
      <c r="F4" s="83"/>
      <c r="G4" s="1">
        <v>2</v>
      </c>
      <c r="H4" s="13" t="str">
        <f>MID(Sheet!$A83,7,9)</f>
        <v/>
      </c>
      <c r="I4" s="1">
        <v>12</v>
      </c>
      <c r="J4" s="13" t="str">
        <f>MID(Sheet!$A93,7,9)</f>
        <v/>
      </c>
    </row>
    <row r="5" spans="1:10" ht="12" customHeight="1">
      <c r="A5" s="83"/>
      <c r="B5" s="1">
        <v>3</v>
      </c>
      <c r="C5" s="10" t="str">
        <f>MID(Sheet!A4,7,9)</f>
        <v/>
      </c>
      <c r="D5" s="1">
        <v>13</v>
      </c>
      <c r="E5" s="10" t="str">
        <f>MID(Sheet!$A14,7,9)</f>
        <v/>
      </c>
      <c r="F5" s="83"/>
      <c r="G5" s="1">
        <v>3</v>
      </c>
      <c r="H5" s="13" t="str">
        <f>MID(Sheet!$A84,7,9)</f>
        <v/>
      </c>
      <c r="I5" s="1">
        <v>13</v>
      </c>
      <c r="J5" s="13" t="str">
        <f>MID(Sheet!$A94,7,9)</f>
        <v/>
      </c>
    </row>
    <row r="6" spans="1:10" ht="12" customHeight="1">
      <c r="A6" s="83"/>
      <c r="B6" s="1">
        <v>4</v>
      </c>
      <c r="C6" s="10" t="str">
        <f>MID(Sheet!A5,7,9)</f>
        <v/>
      </c>
      <c r="D6" s="1">
        <v>14</v>
      </c>
      <c r="E6" s="10" t="str">
        <f>MID(Sheet!$A15,7,9)</f>
        <v/>
      </c>
      <c r="F6" s="83"/>
      <c r="G6" s="1">
        <v>4</v>
      </c>
      <c r="H6" s="13" t="str">
        <f>MID(Sheet!$A85,7,9)</f>
        <v/>
      </c>
      <c r="I6" s="1">
        <v>14</v>
      </c>
      <c r="J6" s="13" t="str">
        <f>MID(Sheet!$A95,7,9)</f>
        <v/>
      </c>
    </row>
    <row r="7" spans="1:10" ht="12" customHeight="1">
      <c r="A7" s="83"/>
      <c r="B7" s="1">
        <v>5</v>
      </c>
      <c r="C7" s="10" t="str">
        <f>MID(Sheet!A6,7,9)</f>
        <v/>
      </c>
      <c r="D7" s="1">
        <v>15</v>
      </c>
      <c r="E7" s="10" t="str">
        <f>MID(Sheet!$A16,7,9)</f>
        <v/>
      </c>
      <c r="F7" s="83"/>
      <c r="G7" s="1">
        <v>5</v>
      </c>
      <c r="H7" s="13" t="str">
        <f>MID(Sheet!$A86,7,9)</f>
        <v/>
      </c>
      <c r="I7" s="1">
        <v>15</v>
      </c>
      <c r="J7" s="13" t="str">
        <f>MID(Sheet!$A96,7,9)</f>
        <v/>
      </c>
    </row>
    <row r="8" spans="1:10" ht="12" customHeight="1">
      <c r="A8" s="83"/>
      <c r="B8" s="1">
        <v>6</v>
      </c>
      <c r="C8" s="10" t="str">
        <f>MID(Sheet!A7,7,9)</f>
        <v/>
      </c>
      <c r="D8" s="1">
        <v>16</v>
      </c>
      <c r="E8" s="10" t="str">
        <f>MID(Sheet!$A17,7,9)</f>
        <v/>
      </c>
      <c r="F8" s="83"/>
      <c r="G8" s="1">
        <v>6</v>
      </c>
      <c r="H8" s="13" t="str">
        <f>MID(Sheet!$A87,7,9)</f>
        <v/>
      </c>
      <c r="I8" s="1">
        <v>16</v>
      </c>
      <c r="J8" s="13" t="str">
        <f>MID(Sheet!$A97,7,9)</f>
        <v/>
      </c>
    </row>
    <row r="9" spans="1:10" ht="12" customHeight="1">
      <c r="A9" s="83"/>
      <c r="B9" s="1">
        <v>7</v>
      </c>
      <c r="C9" s="10" t="str">
        <f>MID(Sheet!A8,7,9)</f>
        <v/>
      </c>
      <c r="D9" s="1">
        <v>17</v>
      </c>
      <c r="E9" s="10" t="str">
        <f>MID(Sheet!$A18,7,9)</f>
        <v/>
      </c>
      <c r="F9" s="83"/>
      <c r="G9" s="1">
        <v>7</v>
      </c>
      <c r="H9" s="13" t="str">
        <f>MID(Sheet!$A88,7,9)</f>
        <v/>
      </c>
      <c r="I9" s="1">
        <v>17</v>
      </c>
      <c r="J9" s="13" t="str">
        <f>MID(Sheet!$A98,7,9)</f>
        <v/>
      </c>
    </row>
    <row r="10" spans="1:10" ht="12" customHeight="1">
      <c r="A10" s="83"/>
      <c r="B10" s="1">
        <v>8</v>
      </c>
      <c r="C10" s="10" t="str">
        <f>MID(Sheet!A9,7,9)</f>
        <v/>
      </c>
      <c r="D10" s="1">
        <v>18</v>
      </c>
      <c r="E10" s="10" t="str">
        <f>MID(Sheet!$A19,7,9)</f>
        <v/>
      </c>
      <c r="F10" s="83"/>
      <c r="G10" s="1">
        <v>8</v>
      </c>
      <c r="H10" s="13" t="str">
        <f>MID(Sheet!$A89,7,9)</f>
        <v/>
      </c>
      <c r="I10" s="1">
        <v>18</v>
      </c>
      <c r="J10" s="13" t="str">
        <f>MID(Sheet!$A99,7,9)</f>
        <v/>
      </c>
    </row>
    <row r="11" spans="1:10" ht="12" customHeight="1">
      <c r="A11" s="83"/>
      <c r="B11" s="1">
        <v>9</v>
      </c>
      <c r="C11" s="10" t="str">
        <f>MID(Sheet!A10,7,9)</f>
        <v/>
      </c>
      <c r="D11" s="1">
        <v>19</v>
      </c>
      <c r="E11" s="10" t="str">
        <f>MID(Sheet!$A20,7,9)</f>
        <v/>
      </c>
      <c r="F11" s="83"/>
      <c r="G11" s="1">
        <v>9</v>
      </c>
      <c r="H11" s="13" t="str">
        <f>MID(Sheet!$A90,7,9)</f>
        <v/>
      </c>
      <c r="I11" s="1">
        <v>19</v>
      </c>
      <c r="J11" s="13" t="str">
        <f>MID(Sheet!$A100,7,9)</f>
        <v/>
      </c>
    </row>
    <row r="12" spans="1:10" ht="12" customHeight="1">
      <c r="A12" s="83"/>
      <c r="B12" s="1">
        <v>10</v>
      </c>
      <c r="C12" s="10" t="str">
        <f>MID(Sheet!A11,7,9)</f>
        <v/>
      </c>
      <c r="D12" s="1">
        <v>20</v>
      </c>
      <c r="E12" s="10" t="str">
        <f>MID(Sheet!$A21,7,9)</f>
        <v/>
      </c>
      <c r="F12" s="83"/>
      <c r="G12" s="1">
        <v>10</v>
      </c>
      <c r="H12" s="13" t="str">
        <f>MID(Sheet!$A91,7,9)</f>
        <v/>
      </c>
      <c r="I12" s="1">
        <v>20</v>
      </c>
      <c r="J12" s="13" t="str">
        <f>MID(Sheet!$A101,7,9)</f>
        <v/>
      </c>
    </row>
    <row r="13" spans="1:10" ht="12" customHeight="1">
      <c r="A13" s="83"/>
      <c r="B13" s="85" t="s">
        <v>0</v>
      </c>
      <c r="C13" s="86"/>
      <c r="D13" s="86"/>
      <c r="E13" s="89">
        <f>COUNTA(Sheet!$A2:$A21)</f>
        <v>0</v>
      </c>
      <c r="F13" s="83"/>
      <c r="G13" s="85" t="s">
        <v>0</v>
      </c>
      <c r="H13" s="86"/>
      <c r="I13" s="86"/>
      <c r="J13" s="89">
        <f>COUNTA(Sheet!$A82:$A101)</f>
        <v>0</v>
      </c>
    </row>
    <row r="14" spans="1:10" ht="12" customHeight="1">
      <c r="A14" s="84"/>
      <c r="B14" s="87"/>
      <c r="C14" s="88"/>
      <c r="D14" s="88"/>
      <c r="E14" s="90"/>
      <c r="F14" s="84"/>
      <c r="G14" s="87"/>
      <c r="H14" s="88"/>
      <c r="I14" s="88"/>
      <c r="J14" s="90"/>
    </row>
    <row r="17" spans="1:10" ht="12" customHeight="1">
      <c r="A17" s="82" cm="1">
        <f t="array" aca="1" ref="A17" ca="1">SUM(IF(ISNUMBER(Sheet!C22:C41),Sheet!C22:C41,""))</f>
        <v>0</v>
      </c>
      <c r="B17" s="1">
        <v>1</v>
      </c>
      <c r="C17" s="13" t="str">
        <f>MID(Sheet!$A22,7,9)</f>
        <v/>
      </c>
      <c r="D17" s="1">
        <v>11</v>
      </c>
      <c r="E17" s="18" t="str">
        <f>MID(Sheet!$A32,7,9)</f>
        <v/>
      </c>
      <c r="F17" s="82" cm="1">
        <f t="array" aca="1" ref="F17" ca="1">SUM(IF(ISNUMBER(Sheet!C102:C121),Sheet!C102:C121,""))</f>
        <v>0</v>
      </c>
      <c r="G17" s="1">
        <v>1</v>
      </c>
      <c r="H17" s="13" t="str">
        <f>MID(Sheet!$A102,7,9)</f>
        <v/>
      </c>
      <c r="I17" s="1">
        <v>11</v>
      </c>
      <c r="J17" s="13" t="str">
        <f>MID(Sheet!$A112,7,9)</f>
        <v/>
      </c>
    </row>
    <row r="18" spans="1:10" ht="12" customHeight="1">
      <c r="A18" s="83"/>
      <c r="B18" s="1">
        <v>2</v>
      </c>
      <c r="C18" s="13" t="str">
        <f>MID(Sheet!$A23,7,9)</f>
        <v/>
      </c>
      <c r="D18" s="1">
        <v>12</v>
      </c>
      <c r="E18" s="18" t="str">
        <f>MID(Sheet!$A33,7,9)</f>
        <v/>
      </c>
      <c r="F18" s="83"/>
      <c r="G18" s="1">
        <v>2</v>
      </c>
      <c r="H18" s="13" t="str">
        <f>MID(Sheet!$A103,7,9)</f>
        <v/>
      </c>
      <c r="I18" s="1">
        <v>12</v>
      </c>
      <c r="J18" s="13" t="str">
        <f>MID(Sheet!$A113,7,9)</f>
        <v/>
      </c>
    </row>
    <row r="19" spans="1:10" ht="12" customHeight="1">
      <c r="A19" s="83"/>
      <c r="B19" s="1">
        <v>3</v>
      </c>
      <c r="C19" s="13" t="str">
        <f>MID(Sheet!$A24,7,9)</f>
        <v/>
      </c>
      <c r="D19" s="1">
        <v>13</v>
      </c>
      <c r="E19" s="18" t="str">
        <f>MID(Sheet!$A34,7,9)</f>
        <v/>
      </c>
      <c r="F19" s="83"/>
      <c r="G19" s="1">
        <v>3</v>
      </c>
      <c r="H19" s="13" t="str">
        <f>MID(Sheet!$A104,7,9)</f>
        <v/>
      </c>
      <c r="I19" s="1">
        <v>13</v>
      </c>
      <c r="J19" s="13" t="str">
        <f>MID(Sheet!$A114,7,9)</f>
        <v/>
      </c>
    </row>
    <row r="20" spans="1:10" ht="12" customHeight="1">
      <c r="A20" s="83"/>
      <c r="B20" s="1">
        <v>4</v>
      </c>
      <c r="C20" s="13" t="str">
        <f>MID(Sheet!$A25,7,9)</f>
        <v/>
      </c>
      <c r="D20" s="1">
        <v>14</v>
      </c>
      <c r="E20" s="18" t="str">
        <f>MID(Sheet!$A35,7,9)</f>
        <v/>
      </c>
      <c r="F20" s="83"/>
      <c r="G20" s="1">
        <v>4</v>
      </c>
      <c r="H20" s="13" t="str">
        <f>MID(Sheet!$A105,7,9)</f>
        <v/>
      </c>
      <c r="I20" s="1">
        <v>14</v>
      </c>
      <c r="J20" s="13" t="str">
        <f>MID(Sheet!$A115,7,9)</f>
        <v/>
      </c>
    </row>
    <row r="21" spans="1:10" ht="12" customHeight="1">
      <c r="A21" s="83"/>
      <c r="B21" s="1">
        <v>5</v>
      </c>
      <c r="C21" s="13" t="str">
        <f>MID(Sheet!$A26,7,9)</f>
        <v/>
      </c>
      <c r="D21" s="1">
        <v>15</v>
      </c>
      <c r="E21" s="18" t="str">
        <f>MID(Sheet!$A36,7,9)</f>
        <v/>
      </c>
      <c r="F21" s="83"/>
      <c r="G21" s="1">
        <v>5</v>
      </c>
      <c r="H21" s="13" t="str">
        <f>MID(Sheet!$A106,7,9)</f>
        <v/>
      </c>
      <c r="I21" s="1">
        <v>15</v>
      </c>
      <c r="J21" s="13" t="str">
        <f>MID(Sheet!$A116,7,9)</f>
        <v/>
      </c>
    </row>
    <row r="22" spans="1:10" ht="12" customHeight="1">
      <c r="A22" s="83"/>
      <c r="B22" s="1">
        <v>6</v>
      </c>
      <c r="C22" s="13" t="str">
        <f>MID(Sheet!$A27,7,9)</f>
        <v/>
      </c>
      <c r="D22" s="1">
        <v>16</v>
      </c>
      <c r="E22" s="18" t="str">
        <f>MID(Sheet!$A37,7,9)</f>
        <v/>
      </c>
      <c r="F22" s="83"/>
      <c r="G22" s="1">
        <v>6</v>
      </c>
      <c r="H22" s="13" t="str">
        <f>MID(Sheet!$A107,7,9)</f>
        <v/>
      </c>
      <c r="I22" s="1">
        <v>16</v>
      </c>
      <c r="J22" s="13" t="str">
        <f>MID(Sheet!$A117,7,9)</f>
        <v/>
      </c>
    </row>
    <row r="23" spans="1:10" ht="12" customHeight="1">
      <c r="A23" s="83"/>
      <c r="B23" s="1">
        <v>7</v>
      </c>
      <c r="C23" s="13" t="str">
        <f>MID(Sheet!$A28,7,9)</f>
        <v/>
      </c>
      <c r="D23" s="1">
        <v>17</v>
      </c>
      <c r="E23" s="18" t="str">
        <f>MID(Sheet!$A38,7,9)</f>
        <v/>
      </c>
      <c r="F23" s="83"/>
      <c r="G23" s="1">
        <v>7</v>
      </c>
      <c r="H23" s="13" t="str">
        <f>MID(Sheet!$A108,7,9)</f>
        <v/>
      </c>
      <c r="I23" s="1">
        <v>17</v>
      </c>
      <c r="J23" s="13" t="str">
        <f>MID(Sheet!$A118,7,9)</f>
        <v/>
      </c>
    </row>
    <row r="24" spans="1:10" ht="12" customHeight="1">
      <c r="A24" s="83"/>
      <c r="B24" s="1">
        <v>8</v>
      </c>
      <c r="C24" s="13" t="str">
        <f>MID(Sheet!$A29,7,9)</f>
        <v/>
      </c>
      <c r="D24" s="1">
        <v>18</v>
      </c>
      <c r="E24" s="18" t="str">
        <f>MID(Sheet!$A39,7,9)</f>
        <v/>
      </c>
      <c r="F24" s="83"/>
      <c r="G24" s="1">
        <v>8</v>
      </c>
      <c r="H24" s="13" t="str">
        <f>MID(Sheet!$A109,7,9)</f>
        <v/>
      </c>
      <c r="I24" s="1">
        <v>18</v>
      </c>
      <c r="J24" s="13" t="str">
        <f>MID(Sheet!$A119,7,9)</f>
        <v/>
      </c>
    </row>
    <row r="25" spans="1:10" ht="12" customHeight="1">
      <c r="A25" s="83"/>
      <c r="B25" s="1">
        <v>9</v>
      </c>
      <c r="C25" s="13" t="str">
        <f>MID(Sheet!$A30,7,9)</f>
        <v/>
      </c>
      <c r="D25" s="1">
        <v>19</v>
      </c>
      <c r="E25" s="18" t="str">
        <f>MID(Sheet!$A40,7,9)</f>
        <v/>
      </c>
      <c r="F25" s="83"/>
      <c r="G25" s="1">
        <v>9</v>
      </c>
      <c r="H25" s="13" t="str">
        <f>MID(Sheet!$A110,7,9)</f>
        <v/>
      </c>
      <c r="I25" s="1">
        <v>19</v>
      </c>
      <c r="J25" s="13" t="str">
        <f>MID(Sheet!$A120,7,9)</f>
        <v/>
      </c>
    </row>
    <row r="26" spans="1:10" ht="12" customHeight="1">
      <c r="A26" s="83"/>
      <c r="B26" s="1">
        <v>10</v>
      </c>
      <c r="C26" s="13" t="str">
        <f>MID(Sheet!$A31,7,9)</f>
        <v/>
      </c>
      <c r="D26" s="1">
        <v>20</v>
      </c>
      <c r="E26" s="18" t="str">
        <f>MID(Sheet!$A41,7,9)</f>
        <v/>
      </c>
      <c r="F26" s="83"/>
      <c r="G26" s="1">
        <v>10</v>
      </c>
      <c r="H26" s="13" t="str">
        <f>MID(Sheet!$A111,7,9)</f>
        <v/>
      </c>
      <c r="I26" s="1">
        <v>20</v>
      </c>
      <c r="J26" s="13" t="str">
        <f>MID(Sheet!$A121,7,9)</f>
        <v/>
      </c>
    </row>
    <row r="27" spans="1:10" ht="12" customHeight="1">
      <c r="A27" s="83"/>
      <c r="B27" s="85" t="s">
        <v>0</v>
      </c>
      <c r="C27" s="86"/>
      <c r="D27" s="86"/>
      <c r="E27" s="89">
        <f>COUNTA(Sheet!A22:A41)</f>
        <v>0</v>
      </c>
      <c r="F27" s="83"/>
      <c r="G27" s="85" t="s">
        <v>0</v>
      </c>
      <c r="H27" s="86"/>
      <c r="I27" s="86"/>
      <c r="J27" s="89">
        <f>COUNTA(Sheet!$A102:$A121)</f>
        <v>0</v>
      </c>
    </row>
    <row r="28" spans="1:10" ht="12" customHeight="1">
      <c r="A28" s="84"/>
      <c r="B28" s="87"/>
      <c r="C28" s="88"/>
      <c r="D28" s="88"/>
      <c r="E28" s="90"/>
      <c r="F28" s="84"/>
      <c r="G28" s="87"/>
      <c r="H28" s="88"/>
      <c r="I28" s="88"/>
      <c r="J28" s="90"/>
    </row>
    <row r="29" spans="1:10" ht="12" customHeight="1">
      <c r="B29" s="3"/>
      <c r="C29" s="12"/>
      <c r="D29" s="3"/>
      <c r="E29" s="12"/>
      <c r="F29" s="12"/>
      <c r="G29" s="3"/>
      <c r="H29" s="12"/>
      <c r="I29" s="3"/>
      <c r="J29" s="20"/>
    </row>
    <row r="30" spans="1:10" ht="12" customHeight="1">
      <c r="B30" s="3"/>
      <c r="C30" s="12"/>
      <c r="D30" s="3"/>
      <c r="E30" s="12"/>
      <c r="F30" s="12"/>
      <c r="G30" s="3"/>
      <c r="H30" s="12"/>
      <c r="I30" s="3"/>
      <c r="J30" s="20"/>
    </row>
    <row r="31" spans="1:10" ht="12" customHeight="1">
      <c r="A31" s="82" cm="1">
        <f t="array" aca="1" ref="A31" ca="1">SUM(IF(ISNUMBER(Sheet!C42:C61),Sheet!C42:C61,""))</f>
        <v>0</v>
      </c>
      <c r="B31" s="1">
        <v>1</v>
      </c>
      <c r="C31" s="13" t="str">
        <f>MID(Sheet!$A42,7,9)</f>
        <v/>
      </c>
      <c r="D31" s="1">
        <v>11</v>
      </c>
      <c r="E31" s="18" t="str">
        <f>MID(Sheet!$A52,7,9)</f>
        <v/>
      </c>
      <c r="F31" s="82" cm="1">
        <f t="array" aca="1" ref="F31" ca="1">SUM(IF(ISNUMBER(Sheet!C122:C141),Sheet!C122:C141,""))</f>
        <v>0</v>
      </c>
      <c r="G31" s="1">
        <v>1</v>
      </c>
      <c r="H31" s="10" t="str">
        <f>MID(Sheet!$A122,7,9)</f>
        <v/>
      </c>
      <c r="I31" s="1">
        <v>11</v>
      </c>
      <c r="J31" s="13" t="str">
        <f>MID(Sheet!$A132,7,9)</f>
        <v/>
      </c>
    </row>
    <row r="32" spans="1:10" ht="12" customHeight="1">
      <c r="A32" s="83"/>
      <c r="B32" s="1">
        <v>2</v>
      </c>
      <c r="C32" s="13" t="str">
        <f>MID(Sheet!$A43,7,9)</f>
        <v/>
      </c>
      <c r="D32" s="1">
        <v>12</v>
      </c>
      <c r="E32" s="18" t="str">
        <f>MID(Sheet!$A53,7,9)</f>
        <v/>
      </c>
      <c r="F32" s="83"/>
      <c r="G32" s="1">
        <v>2</v>
      </c>
      <c r="H32" s="10" t="str">
        <f>MID(Sheet!$A123,7,9)</f>
        <v/>
      </c>
      <c r="I32" s="1">
        <v>12</v>
      </c>
      <c r="J32" s="13" t="str">
        <f>MID(Sheet!$A133,7,9)</f>
        <v/>
      </c>
    </row>
    <row r="33" spans="1:10" ht="12" customHeight="1">
      <c r="A33" s="83"/>
      <c r="B33" s="1">
        <v>3</v>
      </c>
      <c r="C33" s="13" t="str">
        <f>MID(Sheet!$A44,7,9)</f>
        <v/>
      </c>
      <c r="D33" s="1">
        <v>13</v>
      </c>
      <c r="E33" s="18" t="str">
        <f>MID(Sheet!$A54,7,9)</f>
        <v/>
      </c>
      <c r="F33" s="83"/>
      <c r="G33" s="1">
        <v>3</v>
      </c>
      <c r="H33" s="10" t="str">
        <f>MID(Sheet!$A124,7,9)</f>
        <v/>
      </c>
      <c r="I33" s="1">
        <v>13</v>
      </c>
      <c r="J33" s="13" t="str">
        <f>MID(Sheet!$A134,7,9)</f>
        <v/>
      </c>
    </row>
    <row r="34" spans="1:10" ht="12" customHeight="1">
      <c r="A34" s="83"/>
      <c r="B34" s="1">
        <v>4</v>
      </c>
      <c r="C34" s="13" t="str">
        <f>MID(Sheet!$A45,7,9)</f>
        <v/>
      </c>
      <c r="D34" s="1">
        <v>14</v>
      </c>
      <c r="E34" s="18" t="str">
        <f>MID(Sheet!$A55,7,9)</f>
        <v/>
      </c>
      <c r="F34" s="83"/>
      <c r="G34" s="1">
        <v>4</v>
      </c>
      <c r="H34" s="10" t="str">
        <f>MID(Sheet!$A125,7,9)</f>
        <v/>
      </c>
      <c r="I34" s="1">
        <v>14</v>
      </c>
      <c r="J34" s="13" t="str">
        <f>MID(Sheet!$A135,7,9)</f>
        <v/>
      </c>
    </row>
    <row r="35" spans="1:10" ht="12" customHeight="1">
      <c r="A35" s="83"/>
      <c r="B35" s="1">
        <v>5</v>
      </c>
      <c r="C35" s="13" t="str">
        <f>MID(Sheet!$A46,7,9)</f>
        <v/>
      </c>
      <c r="D35" s="1">
        <v>15</v>
      </c>
      <c r="E35" s="18" t="str">
        <f>MID(Sheet!$A56,7,9)</f>
        <v/>
      </c>
      <c r="F35" s="83"/>
      <c r="G35" s="1">
        <v>5</v>
      </c>
      <c r="H35" s="10" t="str">
        <f>MID(Sheet!$A126,7,9)</f>
        <v/>
      </c>
      <c r="I35" s="1">
        <v>15</v>
      </c>
      <c r="J35" s="13" t="str">
        <f>MID(Sheet!$A136,7,9)</f>
        <v/>
      </c>
    </row>
    <row r="36" spans="1:10" ht="12" customHeight="1">
      <c r="A36" s="83"/>
      <c r="B36" s="1">
        <v>6</v>
      </c>
      <c r="C36" s="13" t="str">
        <f>MID(Sheet!$A47,7,9)</f>
        <v/>
      </c>
      <c r="D36" s="1">
        <v>16</v>
      </c>
      <c r="E36" s="18" t="str">
        <f>MID(Sheet!$A57,7,9)</f>
        <v/>
      </c>
      <c r="F36" s="83"/>
      <c r="G36" s="1">
        <v>6</v>
      </c>
      <c r="H36" s="10" t="str">
        <f>MID(Sheet!$A127,7,9)</f>
        <v/>
      </c>
      <c r="I36" s="1">
        <v>16</v>
      </c>
      <c r="J36" s="13" t="str">
        <f>MID(Sheet!$A137,7,9)</f>
        <v/>
      </c>
    </row>
    <row r="37" spans="1:10" ht="12" customHeight="1">
      <c r="A37" s="83"/>
      <c r="B37" s="1">
        <v>7</v>
      </c>
      <c r="C37" s="13" t="str">
        <f>MID(Sheet!$A48,7,9)</f>
        <v/>
      </c>
      <c r="D37" s="1">
        <v>17</v>
      </c>
      <c r="E37" s="18" t="str">
        <f>MID(Sheet!$A58,7,9)</f>
        <v/>
      </c>
      <c r="F37" s="83"/>
      <c r="G37" s="1">
        <v>7</v>
      </c>
      <c r="H37" s="10" t="str">
        <f>MID(Sheet!$A128,7,9)</f>
        <v/>
      </c>
      <c r="I37" s="1">
        <v>17</v>
      </c>
      <c r="J37" s="13" t="str">
        <f>MID(Sheet!$A138,7,9)</f>
        <v/>
      </c>
    </row>
    <row r="38" spans="1:10" ht="12" customHeight="1">
      <c r="A38" s="83"/>
      <c r="B38" s="1">
        <v>8</v>
      </c>
      <c r="C38" s="13" t="str">
        <f>MID(Sheet!$A49,7,9)</f>
        <v/>
      </c>
      <c r="D38" s="1">
        <v>18</v>
      </c>
      <c r="E38" s="18" t="str">
        <f>MID(Sheet!$A59,7,9)</f>
        <v/>
      </c>
      <c r="F38" s="83"/>
      <c r="G38" s="1">
        <v>8</v>
      </c>
      <c r="H38" s="10" t="str">
        <f>MID(Sheet!$A129,7,9)</f>
        <v/>
      </c>
      <c r="I38" s="1">
        <v>18</v>
      </c>
      <c r="J38" s="13" t="str">
        <f>MID(Sheet!$A139,7,9)</f>
        <v/>
      </c>
    </row>
    <row r="39" spans="1:10" ht="12" customHeight="1">
      <c r="A39" s="83"/>
      <c r="B39" s="1" t="s">
        <v>39</v>
      </c>
      <c r="C39" s="13" t="str">
        <f>MID(Sheet!$A50,7,9)</f>
        <v/>
      </c>
      <c r="D39" s="1">
        <v>19</v>
      </c>
      <c r="E39" s="18" t="str">
        <f>MID(Sheet!$A60,7,9)</f>
        <v/>
      </c>
      <c r="F39" s="83"/>
      <c r="G39" s="1">
        <v>9</v>
      </c>
      <c r="H39" s="10" t="str">
        <f>MID(Sheet!$A130,7,9)</f>
        <v/>
      </c>
      <c r="I39" s="1">
        <v>19</v>
      </c>
      <c r="J39" s="13" t="str">
        <f>MID(Sheet!$A140,7,9)</f>
        <v/>
      </c>
    </row>
    <row r="40" spans="1:10" ht="12" customHeight="1">
      <c r="A40" s="83"/>
      <c r="B40" s="1">
        <v>10</v>
      </c>
      <c r="C40" s="13" t="str">
        <f>MID(Sheet!$A51,7,9)</f>
        <v/>
      </c>
      <c r="D40" s="1">
        <v>20</v>
      </c>
      <c r="E40" s="18" t="str">
        <f>MID(Sheet!$A61,7,9)</f>
        <v/>
      </c>
      <c r="F40" s="83"/>
      <c r="G40" s="1">
        <v>10</v>
      </c>
      <c r="H40" s="10" t="str">
        <f>MID(Sheet!$A131,7,9)</f>
        <v/>
      </c>
      <c r="I40" s="1">
        <v>20</v>
      </c>
      <c r="J40" s="13" t="str">
        <f>MID(Sheet!$A141,7,9)</f>
        <v/>
      </c>
    </row>
    <row r="41" spans="1:10" ht="12" customHeight="1">
      <c r="A41" s="83"/>
      <c r="B41" s="85" t="s">
        <v>0</v>
      </c>
      <c r="C41" s="86"/>
      <c r="D41" s="86"/>
      <c r="E41" s="89">
        <f>COUNTA(Sheet!A42:A61)</f>
        <v>0</v>
      </c>
      <c r="F41" s="83"/>
      <c r="G41" s="85" t="s">
        <v>0</v>
      </c>
      <c r="H41" s="86"/>
      <c r="I41" s="86"/>
      <c r="J41" s="89">
        <f>COUNTA(Sheet!$A122:$A141)</f>
        <v>0</v>
      </c>
    </row>
    <row r="42" spans="1:10" ht="12" customHeight="1">
      <c r="A42" s="84"/>
      <c r="B42" s="87"/>
      <c r="C42" s="88"/>
      <c r="D42" s="88"/>
      <c r="E42" s="90"/>
      <c r="F42" s="84"/>
      <c r="G42" s="87"/>
      <c r="H42" s="88"/>
      <c r="I42" s="88"/>
      <c r="J42" s="90"/>
    </row>
    <row r="43" spans="1:10" ht="12" customHeight="1">
      <c r="B43" s="2"/>
      <c r="C43" s="11"/>
      <c r="D43" s="2"/>
      <c r="E43" s="11"/>
      <c r="F43" s="11"/>
      <c r="G43" s="2"/>
      <c r="H43" s="11"/>
      <c r="I43" s="2"/>
      <c r="J43" s="21"/>
    </row>
    <row r="44" spans="1:10" ht="12" customHeight="1">
      <c r="B44" s="4"/>
      <c r="C44" s="14"/>
      <c r="D44" s="4"/>
      <c r="E44" s="14"/>
      <c r="F44" s="14"/>
      <c r="G44" s="4"/>
      <c r="H44" s="14"/>
      <c r="I44" s="4"/>
      <c r="J44" s="22"/>
    </row>
    <row r="45" spans="1:10" ht="12" customHeight="1">
      <c r="A45" s="82" cm="1">
        <f t="array" aca="1" ref="A45" ca="1">SUM(IF(ISNUMBER(Sheet!C62:C81),Sheet!C62:C81,""))</f>
        <v>0</v>
      </c>
      <c r="B45" s="5">
        <v>1</v>
      </c>
      <c r="C45" s="15" t="str">
        <f>MID(Sheet!$A62,7,9)</f>
        <v/>
      </c>
      <c r="D45" s="5">
        <v>11</v>
      </c>
      <c r="E45" s="19" t="str">
        <f>MID(Sheet!$A72,7,9)</f>
        <v/>
      </c>
      <c r="F45" s="82" cm="1">
        <f t="array" aca="1" ref="F45" ca="1">SUM(IF(ISNUMBER(Sheet!C142:C161),Sheet!C142:C161,""))</f>
        <v>0</v>
      </c>
      <c r="G45" s="5">
        <v>1</v>
      </c>
      <c r="H45" s="15" t="str">
        <f>MID(Sheet!$A142,7,9)</f>
        <v/>
      </c>
      <c r="I45" s="5">
        <v>11</v>
      </c>
      <c r="J45" s="15" t="str">
        <f>MID(Sheet!$A152,7,9)</f>
        <v/>
      </c>
    </row>
    <row r="46" spans="1:10" ht="12" customHeight="1">
      <c r="A46" s="83"/>
      <c r="B46" s="1">
        <v>2</v>
      </c>
      <c r="C46" s="15" t="str">
        <f>MID(Sheet!$A63,7,9)</f>
        <v/>
      </c>
      <c r="D46" s="1">
        <v>12</v>
      </c>
      <c r="E46" s="19" t="str">
        <f>MID(Sheet!$A73,7,9)</f>
        <v/>
      </c>
      <c r="F46" s="83"/>
      <c r="G46" s="1">
        <v>2</v>
      </c>
      <c r="H46" s="15" t="str">
        <f>MID(Sheet!$A143,7,9)</f>
        <v/>
      </c>
      <c r="I46" s="1">
        <v>12</v>
      </c>
      <c r="J46" s="15" t="str">
        <f>MID(Sheet!$A153,7,9)</f>
        <v/>
      </c>
    </row>
    <row r="47" spans="1:10" ht="12" customHeight="1">
      <c r="A47" s="83"/>
      <c r="B47" s="1">
        <v>3</v>
      </c>
      <c r="C47" s="15" t="str">
        <f>MID(Sheet!$A64,7,9)</f>
        <v/>
      </c>
      <c r="D47" s="1">
        <v>13</v>
      </c>
      <c r="E47" s="19" t="str">
        <f>MID(Sheet!$A74,7,9)</f>
        <v/>
      </c>
      <c r="F47" s="83"/>
      <c r="G47" s="1">
        <v>3</v>
      </c>
      <c r="H47" s="15" t="str">
        <f>MID(Sheet!$A144,7,9)</f>
        <v/>
      </c>
      <c r="I47" s="1">
        <v>13</v>
      </c>
      <c r="J47" s="15" t="str">
        <f>MID(Sheet!$A154,7,9)</f>
        <v/>
      </c>
    </row>
    <row r="48" spans="1:10" ht="12" customHeight="1">
      <c r="A48" s="83"/>
      <c r="B48" s="1">
        <v>4</v>
      </c>
      <c r="C48" s="15" t="str">
        <f>MID(Sheet!$A65,7,9)</f>
        <v/>
      </c>
      <c r="D48" s="1">
        <v>14</v>
      </c>
      <c r="E48" s="19" t="str">
        <f>MID(Sheet!$A75,7,9)</f>
        <v/>
      </c>
      <c r="F48" s="83"/>
      <c r="G48" s="1">
        <v>4</v>
      </c>
      <c r="H48" s="15" t="str">
        <f>MID(Sheet!$A145,7,9)</f>
        <v/>
      </c>
      <c r="I48" s="1">
        <v>14</v>
      </c>
      <c r="J48" s="15" t="str">
        <f>MID(Sheet!$A155,7,9)</f>
        <v/>
      </c>
    </row>
    <row r="49" spans="1:10" ht="12" customHeight="1">
      <c r="A49" s="83"/>
      <c r="B49" s="1">
        <v>5</v>
      </c>
      <c r="C49" s="15" t="str">
        <f>MID(Sheet!$A66,7,9)</f>
        <v/>
      </c>
      <c r="D49" s="1">
        <v>15</v>
      </c>
      <c r="E49" s="19" t="str">
        <f>MID(Sheet!$A76,7,9)</f>
        <v/>
      </c>
      <c r="F49" s="83"/>
      <c r="G49" s="1">
        <v>5</v>
      </c>
      <c r="H49" s="15" t="str">
        <f>MID(Sheet!$A146,7,9)</f>
        <v/>
      </c>
      <c r="I49" s="1">
        <v>15</v>
      </c>
      <c r="J49" s="15" t="str">
        <f>MID(Sheet!$A156,7,9)</f>
        <v/>
      </c>
    </row>
    <row r="50" spans="1:10" ht="12" customHeight="1">
      <c r="A50" s="83"/>
      <c r="B50" s="1">
        <v>6</v>
      </c>
      <c r="C50" s="15" t="str">
        <f>MID(Sheet!$A67,7,9)</f>
        <v/>
      </c>
      <c r="D50" s="1">
        <v>16</v>
      </c>
      <c r="E50" s="19" t="str">
        <f>MID(Sheet!$A77,7,9)</f>
        <v/>
      </c>
      <c r="F50" s="83"/>
      <c r="G50" s="1">
        <v>6</v>
      </c>
      <c r="H50" s="15" t="str">
        <f>MID(Sheet!$A147,7,9)</f>
        <v/>
      </c>
      <c r="I50" s="1">
        <v>16</v>
      </c>
      <c r="J50" s="15" t="str">
        <f>MID(Sheet!$A157,7,9)</f>
        <v/>
      </c>
    </row>
    <row r="51" spans="1:10" ht="12" customHeight="1">
      <c r="A51" s="83"/>
      <c r="B51" s="1">
        <v>7</v>
      </c>
      <c r="C51" s="15" t="str">
        <f>MID(Sheet!$A68,7,9)</f>
        <v/>
      </c>
      <c r="D51" s="1">
        <v>17</v>
      </c>
      <c r="E51" s="19" t="str">
        <f>MID(Sheet!$A78,7,9)</f>
        <v/>
      </c>
      <c r="F51" s="83"/>
      <c r="G51" s="1">
        <v>7</v>
      </c>
      <c r="H51" s="15" t="str">
        <f>MID(Sheet!$A148,7,9)</f>
        <v/>
      </c>
      <c r="I51" s="1">
        <v>17</v>
      </c>
      <c r="J51" s="15" t="str">
        <f>MID(Sheet!$A158,7,9)</f>
        <v/>
      </c>
    </row>
    <row r="52" spans="1:10" ht="12" customHeight="1">
      <c r="A52" s="83"/>
      <c r="B52" s="1">
        <v>8</v>
      </c>
      <c r="C52" s="15" t="str">
        <f>MID(Sheet!$A69,7,9)</f>
        <v/>
      </c>
      <c r="D52" s="1">
        <v>18</v>
      </c>
      <c r="E52" s="19" t="str">
        <f>MID(Sheet!$A79,7,9)</f>
        <v/>
      </c>
      <c r="F52" s="83"/>
      <c r="G52" s="1">
        <v>8</v>
      </c>
      <c r="H52" s="15" t="str">
        <f>MID(Sheet!$A149,7,9)</f>
        <v/>
      </c>
      <c r="I52" s="1">
        <v>18</v>
      </c>
      <c r="J52" s="15" t="str">
        <f>MID(Sheet!$A159,7,9)</f>
        <v/>
      </c>
    </row>
    <row r="53" spans="1:10" ht="12" customHeight="1">
      <c r="A53" s="83"/>
      <c r="B53" s="1">
        <v>9</v>
      </c>
      <c r="C53" s="15" t="str">
        <f>MID(Sheet!$A70,7,9)</f>
        <v/>
      </c>
      <c r="D53" s="1">
        <v>19</v>
      </c>
      <c r="E53" s="19" t="str">
        <f>MID(Sheet!$A80,7,9)</f>
        <v/>
      </c>
      <c r="F53" s="83"/>
      <c r="G53" s="1">
        <v>9</v>
      </c>
      <c r="H53" s="15" t="str">
        <f>MID(Sheet!$A150,7,9)</f>
        <v/>
      </c>
      <c r="I53" s="1">
        <v>19</v>
      </c>
      <c r="J53" s="15" t="str">
        <f>MID(Sheet!$A160,7,9)</f>
        <v/>
      </c>
    </row>
    <row r="54" spans="1:10" ht="12" customHeight="1">
      <c r="A54" s="83"/>
      <c r="B54" s="1">
        <v>10</v>
      </c>
      <c r="C54" s="15" t="str">
        <f>MID(Sheet!$A71,7,9)</f>
        <v/>
      </c>
      <c r="D54" s="1">
        <v>20</v>
      </c>
      <c r="E54" s="19" t="str">
        <f>MID(Sheet!$A81,7,9)</f>
        <v/>
      </c>
      <c r="F54" s="83"/>
      <c r="G54" s="1">
        <v>10</v>
      </c>
      <c r="H54" s="15" t="str">
        <f>MID(Sheet!$A151,7,9)</f>
        <v/>
      </c>
      <c r="I54" s="1">
        <v>20</v>
      </c>
      <c r="J54" s="15" t="str">
        <f>MID(Sheet!$A161,7,9)</f>
        <v/>
      </c>
    </row>
    <row r="55" spans="1:10" ht="12" customHeight="1">
      <c r="A55" s="83"/>
      <c r="B55" s="85" t="s">
        <v>0</v>
      </c>
      <c r="C55" s="86"/>
      <c r="D55" s="86"/>
      <c r="E55" s="89">
        <f>COUNTA(Sheet!$A62:$A81)</f>
        <v>0</v>
      </c>
      <c r="F55" s="83"/>
      <c r="G55" s="85" t="s">
        <v>0</v>
      </c>
      <c r="H55" s="86"/>
      <c r="I55" s="86"/>
      <c r="J55" s="89">
        <f>COUNTA(Sheet!$A142:$A161)</f>
        <v>0</v>
      </c>
    </row>
    <row r="56" spans="1:10" ht="12" customHeight="1">
      <c r="A56" s="84"/>
      <c r="B56" s="87"/>
      <c r="C56" s="88"/>
      <c r="D56" s="88"/>
      <c r="E56" s="90"/>
      <c r="F56" s="84"/>
      <c r="G56" s="87"/>
      <c r="H56" s="88"/>
      <c r="I56" s="88"/>
      <c r="J56" s="90"/>
    </row>
    <row r="58" spans="1:10" ht="12" customHeight="1">
      <c r="C58" s="16" t="s">
        <v>7</v>
      </c>
      <c r="D58" s="8">
        <f ca="1">COUNTIF(Sheet!M2:M161,"&gt;0")</f>
        <v>0</v>
      </c>
      <c r="E58" s="23">
        <f ca="1">2000*D58</f>
        <v>0</v>
      </c>
      <c r="F58" s="23"/>
      <c r="I58" s="23"/>
      <c r="J58" s="23"/>
    </row>
    <row r="59" spans="1:10" ht="12" customHeight="1">
      <c r="C59" s="16" t="s">
        <v>8</v>
      </c>
      <c r="D59" s="8">
        <f ca="1">COUNTIF(Sheet!N2:N161,"&gt;0")</f>
        <v>0</v>
      </c>
      <c r="E59" s="23">
        <f ca="1">4000*D59</f>
        <v>0</v>
      </c>
      <c r="F59" s="23"/>
      <c r="I59" s="23"/>
      <c r="J59" s="23"/>
    </row>
    <row r="60" spans="1:10" ht="12" customHeight="1">
      <c r="C60" s="16" t="s">
        <v>9</v>
      </c>
      <c r="D60" s="8">
        <f ca="1">COUNTIF(Sheet!O2:O161,"&gt;0")</f>
        <v>0</v>
      </c>
      <c r="E60" s="23">
        <f ca="1">4000*D60</f>
        <v>0</v>
      </c>
      <c r="F60" s="23"/>
      <c r="H60" s="16" t="s">
        <v>16</v>
      </c>
      <c r="I60" s="91" t="str">
        <f ca="1">Sheet!AQ161</f>
        <v/>
      </c>
      <c r="J60" s="91"/>
    </row>
    <row r="61" spans="1:10" ht="12" customHeight="1">
      <c r="B61" s="7"/>
      <c r="C61" s="17"/>
      <c r="D61" s="7"/>
      <c r="E61" s="17"/>
      <c r="F61" s="17"/>
      <c r="G61" s="7"/>
      <c r="H61" s="24"/>
      <c r="I61" s="7"/>
      <c r="J61" s="17"/>
    </row>
    <row r="62" spans="1:10" ht="12" customHeight="1">
      <c r="B62" s="6"/>
      <c r="C62" s="9"/>
      <c r="D62" s="6"/>
      <c r="E62" s="9"/>
      <c r="F62" s="9"/>
      <c r="G62" s="6"/>
      <c r="H62" s="9"/>
      <c r="I62" s="6"/>
      <c r="J62" s="9"/>
    </row>
    <row r="64" spans="1:10" ht="12" customHeight="1">
      <c r="A64" s="82" cm="1">
        <f t="array" aca="1" ref="A64" ca="1">SUM(IF(ISNUMBER(Sheet!$C162:$C181),Sheet!$C162:$C181,""))</f>
        <v>0</v>
      </c>
      <c r="B64" s="1">
        <v>1</v>
      </c>
      <c r="C64" s="10" t="str">
        <f>MID(Sheet!$A162,7,9)</f>
        <v/>
      </c>
      <c r="D64" s="1">
        <v>11</v>
      </c>
      <c r="E64" s="18" t="str">
        <f>MID(Sheet!$A172,7,9)</f>
        <v/>
      </c>
      <c r="F64" s="82" cm="1">
        <f t="array" aca="1" ref="F64" ca="1">SUM(IF(ISNUMBER(Sheet!$C242:$C261),Sheet!$C242:$C261,""))</f>
        <v>0</v>
      </c>
      <c r="G64" s="1">
        <v>1</v>
      </c>
      <c r="H64" s="13" t="str">
        <f>MID(Sheet!$A242,7,9)</f>
        <v/>
      </c>
      <c r="I64" s="1">
        <v>11</v>
      </c>
      <c r="J64" s="13" t="str">
        <f>MID(Sheet!$A252,7,9)</f>
        <v/>
      </c>
    </row>
    <row r="65" spans="1:10" ht="12" customHeight="1">
      <c r="A65" s="83"/>
      <c r="B65" s="1">
        <v>2</v>
      </c>
      <c r="C65" s="10" t="str">
        <f>MID(Sheet!$A163,7,9)</f>
        <v/>
      </c>
      <c r="D65" s="1">
        <v>12</v>
      </c>
      <c r="E65" s="18" t="str">
        <f>MID(Sheet!$A173,7,9)</f>
        <v/>
      </c>
      <c r="F65" s="83"/>
      <c r="G65" s="1">
        <v>2</v>
      </c>
      <c r="H65" s="13" t="str">
        <f>MID(Sheet!$A243,7,9)</f>
        <v/>
      </c>
      <c r="I65" s="1">
        <v>12</v>
      </c>
      <c r="J65" s="13" t="str">
        <f>MID(Sheet!$A253,7,9)</f>
        <v/>
      </c>
    </row>
    <row r="66" spans="1:10" ht="12" customHeight="1">
      <c r="A66" s="83"/>
      <c r="B66" s="1">
        <v>3</v>
      </c>
      <c r="C66" s="10" t="str">
        <f>MID(Sheet!$A164,7,9)</f>
        <v/>
      </c>
      <c r="D66" s="1">
        <v>13</v>
      </c>
      <c r="E66" s="18" t="str">
        <f>MID(Sheet!$A174,7,9)</f>
        <v/>
      </c>
      <c r="F66" s="83"/>
      <c r="G66" s="1">
        <v>3</v>
      </c>
      <c r="H66" s="13" t="str">
        <f>MID(Sheet!$A244,7,9)</f>
        <v/>
      </c>
      <c r="I66" s="1">
        <v>13</v>
      </c>
      <c r="J66" s="13" t="str">
        <f>MID(Sheet!$A254,7,9)</f>
        <v/>
      </c>
    </row>
    <row r="67" spans="1:10" ht="12" customHeight="1">
      <c r="A67" s="83"/>
      <c r="B67" s="1">
        <v>4</v>
      </c>
      <c r="C67" s="10" t="str">
        <f>MID(Sheet!$A165,7,9)</f>
        <v/>
      </c>
      <c r="D67" s="1">
        <v>14</v>
      </c>
      <c r="E67" s="18" t="str">
        <f>MID(Sheet!$A175,7,9)</f>
        <v/>
      </c>
      <c r="F67" s="83"/>
      <c r="G67" s="1">
        <v>4</v>
      </c>
      <c r="H67" s="13" t="str">
        <f>MID(Sheet!$A245,7,9)</f>
        <v/>
      </c>
      <c r="I67" s="1">
        <v>14</v>
      </c>
      <c r="J67" s="13" t="str">
        <f>MID(Sheet!$A255,7,9)</f>
        <v/>
      </c>
    </row>
    <row r="68" spans="1:10" ht="12" customHeight="1">
      <c r="A68" s="83"/>
      <c r="B68" s="1">
        <v>5</v>
      </c>
      <c r="C68" s="10" t="str">
        <f>MID(Sheet!$A166,7,9)</f>
        <v/>
      </c>
      <c r="D68" s="1">
        <v>15</v>
      </c>
      <c r="E68" s="18" t="str">
        <f>MID(Sheet!$A176,7,9)</f>
        <v/>
      </c>
      <c r="F68" s="83"/>
      <c r="G68" s="1">
        <v>5</v>
      </c>
      <c r="H68" s="13" t="str">
        <f>MID(Sheet!$A246,7,9)</f>
        <v/>
      </c>
      <c r="I68" s="1">
        <v>15</v>
      </c>
      <c r="J68" s="13" t="str">
        <f>MID(Sheet!$A256,7,9)</f>
        <v/>
      </c>
    </row>
    <row r="69" spans="1:10" ht="12" customHeight="1">
      <c r="A69" s="83"/>
      <c r="B69" s="1">
        <v>6</v>
      </c>
      <c r="C69" s="10" t="str">
        <f>MID(Sheet!$A167,7,9)</f>
        <v/>
      </c>
      <c r="D69" s="1">
        <v>16</v>
      </c>
      <c r="E69" s="18" t="str">
        <f>MID(Sheet!$A177,7,9)</f>
        <v/>
      </c>
      <c r="F69" s="83"/>
      <c r="G69" s="1">
        <v>6</v>
      </c>
      <c r="H69" s="13" t="str">
        <f>MID(Sheet!$A247,7,9)</f>
        <v/>
      </c>
      <c r="I69" s="1">
        <v>16</v>
      </c>
      <c r="J69" s="13" t="str">
        <f>MID(Sheet!$A257,7,9)</f>
        <v/>
      </c>
    </row>
    <row r="70" spans="1:10" ht="12" customHeight="1">
      <c r="A70" s="83"/>
      <c r="B70" s="1">
        <v>7</v>
      </c>
      <c r="C70" s="10" t="str">
        <f>MID(Sheet!$A168,7,9)</f>
        <v/>
      </c>
      <c r="D70" s="1">
        <v>17</v>
      </c>
      <c r="E70" s="18" t="str">
        <f>MID(Sheet!$A178,7,9)</f>
        <v/>
      </c>
      <c r="F70" s="83"/>
      <c r="G70" s="1">
        <v>7</v>
      </c>
      <c r="H70" s="13" t="str">
        <f>MID(Sheet!$A248,7,9)</f>
        <v/>
      </c>
      <c r="I70" s="1">
        <v>17</v>
      </c>
      <c r="J70" s="13" t="str">
        <f>MID(Sheet!$A258,7,9)</f>
        <v/>
      </c>
    </row>
    <row r="71" spans="1:10" ht="12" customHeight="1">
      <c r="A71" s="83"/>
      <c r="B71" s="1">
        <v>8</v>
      </c>
      <c r="C71" s="10" t="str">
        <f>MID(Sheet!$A169,7,9)</f>
        <v/>
      </c>
      <c r="D71" s="1">
        <v>18</v>
      </c>
      <c r="E71" s="18" t="str">
        <f>MID(Sheet!$A179,7,9)</f>
        <v/>
      </c>
      <c r="F71" s="83"/>
      <c r="G71" s="1">
        <v>8</v>
      </c>
      <c r="H71" s="13" t="str">
        <f>MID(Sheet!$A249,7,9)</f>
        <v/>
      </c>
      <c r="I71" s="1">
        <v>18</v>
      </c>
      <c r="J71" s="13" t="str">
        <f>MID(Sheet!$A259,7,9)</f>
        <v/>
      </c>
    </row>
    <row r="72" spans="1:10" ht="12" customHeight="1">
      <c r="A72" s="83"/>
      <c r="B72" s="1">
        <v>9</v>
      </c>
      <c r="C72" s="10" t="str">
        <f>MID(Sheet!$A170,7,9)</f>
        <v/>
      </c>
      <c r="D72" s="1">
        <v>19</v>
      </c>
      <c r="E72" s="18" t="str">
        <f>MID(Sheet!$A180,7,9)</f>
        <v/>
      </c>
      <c r="F72" s="83"/>
      <c r="G72" s="1">
        <v>9</v>
      </c>
      <c r="H72" s="13" t="str">
        <f>MID(Sheet!$A250,7,9)</f>
        <v/>
      </c>
      <c r="I72" s="1">
        <v>19</v>
      </c>
      <c r="J72" s="13" t="str">
        <f>MID(Sheet!$A260,7,9)</f>
        <v/>
      </c>
    </row>
    <row r="73" spans="1:10" ht="12" customHeight="1">
      <c r="A73" s="83"/>
      <c r="B73" s="1">
        <v>10</v>
      </c>
      <c r="C73" s="10" t="str">
        <f>MID(Sheet!$A171,7,9)</f>
        <v/>
      </c>
      <c r="D73" s="1">
        <v>20</v>
      </c>
      <c r="E73" s="18" t="str">
        <f>MID(Sheet!$A181,7,9)</f>
        <v/>
      </c>
      <c r="F73" s="83"/>
      <c r="G73" s="1">
        <v>10</v>
      </c>
      <c r="H73" s="13" t="str">
        <f>MID(Sheet!$A251,7,9)</f>
        <v/>
      </c>
      <c r="I73" s="1">
        <v>20</v>
      </c>
      <c r="J73" s="13" t="str">
        <f>MID(Sheet!$A261,7,9)</f>
        <v/>
      </c>
    </row>
    <row r="74" spans="1:10" ht="12" customHeight="1">
      <c r="A74" s="83"/>
      <c r="B74" s="85" t="s">
        <v>0</v>
      </c>
      <c r="C74" s="86"/>
      <c r="D74" s="86"/>
      <c r="E74" s="89">
        <f>COUNTA(Sheet!$A162:$A181)</f>
        <v>0</v>
      </c>
      <c r="F74" s="83"/>
      <c r="G74" s="85" t="s">
        <v>0</v>
      </c>
      <c r="H74" s="86"/>
      <c r="I74" s="86"/>
      <c r="J74" s="89">
        <f>COUNTA(Sheet!$A242:$A261)</f>
        <v>0</v>
      </c>
    </row>
    <row r="75" spans="1:10" ht="12" customHeight="1">
      <c r="A75" s="84"/>
      <c r="B75" s="87"/>
      <c r="C75" s="88"/>
      <c r="D75" s="88"/>
      <c r="E75" s="90"/>
      <c r="F75" s="84"/>
      <c r="G75" s="87"/>
      <c r="H75" s="88"/>
      <c r="I75" s="88"/>
      <c r="J75" s="90"/>
    </row>
    <row r="76" spans="1:10" ht="12" customHeight="1">
      <c r="B76" s="2"/>
      <c r="C76" s="11"/>
      <c r="D76" s="2"/>
      <c r="E76" s="11"/>
      <c r="F76" s="12"/>
      <c r="G76" s="3"/>
      <c r="H76" s="12"/>
      <c r="I76" s="3"/>
      <c r="J76" s="20"/>
    </row>
    <row r="77" spans="1:10" ht="12" customHeight="1">
      <c r="B77" s="3"/>
      <c r="C77" s="12"/>
      <c r="D77" s="3"/>
      <c r="E77" s="12"/>
      <c r="F77" s="12"/>
      <c r="G77" s="3"/>
      <c r="H77" s="12"/>
      <c r="I77" s="3"/>
      <c r="J77" s="20"/>
    </row>
    <row r="78" spans="1:10" ht="12" customHeight="1">
      <c r="A78" s="82" cm="1">
        <f t="array" aca="1" ref="A78" ca="1">SUM(IF(ISNUMBER(Sheet!$C182:$C201),Sheet!$C182:$C201,""))</f>
        <v>0</v>
      </c>
      <c r="B78" s="1">
        <v>1</v>
      </c>
      <c r="C78" s="13" t="str">
        <f>MID(Sheet!$A182,7,9)</f>
        <v/>
      </c>
      <c r="D78" s="1">
        <v>11</v>
      </c>
      <c r="E78" s="18" t="str">
        <f>MID(Sheet!$A192,7,9)</f>
        <v/>
      </c>
      <c r="F78" s="82" cm="1">
        <f t="array" aca="1" ref="F78" ca="1">SUM(IF(ISNUMBER(Sheet!$C262:$C281),Sheet!$C262:$C281,""))</f>
        <v>0</v>
      </c>
      <c r="G78" s="1">
        <v>1</v>
      </c>
      <c r="H78" s="13" t="str">
        <f>MID(Sheet!$A262,7,9)</f>
        <v/>
      </c>
      <c r="I78" s="1">
        <v>11</v>
      </c>
      <c r="J78" s="13" t="str">
        <f>MID(Sheet!$A272,7,9)</f>
        <v/>
      </c>
    </row>
    <row r="79" spans="1:10" ht="12" customHeight="1">
      <c r="A79" s="83"/>
      <c r="B79" s="1">
        <v>2</v>
      </c>
      <c r="C79" s="13" t="str">
        <f>MID(Sheet!$A183,7,9)</f>
        <v/>
      </c>
      <c r="D79" s="1">
        <v>12</v>
      </c>
      <c r="E79" s="18" t="str">
        <f>MID(Sheet!$A193,7,9)</f>
        <v/>
      </c>
      <c r="F79" s="83"/>
      <c r="G79" s="1">
        <v>2</v>
      </c>
      <c r="H79" s="13" t="str">
        <f>MID(Sheet!$A263,7,9)</f>
        <v/>
      </c>
      <c r="I79" s="1">
        <v>12</v>
      </c>
      <c r="J79" s="13" t="str">
        <f>MID(Sheet!$A273,7,9)</f>
        <v/>
      </c>
    </row>
    <row r="80" spans="1:10" ht="12" customHeight="1">
      <c r="A80" s="83"/>
      <c r="B80" s="1">
        <v>3</v>
      </c>
      <c r="C80" s="13" t="str">
        <f>MID(Sheet!$A184,7,9)</f>
        <v/>
      </c>
      <c r="D80" s="1">
        <v>13</v>
      </c>
      <c r="E80" s="18" t="str">
        <f>MID(Sheet!$A194,7,9)</f>
        <v/>
      </c>
      <c r="F80" s="83"/>
      <c r="G80" s="1">
        <v>3</v>
      </c>
      <c r="H80" s="13" t="str">
        <f>MID(Sheet!$A264,7,9)</f>
        <v/>
      </c>
      <c r="I80" s="1">
        <v>13</v>
      </c>
      <c r="J80" s="13" t="str">
        <f>MID(Sheet!$A274,7,9)</f>
        <v/>
      </c>
    </row>
    <row r="81" spans="1:10" ht="12" customHeight="1">
      <c r="A81" s="83"/>
      <c r="B81" s="1">
        <v>4</v>
      </c>
      <c r="C81" s="13" t="str">
        <f>MID(Sheet!$A185,7,9)</f>
        <v/>
      </c>
      <c r="D81" s="1">
        <v>14</v>
      </c>
      <c r="E81" s="18" t="str">
        <f>MID(Sheet!$A195,7,9)</f>
        <v/>
      </c>
      <c r="F81" s="83"/>
      <c r="G81" s="1">
        <v>4</v>
      </c>
      <c r="H81" s="13" t="str">
        <f>MID(Sheet!$A265,7,9)</f>
        <v/>
      </c>
      <c r="I81" s="1">
        <v>14</v>
      </c>
      <c r="J81" s="13" t="str">
        <f>MID(Sheet!$A275,7,9)</f>
        <v/>
      </c>
    </row>
    <row r="82" spans="1:10" ht="12" customHeight="1">
      <c r="A82" s="83"/>
      <c r="B82" s="1">
        <v>5</v>
      </c>
      <c r="C82" s="13" t="str">
        <f>MID(Sheet!$A186,7,9)</f>
        <v/>
      </c>
      <c r="D82" s="1">
        <v>15</v>
      </c>
      <c r="E82" s="18" t="str">
        <f>MID(Sheet!$A196,7,9)</f>
        <v/>
      </c>
      <c r="F82" s="83"/>
      <c r="G82" s="1">
        <v>5</v>
      </c>
      <c r="H82" s="13" t="str">
        <f>MID(Sheet!$A266,7,9)</f>
        <v/>
      </c>
      <c r="I82" s="1">
        <v>15</v>
      </c>
      <c r="J82" s="13" t="str">
        <f>MID(Sheet!$A276,7,9)</f>
        <v/>
      </c>
    </row>
    <row r="83" spans="1:10" ht="12" customHeight="1">
      <c r="A83" s="83"/>
      <c r="B83" s="1">
        <v>6</v>
      </c>
      <c r="C83" s="13" t="str">
        <f>MID(Sheet!$A187,7,9)</f>
        <v/>
      </c>
      <c r="D83" s="1">
        <v>16</v>
      </c>
      <c r="E83" s="18" t="str">
        <f>MID(Sheet!$A197,7,9)</f>
        <v/>
      </c>
      <c r="F83" s="83"/>
      <c r="G83" s="1">
        <v>6</v>
      </c>
      <c r="H83" s="13" t="str">
        <f>MID(Sheet!$A267,7,9)</f>
        <v/>
      </c>
      <c r="I83" s="1">
        <v>16</v>
      </c>
      <c r="J83" s="13" t="str">
        <f>MID(Sheet!$A277,7,9)</f>
        <v/>
      </c>
    </row>
    <row r="84" spans="1:10" ht="12" customHeight="1">
      <c r="A84" s="83"/>
      <c r="B84" s="1">
        <v>7</v>
      </c>
      <c r="C84" s="13" t="str">
        <f>MID(Sheet!$A188,7,9)</f>
        <v/>
      </c>
      <c r="D84" s="1">
        <v>17</v>
      </c>
      <c r="E84" s="18" t="str">
        <f>MID(Sheet!$A198,7,9)</f>
        <v/>
      </c>
      <c r="F84" s="83"/>
      <c r="G84" s="1">
        <v>7</v>
      </c>
      <c r="H84" s="13" t="str">
        <f>MID(Sheet!$A268,7,9)</f>
        <v/>
      </c>
      <c r="I84" s="1">
        <v>17</v>
      </c>
      <c r="J84" s="13" t="str">
        <f>MID(Sheet!$A278,7,9)</f>
        <v/>
      </c>
    </row>
    <row r="85" spans="1:10" ht="12" customHeight="1">
      <c r="A85" s="83"/>
      <c r="B85" s="1">
        <v>8</v>
      </c>
      <c r="C85" s="13" t="str">
        <f>MID(Sheet!$A189,7,9)</f>
        <v/>
      </c>
      <c r="D85" s="1">
        <v>18</v>
      </c>
      <c r="E85" s="18" t="str">
        <f>MID(Sheet!$A199,7,9)</f>
        <v/>
      </c>
      <c r="F85" s="83"/>
      <c r="G85" s="1">
        <v>8</v>
      </c>
      <c r="H85" s="13" t="str">
        <f>MID(Sheet!$A269,7,9)</f>
        <v/>
      </c>
      <c r="I85" s="1">
        <v>18</v>
      </c>
      <c r="J85" s="13" t="str">
        <f>MID(Sheet!$A279,7,9)</f>
        <v/>
      </c>
    </row>
    <row r="86" spans="1:10" ht="12" customHeight="1">
      <c r="A86" s="83"/>
      <c r="B86" s="1">
        <v>9</v>
      </c>
      <c r="C86" s="13" t="str">
        <f>MID(Sheet!$A190,7,9)</f>
        <v/>
      </c>
      <c r="D86" s="1">
        <v>19</v>
      </c>
      <c r="E86" s="18" t="str">
        <f>MID(Sheet!$A200,7,9)</f>
        <v/>
      </c>
      <c r="F86" s="83"/>
      <c r="G86" s="1">
        <v>9</v>
      </c>
      <c r="H86" s="13" t="str">
        <f>MID(Sheet!$A270,7,9)</f>
        <v/>
      </c>
      <c r="I86" s="1">
        <v>19</v>
      </c>
      <c r="J86" s="13" t="str">
        <f>MID(Sheet!$A280,7,9)</f>
        <v/>
      </c>
    </row>
    <row r="87" spans="1:10" ht="12" customHeight="1">
      <c r="A87" s="83"/>
      <c r="B87" s="1">
        <v>10</v>
      </c>
      <c r="C87" s="13" t="str">
        <f>MID(Sheet!$A191,7,9)</f>
        <v/>
      </c>
      <c r="D87" s="1">
        <v>20</v>
      </c>
      <c r="E87" s="18" t="str">
        <f>MID(Sheet!$A201,7,9)</f>
        <v/>
      </c>
      <c r="F87" s="83"/>
      <c r="G87" s="1">
        <v>10</v>
      </c>
      <c r="H87" s="13" t="str">
        <f>MID(Sheet!$A271,7,9)</f>
        <v/>
      </c>
      <c r="I87" s="1">
        <v>20</v>
      </c>
      <c r="J87" s="13" t="str">
        <f>MID(Sheet!$A281,7,9)</f>
        <v/>
      </c>
    </row>
    <row r="88" spans="1:10" ht="12" customHeight="1">
      <c r="A88" s="83"/>
      <c r="B88" s="85" t="s">
        <v>0</v>
      </c>
      <c r="C88" s="86"/>
      <c r="D88" s="86"/>
      <c r="E88" s="89">
        <f>COUNTA(Sheet!$A182:$A201)</f>
        <v>0</v>
      </c>
      <c r="F88" s="83"/>
      <c r="G88" s="85" t="s">
        <v>0</v>
      </c>
      <c r="H88" s="86"/>
      <c r="I88" s="86"/>
      <c r="J88" s="89">
        <f>COUNTA(Sheet!$A262:$A281)</f>
        <v>0</v>
      </c>
    </row>
    <row r="89" spans="1:10" ht="12" customHeight="1">
      <c r="A89" s="84"/>
      <c r="B89" s="87"/>
      <c r="C89" s="88"/>
      <c r="D89" s="88"/>
      <c r="E89" s="90"/>
      <c r="F89" s="84"/>
      <c r="G89" s="87"/>
      <c r="H89" s="88"/>
      <c r="I89" s="88"/>
      <c r="J89" s="90"/>
    </row>
    <row r="90" spans="1:10" ht="12" customHeight="1">
      <c r="B90" s="3"/>
      <c r="C90" s="12"/>
      <c r="D90" s="3"/>
      <c r="E90" s="12"/>
      <c r="F90" s="12"/>
      <c r="G90" s="3"/>
      <c r="H90" s="12"/>
      <c r="I90" s="3"/>
      <c r="J90" s="20"/>
    </row>
    <row r="91" spans="1:10" ht="12" customHeight="1">
      <c r="B91" s="3"/>
      <c r="C91" s="12"/>
      <c r="D91" s="3"/>
      <c r="E91" s="12"/>
      <c r="F91" s="12"/>
      <c r="G91" s="3"/>
      <c r="H91" s="12"/>
      <c r="I91" s="3"/>
      <c r="J91" s="20"/>
    </row>
    <row r="92" spans="1:10" ht="12" customHeight="1">
      <c r="A92" s="82" cm="1">
        <f t="array" aca="1" ref="A92" ca="1">SUM(IF(ISNUMBER(Sheet!$C202:$C221),Sheet!$C202:$C221,""))</f>
        <v>0</v>
      </c>
      <c r="B92" s="1">
        <v>1</v>
      </c>
      <c r="C92" s="13" t="str">
        <f>MID(Sheet!$A202,7,9)</f>
        <v/>
      </c>
      <c r="D92" s="1">
        <v>11</v>
      </c>
      <c r="E92" s="18" t="str">
        <f>MID(Sheet!$A212,7,9)</f>
        <v/>
      </c>
      <c r="F92" s="82" cm="1">
        <f t="array" aca="1" ref="F92" ca="1">SUM(IF(ISNUMBER(Sheet!$C282:$C301),Sheet!$C282:$C301,""))</f>
        <v>0</v>
      </c>
      <c r="G92" s="1">
        <v>1</v>
      </c>
      <c r="H92" s="10" t="str">
        <f>MID(Sheet!$A282,7,9)</f>
        <v/>
      </c>
      <c r="I92" s="1">
        <v>11</v>
      </c>
      <c r="J92" s="13" t="str">
        <f>MID(Sheet!$A292,7,9)</f>
        <v/>
      </c>
    </row>
    <row r="93" spans="1:10" ht="12" customHeight="1">
      <c r="A93" s="83"/>
      <c r="B93" s="1">
        <v>2</v>
      </c>
      <c r="C93" s="13" t="str">
        <f>MID(Sheet!$A203,7,9)</f>
        <v/>
      </c>
      <c r="D93" s="1">
        <v>12</v>
      </c>
      <c r="E93" s="18" t="str">
        <f>MID(Sheet!$A213,7,9)</f>
        <v/>
      </c>
      <c r="F93" s="83"/>
      <c r="G93" s="1">
        <v>2</v>
      </c>
      <c r="H93" s="10" t="str">
        <f>MID(Sheet!$A283,7,9)</f>
        <v/>
      </c>
      <c r="I93" s="1">
        <v>12</v>
      </c>
      <c r="J93" s="13" t="str">
        <f>MID(Sheet!$A293,7,9)</f>
        <v/>
      </c>
    </row>
    <row r="94" spans="1:10" ht="12" customHeight="1">
      <c r="A94" s="83"/>
      <c r="B94" s="1">
        <v>3</v>
      </c>
      <c r="C94" s="13" t="str">
        <f>MID(Sheet!$A204,7,9)</f>
        <v/>
      </c>
      <c r="D94" s="1">
        <v>13</v>
      </c>
      <c r="E94" s="18" t="str">
        <f>MID(Sheet!$A214,7,9)</f>
        <v/>
      </c>
      <c r="F94" s="83"/>
      <c r="G94" s="1">
        <v>3</v>
      </c>
      <c r="H94" s="10" t="str">
        <f>MID(Sheet!$A284,7,9)</f>
        <v/>
      </c>
      <c r="I94" s="1">
        <v>13</v>
      </c>
      <c r="J94" s="13" t="str">
        <f>MID(Sheet!$A294,7,9)</f>
        <v/>
      </c>
    </row>
    <row r="95" spans="1:10" ht="12" customHeight="1">
      <c r="A95" s="83"/>
      <c r="B95" s="1">
        <v>4</v>
      </c>
      <c r="C95" s="13" t="str">
        <f>MID(Sheet!$A205,7,9)</f>
        <v/>
      </c>
      <c r="D95" s="1">
        <v>14</v>
      </c>
      <c r="E95" s="18" t="str">
        <f>MID(Sheet!$A215,7,9)</f>
        <v/>
      </c>
      <c r="F95" s="83"/>
      <c r="G95" s="1">
        <v>4</v>
      </c>
      <c r="H95" s="10" t="str">
        <f>MID(Sheet!$A285,7,9)</f>
        <v/>
      </c>
      <c r="I95" s="1">
        <v>14</v>
      </c>
      <c r="J95" s="13" t="str">
        <f>MID(Sheet!$A295,7,9)</f>
        <v/>
      </c>
    </row>
    <row r="96" spans="1:10" ht="12" customHeight="1">
      <c r="A96" s="83"/>
      <c r="B96" s="1">
        <v>5</v>
      </c>
      <c r="C96" s="13" t="str">
        <f>MID(Sheet!$A206,7,9)</f>
        <v/>
      </c>
      <c r="D96" s="1">
        <v>15</v>
      </c>
      <c r="E96" s="18" t="str">
        <f>MID(Sheet!$A216,7,9)</f>
        <v/>
      </c>
      <c r="F96" s="83"/>
      <c r="G96" s="1">
        <v>5</v>
      </c>
      <c r="H96" s="10" t="str">
        <f>MID(Sheet!$A286,7,9)</f>
        <v/>
      </c>
      <c r="I96" s="1">
        <v>15</v>
      </c>
      <c r="J96" s="13" t="str">
        <f>MID(Sheet!$A296,7,9)</f>
        <v/>
      </c>
    </row>
    <row r="97" spans="1:10" ht="12" customHeight="1">
      <c r="A97" s="83"/>
      <c r="B97" s="1">
        <v>6</v>
      </c>
      <c r="C97" s="13" t="str">
        <f>MID(Sheet!$A207,7,9)</f>
        <v/>
      </c>
      <c r="D97" s="1" t="s">
        <v>39</v>
      </c>
      <c r="E97" s="18" t="str">
        <f>MID(Sheet!$A217,7,9)</f>
        <v/>
      </c>
      <c r="F97" s="83"/>
      <c r="G97" s="1">
        <v>6</v>
      </c>
      <c r="H97" s="10" t="str">
        <f>MID(Sheet!$A287,7,9)</f>
        <v/>
      </c>
      <c r="I97" s="1">
        <v>16</v>
      </c>
      <c r="J97" s="13" t="str">
        <f>MID(Sheet!$A297,7,9)</f>
        <v/>
      </c>
    </row>
    <row r="98" spans="1:10" ht="12" customHeight="1">
      <c r="A98" s="83"/>
      <c r="B98" s="1">
        <v>7</v>
      </c>
      <c r="C98" s="13" t="str">
        <f>MID(Sheet!$A208,7,9)</f>
        <v/>
      </c>
      <c r="D98" s="1">
        <v>17</v>
      </c>
      <c r="E98" s="18" t="str">
        <f>MID(Sheet!$A218,7,9)</f>
        <v/>
      </c>
      <c r="F98" s="83"/>
      <c r="G98" s="1">
        <v>7</v>
      </c>
      <c r="H98" s="10" t="str">
        <f>MID(Sheet!$A288,7,9)</f>
        <v/>
      </c>
      <c r="I98" s="1">
        <v>17</v>
      </c>
      <c r="J98" s="13" t="str">
        <f>MID(Sheet!$A298,7,9)</f>
        <v/>
      </c>
    </row>
    <row r="99" spans="1:10" ht="12" customHeight="1">
      <c r="A99" s="83"/>
      <c r="B99" s="1">
        <v>8</v>
      </c>
      <c r="C99" s="13" t="str">
        <f>MID(Sheet!$A209,7,9)</f>
        <v/>
      </c>
      <c r="D99" s="1">
        <v>18</v>
      </c>
      <c r="E99" s="18" t="str">
        <f>MID(Sheet!$A219,7,9)</f>
        <v/>
      </c>
      <c r="F99" s="83"/>
      <c r="G99" s="1">
        <v>8</v>
      </c>
      <c r="H99" s="10" t="str">
        <f>MID(Sheet!$A289,7,9)</f>
        <v/>
      </c>
      <c r="I99" s="1">
        <v>18</v>
      </c>
      <c r="J99" s="13" t="str">
        <f>MID(Sheet!$A299,7,9)</f>
        <v/>
      </c>
    </row>
    <row r="100" spans="1:10" ht="12" customHeight="1">
      <c r="A100" s="83"/>
      <c r="B100" s="1">
        <v>9</v>
      </c>
      <c r="C100" s="13" t="str">
        <f>MID(Sheet!$A210,7,9)</f>
        <v/>
      </c>
      <c r="D100" s="1">
        <v>19</v>
      </c>
      <c r="E100" s="18" t="str">
        <f>MID(Sheet!$A220,7,9)</f>
        <v/>
      </c>
      <c r="F100" s="83"/>
      <c r="G100" s="1">
        <v>9</v>
      </c>
      <c r="H100" s="10" t="str">
        <f>MID(Sheet!$A290,7,9)</f>
        <v/>
      </c>
      <c r="I100" s="1">
        <v>19</v>
      </c>
      <c r="J100" s="13" t="str">
        <f>MID(Sheet!$A300,7,9)</f>
        <v/>
      </c>
    </row>
    <row r="101" spans="1:10" ht="12" customHeight="1">
      <c r="A101" s="83"/>
      <c r="B101" s="1">
        <v>10</v>
      </c>
      <c r="C101" s="13" t="str">
        <f>MID(Sheet!$A211,7,9)</f>
        <v/>
      </c>
      <c r="D101" s="1">
        <v>20</v>
      </c>
      <c r="E101" s="18" t="str">
        <f>MID(Sheet!$A221,7,9)</f>
        <v/>
      </c>
      <c r="F101" s="83"/>
      <c r="G101" s="1">
        <v>10</v>
      </c>
      <c r="H101" s="10" t="str">
        <f>MID(Sheet!$A291,7,9)</f>
        <v/>
      </c>
      <c r="I101" s="1">
        <v>20</v>
      </c>
      <c r="J101" s="13" t="str">
        <f>MID(Sheet!$A301,7,9)</f>
        <v/>
      </c>
    </row>
    <row r="102" spans="1:10" ht="12" customHeight="1">
      <c r="A102" s="83"/>
      <c r="B102" s="85" t="s">
        <v>0</v>
      </c>
      <c r="C102" s="86"/>
      <c r="D102" s="86"/>
      <c r="E102" s="89">
        <f>COUNTA(Sheet!$A202:$A221)</f>
        <v>0</v>
      </c>
      <c r="F102" s="83"/>
      <c r="G102" s="85" t="s">
        <v>0</v>
      </c>
      <c r="H102" s="86"/>
      <c r="I102" s="86"/>
      <c r="J102" s="89">
        <f>COUNTA(Sheet!$A282:$A301)</f>
        <v>0</v>
      </c>
    </row>
    <row r="103" spans="1:10" ht="12" customHeight="1">
      <c r="A103" s="84"/>
      <c r="B103" s="87"/>
      <c r="C103" s="88"/>
      <c r="D103" s="88"/>
      <c r="E103" s="90"/>
      <c r="F103" s="84"/>
      <c r="G103" s="87"/>
      <c r="H103" s="88"/>
      <c r="I103" s="88"/>
      <c r="J103" s="90"/>
    </row>
    <row r="104" spans="1:10" ht="12" customHeight="1">
      <c r="B104" s="2"/>
      <c r="C104" s="11"/>
      <c r="D104" s="2"/>
      <c r="E104" s="11"/>
      <c r="F104" s="11"/>
      <c r="G104" s="2"/>
      <c r="H104" s="11"/>
      <c r="I104" s="2"/>
      <c r="J104" s="21"/>
    </row>
    <row r="105" spans="1:10" ht="12" customHeight="1">
      <c r="B105" s="4"/>
      <c r="C105" s="14"/>
      <c r="D105" s="4"/>
      <c r="E105" s="14"/>
      <c r="F105" s="14"/>
      <c r="G105" s="4"/>
      <c r="H105" s="14"/>
      <c r="I105" s="4"/>
      <c r="J105" s="22"/>
    </row>
    <row r="106" spans="1:10" ht="12" customHeight="1">
      <c r="A106" s="82" cm="1">
        <f t="array" aca="1" ref="A106" ca="1">SUM(IF(ISNUMBER(Sheet!$C222:$C241),Sheet!$C222:$C241,""))</f>
        <v>0</v>
      </c>
      <c r="B106" s="5">
        <v>1</v>
      </c>
      <c r="C106" s="15" t="str">
        <f>MID(Sheet!$A222,7,9)</f>
        <v/>
      </c>
      <c r="D106" s="5">
        <v>11</v>
      </c>
      <c r="E106" s="19" t="str">
        <f>MID(Sheet!$A232,7,9)</f>
        <v/>
      </c>
      <c r="F106" s="82" cm="1">
        <f t="array" aca="1" ref="F106" ca="1">SUM(IF(ISNUMBER(Sheet!$C302:$C321),Sheet!$C302:$C321,""))</f>
        <v>0</v>
      </c>
      <c r="G106" s="5">
        <v>1</v>
      </c>
      <c r="H106" s="15" t="str">
        <f>MID(Sheet!$A302,7,9)</f>
        <v/>
      </c>
      <c r="I106" s="5">
        <v>11</v>
      </c>
      <c r="J106" s="15" t="str">
        <f>MID(Sheet!$A312,7,9)</f>
        <v/>
      </c>
    </row>
    <row r="107" spans="1:10" ht="12" customHeight="1">
      <c r="A107" s="83"/>
      <c r="B107" s="1">
        <v>2</v>
      </c>
      <c r="C107" s="15" t="str">
        <f>MID(Sheet!$A223,7,9)</f>
        <v/>
      </c>
      <c r="D107" s="1">
        <v>12</v>
      </c>
      <c r="E107" s="19" t="str">
        <f>MID(Sheet!$A233,7,9)</f>
        <v/>
      </c>
      <c r="F107" s="83"/>
      <c r="G107" s="1">
        <v>2</v>
      </c>
      <c r="H107" s="15" t="str">
        <f>MID(Sheet!$A303,7,9)</f>
        <v/>
      </c>
      <c r="I107" s="1">
        <v>12</v>
      </c>
      <c r="J107" s="15" t="str">
        <f>MID(Sheet!$A313,7,9)</f>
        <v/>
      </c>
    </row>
    <row r="108" spans="1:10" ht="12" customHeight="1">
      <c r="A108" s="83"/>
      <c r="B108" s="1">
        <v>3</v>
      </c>
      <c r="C108" s="15" t="str">
        <f>MID(Sheet!$A224,7,9)</f>
        <v/>
      </c>
      <c r="D108" s="1">
        <v>13</v>
      </c>
      <c r="E108" s="19" t="str">
        <f>MID(Sheet!$A234,7,9)</f>
        <v/>
      </c>
      <c r="F108" s="83"/>
      <c r="G108" s="1">
        <v>3</v>
      </c>
      <c r="H108" s="15" t="str">
        <f>MID(Sheet!$A304,7,9)</f>
        <v/>
      </c>
      <c r="I108" s="1">
        <v>13</v>
      </c>
      <c r="J108" s="15" t="str">
        <f>MID(Sheet!$A314,7,9)</f>
        <v/>
      </c>
    </row>
    <row r="109" spans="1:10" ht="12" customHeight="1">
      <c r="A109" s="83"/>
      <c r="B109" s="1">
        <v>4</v>
      </c>
      <c r="C109" s="15" t="str">
        <f>MID(Sheet!$A225,7,9)</f>
        <v/>
      </c>
      <c r="D109" s="1">
        <v>14</v>
      </c>
      <c r="E109" s="19" t="str">
        <f>MID(Sheet!$A235,7,9)</f>
        <v/>
      </c>
      <c r="F109" s="83"/>
      <c r="G109" s="1">
        <v>4</v>
      </c>
      <c r="H109" s="15" t="str">
        <f>MID(Sheet!$A305,7,9)</f>
        <v/>
      </c>
      <c r="I109" s="1">
        <v>14</v>
      </c>
      <c r="J109" s="15" t="str">
        <f>MID(Sheet!$A315,7,9)</f>
        <v/>
      </c>
    </row>
    <row r="110" spans="1:10" ht="12" customHeight="1">
      <c r="A110" s="83"/>
      <c r="B110" s="1">
        <v>5</v>
      </c>
      <c r="C110" s="15" t="str">
        <f>MID(Sheet!$A226,7,9)</f>
        <v/>
      </c>
      <c r="D110" s="1">
        <v>15</v>
      </c>
      <c r="E110" s="19" t="str">
        <f>MID(Sheet!$A236,7,9)</f>
        <v/>
      </c>
      <c r="F110" s="83"/>
      <c r="G110" s="1">
        <v>5</v>
      </c>
      <c r="H110" s="15" t="str">
        <f>MID(Sheet!$A306,7,9)</f>
        <v/>
      </c>
      <c r="I110" s="1">
        <v>15</v>
      </c>
      <c r="J110" s="15" t="str">
        <f>MID(Sheet!$A316,7,9)</f>
        <v/>
      </c>
    </row>
    <row r="111" spans="1:10" ht="12" customHeight="1">
      <c r="A111" s="83"/>
      <c r="B111" s="1">
        <v>6</v>
      </c>
      <c r="C111" s="15" t="str">
        <f>MID(Sheet!$A227,7,9)</f>
        <v/>
      </c>
      <c r="D111" s="1">
        <v>16</v>
      </c>
      <c r="E111" s="19" t="str">
        <f>MID(Sheet!$A237,7,9)</f>
        <v/>
      </c>
      <c r="F111" s="83"/>
      <c r="G111" s="1">
        <v>6</v>
      </c>
      <c r="H111" s="15" t="str">
        <f>MID(Sheet!$A307,7,9)</f>
        <v/>
      </c>
      <c r="I111" s="1">
        <v>16</v>
      </c>
      <c r="J111" s="15" t="str">
        <f>MID(Sheet!$A317,7,9)</f>
        <v/>
      </c>
    </row>
    <row r="112" spans="1:10" ht="12" customHeight="1">
      <c r="A112" s="83"/>
      <c r="B112" s="1">
        <v>7</v>
      </c>
      <c r="C112" s="15" t="str">
        <f>MID(Sheet!$A228,7,9)</f>
        <v/>
      </c>
      <c r="D112" s="1">
        <v>17</v>
      </c>
      <c r="E112" s="19" t="str">
        <f>MID(Sheet!$A238,7,9)</f>
        <v/>
      </c>
      <c r="F112" s="83"/>
      <c r="G112" s="1">
        <v>7</v>
      </c>
      <c r="H112" s="15" t="str">
        <f>MID(Sheet!$A308,7,9)</f>
        <v/>
      </c>
      <c r="I112" s="1">
        <v>17</v>
      </c>
      <c r="J112" s="15" t="str">
        <f>MID(Sheet!$A318,7,9)</f>
        <v/>
      </c>
    </row>
    <row r="113" spans="1:10" ht="12" customHeight="1">
      <c r="A113" s="83"/>
      <c r="B113" s="1">
        <v>8</v>
      </c>
      <c r="C113" s="15" t="str">
        <f>MID(Sheet!$A229,7,9)</f>
        <v/>
      </c>
      <c r="D113" s="1">
        <v>18</v>
      </c>
      <c r="E113" s="19" t="str">
        <f>MID(Sheet!$A239,7,9)</f>
        <v/>
      </c>
      <c r="F113" s="83"/>
      <c r="G113" s="1">
        <v>8</v>
      </c>
      <c r="H113" s="15" t="str">
        <f>MID(Sheet!$A309,7,9)</f>
        <v/>
      </c>
      <c r="I113" s="1">
        <v>18</v>
      </c>
      <c r="J113" s="15" t="str">
        <f>MID(Sheet!$A319,7,9)</f>
        <v/>
      </c>
    </row>
    <row r="114" spans="1:10" ht="12" customHeight="1">
      <c r="A114" s="83"/>
      <c r="B114" s="1">
        <v>9</v>
      </c>
      <c r="C114" s="15" t="str">
        <f>MID(Sheet!$A230,7,9)</f>
        <v/>
      </c>
      <c r="D114" s="1">
        <v>19</v>
      </c>
      <c r="E114" s="19" t="str">
        <f>MID(Sheet!$A240,7,9)</f>
        <v/>
      </c>
      <c r="F114" s="83"/>
      <c r="G114" s="1">
        <v>9</v>
      </c>
      <c r="H114" s="15" t="str">
        <f>MID(Sheet!$A310,7,9)</f>
        <v/>
      </c>
      <c r="I114" s="1">
        <v>19</v>
      </c>
      <c r="J114" s="15" t="str">
        <f>MID(Sheet!$A320,7,9)</f>
        <v/>
      </c>
    </row>
    <row r="115" spans="1:10" ht="12" customHeight="1">
      <c r="A115" s="83"/>
      <c r="B115" s="1">
        <v>10</v>
      </c>
      <c r="C115" s="15" t="str">
        <f>MID(Sheet!$A231,7,9)</f>
        <v/>
      </c>
      <c r="D115" s="1">
        <v>20</v>
      </c>
      <c r="E115" s="19" t="str">
        <f>MID(Sheet!$A241,7,9)</f>
        <v/>
      </c>
      <c r="F115" s="83"/>
      <c r="G115" s="1">
        <v>10</v>
      </c>
      <c r="H115" s="15" t="str">
        <f>MID(Sheet!$A311,7,9)</f>
        <v/>
      </c>
      <c r="I115" s="1">
        <v>20</v>
      </c>
      <c r="J115" s="15" t="str">
        <f>MID(Sheet!$A321,7,9)</f>
        <v/>
      </c>
    </row>
    <row r="116" spans="1:10" ht="12" customHeight="1">
      <c r="A116" s="83"/>
      <c r="B116" s="85" t="s">
        <v>0</v>
      </c>
      <c r="C116" s="86"/>
      <c r="D116" s="86"/>
      <c r="E116" s="89">
        <f>COUNTA(Sheet!$A222:$A241)</f>
        <v>0</v>
      </c>
      <c r="F116" s="83"/>
      <c r="G116" s="85" t="s">
        <v>0</v>
      </c>
      <c r="H116" s="86"/>
      <c r="I116" s="86"/>
      <c r="J116" s="89">
        <f>COUNTA(Sheet!$A302:$A321)</f>
        <v>0</v>
      </c>
    </row>
    <row r="117" spans="1:10" ht="12" customHeight="1">
      <c r="A117" s="84"/>
      <c r="B117" s="87"/>
      <c r="C117" s="88"/>
      <c r="D117" s="88"/>
      <c r="E117" s="90"/>
      <c r="F117" s="84"/>
      <c r="G117" s="87"/>
      <c r="H117" s="88"/>
      <c r="I117" s="88"/>
      <c r="J117" s="90"/>
    </row>
    <row r="119" spans="1:10" ht="12" customHeight="1">
      <c r="C119" s="16" t="s">
        <v>7</v>
      </c>
      <c r="D119" s="8">
        <f ca="1">COUNTIF(Sheet!M$162:M$321,"&gt;0")</f>
        <v>0</v>
      </c>
      <c r="E119" s="23">
        <f ca="1">2000*D119</f>
        <v>0</v>
      </c>
      <c r="F119" s="23"/>
      <c r="I119" s="23"/>
      <c r="J119" s="23"/>
    </row>
    <row r="120" spans="1:10" ht="12" customHeight="1">
      <c r="C120" s="16" t="s">
        <v>8</v>
      </c>
      <c r="D120" s="8">
        <f ca="1">COUNTIF(Sheet!N$162:N$321,"&gt;0")</f>
        <v>0</v>
      </c>
      <c r="E120" s="23">
        <f ca="1">4000*D120</f>
        <v>0</v>
      </c>
      <c r="F120" s="23"/>
      <c r="I120" s="23"/>
      <c r="J120" s="23"/>
    </row>
    <row r="121" spans="1:10" ht="12" customHeight="1">
      <c r="C121" s="16" t="s">
        <v>9</v>
      </c>
      <c r="D121" s="8">
        <f ca="1">COUNTIF(Sheet!O$162:O$321,"&gt;0")</f>
        <v>0</v>
      </c>
      <c r="E121" s="23">
        <f ca="1">4000*D121</f>
        <v>0</v>
      </c>
      <c r="F121" s="23"/>
      <c r="H121" s="16" t="s">
        <v>16</v>
      </c>
      <c r="I121" s="91" t="str">
        <f ca="1">Sheet!AQ321</f>
        <v/>
      </c>
      <c r="J121" s="91"/>
    </row>
    <row r="122" spans="1:10" ht="12" customHeight="1">
      <c r="B122" s="7"/>
      <c r="C122" s="17"/>
      <c r="D122" s="7"/>
      <c r="E122" s="17"/>
      <c r="F122" s="17"/>
      <c r="G122" s="7"/>
      <c r="H122" s="24"/>
      <c r="I122" s="7"/>
      <c r="J122" s="17"/>
    </row>
  </sheetData>
  <mergeCells count="50">
    <mergeCell ref="G41:I42"/>
    <mergeCell ref="J41:J42"/>
    <mergeCell ref="B13:D14"/>
    <mergeCell ref="E13:E14"/>
    <mergeCell ref="G13:I14"/>
    <mergeCell ref="J13:J14"/>
    <mergeCell ref="B27:D28"/>
    <mergeCell ref="E27:E28"/>
    <mergeCell ref="G27:I28"/>
    <mergeCell ref="J27:J28"/>
    <mergeCell ref="G55:I56"/>
    <mergeCell ref="J55:J56"/>
    <mergeCell ref="J74:J75"/>
    <mergeCell ref="I60:J60"/>
    <mergeCell ref="B74:D75"/>
    <mergeCell ref="E74:E75"/>
    <mergeCell ref="G74:I75"/>
    <mergeCell ref="G88:I89"/>
    <mergeCell ref="J88:J89"/>
    <mergeCell ref="I121:J121"/>
    <mergeCell ref="B102:D103"/>
    <mergeCell ref="E102:E103"/>
    <mergeCell ref="G102:I103"/>
    <mergeCell ref="J102:J103"/>
    <mergeCell ref="B116:D117"/>
    <mergeCell ref="E116:E117"/>
    <mergeCell ref="G116:I117"/>
    <mergeCell ref="J116:J117"/>
    <mergeCell ref="F92:F103"/>
    <mergeCell ref="A17:A28"/>
    <mergeCell ref="A3:A14"/>
    <mergeCell ref="F3:F14"/>
    <mergeCell ref="F17:F28"/>
    <mergeCell ref="F31:F42"/>
    <mergeCell ref="A31:A42"/>
    <mergeCell ref="B41:D42"/>
    <mergeCell ref="E41:E42"/>
    <mergeCell ref="A92:A103"/>
    <mergeCell ref="A106:A117"/>
    <mergeCell ref="F106:F117"/>
    <mergeCell ref="A45:A56"/>
    <mergeCell ref="F45:F56"/>
    <mergeCell ref="A64:A75"/>
    <mergeCell ref="F64:F75"/>
    <mergeCell ref="A78:A89"/>
    <mergeCell ref="F78:F89"/>
    <mergeCell ref="B88:D89"/>
    <mergeCell ref="E88:E89"/>
    <mergeCell ref="B55:D56"/>
    <mergeCell ref="E55:E56"/>
  </mergeCells>
  <hyperlinks>
    <hyperlink ref="C3" location="Sheet2!A1" display="Sheet2!A1" xr:uid="{CA84C1B9-053F-4593-AAE9-ED2008A0BF10}"/>
    <hyperlink ref="C4:C12" location="Sheet2!A1" display="Sheet2!A1" xr:uid="{8D625318-551D-46EA-BE93-307B1096BFC6}"/>
    <hyperlink ref="E3" location="Sheet2!A1" display="Sheet2!A1" xr:uid="{2676BCA8-3207-4AB5-8DCC-27575203D39F}"/>
    <hyperlink ref="E4:E12" location="Sheet2!A1" display="Sheet2!A1" xr:uid="{35323E61-4105-4E43-91B1-00FAA5E7DBE0}"/>
    <hyperlink ref="C65:C73" location="Sheet2!A1" display="Sheet2!A1" xr:uid="{3041ABA4-67E4-4521-9C2E-0B1D179EA641}"/>
    <hyperlink ref="C64" location="Sheet2!A1" display="Sheet2!A1" xr:uid="{C6487CB8-2CAD-4566-8927-6C6C2B168168}"/>
  </hyperlinks>
  <pageMargins left="0.23622047244094491" right="0.23622047244094491" top="0.74803149606299213" bottom="0.74803149606299213" header="0.31496062992125984" footer="0.31496062992125984"/>
  <pageSetup paperSize="9" orientation="portrait" horizontalDpi="4294967293" r:id="rId1"/>
  <headerFooter>
    <oddFooter>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D8AD-F6E2-4032-90F2-37D06A152151}">
  <sheetPr codeName="Sheet2"/>
  <dimension ref="A1:AZ1000"/>
  <sheetViews>
    <sheetView tabSelected="1" zoomScale="110" zoomScaleNormal="110" zoomScaleSheetLayoutView="30" zoomScalePageLayoutView="150" workbookViewId="0">
      <pane ySplit="1" topLeftCell="A2" activePane="bottomLeft" state="frozen"/>
      <selection pane="bottomLeft" activeCell="A2" sqref="A2"/>
    </sheetView>
  </sheetViews>
  <sheetFormatPr defaultColWidth="12.140625" defaultRowHeight="13.15" customHeight="1"/>
  <cols>
    <col min="1" max="1" width="1.7109375" style="50" customWidth="1"/>
    <col min="2" max="2" width="12.28515625" style="68" customWidth="1"/>
    <col min="3" max="3" width="9.7109375" style="57" customWidth="1"/>
    <col min="4" max="4" width="5.7109375" style="25" hidden="1" customWidth="1"/>
    <col min="5" max="5" width="18.42578125" style="25" hidden="1" customWidth="1"/>
    <col min="6" max="7" width="5.7109375" style="25" hidden="1" customWidth="1"/>
    <col min="8" max="8" width="9.7109375" style="29" hidden="1" customWidth="1"/>
    <col min="9" max="9" width="9.7109375" style="25" hidden="1" customWidth="1"/>
    <col min="10" max="12" width="6.7109375" style="25" hidden="1" customWidth="1"/>
    <col min="13" max="21" width="11.140625" style="25" hidden="1" customWidth="1"/>
    <col min="22" max="22" width="9.7109375" style="25" hidden="1" customWidth="1"/>
    <col min="23" max="35" width="8.7109375" style="25" hidden="1" customWidth="1"/>
    <col min="36" max="36" width="3.7109375" style="25" customWidth="1"/>
    <col min="37" max="37" width="7.28515625" style="25" customWidth="1"/>
    <col min="38" max="38" width="9.7109375" style="25" customWidth="1"/>
    <col min="39" max="39" width="9.7109375" style="54" customWidth="1"/>
    <col min="40" max="42" width="3.7109375" style="25" customWidth="1"/>
    <col min="43" max="44" width="8.7109375" style="46" customWidth="1"/>
    <col min="45" max="45" width="8.7109375" style="25" customWidth="1"/>
    <col min="46" max="46" width="10.7109375" style="25" customWidth="1"/>
    <col min="47" max="56" width="8.7109375" style="25" customWidth="1"/>
    <col min="57" max="16384" width="12.140625" style="25"/>
  </cols>
  <sheetData>
    <row r="1" spans="1:45" s="79" customFormat="1" ht="13.15" customHeight="1" thickBot="1">
      <c r="A1" s="69"/>
      <c r="B1" s="70"/>
      <c r="C1" s="92">
        <f ca="1">SUM(C2:C1001)</f>
        <v>0</v>
      </c>
      <c r="D1" s="80" t="s">
        <v>1</v>
      </c>
      <c r="E1" s="81"/>
      <c r="F1" s="72" t="s">
        <v>17</v>
      </c>
      <c r="G1" s="72"/>
      <c r="H1" s="73" t="s">
        <v>2</v>
      </c>
      <c r="I1" s="73" t="s">
        <v>3</v>
      </c>
      <c r="J1" s="73" t="s">
        <v>4</v>
      </c>
      <c r="K1" s="73" t="s">
        <v>5</v>
      </c>
      <c r="L1" s="73" t="s">
        <v>6</v>
      </c>
      <c r="M1" s="73" t="s">
        <v>7</v>
      </c>
      <c r="N1" s="73" t="s">
        <v>8</v>
      </c>
      <c r="O1" s="73" t="s">
        <v>9</v>
      </c>
      <c r="P1" s="73" t="s">
        <v>10</v>
      </c>
      <c r="Q1" s="73" t="s">
        <v>11</v>
      </c>
      <c r="R1" s="73" t="s">
        <v>12</v>
      </c>
      <c r="S1" s="73" t="s">
        <v>13</v>
      </c>
      <c r="T1" s="73" t="s">
        <v>14</v>
      </c>
      <c r="U1" s="73" t="s">
        <v>15</v>
      </c>
      <c r="V1" s="71" t="s">
        <v>40</v>
      </c>
      <c r="W1" s="72"/>
      <c r="X1" s="74" t="s">
        <v>37</v>
      </c>
      <c r="Y1" s="73" t="s">
        <v>7</v>
      </c>
      <c r="Z1" s="73" t="s">
        <v>8</v>
      </c>
      <c r="AA1" s="73" t="s">
        <v>9</v>
      </c>
      <c r="AB1" s="73" t="s">
        <v>10</v>
      </c>
      <c r="AC1" s="73" t="s">
        <v>11</v>
      </c>
      <c r="AD1" s="73" t="s">
        <v>12</v>
      </c>
      <c r="AE1" s="73" t="s">
        <v>13</v>
      </c>
      <c r="AF1" s="73" t="s">
        <v>14</v>
      </c>
      <c r="AG1" s="73" t="s">
        <v>15</v>
      </c>
      <c r="AH1" s="73" t="s">
        <v>17</v>
      </c>
      <c r="AI1" s="75" t="s">
        <v>40</v>
      </c>
      <c r="AJ1" s="75" t="s">
        <v>43</v>
      </c>
      <c r="AK1" s="75"/>
      <c r="AL1" s="76">
        <f ca="1">SUM(AL2:AL1000)</f>
        <v>0</v>
      </c>
      <c r="AM1" s="77" t="s">
        <v>46</v>
      </c>
      <c r="AN1" s="75" t="s">
        <v>44</v>
      </c>
      <c r="AO1" s="75" t="s">
        <v>45</v>
      </c>
      <c r="AP1" s="75" t="s">
        <v>40</v>
      </c>
      <c r="AQ1" s="78"/>
      <c r="AR1" s="78"/>
      <c r="AS1" s="75"/>
    </row>
    <row r="2" spans="1:45" ht="13.15" customHeight="1">
      <c r="A2" s="63"/>
      <c r="B2" s="67" t="str">
        <f>LEFT(A2,15)</f>
        <v/>
      </c>
      <c r="C2" s="58" cm="1">
        <f t="array" aca="1" ref="C2" ca="1">SUM(IF(ISNUMBER(M2:W2),M2:W2,""))</f>
        <v>0</v>
      </c>
      <c r="D2" s="25" t="str">
        <f>MID(B2,4,2)</f>
        <v/>
      </c>
      <c r="E2" s="25" t="e">
        <f t="shared" ref="E2:E34" si="0">IF(ISEVEN(D2),D2-1,VALUE(D2))</f>
        <v>#VALUE!</v>
      </c>
      <c r="F2" s="25" t="str">
        <f>LEFT(B2,2)</f>
        <v/>
      </c>
      <c r="G2" s="25" t="str">
        <f t="shared" ref="G2:G34" si="1">CONCATENATE(F2,".xlsx")</f>
        <v>.xlsx</v>
      </c>
      <c r="H2" s="29" t="e" cm="1">
        <f t="array" aca="1" ref="H2" ca="1">IF(AND(VALUE(E2)=INDIRECT("'["&amp;G2&amp;"]"&amp;E2&amp;"'!"&amp;$X$2),G2=INDIRECT("'["&amp;G2&amp;"]"&amp;E2&amp;"'!"&amp;$X$3)),INDIRECT("'["&amp;G2&amp;"]"&amp;E2&amp;"'!"&amp;$X$1),0)</f>
        <v>#VALUE!</v>
      </c>
      <c r="I2" s="25" t="str">
        <f>MID(B2,10,6)</f>
        <v/>
      </c>
      <c r="J2" s="32" t="str">
        <f t="shared" ref="J2:J34" si="2">RIGHT(I2,2)</f>
        <v/>
      </c>
      <c r="K2" s="25" t="str">
        <f t="shared" ref="K2:K34" si="3">LEFT(I2,3)</f>
        <v/>
      </c>
      <c r="L2" s="25" t="str">
        <f t="shared" ref="L2:L34" si="4">RIGHT(I2,3)</f>
        <v/>
      </c>
      <c r="M2" s="33" t="e" cm="1">
        <f t="array" aca="1" ref="M2" ca="1">IF(AND(J2=INDIRECT("'["&amp;G2&amp;"]"&amp;E2&amp;"'!"&amp;$Y$2),G2=INDIRECT("'["&amp;G2&amp;"]"&amp;E2&amp;"'!"&amp;$AH$2)),INDIRECT("'["&amp;G2&amp;"]"&amp;E2&amp;"'!"&amp;$Y$3),0)</f>
        <v>#VALUE!</v>
      </c>
      <c r="N2" s="34" t="e" cm="1">
        <f t="array" aca="1" ref="N2" ca="1">IF(AND(G2=INDIRECT("'["&amp;G2&amp;"]"&amp;E2&amp;"'!"&amp;$AH$2),OR(K2=INDIRECT("'["&amp;G2&amp;"]"&amp;E2&amp;"'!"&amp;$Z$2))),INDIRECT("'["&amp;G2&amp;"]"&amp;E2&amp;"'!"&amp;$Z$3),0)</f>
        <v>#VALUE!</v>
      </c>
      <c r="O2" s="34" t="e" cm="1">
        <f t="array" aca="1" ref="O2" ca="1">IF(AND(G2=INDIRECT("'["&amp;G2&amp;"]"&amp;E2&amp;"'!"&amp;$AH$2),OR(L2=INDIRECT("'["&amp;G2&amp;"]"&amp;E2&amp;"'!"&amp;$AA$2))),INDIRECT("'["&amp;G2&amp;"]"&amp;E2&amp;"'!"&amp;$AA$3),0)</f>
        <v>#VALUE!</v>
      </c>
      <c r="P2" s="34" t="e" cm="1">
        <f t="array" aca="1" ref="P2" ca="1">IF(AND(G2=INDIRECT("'["&amp;G2&amp;"]"&amp;E2&amp;"'!"&amp;$AH$2),OR(VALUE(I2)=INDIRECT("'["&amp;G2&amp;"]"&amp;E2&amp;"'!"&amp;$AB$2))),INDIRECT("'["&amp;G2&amp;"]"&amp;E2&amp;"'!"&amp;$AB$3),0)</f>
        <v>#VALUE!</v>
      </c>
      <c r="Q2" s="34" t="e" cm="1">
        <f t="array" aca="1" ref="Q2" ca="1">IF(AND(G2=INDIRECT("'["&amp;G2&amp;"]"&amp;E2&amp;"'!"&amp;$AH$2),OR(VALUE(I2)=INDIRECT("'["&amp;G2&amp;"]"&amp;E2&amp;"'!"&amp;$AC$2))),INDIRECT("'["&amp;G2&amp;"]"&amp;E2&amp;"'!"&amp;$AC$3),0)</f>
        <v>#VALUE!</v>
      </c>
      <c r="R2" s="34" t="e" cm="1">
        <f t="array" aca="1" ref="R2" ca="1">IF(AND(G2=INDIRECT("'["&amp;G2&amp;"]"&amp;E2&amp;"'!"&amp;$AH$2),OR(I2=INDIRECT("'["&amp;G2&amp;"]"&amp;E2&amp;"'!"&amp;$AD$2))),INDIRECT("'["&amp;G2&amp;"]"&amp;E2&amp;"'!"&amp;$AD$3),0)</f>
        <v>#VALUE!</v>
      </c>
      <c r="S2" s="34" t="e" cm="1">
        <f t="array" aca="1" ref="S2" ca="1">IF(AND(G2=INDIRECT("'["&amp;G2&amp;"]"&amp;E2&amp;"'!"&amp;$AH$2),OR(I2=INDIRECT("'["&amp;G2&amp;"]"&amp;E2&amp;"'!"&amp;$AE$2))),INDIRECT("'["&amp;G2&amp;"]"&amp;E2&amp;"'!"&amp;$AE$3),0)</f>
        <v>#VALUE!</v>
      </c>
      <c r="T2" s="35" t="e" cm="1">
        <f t="array" aca="1" ref="T2" ca="1">IF(AND(G2=INDIRECT("'["&amp;G2&amp;"]"&amp;E2&amp;"'!"&amp;$AH$2),OR(I2=INDIRECT("'["&amp;G2&amp;"]"&amp;E2&amp;"'!"&amp;$AF$2))),INDIRECT("'["&amp;G2&amp;"]"&amp;E2&amp;"'!"&amp;$AF$3),0)</f>
        <v>#VALUE!</v>
      </c>
      <c r="U2" s="34" t="e" cm="1">
        <f t="array" aca="1" ref="U2" ca="1">IF(AND(G2=INDIRECT("'["&amp;G2&amp;"]"&amp;E2&amp;"'!"&amp;$AH$2),OR(I2=INDIRECT("'["&amp;G2&amp;"]"&amp;E2&amp;"'!"&amp;$AG$2))),INDIRECT("'["&amp;G2&amp;"]"&amp;E2&amp;"'!"&amp;$AG$3),0)</f>
        <v>#VALUE!</v>
      </c>
      <c r="V2" s="25" t="str">
        <f>MID(B2,7,9)</f>
        <v/>
      </c>
      <c r="W2" s="36" t="e" cm="1">
        <f t="array" aca="1" ref="W2" ca="1">IF(AND(G2=INDIRECT("'["&amp;G2&amp;"]"&amp;E2&amp;"'!"&amp;$AH$2),OR(V2=INDIRECT("'["&amp;G2&amp;"]"&amp;E2&amp;"'!"&amp;$AI$2))),INDIRECT("'["&amp;G2&amp;"]"&amp;E2&amp;"'!"&amp;$AI$3),0)</f>
        <v>#VALUE!</v>
      </c>
      <c r="X2" s="25" t="s">
        <v>36</v>
      </c>
      <c r="Y2" s="37" t="s">
        <v>19</v>
      </c>
      <c r="Z2" s="25" t="s">
        <v>20</v>
      </c>
      <c r="AA2" s="25" t="s">
        <v>29</v>
      </c>
      <c r="AB2" s="25" t="s">
        <v>30</v>
      </c>
      <c r="AC2" s="25" t="s">
        <v>31</v>
      </c>
      <c r="AD2" s="25" t="s">
        <v>38</v>
      </c>
      <c r="AE2" s="25" t="s">
        <v>32</v>
      </c>
      <c r="AF2" s="25" t="s">
        <v>33</v>
      </c>
      <c r="AG2" s="25" t="s">
        <v>34</v>
      </c>
      <c r="AH2" s="25" t="s">
        <v>18</v>
      </c>
      <c r="AI2" s="25" t="s">
        <v>41</v>
      </c>
      <c r="AJ2" s="25">
        <v>1</v>
      </c>
      <c r="AK2" s="38">
        <f t="shared" ref="AK2:AK66" ca="1" si="5">(C2*AJ2%)</f>
        <v>0</v>
      </c>
      <c r="AL2" s="38">
        <f ca="1">C2-AK2</f>
        <v>0</v>
      </c>
      <c r="AM2" s="54" t="str">
        <f t="shared" ref="AM2:AM65" ca="1" si="6">IF(A2&lt;&gt;"",IF(AM2="",NOW(),AM2),"")</f>
        <v/>
      </c>
      <c r="AN2" s="25" t="e">
        <f ca="1">IF(VALUE(N2),"/","")</f>
        <v>#VALUE!</v>
      </c>
      <c r="AO2" s="25" t="e">
        <f ca="1">IF(VALUE(O2),"/","")</f>
        <v>#VALUE!</v>
      </c>
      <c r="AP2" s="39" t="str">
        <f t="shared" ref="AP2:AP65" ca="1" si="7">IF(ISTEXT(W2),"อายัด","")</f>
        <v/>
      </c>
      <c r="AQ2" s="46" t="str">
        <f ca="1">IF(AND(C2&lt;&gt;0, C3=0), SUM($C$2:C2)-SUM($AQ$1:AQ1), "")</f>
        <v/>
      </c>
      <c r="AR2" s="46" t="str">
        <f ca="1">IF(AND(AK2&lt;&gt;0, AK3=0), SUM($AK$2:AK2)-SUM($AR$1:AR1), "")</f>
        <v/>
      </c>
    </row>
    <row r="3" spans="1:45" ht="13.15" customHeight="1">
      <c r="A3" s="63"/>
      <c r="B3" s="68" t="str">
        <f>LEFT(A3,15)</f>
        <v/>
      </c>
      <c r="C3" s="55" cm="1">
        <f t="array" aca="1" ref="C3" ca="1">SUM(IF(ISNUMBER(M3:U3),M3:U3,""))</f>
        <v>0</v>
      </c>
      <c r="D3" s="25" t="str">
        <f t="shared" ref="D3:D34" si="8">MID(A3,4,2)</f>
        <v/>
      </c>
      <c r="E3" s="25" t="e">
        <f t="shared" si="0"/>
        <v>#VALUE!</v>
      </c>
      <c r="F3" s="25" t="str">
        <f t="shared" ref="F3:F34" si="9">LEFT(A3,2)</f>
        <v/>
      </c>
      <c r="G3" s="25" t="str">
        <f t="shared" si="1"/>
        <v>.xlsx</v>
      </c>
      <c r="H3" s="29" t="e" cm="1">
        <f t="array" aca="1" ref="H3" ca="1">IF(AND(VALUE(E3)=INDIRECT("'["&amp;G3&amp;"]"&amp;E3&amp;"'!"&amp;$X$2),G3=INDIRECT("'["&amp;G3&amp;"]"&amp;E3&amp;"'!"&amp;$X$3)),INDIRECT("'["&amp;G3&amp;"]"&amp;E3&amp;"'!"&amp;$X$1),0)</f>
        <v>#VALUE!</v>
      </c>
      <c r="I3" s="25" t="str">
        <f t="shared" ref="I3:I34" si="10">MID(A3,10,6)</f>
        <v/>
      </c>
      <c r="J3" s="32" t="str">
        <f t="shared" si="2"/>
        <v/>
      </c>
      <c r="K3" s="25" t="str">
        <f t="shared" si="3"/>
        <v/>
      </c>
      <c r="L3" s="25" t="str">
        <f t="shared" si="4"/>
        <v/>
      </c>
      <c r="M3" s="33" t="e" cm="1">
        <f t="array" aca="1" ref="M3" ca="1">IF(AND(J3=INDIRECT("'["&amp;G3&amp;"]"&amp;E3&amp;"'!"&amp;$Y$2),G3=INDIRECT("'["&amp;G3&amp;"]"&amp;E3&amp;"'!"&amp;$AH$2)),INDIRECT("'["&amp;G3&amp;"]"&amp;E3&amp;"'!"&amp;$Y$3),0)</f>
        <v>#VALUE!</v>
      </c>
      <c r="N3" s="34" t="e" cm="1">
        <f t="array" aca="1" ref="N3" ca="1">IF(AND(G3=INDIRECT("'["&amp;G3&amp;"]"&amp;E3&amp;"'!"&amp;$AH$2),OR(K3=INDIRECT("'["&amp;G3&amp;"]"&amp;E3&amp;"'!"&amp;$Z$2))),INDIRECT("'["&amp;G3&amp;"]"&amp;E3&amp;"'!"&amp;$Z$3),0)</f>
        <v>#VALUE!</v>
      </c>
      <c r="O3" s="34" t="e" cm="1">
        <f t="array" aca="1" ref="O3" ca="1">IF(AND(G3=INDIRECT("'["&amp;G3&amp;"]"&amp;E3&amp;"'!"&amp;$AH$2),OR(L3=INDIRECT("'["&amp;G3&amp;"]"&amp;E3&amp;"'!"&amp;$AA$2))),INDIRECT("'["&amp;G3&amp;"]"&amp;E3&amp;"'!"&amp;$AA$3),0)</f>
        <v>#VALUE!</v>
      </c>
      <c r="P3" s="34" t="e" cm="1">
        <f t="array" aca="1" ref="P3" ca="1">IF(AND(G3=INDIRECT("'["&amp;G3&amp;"]"&amp;E3&amp;"'!"&amp;$AH$2),OR(VALUE(I3)=INDIRECT("'["&amp;G3&amp;"]"&amp;E3&amp;"'!"&amp;$AB$2))),INDIRECT("'["&amp;G3&amp;"]"&amp;E3&amp;"'!"&amp;$AB$3),0)</f>
        <v>#VALUE!</v>
      </c>
      <c r="Q3" s="34" t="e" cm="1">
        <f t="array" aca="1" ref="Q3" ca="1">IF(AND(G3=INDIRECT("'["&amp;G3&amp;"]"&amp;E3&amp;"'!"&amp;$AH$2),OR(VALUE(I3)=INDIRECT("'["&amp;G3&amp;"]"&amp;E3&amp;"'!"&amp;$AC$2))),INDIRECT("'["&amp;G3&amp;"]"&amp;E3&amp;"'!"&amp;$AC$3),0)</f>
        <v>#VALUE!</v>
      </c>
      <c r="R3" s="34" t="e" cm="1">
        <f t="array" aca="1" ref="R3" ca="1">IF(AND(G3=INDIRECT("'["&amp;G3&amp;"]"&amp;E3&amp;"'!"&amp;$AH$2),OR(I3=INDIRECT("'["&amp;G3&amp;"]"&amp;E3&amp;"'!"&amp;$AD$2))),INDIRECT("'["&amp;G3&amp;"]"&amp;E3&amp;"'!"&amp;$AD$3),0)</f>
        <v>#VALUE!</v>
      </c>
      <c r="S3" s="34" t="e" cm="1">
        <f t="array" aca="1" ref="S3" ca="1">IF(AND(G3=INDIRECT("'["&amp;G3&amp;"]"&amp;E3&amp;"'!"&amp;$AH$2),OR(I3=INDIRECT("'["&amp;G3&amp;"]"&amp;E3&amp;"'!"&amp;$AE$2))),INDIRECT("'["&amp;G3&amp;"]"&amp;E3&amp;"'!"&amp;$AE$3),0)</f>
        <v>#VALUE!</v>
      </c>
      <c r="T3" s="35" t="e" cm="1">
        <f t="array" aca="1" ref="T3" ca="1">IF(AND(G3=INDIRECT("'["&amp;G3&amp;"]"&amp;E3&amp;"'!"&amp;$AH$2),OR(I3=INDIRECT("'["&amp;G3&amp;"]"&amp;E3&amp;"'!"&amp;$AF$2))),INDIRECT("'["&amp;G3&amp;"]"&amp;E3&amp;"'!"&amp;$AF$3),0)</f>
        <v>#VALUE!</v>
      </c>
      <c r="U3" s="34" t="e" cm="1">
        <f t="array" aca="1" ref="U3" ca="1">IF(AND(G3=INDIRECT("'["&amp;G3&amp;"]"&amp;E3&amp;"'!"&amp;$AH$2),OR(I3=INDIRECT("'["&amp;G3&amp;"]"&amp;E3&amp;"'!"&amp;$AG$2))),INDIRECT("'["&amp;G3&amp;"]"&amp;E3&amp;"'!"&amp;$AG$3),0)</f>
        <v>#VALUE!</v>
      </c>
      <c r="V3" s="25" t="str">
        <f t="shared" ref="V3:V34" si="11">MID(B3,7,9)</f>
        <v/>
      </c>
      <c r="W3" s="36" t="e" cm="1">
        <f t="array" aca="1" ref="W3" ca="1">IF(AND(G3=INDIRECT("'["&amp;G3&amp;"]"&amp;E3&amp;"'!"&amp;$AH$2),OR(V3=INDIRECT("'["&amp;G3&amp;"]"&amp;E3&amp;"'!"&amp;$AI$2))),INDIRECT("'["&amp;G3&amp;"]"&amp;E3&amp;"'!"&amp;$AI$3),0)</f>
        <v>#VALUE!</v>
      </c>
      <c r="X3" s="25" t="s">
        <v>18</v>
      </c>
      <c r="Y3" s="25" t="s">
        <v>35</v>
      </c>
      <c r="Z3" s="25" t="s">
        <v>21</v>
      </c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5" t="s">
        <v>27</v>
      </c>
      <c r="AG3" s="25" t="s">
        <v>28</v>
      </c>
      <c r="AI3" s="25" t="s">
        <v>42</v>
      </c>
      <c r="AJ3" s="25">
        <v>1</v>
      </c>
      <c r="AK3" s="38">
        <f t="shared" ca="1" si="5"/>
        <v>0</v>
      </c>
      <c r="AL3" s="38">
        <f t="shared" ref="AL3:AL66" ca="1" si="12">C3-AK3</f>
        <v>0</v>
      </c>
      <c r="AM3" s="54" t="str">
        <f t="shared" ca="1" si="6"/>
        <v/>
      </c>
      <c r="AN3" s="25" t="e">
        <f t="shared" ref="AN3:AN66" ca="1" si="13">IF(VALUE(N3),"/","")</f>
        <v>#VALUE!</v>
      </c>
      <c r="AO3" s="25" t="e">
        <f t="shared" ref="AO3:AO66" ca="1" si="14">IF(VALUE(O3),"/","")</f>
        <v>#VALUE!</v>
      </c>
      <c r="AP3" s="39" t="str">
        <f t="shared" ca="1" si="7"/>
        <v/>
      </c>
      <c r="AQ3" s="46" t="str">
        <f ca="1">IF(AND(C3&lt;&gt;0, C4=0), SUM($C$2:C3)-SUM($AQ$1:AQ2), "")</f>
        <v/>
      </c>
      <c r="AR3" s="46" t="str">
        <f ca="1">IF(AND(AK3&lt;&gt;0, AK4=0), SUM($AK$2:AK3)-SUM($AR$1:AR2), "")</f>
        <v/>
      </c>
    </row>
    <row r="4" spans="1:45" ht="13.15" customHeight="1">
      <c r="A4" s="63"/>
      <c r="B4" s="68" t="str">
        <f>LEFT(A4,15)</f>
        <v/>
      </c>
      <c r="C4" s="55" cm="1">
        <f t="array" aca="1" ref="C4" ca="1">SUM(IF(ISNUMBER(M4:U4),M4:U4,""))</f>
        <v>0</v>
      </c>
      <c r="D4" s="25" t="str">
        <f t="shared" si="8"/>
        <v/>
      </c>
      <c r="E4" s="25" t="e">
        <f t="shared" si="0"/>
        <v>#VALUE!</v>
      </c>
      <c r="F4" s="25" t="str">
        <f t="shared" si="9"/>
        <v/>
      </c>
      <c r="G4" s="25" t="str">
        <f t="shared" si="1"/>
        <v>.xlsx</v>
      </c>
      <c r="H4" s="29" t="e" cm="1">
        <f t="array" aca="1" ref="H4" ca="1">IF(AND(VALUE(E4)=INDIRECT("'["&amp;G4&amp;"]"&amp;E4&amp;"'!"&amp;$X$2),G4=INDIRECT("'["&amp;G4&amp;"]"&amp;E4&amp;"'!"&amp;$X$3)),INDIRECT("'["&amp;G4&amp;"]"&amp;E4&amp;"'!"&amp;$X$1),0)</f>
        <v>#VALUE!</v>
      </c>
      <c r="I4" s="25" t="str">
        <f t="shared" si="10"/>
        <v/>
      </c>
      <c r="J4" s="32" t="str">
        <f t="shared" si="2"/>
        <v/>
      </c>
      <c r="K4" s="25" t="str">
        <f t="shared" si="3"/>
        <v/>
      </c>
      <c r="L4" s="25" t="str">
        <f t="shared" si="4"/>
        <v/>
      </c>
      <c r="M4" s="33" t="e" cm="1">
        <f t="array" aca="1" ref="M4" ca="1">IF(AND(J4=INDIRECT("'["&amp;G4&amp;"]"&amp;E4&amp;"'!"&amp;$Y$2),G4=INDIRECT("'["&amp;G4&amp;"]"&amp;E4&amp;"'!"&amp;$AH$2)),INDIRECT("'["&amp;G4&amp;"]"&amp;E4&amp;"'!"&amp;$Y$3),0)</f>
        <v>#VALUE!</v>
      </c>
      <c r="N4" s="34" t="e" cm="1">
        <f t="array" aca="1" ref="N4" ca="1">IF(AND(G4=INDIRECT("'["&amp;G4&amp;"]"&amp;E4&amp;"'!"&amp;$AH$2),OR(K4=INDIRECT("'["&amp;G4&amp;"]"&amp;E4&amp;"'!"&amp;$Z$2))),INDIRECT("'["&amp;G4&amp;"]"&amp;E4&amp;"'!"&amp;$Z$3),0)</f>
        <v>#VALUE!</v>
      </c>
      <c r="O4" s="34" t="e" cm="1">
        <f t="array" aca="1" ref="O4" ca="1">IF(AND(G4=INDIRECT("'["&amp;G4&amp;"]"&amp;E4&amp;"'!"&amp;$AH$2),OR(L4=INDIRECT("'["&amp;G4&amp;"]"&amp;E4&amp;"'!"&amp;$AA$2))),INDIRECT("'["&amp;G4&amp;"]"&amp;E4&amp;"'!"&amp;$AA$3),0)</f>
        <v>#VALUE!</v>
      </c>
      <c r="P4" s="34" t="e" cm="1">
        <f t="array" aca="1" ref="P4" ca="1">IF(AND(G4=INDIRECT("'["&amp;G4&amp;"]"&amp;E4&amp;"'!"&amp;$AH$2),OR(VALUE(I4)=INDIRECT("'["&amp;G4&amp;"]"&amp;E4&amp;"'!"&amp;$AB$2))),INDIRECT("'["&amp;G4&amp;"]"&amp;E4&amp;"'!"&amp;$AB$3),0)</f>
        <v>#VALUE!</v>
      </c>
      <c r="Q4" s="34" t="e" cm="1">
        <f t="array" aca="1" ref="Q4" ca="1">IF(AND(G4=INDIRECT("'["&amp;G4&amp;"]"&amp;E4&amp;"'!"&amp;$AH$2),OR(VALUE(I4)=INDIRECT("'["&amp;G4&amp;"]"&amp;E4&amp;"'!"&amp;$AC$2))),INDIRECT("'["&amp;G4&amp;"]"&amp;E4&amp;"'!"&amp;$AC$3),0)</f>
        <v>#VALUE!</v>
      </c>
      <c r="R4" s="34" t="e" cm="1">
        <f t="array" aca="1" ref="R4" ca="1">IF(AND(G4=INDIRECT("'["&amp;G4&amp;"]"&amp;E4&amp;"'!"&amp;$AH$2),OR(I4=INDIRECT("'["&amp;G4&amp;"]"&amp;E4&amp;"'!"&amp;$AD$2))),INDIRECT("'["&amp;G4&amp;"]"&amp;E4&amp;"'!"&amp;$AD$3),0)</f>
        <v>#VALUE!</v>
      </c>
      <c r="S4" s="34" t="e" cm="1">
        <f t="array" aca="1" ref="S4" ca="1">IF(AND(G4=INDIRECT("'["&amp;G4&amp;"]"&amp;E4&amp;"'!"&amp;$AH$2),OR(I4=INDIRECT("'["&amp;G4&amp;"]"&amp;E4&amp;"'!"&amp;$AE$2))),INDIRECT("'["&amp;G4&amp;"]"&amp;E4&amp;"'!"&amp;$AE$3),0)</f>
        <v>#VALUE!</v>
      </c>
      <c r="T4" s="35" t="e" cm="1">
        <f t="array" aca="1" ref="T4" ca="1">IF(AND(G4=INDIRECT("'["&amp;G4&amp;"]"&amp;E4&amp;"'!"&amp;$AH$2),OR(I4=INDIRECT("'["&amp;G4&amp;"]"&amp;E4&amp;"'!"&amp;$AF$2))),INDIRECT("'["&amp;G4&amp;"]"&amp;E4&amp;"'!"&amp;$AF$3),0)</f>
        <v>#VALUE!</v>
      </c>
      <c r="U4" s="34" t="e" cm="1">
        <f t="array" aca="1" ref="U4" ca="1">IF(AND(G4=INDIRECT("'["&amp;G4&amp;"]"&amp;E4&amp;"'!"&amp;$AH$2),OR(I4=INDIRECT("'["&amp;G4&amp;"]"&amp;E4&amp;"'!"&amp;$AG$2))),INDIRECT("'["&amp;G4&amp;"]"&amp;E4&amp;"'!"&amp;$AG$3),0)</f>
        <v>#VALUE!</v>
      </c>
      <c r="V4" s="25" t="str">
        <f t="shared" si="11"/>
        <v/>
      </c>
      <c r="W4" s="36" t="e" cm="1">
        <f t="array" aca="1" ref="W4" ca="1">IF(AND(G4=INDIRECT("'["&amp;G4&amp;"]"&amp;E4&amp;"'!"&amp;$AH$2),OR(V4=INDIRECT("'["&amp;G4&amp;"]"&amp;E4&amp;"'!"&amp;$AI$2))),INDIRECT("'["&amp;G4&amp;"]"&amp;E4&amp;"'!"&amp;$AI$3),0)</f>
        <v>#VALUE!</v>
      </c>
      <c r="X4" s="40"/>
      <c r="AJ4" s="25">
        <v>1</v>
      </c>
      <c r="AK4" s="38">
        <f t="shared" ca="1" si="5"/>
        <v>0</v>
      </c>
      <c r="AL4" s="38">
        <f t="shared" ca="1" si="12"/>
        <v>0</v>
      </c>
      <c r="AM4" s="54" t="str">
        <f t="shared" ca="1" si="6"/>
        <v/>
      </c>
      <c r="AN4" s="25" t="e">
        <f t="shared" ca="1" si="13"/>
        <v>#VALUE!</v>
      </c>
      <c r="AO4" s="25" t="e">
        <f t="shared" ca="1" si="14"/>
        <v>#VALUE!</v>
      </c>
      <c r="AP4" s="39" t="str">
        <f t="shared" ca="1" si="7"/>
        <v/>
      </c>
      <c r="AQ4" s="46" t="str">
        <f ca="1">IF(AND(C4&lt;&gt;0, C5=0), SUM($C$2:C4)-SUM($AQ$1:AQ3), "")</f>
        <v/>
      </c>
      <c r="AR4" s="46" t="str">
        <f ca="1">IF(AND(AK4&lt;&gt;0, AK5=0), SUM($AK$2:AK4)-SUM($AR$1:AR3), "")</f>
        <v/>
      </c>
    </row>
    <row r="5" spans="1:45" ht="13.15" customHeight="1">
      <c r="A5" s="63"/>
      <c r="B5" s="68" t="str">
        <f>LEFT(A5,15)</f>
        <v/>
      </c>
      <c r="C5" s="55" cm="1">
        <f t="array" aca="1" ref="C5" ca="1">SUM(IF(ISNUMBER(M5:U5),M5:U5,""))</f>
        <v>0</v>
      </c>
      <c r="D5" s="25" t="str">
        <f t="shared" si="8"/>
        <v/>
      </c>
      <c r="E5" s="25" t="e">
        <f t="shared" si="0"/>
        <v>#VALUE!</v>
      </c>
      <c r="F5" s="25" t="str">
        <f t="shared" si="9"/>
        <v/>
      </c>
      <c r="G5" s="25" t="str">
        <f t="shared" si="1"/>
        <v>.xlsx</v>
      </c>
      <c r="H5" s="29" t="e" cm="1">
        <f t="array" aca="1" ref="H5" ca="1">IF(AND(VALUE(E5)=INDIRECT("'["&amp;G5&amp;"]"&amp;E5&amp;"'!"&amp;$X$2),G5=INDIRECT("'["&amp;G5&amp;"]"&amp;E5&amp;"'!"&amp;$X$3)),INDIRECT("'["&amp;G5&amp;"]"&amp;E5&amp;"'!"&amp;$X$1),0)</f>
        <v>#VALUE!</v>
      </c>
      <c r="I5" s="25" t="str">
        <f t="shared" si="10"/>
        <v/>
      </c>
      <c r="J5" s="32" t="str">
        <f t="shared" si="2"/>
        <v/>
      </c>
      <c r="K5" s="25" t="str">
        <f t="shared" si="3"/>
        <v/>
      </c>
      <c r="L5" s="25" t="str">
        <f t="shared" si="4"/>
        <v/>
      </c>
      <c r="M5" s="33" t="e" cm="1">
        <f t="array" aca="1" ref="M5" ca="1">IF(AND(J5=INDIRECT("'["&amp;G5&amp;"]"&amp;E5&amp;"'!"&amp;$Y$2),G5=INDIRECT("'["&amp;G5&amp;"]"&amp;E5&amp;"'!"&amp;$AH$2)),INDIRECT("'["&amp;G5&amp;"]"&amp;E5&amp;"'!"&amp;$Y$3),"")</f>
        <v>#VALUE!</v>
      </c>
      <c r="N5" s="34" t="e" cm="1">
        <f t="array" aca="1" ref="N5" ca="1">IF(AND(G5=INDIRECT("'["&amp;G5&amp;"]"&amp;E5&amp;"'!"&amp;$AH$2),OR(K5=INDIRECT("'["&amp;G5&amp;"]"&amp;E5&amp;"'!"&amp;$Z$2))),INDIRECT("'["&amp;G5&amp;"]"&amp;E5&amp;"'!"&amp;$Z$3),0)</f>
        <v>#VALUE!</v>
      </c>
      <c r="O5" s="34" t="e" cm="1">
        <f t="array" aca="1" ref="O5" ca="1">IF(AND(G5=INDIRECT("'["&amp;G5&amp;"]"&amp;E5&amp;"'!"&amp;$AH$2),OR(L5=INDIRECT("'["&amp;G5&amp;"]"&amp;E5&amp;"'!"&amp;$AA$2))),INDIRECT("'["&amp;G5&amp;"]"&amp;E5&amp;"'!"&amp;$AA$3),0)</f>
        <v>#VALUE!</v>
      </c>
      <c r="P5" s="34" t="e" cm="1">
        <f t="array" aca="1" ref="P5" ca="1">IF(AND(G5=INDIRECT("'["&amp;G5&amp;"]"&amp;E5&amp;"'!"&amp;$AH$2),OR(VALUE(I5)=INDIRECT("'["&amp;G5&amp;"]"&amp;E5&amp;"'!"&amp;$AB$2))),INDIRECT("'["&amp;G5&amp;"]"&amp;E5&amp;"'!"&amp;$AB$3),0)</f>
        <v>#VALUE!</v>
      </c>
      <c r="Q5" s="34" t="e" cm="1">
        <f t="array" aca="1" ref="Q5" ca="1">IF(AND(G5=INDIRECT("'["&amp;G5&amp;"]"&amp;E5&amp;"'!"&amp;$AH$2),OR(VALUE(I5)=INDIRECT("'["&amp;G5&amp;"]"&amp;E5&amp;"'!"&amp;$AC$2))),INDIRECT("'["&amp;G5&amp;"]"&amp;E5&amp;"'!"&amp;$AC$3),0)</f>
        <v>#VALUE!</v>
      </c>
      <c r="R5" s="34" t="e" cm="1">
        <f t="array" aca="1" ref="R5" ca="1">IF(AND(G5=INDIRECT("'["&amp;G5&amp;"]"&amp;E5&amp;"'!"&amp;$AH$2),OR(I5=INDIRECT("'["&amp;G5&amp;"]"&amp;E5&amp;"'!"&amp;$AD$2))),INDIRECT("'["&amp;G5&amp;"]"&amp;E5&amp;"'!"&amp;$AD$3),0)</f>
        <v>#VALUE!</v>
      </c>
      <c r="S5" s="34" t="e" cm="1">
        <f t="array" aca="1" ref="S5" ca="1">IF(AND(G5=INDIRECT("'["&amp;G5&amp;"]"&amp;E5&amp;"'!"&amp;$AH$2),OR(I5=INDIRECT("'["&amp;G5&amp;"]"&amp;E5&amp;"'!"&amp;$AE$2))),INDIRECT("'["&amp;G5&amp;"]"&amp;E5&amp;"'!"&amp;$AE$3),0)</f>
        <v>#VALUE!</v>
      </c>
      <c r="T5" s="35" t="e" cm="1">
        <f t="array" aca="1" ref="T5" ca="1">IF(AND(G5=INDIRECT("'["&amp;G5&amp;"]"&amp;E5&amp;"'!"&amp;$AH$2),OR(I5=INDIRECT("'["&amp;G5&amp;"]"&amp;E5&amp;"'!"&amp;$AF$2))),INDIRECT("'["&amp;G5&amp;"]"&amp;E5&amp;"'!"&amp;$AF$3),0)</f>
        <v>#VALUE!</v>
      </c>
      <c r="U5" s="34" t="e" cm="1">
        <f t="array" aca="1" ref="U5" ca="1">IF(AND(G5=INDIRECT("'["&amp;G5&amp;"]"&amp;E5&amp;"'!"&amp;$AH$2),OR(I5=INDIRECT("'["&amp;G5&amp;"]"&amp;E5&amp;"'!"&amp;$AG$2))),INDIRECT("'["&amp;G5&amp;"]"&amp;E5&amp;"'!"&amp;$AG$3),0)</f>
        <v>#VALUE!</v>
      </c>
      <c r="V5" s="25" t="str">
        <f t="shared" si="11"/>
        <v/>
      </c>
      <c r="W5" s="36" t="e" cm="1">
        <f t="array" aca="1" ref="W5" ca="1">IF(AND(G5=INDIRECT("'["&amp;G5&amp;"]"&amp;E5&amp;"'!"&amp;$AH$2),OR(V5=INDIRECT("'["&amp;G5&amp;"]"&amp;E5&amp;"'!"&amp;$AI$2))),INDIRECT("'["&amp;G5&amp;"]"&amp;E5&amp;"'!"&amp;$AI$3),0)</f>
        <v>#VALUE!</v>
      </c>
      <c r="AJ5" s="25">
        <v>1</v>
      </c>
      <c r="AK5" s="38">
        <f t="shared" ca="1" si="5"/>
        <v>0</v>
      </c>
      <c r="AL5" s="38">
        <f t="shared" ca="1" si="12"/>
        <v>0</v>
      </c>
      <c r="AM5" s="54" t="str">
        <f t="shared" ca="1" si="6"/>
        <v/>
      </c>
      <c r="AN5" s="25" t="e">
        <f t="shared" ca="1" si="13"/>
        <v>#VALUE!</v>
      </c>
      <c r="AO5" s="25" t="e">
        <f t="shared" ca="1" si="14"/>
        <v>#VALUE!</v>
      </c>
      <c r="AP5" s="39" t="str">
        <f t="shared" ca="1" si="7"/>
        <v/>
      </c>
      <c r="AQ5" s="46" t="str">
        <f ca="1">IF(AND(C5&lt;&gt;0, C6=0), SUM($C$2:C5)-SUM($AQ$1:AQ4), "")</f>
        <v/>
      </c>
      <c r="AR5" s="46" t="str">
        <f ca="1">IF(AND(AK5&lt;&gt;0, AK6=0), SUM($AK$2:AK5)-SUM($AR$1:AR4), "")</f>
        <v/>
      </c>
    </row>
    <row r="6" spans="1:45" ht="13.15" customHeight="1">
      <c r="A6" s="63"/>
      <c r="B6" s="68" t="str">
        <f>LEFT(A6,15)</f>
        <v/>
      </c>
      <c r="C6" s="55" cm="1">
        <f t="array" aca="1" ref="C6" ca="1">SUM(IF(ISNUMBER(M6:U6),M6:U6,""))</f>
        <v>0</v>
      </c>
      <c r="D6" s="25" t="str">
        <f t="shared" si="8"/>
        <v/>
      </c>
      <c r="E6" s="25" t="e">
        <f t="shared" si="0"/>
        <v>#VALUE!</v>
      </c>
      <c r="F6" s="25" t="str">
        <f t="shared" si="9"/>
        <v/>
      </c>
      <c r="G6" s="25" t="str">
        <f t="shared" si="1"/>
        <v>.xlsx</v>
      </c>
      <c r="H6" s="29" t="e" cm="1">
        <f t="array" aca="1" ref="H6" ca="1">IF(AND(VALUE(E6)=INDIRECT("'["&amp;G6&amp;"]"&amp;E6&amp;"'!"&amp;$X$2),G6=INDIRECT("'["&amp;G6&amp;"]"&amp;E6&amp;"'!"&amp;$X$3)),INDIRECT("'["&amp;G6&amp;"]"&amp;E6&amp;"'!"&amp;$X$1),0)</f>
        <v>#VALUE!</v>
      </c>
      <c r="I6" s="25" t="str">
        <f t="shared" si="10"/>
        <v/>
      </c>
      <c r="J6" s="32" t="str">
        <f t="shared" si="2"/>
        <v/>
      </c>
      <c r="K6" s="25" t="str">
        <f t="shared" si="3"/>
        <v/>
      </c>
      <c r="L6" s="25" t="str">
        <f t="shared" si="4"/>
        <v/>
      </c>
      <c r="M6" s="33" t="e" cm="1">
        <f t="array" aca="1" ref="M6" ca="1">IF(AND(J6=INDIRECT("'["&amp;G6&amp;"]"&amp;E6&amp;"'!"&amp;$Y$2),G6=INDIRECT("'["&amp;G6&amp;"]"&amp;E6&amp;"'!"&amp;$AH$2)),INDIRECT("'["&amp;G6&amp;"]"&amp;E6&amp;"'!"&amp;$Y$3),0)</f>
        <v>#VALUE!</v>
      </c>
      <c r="N6" s="34" t="e" cm="1">
        <f t="array" aca="1" ref="N6" ca="1">IF(AND(G6=INDIRECT("'["&amp;G6&amp;"]"&amp;E6&amp;"'!"&amp;$AH$2),OR(K6=INDIRECT("'["&amp;G6&amp;"]"&amp;E6&amp;"'!"&amp;$Z$2))),INDIRECT("'["&amp;G6&amp;"]"&amp;E6&amp;"'!"&amp;$Z$3),0)</f>
        <v>#VALUE!</v>
      </c>
      <c r="O6" s="34" t="e" cm="1">
        <f t="array" aca="1" ref="O6" ca="1">IF(AND(G6=INDIRECT("'["&amp;G6&amp;"]"&amp;E6&amp;"'!"&amp;$AH$2),OR(L6=INDIRECT("'["&amp;G6&amp;"]"&amp;E6&amp;"'!"&amp;$AA$2))),INDIRECT("'["&amp;G6&amp;"]"&amp;E6&amp;"'!"&amp;$AA$3),0)</f>
        <v>#VALUE!</v>
      </c>
      <c r="P6" s="34" t="e" cm="1">
        <f t="array" aca="1" ref="P6" ca="1">IF(AND(G6=INDIRECT("'["&amp;G6&amp;"]"&amp;E6&amp;"'!"&amp;$AH$2),OR(VALUE(I6)=INDIRECT("'["&amp;G6&amp;"]"&amp;E6&amp;"'!"&amp;$AB$2))),INDIRECT("'["&amp;G6&amp;"]"&amp;E6&amp;"'!"&amp;$AB$3),0)</f>
        <v>#VALUE!</v>
      </c>
      <c r="Q6" s="34" t="e" cm="1">
        <f t="array" aca="1" ref="Q6" ca="1">IF(AND(G6=INDIRECT("'["&amp;G6&amp;"]"&amp;E6&amp;"'!"&amp;$AH$2),OR(VALUE(I6)=INDIRECT("'["&amp;G6&amp;"]"&amp;E6&amp;"'!"&amp;$AC$2))),INDIRECT("'["&amp;G6&amp;"]"&amp;E6&amp;"'!"&amp;$AC$3),0)</f>
        <v>#VALUE!</v>
      </c>
      <c r="R6" s="34" t="e" cm="1">
        <f t="array" aca="1" ref="R6" ca="1">IF(AND(G6=INDIRECT("'["&amp;G6&amp;"]"&amp;E6&amp;"'!"&amp;$AH$2),OR(I6=INDIRECT("'["&amp;G6&amp;"]"&amp;E6&amp;"'!"&amp;$AD$2))),INDIRECT("'["&amp;G6&amp;"]"&amp;E6&amp;"'!"&amp;$AD$3),0)</f>
        <v>#VALUE!</v>
      </c>
      <c r="S6" s="34" t="e" cm="1">
        <f t="array" aca="1" ref="S6" ca="1">IF(AND(G6=INDIRECT("'["&amp;G6&amp;"]"&amp;E6&amp;"'!"&amp;$AH$2),OR(I6=INDIRECT("'["&amp;G6&amp;"]"&amp;E6&amp;"'!"&amp;$AE$2))),INDIRECT("'["&amp;G6&amp;"]"&amp;E6&amp;"'!"&amp;$AE$3),0)</f>
        <v>#VALUE!</v>
      </c>
      <c r="T6" s="35" t="e" cm="1">
        <f t="array" aca="1" ref="T6" ca="1">IF(AND(G6=INDIRECT("'["&amp;G6&amp;"]"&amp;E6&amp;"'!"&amp;$AH$2),OR(I6=INDIRECT("'["&amp;G6&amp;"]"&amp;E6&amp;"'!"&amp;$AF$2))),INDIRECT("'["&amp;G6&amp;"]"&amp;E6&amp;"'!"&amp;$AF$3),0)</f>
        <v>#VALUE!</v>
      </c>
      <c r="U6" s="34" t="e" cm="1">
        <f t="array" aca="1" ref="U6" ca="1">IF(AND(G6=INDIRECT("'["&amp;G6&amp;"]"&amp;E6&amp;"'!"&amp;$AH$2),OR(I6=INDIRECT("'["&amp;G6&amp;"]"&amp;E6&amp;"'!"&amp;$AG$2))),INDIRECT("'["&amp;G6&amp;"]"&amp;E6&amp;"'!"&amp;$AG$3),0)</f>
        <v>#VALUE!</v>
      </c>
      <c r="V6" s="25" t="str">
        <f t="shared" si="11"/>
        <v/>
      </c>
      <c r="W6" s="36" t="e" cm="1">
        <f t="array" aca="1" ref="W6" ca="1">IF(AND(G6=INDIRECT("'["&amp;G6&amp;"]"&amp;E6&amp;"'!"&amp;$AH$2),OR(V6=INDIRECT("'["&amp;G6&amp;"]"&amp;E6&amp;"'!"&amp;$AI$2))),INDIRECT("'["&amp;G6&amp;"]"&amp;E6&amp;"'!"&amp;$AI$3),0)</f>
        <v>#VALUE!</v>
      </c>
      <c r="X6" s="40"/>
      <c r="AJ6" s="25">
        <v>1</v>
      </c>
      <c r="AK6" s="38">
        <f t="shared" ca="1" si="5"/>
        <v>0</v>
      </c>
      <c r="AL6" s="38">
        <f t="shared" ca="1" si="12"/>
        <v>0</v>
      </c>
      <c r="AM6" s="54" t="str">
        <f t="shared" ca="1" si="6"/>
        <v/>
      </c>
      <c r="AN6" s="25" t="e">
        <f t="shared" ca="1" si="13"/>
        <v>#VALUE!</v>
      </c>
      <c r="AO6" s="25" t="e">
        <f t="shared" ca="1" si="14"/>
        <v>#VALUE!</v>
      </c>
      <c r="AP6" s="39" t="str">
        <f t="shared" ca="1" si="7"/>
        <v/>
      </c>
      <c r="AQ6" s="46" t="str">
        <f ca="1">IF(AND(C6&lt;&gt;0, C7=0), SUM($C$2:C6)-SUM($AQ$1:AQ5), "")</f>
        <v/>
      </c>
      <c r="AR6" s="46" t="str">
        <f ca="1">IF(AND(AK6&lt;&gt;0, AK7=0), SUM($AK$2:AK6)-SUM($AR$1:AR5), "")</f>
        <v/>
      </c>
    </row>
    <row r="7" spans="1:45" ht="13.15" customHeight="1">
      <c r="A7" s="63"/>
      <c r="B7" s="68" t="str">
        <f t="shared" ref="B7:B34" si="15">LEFT(A7,15)</f>
        <v/>
      </c>
      <c r="C7" s="55" cm="1">
        <f t="array" aca="1" ref="C7" ca="1">SUM(IF(ISNUMBER(M7:U7),M7:U7,""))</f>
        <v>0</v>
      </c>
      <c r="D7" s="25" t="str">
        <f t="shared" si="8"/>
        <v/>
      </c>
      <c r="E7" s="25" t="e">
        <f t="shared" si="0"/>
        <v>#VALUE!</v>
      </c>
      <c r="F7" s="25" t="str">
        <f t="shared" si="9"/>
        <v/>
      </c>
      <c r="G7" s="25" t="str">
        <f t="shared" si="1"/>
        <v>.xlsx</v>
      </c>
      <c r="H7" s="29" t="e" cm="1">
        <f t="array" aca="1" ref="H7" ca="1">IF(AND(VALUE(E7)=INDIRECT("'["&amp;G7&amp;"]"&amp;E7&amp;"'!"&amp;$X$2),G7=INDIRECT("'["&amp;G7&amp;"]"&amp;E7&amp;"'!"&amp;$X$3)),INDIRECT("'["&amp;G7&amp;"]"&amp;E7&amp;"'!"&amp;$X$1),0)</f>
        <v>#VALUE!</v>
      </c>
      <c r="I7" s="25" t="str">
        <f t="shared" si="10"/>
        <v/>
      </c>
      <c r="J7" s="32" t="str">
        <f t="shared" si="2"/>
        <v/>
      </c>
      <c r="K7" s="25" t="str">
        <f t="shared" si="3"/>
        <v/>
      </c>
      <c r="L7" s="25" t="str">
        <f t="shared" si="4"/>
        <v/>
      </c>
      <c r="M7" s="33" t="e" cm="1">
        <f t="array" aca="1" ref="M7" ca="1">IF(AND(J7=INDIRECT("'["&amp;G7&amp;"]"&amp;E7&amp;"'!"&amp;$Y$2),G7=INDIRECT("'["&amp;G7&amp;"]"&amp;E7&amp;"'!"&amp;$AH$2)),INDIRECT("'["&amp;G7&amp;"]"&amp;E7&amp;"'!"&amp;$Y$3),0)</f>
        <v>#VALUE!</v>
      </c>
      <c r="N7" s="34" t="e" cm="1">
        <f t="array" aca="1" ref="N7" ca="1">IF(AND(G7=INDIRECT("'["&amp;G7&amp;"]"&amp;E7&amp;"'!"&amp;$AH$2),OR(K7=INDIRECT("'["&amp;G7&amp;"]"&amp;E7&amp;"'!"&amp;$Z$2))),INDIRECT("'["&amp;G7&amp;"]"&amp;E7&amp;"'!"&amp;$Z$3),0)</f>
        <v>#VALUE!</v>
      </c>
      <c r="O7" s="34" t="e" cm="1">
        <f t="array" aca="1" ref="O7" ca="1">IF(AND(G7=INDIRECT("'["&amp;G7&amp;"]"&amp;E7&amp;"'!"&amp;$AH$2),OR(L7=INDIRECT("'["&amp;G7&amp;"]"&amp;E7&amp;"'!"&amp;$AA$2))),INDIRECT("'["&amp;G7&amp;"]"&amp;E7&amp;"'!"&amp;$AA$3),0)</f>
        <v>#VALUE!</v>
      </c>
      <c r="P7" s="34" t="e" cm="1">
        <f t="array" aca="1" ref="P7" ca="1">IF(AND(G7=INDIRECT("'["&amp;G7&amp;"]"&amp;E7&amp;"'!"&amp;$AH$2),OR(VALUE(I7)=INDIRECT("'["&amp;G7&amp;"]"&amp;E7&amp;"'!"&amp;$AB$2))),INDIRECT("'["&amp;G7&amp;"]"&amp;E7&amp;"'!"&amp;$AB$3),0)</f>
        <v>#VALUE!</v>
      </c>
      <c r="Q7" s="34" t="e" cm="1">
        <f t="array" aca="1" ref="Q7" ca="1">IF(AND(G7=INDIRECT("'["&amp;G7&amp;"]"&amp;E7&amp;"'!"&amp;$AH$2),OR(VALUE(I7)=INDIRECT("'["&amp;G7&amp;"]"&amp;E7&amp;"'!"&amp;$AC$2))),INDIRECT("'["&amp;G7&amp;"]"&amp;E7&amp;"'!"&amp;$AC$3),0)</f>
        <v>#VALUE!</v>
      </c>
      <c r="R7" s="34" t="e" cm="1">
        <f t="array" aca="1" ref="R7" ca="1">IF(AND(G7=INDIRECT("'["&amp;G7&amp;"]"&amp;E7&amp;"'!"&amp;$AH$2),OR(I7=INDIRECT("'["&amp;G7&amp;"]"&amp;E7&amp;"'!"&amp;$AD$2))),INDIRECT("'["&amp;G7&amp;"]"&amp;E7&amp;"'!"&amp;$AD$3),0)</f>
        <v>#VALUE!</v>
      </c>
      <c r="S7" s="34" t="e" cm="1">
        <f t="array" aca="1" ref="S7" ca="1">IF(AND(G7=INDIRECT("'["&amp;G7&amp;"]"&amp;E7&amp;"'!"&amp;$AH$2),OR(I7=INDIRECT("'["&amp;G7&amp;"]"&amp;E7&amp;"'!"&amp;$AE$2))),INDIRECT("'["&amp;G7&amp;"]"&amp;E7&amp;"'!"&amp;$AE$3),0)</f>
        <v>#VALUE!</v>
      </c>
      <c r="T7" s="35" t="e" cm="1">
        <f t="array" aca="1" ref="T7" ca="1">IF(AND(G7=INDIRECT("'["&amp;G7&amp;"]"&amp;E7&amp;"'!"&amp;$AH$2),OR(I7=INDIRECT("'["&amp;G7&amp;"]"&amp;E7&amp;"'!"&amp;$AF$2))),INDIRECT("'["&amp;G7&amp;"]"&amp;E7&amp;"'!"&amp;$AF$3),0)</f>
        <v>#VALUE!</v>
      </c>
      <c r="U7" s="34" t="e" cm="1">
        <f t="array" aca="1" ref="U7" ca="1">IF(AND(G7=INDIRECT("'["&amp;G7&amp;"]"&amp;E7&amp;"'!"&amp;$AH$2),OR(I7=INDIRECT("'["&amp;G7&amp;"]"&amp;E7&amp;"'!"&amp;$AG$2))),INDIRECT("'["&amp;G7&amp;"]"&amp;E7&amp;"'!"&amp;$AG$3),0)</f>
        <v>#VALUE!</v>
      </c>
      <c r="V7" s="25" t="str">
        <f t="shared" si="11"/>
        <v/>
      </c>
      <c r="W7" s="36" t="e" cm="1">
        <f t="array" aca="1" ref="W7" ca="1">IF(AND(G7=INDIRECT("'["&amp;G7&amp;"]"&amp;E7&amp;"'!"&amp;$AH$2),OR(V7=INDIRECT("'["&amp;G7&amp;"]"&amp;E7&amp;"'!"&amp;$AI$2))),INDIRECT("'["&amp;G7&amp;"]"&amp;E7&amp;"'!"&amp;$AI$3),0)</f>
        <v>#VALUE!</v>
      </c>
      <c r="X7" s="41"/>
      <c r="AJ7" s="25">
        <v>1</v>
      </c>
      <c r="AK7" s="38">
        <f t="shared" ca="1" si="5"/>
        <v>0</v>
      </c>
      <c r="AL7" s="38">
        <f t="shared" ca="1" si="12"/>
        <v>0</v>
      </c>
      <c r="AM7" s="54" t="str">
        <f t="shared" ca="1" si="6"/>
        <v/>
      </c>
      <c r="AN7" s="25" t="e">
        <f t="shared" ca="1" si="13"/>
        <v>#VALUE!</v>
      </c>
      <c r="AO7" s="25" t="e">
        <f t="shared" ca="1" si="14"/>
        <v>#VALUE!</v>
      </c>
      <c r="AP7" s="39" t="str">
        <f t="shared" ca="1" si="7"/>
        <v/>
      </c>
      <c r="AQ7" s="46" t="str">
        <f ca="1">IF(AND(C7&lt;&gt;0, C8=0), SUM($C$2:C7)-SUM($AQ$1:AQ6), "")</f>
        <v/>
      </c>
      <c r="AR7" s="46" t="str">
        <f ca="1">IF(AND(AK7&lt;&gt;0, AK8=0), SUM($AK$2:AK7)-SUM($AR$1:AR6), "")</f>
        <v/>
      </c>
    </row>
    <row r="8" spans="1:45" ht="13.15" customHeight="1">
      <c r="A8" s="63"/>
      <c r="B8" s="68" t="str">
        <f t="shared" si="15"/>
        <v/>
      </c>
      <c r="C8" s="55" cm="1">
        <f t="array" aca="1" ref="C8" ca="1">SUM(IF(ISNUMBER(M8:U8),M8:U8,""))</f>
        <v>0</v>
      </c>
      <c r="D8" s="25" t="str">
        <f t="shared" si="8"/>
        <v/>
      </c>
      <c r="E8" s="25" t="e">
        <f t="shared" si="0"/>
        <v>#VALUE!</v>
      </c>
      <c r="F8" s="25" t="str">
        <f t="shared" si="9"/>
        <v/>
      </c>
      <c r="G8" s="25" t="str">
        <f t="shared" si="1"/>
        <v>.xlsx</v>
      </c>
      <c r="H8" s="29" t="e" cm="1">
        <f t="array" aca="1" ref="H8" ca="1">IF(AND(VALUE(E8)=INDIRECT("'["&amp;G8&amp;"]"&amp;E8&amp;"'!"&amp;$X$2),G8=INDIRECT("'["&amp;G8&amp;"]"&amp;E8&amp;"'!"&amp;$X$3)),INDIRECT("'["&amp;G8&amp;"]"&amp;E8&amp;"'!"&amp;$X$1),0)</f>
        <v>#VALUE!</v>
      </c>
      <c r="I8" s="25" t="str">
        <f t="shared" si="10"/>
        <v/>
      </c>
      <c r="J8" s="32" t="str">
        <f t="shared" si="2"/>
        <v/>
      </c>
      <c r="K8" s="25" t="str">
        <f t="shared" si="3"/>
        <v/>
      </c>
      <c r="L8" s="25" t="str">
        <f t="shared" si="4"/>
        <v/>
      </c>
      <c r="M8" s="33" t="e" cm="1">
        <f t="array" aca="1" ref="M8" ca="1">IF(AND(J8=INDIRECT("'["&amp;G8&amp;"]"&amp;E8&amp;"'!"&amp;$Y$2),G8=INDIRECT("'["&amp;G8&amp;"]"&amp;E8&amp;"'!"&amp;$AH$2)),INDIRECT("'["&amp;G8&amp;"]"&amp;E8&amp;"'!"&amp;$Y$3),0)</f>
        <v>#VALUE!</v>
      </c>
      <c r="N8" s="34" t="e" cm="1">
        <f t="array" aca="1" ref="N8" ca="1">IF(AND(G8=INDIRECT("'["&amp;G8&amp;"]"&amp;E8&amp;"'!"&amp;$AH$2),OR(K8=INDIRECT("'["&amp;G8&amp;"]"&amp;E8&amp;"'!"&amp;$Z$2))),INDIRECT("'["&amp;G8&amp;"]"&amp;E8&amp;"'!"&amp;$Z$3),0)</f>
        <v>#VALUE!</v>
      </c>
      <c r="O8" s="34" t="e" cm="1">
        <f t="array" aca="1" ref="O8" ca="1">IF(AND(G8=INDIRECT("'["&amp;G8&amp;"]"&amp;E8&amp;"'!"&amp;$AH$2),OR(L8=INDIRECT("'["&amp;G8&amp;"]"&amp;E8&amp;"'!"&amp;$AA$2))),INDIRECT("'["&amp;G8&amp;"]"&amp;E8&amp;"'!"&amp;$AA$3),0)</f>
        <v>#VALUE!</v>
      </c>
      <c r="P8" s="34" t="e" cm="1">
        <f t="array" aca="1" ref="P8" ca="1">IF(AND(G8=INDIRECT("'["&amp;G8&amp;"]"&amp;E8&amp;"'!"&amp;$AH$2),OR(VALUE(I8)=INDIRECT("'["&amp;G8&amp;"]"&amp;E8&amp;"'!"&amp;$AB$2))),INDIRECT("'["&amp;G8&amp;"]"&amp;E8&amp;"'!"&amp;$AB$3),0)</f>
        <v>#VALUE!</v>
      </c>
      <c r="Q8" s="34" t="e" cm="1">
        <f t="array" aca="1" ref="Q8" ca="1">IF(AND(G8=INDIRECT("'["&amp;G8&amp;"]"&amp;E8&amp;"'!"&amp;$AH$2),OR(VALUE(I8)=INDIRECT("'["&amp;G8&amp;"]"&amp;E8&amp;"'!"&amp;$AC$2))),INDIRECT("'["&amp;G8&amp;"]"&amp;E8&amp;"'!"&amp;$AC$3),0)</f>
        <v>#VALUE!</v>
      </c>
      <c r="R8" s="34" t="e" cm="1">
        <f t="array" aca="1" ref="R8" ca="1">IF(AND(G8=INDIRECT("'["&amp;G8&amp;"]"&amp;E8&amp;"'!"&amp;$AH$2),OR(I8=INDIRECT("'["&amp;G8&amp;"]"&amp;E8&amp;"'!"&amp;$AD$2))),INDIRECT("'["&amp;G8&amp;"]"&amp;E8&amp;"'!"&amp;$AD$3),0)</f>
        <v>#VALUE!</v>
      </c>
      <c r="S8" s="34" t="e" cm="1">
        <f t="array" aca="1" ref="S8" ca="1">IF(AND(G8=INDIRECT("'["&amp;G8&amp;"]"&amp;E8&amp;"'!"&amp;$AH$2),OR(I8=INDIRECT("'["&amp;G8&amp;"]"&amp;E8&amp;"'!"&amp;$AE$2))),INDIRECT("'["&amp;G8&amp;"]"&amp;E8&amp;"'!"&amp;$AE$3),0)</f>
        <v>#VALUE!</v>
      </c>
      <c r="T8" s="35" t="e" cm="1">
        <f t="array" aca="1" ref="T8" ca="1">IF(AND(G8=INDIRECT("'["&amp;G8&amp;"]"&amp;E8&amp;"'!"&amp;$AH$2),OR(I8=INDIRECT("'["&amp;G8&amp;"]"&amp;E8&amp;"'!"&amp;$AF$2))),INDIRECT("'["&amp;G8&amp;"]"&amp;E8&amp;"'!"&amp;$AF$3),0)</f>
        <v>#VALUE!</v>
      </c>
      <c r="U8" s="34" t="e" cm="1">
        <f t="array" aca="1" ref="U8" ca="1">IF(AND(G8=INDIRECT("'["&amp;G8&amp;"]"&amp;E8&amp;"'!"&amp;$AH$2),OR(I8=INDIRECT("'["&amp;G8&amp;"]"&amp;E8&amp;"'!"&amp;$AG$2))),INDIRECT("'["&amp;G8&amp;"]"&amp;E8&amp;"'!"&amp;$AG$3),0)</f>
        <v>#VALUE!</v>
      </c>
      <c r="V8" s="25" t="str">
        <f t="shared" si="11"/>
        <v/>
      </c>
      <c r="W8" s="36" t="e" cm="1">
        <f t="array" aca="1" ref="W8" ca="1">IF(AND(G8=INDIRECT("'["&amp;G8&amp;"]"&amp;E8&amp;"'!"&amp;$AH$2),OR(V8=INDIRECT("'["&amp;G8&amp;"]"&amp;E8&amp;"'!"&amp;$AI$2))),INDIRECT("'["&amp;G8&amp;"]"&amp;E8&amp;"'!"&amp;$AI$3),0)</f>
        <v>#VALUE!</v>
      </c>
      <c r="AJ8" s="25">
        <v>1</v>
      </c>
      <c r="AK8" s="38">
        <f t="shared" ca="1" si="5"/>
        <v>0</v>
      </c>
      <c r="AL8" s="38">
        <f t="shared" ca="1" si="12"/>
        <v>0</v>
      </c>
      <c r="AM8" s="54" t="str">
        <f t="shared" ca="1" si="6"/>
        <v/>
      </c>
      <c r="AN8" s="25" t="e">
        <f t="shared" ca="1" si="13"/>
        <v>#VALUE!</v>
      </c>
      <c r="AO8" s="25" t="e">
        <f t="shared" ca="1" si="14"/>
        <v>#VALUE!</v>
      </c>
      <c r="AP8" s="39" t="str">
        <f t="shared" ca="1" si="7"/>
        <v/>
      </c>
      <c r="AQ8" s="46" t="str">
        <f ca="1">IF(AND(C8&lt;&gt;0, C9=0), SUM($C$2:C8)-SUM($AQ$1:AQ7), "")</f>
        <v/>
      </c>
      <c r="AR8" s="46" t="str">
        <f ca="1">IF(AND(AK8&lt;&gt;0, AK9=0), SUM($AK$2:AK8)-SUM($AR$1:AR7), "")</f>
        <v/>
      </c>
    </row>
    <row r="9" spans="1:45" ht="13.15" customHeight="1">
      <c r="A9" s="63"/>
      <c r="B9" s="68" t="str">
        <f t="shared" si="15"/>
        <v/>
      </c>
      <c r="C9" s="55" cm="1">
        <f t="array" aca="1" ref="C9" ca="1">SUM(IF(ISNUMBER(M9:U9),M9:U9,""))</f>
        <v>0</v>
      </c>
      <c r="D9" s="25" t="str">
        <f t="shared" si="8"/>
        <v/>
      </c>
      <c r="E9" s="25" t="e">
        <f t="shared" si="0"/>
        <v>#VALUE!</v>
      </c>
      <c r="F9" s="25" t="str">
        <f t="shared" si="9"/>
        <v/>
      </c>
      <c r="G9" s="25" t="str">
        <f t="shared" si="1"/>
        <v>.xlsx</v>
      </c>
      <c r="H9" s="29" t="e" cm="1">
        <f t="array" aca="1" ref="H9" ca="1">IF(AND(VALUE(E9)=INDIRECT("'["&amp;G9&amp;"]"&amp;E9&amp;"'!"&amp;$X$2),G9=INDIRECT("'["&amp;G9&amp;"]"&amp;E9&amp;"'!"&amp;$X$3)),INDIRECT("'["&amp;G9&amp;"]"&amp;E9&amp;"'!"&amp;$X$1),0)</f>
        <v>#VALUE!</v>
      </c>
      <c r="I9" s="25" t="str">
        <f t="shared" si="10"/>
        <v/>
      </c>
      <c r="J9" s="32" t="str">
        <f t="shared" si="2"/>
        <v/>
      </c>
      <c r="K9" s="25" t="str">
        <f t="shared" si="3"/>
        <v/>
      </c>
      <c r="L9" s="25" t="str">
        <f t="shared" si="4"/>
        <v/>
      </c>
      <c r="M9" s="33" t="e" cm="1">
        <f t="array" aca="1" ref="M9" ca="1">IF(AND(J9=INDIRECT("'["&amp;G9&amp;"]"&amp;E9&amp;"'!"&amp;$Y$2),G9=INDIRECT("'["&amp;G9&amp;"]"&amp;E9&amp;"'!"&amp;$AH$2)),INDIRECT("'["&amp;G9&amp;"]"&amp;E9&amp;"'!"&amp;$Y$3),0)</f>
        <v>#VALUE!</v>
      </c>
      <c r="N9" s="34" t="e" cm="1">
        <f t="array" aca="1" ref="N9" ca="1">IF(AND(G9=INDIRECT("'["&amp;G9&amp;"]"&amp;E9&amp;"'!"&amp;$AH$2),OR(K9=INDIRECT("'["&amp;G9&amp;"]"&amp;E9&amp;"'!"&amp;$Z$2))),INDIRECT("'["&amp;G9&amp;"]"&amp;E9&amp;"'!"&amp;$Z$3),0)</f>
        <v>#VALUE!</v>
      </c>
      <c r="O9" s="34" t="e" cm="1">
        <f t="array" aca="1" ref="O9" ca="1">IF(AND(G9=INDIRECT("'["&amp;G9&amp;"]"&amp;E9&amp;"'!"&amp;$AH$2),OR(L9=INDIRECT("'["&amp;G9&amp;"]"&amp;E9&amp;"'!"&amp;$AA$2))),INDIRECT("'["&amp;G9&amp;"]"&amp;E9&amp;"'!"&amp;$AA$3),0)</f>
        <v>#VALUE!</v>
      </c>
      <c r="P9" s="34" t="e" cm="1">
        <f t="array" aca="1" ref="P9" ca="1">IF(AND(G9=INDIRECT("'["&amp;G9&amp;"]"&amp;E9&amp;"'!"&amp;$AH$2),OR(VALUE(I9)=INDIRECT("'["&amp;G9&amp;"]"&amp;E9&amp;"'!"&amp;$AB$2))),INDIRECT("'["&amp;G9&amp;"]"&amp;E9&amp;"'!"&amp;$AB$3),0)</f>
        <v>#VALUE!</v>
      </c>
      <c r="Q9" s="34" t="e" cm="1">
        <f t="array" aca="1" ref="Q9" ca="1">IF(AND(G9=INDIRECT("'["&amp;G9&amp;"]"&amp;E9&amp;"'!"&amp;$AH$2),OR(VALUE(I9)=INDIRECT("'["&amp;G9&amp;"]"&amp;E9&amp;"'!"&amp;$AC$2))),INDIRECT("'["&amp;G9&amp;"]"&amp;E9&amp;"'!"&amp;$AC$3),0)</f>
        <v>#VALUE!</v>
      </c>
      <c r="R9" s="34" t="e" cm="1">
        <f t="array" aca="1" ref="R9" ca="1">IF(AND(G9=INDIRECT("'["&amp;G9&amp;"]"&amp;E9&amp;"'!"&amp;$AH$2),OR(I9=INDIRECT("'["&amp;G9&amp;"]"&amp;E9&amp;"'!"&amp;$AD$2))),INDIRECT("'["&amp;G9&amp;"]"&amp;E9&amp;"'!"&amp;$AD$3),0)</f>
        <v>#VALUE!</v>
      </c>
      <c r="S9" s="34" t="e" cm="1">
        <f t="array" aca="1" ref="S9" ca="1">IF(AND(G9=INDIRECT("'["&amp;G9&amp;"]"&amp;E9&amp;"'!"&amp;$AH$2),OR(I9=INDIRECT("'["&amp;G9&amp;"]"&amp;E9&amp;"'!"&amp;$AE$2))),INDIRECT("'["&amp;G9&amp;"]"&amp;E9&amp;"'!"&amp;$AE$3),0)</f>
        <v>#VALUE!</v>
      </c>
      <c r="T9" s="35" t="e" cm="1">
        <f t="array" aca="1" ref="T9" ca="1">IF(AND(G9=INDIRECT("'["&amp;G9&amp;"]"&amp;E9&amp;"'!"&amp;$AH$2),OR(I9=INDIRECT("'["&amp;G9&amp;"]"&amp;E9&amp;"'!"&amp;$AF$2))),INDIRECT("'["&amp;G9&amp;"]"&amp;E9&amp;"'!"&amp;$AF$3),0)</f>
        <v>#VALUE!</v>
      </c>
      <c r="U9" s="34" t="e" cm="1">
        <f t="array" aca="1" ref="U9" ca="1">IF(AND(G9=INDIRECT("'["&amp;G9&amp;"]"&amp;E9&amp;"'!"&amp;$AH$2),OR(I9=INDIRECT("'["&amp;G9&amp;"]"&amp;E9&amp;"'!"&amp;$AG$2))),INDIRECT("'["&amp;G9&amp;"]"&amp;E9&amp;"'!"&amp;$AG$3),0)</f>
        <v>#VALUE!</v>
      </c>
      <c r="V9" s="25" t="str">
        <f t="shared" si="11"/>
        <v/>
      </c>
      <c r="W9" s="36" t="e" cm="1">
        <f t="array" aca="1" ref="W9" ca="1">IF(AND(G9=INDIRECT("'["&amp;G9&amp;"]"&amp;E9&amp;"'!"&amp;$AH$2),OR(V9=INDIRECT("'["&amp;G9&amp;"]"&amp;E9&amp;"'!"&amp;$AI$2))),INDIRECT("'["&amp;G9&amp;"]"&amp;E9&amp;"'!"&amp;$AI$3),0)</f>
        <v>#VALUE!</v>
      </c>
      <c r="AJ9" s="25">
        <v>1</v>
      </c>
      <c r="AK9" s="38">
        <f t="shared" ca="1" si="5"/>
        <v>0</v>
      </c>
      <c r="AL9" s="38">
        <f t="shared" ca="1" si="12"/>
        <v>0</v>
      </c>
      <c r="AM9" s="54" t="str">
        <f t="shared" ca="1" si="6"/>
        <v/>
      </c>
      <c r="AN9" s="25" t="e">
        <f t="shared" ca="1" si="13"/>
        <v>#VALUE!</v>
      </c>
      <c r="AO9" s="25" t="e">
        <f t="shared" ca="1" si="14"/>
        <v>#VALUE!</v>
      </c>
      <c r="AP9" s="39" t="str">
        <f t="shared" ca="1" si="7"/>
        <v/>
      </c>
      <c r="AQ9" s="46" t="str">
        <f ca="1">IF(AND(C9&lt;&gt;0, C10=0), SUM($C$2:C9)-SUM($AQ$1:AQ8), "")</f>
        <v/>
      </c>
      <c r="AR9" s="46" t="str">
        <f ca="1">IF(AND(AK9&lt;&gt;0, AK10=0), SUM($AK$2:AK9)-SUM($AR$1:AR8), "")</f>
        <v/>
      </c>
    </row>
    <row r="10" spans="1:45" ht="13.15" customHeight="1">
      <c r="A10" s="63"/>
      <c r="B10" s="68" t="str">
        <f t="shared" si="15"/>
        <v/>
      </c>
      <c r="C10" s="55" cm="1">
        <f t="array" aca="1" ref="C10" ca="1">SUM(IF(ISNUMBER(M10:U10),M10:U10,""))</f>
        <v>0</v>
      </c>
      <c r="D10" s="25" t="str">
        <f t="shared" si="8"/>
        <v/>
      </c>
      <c r="E10" s="25" t="e">
        <f t="shared" si="0"/>
        <v>#VALUE!</v>
      </c>
      <c r="F10" s="25" t="str">
        <f t="shared" si="9"/>
        <v/>
      </c>
      <c r="G10" s="25" t="str">
        <f t="shared" si="1"/>
        <v>.xlsx</v>
      </c>
      <c r="H10" s="29" t="e" cm="1">
        <f t="array" aca="1" ref="H10" ca="1">IF(AND(VALUE(E10)=INDIRECT("'["&amp;G10&amp;"]"&amp;E10&amp;"'!"&amp;$X$2),G10=INDIRECT("'["&amp;G10&amp;"]"&amp;E10&amp;"'!"&amp;$X$3)),INDIRECT("'["&amp;G10&amp;"]"&amp;E10&amp;"'!"&amp;$X$1),0)</f>
        <v>#VALUE!</v>
      </c>
      <c r="I10" s="25" t="str">
        <f t="shared" si="10"/>
        <v/>
      </c>
      <c r="J10" s="32" t="str">
        <f t="shared" si="2"/>
        <v/>
      </c>
      <c r="K10" s="25" t="str">
        <f t="shared" si="3"/>
        <v/>
      </c>
      <c r="L10" s="25" t="str">
        <f t="shared" si="4"/>
        <v/>
      </c>
      <c r="M10" s="33" t="e" cm="1">
        <f t="array" aca="1" ref="M10" ca="1">IF(AND(J10=INDIRECT("'["&amp;G10&amp;"]"&amp;E10&amp;"'!"&amp;$Y$2),G10=INDIRECT("'["&amp;G10&amp;"]"&amp;E10&amp;"'!"&amp;$AH$2)),INDIRECT("'["&amp;G10&amp;"]"&amp;E10&amp;"'!"&amp;$Y$3),0)</f>
        <v>#VALUE!</v>
      </c>
      <c r="N10" s="34" t="e" cm="1">
        <f t="array" aca="1" ref="N10" ca="1">IF(AND(G10=INDIRECT("'["&amp;G10&amp;"]"&amp;E10&amp;"'!"&amp;$AH$2),OR(K10=INDIRECT("'["&amp;G10&amp;"]"&amp;E10&amp;"'!"&amp;$Z$2))),INDIRECT("'["&amp;G10&amp;"]"&amp;E10&amp;"'!"&amp;$Z$3),0)</f>
        <v>#VALUE!</v>
      </c>
      <c r="O10" s="34" t="e" cm="1">
        <f t="array" aca="1" ref="O10" ca="1">IF(AND(G10=INDIRECT("'["&amp;G10&amp;"]"&amp;E10&amp;"'!"&amp;$AH$2),OR(L10=INDIRECT("'["&amp;G10&amp;"]"&amp;E10&amp;"'!"&amp;$AA$2))),INDIRECT("'["&amp;G10&amp;"]"&amp;E10&amp;"'!"&amp;$AA$3),0)</f>
        <v>#VALUE!</v>
      </c>
      <c r="P10" s="34" t="e" cm="1">
        <f t="array" aca="1" ref="P10" ca="1">IF(AND(G10=INDIRECT("'["&amp;G10&amp;"]"&amp;E10&amp;"'!"&amp;$AH$2),OR(VALUE(I10)=INDIRECT("'["&amp;G10&amp;"]"&amp;E10&amp;"'!"&amp;$AB$2))),INDIRECT("'["&amp;G10&amp;"]"&amp;E10&amp;"'!"&amp;$AB$3),0)</f>
        <v>#VALUE!</v>
      </c>
      <c r="Q10" s="34" t="e" cm="1">
        <f t="array" aca="1" ref="Q10" ca="1">IF(AND(G10=INDIRECT("'["&amp;G10&amp;"]"&amp;E10&amp;"'!"&amp;$AH$2),OR(VALUE(I10)=INDIRECT("'["&amp;G10&amp;"]"&amp;E10&amp;"'!"&amp;$AC$2))),INDIRECT("'["&amp;G10&amp;"]"&amp;E10&amp;"'!"&amp;$AC$3),0)</f>
        <v>#VALUE!</v>
      </c>
      <c r="R10" s="34" t="e" cm="1">
        <f t="array" aca="1" ref="R10" ca="1">IF(AND(G10=INDIRECT("'["&amp;G10&amp;"]"&amp;E10&amp;"'!"&amp;$AH$2),OR(I10=INDIRECT("'["&amp;G10&amp;"]"&amp;E10&amp;"'!"&amp;$AD$2))),INDIRECT("'["&amp;G10&amp;"]"&amp;E10&amp;"'!"&amp;$AD$3),0)</f>
        <v>#VALUE!</v>
      </c>
      <c r="S10" s="34" t="e" cm="1">
        <f t="array" aca="1" ref="S10" ca="1">IF(AND(G10=INDIRECT("'["&amp;G10&amp;"]"&amp;E10&amp;"'!"&amp;$AH$2),OR(I10=INDIRECT("'["&amp;G10&amp;"]"&amp;E10&amp;"'!"&amp;$AE$2))),INDIRECT("'["&amp;G10&amp;"]"&amp;E10&amp;"'!"&amp;$AE$3),0)</f>
        <v>#VALUE!</v>
      </c>
      <c r="T10" s="35" t="e" cm="1">
        <f t="array" aca="1" ref="T10" ca="1">IF(AND(G10=INDIRECT("'["&amp;G10&amp;"]"&amp;E10&amp;"'!"&amp;$AH$2),OR(I10=INDIRECT("'["&amp;G10&amp;"]"&amp;E10&amp;"'!"&amp;$AF$2))),INDIRECT("'["&amp;G10&amp;"]"&amp;E10&amp;"'!"&amp;$AF$3),0)</f>
        <v>#VALUE!</v>
      </c>
      <c r="U10" s="34" t="e" cm="1">
        <f t="array" aca="1" ref="U10" ca="1">IF(AND(G10=INDIRECT("'["&amp;G10&amp;"]"&amp;E10&amp;"'!"&amp;$AH$2),OR(I10=INDIRECT("'["&amp;G10&amp;"]"&amp;E10&amp;"'!"&amp;$AG$2))),INDIRECT("'["&amp;G10&amp;"]"&amp;E10&amp;"'!"&amp;$AG$3),0)</f>
        <v>#VALUE!</v>
      </c>
      <c r="V10" s="25" t="str">
        <f t="shared" si="11"/>
        <v/>
      </c>
      <c r="W10" s="36" t="e" cm="1">
        <f t="array" aca="1" ref="W10" ca="1">IF(AND(G10=INDIRECT("'["&amp;G10&amp;"]"&amp;E10&amp;"'!"&amp;$AH$2),OR(V10=INDIRECT("'["&amp;G10&amp;"]"&amp;E10&amp;"'!"&amp;$AI$2))),INDIRECT("'["&amp;G10&amp;"]"&amp;E10&amp;"'!"&amp;$AI$3),0)</f>
        <v>#VALUE!</v>
      </c>
      <c r="AJ10" s="25">
        <v>1</v>
      </c>
      <c r="AK10" s="38">
        <f t="shared" ca="1" si="5"/>
        <v>0</v>
      </c>
      <c r="AL10" s="38">
        <f t="shared" ca="1" si="12"/>
        <v>0</v>
      </c>
      <c r="AM10" s="54" t="str">
        <f t="shared" ca="1" si="6"/>
        <v/>
      </c>
      <c r="AN10" s="25" t="e">
        <f t="shared" ca="1" si="13"/>
        <v>#VALUE!</v>
      </c>
      <c r="AO10" s="25" t="e">
        <f t="shared" ca="1" si="14"/>
        <v>#VALUE!</v>
      </c>
      <c r="AP10" s="39" t="str">
        <f t="shared" ca="1" si="7"/>
        <v/>
      </c>
      <c r="AQ10" s="46" t="str">
        <f ca="1">IF(AND(C10&lt;&gt;0, C11=0), SUM($C$2:C10)-SUM($AQ$1:AQ9), "")</f>
        <v/>
      </c>
      <c r="AR10" s="46" t="str">
        <f ca="1">IF(AND(AK10&lt;&gt;0, AK11=0), SUM($AK$2:AK10)-SUM($AR$1:AR9), "")</f>
        <v/>
      </c>
    </row>
    <row r="11" spans="1:45" ht="13.15" customHeight="1">
      <c r="A11" s="63"/>
      <c r="B11" s="68" t="str">
        <f t="shared" si="15"/>
        <v/>
      </c>
      <c r="C11" s="55" cm="1">
        <f t="array" aca="1" ref="C11" ca="1">SUM(IF(ISNUMBER(M11:U11),M11:U11,""))</f>
        <v>0</v>
      </c>
      <c r="D11" s="25" t="str">
        <f t="shared" si="8"/>
        <v/>
      </c>
      <c r="E11" s="25" t="e">
        <f t="shared" si="0"/>
        <v>#VALUE!</v>
      </c>
      <c r="F11" s="25" t="str">
        <f t="shared" si="9"/>
        <v/>
      </c>
      <c r="G11" s="25" t="str">
        <f t="shared" si="1"/>
        <v>.xlsx</v>
      </c>
      <c r="H11" s="29" t="e" cm="1">
        <f t="array" aca="1" ref="H11" ca="1">IF(AND(VALUE(E11)=INDIRECT("'["&amp;G11&amp;"]"&amp;E11&amp;"'!"&amp;$X$2),G11=INDIRECT("'["&amp;G11&amp;"]"&amp;E11&amp;"'!"&amp;$X$3)),INDIRECT("'["&amp;G11&amp;"]"&amp;E11&amp;"'!"&amp;$X$1),0)</f>
        <v>#VALUE!</v>
      </c>
      <c r="I11" s="25" t="str">
        <f t="shared" si="10"/>
        <v/>
      </c>
      <c r="J11" s="32" t="str">
        <f t="shared" si="2"/>
        <v/>
      </c>
      <c r="K11" s="25" t="str">
        <f t="shared" si="3"/>
        <v/>
      </c>
      <c r="L11" s="25" t="str">
        <f t="shared" si="4"/>
        <v/>
      </c>
      <c r="M11" s="33" t="e" cm="1">
        <f t="array" aca="1" ref="M11" ca="1">IF(AND(J11=INDIRECT("'["&amp;G11&amp;"]"&amp;E11&amp;"'!"&amp;$Y$2),G11=INDIRECT("'["&amp;G11&amp;"]"&amp;E11&amp;"'!"&amp;$AH$2)),INDIRECT("'["&amp;G11&amp;"]"&amp;E11&amp;"'!"&amp;$Y$3),0)</f>
        <v>#VALUE!</v>
      </c>
      <c r="N11" s="34" t="e" cm="1">
        <f t="array" aca="1" ref="N11" ca="1">IF(AND(G11=INDIRECT("'["&amp;G11&amp;"]"&amp;E11&amp;"'!"&amp;$AH$2),OR(K11=INDIRECT("'["&amp;G11&amp;"]"&amp;E11&amp;"'!"&amp;$Z$2))),INDIRECT("'["&amp;G11&amp;"]"&amp;E11&amp;"'!"&amp;$Z$3),0)</f>
        <v>#VALUE!</v>
      </c>
      <c r="O11" s="34" t="e" cm="1">
        <f t="array" aca="1" ref="O11" ca="1">IF(AND(G11=INDIRECT("'["&amp;G11&amp;"]"&amp;E11&amp;"'!"&amp;$AH$2),OR(L11=INDIRECT("'["&amp;G11&amp;"]"&amp;E11&amp;"'!"&amp;$AA$2))),INDIRECT("'["&amp;G11&amp;"]"&amp;E11&amp;"'!"&amp;$AA$3),0)</f>
        <v>#VALUE!</v>
      </c>
      <c r="P11" s="34" t="e" cm="1">
        <f t="array" aca="1" ref="P11" ca="1">IF(AND(G11=INDIRECT("'["&amp;G11&amp;"]"&amp;E11&amp;"'!"&amp;$AH$2),OR(VALUE(I11)=INDIRECT("'["&amp;G11&amp;"]"&amp;E11&amp;"'!"&amp;$AB$2))),INDIRECT("'["&amp;G11&amp;"]"&amp;E11&amp;"'!"&amp;$AB$3),0)</f>
        <v>#VALUE!</v>
      </c>
      <c r="Q11" s="34" t="e" cm="1">
        <f t="array" aca="1" ref="Q11" ca="1">IF(AND(G11=INDIRECT("'["&amp;G11&amp;"]"&amp;E11&amp;"'!"&amp;$AH$2),OR(VALUE(I11)=INDIRECT("'["&amp;G11&amp;"]"&amp;E11&amp;"'!"&amp;$AC$2))),INDIRECT("'["&amp;G11&amp;"]"&amp;E11&amp;"'!"&amp;$AC$3),0)</f>
        <v>#VALUE!</v>
      </c>
      <c r="R11" s="34" t="e" cm="1">
        <f t="array" aca="1" ref="R11" ca="1">IF(AND(G11=INDIRECT("'["&amp;G11&amp;"]"&amp;E11&amp;"'!"&amp;$AH$2),OR(I11=INDIRECT("'["&amp;G11&amp;"]"&amp;E11&amp;"'!"&amp;$AD$2))),INDIRECT("'["&amp;G11&amp;"]"&amp;E11&amp;"'!"&amp;$AD$3),0)</f>
        <v>#VALUE!</v>
      </c>
      <c r="S11" s="34" t="e" cm="1">
        <f t="array" aca="1" ref="S11" ca="1">IF(AND(G11=INDIRECT("'["&amp;G11&amp;"]"&amp;E11&amp;"'!"&amp;$AH$2),OR(I11=INDIRECT("'["&amp;G11&amp;"]"&amp;E11&amp;"'!"&amp;$AE$2))),INDIRECT("'["&amp;G11&amp;"]"&amp;E11&amp;"'!"&amp;$AE$3),0)</f>
        <v>#VALUE!</v>
      </c>
      <c r="T11" s="35" t="e" cm="1">
        <f t="array" aca="1" ref="T11" ca="1">IF(AND(G11=INDIRECT("'["&amp;G11&amp;"]"&amp;E11&amp;"'!"&amp;$AH$2),OR(I11=INDIRECT("'["&amp;G11&amp;"]"&amp;E11&amp;"'!"&amp;$AF$2))),INDIRECT("'["&amp;G11&amp;"]"&amp;E11&amp;"'!"&amp;$AF$3),0)</f>
        <v>#VALUE!</v>
      </c>
      <c r="U11" s="34" t="e" cm="1">
        <f t="array" aca="1" ref="U11" ca="1">IF(AND(G11=INDIRECT("'["&amp;G11&amp;"]"&amp;E11&amp;"'!"&amp;$AH$2),OR(I11=INDIRECT("'["&amp;G11&amp;"]"&amp;E11&amp;"'!"&amp;$AG$2))),INDIRECT("'["&amp;G11&amp;"]"&amp;E11&amp;"'!"&amp;$AG$3),0)</f>
        <v>#VALUE!</v>
      </c>
      <c r="V11" s="25" t="str">
        <f t="shared" si="11"/>
        <v/>
      </c>
      <c r="W11" s="36" t="e" cm="1">
        <f t="array" aca="1" ref="W11" ca="1">IF(AND(G11=INDIRECT("'["&amp;G11&amp;"]"&amp;E11&amp;"'!"&amp;$AH$2),OR(V11=INDIRECT("'["&amp;G11&amp;"]"&amp;E11&amp;"'!"&amp;$AI$2))),INDIRECT("'["&amp;G11&amp;"]"&amp;E11&amp;"'!"&amp;$AI$3),0)</f>
        <v>#VALUE!</v>
      </c>
      <c r="AJ11" s="25">
        <v>1</v>
      </c>
      <c r="AK11" s="38">
        <f t="shared" ca="1" si="5"/>
        <v>0</v>
      </c>
      <c r="AL11" s="38">
        <f t="shared" ca="1" si="12"/>
        <v>0</v>
      </c>
      <c r="AM11" s="54" t="str">
        <f t="shared" ca="1" si="6"/>
        <v/>
      </c>
      <c r="AN11" s="25" t="e">
        <f t="shared" ca="1" si="13"/>
        <v>#VALUE!</v>
      </c>
      <c r="AO11" s="25" t="e">
        <f t="shared" ca="1" si="14"/>
        <v>#VALUE!</v>
      </c>
      <c r="AP11" s="39" t="str">
        <f t="shared" ca="1" si="7"/>
        <v/>
      </c>
      <c r="AQ11" s="46" t="str">
        <f ca="1">IF(AND(C11&lt;&gt;0, C12=0), SUM($C$2:C11)-SUM($AQ$1:AQ10), "")</f>
        <v/>
      </c>
      <c r="AR11" s="46" t="str">
        <f ca="1">IF(AND(AK11&lt;&gt;0, AK12=0), SUM($AK$2:AK11)-SUM($AR$1:AR10), "")</f>
        <v/>
      </c>
    </row>
    <row r="12" spans="1:45" ht="13.15" customHeight="1">
      <c r="A12" s="63"/>
      <c r="B12" s="68" t="str">
        <f t="shared" si="15"/>
        <v/>
      </c>
      <c r="C12" s="55" cm="1">
        <f t="array" aca="1" ref="C12" ca="1">SUM(IF(ISNUMBER(M12:U12),M12:U12,""))</f>
        <v>0</v>
      </c>
      <c r="D12" s="25" t="str">
        <f t="shared" si="8"/>
        <v/>
      </c>
      <c r="E12" s="25" t="e">
        <f t="shared" si="0"/>
        <v>#VALUE!</v>
      </c>
      <c r="F12" s="25" t="str">
        <f t="shared" si="9"/>
        <v/>
      </c>
      <c r="G12" s="25" t="str">
        <f t="shared" si="1"/>
        <v>.xlsx</v>
      </c>
      <c r="H12" s="29" t="e" cm="1">
        <f t="array" aca="1" ref="H12" ca="1">IF(AND(VALUE(E12)=INDIRECT("'["&amp;G12&amp;"]"&amp;E12&amp;"'!"&amp;$X$2),G12=INDIRECT("'["&amp;G12&amp;"]"&amp;E12&amp;"'!"&amp;$X$3)),INDIRECT("'["&amp;G12&amp;"]"&amp;E12&amp;"'!"&amp;$X$1),0)</f>
        <v>#VALUE!</v>
      </c>
      <c r="I12" s="25" t="str">
        <f t="shared" si="10"/>
        <v/>
      </c>
      <c r="J12" s="32" t="str">
        <f t="shared" si="2"/>
        <v/>
      </c>
      <c r="K12" s="25" t="str">
        <f t="shared" si="3"/>
        <v/>
      </c>
      <c r="L12" s="25" t="str">
        <f t="shared" si="4"/>
        <v/>
      </c>
      <c r="M12" s="33" t="e" cm="1">
        <f t="array" aca="1" ref="M12" ca="1">IF(AND(J12=INDIRECT("'["&amp;G12&amp;"]"&amp;E12&amp;"'!"&amp;$Y$2),G12=INDIRECT("'["&amp;G12&amp;"]"&amp;E12&amp;"'!"&amp;$AH$2)),INDIRECT("'["&amp;G12&amp;"]"&amp;E12&amp;"'!"&amp;$Y$3),0)</f>
        <v>#VALUE!</v>
      </c>
      <c r="N12" s="34" t="e" cm="1">
        <f t="array" aca="1" ref="N12" ca="1">IF(AND(G12=INDIRECT("'["&amp;G12&amp;"]"&amp;E12&amp;"'!"&amp;$AH$2),OR(K12=INDIRECT("'["&amp;G12&amp;"]"&amp;E12&amp;"'!"&amp;$Z$2))),INDIRECT("'["&amp;G12&amp;"]"&amp;E12&amp;"'!"&amp;$Z$3),0)</f>
        <v>#VALUE!</v>
      </c>
      <c r="O12" s="34" t="e" cm="1">
        <f t="array" aca="1" ref="O12" ca="1">IF(AND(G12=INDIRECT("'["&amp;G12&amp;"]"&amp;E12&amp;"'!"&amp;$AH$2),OR(L12=INDIRECT("'["&amp;G12&amp;"]"&amp;E12&amp;"'!"&amp;$AA$2))),INDIRECT("'["&amp;G12&amp;"]"&amp;E12&amp;"'!"&amp;$AA$3),0)</f>
        <v>#VALUE!</v>
      </c>
      <c r="P12" s="34" t="e" cm="1">
        <f t="array" aca="1" ref="P12" ca="1">IF(AND(G12=INDIRECT("'["&amp;G12&amp;"]"&amp;E12&amp;"'!"&amp;$AH$2),OR(VALUE(I12)=INDIRECT("'["&amp;G12&amp;"]"&amp;E12&amp;"'!"&amp;$AB$2))),INDIRECT("'["&amp;G12&amp;"]"&amp;E12&amp;"'!"&amp;$AB$3),0)</f>
        <v>#VALUE!</v>
      </c>
      <c r="Q12" s="34" t="e" cm="1">
        <f t="array" aca="1" ref="Q12" ca="1">IF(AND(G12=INDIRECT("'["&amp;G12&amp;"]"&amp;E12&amp;"'!"&amp;$AH$2),OR(VALUE(I12)=INDIRECT("'["&amp;G12&amp;"]"&amp;E12&amp;"'!"&amp;$AC$2))),INDIRECT("'["&amp;G12&amp;"]"&amp;E12&amp;"'!"&amp;$AC$3),0)</f>
        <v>#VALUE!</v>
      </c>
      <c r="R12" s="34" t="e" cm="1">
        <f t="array" aca="1" ref="R12" ca="1">IF(AND(G12=INDIRECT("'["&amp;G12&amp;"]"&amp;E12&amp;"'!"&amp;$AH$2),OR(I12=INDIRECT("'["&amp;G12&amp;"]"&amp;E12&amp;"'!"&amp;$AD$2))),INDIRECT("'["&amp;G12&amp;"]"&amp;E12&amp;"'!"&amp;$AD$3),0)</f>
        <v>#VALUE!</v>
      </c>
      <c r="S12" s="34" t="e" cm="1">
        <f t="array" aca="1" ref="S12" ca="1">IF(AND(G12=INDIRECT("'["&amp;G12&amp;"]"&amp;E12&amp;"'!"&amp;$AH$2),OR(I12=INDIRECT("'["&amp;G12&amp;"]"&amp;E12&amp;"'!"&amp;$AE$2))),INDIRECT("'["&amp;G12&amp;"]"&amp;E12&amp;"'!"&amp;$AE$3),0)</f>
        <v>#VALUE!</v>
      </c>
      <c r="T12" s="35" t="e" cm="1">
        <f t="array" aca="1" ref="T12" ca="1">IF(AND(G12=INDIRECT("'["&amp;G12&amp;"]"&amp;E12&amp;"'!"&amp;$AH$2),OR(I12=INDIRECT("'["&amp;G12&amp;"]"&amp;E12&amp;"'!"&amp;$AF$2))),INDIRECT("'["&amp;G12&amp;"]"&amp;E12&amp;"'!"&amp;$AF$3),0)</f>
        <v>#VALUE!</v>
      </c>
      <c r="U12" s="34" t="e" cm="1">
        <f t="array" aca="1" ref="U12" ca="1">IF(AND(G12=INDIRECT("'["&amp;G12&amp;"]"&amp;E12&amp;"'!"&amp;$AH$2),OR(I12=INDIRECT("'["&amp;G12&amp;"]"&amp;E12&amp;"'!"&amp;$AG$2))),INDIRECT("'["&amp;G12&amp;"]"&amp;E12&amp;"'!"&amp;$AG$3),0)</f>
        <v>#VALUE!</v>
      </c>
      <c r="V12" s="25" t="str">
        <f t="shared" si="11"/>
        <v/>
      </c>
      <c r="W12" s="36" t="e" cm="1">
        <f t="array" aca="1" ref="W12" ca="1">IF(AND(G12=INDIRECT("'["&amp;G12&amp;"]"&amp;E12&amp;"'!"&amp;$AH$2),OR(V12=INDIRECT("'["&amp;G12&amp;"]"&amp;E12&amp;"'!"&amp;$AI$2))),INDIRECT("'["&amp;G12&amp;"]"&amp;E12&amp;"'!"&amp;$AI$3),0)</f>
        <v>#VALUE!</v>
      </c>
      <c r="AJ12" s="25">
        <v>1</v>
      </c>
      <c r="AK12" s="38">
        <f t="shared" ca="1" si="5"/>
        <v>0</v>
      </c>
      <c r="AL12" s="38">
        <f t="shared" ca="1" si="12"/>
        <v>0</v>
      </c>
      <c r="AM12" s="54" t="str">
        <f t="shared" ca="1" si="6"/>
        <v/>
      </c>
      <c r="AN12" s="25" t="e">
        <f t="shared" ca="1" si="13"/>
        <v>#VALUE!</v>
      </c>
      <c r="AO12" s="25" t="e">
        <f t="shared" ca="1" si="14"/>
        <v>#VALUE!</v>
      </c>
      <c r="AP12" s="39" t="str">
        <f t="shared" ca="1" si="7"/>
        <v/>
      </c>
      <c r="AQ12" s="46" t="str">
        <f ca="1">IF(AND(C12&lt;&gt;0, C13=0), SUM($C$2:C12)-SUM($AQ$1:AQ11), "")</f>
        <v/>
      </c>
      <c r="AR12" s="46" t="str">
        <f ca="1">IF(AND(AK12&lt;&gt;0, AK13=0), SUM($AK$2:AK12)-SUM($AR$1:AR11), "")</f>
        <v/>
      </c>
    </row>
    <row r="13" spans="1:45" ht="13.15" customHeight="1">
      <c r="A13" s="62"/>
      <c r="B13" s="68" t="str">
        <f t="shared" si="15"/>
        <v/>
      </c>
      <c r="C13" s="55" cm="1">
        <f t="array" aca="1" ref="C13" ca="1">SUM(IF(ISNUMBER(M13:U13),M13:U13,""))</f>
        <v>0</v>
      </c>
      <c r="D13" s="25" t="str">
        <f t="shared" si="8"/>
        <v/>
      </c>
      <c r="E13" s="25" t="e">
        <f t="shared" si="0"/>
        <v>#VALUE!</v>
      </c>
      <c r="F13" s="25" t="str">
        <f t="shared" si="9"/>
        <v/>
      </c>
      <c r="G13" s="25" t="str">
        <f t="shared" si="1"/>
        <v>.xlsx</v>
      </c>
      <c r="H13" s="29" t="e" cm="1">
        <f t="array" aca="1" ref="H13" ca="1">IF(AND(VALUE(E13)=INDIRECT("'["&amp;G13&amp;"]"&amp;E13&amp;"'!"&amp;$X$2),G13=INDIRECT("'["&amp;G13&amp;"]"&amp;E13&amp;"'!"&amp;$X$3)),INDIRECT("'["&amp;G13&amp;"]"&amp;E13&amp;"'!"&amp;$X$1),0)</f>
        <v>#VALUE!</v>
      </c>
      <c r="I13" s="25" t="str">
        <f t="shared" si="10"/>
        <v/>
      </c>
      <c r="J13" s="32" t="str">
        <f t="shared" si="2"/>
        <v/>
      </c>
      <c r="K13" s="25" t="str">
        <f t="shared" si="3"/>
        <v/>
      </c>
      <c r="L13" s="25" t="str">
        <f t="shared" si="4"/>
        <v/>
      </c>
      <c r="M13" s="33" t="e" cm="1">
        <f t="array" aca="1" ref="M13" ca="1">IF(AND(J13=INDIRECT("'["&amp;G13&amp;"]"&amp;E13&amp;"'!"&amp;$Y$2),G13=INDIRECT("'["&amp;G13&amp;"]"&amp;E13&amp;"'!"&amp;$AH$2)),INDIRECT("'["&amp;G13&amp;"]"&amp;E13&amp;"'!"&amp;$Y$3),0)</f>
        <v>#VALUE!</v>
      </c>
      <c r="N13" s="34" t="e" cm="1">
        <f t="array" aca="1" ref="N13" ca="1">IF(AND(G13=INDIRECT("'["&amp;G13&amp;"]"&amp;E13&amp;"'!"&amp;$AH$2),OR(K13=INDIRECT("'["&amp;G13&amp;"]"&amp;E13&amp;"'!"&amp;$Z$2))),INDIRECT("'["&amp;G13&amp;"]"&amp;E13&amp;"'!"&amp;$Z$3),0)</f>
        <v>#VALUE!</v>
      </c>
      <c r="O13" s="34" t="e" cm="1">
        <f t="array" aca="1" ref="O13" ca="1">IF(AND(G13=INDIRECT("'["&amp;G13&amp;"]"&amp;E13&amp;"'!"&amp;$AH$2),OR(L13=INDIRECT("'["&amp;G13&amp;"]"&amp;E13&amp;"'!"&amp;$AA$2))),INDIRECT("'["&amp;G13&amp;"]"&amp;E13&amp;"'!"&amp;$AA$3),0)</f>
        <v>#VALUE!</v>
      </c>
      <c r="P13" s="34" t="e" cm="1">
        <f t="array" aca="1" ref="P13" ca="1">IF(AND(G13=INDIRECT("'["&amp;G13&amp;"]"&amp;E13&amp;"'!"&amp;$AH$2),OR(VALUE(I13)=INDIRECT("'["&amp;G13&amp;"]"&amp;E13&amp;"'!"&amp;$AB$2))),INDIRECT("'["&amp;G13&amp;"]"&amp;E13&amp;"'!"&amp;$AB$3),0)</f>
        <v>#VALUE!</v>
      </c>
      <c r="Q13" s="34" t="e" cm="1">
        <f t="array" aca="1" ref="Q13" ca="1">IF(AND(G13=INDIRECT("'["&amp;G13&amp;"]"&amp;E13&amp;"'!"&amp;$AH$2),OR(VALUE(I13)=INDIRECT("'["&amp;G13&amp;"]"&amp;E13&amp;"'!"&amp;$AC$2))),INDIRECT("'["&amp;G13&amp;"]"&amp;E13&amp;"'!"&amp;$AC$3),0)</f>
        <v>#VALUE!</v>
      </c>
      <c r="R13" s="34" t="e" cm="1">
        <f t="array" aca="1" ref="R13" ca="1">IF(AND(G13=INDIRECT("'["&amp;G13&amp;"]"&amp;E13&amp;"'!"&amp;$AH$2),OR(I13=INDIRECT("'["&amp;G13&amp;"]"&amp;E13&amp;"'!"&amp;$AD$2))),INDIRECT("'["&amp;G13&amp;"]"&amp;E13&amp;"'!"&amp;$AD$3),0)</f>
        <v>#VALUE!</v>
      </c>
      <c r="S13" s="34" t="e" cm="1">
        <f t="array" aca="1" ref="S13" ca="1">IF(AND(G13=INDIRECT("'["&amp;G13&amp;"]"&amp;E13&amp;"'!"&amp;$AH$2),OR(I13=INDIRECT("'["&amp;G13&amp;"]"&amp;E13&amp;"'!"&amp;$AE$2))),INDIRECT("'["&amp;G13&amp;"]"&amp;E13&amp;"'!"&amp;$AE$3),0)</f>
        <v>#VALUE!</v>
      </c>
      <c r="T13" s="35" t="e" cm="1">
        <f t="array" aca="1" ref="T13" ca="1">IF(AND(G13=INDIRECT("'["&amp;G13&amp;"]"&amp;E13&amp;"'!"&amp;$AH$2),OR(I13=INDIRECT("'["&amp;G13&amp;"]"&amp;E13&amp;"'!"&amp;$AF$2))),INDIRECT("'["&amp;G13&amp;"]"&amp;E13&amp;"'!"&amp;$AF$3),0)</f>
        <v>#VALUE!</v>
      </c>
      <c r="U13" s="34" t="e" cm="1">
        <f t="array" aca="1" ref="U13" ca="1">IF(AND(G13=INDIRECT("'["&amp;G13&amp;"]"&amp;E13&amp;"'!"&amp;$AH$2),OR(I13=INDIRECT("'["&amp;G13&amp;"]"&amp;E13&amp;"'!"&amp;$AG$2))),INDIRECT("'["&amp;G13&amp;"]"&amp;E13&amp;"'!"&amp;$AG$3),0)</f>
        <v>#VALUE!</v>
      </c>
      <c r="V13" s="25" t="str">
        <f t="shared" si="11"/>
        <v/>
      </c>
      <c r="W13" s="36" t="e" cm="1">
        <f t="array" aca="1" ref="W13" ca="1">IF(AND(G13=INDIRECT("'["&amp;G13&amp;"]"&amp;E13&amp;"'!"&amp;$AH$2),OR(V13=INDIRECT("'["&amp;G13&amp;"]"&amp;E13&amp;"'!"&amp;$AI$2))),INDIRECT("'["&amp;G13&amp;"]"&amp;E13&amp;"'!"&amp;$AI$3),0)</f>
        <v>#VALUE!</v>
      </c>
      <c r="AJ13" s="25">
        <v>1</v>
      </c>
      <c r="AK13" s="38">
        <f t="shared" ca="1" si="5"/>
        <v>0</v>
      </c>
      <c r="AL13" s="38">
        <f t="shared" ca="1" si="12"/>
        <v>0</v>
      </c>
      <c r="AM13" s="54" t="str">
        <f t="shared" ca="1" si="6"/>
        <v/>
      </c>
      <c r="AN13" s="25" t="e">
        <f t="shared" ca="1" si="13"/>
        <v>#VALUE!</v>
      </c>
      <c r="AO13" s="25" t="e">
        <f t="shared" ca="1" si="14"/>
        <v>#VALUE!</v>
      </c>
      <c r="AP13" s="39" t="str">
        <f t="shared" ca="1" si="7"/>
        <v/>
      </c>
      <c r="AQ13" s="46" t="str">
        <f ca="1">IF(AND(C13&lt;&gt;0, C14=0), SUM($C$2:C13)-SUM($AQ$1:AQ12), "")</f>
        <v/>
      </c>
      <c r="AR13" s="46" t="str">
        <f ca="1">IF(AND(AK13&lt;&gt;0, AK14=0), SUM($AK$2:AK13)-SUM($AR$1:AR12), "")</f>
        <v/>
      </c>
    </row>
    <row r="14" spans="1:45" ht="13.15" customHeight="1">
      <c r="A14" s="62"/>
      <c r="B14" s="68" t="str">
        <f t="shared" si="15"/>
        <v/>
      </c>
      <c r="C14" s="55" cm="1">
        <f t="array" aca="1" ref="C14" ca="1">SUM(IF(ISNUMBER(M14:U14),M14:U14,""))</f>
        <v>0</v>
      </c>
      <c r="D14" s="25" t="str">
        <f t="shared" si="8"/>
        <v/>
      </c>
      <c r="E14" s="25" t="e">
        <f t="shared" si="0"/>
        <v>#VALUE!</v>
      </c>
      <c r="F14" s="25" t="str">
        <f t="shared" si="9"/>
        <v/>
      </c>
      <c r="G14" s="25" t="str">
        <f t="shared" si="1"/>
        <v>.xlsx</v>
      </c>
      <c r="H14" s="29" t="e" cm="1">
        <f t="array" aca="1" ref="H14" ca="1">IF(AND(VALUE(E14)=INDIRECT("'["&amp;G14&amp;"]"&amp;E14&amp;"'!"&amp;$X$2),G14=INDIRECT("'["&amp;G14&amp;"]"&amp;E14&amp;"'!"&amp;$X$3)),INDIRECT("'["&amp;G14&amp;"]"&amp;E14&amp;"'!"&amp;$X$1),0)</f>
        <v>#VALUE!</v>
      </c>
      <c r="I14" s="25" t="str">
        <f t="shared" si="10"/>
        <v/>
      </c>
      <c r="J14" s="32" t="str">
        <f t="shared" si="2"/>
        <v/>
      </c>
      <c r="K14" s="25" t="str">
        <f t="shared" si="3"/>
        <v/>
      </c>
      <c r="L14" s="25" t="str">
        <f t="shared" si="4"/>
        <v/>
      </c>
      <c r="M14" s="33" t="e" cm="1">
        <f t="array" aca="1" ref="M14" ca="1">IF(AND(J14=INDIRECT("'["&amp;G14&amp;"]"&amp;E14&amp;"'!"&amp;$Y$2),G14=INDIRECT("'["&amp;G14&amp;"]"&amp;E14&amp;"'!"&amp;$AH$2)),INDIRECT("'["&amp;G14&amp;"]"&amp;E14&amp;"'!"&amp;$Y$3),0)</f>
        <v>#VALUE!</v>
      </c>
      <c r="N14" s="34" t="e" cm="1">
        <f t="array" aca="1" ref="N14" ca="1">IF(AND(G14=INDIRECT("'["&amp;G14&amp;"]"&amp;E14&amp;"'!"&amp;$AH$2),OR(K14=INDIRECT("'["&amp;G14&amp;"]"&amp;E14&amp;"'!"&amp;$Z$2))),INDIRECT("'["&amp;G14&amp;"]"&amp;E14&amp;"'!"&amp;$Z$3),0)</f>
        <v>#VALUE!</v>
      </c>
      <c r="O14" s="34" t="e" cm="1">
        <f t="array" aca="1" ref="O14" ca="1">IF(AND(G14=INDIRECT("'["&amp;G14&amp;"]"&amp;E14&amp;"'!"&amp;$AH$2),OR(L14=INDIRECT("'["&amp;G14&amp;"]"&amp;E14&amp;"'!"&amp;$AA$2))),INDIRECT("'["&amp;G14&amp;"]"&amp;E14&amp;"'!"&amp;$AA$3),0)</f>
        <v>#VALUE!</v>
      </c>
      <c r="P14" s="34" t="e" cm="1">
        <f t="array" aca="1" ref="P14" ca="1">IF(AND(G14=INDIRECT("'["&amp;G14&amp;"]"&amp;E14&amp;"'!"&amp;$AH$2),OR(VALUE(I14)=INDIRECT("'["&amp;G14&amp;"]"&amp;E14&amp;"'!"&amp;$AB$2))),INDIRECT("'["&amp;G14&amp;"]"&amp;E14&amp;"'!"&amp;$AB$3),0)</f>
        <v>#VALUE!</v>
      </c>
      <c r="Q14" s="34" t="e" cm="1">
        <f t="array" aca="1" ref="Q14" ca="1">IF(AND(G14=INDIRECT("'["&amp;G14&amp;"]"&amp;E14&amp;"'!"&amp;$AH$2),OR(VALUE(I14)=INDIRECT("'["&amp;G14&amp;"]"&amp;E14&amp;"'!"&amp;$AC$2))),INDIRECT("'["&amp;G14&amp;"]"&amp;E14&amp;"'!"&amp;$AC$3),0)</f>
        <v>#VALUE!</v>
      </c>
      <c r="R14" s="34" t="e" cm="1">
        <f t="array" aca="1" ref="R14" ca="1">IF(AND(G14=INDIRECT("'["&amp;G14&amp;"]"&amp;E14&amp;"'!"&amp;$AH$2),OR(I14=INDIRECT("'["&amp;G14&amp;"]"&amp;E14&amp;"'!"&amp;$AD$2))),INDIRECT("'["&amp;G14&amp;"]"&amp;E14&amp;"'!"&amp;$AD$3),0)</f>
        <v>#VALUE!</v>
      </c>
      <c r="S14" s="34" t="e" cm="1">
        <f t="array" aca="1" ref="S14" ca="1">IF(AND(G14=INDIRECT("'["&amp;G14&amp;"]"&amp;E14&amp;"'!"&amp;$AH$2),OR(I14=INDIRECT("'["&amp;G14&amp;"]"&amp;E14&amp;"'!"&amp;$AE$2))),INDIRECT("'["&amp;G14&amp;"]"&amp;E14&amp;"'!"&amp;$AE$3),0)</f>
        <v>#VALUE!</v>
      </c>
      <c r="T14" s="35" t="e" cm="1">
        <f t="array" aca="1" ref="T14" ca="1">IF(AND(G14=INDIRECT("'["&amp;G14&amp;"]"&amp;E14&amp;"'!"&amp;$AH$2),OR(I14=INDIRECT("'["&amp;G14&amp;"]"&amp;E14&amp;"'!"&amp;$AF$2))),INDIRECT("'["&amp;G14&amp;"]"&amp;E14&amp;"'!"&amp;$AF$3),0)</f>
        <v>#VALUE!</v>
      </c>
      <c r="U14" s="34" t="e" cm="1">
        <f t="array" aca="1" ref="U14" ca="1">IF(AND(G14=INDIRECT("'["&amp;G14&amp;"]"&amp;E14&amp;"'!"&amp;$AH$2),OR(I14=INDIRECT("'["&amp;G14&amp;"]"&amp;E14&amp;"'!"&amp;$AG$2))),INDIRECT("'["&amp;G14&amp;"]"&amp;E14&amp;"'!"&amp;$AG$3),0)</f>
        <v>#VALUE!</v>
      </c>
      <c r="V14" s="25" t="str">
        <f t="shared" si="11"/>
        <v/>
      </c>
      <c r="W14" s="36" t="e" cm="1">
        <f t="array" aca="1" ref="W14" ca="1">IF(AND(G14=INDIRECT("'["&amp;G14&amp;"]"&amp;E14&amp;"'!"&amp;$AH$2),OR(V14=INDIRECT("'["&amp;G14&amp;"]"&amp;E14&amp;"'!"&amp;$AI$2))),INDIRECT("'["&amp;G14&amp;"]"&amp;E14&amp;"'!"&amp;$AI$3),0)</f>
        <v>#VALUE!</v>
      </c>
      <c r="AJ14" s="25">
        <v>1</v>
      </c>
      <c r="AK14" s="38">
        <f t="shared" ca="1" si="5"/>
        <v>0</v>
      </c>
      <c r="AL14" s="38">
        <f t="shared" ca="1" si="12"/>
        <v>0</v>
      </c>
      <c r="AM14" s="54" t="str">
        <f t="shared" ca="1" si="6"/>
        <v/>
      </c>
      <c r="AN14" s="25" t="e">
        <f t="shared" ca="1" si="13"/>
        <v>#VALUE!</v>
      </c>
      <c r="AO14" s="25" t="e">
        <f t="shared" ca="1" si="14"/>
        <v>#VALUE!</v>
      </c>
      <c r="AP14" s="39" t="str">
        <f t="shared" ca="1" si="7"/>
        <v/>
      </c>
      <c r="AQ14" s="46" t="str">
        <f ca="1">IF(AND(C14&lt;&gt;0, C15=0), SUM($C$2:C14)-SUM($AQ$1:AQ13), "")</f>
        <v/>
      </c>
      <c r="AR14" s="46" t="str">
        <f ca="1">IF(AND(AK14&lt;&gt;0, AK15=0), SUM($AK$2:AK14)-SUM($AR$1:AR13), "")</f>
        <v/>
      </c>
    </row>
    <row r="15" spans="1:45" ht="13.15" customHeight="1">
      <c r="A15" s="62"/>
      <c r="B15" s="68" t="str">
        <f t="shared" si="15"/>
        <v/>
      </c>
      <c r="C15" s="55" cm="1">
        <f t="array" aca="1" ref="C15" ca="1">SUM(IF(ISNUMBER(M15:U15),M15:U15,""))</f>
        <v>0</v>
      </c>
      <c r="D15" s="25" t="str">
        <f t="shared" si="8"/>
        <v/>
      </c>
      <c r="E15" s="25" t="e">
        <f t="shared" si="0"/>
        <v>#VALUE!</v>
      </c>
      <c r="F15" s="25" t="str">
        <f t="shared" si="9"/>
        <v/>
      </c>
      <c r="G15" s="25" t="str">
        <f t="shared" si="1"/>
        <v>.xlsx</v>
      </c>
      <c r="H15" s="29" t="e" cm="1">
        <f t="array" aca="1" ref="H15" ca="1">IF(AND(VALUE(E15)=INDIRECT("'["&amp;G15&amp;"]"&amp;E15&amp;"'!"&amp;$X$2),G15=INDIRECT("'["&amp;G15&amp;"]"&amp;E15&amp;"'!"&amp;$X$3)),INDIRECT("'["&amp;G15&amp;"]"&amp;E15&amp;"'!"&amp;$X$1),0)</f>
        <v>#VALUE!</v>
      </c>
      <c r="I15" s="25" t="str">
        <f t="shared" si="10"/>
        <v/>
      </c>
      <c r="J15" s="32" t="str">
        <f t="shared" si="2"/>
        <v/>
      </c>
      <c r="K15" s="25" t="str">
        <f t="shared" si="3"/>
        <v/>
      </c>
      <c r="L15" s="25" t="str">
        <f t="shared" si="4"/>
        <v/>
      </c>
      <c r="M15" s="33" t="e" cm="1">
        <f t="array" aca="1" ref="M15" ca="1">IF(AND(J15=INDIRECT("'["&amp;G15&amp;"]"&amp;E15&amp;"'!"&amp;$Y$2),G15=INDIRECT("'["&amp;G15&amp;"]"&amp;E15&amp;"'!"&amp;$AH$2)),INDIRECT("'["&amp;G15&amp;"]"&amp;E15&amp;"'!"&amp;$Y$3),0)</f>
        <v>#VALUE!</v>
      </c>
      <c r="N15" s="34" t="e" cm="1">
        <f t="array" aca="1" ref="N15" ca="1">IF(AND(G15=INDIRECT("'["&amp;G15&amp;"]"&amp;E15&amp;"'!"&amp;$AH$2),OR(K15=INDIRECT("'["&amp;G15&amp;"]"&amp;E15&amp;"'!"&amp;$Z$2))),INDIRECT("'["&amp;G15&amp;"]"&amp;E15&amp;"'!"&amp;$Z$3),0)</f>
        <v>#VALUE!</v>
      </c>
      <c r="O15" s="34" t="e" cm="1">
        <f t="array" aca="1" ref="O15" ca="1">IF(AND(G15=INDIRECT("'["&amp;G15&amp;"]"&amp;E15&amp;"'!"&amp;$AH$2),OR(L15=INDIRECT("'["&amp;G15&amp;"]"&amp;E15&amp;"'!"&amp;$AA$2))),INDIRECT("'["&amp;G15&amp;"]"&amp;E15&amp;"'!"&amp;$AA$3),0)</f>
        <v>#VALUE!</v>
      </c>
      <c r="P15" s="34" t="e" cm="1">
        <f t="array" aca="1" ref="P15" ca="1">IF(AND(G15=INDIRECT("'["&amp;G15&amp;"]"&amp;E15&amp;"'!"&amp;$AH$2),OR(VALUE(I15)=INDIRECT("'["&amp;G15&amp;"]"&amp;E15&amp;"'!"&amp;$AB$2))),INDIRECT("'["&amp;G15&amp;"]"&amp;E15&amp;"'!"&amp;$AB$3),0)</f>
        <v>#VALUE!</v>
      </c>
      <c r="Q15" s="34" t="e" cm="1">
        <f t="array" aca="1" ref="Q15" ca="1">IF(AND(G15=INDIRECT("'["&amp;G15&amp;"]"&amp;E15&amp;"'!"&amp;$AH$2),OR(VALUE(I15)=INDIRECT("'["&amp;G15&amp;"]"&amp;E15&amp;"'!"&amp;$AC$2))),INDIRECT("'["&amp;G15&amp;"]"&amp;E15&amp;"'!"&amp;$AC$3),0)</f>
        <v>#VALUE!</v>
      </c>
      <c r="R15" s="34" t="e" cm="1">
        <f t="array" aca="1" ref="R15" ca="1">IF(AND(G15=INDIRECT("'["&amp;G15&amp;"]"&amp;E15&amp;"'!"&amp;$AH$2),OR(I15=INDIRECT("'["&amp;G15&amp;"]"&amp;E15&amp;"'!"&amp;$AD$2))),INDIRECT("'["&amp;G15&amp;"]"&amp;E15&amp;"'!"&amp;$AD$3),0)</f>
        <v>#VALUE!</v>
      </c>
      <c r="S15" s="34" t="e" cm="1">
        <f t="array" aca="1" ref="S15" ca="1">IF(AND(G15=INDIRECT("'["&amp;G15&amp;"]"&amp;E15&amp;"'!"&amp;$AH$2),OR(I15=INDIRECT("'["&amp;G15&amp;"]"&amp;E15&amp;"'!"&amp;$AE$2))),INDIRECT("'["&amp;G15&amp;"]"&amp;E15&amp;"'!"&amp;$AE$3),0)</f>
        <v>#VALUE!</v>
      </c>
      <c r="T15" s="35" t="e" cm="1">
        <f t="array" aca="1" ref="T15" ca="1">IF(AND(G15=INDIRECT("'["&amp;G15&amp;"]"&amp;E15&amp;"'!"&amp;$AH$2),OR(I15=INDIRECT("'["&amp;G15&amp;"]"&amp;E15&amp;"'!"&amp;$AF$2))),INDIRECT("'["&amp;G15&amp;"]"&amp;E15&amp;"'!"&amp;$AF$3),0)</f>
        <v>#VALUE!</v>
      </c>
      <c r="U15" s="34" t="e" cm="1">
        <f t="array" aca="1" ref="U15" ca="1">IF(AND(G15=INDIRECT("'["&amp;G15&amp;"]"&amp;E15&amp;"'!"&amp;$AH$2),OR(I15=INDIRECT("'["&amp;G15&amp;"]"&amp;E15&amp;"'!"&amp;$AG$2))),INDIRECT("'["&amp;G15&amp;"]"&amp;E15&amp;"'!"&amp;$AG$3),0)</f>
        <v>#VALUE!</v>
      </c>
      <c r="V15" s="25" t="str">
        <f t="shared" si="11"/>
        <v/>
      </c>
      <c r="W15" s="36" t="e" cm="1">
        <f t="array" aca="1" ref="W15" ca="1">IF(AND(G15=INDIRECT("'["&amp;G15&amp;"]"&amp;E15&amp;"'!"&amp;$AH$2),OR(V15=INDIRECT("'["&amp;G15&amp;"]"&amp;E15&amp;"'!"&amp;$AI$2))),INDIRECT("'["&amp;G15&amp;"]"&amp;E15&amp;"'!"&amp;$AI$3),0)</f>
        <v>#VALUE!</v>
      </c>
      <c r="AJ15" s="25">
        <v>1</v>
      </c>
      <c r="AK15" s="38">
        <f t="shared" ca="1" si="5"/>
        <v>0</v>
      </c>
      <c r="AL15" s="38">
        <f t="shared" ca="1" si="12"/>
        <v>0</v>
      </c>
      <c r="AM15" s="54" t="str">
        <f t="shared" ca="1" si="6"/>
        <v/>
      </c>
      <c r="AN15" s="25" t="e">
        <f t="shared" ca="1" si="13"/>
        <v>#VALUE!</v>
      </c>
      <c r="AO15" s="25" t="e">
        <f t="shared" ca="1" si="14"/>
        <v>#VALUE!</v>
      </c>
      <c r="AP15" s="39" t="str">
        <f t="shared" ca="1" si="7"/>
        <v/>
      </c>
      <c r="AQ15" s="46" t="str">
        <f ca="1">IF(AND(C15&lt;&gt;0, C16=0), SUM($C$2:C15)-SUM($AQ$1:AQ14), "")</f>
        <v/>
      </c>
      <c r="AR15" s="46" t="str">
        <f ca="1">IF(AND(AK15&lt;&gt;0, AK16=0), SUM($AK$2:AK15)-SUM($AR$1:AR14), "")</f>
        <v/>
      </c>
    </row>
    <row r="16" spans="1:45" ht="13.15" customHeight="1">
      <c r="A16" s="62"/>
      <c r="B16" s="68" t="str">
        <f t="shared" si="15"/>
        <v/>
      </c>
      <c r="C16" s="55" cm="1">
        <f t="array" aca="1" ref="C16" ca="1">SUM(IF(ISNUMBER(M16:U16),M16:U16,""))</f>
        <v>0</v>
      </c>
      <c r="D16" s="25" t="str">
        <f t="shared" si="8"/>
        <v/>
      </c>
      <c r="E16" s="25" t="e">
        <f t="shared" si="0"/>
        <v>#VALUE!</v>
      </c>
      <c r="F16" s="25" t="str">
        <f t="shared" si="9"/>
        <v/>
      </c>
      <c r="G16" s="25" t="str">
        <f t="shared" si="1"/>
        <v>.xlsx</v>
      </c>
      <c r="H16" s="29" t="e" cm="1">
        <f t="array" aca="1" ref="H16" ca="1">IF(AND(VALUE(E16)=INDIRECT("'["&amp;G16&amp;"]"&amp;E16&amp;"'!"&amp;$X$2),G16=INDIRECT("'["&amp;G16&amp;"]"&amp;E16&amp;"'!"&amp;$X$3)),INDIRECT("'["&amp;G16&amp;"]"&amp;E16&amp;"'!"&amp;$X$1),0)</f>
        <v>#VALUE!</v>
      </c>
      <c r="I16" s="25" t="str">
        <f t="shared" si="10"/>
        <v/>
      </c>
      <c r="J16" s="32" t="str">
        <f t="shared" si="2"/>
        <v/>
      </c>
      <c r="K16" s="25" t="str">
        <f t="shared" si="3"/>
        <v/>
      </c>
      <c r="L16" s="25" t="str">
        <f t="shared" si="4"/>
        <v/>
      </c>
      <c r="M16" s="33" t="e" cm="1">
        <f t="array" aca="1" ref="M16" ca="1">IF(AND(J16=INDIRECT("'["&amp;G16&amp;"]"&amp;E16&amp;"'!"&amp;$Y$2),G16=INDIRECT("'["&amp;G16&amp;"]"&amp;E16&amp;"'!"&amp;$AH$2)),INDIRECT("'["&amp;G16&amp;"]"&amp;E16&amp;"'!"&amp;$Y$3),0)</f>
        <v>#VALUE!</v>
      </c>
      <c r="N16" s="34" t="e" cm="1">
        <f t="array" aca="1" ref="N16" ca="1">IF(AND(G16=INDIRECT("'["&amp;G16&amp;"]"&amp;E16&amp;"'!"&amp;$AH$2),OR(K16=INDIRECT("'["&amp;G16&amp;"]"&amp;E16&amp;"'!"&amp;$Z$2))),INDIRECT("'["&amp;G16&amp;"]"&amp;E16&amp;"'!"&amp;$Z$3),0)</f>
        <v>#VALUE!</v>
      </c>
      <c r="O16" s="34" t="e" cm="1">
        <f t="array" aca="1" ref="O16" ca="1">IF(AND(G16=INDIRECT("'["&amp;G16&amp;"]"&amp;E16&amp;"'!"&amp;$AH$2),OR(L16=INDIRECT("'["&amp;G16&amp;"]"&amp;E16&amp;"'!"&amp;$AA$2))),INDIRECT("'["&amp;G16&amp;"]"&amp;E16&amp;"'!"&amp;$AA$3),0)</f>
        <v>#VALUE!</v>
      </c>
      <c r="P16" s="34" t="e" cm="1">
        <f t="array" aca="1" ref="P16" ca="1">IF(AND(G16=INDIRECT("'["&amp;G16&amp;"]"&amp;E16&amp;"'!"&amp;$AH$2),OR(VALUE(I16)=INDIRECT("'["&amp;G16&amp;"]"&amp;E16&amp;"'!"&amp;$AB$2))),INDIRECT("'["&amp;G16&amp;"]"&amp;E16&amp;"'!"&amp;$AB$3),0)</f>
        <v>#VALUE!</v>
      </c>
      <c r="Q16" s="34" t="e" cm="1">
        <f t="array" aca="1" ref="Q16" ca="1">IF(AND(G16=INDIRECT("'["&amp;G16&amp;"]"&amp;E16&amp;"'!"&amp;$AH$2),OR(VALUE(I16)=INDIRECT("'["&amp;G16&amp;"]"&amp;E16&amp;"'!"&amp;$AC$2))),INDIRECT("'["&amp;G16&amp;"]"&amp;E16&amp;"'!"&amp;$AC$3),0)</f>
        <v>#VALUE!</v>
      </c>
      <c r="R16" s="34" t="e" cm="1">
        <f t="array" aca="1" ref="R16" ca="1">IF(AND(G16=INDIRECT("'["&amp;G16&amp;"]"&amp;E16&amp;"'!"&amp;$AH$2),OR(I16=INDIRECT("'["&amp;G16&amp;"]"&amp;E16&amp;"'!"&amp;$AD$2))),INDIRECT("'["&amp;G16&amp;"]"&amp;E16&amp;"'!"&amp;$AD$3),0)</f>
        <v>#VALUE!</v>
      </c>
      <c r="S16" s="34" t="e" cm="1">
        <f t="array" aca="1" ref="S16" ca="1">IF(AND(G16=INDIRECT("'["&amp;G16&amp;"]"&amp;E16&amp;"'!"&amp;$AH$2),OR(I16=INDIRECT("'["&amp;G16&amp;"]"&amp;E16&amp;"'!"&amp;$AE$2))),INDIRECT("'["&amp;G16&amp;"]"&amp;E16&amp;"'!"&amp;$AE$3),0)</f>
        <v>#VALUE!</v>
      </c>
      <c r="T16" s="35" t="e" cm="1">
        <f t="array" aca="1" ref="T16" ca="1">IF(AND(G16=INDIRECT("'["&amp;G16&amp;"]"&amp;E16&amp;"'!"&amp;$AH$2),OR(I16=INDIRECT("'["&amp;G16&amp;"]"&amp;E16&amp;"'!"&amp;$AF$2))),INDIRECT("'["&amp;G16&amp;"]"&amp;E16&amp;"'!"&amp;$AF$3),0)</f>
        <v>#VALUE!</v>
      </c>
      <c r="U16" s="34" t="e" cm="1">
        <f t="array" aca="1" ref="U16" ca="1">IF(AND(G16=INDIRECT("'["&amp;G16&amp;"]"&amp;E16&amp;"'!"&amp;$AH$2),OR(I16=INDIRECT("'["&amp;G16&amp;"]"&amp;E16&amp;"'!"&amp;$AG$2))),INDIRECT("'["&amp;G16&amp;"]"&amp;E16&amp;"'!"&amp;$AG$3),0)</f>
        <v>#VALUE!</v>
      </c>
      <c r="V16" s="25" t="str">
        <f t="shared" si="11"/>
        <v/>
      </c>
      <c r="W16" s="36" t="e" cm="1">
        <f t="array" aca="1" ref="W16" ca="1">IF(AND(G16=INDIRECT("'["&amp;G16&amp;"]"&amp;E16&amp;"'!"&amp;$AH$2),OR(V16=INDIRECT("'["&amp;G16&amp;"]"&amp;E16&amp;"'!"&amp;$AI$2))),INDIRECT("'["&amp;G16&amp;"]"&amp;E16&amp;"'!"&amp;$AI$3),0)</f>
        <v>#VALUE!</v>
      </c>
      <c r="AJ16" s="25">
        <v>1</v>
      </c>
      <c r="AK16" s="38">
        <f t="shared" ca="1" si="5"/>
        <v>0</v>
      </c>
      <c r="AL16" s="38">
        <f t="shared" ca="1" si="12"/>
        <v>0</v>
      </c>
      <c r="AM16" s="54" t="str">
        <f t="shared" ca="1" si="6"/>
        <v/>
      </c>
      <c r="AN16" s="25" t="e">
        <f t="shared" ca="1" si="13"/>
        <v>#VALUE!</v>
      </c>
      <c r="AO16" s="25" t="e">
        <f t="shared" ca="1" si="14"/>
        <v>#VALUE!</v>
      </c>
      <c r="AP16" s="39" t="str">
        <f t="shared" ca="1" si="7"/>
        <v/>
      </c>
      <c r="AQ16" s="46" t="str">
        <f ca="1">IF(AND(C16&lt;&gt;0, C17=0), SUM($C$2:C16)-SUM($AQ$1:AQ15), "")</f>
        <v/>
      </c>
      <c r="AR16" s="46" t="str">
        <f ca="1">IF(AND(AK16&lt;&gt;0, AK17=0), SUM($AK$2:AK16)-SUM($AR$1:AR15), "")</f>
        <v/>
      </c>
    </row>
    <row r="17" spans="1:44" ht="13.15" customHeight="1">
      <c r="A17" s="62"/>
      <c r="B17" s="68" t="str">
        <f t="shared" si="15"/>
        <v/>
      </c>
      <c r="C17" s="55" cm="1">
        <f t="array" aca="1" ref="C17" ca="1">SUM(IF(ISNUMBER(M17:U17),M17:U17,""))</f>
        <v>0</v>
      </c>
      <c r="D17" s="25" t="str">
        <f t="shared" si="8"/>
        <v/>
      </c>
      <c r="E17" s="25" t="e">
        <f t="shared" si="0"/>
        <v>#VALUE!</v>
      </c>
      <c r="F17" s="25" t="str">
        <f t="shared" si="9"/>
        <v/>
      </c>
      <c r="G17" s="25" t="str">
        <f t="shared" si="1"/>
        <v>.xlsx</v>
      </c>
      <c r="H17" s="29" t="e" cm="1">
        <f t="array" aca="1" ref="H17" ca="1">IF(AND(VALUE(E17)=INDIRECT("'["&amp;G17&amp;"]"&amp;E17&amp;"'!"&amp;$X$2),G17=INDIRECT("'["&amp;G17&amp;"]"&amp;E17&amp;"'!"&amp;$X$3)),INDIRECT("'["&amp;G17&amp;"]"&amp;E17&amp;"'!"&amp;$X$1),0)</f>
        <v>#VALUE!</v>
      </c>
      <c r="I17" s="25" t="str">
        <f t="shared" si="10"/>
        <v/>
      </c>
      <c r="J17" s="32" t="str">
        <f t="shared" si="2"/>
        <v/>
      </c>
      <c r="K17" s="25" t="str">
        <f t="shared" si="3"/>
        <v/>
      </c>
      <c r="L17" s="25" t="str">
        <f t="shared" si="4"/>
        <v/>
      </c>
      <c r="M17" s="33" t="e" cm="1">
        <f t="array" aca="1" ref="M17" ca="1">IF(AND(J17=INDIRECT("'["&amp;G17&amp;"]"&amp;E17&amp;"'!"&amp;$Y$2),G17=INDIRECT("'["&amp;G17&amp;"]"&amp;E17&amp;"'!"&amp;$AH$2)),INDIRECT("'["&amp;G17&amp;"]"&amp;E17&amp;"'!"&amp;$Y$3),0)</f>
        <v>#VALUE!</v>
      </c>
      <c r="N17" s="34" t="e" cm="1">
        <f t="array" aca="1" ref="N17" ca="1">IF(AND(G17=INDIRECT("'["&amp;G17&amp;"]"&amp;E17&amp;"'!"&amp;$AH$2),OR(K17=INDIRECT("'["&amp;G17&amp;"]"&amp;E17&amp;"'!"&amp;$Z$2))),INDIRECT("'["&amp;G17&amp;"]"&amp;E17&amp;"'!"&amp;$Z$3),0)</f>
        <v>#VALUE!</v>
      </c>
      <c r="O17" s="34" t="e" cm="1">
        <f t="array" aca="1" ref="O17" ca="1">IF(AND(G17=INDIRECT("'["&amp;G17&amp;"]"&amp;E17&amp;"'!"&amp;$AH$2),OR(L17=INDIRECT("'["&amp;G17&amp;"]"&amp;E17&amp;"'!"&amp;$AA$2))),INDIRECT("'["&amp;G17&amp;"]"&amp;E17&amp;"'!"&amp;$AA$3),0)</f>
        <v>#VALUE!</v>
      </c>
      <c r="P17" s="34" t="e" cm="1">
        <f t="array" aca="1" ref="P17" ca="1">IF(AND(G17=INDIRECT("'["&amp;G17&amp;"]"&amp;E17&amp;"'!"&amp;$AH$2),OR(VALUE(I17)=INDIRECT("'["&amp;G17&amp;"]"&amp;E17&amp;"'!"&amp;$AB$2))),INDIRECT("'["&amp;G17&amp;"]"&amp;E17&amp;"'!"&amp;$AB$3),0)</f>
        <v>#VALUE!</v>
      </c>
      <c r="Q17" s="34" t="e" cm="1">
        <f t="array" aca="1" ref="Q17" ca="1">IF(AND(G17=INDIRECT("'["&amp;G17&amp;"]"&amp;E17&amp;"'!"&amp;$AH$2),OR(VALUE(I17)=INDIRECT("'["&amp;G17&amp;"]"&amp;E17&amp;"'!"&amp;$AC$2))),INDIRECT("'["&amp;G17&amp;"]"&amp;E17&amp;"'!"&amp;$AC$3),0)</f>
        <v>#VALUE!</v>
      </c>
      <c r="R17" s="34" t="e" cm="1">
        <f t="array" aca="1" ref="R17" ca="1">IF(AND(G17=INDIRECT("'["&amp;G17&amp;"]"&amp;E17&amp;"'!"&amp;$AH$2),OR(I17=INDIRECT("'["&amp;G17&amp;"]"&amp;E17&amp;"'!"&amp;$AD$2))),INDIRECT("'["&amp;G17&amp;"]"&amp;E17&amp;"'!"&amp;$AD$3),0)</f>
        <v>#VALUE!</v>
      </c>
      <c r="S17" s="34" t="e" cm="1">
        <f t="array" aca="1" ref="S17" ca="1">IF(AND(G17=INDIRECT("'["&amp;G17&amp;"]"&amp;E17&amp;"'!"&amp;$AH$2),OR(I17=INDIRECT("'["&amp;G17&amp;"]"&amp;E17&amp;"'!"&amp;$AE$2))),INDIRECT("'["&amp;G17&amp;"]"&amp;E17&amp;"'!"&amp;$AE$3),0)</f>
        <v>#VALUE!</v>
      </c>
      <c r="T17" s="35" t="e" cm="1">
        <f t="array" aca="1" ref="T17" ca="1">IF(AND(G17=INDIRECT("'["&amp;G17&amp;"]"&amp;E17&amp;"'!"&amp;$AH$2),OR(I17=INDIRECT("'["&amp;G17&amp;"]"&amp;E17&amp;"'!"&amp;$AF$2))),INDIRECT("'["&amp;G17&amp;"]"&amp;E17&amp;"'!"&amp;$AF$3),0)</f>
        <v>#VALUE!</v>
      </c>
      <c r="U17" s="34" t="e" cm="1">
        <f t="array" aca="1" ref="U17" ca="1">IF(AND(G17=INDIRECT("'["&amp;G17&amp;"]"&amp;E17&amp;"'!"&amp;$AH$2),OR(I17=INDIRECT("'["&amp;G17&amp;"]"&amp;E17&amp;"'!"&amp;$AG$2))),INDIRECT("'["&amp;G17&amp;"]"&amp;E17&amp;"'!"&amp;$AG$3),0)</f>
        <v>#VALUE!</v>
      </c>
      <c r="V17" s="25" t="str">
        <f t="shared" si="11"/>
        <v/>
      </c>
      <c r="W17" s="36" t="e" cm="1">
        <f t="array" aca="1" ref="W17" ca="1">IF(AND(G17=INDIRECT("'["&amp;G17&amp;"]"&amp;E17&amp;"'!"&amp;$AH$2),OR(V17=INDIRECT("'["&amp;G17&amp;"]"&amp;E17&amp;"'!"&amp;$AI$2))),INDIRECT("'["&amp;G17&amp;"]"&amp;E17&amp;"'!"&amp;$AI$3),0)</f>
        <v>#VALUE!</v>
      </c>
      <c r="AJ17" s="25">
        <v>1</v>
      </c>
      <c r="AK17" s="38">
        <f t="shared" ca="1" si="5"/>
        <v>0</v>
      </c>
      <c r="AL17" s="38">
        <f t="shared" ca="1" si="12"/>
        <v>0</v>
      </c>
      <c r="AM17" s="54" t="str">
        <f t="shared" ca="1" si="6"/>
        <v/>
      </c>
      <c r="AN17" s="25" t="e">
        <f t="shared" ca="1" si="13"/>
        <v>#VALUE!</v>
      </c>
      <c r="AO17" s="25" t="e">
        <f t="shared" ca="1" si="14"/>
        <v>#VALUE!</v>
      </c>
      <c r="AP17" s="39" t="str">
        <f t="shared" ca="1" si="7"/>
        <v/>
      </c>
      <c r="AQ17" s="46" t="str">
        <f ca="1">IF(AND(C17&lt;&gt;0, C18=0), SUM($C$2:C17)-SUM($AQ$1:AQ16), "")</f>
        <v/>
      </c>
      <c r="AR17" s="46" t="str">
        <f ca="1">IF(AND(AK17&lt;&gt;0, AK18=0), SUM($AK$2:AK17)-SUM($AR$1:AR16), "")</f>
        <v/>
      </c>
    </row>
    <row r="18" spans="1:44" ht="13.15" customHeight="1">
      <c r="A18" s="62"/>
      <c r="B18" s="68" t="str">
        <f t="shared" si="15"/>
        <v/>
      </c>
      <c r="C18" s="55" cm="1">
        <f t="array" aca="1" ref="C18" ca="1">SUM(IF(ISNUMBER(M18:U18),M18:U18,""))</f>
        <v>0</v>
      </c>
      <c r="D18" s="25" t="str">
        <f t="shared" si="8"/>
        <v/>
      </c>
      <c r="E18" s="25" t="e">
        <f t="shared" si="0"/>
        <v>#VALUE!</v>
      </c>
      <c r="F18" s="25" t="str">
        <f t="shared" si="9"/>
        <v/>
      </c>
      <c r="G18" s="25" t="str">
        <f t="shared" si="1"/>
        <v>.xlsx</v>
      </c>
      <c r="H18" s="29" t="e" cm="1">
        <f t="array" aca="1" ref="H18" ca="1">IF(AND(VALUE(E18)=INDIRECT("'["&amp;G18&amp;"]"&amp;E18&amp;"'!"&amp;$X$2),G18=INDIRECT("'["&amp;G18&amp;"]"&amp;E18&amp;"'!"&amp;$X$3)),INDIRECT("'["&amp;G18&amp;"]"&amp;E18&amp;"'!"&amp;$X$1),0)</f>
        <v>#VALUE!</v>
      </c>
      <c r="I18" s="25" t="str">
        <f t="shared" si="10"/>
        <v/>
      </c>
      <c r="J18" s="32" t="str">
        <f t="shared" si="2"/>
        <v/>
      </c>
      <c r="K18" s="25" t="str">
        <f t="shared" si="3"/>
        <v/>
      </c>
      <c r="L18" s="25" t="str">
        <f t="shared" si="4"/>
        <v/>
      </c>
      <c r="M18" s="33" t="e" cm="1">
        <f t="array" aca="1" ref="M18" ca="1">IF(AND(J18=INDIRECT("'["&amp;G18&amp;"]"&amp;E18&amp;"'!"&amp;$Y$2),G18=INDIRECT("'["&amp;G18&amp;"]"&amp;E18&amp;"'!"&amp;$AH$2)),INDIRECT("'["&amp;G18&amp;"]"&amp;E18&amp;"'!"&amp;$Y$3),0)</f>
        <v>#VALUE!</v>
      </c>
      <c r="N18" s="34" t="e" cm="1">
        <f t="array" aca="1" ref="N18" ca="1">IF(AND(G18=INDIRECT("'["&amp;G18&amp;"]"&amp;E18&amp;"'!"&amp;$AH$2),OR(K18=INDIRECT("'["&amp;G18&amp;"]"&amp;E18&amp;"'!"&amp;$Z$2))),INDIRECT("'["&amp;G18&amp;"]"&amp;E18&amp;"'!"&amp;$Z$3),0)</f>
        <v>#VALUE!</v>
      </c>
      <c r="O18" s="34" t="e" cm="1">
        <f t="array" aca="1" ref="O18" ca="1">IF(AND(G18=INDIRECT("'["&amp;G18&amp;"]"&amp;E18&amp;"'!"&amp;$AH$2),OR(L18=INDIRECT("'["&amp;G18&amp;"]"&amp;E18&amp;"'!"&amp;$AA$2))),INDIRECT("'["&amp;G18&amp;"]"&amp;E18&amp;"'!"&amp;$AA$3),0)</f>
        <v>#VALUE!</v>
      </c>
      <c r="P18" s="34" t="e" cm="1">
        <f t="array" aca="1" ref="P18" ca="1">IF(AND(G18=INDIRECT("'["&amp;G18&amp;"]"&amp;E18&amp;"'!"&amp;$AH$2),OR(VALUE(I18)=INDIRECT("'["&amp;G18&amp;"]"&amp;E18&amp;"'!"&amp;$AB$2))),INDIRECT("'["&amp;G18&amp;"]"&amp;E18&amp;"'!"&amp;$AB$3),0)</f>
        <v>#VALUE!</v>
      </c>
      <c r="Q18" s="34" t="e" cm="1">
        <f t="array" aca="1" ref="Q18" ca="1">IF(AND(G18=INDIRECT("'["&amp;G18&amp;"]"&amp;E18&amp;"'!"&amp;$AH$2),OR(VALUE(I18)=INDIRECT("'["&amp;G18&amp;"]"&amp;E18&amp;"'!"&amp;$AC$2))),INDIRECT("'["&amp;G18&amp;"]"&amp;E18&amp;"'!"&amp;$AC$3),0)</f>
        <v>#VALUE!</v>
      </c>
      <c r="R18" s="34" t="e" cm="1">
        <f t="array" aca="1" ref="R18" ca="1">IF(AND(G18=INDIRECT("'["&amp;G18&amp;"]"&amp;E18&amp;"'!"&amp;$AH$2),OR(I18=INDIRECT("'["&amp;G18&amp;"]"&amp;E18&amp;"'!"&amp;$AD$2))),INDIRECT("'["&amp;G18&amp;"]"&amp;E18&amp;"'!"&amp;$AD$3),0)</f>
        <v>#VALUE!</v>
      </c>
      <c r="S18" s="34" t="e" cm="1">
        <f t="array" aca="1" ref="S18" ca="1">IF(AND(G18=INDIRECT("'["&amp;G18&amp;"]"&amp;E18&amp;"'!"&amp;$AH$2),OR(I18=INDIRECT("'["&amp;G18&amp;"]"&amp;E18&amp;"'!"&amp;$AE$2))),INDIRECT("'["&amp;G18&amp;"]"&amp;E18&amp;"'!"&amp;$AE$3),0)</f>
        <v>#VALUE!</v>
      </c>
      <c r="T18" s="35" t="e" cm="1">
        <f t="array" aca="1" ref="T18" ca="1">IF(AND(G18=INDIRECT("'["&amp;G18&amp;"]"&amp;E18&amp;"'!"&amp;$AH$2),OR(I18=INDIRECT("'["&amp;G18&amp;"]"&amp;E18&amp;"'!"&amp;$AF$2))),INDIRECT("'["&amp;G18&amp;"]"&amp;E18&amp;"'!"&amp;$AF$3),0)</f>
        <v>#VALUE!</v>
      </c>
      <c r="U18" s="34" t="e" cm="1">
        <f t="array" aca="1" ref="U18" ca="1">IF(AND(G18=INDIRECT("'["&amp;G18&amp;"]"&amp;E18&amp;"'!"&amp;$AH$2),OR(I18=INDIRECT("'["&amp;G18&amp;"]"&amp;E18&amp;"'!"&amp;$AG$2))),INDIRECT("'["&amp;G18&amp;"]"&amp;E18&amp;"'!"&amp;$AG$3),0)</f>
        <v>#VALUE!</v>
      </c>
      <c r="V18" s="25" t="str">
        <f t="shared" si="11"/>
        <v/>
      </c>
      <c r="W18" s="36" t="e" cm="1">
        <f t="array" aca="1" ref="W18" ca="1">IF(AND(G18=INDIRECT("'["&amp;G18&amp;"]"&amp;E18&amp;"'!"&amp;$AH$2),OR(V18=INDIRECT("'["&amp;G18&amp;"]"&amp;E18&amp;"'!"&amp;$AI$2))),INDIRECT("'["&amp;G18&amp;"]"&amp;E18&amp;"'!"&amp;$AI$3),0)</f>
        <v>#VALUE!</v>
      </c>
      <c r="AJ18" s="25">
        <v>1</v>
      </c>
      <c r="AK18" s="38">
        <f t="shared" ca="1" si="5"/>
        <v>0</v>
      </c>
      <c r="AL18" s="38">
        <f t="shared" ca="1" si="12"/>
        <v>0</v>
      </c>
      <c r="AM18" s="54" t="str">
        <f t="shared" ca="1" si="6"/>
        <v/>
      </c>
      <c r="AN18" s="25" t="e">
        <f t="shared" ca="1" si="13"/>
        <v>#VALUE!</v>
      </c>
      <c r="AO18" s="25" t="e">
        <f t="shared" ca="1" si="14"/>
        <v>#VALUE!</v>
      </c>
      <c r="AP18" s="39" t="str">
        <f t="shared" ca="1" si="7"/>
        <v/>
      </c>
      <c r="AQ18" s="46" t="str">
        <f ca="1">IF(AND(C18&lt;&gt;0, C19=0), SUM($C$2:C18)-SUM($AQ$1:AQ17), "")</f>
        <v/>
      </c>
      <c r="AR18" s="46" t="str">
        <f ca="1">IF(AND(AK18&lt;&gt;0, AK19=0), SUM($AK$2:AK18)-SUM($AR$1:AR17), "")</f>
        <v/>
      </c>
    </row>
    <row r="19" spans="1:44" ht="13.15" customHeight="1">
      <c r="A19" s="62"/>
      <c r="B19" s="68" t="str">
        <f t="shared" si="15"/>
        <v/>
      </c>
      <c r="C19" s="55" cm="1">
        <f t="array" aca="1" ref="C19" ca="1">SUM(IF(ISNUMBER(M19:U19),M19:U19,""))</f>
        <v>0</v>
      </c>
      <c r="D19" s="25" t="str">
        <f t="shared" si="8"/>
        <v/>
      </c>
      <c r="E19" s="25" t="e">
        <f t="shared" si="0"/>
        <v>#VALUE!</v>
      </c>
      <c r="F19" s="25" t="str">
        <f t="shared" si="9"/>
        <v/>
      </c>
      <c r="G19" s="25" t="str">
        <f t="shared" si="1"/>
        <v>.xlsx</v>
      </c>
      <c r="H19" s="29" t="e" cm="1">
        <f t="array" aca="1" ref="H19" ca="1">IF(AND(VALUE(E19)=INDIRECT("'["&amp;G19&amp;"]"&amp;E19&amp;"'!"&amp;$X$2),G19=INDIRECT("'["&amp;G19&amp;"]"&amp;E19&amp;"'!"&amp;$X$3)),INDIRECT("'["&amp;G19&amp;"]"&amp;E19&amp;"'!"&amp;$X$1),0)</f>
        <v>#VALUE!</v>
      </c>
      <c r="I19" s="25" t="str">
        <f t="shared" si="10"/>
        <v/>
      </c>
      <c r="J19" s="32" t="str">
        <f t="shared" si="2"/>
        <v/>
      </c>
      <c r="K19" s="25" t="str">
        <f t="shared" si="3"/>
        <v/>
      </c>
      <c r="L19" s="25" t="str">
        <f t="shared" si="4"/>
        <v/>
      </c>
      <c r="M19" s="33" t="e" cm="1">
        <f t="array" aca="1" ref="M19" ca="1">IF(AND(J19=INDIRECT("'["&amp;G19&amp;"]"&amp;E19&amp;"'!"&amp;$Y$2),G19=INDIRECT("'["&amp;G19&amp;"]"&amp;E19&amp;"'!"&amp;$AH$2)),INDIRECT("'["&amp;G19&amp;"]"&amp;E19&amp;"'!"&amp;$Y$3),0)</f>
        <v>#VALUE!</v>
      </c>
      <c r="N19" s="34" t="e" cm="1">
        <f t="array" aca="1" ref="N19" ca="1">IF(AND(G19=INDIRECT("'["&amp;G19&amp;"]"&amp;E19&amp;"'!"&amp;$AH$2),OR(K19=INDIRECT("'["&amp;G19&amp;"]"&amp;E19&amp;"'!"&amp;$Z$2))),INDIRECT("'["&amp;G19&amp;"]"&amp;E19&amp;"'!"&amp;$Z$3),0)</f>
        <v>#VALUE!</v>
      </c>
      <c r="O19" s="34" t="e" cm="1">
        <f t="array" aca="1" ref="O19" ca="1">IF(AND(G19=INDIRECT("'["&amp;G19&amp;"]"&amp;E19&amp;"'!"&amp;$AH$2),OR(L19=INDIRECT("'["&amp;G19&amp;"]"&amp;E19&amp;"'!"&amp;$AA$2))),INDIRECT("'["&amp;G19&amp;"]"&amp;E19&amp;"'!"&amp;$AA$3),0)</f>
        <v>#VALUE!</v>
      </c>
      <c r="P19" s="34" t="e" cm="1">
        <f t="array" aca="1" ref="P19" ca="1">IF(AND(G19=INDIRECT("'["&amp;G19&amp;"]"&amp;E19&amp;"'!"&amp;$AH$2),OR(VALUE(I19)=INDIRECT("'["&amp;G19&amp;"]"&amp;E19&amp;"'!"&amp;$AB$2))),INDIRECT("'["&amp;G19&amp;"]"&amp;E19&amp;"'!"&amp;$AB$3),0)</f>
        <v>#VALUE!</v>
      </c>
      <c r="Q19" s="34" t="e" cm="1">
        <f t="array" aca="1" ref="Q19" ca="1">IF(AND(G19=INDIRECT("'["&amp;G19&amp;"]"&amp;E19&amp;"'!"&amp;$AH$2),OR(VALUE(I19)=INDIRECT("'["&amp;G19&amp;"]"&amp;E19&amp;"'!"&amp;$AC$2))),INDIRECT("'["&amp;G19&amp;"]"&amp;E19&amp;"'!"&amp;$AC$3),0)</f>
        <v>#VALUE!</v>
      </c>
      <c r="R19" s="34" t="e" cm="1">
        <f t="array" aca="1" ref="R19" ca="1">IF(AND(G19=INDIRECT("'["&amp;G19&amp;"]"&amp;E19&amp;"'!"&amp;$AH$2),OR(I19=INDIRECT("'["&amp;G19&amp;"]"&amp;E19&amp;"'!"&amp;$AD$2))),INDIRECT("'["&amp;G19&amp;"]"&amp;E19&amp;"'!"&amp;$AD$3),0)</f>
        <v>#VALUE!</v>
      </c>
      <c r="S19" s="34" t="e" cm="1">
        <f t="array" aca="1" ref="S19" ca="1">IF(AND(G19=INDIRECT("'["&amp;G19&amp;"]"&amp;E19&amp;"'!"&amp;$AH$2),OR(I19=INDIRECT("'["&amp;G19&amp;"]"&amp;E19&amp;"'!"&amp;$AE$2))),INDIRECT("'["&amp;G19&amp;"]"&amp;E19&amp;"'!"&amp;$AE$3),0)</f>
        <v>#VALUE!</v>
      </c>
      <c r="T19" s="35" t="e" cm="1">
        <f t="array" aca="1" ref="T19" ca="1">IF(AND(G19=INDIRECT("'["&amp;G19&amp;"]"&amp;E19&amp;"'!"&amp;$AH$2),OR(I19=INDIRECT("'["&amp;G19&amp;"]"&amp;E19&amp;"'!"&amp;$AF$2))),INDIRECT("'["&amp;G19&amp;"]"&amp;E19&amp;"'!"&amp;$AF$3),0)</f>
        <v>#VALUE!</v>
      </c>
      <c r="U19" s="34" t="e" cm="1">
        <f t="array" aca="1" ref="U19" ca="1">IF(AND(G19=INDIRECT("'["&amp;G19&amp;"]"&amp;E19&amp;"'!"&amp;$AH$2),OR(I19=INDIRECT("'["&amp;G19&amp;"]"&amp;E19&amp;"'!"&amp;$AG$2))),INDIRECT("'["&amp;G19&amp;"]"&amp;E19&amp;"'!"&amp;$AG$3),0)</f>
        <v>#VALUE!</v>
      </c>
      <c r="V19" s="25" t="str">
        <f t="shared" si="11"/>
        <v/>
      </c>
      <c r="W19" s="36" t="e" cm="1">
        <f t="array" aca="1" ref="W19" ca="1">IF(AND(G19=INDIRECT("'["&amp;G19&amp;"]"&amp;E19&amp;"'!"&amp;$AH$2),OR(V19=INDIRECT("'["&amp;G19&amp;"]"&amp;E19&amp;"'!"&amp;$AI$2))),INDIRECT("'["&amp;G19&amp;"]"&amp;E19&amp;"'!"&amp;$AI$3),0)</f>
        <v>#VALUE!</v>
      </c>
      <c r="AJ19" s="25">
        <v>1</v>
      </c>
      <c r="AK19" s="38">
        <f t="shared" ca="1" si="5"/>
        <v>0</v>
      </c>
      <c r="AL19" s="38">
        <f t="shared" ca="1" si="12"/>
        <v>0</v>
      </c>
      <c r="AM19" s="54" t="str">
        <f t="shared" ca="1" si="6"/>
        <v/>
      </c>
      <c r="AN19" s="25" t="e">
        <f t="shared" ca="1" si="13"/>
        <v>#VALUE!</v>
      </c>
      <c r="AO19" s="25" t="e">
        <f t="shared" ca="1" si="14"/>
        <v>#VALUE!</v>
      </c>
      <c r="AP19" s="39" t="str">
        <f t="shared" ca="1" si="7"/>
        <v/>
      </c>
      <c r="AQ19" s="46" t="str">
        <f ca="1">IF(AND(C19&lt;&gt;0, C20=0), SUM($C$2:C19)-SUM($AQ$1:AQ18), "")</f>
        <v/>
      </c>
      <c r="AR19" s="46" t="str">
        <f ca="1">IF(AND(AK19&lt;&gt;0, AK20=0), SUM($AK$2:AK19)-SUM($AR$1:AR18), "")</f>
        <v/>
      </c>
    </row>
    <row r="20" spans="1:44" ht="13.15" customHeight="1">
      <c r="A20" s="62"/>
      <c r="B20" s="68" t="str">
        <f t="shared" si="15"/>
        <v/>
      </c>
      <c r="C20" s="55" cm="1">
        <f t="array" aca="1" ref="C20" ca="1">SUM(IF(ISNUMBER(M20:U20),M20:U20,""))</f>
        <v>0</v>
      </c>
      <c r="D20" s="25" t="str">
        <f t="shared" si="8"/>
        <v/>
      </c>
      <c r="E20" s="25" t="e">
        <f t="shared" si="0"/>
        <v>#VALUE!</v>
      </c>
      <c r="F20" s="25" t="str">
        <f t="shared" si="9"/>
        <v/>
      </c>
      <c r="G20" s="25" t="str">
        <f t="shared" si="1"/>
        <v>.xlsx</v>
      </c>
      <c r="H20" s="29" t="e" cm="1">
        <f t="array" aca="1" ref="H20" ca="1">IF(AND(VALUE(E20)=INDIRECT("'["&amp;G20&amp;"]"&amp;E20&amp;"'!"&amp;$X$2),G20=INDIRECT("'["&amp;G20&amp;"]"&amp;E20&amp;"'!"&amp;$X$3)),INDIRECT("'["&amp;G20&amp;"]"&amp;E20&amp;"'!"&amp;$X$1),0)</f>
        <v>#VALUE!</v>
      </c>
      <c r="I20" s="25" t="str">
        <f t="shared" si="10"/>
        <v/>
      </c>
      <c r="J20" s="32" t="str">
        <f t="shared" si="2"/>
        <v/>
      </c>
      <c r="K20" s="25" t="str">
        <f t="shared" si="3"/>
        <v/>
      </c>
      <c r="L20" s="25" t="str">
        <f t="shared" si="4"/>
        <v/>
      </c>
      <c r="M20" s="33" t="e" cm="1">
        <f t="array" aca="1" ref="M20" ca="1">IF(AND(J20=INDIRECT("'["&amp;G20&amp;"]"&amp;E20&amp;"'!"&amp;$Y$2),G20=INDIRECT("'["&amp;G20&amp;"]"&amp;E20&amp;"'!"&amp;$AH$2)),INDIRECT("'["&amp;G20&amp;"]"&amp;E20&amp;"'!"&amp;$Y$3),0)</f>
        <v>#VALUE!</v>
      </c>
      <c r="N20" s="34" t="e" cm="1">
        <f t="array" aca="1" ref="N20" ca="1">IF(AND(G20=INDIRECT("'["&amp;G20&amp;"]"&amp;E20&amp;"'!"&amp;$AH$2),OR(K20=INDIRECT("'["&amp;G20&amp;"]"&amp;E20&amp;"'!"&amp;$Z$2))),INDIRECT("'["&amp;G20&amp;"]"&amp;E20&amp;"'!"&amp;$Z$3),0)</f>
        <v>#VALUE!</v>
      </c>
      <c r="O20" s="34" t="e" cm="1">
        <f t="array" aca="1" ref="O20" ca="1">IF(AND(G20=INDIRECT("'["&amp;G20&amp;"]"&amp;E20&amp;"'!"&amp;$AH$2),OR(L20=INDIRECT("'["&amp;G20&amp;"]"&amp;E20&amp;"'!"&amp;$AA$2))),INDIRECT("'["&amp;G20&amp;"]"&amp;E20&amp;"'!"&amp;$AA$3),0)</f>
        <v>#VALUE!</v>
      </c>
      <c r="P20" s="34" t="e" cm="1">
        <f t="array" aca="1" ref="P20" ca="1">IF(AND(G20=INDIRECT("'["&amp;G20&amp;"]"&amp;E20&amp;"'!"&amp;$AH$2),OR(VALUE(I20)=INDIRECT("'["&amp;G20&amp;"]"&amp;E20&amp;"'!"&amp;$AB$2))),INDIRECT("'["&amp;G20&amp;"]"&amp;E20&amp;"'!"&amp;$AB$3),0)</f>
        <v>#VALUE!</v>
      </c>
      <c r="Q20" s="34" t="e" cm="1">
        <f t="array" aca="1" ref="Q20" ca="1">IF(AND(G20=INDIRECT("'["&amp;G20&amp;"]"&amp;E20&amp;"'!"&amp;$AH$2),OR(VALUE(I20)=INDIRECT("'["&amp;G20&amp;"]"&amp;E20&amp;"'!"&amp;$AC$2))),INDIRECT("'["&amp;G20&amp;"]"&amp;E20&amp;"'!"&amp;$AC$3),0)</f>
        <v>#VALUE!</v>
      </c>
      <c r="R20" s="34" t="e" cm="1">
        <f t="array" aca="1" ref="R20" ca="1">IF(AND(G20=INDIRECT("'["&amp;G20&amp;"]"&amp;E20&amp;"'!"&amp;$AH$2),OR(I20=INDIRECT("'["&amp;G20&amp;"]"&amp;E20&amp;"'!"&amp;$AD$2))),INDIRECT("'["&amp;G20&amp;"]"&amp;E20&amp;"'!"&amp;$AD$3),0)</f>
        <v>#VALUE!</v>
      </c>
      <c r="S20" s="34" t="e" cm="1">
        <f t="array" aca="1" ref="S20" ca="1">IF(AND(G20=INDIRECT("'["&amp;G20&amp;"]"&amp;E20&amp;"'!"&amp;$AH$2),OR(I20=INDIRECT("'["&amp;G20&amp;"]"&amp;E20&amp;"'!"&amp;$AE$2))),INDIRECT("'["&amp;G20&amp;"]"&amp;E20&amp;"'!"&amp;$AE$3),0)</f>
        <v>#VALUE!</v>
      </c>
      <c r="T20" s="35" t="e" cm="1">
        <f t="array" aca="1" ref="T20" ca="1">IF(AND(G20=INDIRECT("'["&amp;G20&amp;"]"&amp;E20&amp;"'!"&amp;$AH$2),OR(I20=INDIRECT("'["&amp;G20&amp;"]"&amp;E20&amp;"'!"&amp;$AF$2))),INDIRECT("'["&amp;G20&amp;"]"&amp;E20&amp;"'!"&amp;$AF$3),0)</f>
        <v>#VALUE!</v>
      </c>
      <c r="U20" s="34" t="e" cm="1">
        <f t="array" aca="1" ref="U20" ca="1">IF(AND(G20=INDIRECT("'["&amp;G20&amp;"]"&amp;E20&amp;"'!"&amp;$AH$2),OR(I20=INDIRECT("'["&amp;G20&amp;"]"&amp;E20&amp;"'!"&amp;$AG$2))),INDIRECT("'["&amp;G20&amp;"]"&amp;E20&amp;"'!"&amp;$AG$3),0)</f>
        <v>#VALUE!</v>
      </c>
      <c r="V20" s="25" t="str">
        <f t="shared" si="11"/>
        <v/>
      </c>
      <c r="W20" s="36" t="e" cm="1">
        <f t="array" aca="1" ref="W20" ca="1">IF(AND(G20=INDIRECT("'["&amp;G20&amp;"]"&amp;E20&amp;"'!"&amp;$AH$2),OR(V20=INDIRECT("'["&amp;G20&amp;"]"&amp;E20&amp;"'!"&amp;$AI$2))),INDIRECT("'["&amp;G20&amp;"]"&amp;E20&amp;"'!"&amp;$AI$3),0)</f>
        <v>#VALUE!</v>
      </c>
      <c r="AJ20" s="25">
        <v>1</v>
      </c>
      <c r="AK20" s="38">
        <f t="shared" ca="1" si="5"/>
        <v>0</v>
      </c>
      <c r="AL20" s="38">
        <f t="shared" ca="1" si="12"/>
        <v>0</v>
      </c>
      <c r="AM20" s="54" t="str">
        <f t="shared" ca="1" si="6"/>
        <v/>
      </c>
      <c r="AN20" s="25" t="e">
        <f t="shared" ca="1" si="13"/>
        <v>#VALUE!</v>
      </c>
      <c r="AO20" s="25" t="e">
        <f t="shared" ca="1" si="14"/>
        <v>#VALUE!</v>
      </c>
      <c r="AP20" s="39" t="str">
        <f t="shared" ca="1" si="7"/>
        <v/>
      </c>
      <c r="AQ20" s="46" t="str">
        <f ca="1">IF(AND(C20&lt;&gt;0, C21=0), SUM($C$2:C20)-SUM($AQ$1:AQ19), "")</f>
        <v/>
      </c>
      <c r="AR20" s="46" t="str">
        <f ca="1">IF(AND(AK20&lt;&gt;0, AK21=0), SUM($AK$2:AK20)-SUM($AR$1:AR19), "")</f>
        <v/>
      </c>
    </row>
    <row r="21" spans="1:44" ht="13.15" customHeight="1">
      <c r="A21" s="62"/>
      <c r="B21" s="68" t="str">
        <f t="shared" si="15"/>
        <v/>
      </c>
      <c r="C21" s="55" cm="1">
        <f t="array" aca="1" ref="C21" ca="1">SUM(IF(ISNUMBER(M21:U21),M21:U21,""))</f>
        <v>0</v>
      </c>
      <c r="D21" s="25" t="str">
        <f t="shared" si="8"/>
        <v/>
      </c>
      <c r="E21" s="25" t="e">
        <f t="shared" si="0"/>
        <v>#VALUE!</v>
      </c>
      <c r="F21" s="25" t="str">
        <f t="shared" si="9"/>
        <v/>
      </c>
      <c r="G21" s="25" t="str">
        <f t="shared" si="1"/>
        <v>.xlsx</v>
      </c>
      <c r="H21" s="29" t="e" cm="1">
        <f t="array" aca="1" ref="H21" ca="1">IF(AND(VALUE(E21)=INDIRECT("'["&amp;G21&amp;"]"&amp;E21&amp;"'!"&amp;$X$2),G21=INDIRECT("'["&amp;G21&amp;"]"&amp;E21&amp;"'!"&amp;$X$3)),INDIRECT("'["&amp;G21&amp;"]"&amp;E21&amp;"'!"&amp;$X$1),0)</f>
        <v>#VALUE!</v>
      </c>
      <c r="I21" s="25" t="str">
        <f t="shared" si="10"/>
        <v/>
      </c>
      <c r="J21" s="32" t="str">
        <f t="shared" si="2"/>
        <v/>
      </c>
      <c r="K21" s="25" t="str">
        <f t="shared" si="3"/>
        <v/>
      </c>
      <c r="L21" s="25" t="str">
        <f t="shared" si="4"/>
        <v/>
      </c>
      <c r="M21" s="33" t="e" cm="1">
        <f t="array" aca="1" ref="M21" ca="1">IF(AND(J21=INDIRECT("'["&amp;G21&amp;"]"&amp;E21&amp;"'!"&amp;$Y$2),G21=INDIRECT("'["&amp;G21&amp;"]"&amp;E21&amp;"'!"&amp;$AH$2)),INDIRECT("'["&amp;G21&amp;"]"&amp;E21&amp;"'!"&amp;$Y$3),0)</f>
        <v>#VALUE!</v>
      </c>
      <c r="N21" s="34" t="e" cm="1">
        <f t="array" aca="1" ref="N21" ca="1">IF(AND(G21=INDIRECT("'["&amp;G21&amp;"]"&amp;E21&amp;"'!"&amp;$AH$2),OR(K21=INDIRECT("'["&amp;G21&amp;"]"&amp;E21&amp;"'!"&amp;$Z$2))),INDIRECT("'["&amp;G21&amp;"]"&amp;E21&amp;"'!"&amp;$Z$3),0)</f>
        <v>#VALUE!</v>
      </c>
      <c r="O21" s="34" t="e" cm="1">
        <f t="array" aca="1" ref="O21" ca="1">IF(AND(G21=INDIRECT("'["&amp;G21&amp;"]"&amp;E21&amp;"'!"&amp;$AH$2),OR(L21=INDIRECT("'["&amp;G21&amp;"]"&amp;E21&amp;"'!"&amp;$AA$2))),INDIRECT("'["&amp;G21&amp;"]"&amp;E21&amp;"'!"&amp;$AA$3),0)</f>
        <v>#VALUE!</v>
      </c>
      <c r="P21" s="34" t="e" cm="1">
        <f t="array" aca="1" ref="P21" ca="1">IF(AND(G21=INDIRECT("'["&amp;G21&amp;"]"&amp;E21&amp;"'!"&amp;$AH$2),OR(VALUE(I21)=INDIRECT("'["&amp;G21&amp;"]"&amp;E21&amp;"'!"&amp;$AB$2))),INDIRECT("'["&amp;G21&amp;"]"&amp;E21&amp;"'!"&amp;$AB$3),0)</f>
        <v>#VALUE!</v>
      </c>
      <c r="Q21" s="34" t="e" cm="1">
        <f t="array" aca="1" ref="Q21" ca="1">IF(AND(G21=INDIRECT("'["&amp;G21&amp;"]"&amp;E21&amp;"'!"&amp;$AH$2),OR(VALUE(I21)=INDIRECT("'["&amp;G21&amp;"]"&amp;E21&amp;"'!"&amp;$AC$2))),INDIRECT("'["&amp;G21&amp;"]"&amp;E21&amp;"'!"&amp;$AC$3),0)</f>
        <v>#VALUE!</v>
      </c>
      <c r="R21" s="34" t="e" cm="1">
        <f t="array" aca="1" ref="R21" ca="1">IF(AND(G21=INDIRECT("'["&amp;G21&amp;"]"&amp;E21&amp;"'!"&amp;$AH$2),OR(I21=INDIRECT("'["&amp;G21&amp;"]"&amp;E21&amp;"'!"&amp;$AD$2))),INDIRECT("'["&amp;G21&amp;"]"&amp;E21&amp;"'!"&amp;$AD$3),0)</f>
        <v>#VALUE!</v>
      </c>
      <c r="S21" s="34" t="e" cm="1">
        <f t="array" aca="1" ref="S21" ca="1">IF(AND(G21=INDIRECT("'["&amp;G21&amp;"]"&amp;E21&amp;"'!"&amp;$AH$2),OR(I21=INDIRECT("'["&amp;G21&amp;"]"&amp;E21&amp;"'!"&amp;$AE$2))),INDIRECT("'["&amp;G21&amp;"]"&amp;E21&amp;"'!"&amp;$AE$3),0)</f>
        <v>#VALUE!</v>
      </c>
      <c r="T21" s="35" t="e" cm="1">
        <f t="array" aca="1" ref="T21" ca="1">IF(AND(G21=INDIRECT("'["&amp;G21&amp;"]"&amp;E21&amp;"'!"&amp;$AH$2),OR(I21=INDIRECT("'["&amp;G21&amp;"]"&amp;E21&amp;"'!"&amp;$AF$2))),INDIRECT("'["&amp;G21&amp;"]"&amp;E21&amp;"'!"&amp;$AF$3),0)</f>
        <v>#VALUE!</v>
      </c>
      <c r="U21" s="34" t="e" cm="1">
        <f t="array" aca="1" ref="U21" ca="1">IF(AND(G21=INDIRECT("'["&amp;G21&amp;"]"&amp;E21&amp;"'!"&amp;$AH$2),OR(I21=INDIRECT("'["&amp;G21&amp;"]"&amp;E21&amp;"'!"&amp;$AG$2))),INDIRECT("'["&amp;G21&amp;"]"&amp;E21&amp;"'!"&amp;$AG$3),0)</f>
        <v>#VALUE!</v>
      </c>
      <c r="V21" s="25" t="str">
        <f t="shared" si="11"/>
        <v/>
      </c>
      <c r="W21" s="36" t="e" cm="1">
        <f t="array" aca="1" ref="W21" ca="1">IF(AND(G21=INDIRECT("'["&amp;G21&amp;"]"&amp;E21&amp;"'!"&amp;$AH$2),OR(V21=INDIRECT("'["&amp;G21&amp;"]"&amp;E21&amp;"'!"&amp;$AI$2))),INDIRECT("'["&amp;G21&amp;"]"&amp;E21&amp;"'!"&amp;$AI$3),0)</f>
        <v>#VALUE!</v>
      </c>
      <c r="AJ21" s="25">
        <v>1</v>
      </c>
      <c r="AK21" s="38">
        <f t="shared" ca="1" si="5"/>
        <v>0</v>
      </c>
      <c r="AL21" s="38">
        <f t="shared" ca="1" si="12"/>
        <v>0</v>
      </c>
      <c r="AM21" s="54" t="str">
        <f t="shared" ca="1" si="6"/>
        <v/>
      </c>
      <c r="AN21" s="25" t="e">
        <f t="shared" ca="1" si="13"/>
        <v>#VALUE!</v>
      </c>
      <c r="AO21" s="25" t="e">
        <f t="shared" ca="1" si="14"/>
        <v>#VALUE!</v>
      </c>
      <c r="AP21" s="39" t="str">
        <f t="shared" ca="1" si="7"/>
        <v/>
      </c>
      <c r="AQ21" s="46" t="str">
        <f ca="1">IF(AND(C21&lt;&gt;0, C22=0), SUM($C$2:C21)-SUM($AQ$1:AQ20), "")</f>
        <v/>
      </c>
      <c r="AR21" s="46" t="str">
        <f ca="1">IF(AND(AK21&lt;&gt;0, AK22=0), SUM($AK$2:AK21)-SUM($AR$1:AR20), "")</f>
        <v/>
      </c>
    </row>
    <row r="22" spans="1:44" ht="13.15" customHeight="1">
      <c r="A22" s="62"/>
      <c r="B22" s="68" t="str">
        <f t="shared" si="15"/>
        <v/>
      </c>
      <c r="C22" s="55" cm="1">
        <f t="array" aca="1" ref="C22" ca="1">SUM(IF(ISNUMBER(M22:U22),M22:U22,""))</f>
        <v>0</v>
      </c>
      <c r="D22" s="25" t="str">
        <f t="shared" si="8"/>
        <v/>
      </c>
      <c r="E22" s="25" t="e">
        <f t="shared" si="0"/>
        <v>#VALUE!</v>
      </c>
      <c r="F22" s="25" t="str">
        <f t="shared" si="9"/>
        <v/>
      </c>
      <c r="G22" s="25" t="str">
        <f t="shared" si="1"/>
        <v>.xlsx</v>
      </c>
      <c r="H22" s="29" t="e" cm="1">
        <f t="array" aca="1" ref="H22" ca="1">IF(AND(VALUE(E22)=INDIRECT("'["&amp;G22&amp;"]"&amp;E22&amp;"'!"&amp;$X$2),G22=INDIRECT("'["&amp;G22&amp;"]"&amp;E22&amp;"'!"&amp;$X$3)),INDIRECT("'["&amp;G22&amp;"]"&amp;E22&amp;"'!"&amp;$X$1),0)</f>
        <v>#VALUE!</v>
      </c>
      <c r="I22" s="25" t="str">
        <f t="shared" si="10"/>
        <v/>
      </c>
      <c r="J22" s="32" t="str">
        <f t="shared" si="2"/>
        <v/>
      </c>
      <c r="K22" s="25" t="str">
        <f t="shared" si="3"/>
        <v/>
      </c>
      <c r="L22" s="25" t="str">
        <f t="shared" si="4"/>
        <v/>
      </c>
      <c r="M22" s="33" t="e" cm="1">
        <f t="array" aca="1" ref="M22" ca="1">IF(AND(J22=INDIRECT("'["&amp;G22&amp;"]"&amp;E22&amp;"'!"&amp;$Y$2),G22=INDIRECT("'["&amp;G22&amp;"]"&amp;E22&amp;"'!"&amp;$AH$2)),INDIRECT("'["&amp;G22&amp;"]"&amp;E22&amp;"'!"&amp;$Y$3),0)</f>
        <v>#VALUE!</v>
      </c>
      <c r="N22" s="34" t="e" cm="1">
        <f t="array" aca="1" ref="N22" ca="1">IF(AND(G22=INDIRECT("'["&amp;G22&amp;"]"&amp;E22&amp;"'!"&amp;$AH$2),OR(K22=INDIRECT("'["&amp;G22&amp;"]"&amp;E22&amp;"'!"&amp;$Z$2))),INDIRECT("'["&amp;G22&amp;"]"&amp;E22&amp;"'!"&amp;$Z$3),0)</f>
        <v>#VALUE!</v>
      </c>
      <c r="O22" s="34" t="e" cm="1">
        <f t="array" aca="1" ref="O22" ca="1">IF(AND(G22=INDIRECT("'["&amp;G22&amp;"]"&amp;E22&amp;"'!"&amp;$AH$2),OR(L22=INDIRECT("'["&amp;G22&amp;"]"&amp;E22&amp;"'!"&amp;$AA$2))),INDIRECT("'["&amp;G22&amp;"]"&amp;E22&amp;"'!"&amp;$AA$3),0)</f>
        <v>#VALUE!</v>
      </c>
      <c r="P22" s="34" t="e" cm="1">
        <f t="array" aca="1" ref="P22" ca="1">IF(AND(G22=INDIRECT("'["&amp;G22&amp;"]"&amp;E22&amp;"'!"&amp;$AH$2),OR(VALUE(I22)=INDIRECT("'["&amp;G22&amp;"]"&amp;E22&amp;"'!"&amp;$AB$2))),INDIRECT("'["&amp;G22&amp;"]"&amp;E22&amp;"'!"&amp;$AB$3),0)</f>
        <v>#VALUE!</v>
      </c>
      <c r="Q22" s="34" t="e" cm="1">
        <f t="array" aca="1" ref="Q22" ca="1">IF(AND(G22=INDIRECT("'["&amp;G22&amp;"]"&amp;E22&amp;"'!"&amp;$AH$2),OR(VALUE(I22)=INDIRECT("'["&amp;G22&amp;"]"&amp;E22&amp;"'!"&amp;$AC$2))),INDIRECT("'["&amp;G22&amp;"]"&amp;E22&amp;"'!"&amp;$AC$3),0)</f>
        <v>#VALUE!</v>
      </c>
      <c r="R22" s="34" t="e" cm="1">
        <f t="array" aca="1" ref="R22" ca="1">IF(AND(G22=INDIRECT("'["&amp;G22&amp;"]"&amp;E22&amp;"'!"&amp;$AH$2),OR(I22=INDIRECT("'["&amp;G22&amp;"]"&amp;E22&amp;"'!"&amp;$AD$2))),INDIRECT("'["&amp;G22&amp;"]"&amp;E22&amp;"'!"&amp;$AD$3),0)</f>
        <v>#VALUE!</v>
      </c>
      <c r="S22" s="34" t="e" cm="1">
        <f t="array" aca="1" ref="S22" ca="1">IF(AND(G22=INDIRECT("'["&amp;G22&amp;"]"&amp;E22&amp;"'!"&amp;$AH$2),OR(I22=INDIRECT("'["&amp;G22&amp;"]"&amp;E22&amp;"'!"&amp;$AE$2))),INDIRECT("'["&amp;G22&amp;"]"&amp;E22&amp;"'!"&amp;$AE$3),0)</f>
        <v>#VALUE!</v>
      </c>
      <c r="T22" s="35" t="e" cm="1">
        <f t="array" aca="1" ref="T22" ca="1">IF(AND(G22=INDIRECT("'["&amp;G22&amp;"]"&amp;E22&amp;"'!"&amp;$AH$2),OR(I22=INDIRECT("'["&amp;G22&amp;"]"&amp;E22&amp;"'!"&amp;$AF$2))),INDIRECT("'["&amp;G22&amp;"]"&amp;E22&amp;"'!"&amp;$AF$3),0)</f>
        <v>#VALUE!</v>
      </c>
      <c r="U22" s="34" t="e" cm="1">
        <f t="array" aca="1" ref="U22" ca="1">IF(AND(G22=INDIRECT("'["&amp;G22&amp;"]"&amp;E22&amp;"'!"&amp;$AH$2),OR(I22=INDIRECT("'["&amp;G22&amp;"]"&amp;E22&amp;"'!"&amp;$AG$2))),INDIRECT("'["&amp;G22&amp;"]"&amp;E22&amp;"'!"&amp;$AG$3),0)</f>
        <v>#VALUE!</v>
      </c>
      <c r="V22" s="25" t="str">
        <f t="shared" si="11"/>
        <v/>
      </c>
      <c r="W22" s="36" t="e" cm="1">
        <f t="array" aca="1" ref="W22" ca="1">IF(AND(G22=INDIRECT("'["&amp;G22&amp;"]"&amp;E22&amp;"'!"&amp;$AH$2),OR(V22=INDIRECT("'["&amp;G22&amp;"]"&amp;E22&amp;"'!"&amp;$AI$2))),INDIRECT("'["&amp;G22&amp;"]"&amp;E22&amp;"'!"&amp;$AI$3),0)</f>
        <v>#VALUE!</v>
      </c>
      <c r="AJ22" s="25">
        <v>1</v>
      </c>
      <c r="AK22" s="38">
        <f t="shared" ca="1" si="5"/>
        <v>0</v>
      </c>
      <c r="AL22" s="38">
        <f t="shared" ca="1" si="12"/>
        <v>0</v>
      </c>
      <c r="AM22" s="54" t="str">
        <f t="shared" ca="1" si="6"/>
        <v/>
      </c>
      <c r="AN22" s="25" t="e">
        <f t="shared" ca="1" si="13"/>
        <v>#VALUE!</v>
      </c>
      <c r="AO22" s="25" t="e">
        <f t="shared" ca="1" si="14"/>
        <v>#VALUE!</v>
      </c>
      <c r="AP22" s="39" t="str">
        <f t="shared" ca="1" si="7"/>
        <v/>
      </c>
      <c r="AQ22" s="46" t="str">
        <f ca="1">IF(AND(C22&lt;&gt;0, C23=0), SUM($C$2:C22)-SUM($AQ$1:AQ21), "")</f>
        <v/>
      </c>
      <c r="AR22" s="46" t="str">
        <f ca="1">IF(AND(AK22&lt;&gt;0, AK23=0), SUM($AK$2:AK22)-SUM($AR$1:AR21), "")</f>
        <v/>
      </c>
    </row>
    <row r="23" spans="1:44" ht="13.15" customHeight="1">
      <c r="A23" s="62"/>
      <c r="B23" s="68" t="str">
        <f t="shared" si="15"/>
        <v/>
      </c>
      <c r="C23" s="55" cm="1">
        <f t="array" aca="1" ref="C23" ca="1">SUM(IF(ISNUMBER(M23:U23),M23:U23,""))</f>
        <v>0</v>
      </c>
      <c r="D23" s="25" t="str">
        <f t="shared" si="8"/>
        <v/>
      </c>
      <c r="E23" s="25" t="e">
        <f t="shared" si="0"/>
        <v>#VALUE!</v>
      </c>
      <c r="F23" s="25" t="str">
        <f t="shared" si="9"/>
        <v/>
      </c>
      <c r="G23" s="25" t="str">
        <f t="shared" si="1"/>
        <v>.xlsx</v>
      </c>
      <c r="H23" s="29" t="e" cm="1">
        <f t="array" aca="1" ref="H23" ca="1">IF(AND(VALUE(E23)=INDIRECT("'["&amp;G23&amp;"]"&amp;E23&amp;"'!"&amp;$X$2),G23=INDIRECT("'["&amp;G23&amp;"]"&amp;E23&amp;"'!"&amp;$X$3)),INDIRECT("'["&amp;G23&amp;"]"&amp;E23&amp;"'!"&amp;$X$1),0)</f>
        <v>#VALUE!</v>
      </c>
      <c r="I23" s="25" t="str">
        <f t="shared" si="10"/>
        <v/>
      </c>
      <c r="J23" s="32" t="str">
        <f t="shared" si="2"/>
        <v/>
      </c>
      <c r="K23" s="25" t="str">
        <f t="shared" si="3"/>
        <v/>
      </c>
      <c r="L23" s="25" t="str">
        <f t="shared" si="4"/>
        <v/>
      </c>
      <c r="M23" s="33" t="e" cm="1">
        <f t="array" aca="1" ref="M23" ca="1">IF(AND(J23=INDIRECT("'["&amp;G23&amp;"]"&amp;E23&amp;"'!"&amp;$Y$2),G23=INDIRECT("'["&amp;G23&amp;"]"&amp;E23&amp;"'!"&amp;$AH$2)),INDIRECT("'["&amp;G23&amp;"]"&amp;E23&amp;"'!"&amp;$Y$3),0)</f>
        <v>#VALUE!</v>
      </c>
      <c r="N23" s="34" t="e" cm="1">
        <f t="array" aca="1" ref="N23" ca="1">IF(AND(G23=INDIRECT("'["&amp;G23&amp;"]"&amp;E23&amp;"'!"&amp;$AH$2),OR(K23=INDIRECT("'["&amp;G23&amp;"]"&amp;E23&amp;"'!"&amp;$Z$2))),INDIRECT("'["&amp;G23&amp;"]"&amp;E23&amp;"'!"&amp;$Z$3),0)</f>
        <v>#VALUE!</v>
      </c>
      <c r="O23" s="34" t="e" cm="1">
        <f t="array" aca="1" ref="O23" ca="1">IF(AND(G23=INDIRECT("'["&amp;G23&amp;"]"&amp;E23&amp;"'!"&amp;$AH$2),OR(L23=INDIRECT("'["&amp;G23&amp;"]"&amp;E23&amp;"'!"&amp;$AA$2))),INDIRECT("'["&amp;G23&amp;"]"&amp;E23&amp;"'!"&amp;$AA$3),0)</f>
        <v>#VALUE!</v>
      </c>
      <c r="P23" s="34" t="e" cm="1">
        <f t="array" aca="1" ref="P23" ca="1">IF(AND(G23=INDIRECT("'["&amp;G23&amp;"]"&amp;E23&amp;"'!"&amp;$AH$2),OR(VALUE(I23)=INDIRECT("'["&amp;G23&amp;"]"&amp;E23&amp;"'!"&amp;$AB$2))),INDIRECT("'["&amp;G23&amp;"]"&amp;E23&amp;"'!"&amp;$AB$3),0)</f>
        <v>#VALUE!</v>
      </c>
      <c r="Q23" s="34" t="e" cm="1">
        <f t="array" aca="1" ref="Q23" ca="1">IF(AND(G23=INDIRECT("'["&amp;G23&amp;"]"&amp;E23&amp;"'!"&amp;$AH$2),OR(VALUE(I23)=INDIRECT("'["&amp;G23&amp;"]"&amp;E23&amp;"'!"&amp;$AC$2))),INDIRECT("'["&amp;G23&amp;"]"&amp;E23&amp;"'!"&amp;$AC$3),0)</f>
        <v>#VALUE!</v>
      </c>
      <c r="R23" s="34" t="e" cm="1">
        <f t="array" aca="1" ref="R23" ca="1">IF(AND(G23=INDIRECT("'["&amp;G23&amp;"]"&amp;E23&amp;"'!"&amp;$AH$2),OR(I23=INDIRECT("'["&amp;G23&amp;"]"&amp;E23&amp;"'!"&amp;$AD$2))),INDIRECT("'["&amp;G23&amp;"]"&amp;E23&amp;"'!"&amp;$AD$3),0)</f>
        <v>#VALUE!</v>
      </c>
      <c r="S23" s="34" t="e" cm="1">
        <f t="array" aca="1" ref="S23" ca="1">IF(AND(G23=INDIRECT("'["&amp;G23&amp;"]"&amp;E23&amp;"'!"&amp;$AH$2),OR(I23=INDIRECT("'["&amp;G23&amp;"]"&amp;E23&amp;"'!"&amp;$AE$2))),INDIRECT("'["&amp;G23&amp;"]"&amp;E23&amp;"'!"&amp;$AE$3),0)</f>
        <v>#VALUE!</v>
      </c>
      <c r="T23" s="35" t="e" cm="1">
        <f t="array" aca="1" ref="T23" ca="1">IF(AND(G23=INDIRECT("'["&amp;G23&amp;"]"&amp;E23&amp;"'!"&amp;$AH$2),OR(I23=INDIRECT("'["&amp;G23&amp;"]"&amp;E23&amp;"'!"&amp;$AF$2))),INDIRECT("'["&amp;G23&amp;"]"&amp;E23&amp;"'!"&amp;$AF$3),0)</f>
        <v>#VALUE!</v>
      </c>
      <c r="U23" s="34" t="e" cm="1">
        <f t="array" aca="1" ref="U23" ca="1">IF(AND(G23=INDIRECT("'["&amp;G23&amp;"]"&amp;E23&amp;"'!"&amp;$AH$2),OR(I23=INDIRECT("'["&amp;G23&amp;"]"&amp;E23&amp;"'!"&amp;$AG$2))),INDIRECT("'["&amp;G23&amp;"]"&amp;E23&amp;"'!"&amp;$AG$3),0)</f>
        <v>#VALUE!</v>
      </c>
      <c r="V23" s="25" t="str">
        <f t="shared" si="11"/>
        <v/>
      </c>
      <c r="W23" s="36" t="e" cm="1">
        <f t="array" aca="1" ref="W23" ca="1">IF(AND(G23=INDIRECT("'["&amp;G23&amp;"]"&amp;E23&amp;"'!"&amp;$AH$2),OR(V23=INDIRECT("'["&amp;G23&amp;"]"&amp;E23&amp;"'!"&amp;$AI$2))),INDIRECT("'["&amp;G23&amp;"]"&amp;E23&amp;"'!"&amp;$AI$3),0)</f>
        <v>#VALUE!</v>
      </c>
      <c r="AJ23" s="25">
        <v>1</v>
      </c>
      <c r="AK23" s="38">
        <f t="shared" ca="1" si="5"/>
        <v>0</v>
      </c>
      <c r="AL23" s="38">
        <f t="shared" ca="1" si="12"/>
        <v>0</v>
      </c>
      <c r="AM23" s="54" t="str">
        <f t="shared" ca="1" si="6"/>
        <v/>
      </c>
      <c r="AN23" s="25" t="e">
        <f t="shared" ca="1" si="13"/>
        <v>#VALUE!</v>
      </c>
      <c r="AO23" s="25" t="e">
        <f t="shared" ca="1" si="14"/>
        <v>#VALUE!</v>
      </c>
      <c r="AP23" s="39" t="str">
        <f t="shared" ca="1" si="7"/>
        <v/>
      </c>
      <c r="AQ23" s="46" t="str">
        <f ca="1">IF(AND(C23&lt;&gt;0, C24=0), SUM($C$2:C23)-SUM($AQ$1:AQ22), "")</f>
        <v/>
      </c>
      <c r="AR23" s="46" t="str">
        <f ca="1">IF(AND(AK23&lt;&gt;0, AK24=0), SUM($AK$2:AK23)-SUM($AR$1:AR22), "")</f>
        <v/>
      </c>
    </row>
    <row r="24" spans="1:44" ht="13.15" customHeight="1">
      <c r="A24" s="62"/>
      <c r="B24" s="68" t="str">
        <f t="shared" si="15"/>
        <v/>
      </c>
      <c r="C24" s="55" cm="1">
        <f t="array" aca="1" ref="C24" ca="1">SUM(IF(ISNUMBER(M24:U24),M24:U24,""))</f>
        <v>0</v>
      </c>
      <c r="D24" s="25" t="str">
        <f t="shared" si="8"/>
        <v/>
      </c>
      <c r="E24" s="25" t="e">
        <f t="shared" si="0"/>
        <v>#VALUE!</v>
      </c>
      <c r="F24" s="25" t="str">
        <f t="shared" si="9"/>
        <v/>
      </c>
      <c r="G24" s="25" t="str">
        <f t="shared" si="1"/>
        <v>.xlsx</v>
      </c>
      <c r="H24" s="29" t="e" cm="1">
        <f t="array" aca="1" ref="H24" ca="1">IF(AND(VALUE(E24)=INDIRECT("'["&amp;G24&amp;"]"&amp;E24&amp;"'!"&amp;$X$2),G24=INDIRECT("'["&amp;G24&amp;"]"&amp;E24&amp;"'!"&amp;$X$3)),INDIRECT("'["&amp;G24&amp;"]"&amp;E24&amp;"'!"&amp;$X$1),0)</f>
        <v>#VALUE!</v>
      </c>
      <c r="I24" s="25" t="str">
        <f t="shared" si="10"/>
        <v/>
      </c>
      <c r="J24" s="32" t="str">
        <f t="shared" si="2"/>
        <v/>
      </c>
      <c r="K24" s="25" t="str">
        <f t="shared" si="3"/>
        <v/>
      </c>
      <c r="L24" s="25" t="str">
        <f t="shared" si="4"/>
        <v/>
      </c>
      <c r="M24" s="33" t="e" cm="1">
        <f t="array" aca="1" ref="M24" ca="1">IF(AND(J24=INDIRECT("'["&amp;G24&amp;"]"&amp;E24&amp;"'!"&amp;$Y$2),G24=INDIRECT("'["&amp;G24&amp;"]"&amp;E24&amp;"'!"&amp;$AH$2)),INDIRECT("'["&amp;G24&amp;"]"&amp;E24&amp;"'!"&amp;$Y$3),0)</f>
        <v>#VALUE!</v>
      </c>
      <c r="N24" s="34" t="e" cm="1">
        <f t="array" aca="1" ref="N24" ca="1">IF(AND(G24=INDIRECT("'["&amp;G24&amp;"]"&amp;E24&amp;"'!"&amp;$AH$2),OR(K24=INDIRECT("'["&amp;G24&amp;"]"&amp;E24&amp;"'!"&amp;$Z$2))),INDIRECT("'["&amp;G24&amp;"]"&amp;E24&amp;"'!"&amp;$Z$3),0)</f>
        <v>#VALUE!</v>
      </c>
      <c r="O24" s="34" t="e" cm="1">
        <f t="array" aca="1" ref="O24" ca="1">IF(AND(G24=INDIRECT("'["&amp;G24&amp;"]"&amp;E24&amp;"'!"&amp;$AH$2),OR(L24=INDIRECT("'["&amp;G24&amp;"]"&amp;E24&amp;"'!"&amp;$AA$2))),INDIRECT("'["&amp;G24&amp;"]"&amp;E24&amp;"'!"&amp;$AA$3),0)</f>
        <v>#VALUE!</v>
      </c>
      <c r="P24" s="34" t="e" cm="1">
        <f t="array" aca="1" ref="P24" ca="1">IF(AND(G24=INDIRECT("'["&amp;G24&amp;"]"&amp;E24&amp;"'!"&amp;$AH$2),OR(VALUE(I24)=INDIRECT("'["&amp;G24&amp;"]"&amp;E24&amp;"'!"&amp;$AB$2))),INDIRECT("'["&amp;G24&amp;"]"&amp;E24&amp;"'!"&amp;$AB$3),0)</f>
        <v>#VALUE!</v>
      </c>
      <c r="Q24" s="34" t="e" cm="1">
        <f t="array" aca="1" ref="Q24" ca="1">IF(AND(G24=INDIRECT("'["&amp;G24&amp;"]"&amp;E24&amp;"'!"&amp;$AH$2),OR(VALUE(I24)=INDIRECT("'["&amp;G24&amp;"]"&amp;E24&amp;"'!"&amp;$AC$2))),INDIRECT("'["&amp;G24&amp;"]"&amp;E24&amp;"'!"&amp;$AC$3),0)</f>
        <v>#VALUE!</v>
      </c>
      <c r="R24" s="34" t="e" cm="1">
        <f t="array" aca="1" ref="R24" ca="1">IF(AND(G24=INDIRECT("'["&amp;G24&amp;"]"&amp;E24&amp;"'!"&amp;$AH$2),OR(I24=INDIRECT("'["&amp;G24&amp;"]"&amp;E24&amp;"'!"&amp;$AD$2))),INDIRECT("'["&amp;G24&amp;"]"&amp;E24&amp;"'!"&amp;$AD$3),0)</f>
        <v>#VALUE!</v>
      </c>
      <c r="S24" s="34" t="e" cm="1">
        <f t="array" aca="1" ref="S24" ca="1">IF(AND(G24=INDIRECT("'["&amp;G24&amp;"]"&amp;E24&amp;"'!"&amp;$AH$2),OR(I24=INDIRECT("'["&amp;G24&amp;"]"&amp;E24&amp;"'!"&amp;$AE$2))),INDIRECT("'["&amp;G24&amp;"]"&amp;E24&amp;"'!"&amp;$AE$3),0)</f>
        <v>#VALUE!</v>
      </c>
      <c r="T24" s="35" t="e" cm="1">
        <f t="array" aca="1" ref="T24" ca="1">IF(AND(G24=INDIRECT("'["&amp;G24&amp;"]"&amp;E24&amp;"'!"&amp;$AH$2),OR(I24=INDIRECT("'["&amp;G24&amp;"]"&amp;E24&amp;"'!"&amp;$AF$2))),INDIRECT("'["&amp;G24&amp;"]"&amp;E24&amp;"'!"&amp;$AF$3),0)</f>
        <v>#VALUE!</v>
      </c>
      <c r="U24" s="34" t="e" cm="1">
        <f t="array" aca="1" ref="U24" ca="1">IF(AND(G24=INDIRECT("'["&amp;G24&amp;"]"&amp;E24&amp;"'!"&amp;$AH$2),OR(I24=INDIRECT("'["&amp;G24&amp;"]"&amp;E24&amp;"'!"&amp;$AG$2))),INDIRECT("'["&amp;G24&amp;"]"&amp;E24&amp;"'!"&amp;$AG$3),0)</f>
        <v>#VALUE!</v>
      </c>
      <c r="V24" s="25" t="str">
        <f t="shared" si="11"/>
        <v/>
      </c>
      <c r="W24" s="36" t="e" cm="1">
        <f t="array" aca="1" ref="W24" ca="1">IF(AND(G24=INDIRECT("'["&amp;G24&amp;"]"&amp;E24&amp;"'!"&amp;$AH$2),OR(V24=INDIRECT("'["&amp;G24&amp;"]"&amp;E24&amp;"'!"&amp;$AI$2))),INDIRECT("'["&amp;G24&amp;"]"&amp;E24&amp;"'!"&amp;$AI$3),0)</f>
        <v>#VALUE!</v>
      </c>
      <c r="AJ24" s="25">
        <v>1</v>
      </c>
      <c r="AK24" s="38">
        <f t="shared" ca="1" si="5"/>
        <v>0</v>
      </c>
      <c r="AL24" s="38">
        <f t="shared" ca="1" si="12"/>
        <v>0</v>
      </c>
      <c r="AM24" s="54" t="str">
        <f t="shared" ca="1" si="6"/>
        <v/>
      </c>
      <c r="AN24" s="25" t="e">
        <f t="shared" ca="1" si="13"/>
        <v>#VALUE!</v>
      </c>
      <c r="AO24" s="25" t="e">
        <f t="shared" ca="1" si="14"/>
        <v>#VALUE!</v>
      </c>
      <c r="AP24" s="39" t="str">
        <f t="shared" ca="1" si="7"/>
        <v/>
      </c>
      <c r="AQ24" s="46" t="str">
        <f ca="1">IF(AND(C24&lt;&gt;0, C25=0), SUM($C$2:C24)-SUM($AQ$1:AQ23), "")</f>
        <v/>
      </c>
      <c r="AR24" s="46" t="str">
        <f ca="1">IF(AND(AK24&lt;&gt;0, AK25=0), SUM($AK$2:AK24)-SUM($AR$1:AR23), "")</f>
        <v/>
      </c>
    </row>
    <row r="25" spans="1:44" ht="13.15" customHeight="1">
      <c r="A25" s="62"/>
      <c r="B25" s="68" t="str">
        <f t="shared" si="15"/>
        <v/>
      </c>
      <c r="C25" s="55" cm="1">
        <f t="array" aca="1" ref="C25" ca="1">SUM(IF(ISNUMBER(M25:U25),M25:U25,""))</f>
        <v>0</v>
      </c>
      <c r="D25" s="25" t="str">
        <f t="shared" si="8"/>
        <v/>
      </c>
      <c r="E25" s="25" t="e">
        <f t="shared" si="0"/>
        <v>#VALUE!</v>
      </c>
      <c r="F25" s="25" t="str">
        <f t="shared" si="9"/>
        <v/>
      </c>
      <c r="G25" s="25" t="str">
        <f t="shared" si="1"/>
        <v>.xlsx</v>
      </c>
      <c r="H25" s="29" t="e" cm="1">
        <f t="array" aca="1" ref="H25" ca="1">IF(AND(VALUE(E25)=INDIRECT("'["&amp;G25&amp;"]"&amp;E25&amp;"'!"&amp;$X$2),G25=INDIRECT("'["&amp;G25&amp;"]"&amp;E25&amp;"'!"&amp;$X$3)),INDIRECT("'["&amp;G25&amp;"]"&amp;E25&amp;"'!"&amp;$X$1),0)</f>
        <v>#VALUE!</v>
      </c>
      <c r="I25" s="25" t="str">
        <f t="shared" si="10"/>
        <v/>
      </c>
      <c r="J25" s="32" t="str">
        <f t="shared" si="2"/>
        <v/>
      </c>
      <c r="K25" s="25" t="str">
        <f t="shared" si="3"/>
        <v/>
      </c>
      <c r="L25" s="25" t="str">
        <f t="shared" si="4"/>
        <v/>
      </c>
      <c r="M25" s="33" t="e" cm="1">
        <f t="array" aca="1" ref="M25" ca="1">IF(AND(J25=INDIRECT("'["&amp;G25&amp;"]"&amp;E25&amp;"'!"&amp;$Y$2),G25=INDIRECT("'["&amp;G25&amp;"]"&amp;E25&amp;"'!"&amp;$AH$2)),INDIRECT("'["&amp;G25&amp;"]"&amp;E25&amp;"'!"&amp;$Y$3),0)</f>
        <v>#VALUE!</v>
      </c>
      <c r="N25" s="34" t="e" cm="1">
        <f t="array" aca="1" ref="N25" ca="1">IF(AND(G25=INDIRECT("'["&amp;G25&amp;"]"&amp;E25&amp;"'!"&amp;$AH$2),OR(K25=INDIRECT("'["&amp;G25&amp;"]"&amp;E25&amp;"'!"&amp;$Z$2))),INDIRECT("'["&amp;G25&amp;"]"&amp;E25&amp;"'!"&amp;$Z$3),0)</f>
        <v>#VALUE!</v>
      </c>
      <c r="O25" s="34" t="e" cm="1">
        <f t="array" aca="1" ref="O25" ca="1">IF(AND(G25=INDIRECT("'["&amp;G25&amp;"]"&amp;E25&amp;"'!"&amp;$AH$2),OR(L25=INDIRECT("'["&amp;G25&amp;"]"&amp;E25&amp;"'!"&amp;$AA$2))),INDIRECT("'["&amp;G25&amp;"]"&amp;E25&amp;"'!"&amp;$AA$3),0)</f>
        <v>#VALUE!</v>
      </c>
      <c r="P25" s="34" t="e" cm="1">
        <f t="array" aca="1" ref="P25" ca="1">IF(AND(G25=INDIRECT("'["&amp;G25&amp;"]"&amp;E25&amp;"'!"&amp;$AH$2),OR(VALUE(I25)=INDIRECT("'["&amp;G25&amp;"]"&amp;E25&amp;"'!"&amp;$AB$2))),INDIRECT("'["&amp;G25&amp;"]"&amp;E25&amp;"'!"&amp;$AB$3),0)</f>
        <v>#VALUE!</v>
      </c>
      <c r="Q25" s="34" t="e" cm="1">
        <f t="array" aca="1" ref="Q25" ca="1">IF(AND(G25=INDIRECT("'["&amp;G25&amp;"]"&amp;E25&amp;"'!"&amp;$AH$2),OR(VALUE(I25)=INDIRECT("'["&amp;G25&amp;"]"&amp;E25&amp;"'!"&amp;$AC$2))),INDIRECT("'["&amp;G25&amp;"]"&amp;E25&amp;"'!"&amp;$AC$3),0)</f>
        <v>#VALUE!</v>
      </c>
      <c r="R25" s="34" t="e" cm="1">
        <f t="array" aca="1" ref="R25" ca="1">IF(AND(G25=INDIRECT("'["&amp;G25&amp;"]"&amp;E25&amp;"'!"&amp;$AH$2),OR(I25=INDIRECT("'["&amp;G25&amp;"]"&amp;E25&amp;"'!"&amp;$AD$2))),INDIRECT("'["&amp;G25&amp;"]"&amp;E25&amp;"'!"&amp;$AD$3),0)</f>
        <v>#VALUE!</v>
      </c>
      <c r="S25" s="34" t="e" cm="1">
        <f t="array" aca="1" ref="S25" ca="1">IF(AND(G25=INDIRECT("'["&amp;G25&amp;"]"&amp;E25&amp;"'!"&amp;$AH$2),OR(I25=INDIRECT("'["&amp;G25&amp;"]"&amp;E25&amp;"'!"&amp;$AE$2))),INDIRECT("'["&amp;G25&amp;"]"&amp;E25&amp;"'!"&amp;$AE$3),0)</f>
        <v>#VALUE!</v>
      </c>
      <c r="T25" s="35" t="e" cm="1">
        <f t="array" aca="1" ref="T25" ca="1">IF(AND(G25=INDIRECT("'["&amp;G25&amp;"]"&amp;E25&amp;"'!"&amp;$AH$2),OR(I25=INDIRECT("'["&amp;G25&amp;"]"&amp;E25&amp;"'!"&amp;$AF$2))),INDIRECT("'["&amp;G25&amp;"]"&amp;E25&amp;"'!"&amp;$AF$3),0)</f>
        <v>#VALUE!</v>
      </c>
      <c r="U25" s="34" t="e" cm="1">
        <f t="array" aca="1" ref="U25" ca="1">IF(AND(G25=INDIRECT("'["&amp;G25&amp;"]"&amp;E25&amp;"'!"&amp;$AH$2),OR(I25=INDIRECT("'["&amp;G25&amp;"]"&amp;E25&amp;"'!"&amp;$AG$2))),INDIRECT("'["&amp;G25&amp;"]"&amp;E25&amp;"'!"&amp;$AG$3),0)</f>
        <v>#VALUE!</v>
      </c>
      <c r="V25" s="25" t="str">
        <f t="shared" si="11"/>
        <v/>
      </c>
      <c r="W25" s="36" t="e" cm="1">
        <f t="array" aca="1" ref="W25" ca="1">IF(AND(G25=INDIRECT("'["&amp;G25&amp;"]"&amp;E25&amp;"'!"&amp;$AH$2),OR(V25=INDIRECT("'["&amp;G25&amp;"]"&amp;E25&amp;"'!"&amp;$AI$2))),INDIRECT("'["&amp;G25&amp;"]"&amp;E25&amp;"'!"&amp;$AI$3),0)</f>
        <v>#VALUE!</v>
      </c>
      <c r="AJ25" s="25">
        <v>1</v>
      </c>
      <c r="AK25" s="38">
        <f t="shared" ca="1" si="5"/>
        <v>0</v>
      </c>
      <c r="AL25" s="38">
        <f t="shared" ca="1" si="12"/>
        <v>0</v>
      </c>
      <c r="AM25" s="54" t="str">
        <f t="shared" ca="1" si="6"/>
        <v/>
      </c>
      <c r="AN25" s="25" t="e">
        <f t="shared" ca="1" si="13"/>
        <v>#VALUE!</v>
      </c>
      <c r="AO25" s="25" t="e">
        <f t="shared" ca="1" si="14"/>
        <v>#VALUE!</v>
      </c>
      <c r="AP25" s="39" t="str">
        <f t="shared" ca="1" si="7"/>
        <v/>
      </c>
      <c r="AQ25" s="46" t="str">
        <f ca="1">IF(AND(C25&lt;&gt;0, C26=0), SUM($C$2:C25)-SUM($AQ$1:AQ24), "")</f>
        <v/>
      </c>
      <c r="AR25" s="46" t="str">
        <f ca="1">IF(AND(AK25&lt;&gt;0, AK26=0), SUM($AK$2:AK25)-SUM($AR$1:AR24), "")</f>
        <v/>
      </c>
    </row>
    <row r="26" spans="1:44" ht="13.15" customHeight="1">
      <c r="A26" s="62"/>
      <c r="B26" s="68" t="str">
        <f t="shared" si="15"/>
        <v/>
      </c>
      <c r="C26" s="56" cm="1">
        <f t="array" aca="1" ref="C26" ca="1">SUM(IF(ISNUMBER(M26:U26),M26:U26,""))</f>
        <v>0</v>
      </c>
      <c r="D26" s="25" t="str">
        <f t="shared" si="8"/>
        <v/>
      </c>
      <c r="E26" s="25" t="e">
        <f t="shared" si="0"/>
        <v>#VALUE!</v>
      </c>
      <c r="F26" s="25" t="str">
        <f t="shared" si="9"/>
        <v/>
      </c>
      <c r="G26" s="25" t="str">
        <f t="shared" si="1"/>
        <v>.xlsx</v>
      </c>
      <c r="H26" s="29" t="e" cm="1">
        <f t="array" aca="1" ref="H26" ca="1">IF(AND(VALUE(E26)=INDIRECT("'["&amp;G26&amp;"]"&amp;E26&amp;"'!"&amp;$X$2),G26=INDIRECT("'["&amp;G26&amp;"]"&amp;E26&amp;"'!"&amp;$X$3)),INDIRECT("'["&amp;G26&amp;"]"&amp;E26&amp;"'!"&amp;$X$1),0)</f>
        <v>#VALUE!</v>
      </c>
      <c r="I26" s="25" t="str">
        <f t="shared" si="10"/>
        <v/>
      </c>
      <c r="J26" s="32" t="str">
        <f t="shared" si="2"/>
        <v/>
      </c>
      <c r="K26" s="25" t="str">
        <f t="shared" si="3"/>
        <v/>
      </c>
      <c r="L26" s="25" t="str">
        <f t="shared" si="4"/>
        <v/>
      </c>
      <c r="M26" s="33" t="e" cm="1">
        <f t="array" aca="1" ref="M26" ca="1">IF(AND(J26=INDIRECT("'["&amp;G26&amp;"]"&amp;E26&amp;"'!"&amp;$Y$2),G26=INDIRECT("'["&amp;G26&amp;"]"&amp;E26&amp;"'!"&amp;$AH$2)),INDIRECT("'["&amp;G26&amp;"]"&amp;E26&amp;"'!"&amp;$Y$3),0)</f>
        <v>#VALUE!</v>
      </c>
      <c r="N26" s="34" t="e" cm="1">
        <f t="array" aca="1" ref="N26" ca="1">IF(AND(G26=INDIRECT("'["&amp;G26&amp;"]"&amp;E26&amp;"'!"&amp;$AH$2),OR(K26=INDIRECT("'["&amp;G26&amp;"]"&amp;E26&amp;"'!"&amp;$Z$2))),INDIRECT("'["&amp;G26&amp;"]"&amp;E26&amp;"'!"&amp;$Z$3),0)</f>
        <v>#VALUE!</v>
      </c>
      <c r="O26" s="34" t="e" cm="1">
        <f t="array" aca="1" ref="O26" ca="1">IF(AND(G26=INDIRECT("'["&amp;G26&amp;"]"&amp;E26&amp;"'!"&amp;$AH$2),OR(L26=INDIRECT("'["&amp;G26&amp;"]"&amp;E26&amp;"'!"&amp;$AA$2))),INDIRECT("'["&amp;G26&amp;"]"&amp;E26&amp;"'!"&amp;$AA$3),0)</f>
        <v>#VALUE!</v>
      </c>
      <c r="P26" s="34" t="e" cm="1">
        <f t="array" aca="1" ref="P26" ca="1">IF(AND(G26=INDIRECT("'["&amp;G26&amp;"]"&amp;E26&amp;"'!"&amp;$AH$2),OR(VALUE(I26)=INDIRECT("'["&amp;G26&amp;"]"&amp;E26&amp;"'!"&amp;$AB$2))),INDIRECT("'["&amp;G26&amp;"]"&amp;E26&amp;"'!"&amp;$AB$3),0)</f>
        <v>#VALUE!</v>
      </c>
      <c r="Q26" s="34" t="e" cm="1">
        <f t="array" aca="1" ref="Q26" ca="1">IF(AND(G26=INDIRECT("'["&amp;G26&amp;"]"&amp;E26&amp;"'!"&amp;$AH$2),OR(VALUE(I26)=INDIRECT("'["&amp;G26&amp;"]"&amp;E26&amp;"'!"&amp;$AC$2))),INDIRECT("'["&amp;G26&amp;"]"&amp;E26&amp;"'!"&amp;$AC$3),0)</f>
        <v>#VALUE!</v>
      </c>
      <c r="R26" s="34" t="e" cm="1">
        <f t="array" aca="1" ref="R26" ca="1">IF(AND(G26=INDIRECT("'["&amp;G26&amp;"]"&amp;E26&amp;"'!"&amp;$AH$2),OR(I26=INDIRECT("'["&amp;G26&amp;"]"&amp;E26&amp;"'!"&amp;$AD$2))),INDIRECT("'["&amp;G26&amp;"]"&amp;E26&amp;"'!"&amp;$AD$3),0)</f>
        <v>#VALUE!</v>
      </c>
      <c r="S26" s="34" t="e" cm="1">
        <f t="array" aca="1" ref="S26" ca="1">IF(AND(G26=INDIRECT("'["&amp;G26&amp;"]"&amp;E26&amp;"'!"&amp;$AH$2),OR(I26=INDIRECT("'["&amp;G26&amp;"]"&amp;E26&amp;"'!"&amp;$AE$2))),INDIRECT("'["&amp;G26&amp;"]"&amp;E26&amp;"'!"&amp;$AE$3),0)</f>
        <v>#VALUE!</v>
      </c>
      <c r="T26" s="35" t="e" cm="1">
        <f t="array" aca="1" ref="T26" ca="1">IF(AND(G26=INDIRECT("'["&amp;G26&amp;"]"&amp;E26&amp;"'!"&amp;$AH$2),OR(I26=INDIRECT("'["&amp;G26&amp;"]"&amp;E26&amp;"'!"&amp;$AF$2))),INDIRECT("'["&amp;G26&amp;"]"&amp;E26&amp;"'!"&amp;$AF$3),0)</f>
        <v>#VALUE!</v>
      </c>
      <c r="U26" s="34" t="e" cm="1">
        <f t="array" aca="1" ref="U26" ca="1">IF(AND(G26=INDIRECT("'["&amp;G26&amp;"]"&amp;E26&amp;"'!"&amp;$AH$2),OR(I26=INDIRECT("'["&amp;G26&amp;"]"&amp;E26&amp;"'!"&amp;$AG$2))),INDIRECT("'["&amp;G26&amp;"]"&amp;E26&amp;"'!"&amp;$AG$3),0)</f>
        <v>#VALUE!</v>
      </c>
      <c r="V26" s="25" t="str">
        <f t="shared" si="11"/>
        <v/>
      </c>
      <c r="W26" s="36" t="e" cm="1">
        <f t="array" aca="1" ref="W26" ca="1">IF(AND(G26=INDIRECT("'["&amp;G26&amp;"]"&amp;E26&amp;"'!"&amp;$AH$2),OR(V26=INDIRECT("'["&amp;G26&amp;"]"&amp;E26&amp;"'!"&amp;$AI$2))),INDIRECT("'["&amp;G26&amp;"]"&amp;E26&amp;"'!"&amp;$AI$3),0)</f>
        <v>#VALUE!</v>
      </c>
      <c r="AJ26" s="25">
        <v>1</v>
      </c>
      <c r="AK26" s="38">
        <f t="shared" ca="1" si="5"/>
        <v>0</v>
      </c>
      <c r="AL26" s="38">
        <f t="shared" ca="1" si="12"/>
        <v>0</v>
      </c>
      <c r="AM26" s="54" t="str">
        <f t="shared" ca="1" si="6"/>
        <v/>
      </c>
      <c r="AN26" s="25" t="e">
        <f t="shared" ca="1" si="13"/>
        <v>#VALUE!</v>
      </c>
      <c r="AO26" s="25" t="e">
        <f t="shared" ca="1" si="14"/>
        <v>#VALUE!</v>
      </c>
      <c r="AP26" s="39" t="str">
        <f t="shared" ca="1" si="7"/>
        <v/>
      </c>
      <c r="AQ26" s="46" t="str">
        <f ca="1">IF(AND(C26&lt;&gt;0, C27=0), SUM($C$2:C26)-SUM($AQ$1:AQ25), "")</f>
        <v/>
      </c>
      <c r="AR26" s="46" t="str">
        <f ca="1">IF(AND(AK26&lt;&gt;0, AK27=0), SUM($AK$2:AK26)-SUM($AR$1:AR25), "")</f>
        <v/>
      </c>
    </row>
    <row r="27" spans="1:44" ht="13.15" customHeight="1">
      <c r="A27" s="62"/>
      <c r="B27" s="68" t="str">
        <f t="shared" si="15"/>
        <v/>
      </c>
      <c r="C27" s="55" cm="1">
        <f t="array" aca="1" ref="C27" ca="1">SUM(IF(ISNUMBER(M27:U27),M27:U27,""))</f>
        <v>0</v>
      </c>
      <c r="D27" s="25" t="str">
        <f t="shared" si="8"/>
        <v/>
      </c>
      <c r="E27" s="25" t="e">
        <f t="shared" si="0"/>
        <v>#VALUE!</v>
      </c>
      <c r="F27" s="25" t="str">
        <f t="shared" si="9"/>
        <v/>
      </c>
      <c r="G27" s="25" t="str">
        <f t="shared" si="1"/>
        <v>.xlsx</v>
      </c>
      <c r="H27" s="29" t="e" cm="1">
        <f t="array" aca="1" ref="H27" ca="1">IF(AND(VALUE(E27)=INDIRECT("'["&amp;G27&amp;"]"&amp;E27&amp;"'!"&amp;$X$2),G27=INDIRECT("'["&amp;G27&amp;"]"&amp;E27&amp;"'!"&amp;$X$3)),INDIRECT("'["&amp;G27&amp;"]"&amp;E27&amp;"'!"&amp;$X$1),0)</f>
        <v>#VALUE!</v>
      </c>
      <c r="I27" s="25" t="str">
        <f t="shared" si="10"/>
        <v/>
      </c>
      <c r="J27" s="32" t="str">
        <f t="shared" si="2"/>
        <v/>
      </c>
      <c r="K27" s="25" t="str">
        <f t="shared" si="3"/>
        <v/>
      </c>
      <c r="L27" s="25" t="str">
        <f t="shared" si="4"/>
        <v/>
      </c>
      <c r="M27" s="33" t="e" cm="1">
        <f t="array" aca="1" ref="M27" ca="1">IF(AND(J27=INDIRECT("'["&amp;G27&amp;"]"&amp;E27&amp;"'!"&amp;$Y$2),G27=INDIRECT("'["&amp;G27&amp;"]"&amp;E27&amp;"'!"&amp;$AH$2)),INDIRECT("'["&amp;G27&amp;"]"&amp;E27&amp;"'!"&amp;$Y$3),0)</f>
        <v>#VALUE!</v>
      </c>
      <c r="N27" s="34" t="e" cm="1">
        <f t="array" aca="1" ref="N27" ca="1">IF(AND(G27=INDIRECT("'["&amp;G27&amp;"]"&amp;E27&amp;"'!"&amp;$AH$2),OR(K27=INDIRECT("'["&amp;G27&amp;"]"&amp;E27&amp;"'!"&amp;$Z$2))),INDIRECT("'["&amp;G27&amp;"]"&amp;E27&amp;"'!"&amp;$Z$3),0)</f>
        <v>#VALUE!</v>
      </c>
      <c r="O27" s="34" t="e" cm="1">
        <f t="array" aca="1" ref="O27" ca="1">IF(AND(G27=INDIRECT("'["&amp;G27&amp;"]"&amp;E27&amp;"'!"&amp;$AH$2),OR(L27=INDIRECT("'["&amp;G27&amp;"]"&amp;E27&amp;"'!"&amp;$AA$2))),INDIRECT("'["&amp;G27&amp;"]"&amp;E27&amp;"'!"&amp;$AA$3),0)</f>
        <v>#VALUE!</v>
      </c>
      <c r="P27" s="34" t="e" cm="1">
        <f t="array" aca="1" ref="P27" ca="1">IF(AND(G27=INDIRECT("'["&amp;G27&amp;"]"&amp;E27&amp;"'!"&amp;$AH$2),OR(VALUE(I27)=INDIRECT("'["&amp;G27&amp;"]"&amp;E27&amp;"'!"&amp;$AB$2))),INDIRECT("'["&amp;G27&amp;"]"&amp;E27&amp;"'!"&amp;$AB$3),0)</f>
        <v>#VALUE!</v>
      </c>
      <c r="Q27" s="34" t="e" cm="1">
        <f t="array" aca="1" ref="Q27" ca="1">IF(AND(G27=INDIRECT("'["&amp;G27&amp;"]"&amp;E27&amp;"'!"&amp;$AH$2),OR(VALUE(I27)=INDIRECT("'["&amp;G27&amp;"]"&amp;E27&amp;"'!"&amp;$AC$2))),INDIRECT("'["&amp;G27&amp;"]"&amp;E27&amp;"'!"&amp;$AC$3),0)</f>
        <v>#VALUE!</v>
      </c>
      <c r="R27" s="34" t="e" cm="1">
        <f t="array" aca="1" ref="R27" ca="1">IF(AND(G27=INDIRECT("'["&amp;G27&amp;"]"&amp;E27&amp;"'!"&amp;$AH$2),OR(I27=INDIRECT("'["&amp;G27&amp;"]"&amp;E27&amp;"'!"&amp;$AD$2))),INDIRECT("'["&amp;G27&amp;"]"&amp;E27&amp;"'!"&amp;$AD$3),0)</f>
        <v>#VALUE!</v>
      </c>
      <c r="S27" s="34" t="e" cm="1">
        <f t="array" aca="1" ref="S27" ca="1">IF(AND(G27=INDIRECT("'["&amp;G27&amp;"]"&amp;E27&amp;"'!"&amp;$AH$2),OR(I27=INDIRECT("'["&amp;G27&amp;"]"&amp;E27&amp;"'!"&amp;$AE$2))),INDIRECT("'["&amp;G27&amp;"]"&amp;E27&amp;"'!"&amp;$AE$3),0)</f>
        <v>#VALUE!</v>
      </c>
      <c r="T27" s="35" t="e" cm="1">
        <f t="array" aca="1" ref="T27" ca="1">IF(AND(G27=INDIRECT("'["&amp;G27&amp;"]"&amp;E27&amp;"'!"&amp;$AH$2),OR(I27=INDIRECT("'["&amp;G27&amp;"]"&amp;E27&amp;"'!"&amp;$AF$2))),INDIRECT("'["&amp;G27&amp;"]"&amp;E27&amp;"'!"&amp;$AF$3),0)</f>
        <v>#VALUE!</v>
      </c>
      <c r="U27" s="34" t="e" cm="1">
        <f t="array" aca="1" ref="U27" ca="1">IF(AND(G27=INDIRECT("'["&amp;G27&amp;"]"&amp;E27&amp;"'!"&amp;$AH$2),OR(I27=INDIRECT("'["&amp;G27&amp;"]"&amp;E27&amp;"'!"&amp;$AG$2))),INDIRECT("'["&amp;G27&amp;"]"&amp;E27&amp;"'!"&amp;$AG$3),0)</f>
        <v>#VALUE!</v>
      </c>
      <c r="V27" s="25" t="str">
        <f t="shared" si="11"/>
        <v/>
      </c>
      <c r="W27" s="36" t="e" cm="1">
        <f t="array" aca="1" ref="W27" ca="1">IF(AND(G27=INDIRECT("'["&amp;G27&amp;"]"&amp;E27&amp;"'!"&amp;$AH$2),OR(V27=INDIRECT("'["&amp;G27&amp;"]"&amp;E27&amp;"'!"&amp;$AI$2))),INDIRECT("'["&amp;G27&amp;"]"&amp;E27&amp;"'!"&amp;$AI$3),0)</f>
        <v>#VALUE!</v>
      </c>
      <c r="AJ27" s="25">
        <v>1</v>
      </c>
      <c r="AK27" s="38">
        <f t="shared" ca="1" si="5"/>
        <v>0</v>
      </c>
      <c r="AL27" s="38">
        <f t="shared" ca="1" si="12"/>
        <v>0</v>
      </c>
      <c r="AM27" s="54" t="str">
        <f t="shared" ca="1" si="6"/>
        <v/>
      </c>
      <c r="AN27" s="25" t="e">
        <f t="shared" ca="1" si="13"/>
        <v>#VALUE!</v>
      </c>
      <c r="AO27" s="25" t="e">
        <f t="shared" ca="1" si="14"/>
        <v>#VALUE!</v>
      </c>
      <c r="AP27" s="39" t="str">
        <f t="shared" ca="1" si="7"/>
        <v/>
      </c>
      <c r="AQ27" s="46" t="str">
        <f ca="1">IF(AND(C27&lt;&gt;0, C28=0), SUM($C$2:C27)-SUM($AQ$1:AQ26), "")</f>
        <v/>
      </c>
      <c r="AR27" s="46" t="str">
        <f ca="1">IF(AND(AK27&lt;&gt;0, AK28=0), SUM($AK$2:AK27)-SUM($AR$1:AR26), "")</f>
        <v/>
      </c>
    </row>
    <row r="28" spans="1:44" ht="13.15" customHeight="1">
      <c r="A28" s="62"/>
      <c r="B28" s="68" t="str">
        <f t="shared" si="15"/>
        <v/>
      </c>
      <c r="C28" s="55" cm="1">
        <f t="array" aca="1" ref="C28" ca="1">SUM(IF(ISNUMBER(M28:U28),M28:U28,""))</f>
        <v>0</v>
      </c>
      <c r="D28" s="25" t="str">
        <f t="shared" si="8"/>
        <v/>
      </c>
      <c r="E28" s="25" t="e">
        <f t="shared" si="0"/>
        <v>#VALUE!</v>
      </c>
      <c r="F28" s="25" t="str">
        <f t="shared" si="9"/>
        <v/>
      </c>
      <c r="G28" s="25" t="str">
        <f t="shared" si="1"/>
        <v>.xlsx</v>
      </c>
      <c r="H28" s="29" t="e" cm="1">
        <f t="array" aca="1" ref="H28" ca="1">IF(AND(VALUE(E28)=INDIRECT("'["&amp;G28&amp;"]"&amp;E28&amp;"'!"&amp;$X$2),G28=INDIRECT("'["&amp;G28&amp;"]"&amp;E28&amp;"'!"&amp;$X$3)),INDIRECT("'["&amp;G28&amp;"]"&amp;E28&amp;"'!"&amp;$X$1),0)</f>
        <v>#VALUE!</v>
      </c>
      <c r="I28" s="25" t="str">
        <f t="shared" si="10"/>
        <v/>
      </c>
      <c r="J28" s="32" t="str">
        <f t="shared" si="2"/>
        <v/>
      </c>
      <c r="K28" s="25" t="str">
        <f t="shared" si="3"/>
        <v/>
      </c>
      <c r="L28" s="25" t="str">
        <f t="shared" si="4"/>
        <v/>
      </c>
      <c r="M28" s="33" t="e" cm="1">
        <f t="array" aca="1" ref="M28" ca="1">IF(AND(J28=INDIRECT("'["&amp;G28&amp;"]"&amp;E28&amp;"'!"&amp;$Y$2),G28=INDIRECT("'["&amp;G28&amp;"]"&amp;E28&amp;"'!"&amp;$AH$2)),INDIRECT("'["&amp;G28&amp;"]"&amp;E28&amp;"'!"&amp;$Y$3),0)</f>
        <v>#VALUE!</v>
      </c>
      <c r="N28" s="34" t="e" cm="1">
        <f t="array" aca="1" ref="N28" ca="1">IF(AND(G28=INDIRECT("'["&amp;G28&amp;"]"&amp;E28&amp;"'!"&amp;$AH$2),OR(K28=INDIRECT("'["&amp;G28&amp;"]"&amp;E28&amp;"'!"&amp;$Z$2))),INDIRECT("'["&amp;G28&amp;"]"&amp;E28&amp;"'!"&amp;$Z$3),0)</f>
        <v>#VALUE!</v>
      </c>
      <c r="O28" s="34" t="e" cm="1">
        <f t="array" aca="1" ref="O28" ca="1">IF(AND(G28=INDIRECT("'["&amp;G28&amp;"]"&amp;E28&amp;"'!"&amp;$AH$2),OR(L28=INDIRECT("'["&amp;G28&amp;"]"&amp;E28&amp;"'!"&amp;$AA$2))),INDIRECT("'["&amp;G28&amp;"]"&amp;E28&amp;"'!"&amp;$AA$3),0)</f>
        <v>#VALUE!</v>
      </c>
      <c r="P28" s="34" t="e" cm="1">
        <f t="array" aca="1" ref="P28" ca="1">IF(AND(G28=INDIRECT("'["&amp;G28&amp;"]"&amp;E28&amp;"'!"&amp;$AH$2),OR(VALUE(I28)=INDIRECT("'["&amp;G28&amp;"]"&amp;E28&amp;"'!"&amp;$AB$2))),INDIRECT("'["&amp;G28&amp;"]"&amp;E28&amp;"'!"&amp;$AB$3),0)</f>
        <v>#VALUE!</v>
      </c>
      <c r="Q28" s="34" t="e" cm="1">
        <f t="array" aca="1" ref="Q28" ca="1">IF(AND(G28=INDIRECT("'["&amp;G28&amp;"]"&amp;E28&amp;"'!"&amp;$AH$2),OR(VALUE(I28)=INDIRECT("'["&amp;G28&amp;"]"&amp;E28&amp;"'!"&amp;$AC$2))),INDIRECT("'["&amp;G28&amp;"]"&amp;E28&amp;"'!"&amp;$AC$3),0)</f>
        <v>#VALUE!</v>
      </c>
      <c r="R28" s="34" t="e" cm="1">
        <f t="array" aca="1" ref="R28" ca="1">IF(AND(G28=INDIRECT("'["&amp;G28&amp;"]"&amp;E28&amp;"'!"&amp;$AH$2),OR(I28=INDIRECT("'["&amp;G28&amp;"]"&amp;E28&amp;"'!"&amp;$AD$2))),INDIRECT("'["&amp;G28&amp;"]"&amp;E28&amp;"'!"&amp;$AD$3),0)</f>
        <v>#VALUE!</v>
      </c>
      <c r="S28" s="34" t="e" cm="1">
        <f t="array" aca="1" ref="S28" ca="1">IF(AND(G28=INDIRECT("'["&amp;G28&amp;"]"&amp;E28&amp;"'!"&amp;$AH$2),OR(I28=INDIRECT("'["&amp;G28&amp;"]"&amp;E28&amp;"'!"&amp;$AE$2))),INDIRECT("'["&amp;G28&amp;"]"&amp;E28&amp;"'!"&amp;$AE$3),0)</f>
        <v>#VALUE!</v>
      </c>
      <c r="T28" s="35" t="e" cm="1">
        <f t="array" aca="1" ref="T28" ca="1">IF(AND(G28=INDIRECT("'["&amp;G28&amp;"]"&amp;E28&amp;"'!"&amp;$AH$2),OR(I28=INDIRECT("'["&amp;G28&amp;"]"&amp;E28&amp;"'!"&amp;$AF$2))),INDIRECT("'["&amp;G28&amp;"]"&amp;E28&amp;"'!"&amp;$AF$3),0)</f>
        <v>#VALUE!</v>
      </c>
      <c r="U28" s="34" t="e" cm="1">
        <f t="array" aca="1" ref="U28" ca="1">IF(AND(G28=INDIRECT("'["&amp;G28&amp;"]"&amp;E28&amp;"'!"&amp;$AH$2),OR(I28=INDIRECT("'["&amp;G28&amp;"]"&amp;E28&amp;"'!"&amp;$AG$2))),INDIRECT("'["&amp;G28&amp;"]"&amp;E28&amp;"'!"&amp;$AG$3),0)</f>
        <v>#VALUE!</v>
      </c>
      <c r="V28" s="25" t="str">
        <f t="shared" si="11"/>
        <v/>
      </c>
      <c r="W28" s="36" t="e" cm="1">
        <f t="array" aca="1" ref="W28" ca="1">IF(AND(G28=INDIRECT("'["&amp;G28&amp;"]"&amp;E28&amp;"'!"&amp;$AH$2),OR(V28=INDIRECT("'["&amp;G28&amp;"]"&amp;E28&amp;"'!"&amp;$AI$2))),INDIRECT("'["&amp;G28&amp;"]"&amp;E28&amp;"'!"&amp;$AI$3),0)</f>
        <v>#VALUE!</v>
      </c>
      <c r="AJ28" s="25">
        <v>1</v>
      </c>
      <c r="AK28" s="38">
        <f t="shared" ca="1" si="5"/>
        <v>0</v>
      </c>
      <c r="AL28" s="38">
        <f t="shared" ca="1" si="12"/>
        <v>0</v>
      </c>
      <c r="AM28" s="54" t="str">
        <f t="shared" ca="1" si="6"/>
        <v/>
      </c>
      <c r="AN28" s="25" t="e">
        <f t="shared" ca="1" si="13"/>
        <v>#VALUE!</v>
      </c>
      <c r="AO28" s="25" t="e">
        <f t="shared" ca="1" si="14"/>
        <v>#VALUE!</v>
      </c>
      <c r="AP28" s="39" t="str">
        <f t="shared" ca="1" si="7"/>
        <v/>
      </c>
      <c r="AQ28" s="46" t="str">
        <f ca="1">IF(AND(C28&lt;&gt;0, C29=0), SUM($C$2:C28)-SUM($AQ$1:AQ27), "")</f>
        <v/>
      </c>
      <c r="AR28" s="46" t="str">
        <f ca="1">IF(AND(AK28&lt;&gt;0, AK29=0), SUM($AK$2:AK28)-SUM($AR$1:AR27), "")</f>
        <v/>
      </c>
    </row>
    <row r="29" spans="1:44" ht="13.15" customHeight="1">
      <c r="A29" s="62"/>
      <c r="B29" s="68" t="str">
        <f t="shared" si="15"/>
        <v/>
      </c>
      <c r="C29" s="55" cm="1">
        <f t="array" aca="1" ref="C29" ca="1">SUM(IF(ISNUMBER(M29:U29),M29:U29,""))</f>
        <v>0</v>
      </c>
      <c r="D29" s="25" t="str">
        <f t="shared" si="8"/>
        <v/>
      </c>
      <c r="E29" s="25" t="e">
        <f t="shared" si="0"/>
        <v>#VALUE!</v>
      </c>
      <c r="F29" s="25" t="str">
        <f t="shared" si="9"/>
        <v/>
      </c>
      <c r="G29" s="25" t="str">
        <f t="shared" si="1"/>
        <v>.xlsx</v>
      </c>
      <c r="H29" s="29" t="e" cm="1">
        <f t="array" aca="1" ref="H29" ca="1">IF(AND(VALUE(E29)=INDIRECT("'["&amp;G29&amp;"]"&amp;E29&amp;"'!"&amp;$X$2),G29=INDIRECT("'["&amp;G29&amp;"]"&amp;E29&amp;"'!"&amp;$X$3)),INDIRECT("'["&amp;G29&amp;"]"&amp;E29&amp;"'!"&amp;$X$1),0)</f>
        <v>#VALUE!</v>
      </c>
      <c r="I29" s="25" t="str">
        <f t="shared" si="10"/>
        <v/>
      </c>
      <c r="J29" s="32" t="str">
        <f t="shared" si="2"/>
        <v/>
      </c>
      <c r="K29" s="25" t="str">
        <f t="shared" si="3"/>
        <v/>
      </c>
      <c r="L29" s="25" t="str">
        <f t="shared" si="4"/>
        <v/>
      </c>
      <c r="M29" s="33" t="e" cm="1">
        <f t="array" aca="1" ref="M29" ca="1">IF(AND(J29=INDIRECT("'["&amp;G29&amp;"]"&amp;E29&amp;"'!"&amp;$Y$2),G29=INDIRECT("'["&amp;G29&amp;"]"&amp;E29&amp;"'!"&amp;$AH$2)),INDIRECT("'["&amp;G29&amp;"]"&amp;E29&amp;"'!"&amp;$Y$3),0)</f>
        <v>#VALUE!</v>
      </c>
      <c r="N29" s="34" t="e" cm="1">
        <f t="array" aca="1" ref="N29" ca="1">IF(AND(G29=INDIRECT("'["&amp;G29&amp;"]"&amp;E29&amp;"'!"&amp;$AH$2),OR(K29=INDIRECT("'["&amp;G29&amp;"]"&amp;E29&amp;"'!"&amp;$Z$2))),INDIRECT("'["&amp;G29&amp;"]"&amp;E29&amp;"'!"&amp;$Z$3),0)</f>
        <v>#VALUE!</v>
      </c>
      <c r="O29" s="34" t="e" cm="1">
        <f t="array" aca="1" ref="O29" ca="1">IF(AND(G29=INDIRECT("'["&amp;G29&amp;"]"&amp;E29&amp;"'!"&amp;$AH$2),OR(L29=INDIRECT("'["&amp;G29&amp;"]"&amp;E29&amp;"'!"&amp;$AA$2))),INDIRECT("'["&amp;G29&amp;"]"&amp;E29&amp;"'!"&amp;$AA$3),0)</f>
        <v>#VALUE!</v>
      </c>
      <c r="P29" s="34" t="e" cm="1">
        <f t="array" aca="1" ref="P29" ca="1">IF(AND(G29=INDIRECT("'["&amp;G29&amp;"]"&amp;E29&amp;"'!"&amp;$AH$2),OR(VALUE(I29)=INDIRECT("'["&amp;G29&amp;"]"&amp;E29&amp;"'!"&amp;$AB$2))),INDIRECT("'["&amp;G29&amp;"]"&amp;E29&amp;"'!"&amp;$AB$3),0)</f>
        <v>#VALUE!</v>
      </c>
      <c r="Q29" s="34" t="e" cm="1">
        <f t="array" aca="1" ref="Q29" ca="1">IF(AND(G29=INDIRECT("'["&amp;G29&amp;"]"&amp;E29&amp;"'!"&amp;$AH$2),OR(VALUE(I29)=INDIRECT("'["&amp;G29&amp;"]"&amp;E29&amp;"'!"&amp;$AC$2))),INDIRECT("'["&amp;G29&amp;"]"&amp;E29&amp;"'!"&amp;$AC$3),0)</f>
        <v>#VALUE!</v>
      </c>
      <c r="R29" s="34" t="e" cm="1">
        <f t="array" aca="1" ref="R29" ca="1">IF(AND(G29=INDIRECT("'["&amp;G29&amp;"]"&amp;E29&amp;"'!"&amp;$AH$2),OR(I29=INDIRECT("'["&amp;G29&amp;"]"&amp;E29&amp;"'!"&amp;$AD$2))),INDIRECT("'["&amp;G29&amp;"]"&amp;E29&amp;"'!"&amp;$AD$3),0)</f>
        <v>#VALUE!</v>
      </c>
      <c r="S29" s="34" t="e" cm="1">
        <f t="array" aca="1" ref="S29" ca="1">IF(AND(G29=INDIRECT("'["&amp;G29&amp;"]"&amp;E29&amp;"'!"&amp;$AH$2),OR(I29=INDIRECT("'["&amp;G29&amp;"]"&amp;E29&amp;"'!"&amp;$AE$2))),INDIRECT("'["&amp;G29&amp;"]"&amp;E29&amp;"'!"&amp;$AE$3),0)</f>
        <v>#VALUE!</v>
      </c>
      <c r="T29" s="35" t="e" cm="1">
        <f t="array" aca="1" ref="T29" ca="1">IF(AND(G29=INDIRECT("'["&amp;G29&amp;"]"&amp;E29&amp;"'!"&amp;$AH$2),OR(I29=INDIRECT("'["&amp;G29&amp;"]"&amp;E29&amp;"'!"&amp;$AF$2))),INDIRECT("'["&amp;G29&amp;"]"&amp;E29&amp;"'!"&amp;$AF$3),0)</f>
        <v>#VALUE!</v>
      </c>
      <c r="U29" s="34" t="e" cm="1">
        <f t="array" aca="1" ref="U29" ca="1">IF(AND(G29=INDIRECT("'["&amp;G29&amp;"]"&amp;E29&amp;"'!"&amp;$AH$2),OR(I29=INDIRECT("'["&amp;G29&amp;"]"&amp;E29&amp;"'!"&amp;$AG$2))),INDIRECT("'["&amp;G29&amp;"]"&amp;E29&amp;"'!"&amp;$AG$3),0)</f>
        <v>#VALUE!</v>
      </c>
      <c r="V29" s="25" t="str">
        <f t="shared" si="11"/>
        <v/>
      </c>
      <c r="W29" s="36" t="e" cm="1">
        <f t="array" aca="1" ref="W29" ca="1">IF(AND(G29=INDIRECT("'["&amp;G29&amp;"]"&amp;E29&amp;"'!"&amp;$AH$2),OR(V29=INDIRECT("'["&amp;G29&amp;"]"&amp;E29&amp;"'!"&amp;$AI$2))),INDIRECT("'["&amp;G29&amp;"]"&amp;E29&amp;"'!"&amp;$AI$3),0)</f>
        <v>#VALUE!</v>
      </c>
      <c r="AJ29" s="25">
        <v>1</v>
      </c>
      <c r="AK29" s="38">
        <f t="shared" ca="1" si="5"/>
        <v>0</v>
      </c>
      <c r="AL29" s="38">
        <f t="shared" ca="1" si="12"/>
        <v>0</v>
      </c>
      <c r="AM29" s="54" t="str">
        <f t="shared" ca="1" si="6"/>
        <v/>
      </c>
      <c r="AN29" s="25" t="e">
        <f t="shared" ca="1" si="13"/>
        <v>#VALUE!</v>
      </c>
      <c r="AO29" s="25" t="e">
        <f t="shared" ca="1" si="14"/>
        <v>#VALUE!</v>
      </c>
      <c r="AP29" s="39" t="str">
        <f t="shared" ca="1" si="7"/>
        <v/>
      </c>
      <c r="AQ29" s="46" t="str">
        <f ca="1">IF(AND(C29&lt;&gt;0, C30=0), SUM($C$2:C29)-SUM($AQ$1:AQ28), "")</f>
        <v/>
      </c>
      <c r="AR29" s="46" t="str">
        <f ca="1">IF(AND(AK29&lt;&gt;0, AK30=0), SUM($AK$2:AK29)-SUM($AR$1:AR28), "")</f>
        <v/>
      </c>
    </row>
    <row r="30" spans="1:44" ht="13.15" customHeight="1">
      <c r="A30" s="62"/>
      <c r="B30" s="68" t="str">
        <f t="shared" si="15"/>
        <v/>
      </c>
      <c r="C30" s="55" cm="1">
        <f t="array" aca="1" ref="C30" ca="1">SUM(IF(ISNUMBER(M30:U30),M30:U30,""))</f>
        <v>0</v>
      </c>
      <c r="D30" s="25" t="str">
        <f t="shared" si="8"/>
        <v/>
      </c>
      <c r="E30" s="25" t="e">
        <f t="shared" si="0"/>
        <v>#VALUE!</v>
      </c>
      <c r="F30" s="25" t="str">
        <f t="shared" si="9"/>
        <v/>
      </c>
      <c r="G30" s="25" t="str">
        <f t="shared" si="1"/>
        <v>.xlsx</v>
      </c>
      <c r="H30" s="29" t="e" cm="1">
        <f t="array" aca="1" ref="H30" ca="1">IF(AND(VALUE(E30)=INDIRECT("'["&amp;G30&amp;"]"&amp;E30&amp;"'!"&amp;$X$2),G30=INDIRECT("'["&amp;G30&amp;"]"&amp;E30&amp;"'!"&amp;$X$3)),INDIRECT("'["&amp;G30&amp;"]"&amp;E30&amp;"'!"&amp;$X$1),0)</f>
        <v>#VALUE!</v>
      </c>
      <c r="I30" s="25" t="str">
        <f t="shared" si="10"/>
        <v/>
      </c>
      <c r="J30" s="32" t="str">
        <f t="shared" si="2"/>
        <v/>
      </c>
      <c r="K30" s="25" t="str">
        <f t="shared" si="3"/>
        <v/>
      </c>
      <c r="L30" s="25" t="str">
        <f t="shared" si="4"/>
        <v/>
      </c>
      <c r="M30" s="33" t="e" cm="1">
        <f t="array" aca="1" ref="M30" ca="1">IF(AND(J30=INDIRECT("'["&amp;G30&amp;"]"&amp;E30&amp;"'!"&amp;$Y$2),G30=INDIRECT("'["&amp;G30&amp;"]"&amp;E30&amp;"'!"&amp;$AH$2)),INDIRECT("'["&amp;G30&amp;"]"&amp;E30&amp;"'!"&amp;$Y$3),0)</f>
        <v>#VALUE!</v>
      </c>
      <c r="N30" s="34" t="e" cm="1">
        <f t="array" aca="1" ref="N30" ca="1">IF(AND(G30=INDIRECT("'["&amp;G30&amp;"]"&amp;E30&amp;"'!"&amp;$AH$2),OR(K30=INDIRECT("'["&amp;G30&amp;"]"&amp;E30&amp;"'!"&amp;$Z$2))),INDIRECT("'["&amp;G30&amp;"]"&amp;E30&amp;"'!"&amp;$Z$3),0)</f>
        <v>#VALUE!</v>
      </c>
      <c r="O30" s="34" t="e" cm="1">
        <f t="array" aca="1" ref="O30" ca="1">IF(AND(G30=INDIRECT("'["&amp;G30&amp;"]"&amp;E30&amp;"'!"&amp;$AH$2),OR(L30=INDIRECT("'["&amp;G30&amp;"]"&amp;E30&amp;"'!"&amp;$AA$2))),INDIRECT("'["&amp;G30&amp;"]"&amp;E30&amp;"'!"&amp;$AA$3),0)</f>
        <v>#VALUE!</v>
      </c>
      <c r="P30" s="34" t="e" cm="1">
        <f t="array" aca="1" ref="P30" ca="1">IF(AND(G30=INDIRECT("'["&amp;G30&amp;"]"&amp;E30&amp;"'!"&amp;$AH$2),OR(VALUE(I30)=INDIRECT("'["&amp;G30&amp;"]"&amp;E30&amp;"'!"&amp;$AB$2))),INDIRECT("'["&amp;G30&amp;"]"&amp;E30&amp;"'!"&amp;$AB$3),0)</f>
        <v>#VALUE!</v>
      </c>
      <c r="Q30" s="34" t="e" cm="1">
        <f t="array" aca="1" ref="Q30" ca="1">IF(AND(G30=INDIRECT("'["&amp;G30&amp;"]"&amp;E30&amp;"'!"&amp;$AH$2),OR(VALUE(I30)=INDIRECT("'["&amp;G30&amp;"]"&amp;E30&amp;"'!"&amp;$AC$2))),INDIRECT("'["&amp;G30&amp;"]"&amp;E30&amp;"'!"&amp;$AC$3),0)</f>
        <v>#VALUE!</v>
      </c>
      <c r="R30" s="34" t="e" cm="1">
        <f t="array" aca="1" ref="R30" ca="1">IF(AND(G30=INDIRECT("'["&amp;G30&amp;"]"&amp;E30&amp;"'!"&amp;$AH$2),OR(I30=INDIRECT("'["&amp;G30&amp;"]"&amp;E30&amp;"'!"&amp;$AD$2))),INDIRECT("'["&amp;G30&amp;"]"&amp;E30&amp;"'!"&amp;$AD$3),0)</f>
        <v>#VALUE!</v>
      </c>
      <c r="S30" s="34" t="e" cm="1">
        <f t="array" aca="1" ref="S30" ca="1">IF(AND(G30=INDIRECT("'["&amp;G30&amp;"]"&amp;E30&amp;"'!"&amp;$AH$2),OR(I30=INDIRECT("'["&amp;G30&amp;"]"&amp;E30&amp;"'!"&amp;$AE$2))),INDIRECT("'["&amp;G30&amp;"]"&amp;E30&amp;"'!"&amp;$AE$3),0)</f>
        <v>#VALUE!</v>
      </c>
      <c r="T30" s="35" t="e" cm="1">
        <f t="array" aca="1" ref="T30" ca="1">IF(AND(G30=INDIRECT("'["&amp;G30&amp;"]"&amp;E30&amp;"'!"&amp;$AH$2),OR(I30=INDIRECT("'["&amp;G30&amp;"]"&amp;E30&amp;"'!"&amp;$AF$2))),INDIRECT("'["&amp;G30&amp;"]"&amp;E30&amp;"'!"&amp;$AF$3),0)</f>
        <v>#VALUE!</v>
      </c>
      <c r="U30" s="34" t="e" cm="1">
        <f t="array" aca="1" ref="U30" ca="1">IF(AND(G30=INDIRECT("'["&amp;G30&amp;"]"&amp;E30&amp;"'!"&amp;$AH$2),OR(I30=INDIRECT("'["&amp;G30&amp;"]"&amp;E30&amp;"'!"&amp;$AG$2))),INDIRECT("'["&amp;G30&amp;"]"&amp;E30&amp;"'!"&amp;$AG$3),0)</f>
        <v>#VALUE!</v>
      </c>
      <c r="V30" s="25" t="str">
        <f t="shared" si="11"/>
        <v/>
      </c>
      <c r="W30" s="36" t="e" cm="1">
        <f t="array" aca="1" ref="W30" ca="1">IF(AND(G30=INDIRECT("'["&amp;G30&amp;"]"&amp;E30&amp;"'!"&amp;$AH$2),OR(V30=INDIRECT("'["&amp;G30&amp;"]"&amp;E30&amp;"'!"&amp;$AI$2))),INDIRECT("'["&amp;G30&amp;"]"&amp;E30&amp;"'!"&amp;$AI$3),0)</f>
        <v>#VALUE!</v>
      </c>
      <c r="AJ30" s="25">
        <v>1</v>
      </c>
      <c r="AK30" s="38">
        <f t="shared" ca="1" si="5"/>
        <v>0</v>
      </c>
      <c r="AL30" s="38">
        <f t="shared" ca="1" si="12"/>
        <v>0</v>
      </c>
      <c r="AM30" s="54" t="str">
        <f t="shared" ca="1" si="6"/>
        <v/>
      </c>
      <c r="AN30" s="25" t="e">
        <f t="shared" ca="1" si="13"/>
        <v>#VALUE!</v>
      </c>
      <c r="AO30" s="25" t="e">
        <f t="shared" ca="1" si="14"/>
        <v>#VALUE!</v>
      </c>
      <c r="AP30" s="39" t="str">
        <f t="shared" ca="1" si="7"/>
        <v/>
      </c>
      <c r="AQ30" s="46" t="str">
        <f ca="1">IF(AND(C30&lt;&gt;0, C31=0), SUM($C$2:C30)-SUM($AQ$1:AQ29), "")</f>
        <v/>
      </c>
      <c r="AR30" s="46" t="str">
        <f ca="1">IF(AND(AK30&lt;&gt;0, AK31=0), SUM($AK$2:AK30)-SUM($AR$1:AR29), "")</f>
        <v/>
      </c>
    </row>
    <row r="31" spans="1:44" ht="13.15" customHeight="1">
      <c r="A31" s="62"/>
      <c r="B31" s="68" t="str">
        <f t="shared" si="15"/>
        <v/>
      </c>
      <c r="C31" s="55" cm="1">
        <f t="array" aca="1" ref="C31" ca="1">SUM(IF(ISNUMBER(M31:U31),M31:U31,""))</f>
        <v>0</v>
      </c>
      <c r="D31" s="25" t="str">
        <f t="shared" si="8"/>
        <v/>
      </c>
      <c r="E31" s="25" t="e">
        <f t="shared" si="0"/>
        <v>#VALUE!</v>
      </c>
      <c r="F31" s="25" t="str">
        <f t="shared" si="9"/>
        <v/>
      </c>
      <c r="G31" s="25" t="str">
        <f t="shared" si="1"/>
        <v>.xlsx</v>
      </c>
      <c r="H31" s="29" t="e" cm="1">
        <f t="array" aca="1" ref="H31" ca="1">IF(AND(VALUE(E31)=INDIRECT("'["&amp;G31&amp;"]"&amp;E31&amp;"'!"&amp;$X$2),G31=INDIRECT("'["&amp;G31&amp;"]"&amp;E31&amp;"'!"&amp;$X$3)),INDIRECT("'["&amp;G31&amp;"]"&amp;E31&amp;"'!"&amp;$X$1),0)</f>
        <v>#VALUE!</v>
      </c>
      <c r="I31" s="25" t="str">
        <f t="shared" si="10"/>
        <v/>
      </c>
      <c r="J31" s="32" t="str">
        <f t="shared" si="2"/>
        <v/>
      </c>
      <c r="K31" s="25" t="str">
        <f t="shared" si="3"/>
        <v/>
      </c>
      <c r="L31" s="25" t="str">
        <f t="shared" si="4"/>
        <v/>
      </c>
      <c r="M31" s="33" t="e" cm="1">
        <f t="array" aca="1" ref="M31" ca="1">IF(AND(J31=INDIRECT("'["&amp;G31&amp;"]"&amp;E31&amp;"'!"&amp;$Y$2),G31=INDIRECT("'["&amp;G31&amp;"]"&amp;E31&amp;"'!"&amp;$AH$2)),INDIRECT("'["&amp;G31&amp;"]"&amp;E31&amp;"'!"&amp;$Y$3),0)</f>
        <v>#VALUE!</v>
      </c>
      <c r="N31" s="34" t="e" cm="1">
        <f t="array" aca="1" ref="N31" ca="1">IF(AND(G31=INDIRECT("'["&amp;G31&amp;"]"&amp;E31&amp;"'!"&amp;$AH$2),OR(K31=INDIRECT("'["&amp;G31&amp;"]"&amp;E31&amp;"'!"&amp;$Z$2))),INDIRECT("'["&amp;G31&amp;"]"&amp;E31&amp;"'!"&amp;$Z$3),0)</f>
        <v>#VALUE!</v>
      </c>
      <c r="O31" s="34" t="e" cm="1">
        <f t="array" aca="1" ref="O31" ca="1">IF(AND(G31=INDIRECT("'["&amp;G31&amp;"]"&amp;E31&amp;"'!"&amp;$AH$2),OR(L31=INDIRECT("'["&amp;G31&amp;"]"&amp;E31&amp;"'!"&amp;$AA$2))),INDIRECT("'["&amp;G31&amp;"]"&amp;E31&amp;"'!"&amp;$AA$3),0)</f>
        <v>#VALUE!</v>
      </c>
      <c r="P31" s="34" t="e" cm="1">
        <f t="array" aca="1" ref="P31" ca="1">IF(AND(G31=INDIRECT("'["&amp;G31&amp;"]"&amp;E31&amp;"'!"&amp;$AH$2),OR(VALUE(I31)=INDIRECT("'["&amp;G31&amp;"]"&amp;E31&amp;"'!"&amp;$AB$2))),INDIRECT("'["&amp;G31&amp;"]"&amp;E31&amp;"'!"&amp;$AB$3),0)</f>
        <v>#VALUE!</v>
      </c>
      <c r="Q31" s="34" t="e" cm="1">
        <f t="array" aca="1" ref="Q31" ca="1">IF(AND(G31=INDIRECT("'["&amp;G31&amp;"]"&amp;E31&amp;"'!"&amp;$AH$2),OR(VALUE(I31)=INDIRECT("'["&amp;G31&amp;"]"&amp;E31&amp;"'!"&amp;$AC$2))),INDIRECT("'["&amp;G31&amp;"]"&amp;E31&amp;"'!"&amp;$AC$3),0)</f>
        <v>#VALUE!</v>
      </c>
      <c r="R31" s="34" t="e" cm="1">
        <f t="array" aca="1" ref="R31" ca="1">IF(AND(G31=INDIRECT("'["&amp;G31&amp;"]"&amp;E31&amp;"'!"&amp;$AH$2),OR(I31=INDIRECT("'["&amp;G31&amp;"]"&amp;E31&amp;"'!"&amp;$AD$2))),INDIRECT("'["&amp;G31&amp;"]"&amp;E31&amp;"'!"&amp;$AD$3),0)</f>
        <v>#VALUE!</v>
      </c>
      <c r="S31" s="34" t="e" cm="1">
        <f t="array" aca="1" ref="S31" ca="1">IF(AND(G31=INDIRECT("'["&amp;G31&amp;"]"&amp;E31&amp;"'!"&amp;$AH$2),OR(I31=INDIRECT("'["&amp;G31&amp;"]"&amp;E31&amp;"'!"&amp;$AE$2))),INDIRECT("'["&amp;G31&amp;"]"&amp;E31&amp;"'!"&amp;$AE$3),0)</f>
        <v>#VALUE!</v>
      </c>
      <c r="T31" s="35" t="e" cm="1">
        <f t="array" aca="1" ref="T31" ca="1">IF(AND(G31=INDIRECT("'["&amp;G31&amp;"]"&amp;E31&amp;"'!"&amp;$AH$2),OR(I31=INDIRECT("'["&amp;G31&amp;"]"&amp;E31&amp;"'!"&amp;$AF$2))),INDIRECT("'["&amp;G31&amp;"]"&amp;E31&amp;"'!"&amp;$AF$3),0)</f>
        <v>#VALUE!</v>
      </c>
      <c r="U31" s="34" t="e" cm="1">
        <f t="array" aca="1" ref="U31" ca="1">IF(AND(G31=INDIRECT("'["&amp;G31&amp;"]"&amp;E31&amp;"'!"&amp;$AH$2),OR(I31=INDIRECT("'["&amp;G31&amp;"]"&amp;E31&amp;"'!"&amp;$AG$2))),INDIRECT("'["&amp;G31&amp;"]"&amp;E31&amp;"'!"&amp;$AG$3),0)</f>
        <v>#VALUE!</v>
      </c>
      <c r="V31" s="25" t="str">
        <f t="shared" si="11"/>
        <v/>
      </c>
      <c r="W31" s="36" t="e" cm="1">
        <f t="array" aca="1" ref="W31" ca="1">IF(AND(G31=INDIRECT("'["&amp;G31&amp;"]"&amp;E31&amp;"'!"&amp;$AH$2),OR(V31=INDIRECT("'["&amp;G31&amp;"]"&amp;E31&amp;"'!"&amp;$AI$2))),INDIRECT("'["&amp;G31&amp;"]"&amp;E31&amp;"'!"&amp;$AI$3),0)</f>
        <v>#VALUE!</v>
      </c>
      <c r="AJ31" s="25">
        <v>1</v>
      </c>
      <c r="AK31" s="38">
        <f t="shared" ca="1" si="5"/>
        <v>0</v>
      </c>
      <c r="AL31" s="38">
        <f t="shared" ca="1" si="12"/>
        <v>0</v>
      </c>
      <c r="AM31" s="54" t="str">
        <f t="shared" ca="1" si="6"/>
        <v/>
      </c>
      <c r="AN31" s="25" t="e">
        <f t="shared" ca="1" si="13"/>
        <v>#VALUE!</v>
      </c>
      <c r="AO31" s="25" t="e">
        <f t="shared" ca="1" si="14"/>
        <v>#VALUE!</v>
      </c>
      <c r="AP31" s="39" t="str">
        <f t="shared" ca="1" si="7"/>
        <v/>
      </c>
      <c r="AQ31" s="46" t="str">
        <f ca="1">IF(AND(C31&lt;&gt;0, C32=0), SUM($C$2:C31)-SUM($AQ$1:AQ30), "")</f>
        <v/>
      </c>
      <c r="AR31" s="46" t="str">
        <f ca="1">IF(AND(AK31&lt;&gt;0, AK32=0), SUM($AK$2:AK31)-SUM($AR$1:AR30), "")</f>
        <v/>
      </c>
    </row>
    <row r="32" spans="1:44" ht="13.15" customHeight="1">
      <c r="A32" s="62"/>
      <c r="B32" s="68" t="str">
        <f t="shared" si="15"/>
        <v/>
      </c>
      <c r="C32" s="56" cm="1">
        <f t="array" aca="1" ref="C32" ca="1">SUM(IF(ISNUMBER(M32:U32),M32:U32,""))</f>
        <v>0</v>
      </c>
      <c r="D32" s="25" t="str">
        <f t="shared" si="8"/>
        <v/>
      </c>
      <c r="E32" s="25" t="e">
        <f t="shared" si="0"/>
        <v>#VALUE!</v>
      </c>
      <c r="F32" s="25" t="str">
        <f t="shared" si="9"/>
        <v/>
      </c>
      <c r="G32" s="25" t="str">
        <f t="shared" si="1"/>
        <v>.xlsx</v>
      </c>
      <c r="H32" s="29" t="e" cm="1">
        <f t="array" aca="1" ref="H32" ca="1">IF(AND(VALUE(E32)=INDIRECT("'["&amp;G32&amp;"]"&amp;E32&amp;"'!"&amp;$X$2),G32=INDIRECT("'["&amp;G32&amp;"]"&amp;E32&amp;"'!"&amp;$X$3)),INDIRECT("'["&amp;G32&amp;"]"&amp;E32&amp;"'!"&amp;$X$1),0)</f>
        <v>#VALUE!</v>
      </c>
      <c r="I32" s="25" t="str">
        <f t="shared" si="10"/>
        <v/>
      </c>
      <c r="J32" s="32" t="str">
        <f t="shared" si="2"/>
        <v/>
      </c>
      <c r="K32" s="25" t="str">
        <f t="shared" si="3"/>
        <v/>
      </c>
      <c r="L32" s="25" t="str">
        <f t="shared" si="4"/>
        <v/>
      </c>
      <c r="M32" s="33" t="e" cm="1">
        <f t="array" aca="1" ref="M32" ca="1">IF(AND(J32=INDIRECT("'["&amp;G32&amp;"]"&amp;E32&amp;"'!"&amp;$Y$2),G32=INDIRECT("'["&amp;G32&amp;"]"&amp;E32&amp;"'!"&amp;$AH$2)),INDIRECT("'["&amp;G32&amp;"]"&amp;E32&amp;"'!"&amp;$Y$3),0)</f>
        <v>#VALUE!</v>
      </c>
      <c r="N32" s="34" t="e" cm="1">
        <f t="array" aca="1" ref="N32" ca="1">IF(AND(G32=INDIRECT("'["&amp;G32&amp;"]"&amp;E32&amp;"'!"&amp;$AH$2),OR(K32=INDIRECT("'["&amp;G32&amp;"]"&amp;E32&amp;"'!"&amp;$Z$2))),INDIRECT("'["&amp;G32&amp;"]"&amp;E32&amp;"'!"&amp;$Z$3),0)</f>
        <v>#VALUE!</v>
      </c>
      <c r="O32" s="34" t="e" cm="1">
        <f t="array" aca="1" ref="O32" ca="1">IF(AND(G32=INDIRECT("'["&amp;G32&amp;"]"&amp;E32&amp;"'!"&amp;$AH$2),OR(L32=INDIRECT("'["&amp;G32&amp;"]"&amp;E32&amp;"'!"&amp;$AA$2))),INDIRECT("'["&amp;G32&amp;"]"&amp;E32&amp;"'!"&amp;$AA$3),0)</f>
        <v>#VALUE!</v>
      </c>
      <c r="P32" s="34" t="e" cm="1">
        <f t="array" aca="1" ref="P32" ca="1">IF(AND(G32=INDIRECT("'["&amp;G32&amp;"]"&amp;E32&amp;"'!"&amp;$AH$2),OR(VALUE(I32)=INDIRECT("'["&amp;G32&amp;"]"&amp;E32&amp;"'!"&amp;$AB$2))),INDIRECT("'["&amp;G32&amp;"]"&amp;E32&amp;"'!"&amp;$AB$3),0)</f>
        <v>#VALUE!</v>
      </c>
      <c r="Q32" s="34" t="e" cm="1">
        <f t="array" aca="1" ref="Q32" ca="1">IF(AND(G32=INDIRECT("'["&amp;G32&amp;"]"&amp;E32&amp;"'!"&amp;$AH$2),OR(VALUE(I32)=INDIRECT("'["&amp;G32&amp;"]"&amp;E32&amp;"'!"&amp;$AC$2))),INDIRECT("'["&amp;G32&amp;"]"&amp;E32&amp;"'!"&amp;$AC$3),0)</f>
        <v>#VALUE!</v>
      </c>
      <c r="R32" s="34" t="e" cm="1">
        <f t="array" aca="1" ref="R32" ca="1">IF(AND(G32=INDIRECT("'["&amp;G32&amp;"]"&amp;E32&amp;"'!"&amp;$AH$2),OR(I32=INDIRECT("'["&amp;G32&amp;"]"&amp;E32&amp;"'!"&amp;$AD$2))),INDIRECT("'["&amp;G32&amp;"]"&amp;E32&amp;"'!"&amp;$AD$3),0)</f>
        <v>#VALUE!</v>
      </c>
      <c r="S32" s="34" t="e" cm="1">
        <f t="array" aca="1" ref="S32" ca="1">IF(AND(G32=INDIRECT("'["&amp;G32&amp;"]"&amp;E32&amp;"'!"&amp;$AH$2),OR(I32=INDIRECT("'["&amp;G32&amp;"]"&amp;E32&amp;"'!"&amp;$AE$2))),INDIRECT("'["&amp;G32&amp;"]"&amp;E32&amp;"'!"&amp;$AE$3),0)</f>
        <v>#VALUE!</v>
      </c>
      <c r="T32" s="35" t="e" cm="1">
        <f t="array" aca="1" ref="T32" ca="1">IF(AND(G32=INDIRECT("'["&amp;G32&amp;"]"&amp;E32&amp;"'!"&amp;$AH$2),OR(I32=INDIRECT("'["&amp;G32&amp;"]"&amp;E32&amp;"'!"&amp;$AF$2))),INDIRECT("'["&amp;G32&amp;"]"&amp;E32&amp;"'!"&amp;$AF$3),0)</f>
        <v>#VALUE!</v>
      </c>
      <c r="U32" s="34" t="e" cm="1">
        <f t="array" aca="1" ref="U32" ca="1">IF(AND(G32=INDIRECT("'["&amp;G32&amp;"]"&amp;E32&amp;"'!"&amp;$AH$2),OR(I32=INDIRECT("'["&amp;G32&amp;"]"&amp;E32&amp;"'!"&amp;$AG$2))),INDIRECT("'["&amp;G32&amp;"]"&amp;E32&amp;"'!"&amp;$AG$3),0)</f>
        <v>#VALUE!</v>
      </c>
      <c r="V32" s="25" t="str">
        <f t="shared" si="11"/>
        <v/>
      </c>
      <c r="W32" s="36" t="e" cm="1">
        <f t="array" aca="1" ref="W32" ca="1">IF(AND(G32=INDIRECT("'["&amp;G32&amp;"]"&amp;E32&amp;"'!"&amp;$AH$2),OR(V32=INDIRECT("'["&amp;G32&amp;"]"&amp;E32&amp;"'!"&amp;$AI$2))),INDIRECT("'["&amp;G32&amp;"]"&amp;E32&amp;"'!"&amp;$AI$3),0)</f>
        <v>#VALUE!</v>
      </c>
      <c r="AJ32" s="25">
        <v>1</v>
      </c>
      <c r="AK32" s="38">
        <f t="shared" ca="1" si="5"/>
        <v>0</v>
      </c>
      <c r="AL32" s="38">
        <f t="shared" ca="1" si="12"/>
        <v>0</v>
      </c>
      <c r="AM32" s="54" t="str">
        <f t="shared" ca="1" si="6"/>
        <v/>
      </c>
      <c r="AN32" s="25" t="e">
        <f t="shared" ca="1" si="13"/>
        <v>#VALUE!</v>
      </c>
      <c r="AO32" s="25" t="e">
        <f t="shared" ca="1" si="14"/>
        <v>#VALUE!</v>
      </c>
      <c r="AP32" s="39" t="str">
        <f t="shared" ca="1" si="7"/>
        <v/>
      </c>
      <c r="AQ32" s="46" t="str">
        <f ca="1">IF(AND(C32&lt;&gt;0, C33=0), SUM($C$2:C32)-SUM($AQ$1:AQ31), "")</f>
        <v/>
      </c>
      <c r="AR32" s="46" t="str">
        <f ca="1">IF(AND(AK32&lt;&gt;0, AK33=0), SUM($AK$2:AK32)-SUM($AR$1:AR31), "")</f>
        <v/>
      </c>
    </row>
    <row r="33" spans="1:44" ht="13.15" customHeight="1">
      <c r="A33" s="31"/>
      <c r="B33" s="68" t="str">
        <f t="shared" si="15"/>
        <v/>
      </c>
      <c r="C33" s="55" cm="1">
        <f t="array" aca="1" ref="C33" ca="1">SUM(IF(ISNUMBER(M33:U33),M33:U33,""))</f>
        <v>0</v>
      </c>
      <c r="D33" s="25" t="str">
        <f t="shared" si="8"/>
        <v/>
      </c>
      <c r="E33" s="25" t="e">
        <f t="shared" si="0"/>
        <v>#VALUE!</v>
      </c>
      <c r="F33" s="25" t="str">
        <f t="shared" si="9"/>
        <v/>
      </c>
      <c r="G33" s="25" t="str">
        <f t="shared" si="1"/>
        <v>.xlsx</v>
      </c>
      <c r="H33" s="29" t="e" cm="1">
        <f t="array" aca="1" ref="H33" ca="1">IF(AND(VALUE(E33)=INDIRECT("'["&amp;G33&amp;"]"&amp;E33&amp;"'!"&amp;$X$2),G33=INDIRECT("'["&amp;G33&amp;"]"&amp;E33&amp;"'!"&amp;$X$3)),INDIRECT("'["&amp;G33&amp;"]"&amp;E33&amp;"'!"&amp;$X$1),0)</f>
        <v>#VALUE!</v>
      </c>
      <c r="I33" s="25" t="str">
        <f t="shared" si="10"/>
        <v/>
      </c>
      <c r="J33" s="32" t="str">
        <f t="shared" si="2"/>
        <v/>
      </c>
      <c r="K33" s="25" t="str">
        <f t="shared" si="3"/>
        <v/>
      </c>
      <c r="L33" s="25" t="str">
        <f t="shared" si="4"/>
        <v/>
      </c>
      <c r="M33" s="33" t="e" cm="1">
        <f t="array" aca="1" ref="M33" ca="1">IF(AND(J33=INDIRECT("'["&amp;G33&amp;"]"&amp;E33&amp;"'!"&amp;$Y$2),G33=INDIRECT("'["&amp;G33&amp;"]"&amp;E33&amp;"'!"&amp;$AH$2)),INDIRECT("'["&amp;G33&amp;"]"&amp;E33&amp;"'!"&amp;$Y$3),0)</f>
        <v>#VALUE!</v>
      </c>
      <c r="N33" s="34" t="e" cm="1">
        <f t="array" aca="1" ref="N33" ca="1">IF(AND(G33=INDIRECT("'["&amp;G33&amp;"]"&amp;E33&amp;"'!"&amp;$AH$2),OR(K33=INDIRECT("'["&amp;G33&amp;"]"&amp;E33&amp;"'!"&amp;$Z$2))),INDIRECT("'["&amp;G33&amp;"]"&amp;E33&amp;"'!"&amp;$Z$3),0)</f>
        <v>#VALUE!</v>
      </c>
      <c r="O33" s="34" t="e" cm="1">
        <f t="array" aca="1" ref="O33" ca="1">IF(AND(G33=INDIRECT("'["&amp;G33&amp;"]"&amp;E33&amp;"'!"&amp;$AH$2),OR(L33=INDIRECT("'["&amp;G33&amp;"]"&amp;E33&amp;"'!"&amp;$AA$2))),INDIRECT("'["&amp;G33&amp;"]"&amp;E33&amp;"'!"&amp;$AA$3),0)</f>
        <v>#VALUE!</v>
      </c>
      <c r="P33" s="34" t="e" cm="1">
        <f t="array" aca="1" ref="P33" ca="1">IF(AND(G33=INDIRECT("'["&amp;G33&amp;"]"&amp;E33&amp;"'!"&amp;$AH$2),OR(VALUE(I33)=INDIRECT("'["&amp;G33&amp;"]"&amp;E33&amp;"'!"&amp;$AB$2))),INDIRECT("'["&amp;G33&amp;"]"&amp;E33&amp;"'!"&amp;$AB$3),0)</f>
        <v>#VALUE!</v>
      </c>
      <c r="Q33" s="34" t="e" cm="1">
        <f t="array" aca="1" ref="Q33" ca="1">IF(AND(G33=INDIRECT("'["&amp;G33&amp;"]"&amp;E33&amp;"'!"&amp;$AH$2),OR(VALUE(I33)=INDIRECT("'["&amp;G33&amp;"]"&amp;E33&amp;"'!"&amp;$AC$2))),INDIRECT("'["&amp;G33&amp;"]"&amp;E33&amp;"'!"&amp;$AC$3),0)</f>
        <v>#VALUE!</v>
      </c>
      <c r="R33" s="34" t="e" cm="1">
        <f t="array" aca="1" ref="R33" ca="1">IF(AND(G33=INDIRECT("'["&amp;G33&amp;"]"&amp;E33&amp;"'!"&amp;$AH$2),OR(I33=INDIRECT("'["&amp;G33&amp;"]"&amp;E33&amp;"'!"&amp;$AD$2))),INDIRECT("'["&amp;G33&amp;"]"&amp;E33&amp;"'!"&amp;$AD$3),0)</f>
        <v>#VALUE!</v>
      </c>
      <c r="S33" s="34" t="e" cm="1">
        <f t="array" aca="1" ref="S33" ca="1">IF(AND(G33=INDIRECT("'["&amp;G33&amp;"]"&amp;E33&amp;"'!"&amp;$AH$2),OR(I33=INDIRECT("'["&amp;G33&amp;"]"&amp;E33&amp;"'!"&amp;$AE$2))),INDIRECT("'["&amp;G33&amp;"]"&amp;E33&amp;"'!"&amp;$AE$3),0)</f>
        <v>#VALUE!</v>
      </c>
      <c r="T33" s="35" t="e" cm="1">
        <f t="array" aca="1" ref="T33" ca="1">IF(AND(G33=INDIRECT("'["&amp;G33&amp;"]"&amp;E33&amp;"'!"&amp;$AH$2),OR(I33=INDIRECT("'["&amp;G33&amp;"]"&amp;E33&amp;"'!"&amp;$AF$2))),INDIRECT("'["&amp;G33&amp;"]"&amp;E33&amp;"'!"&amp;$AF$3),0)</f>
        <v>#VALUE!</v>
      </c>
      <c r="U33" s="34" t="e" cm="1">
        <f t="array" aca="1" ref="U33" ca="1">IF(AND(G33=INDIRECT("'["&amp;G33&amp;"]"&amp;E33&amp;"'!"&amp;$AH$2),OR(I33=INDIRECT("'["&amp;G33&amp;"]"&amp;E33&amp;"'!"&amp;$AG$2))),INDIRECT("'["&amp;G33&amp;"]"&amp;E33&amp;"'!"&amp;$AG$3),0)</f>
        <v>#VALUE!</v>
      </c>
      <c r="V33" s="25" t="str">
        <f t="shared" si="11"/>
        <v/>
      </c>
      <c r="W33" s="36" t="e" cm="1">
        <f t="array" aca="1" ref="W33" ca="1">IF(AND(G33=INDIRECT("'["&amp;G33&amp;"]"&amp;E33&amp;"'!"&amp;$AH$2),OR(V33=INDIRECT("'["&amp;G33&amp;"]"&amp;E33&amp;"'!"&amp;$AI$2))),INDIRECT("'["&amp;G33&amp;"]"&amp;E33&amp;"'!"&amp;$AI$3),0)</f>
        <v>#VALUE!</v>
      </c>
      <c r="AJ33" s="25">
        <v>1</v>
      </c>
      <c r="AK33" s="38">
        <f t="shared" ca="1" si="5"/>
        <v>0</v>
      </c>
      <c r="AL33" s="38">
        <f t="shared" ca="1" si="12"/>
        <v>0</v>
      </c>
      <c r="AM33" s="54" t="str">
        <f t="shared" ca="1" si="6"/>
        <v/>
      </c>
      <c r="AN33" s="25" t="e">
        <f t="shared" ca="1" si="13"/>
        <v>#VALUE!</v>
      </c>
      <c r="AO33" s="25" t="e">
        <f t="shared" ca="1" si="14"/>
        <v>#VALUE!</v>
      </c>
      <c r="AP33" s="39" t="str">
        <f t="shared" ca="1" si="7"/>
        <v/>
      </c>
      <c r="AQ33" s="46" t="str">
        <f ca="1">IF(AND(C33&lt;&gt;0, C34=0), SUM($C$2:C33)-SUM($AQ$1:AQ32), "")</f>
        <v/>
      </c>
      <c r="AR33" s="46" t="str">
        <f ca="1">IF(AND(AK33&lt;&gt;0, AK34=0), SUM($AK$2:AK33)-SUM($AR$1:AR32), "")</f>
        <v/>
      </c>
    </row>
    <row r="34" spans="1:44" ht="13.15" customHeight="1">
      <c r="A34" s="31"/>
      <c r="B34" s="68" t="str">
        <f t="shared" si="15"/>
        <v/>
      </c>
      <c r="C34" s="55" cm="1">
        <f t="array" aca="1" ref="C34" ca="1">SUM(IF(ISNUMBER(M34:U34),M34:U34,""))</f>
        <v>0</v>
      </c>
      <c r="D34" s="25" t="str">
        <f t="shared" si="8"/>
        <v/>
      </c>
      <c r="E34" s="25" t="e">
        <f t="shared" si="0"/>
        <v>#VALUE!</v>
      </c>
      <c r="F34" s="25" t="str">
        <f t="shared" si="9"/>
        <v/>
      </c>
      <c r="G34" s="25" t="str">
        <f t="shared" si="1"/>
        <v>.xlsx</v>
      </c>
      <c r="H34" s="29" t="e" cm="1">
        <f t="array" aca="1" ref="H34" ca="1">IF(AND(VALUE(E34)=INDIRECT("'["&amp;G34&amp;"]"&amp;E34&amp;"'!"&amp;$X$2),G34=INDIRECT("'["&amp;G34&amp;"]"&amp;E34&amp;"'!"&amp;$X$3)),INDIRECT("'["&amp;G34&amp;"]"&amp;E34&amp;"'!"&amp;$X$1),0)</f>
        <v>#VALUE!</v>
      </c>
      <c r="I34" s="25" t="str">
        <f t="shared" si="10"/>
        <v/>
      </c>
      <c r="J34" s="32" t="str">
        <f t="shared" si="2"/>
        <v/>
      </c>
      <c r="K34" s="25" t="str">
        <f t="shared" si="3"/>
        <v/>
      </c>
      <c r="L34" s="25" t="str">
        <f t="shared" si="4"/>
        <v/>
      </c>
      <c r="M34" s="33" t="e" cm="1">
        <f t="array" aca="1" ref="M34" ca="1">IF(AND(J34=INDIRECT("'["&amp;G34&amp;"]"&amp;E34&amp;"'!"&amp;$Y$2),G34=INDIRECT("'["&amp;G34&amp;"]"&amp;E34&amp;"'!"&amp;$AH$2)),INDIRECT("'["&amp;G34&amp;"]"&amp;E34&amp;"'!"&amp;$Y$3),0)</f>
        <v>#VALUE!</v>
      </c>
      <c r="N34" s="34" t="e" cm="1">
        <f t="array" aca="1" ref="N34" ca="1">IF(AND(G34=INDIRECT("'["&amp;G34&amp;"]"&amp;E34&amp;"'!"&amp;$AH$2),OR(K34=INDIRECT("'["&amp;G34&amp;"]"&amp;E34&amp;"'!"&amp;$Z$2))),INDIRECT("'["&amp;G34&amp;"]"&amp;E34&amp;"'!"&amp;$Z$3),0)</f>
        <v>#VALUE!</v>
      </c>
      <c r="O34" s="34" t="e" cm="1">
        <f t="array" aca="1" ref="O34" ca="1">IF(AND(G34=INDIRECT("'["&amp;G34&amp;"]"&amp;E34&amp;"'!"&amp;$AH$2),OR(L34=INDIRECT("'["&amp;G34&amp;"]"&amp;E34&amp;"'!"&amp;$AA$2))),INDIRECT("'["&amp;G34&amp;"]"&amp;E34&amp;"'!"&amp;$AA$3),0)</f>
        <v>#VALUE!</v>
      </c>
      <c r="P34" s="34" t="e" cm="1">
        <f t="array" aca="1" ref="P34" ca="1">IF(AND(G34=INDIRECT("'["&amp;G34&amp;"]"&amp;E34&amp;"'!"&amp;$AH$2),OR(VALUE(I34)=INDIRECT("'["&amp;G34&amp;"]"&amp;E34&amp;"'!"&amp;$AB$2))),INDIRECT("'["&amp;G34&amp;"]"&amp;E34&amp;"'!"&amp;$AB$3),0)</f>
        <v>#VALUE!</v>
      </c>
      <c r="Q34" s="34" t="e" cm="1">
        <f t="array" aca="1" ref="Q34" ca="1">IF(AND(G34=INDIRECT("'["&amp;G34&amp;"]"&amp;E34&amp;"'!"&amp;$AH$2),OR(VALUE(I34)=INDIRECT("'["&amp;G34&amp;"]"&amp;E34&amp;"'!"&amp;$AC$2))),INDIRECT("'["&amp;G34&amp;"]"&amp;E34&amp;"'!"&amp;$AC$3),0)</f>
        <v>#VALUE!</v>
      </c>
      <c r="R34" s="34" t="e" cm="1">
        <f t="array" aca="1" ref="R34" ca="1">IF(AND(G34=INDIRECT("'["&amp;G34&amp;"]"&amp;E34&amp;"'!"&amp;$AH$2),OR(I34=INDIRECT("'["&amp;G34&amp;"]"&amp;E34&amp;"'!"&amp;$AD$2))),INDIRECT("'["&amp;G34&amp;"]"&amp;E34&amp;"'!"&amp;$AD$3),0)</f>
        <v>#VALUE!</v>
      </c>
      <c r="S34" s="34" t="e" cm="1">
        <f t="array" aca="1" ref="S34" ca="1">IF(AND(G34=INDIRECT("'["&amp;G34&amp;"]"&amp;E34&amp;"'!"&amp;$AH$2),OR(I34=INDIRECT("'["&amp;G34&amp;"]"&amp;E34&amp;"'!"&amp;$AE$2))),INDIRECT("'["&amp;G34&amp;"]"&amp;E34&amp;"'!"&amp;$AE$3),0)</f>
        <v>#VALUE!</v>
      </c>
      <c r="T34" s="35" t="e" cm="1">
        <f t="array" aca="1" ref="T34" ca="1">IF(AND(G34=INDIRECT("'["&amp;G34&amp;"]"&amp;E34&amp;"'!"&amp;$AH$2),OR(I34=INDIRECT("'["&amp;G34&amp;"]"&amp;E34&amp;"'!"&amp;$AF$2))),INDIRECT("'["&amp;G34&amp;"]"&amp;E34&amp;"'!"&amp;$AF$3),0)</f>
        <v>#VALUE!</v>
      </c>
      <c r="U34" s="34" t="e" cm="1">
        <f t="array" aca="1" ref="U34" ca="1">IF(AND(G34=INDIRECT("'["&amp;G34&amp;"]"&amp;E34&amp;"'!"&amp;$AH$2),OR(I34=INDIRECT("'["&amp;G34&amp;"]"&amp;E34&amp;"'!"&amp;$AG$2))),INDIRECT("'["&amp;G34&amp;"]"&amp;E34&amp;"'!"&amp;$AG$3),0)</f>
        <v>#VALUE!</v>
      </c>
      <c r="V34" s="25" t="str">
        <f t="shared" si="11"/>
        <v/>
      </c>
      <c r="W34" s="36" t="e" cm="1">
        <f t="array" aca="1" ref="W34" ca="1">IF(AND(G34=INDIRECT("'["&amp;G34&amp;"]"&amp;E34&amp;"'!"&amp;$AH$2),OR(V34=INDIRECT("'["&amp;G34&amp;"]"&amp;E34&amp;"'!"&amp;$AI$2))),INDIRECT("'["&amp;G34&amp;"]"&amp;E34&amp;"'!"&amp;$AI$3),0)</f>
        <v>#VALUE!</v>
      </c>
      <c r="AJ34" s="25">
        <v>1</v>
      </c>
      <c r="AK34" s="38">
        <f t="shared" ca="1" si="5"/>
        <v>0</v>
      </c>
      <c r="AL34" s="38">
        <f t="shared" ca="1" si="12"/>
        <v>0</v>
      </c>
      <c r="AM34" s="54" t="str">
        <f t="shared" ca="1" si="6"/>
        <v/>
      </c>
      <c r="AN34" s="25" t="e">
        <f t="shared" ca="1" si="13"/>
        <v>#VALUE!</v>
      </c>
      <c r="AO34" s="25" t="e">
        <f t="shared" ca="1" si="14"/>
        <v>#VALUE!</v>
      </c>
      <c r="AP34" s="39" t="str">
        <f t="shared" ca="1" si="7"/>
        <v/>
      </c>
      <c r="AQ34" s="46" t="str">
        <f ca="1">IF(AND(C34&lt;&gt;0, C35=0), SUM($C$2:C34)-SUM($AQ$1:AQ33), "")</f>
        <v/>
      </c>
      <c r="AR34" s="46" t="str">
        <f ca="1">IF(AND(AK34&lt;&gt;0, AK35=0), SUM($AK$2:AK34)-SUM($AR$1:AR33), "")</f>
        <v/>
      </c>
    </row>
    <row r="35" spans="1:44" ht="13.15" customHeight="1">
      <c r="A35" s="31"/>
      <c r="B35" s="68" t="str">
        <f t="shared" ref="B35:B89" si="16">LEFT(A35,15)</f>
        <v/>
      </c>
      <c r="C35" s="55" cm="1">
        <f t="array" aca="1" ref="C35" ca="1">SUM(IF(ISNUMBER(M35:U35),M35:U35,""))</f>
        <v>0</v>
      </c>
      <c r="D35" s="25" t="str">
        <f t="shared" ref="D35:D87" si="17">MID(A35,4,2)</f>
        <v/>
      </c>
      <c r="E35" s="25" t="e">
        <f t="shared" ref="E35:E65" si="18">IF(ISEVEN(D35),D35-1,VALUE(D35))</f>
        <v>#VALUE!</v>
      </c>
      <c r="F35" s="25" t="str">
        <f t="shared" ref="F35:F87" si="19">LEFT(A35,2)</f>
        <v/>
      </c>
      <c r="G35" s="25" t="str">
        <f t="shared" ref="G35:G65" si="20">CONCATENATE(F35,".xlsx")</f>
        <v>.xlsx</v>
      </c>
      <c r="H35" s="29" t="e" cm="1">
        <f t="array" aca="1" ref="H35" ca="1">IF(AND(VALUE(E35)=INDIRECT("'["&amp;G35&amp;"]"&amp;E35&amp;"'!"&amp;$X$2),G35=INDIRECT("'["&amp;G35&amp;"]"&amp;E35&amp;"'!"&amp;$X$3)),INDIRECT("'["&amp;G35&amp;"]"&amp;E35&amp;"'!"&amp;$X$1),0)</f>
        <v>#VALUE!</v>
      </c>
      <c r="I35" s="25" t="str">
        <f t="shared" ref="I35:I66" si="21">MID(A35,10,6)</f>
        <v/>
      </c>
      <c r="J35" s="32" t="str">
        <f t="shared" ref="J35:J65" si="22">RIGHT(I35,2)</f>
        <v/>
      </c>
      <c r="K35" s="25" t="str">
        <f t="shared" ref="K35:K66" si="23">LEFT(I35,3)</f>
        <v/>
      </c>
      <c r="L35" s="25" t="str">
        <f t="shared" ref="L35:L66" si="24">RIGHT(I35,3)</f>
        <v/>
      </c>
      <c r="M35" s="33" t="e" cm="1">
        <f t="array" aca="1" ref="M35" ca="1">IF(AND(J35=INDIRECT("'["&amp;G35&amp;"]"&amp;E35&amp;"'!"&amp;$Y$2),G35=INDIRECT("'["&amp;G35&amp;"]"&amp;E35&amp;"'!"&amp;$AH$2)),INDIRECT("'["&amp;G35&amp;"]"&amp;E35&amp;"'!"&amp;$Y$3),0)</f>
        <v>#VALUE!</v>
      </c>
      <c r="N35" s="34" t="e" cm="1">
        <f t="array" aca="1" ref="N35" ca="1">IF(AND(G35=INDIRECT("'["&amp;G35&amp;"]"&amp;E35&amp;"'!"&amp;$AH$2),OR(K35=INDIRECT("'["&amp;G35&amp;"]"&amp;E35&amp;"'!"&amp;$Z$2))),INDIRECT("'["&amp;G35&amp;"]"&amp;E35&amp;"'!"&amp;$Z$3),0)</f>
        <v>#VALUE!</v>
      </c>
      <c r="O35" s="34" t="e" cm="1">
        <f t="array" aca="1" ref="O35" ca="1">IF(AND(G35=INDIRECT("'["&amp;G35&amp;"]"&amp;E35&amp;"'!"&amp;$AH$2),OR(L35=INDIRECT("'["&amp;G35&amp;"]"&amp;E35&amp;"'!"&amp;$AA$2))),INDIRECT("'["&amp;G35&amp;"]"&amp;E35&amp;"'!"&amp;$AA$3),0)</f>
        <v>#VALUE!</v>
      </c>
      <c r="P35" s="34" t="e" cm="1">
        <f t="array" aca="1" ref="P35" ca="1">IF(AND(G35=INDIRECT("'["&amp;G35&amp;"]"&amp;E35&amp;"'!"&amp;$AH$2),OR(VALUE(I35)=INDIRECT("'["&amp;G35&amp;"]"&amp;E35&amp;"'!"&amp;$AB$2))),INDIRECT("'["&amp;G35&amp;"]"&amp;E35&amp;"'!"&amp;$AB$3),0)</f>
        <v>#VALUE!</v>
      </c>
      <c r="Q35" s="34" t="e" cm="1">
        <f t="array" aca="1" ref="Q35" ca="1">IF(AND(G35=INDIRECT("'["&amp;G35&amp;"]"&amp;E35&amp;"'!"&amp;$AH$2),OR(VALUE(I35)=INDIRECT("'["&amp;G35&amp;"]"&amp;E35&amp;"'!"&amp;$AC$2))),INDIRECT("'["&amp;G35&amp;"]"&amp;E35&amp;"'!"&amp;$AC$3),0)</f>
        <v>#VALUE!</v>
      </c>
      <c r="R35" s="34" t="e" cm="1">
        <f t="array" aca="1" ref="R35" ca="1">IF(AND(G35=INDIRECT("'["&amp;G35&amp;"]"&amp;E35&amp;"'!"&amp;$AH$2),OR(I35=INDIRECT("'["&amp;G35&amp;"]"&amp;E35&amp;"'!"&amp;$AD$2))),INDIRECT("'["&amp;G35&amp;"]"&amp;E35&amp;"'!"&amp;$AD$3),0)</f>
        <v>#VALUE!</v>
      </c>
      <c r="S35" s="34" t="e" cm="1">
        <f t="array" aca="1" ref="S35" ca="1">IF(AND(G35=INDIRECT("'["&amp;G35&amp;"]"&amp;E35&amp;"'!"&amp;$AH$2),OR(I35=INDIRECT("'["&amp;G35&amp;"]"&amp;E35&amp;"'!"&amp;$AE$2))),INDIRECT("'["&amp;G35&amp;"]"&amp;E35&amp;"'!"&amp;$AE$3),0)</f>
        <v>#VALUE!</v>
      </c>
      <c r="T35" s="35" t="e" cm="1">
        <f t="array" aca="1" ref="T35" ca="1">IF(AND(G35=INDIRECT("'["&amp;G35&amp;"]"&amp;E35&amp;"'!"&amp;$AH$2),OR(I35=INDIRECT("'["&amp;G35&amp;"]"&amp;E35&amp;"'!"&amp;$AF$2))),INDIRECT("'["&amp;G35&amp;"]"&amp;E35&amp;"'!"&amp;$AF$3),0)</f>
        <v>#VALUE!</v>
      </c>
      <c r="U35" s="34" t="e" cm="1">
        <f t="array" aca="1" ref="U35" ca="1">IF(AND(G35=INDIRECT("'["&amp;G35&amp;"]"&amp;E35&amp;"'!"&amp;$AH$2),OR(I35=INDIRECT("'["&amp;G35&amp;"]"&amp;E35&amp;"'!"&amp;$AG$2))),INDIRECT("'["&amp;G35&amp;"]"&amp;E35&amp;"'!"&amp;$AG$3),0)</f>
        <v>#VALUE!</v>
      </c>
      <c r="V35" s="25" t="str">
        <f t="shared" ref="V35:V66" si="25">MID(B35,7,9)</f>
        <v/>
      </c>
      <c r="W35" s="36" t="e" cm="1">
        <f t="array" aca="1" ref="W35" ca="1">IF(AND(G35=INDIRECT("'["&amp;G35&amp;"]"&amp;E35&amp;"'!"&amp;$AH$2),OR(V35=INDIRECT("'["&amp;G35&amp;"]"&amp;E35&amp;"'!"&amp;$AI$2))),INDIRECT("'["&amp;G35&amp;"]"&amp;E35&amp;"'!"&amp;$AI$3),0)</f>
        <v>#VALUE!</v>
      </c>
      <c r="AJ35" s="25">
        <v>1</v>
      </c>
      <c r="AK35" s="38">
        <f t="shared" ca="1" si="5"/>
        <v>0</v>
      </c>
      <c r="AL35" s="38">
        <f t="shared" ca="1" si="12"/>
        <v>0</v>
      </c>
      <c r="AM35" s="54" t="str">
        <f t="shared" ca="1" si="6"/>
        <v/>
      </c>
      <c r="AN35" s="25" t="e">
        <f t="shared" ca="1" si="13"/>
        <v>#VALUE!</v>
      </c>
      <c r="AO35" s="25" t="e">
        <f t="shared" ca="1" si="14"/>
        <v>#VALUE!</v>
      </c>
      <c r="AP35" s="39" t="str">
        <f t="shared" ca="1" si="7"/>
        <v/>
      </c>
      <c r="AQ35" s="46" t="str">
        <f ca="1">IF(AND(C35&lt;&gt;0, C36=0), SUM($C$2:C35)-SUM($AQ$1:AQ34), "")</f>
        <v/>
      </c>
      <c r="AR35" s="46" t="str">
        <f ca="1">IF(AND(AK35&lt;&gt;0, AK36=0), SUM($AK$2:AK35)-SUM($AR$1:AR34), "")</f>
        <v/>
      </c>
    </row>
    <row r="36" spans="1:44" ht="13.15" customHeight="1">
      <c r="A36" s="31"/>
      <c r="B36" s="68" t="str">
        <f t="shared" si="16"/>
        <v/>
      </c>
      <c r="C36" s="55" cm="1">
        <f t="array" aca="1" ref="C36" ca="1">SUM(IF(ISNUMBER(M36:U36),M36:U36,""))</f>
        <v>0</v>
      </c>
      <c r="D36" s="25" t="str">
        <f t="shared" si="17"/>
        <v/>
      </c>
      <c r="E36" s="25" t="e">
        <f t="shared" si="18"/>
        <v>#VALUE!</v>
      </c>
      <c r="F36" s="25" t="str">
        <f t="shared" si="19"/>
        <v/>
      </c>
      <c r="G36" s="25" t="str">
        <f t="shared" si="20"/>
        <v>.xlsx</v>
      </c>
      <c r="H36" s="29" t="e" cm="1">
        <f t="array" aca="1" ref="H36" ca="1">IF(AND(VALUE(E36)=INDIRECT("'["&amp;G36&amp;"]"&amp;E36&amp;"'!"&amp;$X$2),G36=INDIRECT("'["&amp;G36&amp;"]"&amp;E36&amp;"'!"&amp;$X$3)),INDIRECT("'["&amp;G36&amp;"]"&amp;E36&amp;"'!"&amp;$X$1),0)</f>
        <v>#VALUE!</v>
      </c>
      <c r="I36" s="25" t="str">
        <f t="shared" si="21"/>
        <v/>
      </c>
      <c r="J36" s="32" t="str">
        <f t="shared" si="22"/>
        <v/>
      </c>
      <c r="K36" s="25" t="str">
        <f t="shared" si="23"/>
        <v/>
      </c>
      <c r="L36" s="25" t="str">
        <f t="shared" si="24"/>
        <v/>
      </c>
      <c r="M36" s="33" t="e" cm="1">
        <f t="array" aca="1" ref="M36" ca="1">IF(AND(J36=INDIRECT("'["&amp;G36&amp;"]"&amp;E36&amp;"'!"&amp;$Y$2),G36=INDIRECT("'["&amp;G36&amp;"]"&amp;E36&amp;"'!"&amp;$AH$2)),INDIRECT("'["&amp;G36&amp;"]"&amp;E36&amp;"'!"&amp;$Y$3),0)</f>
        <v>#VALUE!</v>
      </c>
      <c r="N36" s="34" t="e" cm="1">
        <f t="array" aca="1" ref="N36" ca="1">IF(AND(G36=INDIRECT("'["&amp;G36&amp;"]"&amp;E36&amp;"'!"&amp;$AH$2),OR(K36=INDIRECT("'["&amp;G36&amp;"]"&amp;E36&amp;"'!"&amp;$Z$2))),INDIRECT("'["&amp;G36&amp;"]"&amp;E36&amp;"'!"&amp;$Z$3),0)</f>
        <v>#VALUE!</v>
      </c>
      <c r="O36" s="34" t="e" cm="1">
        <f t="array" aca="1" ref="O36" ca="1">IF(AND(G36=INDIRECT("'["&amp;G36&amp;"]"&amp;E36&amp;"'!"&amp;$AH$2),OR(L36=INDIRECT("'["&amp;G36&amp;"]"&amp;E36&amp;"'!"&amp;$AA$2))),INDIRECT("'["&amp;G36&amp;"]"&amp;E36&amp;"'!"&amp;$AA$3),0)</f>
        <v>#VALUE!</v>
      </c>
      <c r="P36" s="34" t="e" cm="1">
        <f t="array" aca="1" ref="P36" ca="1">IF(AND(G36=INDIRECT("'["&amp;G36&amp;"]"&amp;E36&amp;"'!"&amp;$AH$2),OR(VALUE(I36)=INDIRECT("'["&amp;G36&amp;"]"&amp;E36&amp;"'!"&amp;$AB$2))),INDIRECT("'["&amp;G36&amp;"]"&amp;E36&amp;"'!"&amp;$AB$3),0)</f>
        <v>#VALUE!</v>
      </c>
      <c r="Q36" s="34" t="e" cm="1">
        <f t="array" aca="1" ref="Q36" ca="1">IF(AND(G36=INDIRECT("'["&amp;G36&amp;"]"&amp;E36&amp;"'!"&amp;$AH$2),OR(VALUE(I36)=INDIRECT("'["&amp;G36&amp;"]"&amp;E36&amp;"'!"&amp;$AC$2))),INDIRECT("'["&amp;G36&amp;"]"&amp;E36&amp;"'!"&amp;$AC$3),0)</f>
        <v>#VALUE!</v>
      </c>
      <c r="R36" s="34" t="e" cm="1">
        <f t="array" aca="1" ref="R36" ca="1">IF(AND(G36=INDIRECT("'["&amp;G36&amp;"]"&amp;E36&amp;"'!"&amp;$AH$2),OR(I36=INDIRECT("'["&amp;G36&amp;"]"&amp;E36&amp;"'!"&amp;$AD$2))),INDIRECT("'["&amp;G36&amp;"]"&amp;E36&amp;"'!"&amp;$AD$3),0)</f>
        <v>#VALUE!</v>
      </c>
      <c r="S36" s="34" t="e" cm="1">
        <f t="array" aca="1" ref="S36" ca="1">IF(AND(G36=INDIRECT("'["&amp;G36&amp;"]"&amp;E36&amp;"'!"&amp;$AH$2),OR(I36=INDIRECT("'["&amp;G36&amp;"]"&amp;E36&amp;"'!"&amp;$AE$2))),INDIRECT("'["&amp;G36&amp;"]"&amp;E36&amp;"'!"&amp;$AE$3),0)</f>
        <v>#VALUE!</v>
      </c>
      <c r="T36" s="35" t="e" cm="1">
        <f t="array" aca="1" ref="T36" ca="1">IF(AND(G36=INDIRECT("'["&amp;G36&amp;"]"&amp;E36&amp;"'!"&amp;$AH$2),OR(I36=INDIRECT("'["&amp;G36&amp;"]"&amp;E36&amp;"'!"&amp;$AF$2))),INDIRECT("'["&amp;G36&amp;"]"&amp;E36&amp;"'!"&amp;$AF$3),0)</f>
        <v>#VALUE!</v>
      </c>
      <c r="U36" s="34" t="e" cm="1">
        <f t="array" aca="1" ref="U36" ca="1">IF(AND(G36=INDIRECT("'["&amp;G36&amp;"]"&amp;E36&amp;"'!"&amp;$AH$2),OR(I36=INDIRECT("'["&amp;G36&amp;"]"&amp;E36&amp;"'!"&amp;$AG$2))),INDIRECT("'["&amp;G36&amp;"]"&amp;E36&amp;"'!"&amp;$AG$3),0)</f>
        <v>#VALUE!</v>
      </c>
      <c r="V36" s="25" t="str">
        <f t="shared" si="25"/>
        <v/>
      </c>
      <c r="W36" s="36" t="e" cm="1">
        <f t="array" aca="1" ref="W36" ca="1">IF(AND(G36=INDIRECT("'["&amp;G36&amp;"]"&amp;E36&amp;"'!"&amp;$AH$2),OR(V36=INDIRECT("'["&amp;G36&amp;"]"&amp;E36&amp;"'!"&amp;$AI$2))),INDIRECT("'["&amp;G36&amp;"]"&amp;E36&amp;"'!"&amp;$AI$3),0)</f>
        <v>#VALUE!</v>
      </c>
      <c r="AJ36" s="25">
        <v>1</v>
      </c>
      <c r="AK36" s="38">
        <f t="shared" ca="1" si="5"/>
        <v>0</v>
      </c>
      <c r="AL36" s="38">
        <f t="shared" ca="1" si="12"/>
        <v>0</v>
      </c>
      <c r="AM36" s="54" t="str">
        <f t="shared" ca="1" si="6"/>
        <v/>
      </c>
      <c r="AN36" s="25" t="e">
        <f t="shared" ca="1" si="13"/>
        <v>#VALUE!</v>
      </c>
      <c r="AO36" s="25" t="e">
        <f t="shared" ca="1" si="14"/>
        <v>#VALUE!</v>
      </c>
      <c r="AP36" s="39" t="str">
        <f t="shared" ca="1" si="7"/>
        <v/>
      </c>
      <c r="AQ36" s="46" t="str">
        <f ca="1">IF(AND(C36&lt;&gt;0, C37=0), SUM($C$2:C36)-SUM($AQ$1:AQ35), "")</f>
        <v/>
      </c>
      <c r="AR36" s="46" t="str">
        <f ca="1">IF(AND(AK36&lt;&gt;0, AK37=0), SUM($AK$2:AK36)-SUM($AR$1:AR35), "")</f>
        <v/>
      </c>
    </row>
    <row r="37" spans="1:44" ht="13.15" customHeight="1">
      <c r="A37" s="31"/>
      <c r="B37" s="68" t="str">
        <f t="shared" si="16"/>
        <v/>
      </c>
      <c r="C37" s="55" cm="1">
        <f t="array" aca="1" ref="C37" ca="1">SUM(IF(ISNUMBER(M37:U37),M37:U37,""))</f>
        <v>0</v>
      </c>
      <c r="D37" s="25" t="str">
        <f t="shared" si="17"/>
        <v/>
      </c>
      <c r="E37" s="25" t="e">
        <f t="shared" si="18"/>
        <v>#VALUE!</v>
      </c>
      <c r="F37" s="25" t="str">
        <f t="shared" si="19"/>
        <v/>
      </c>
      <c r="G37" s="25" t="str">
        <f t="shared" si="20"/>
        <v>.xlsx</v>
      </c>
      <c r="H37" s="29" t="e" cm="1">
        <f t="array" aca="1" ref="H37" ca="1">IF(AND(VALUE(E37)=INDIRECT("'["&amp;G37&amp;"]"&amp;E37&amp;"'!"&amp;$X$2),G37=INDIRECT("'["&amp;G37&amp;"]"&amp;E37&amp;"'!"&amp;$X$3)),INDIRECT("'["&amp;G37&amp;"]"&amp;E37&amp;"'!"&amp;$X$1),0)</f>
        <v>#VALUE!</v>
      </c>
      <c r="I37" s="25" t="str">
        <f t="shared" si="21"/>
        <v/>
      </c>
      <c r="J37" s="32" t="str">
        <f t="shared" si="22"/>
        <v/>
      </c>
      <c r="K37" s="25" t="str">
        <f t="shared" si="23"/>
        <v/>
      </c>
      <c r="L37" s="25" t="str">
        <f t="shared" si="24"/>
        <v/>
      </c>
      <c r="M37" s="33" t="e" cm="1">
        <f t="array" aca="1" ref="M37" ca="1">IF(AND(J37=INDIRECT("'["&amp;G37&amp;"]"&amp;E37&amp;"'!"&amp;$Y$2),G37=INDIRECT("'["&amp;G37&amp;"]"&amp;E37&amp;"'!"&amp;$AH$2)),INDIRECT("'["&amp;G37&amp;"]"&amp;E37&amp;"'!"&amp;$Y$3),0)</f>
        <v>#VALUE!</v>
      </c>
      <c r="N37" s="34" t="e" cm="1">
        <f t="array" aca="1" ref="N37" ca="1">IF(AND(G37=INDIRECT("'["&amp;G37&amp;"]"&amp;E37&amp;"'!"&amp;$AH$2),OR(K37=INDIRECT("'["&amp;G37&amp;"]"&amp;E37&amp;"'!"&amp;$Z$2))),INDIRECT("'["&amp;G37&amp;"]"&amp;E37&amp;"'!"&amp;$Z$3),0)</f>
        <v>#VALUE!</v>
      </c>
      <c r="O37" s="34" t="e" cm="1">
        <f t="array" aca="1" ref="O37" ca="1">IF(AND(G37=INDIRECT("'["&amp;G37&amp;"]"&amp;E37&amp;"'!"&amp;$AH$2),OR(L37=INDIRECT("'["&amp;G37&amp;"]"&amp;E37&amp;"'!"&amp;$AA$2))),INDIRECT("'["&amp;G37&amp;"]"&amp;E37&amp;"'!"&amp;$AA$3),0)</f>
        <v>#VALUE!</v>
      </c>
      <c r="P37" s="34" t="e" cm="1">
        <f t="array" aca="1" ref="P37" ca="1">IF(AND(G37=INDIRECT("'["&amp;G37&amp;"]"&amp;E37&amp;"'!"&amp;$AH$2),OR(VALUE(I37)=INDIRECT("'["&amp;G37&amp;"]"&amp;E37&amp;"'!"&amp;$AB$2))),INDIRECT("'["&amp;G37&amp;"]"&amp;E37&amp;"'!"&amp;$AB$3),0)</f>
        <v>#VALUE!</v>
      </c>
      <c r="Q37" s="34" t="e" cm="1">
        <f t="array" aca="1" ref="Q37" ca="1">IF(AND(G37=INDIRECT("'["&amp;G37&amp;"]"&amp;E37&amp;"'!"&amp;$AH$2),OR(VALUE(I37)=INDIRECT("'["&amp;G37&amp;"]"&amp;E37&amp;"'!"&amp;$AC$2))),INDIRECT("'["&amp;G37&amp;"]"&amp;E37&amp;"'!"&amp;$AC$3),0)</f>
        <v>#VALUE!</v>
      </c>
      <c r="R37" s="34" t="e" cm="1">
        <f t="array" aca="1" ref="R37" ca="1">IF(AND(G37=INDIRECT("'["&amp;G37&amp;"]"&amp;E37&amp;"'!"&amp;$AH$2),OR(I37=INDIRECT("'["&amp;G37&amp;"]"&amp;E37&amp;"'!"&amp;$AD$2))),INDIRECT("'["&amp;G37&amp;"]"&amp;E37&amp;"'!"&amp;$AD$3),0)</f>
        <v>#VALUE!</v>
      </c>
      <c r="S37" s="34" t="e" cm="1">
        <f t="array" aca="1" ref="S37" ca="1">IF(AND(G37=INDIRECT("'["&amp;G37&amp;"]"&amp;E37&amp;"'!"&amp;$AH$2),OR(I37=INDIRECT("'["&amp;G37&amp;"]"&amp;E37&amp;"'!"&amp;$AE$2))),INDIRECT("'["&amp;G37&amp;"]"&amp;E37&amp;"'!"&amp;$AE$3),0)</f>
        <v>#VALUE!</v>
      </c>
      <c r="T37" s="35" t="e" cm="1">
        <f t="array" aca="1" ref="T37" ca="1">IF(AND(G37=INDIRECT("'["&amp;G37&amp;"]"&amp;E37&amp;"'!"&amp;$AH$2),OR(I37=INDIRECT("'["&amp;G37&amp;"]"&amp;E37&amp;"'!"&amp;$AF$2))),INDIRECT("'["&amp;G37&amp;"]"&amp;E37&amp;"'!"&amp;$AF$3),0)</f>
        <v>#VALUE!</v>
      </c>
      <c r="U37" s="34" t="e" cm="1">
        <f t="array" aca="1" ref="U37" ca="1">IF(AND(G37=INDIRECT("'["&amp;G37&amp;"]"&amp;E37&amp;"'!"&amp;$AH$2),OR(I37=INDIRECT("'["&amp;G37&amp;"]"&amp;E37&amp;"'!"&amp;$AG$2))),INDIRECT("'["&amp;G37&amp;"]"&amp;E37&amp;"'!"&amp;$AG$3),0)</f>
        <v>#VALUE!</v>
      </c>
      <c r="V37" s="25" t="str">
        <f t="shared" si="25"/>
        <v/>
      </c>
      <c r="W37" s="36" t="e" cm="1">
        <f t="array" aca="1" ref="W37" ca="1">IF(AND(G37=INDIRECT("'["&amp;G37&amp;"]"&amp;E37&amp;"'!"&amp;$AH$2),OR(V37=INDIRECT("'["&amp;G37&amp;"]"&amp;E37&amp;"'!"&amp;$AI$2))),INDIRECT("'["&amp;G37&amp;"]"&amp;E37&amp;"'!"&amp;$AI$3),0)</f>
        <v>#VALUE!</v>
      </c>
      <c r="AJ37" s="25">
        <v>1</v>
      </c>
      <c r="AK37" s="38">
        <f t="shared" ca="1" si="5"/>
        <v>0</v>
      </c>
      <c r="AL37" s="38">
        <f t="shared" ca="1" si="12"/>
        <v>0</v>
      </c>
      <c r="AM37" s="54" t="str">
        <f t="shared" ca="1" si="6"/>
        <v/>
      </c>
      <c r="AN37" s="25" t="e">
        <f t="shared" ca="1" si="13"/>
        <v>#VALUE!</v>
      </c>
      <c r="AO37" s="25" t="e">
        <f t="shared" ca="1" si="14"/>
        <v>#VALUE!</v>
      </c>
      <c r="AP37" s="39" t="str">
        <f t="shared" ca="1" si="7"/>
        <v/>
      </c>
      <c r="AQ37" s="46" t="str">
        <f ca="1">IF(AND(C37&lt;&gt;0, C38=0), SUM($C$2:C37)-SUM($AQ$1:AQ36), "")</f>
        <v/>
      </c>
      <c r="AR37" s="46" t="str">
        <f ca="1">IF(AND(AK37&lt;&gt;0, AK38=0), SUM($AK$2:AK37)-SUM($AR$1:AR36), "")</f>
        <v/>
      </c>
    </row>
    <row r="38" spans="1:44" ht="13.15" customHeight="1">
      <c r="A38" s="31"/>
      <c r="B38" s="68" t="str">
        <f t="shared" si="16"/>
        <v/>
      </c>
      <c r="C38" s="55" cm="1">
        <f t="array" aca="1" ref="C38" ca="1">SUM(IF(ISNUMBER(M38:U38),M38:U38,""))</f>
        <v>0</v>
      </c>
      <c r="D38" s="25" t="str">
        <f t="shared" si="17"/>
        <v/>
      </c>
      <c r="E38" s="25" t="e">
        <f t="shared" si="18"/>
        <v>#VALUE!</v>
      </c>
      <c r="F38" s="25" t="str">
        <f t="shared" si="19"/>
        <v/>
      </c>
      <c r="G38" s="25" t="str">
        <f t="shared" si="20"/>
        <v>.xlsx</v>
      </c>
      <c r="H38" s="29" t="e" cm="1">
        <f t="array" aca="1" ref="H38" ca="1">IF(AND(VALUE(E38)=INDIRECT("'["&amp;G38&amp;"]"&amp;E38&amp;"'!"&amp;$X$2),G38=INDIRECT("'["&amp;G38&amp;"]"&amp;E38&amp;"'!"&amp;$X$3)),INDIRECT("'["&amp;G38&amp;"]"&amp;E38&amp;"'!"&amp;$X$1),0)</f>
        <v>#VALUE!</v>
      </c>
      <c r="I38" s="25" t="str">
        <f t="shared" si="21"/>
        <v/>
      </c>
      <c r="J38" s="32" t="str">
        <f t="shared" si="22"/>
        <v/>
      </c>
      <c r="K38" s="25" t="str">
        <f t="shared" si="23"/>
        <v/>
      </c>
      <c r="L38" s="25" t="str">
        <f t="shared" si="24"/>
        <v/>
      </c>
      <c r="M38" s="33" t="e" cm="1">
        <f t="array" aca="1" ref="M38" ca="1">IF(AND(J38=INDIRECT("'["&amp;G38&amp;"]"&amp;E38&amp;"'!"&amp;$Y$2),G38=INDIRECT("'["&amp;G38&amp;"]"&amp;E38&amp;"'!"&amp;$AH$2)),INDIRECT("'["&amp;G38&amp;"]"&amp;E38&amp;"'!"&amp;$Y$3),0)</f>
        <v>#VALUE!</v>
      </c>
      <c r="N38" s="34" t="e" cm="1">
        <f t="array" aca="1" ref="N38" ca="1">IF(AND(G38=INDIRECT("'["&amp;G38&amp;"]"&amp;E38&amp;"'!"&amp;$AH$2),OR(K38=INDIRECT("'["&amp;G38&amp;"]"&amp;E38&amp;"'!"&amp;$Z$2))),INDIRECT("'["&amp;G38&amp;"]"&amp;E38&amp;"'!"&amp;$Z$3),0)</f>
        <v>#VALUE!</v>
      </c>
      <c r="O38" s="34" t="e" cm="1">
        <f t="array" aca="1" ref="O38" ca="1">IF(AND(G38=INDIRECT("'["&amp;G38&amp;"]"&amp;E38&amp;"'!"&amp;$AH$2),OR(L38=INDIRECT("'["&amp;G38&amp;"]"&amp;E38&amp;"'!"&amp;$AA$2))),INDIRECT("'["&amp;G38&amp;"]"&amp;E38&amp;"'!"&amp;$AA$3),0)</f>
        <v>#VALUE!</v>
      </c>
      <c r="P38" s="34" t="e" cm="1">
        <f t="array" aca="1" ref="P38" ca="1">IF(AND(G38=INDIRECT("'["&amp;G38&amp;"]"&amp;E38&amp;"'!"&amp;$AH$2),OR(VALUE(I38)=INDIRECT("'["&amp;G38&amp;"]"&amp;E38&amp;"'!"&amp;$AB$2))),INDIRECT("'["&amp;G38&amp;"]"&amp;E38&amp;"'!"&amp;$AB$3),0)</f>
        <v>#VALUE!</v>
      </c>
      <c r="Q38" s="34" t="e" cm="1">
        <f t="array" aca="1" ref="Q38" ca="1">IF(AND(G38=INDIRECT("'["&amp;G38&amp;"]"&amp;E38&amp;"'!"&amp;$AH$2),OR(VALUE(I38)=INDIRECT("'["&amp;G38&amp;"]"&amp;E38&amp;"'!"&amp;$AC$2))),INDIRECT("'["&amp;G38&amp;"]"&amp;E38&amp;"'!"&amp;$AC$3),0)</f>
        <v>#VALUE!</v>
      </c>
      <c r="R38" s="34" t="e" cm="1">
        <f t="array" aca="1" ref="R38" ca="1">IF(AND(G38=INDIRECT("'["&amp;G38&amp;"]"&amp;E38&amp;"'!"&amp;$AH$2),OR(I38=INDIRECT("'["&amp;G38&amp;"]"&amp;E38&amp;"'!"&amp;$AD$2))),INDIRECT("'["&amp;G38&amp;"]"&amp;E38&amp;"'!"&amp;$AD$3),0)</f>
        <v>#VALUE!</v>
      </c>
      <c r="S38" s="34" t="e" cm="1">
        <f t="array" aca="1" ref="S38" ca="1">IF(AND(G38=INDIRECT("'["&amp;G38&amp;"]"&amp;E38&amp;"'!"&amp;$AH$2),OR(I38=INDIRECT("'["&amp;G38&amp;"]"&amp;E38&amp;"'!"&amp;$AE$2))),INDIRECT("'["&amp;G38&amp;"]"&amp;E38&amp;"'!"&amp;$AE$3),0)</f>
        <v>#VALUE!</v>
      </c>
      <c r="T38" s="35" t="e" cm="1">
        <f t="array" aca="1" ref="T38" ca="1">IF(AND(G38=INDIRECT("'["&amp;G38&amp;"]"&amp;E38&amp;"'!"&amp;$AH$2),OR(I38=INDIRECT("'["&amp;G38&amp;"]"&amp;E38&amp;"'!"&amp;$AF$2))),INDIRECT("'["&amp;G38&amp;"]"&amp;E38&amp;"'!"&amp;$AF$3),0)</f>
        <v>#VALUE!</v>
      </c>
      <c r="U38" s="34" t="e" cm="1">
        <f t="array" aca="1" ref="U38" ca="1">IF(AND(G38=INDIRECT("'["&amp;G38&amp;"]"&amp;E38&amp;"'!"&amp;$AH$2),OR(I38=INDIRECT("'["&amp;G38&amp;"]"&amp;E38&amp;"'!"&amp;$AG$2))),INDIRECT("'["&amp;G38&amp;"]"&amp;E38&amp;"'!"&amp;$AG$3),0)</f>
        <v>#VALUE!</v>
      </c>
      <c r="V38" s="25" t="str">
        <f t="shared" si="25"/>
        <v/>
      </c>
      <c r="W38" s="36" t="e" cm="1">
        <f t="array" aca="1" ref="W38" ca="1">IF(AND(G38=INDIRECT("'["&amp;G38&amp;"]"&amp;E38&amp;"'!"&amp;$AH$2),OR(V38=INDIRECT("'["&amp;G38&amp;"]"&amp;E38&amp;"'!"&amp;$AI$2))),INDIRECT("'["&amp;G38&amp;"]"&amp;E38&amp;"'!"&amp;$AI$3),0)</f>
        <v>#VALUE!</v>
      </c>
      <c r="AJ38" s="25">
        <v>1</v>
      </c>
      <c r="AK38" s="38">
        <f t="shared" ca="1" si="5"/>
        <v>0</v>
      </c>
      <c r="AL38" s="38">
        <f t="shared" ca="1" si="12"/>
        <v>0</v>
      </c>
      <c r="AM38" s="54" t="str">
        <f t="shared" ca="1" si="6"/>
        <v/>
      </c>
      <c r="AN38" s="25" t="e">
        <f t="shared" ca="1" si="13"/>
        <v>#VALUE!</v>
      </c>
      <c r="AO38" s="25" t="e">
        <f t="shared" ca="1" si="14"/>
        <v>#VALUE!</v>
      </c>
      <c r="AP38" s="39" t="str">
        <f t="shared" ca="1" si="7"/>
        <v/>
      </c>
      <c r="AQ38" s="46" t="str">
        <f ca="1">IF(AND(C38&lt;&gt;0, C39=0), SUM($C$2:C38)-SUM($AQ$1:AQ37), "")</f>
        <v/>
      </c>
      <c r="AR38" s="46" t="str">
        <f ca="1">IF(AND(AK38&lt;&gt;0, AK39=0), SUM($AK$2:AK38)-SUM($AR$1:AR37), "")</f>
        <v/>
      </c>
    </row>
    <row r="39" spans="1:44" ht="13.15" customHeight="1">
      <c r="A39" s="31"/>
      <c r="B39" s="68" t="str">
        <f t="shared" si="16"/>
        <v/>
      </c>
      <c r="C39" s="55" cm="1">
        <f t="array" aca="1" ref="C39" ca="1">SUM(IF(ISNUMBER(M39:U39),M39:U39,""))</f>
        <v>0</v>
      </c>
      <c r="D39" s="25" t="str">
        <f t="shared" si="17"/>
        <v/>
      </c>
      <c r="E39" s="25" t="e">
        <f t="shared" si="18"/>
        <v>#VALUE!</v>
      </c>
      <c r="F39" s="25" t="str">
        <f t="shared" si="19"/>
        <v/>
      </c>
      <c r="G39" s="25" t="str">
        <f t="shared" si="20"/>
        <v>.xlsx</v>
      </c>
      <c r="H39" s="29" t="e" cm="1">
        <f t="array" aca="1" ref="H39" ca="1">IF(AND(VALUE(E39)=INDIRECT("'["&amp;G39&amp;"]"&amp;E39&amp;"'!"&amp;$X$2),G39=INDIRECT("'["&amp;G39&amp;"]"&amp;E39&amp;"'!"&amp;$X$3)),INDIRECT("'["&amp;G39&amp;"]"&amp;E39&amp;"'!"&amp;$X$1),0)</f>
        <v>#VALUE!</v>
      </c>
      <c r="I39" s="25" t="str">
        <f t="shared" si="21"/>
        <v/>
      </c>
      <c r="J39" s="32" t="str">
        <f t="shared" si="22"/>
        <v/>
      </c>
      <c r="K39" s="25" t="str">
        <f t="shared" si="23"/>
        <v/>
      </c>
      <c r="L39" s="25" t="str">
        <f t="shared" si="24"/>
        <v/>
      </c>
      <c r="M39" s="33" t="e" cm="1">
        <f t="array" aca="1" ref="M39" ca="1">IF(AND(J39=INDIRECT("'["&amp;G39&amp;"]"&amp;E39&amp;"'!"&amp;$Y$2),G39=INDIRECT("'["&amp;G39&amp;"]"&amp;E39&amp;"'!"&amp;$AH$2)),INDIRECT("'["&amp;G39&amp;"]"&amp;E39&amp;"'!"&amp;$Y$3),0)</f>
        <v>#VALUE!</v>
      </c>
      <c r="N39" s="34" t="e" cm="1">
        <f t="array" aca="1" ref="N39" ca="1">IF(AND(G39=INDIRECT("'["&amp;G39&amp;"]"&amp;E39&amp;"'!"&amp;$AH$2),OR(K39=INDIRECT("'["&amp;G39&amp;"]"&amp;E39&amp;"'!"&amp;$Z$2))),INDIRECT("'["&amp;G39&amp;"]"&amp;E39&amp;"'!"&amp;$Z$3),0)</f>
        <v>#VALUE!</v>
      </c>
      <c r="O39" s="34" t="e" cm="1">
        <f t="array" aca="1" ref="O39" ca="1">IF(AND(G39=INDIRECT("'["&amp;G39&amp;"]"&amp;E39&amp;"'!"&amp;$AH$2),OR(L39=INDIRECT("'["&amp;G39&amp;"]"&amp;E39&amp;"'!"&amp;$AA$2))),INDIRECT("'["&amp;G39&amp;"]"&amp;E39&amp;"'!"&amp;$AA$3),0)</f>
        <v>#VALUE!</v>
      </c>
      <c r="P39" s="34" t="e" cm="1">
        <f t="array" aca="1" ref="P39" ca="1">IF(AND(G39=INDIRECT("'["&amp;G39&amp;"]"&amp;E39&amp;"'!"&amp;$AH$2),OR(VALUE(I39)=INDIRECT("'["&amp;G39&amp;"]"&amp;E39&amp;"'!"&amp;$AB$2))),INDIRECT("'["&amp;G39&amp;"]"&amp;E39&amp;"'!"&amp;$AB$3),0)</f>
        <v>#VALUE!</v>
      </c>
      <c r="Q39" s="34" t="e" cm="1">
        <f t="array" aca="1" ref="Q39" ca="1">IF(AND(G39=INDIRECT("'["&amp;G39&amp;"]"&amp;E39&amp;"'!"&amp;$AH$2),OR(VALUE(I39)=INDIRECT("'["&amp;G39&amp;"]"&amp;E39&amp;"'!"&amp;$AC$2))),INDIRECT("'["&amp;G39&amp;"]"&amp;E39&amp;"'!"&amp;$AC$3),0)</f>
        <v>#VALUE!</v>
      </c>
      <c r="R39" s="34" t="e" cm="1">
        <f t="array" aca="1" ref="R39" ca="1">IF(AND(G39=INDIRECT("'["&amp;G39&amp;"]"&amp;E39&amp;"'!"&amp;$AH$2),OR(I39=INDIRECT("'["&amp;G39&amp;"]"&amp;E39&amp;"'!"&amp;$AD$2))),INDIRECT("'["&amp;G39&amp;"]"&amp;E39&amp;"'!"&amp;$AD$3),0)</f>
        <v>#VALUE!</v>
      </c>
      <c r="S39" s="34" t="e" cm="1">
        <f t="array" aca="1" ref="S39" ca="1">IF(AND(G39=INDIRECT("'["&amp;G39&amp;"]"&amp;E39&amp;"'!"&amp;$AH$2),OR(I39=INDIRECT("'["&amp;G39&amp;"]"&amp;E39&amp;"'!"&amp;$AE$2))),INDIRECT("'["&amp;G39&amp;"]"&amp;E39&amp;"'!"&amp;$AE$3),0)</f>
        <v>#VALUE!</v>
      </c>
      <c r="T39" s="35" t="e" cm="1">
        <f t="array" aca="1" ref="T39" ca="1">IF(AND(G39=INDIRECT("'["&amp;G39&amp;"]"&amp;E39&amp;"'!"&amp;$AH$2),OR(I39=INDIRECT("'["&amp;G39&amp;"]"&amp;E39&amp;"'!"&amp;$AF$2))),INDIRECT("'["&amp;G39&amp;"]"&amp;E39&amp;"'!"&amp;$AF$3),0)</f>
        <v>#VALUE!</v>
      </c>
      <c r="U39" s="34" t="e" cm="1">
        <f t="array" aca="1" ref="U39" ca="1">IF(AND(G39=INDIRECT("'["&amp;G39&amp;"]"&amp;E39&amp;"'!"&amp;$AH$2),OR(I39=INDIRECT("'["&amp;G39&amp;"]"&amp;E39&amp;"'!"&amp;$AG$2))),INDIRECT("'["&amp;G39&amp;"]"&amp;E39&amp;"'!"&amp;$AG$3),0)</f>
        <v>#VALUE!</v>
      </c>
      <c r="V39" s="25" t="str">
        <f t="shared" si="25"/>
        <v/>
      </c>
      <c r="W39" s="36" t="e" cm="1">
        <f t="array" aca="1" ref="W39" ca="1">IF(AND(G39=INDIRECT("'["&amp;G39&amp;"]"&amp;E39&amp;"'!"&amp;$AH$2),OR(V39=INDIRECT("'["&amp;G39&amp;"]"&amp;E39&amp;"'!"&amp;$AI$2))),INDIRECT("'["&amp;G39&amp;"]"&amp;E39&amp;"'!"&amp;$AI$3),0)</f>
        <v>#VALUE!</v>
      </c>
      <c r="AJ39" s="25">
        <v>1</v>
      </c>
      <c r="AK39" s="38">
        <f t="shared" ca="1" si="5"/>
        <v>0</v>
      </c>
      <c r="AL39" s="38">
        <f t="shared" ca="1" si="12"/>
        <v>0</v>
      </c>
      <c r="AM39" s="54" t="str">
        <f t="shared" ca="1" si="6"/>
        <v/>
      </c>
      <c r="AN39" s="25" t="e">
        <f t="shared" ca="1" si="13"/>
        <v>#VALUE!</v>
      </c>
      <c r="AO39" s="25" t="e">
        <f t="shared" ca="1" si="14"/>
        <v>#VALUE!</v>
      </c>
      <c r="AP39" s="39" t="str">
        <f t="shared" ca="1" si="7"/>
        <v/>
      </c>
      <c r="AQ39" s="46" t="str">
        <f ca="1">IF(AND(C39&lt;&gt;0, C40=0), SUM($C$2:C39)-SUM($AQ$1:AQ38), "")</f>
        <v/>
      </c>
      <c r="AR39" s="46" t="str">
        <f ca="1">IF(AND(AK39&lt;&gt;0, AK40=0), SUM($AK$2:AK39)-SUM($AR$1:AR38), "")</f>
        <v/>
      </c>
    </row>
    <row r="40" spans="1:44" ht="13.15" customHeight="1">
      <c r="A40" s="31"/>
      <c r="B40" s="68" t="str">
        <f t="shared" si="16"/>
        <v/>
      </c>
      <c r="C40" s="55" cm="1">
        <f t="array" aca="1" ref="C40" ca="1">SUM(IF(ISNUMBER(M40:U40),M40:U40,""))</f>
        <v>0</v>
      </c>
      <c r="D40" s="25" t="str">
        <f t="shared" si="17"/>
        <v/>
      </c>
      <c r="E40" s="25" t="e">
        <f t="shared" si="18"/>
        <v>#VALUE!</v>
      </c>
      <c r="F40" s="25" t="str">
        <f t="shared" si="19"/>
        <v/>
      </c>
      <c r="G40" s="25" t="str">
        <f t="shared" si="20"/>
        <v>.xlsx</v>
      </c>
      <c r="H40" s="29" t="e" cm="1">
        <f t="array" aca="1" ref="H40" ca="1">IF(AND(VALUE(E40)=INDIRECT("'["&amp;G40&amp;"]"&amp;E40&amp;"'!"&amp;$X$2),G40=INDIRECT("'["&amp;G40&amp;"]"&amp;E40&amp;"'!"&amp;$X$3)),INDIRECT("'["&amp;G40&amp;"]"&amp;E40&amp;"'!"&amp;$X$1),0)</f>
        <v>#VALUE!</v>
      </c>
      <c r="I40" s="25" t="str">
        <f t="shared" si="21"/>
        <v/>
      </c>
      <c r="J40" s="32" t="str">
        <f t="shared" si="22"/>
        <v/>
      </c>
      <c r="K40" s="25" t="str">
        <f t="shared" si="23"/>
        <v/>
      </c>
      <c r="L40" s="25" t="str">
        <f t="shared" si="24"/>
        <v/>
      </c>
      <c r="M40" s="33" t="e" cm="1">
        <f t="array" aca="1" ref="M40" ca="1">IF(AND(J40=INDIRECT("'["&amp;G40&amp;"]"&amp;E40&amp;"'!"&amp;$Y$2),G40=INDIRECT("'["&amp;G40&amp;"]"&amp;E40&amp;"'!"&amp;$AH$2)),INDIRECT("'["&amp;G40&amp;"]"&amp;E40&amp;"'!"&amp;$Y$3),0)</f>
        <v>#VALUE!</v>
      </c>
      <c r="N40" s="34" t="e" cm="1">
        <f t="array" aca="1" ref="N40" ca="1">IF(AND(G40=INDIRECT("'["&amp;G40&amp;"]"&amp;E40&amp;"'!"&amp;$AH$2),OR(K40=INDIRECT("'["&amp;G40&amp;"]"&amp;E40&amp;"'!"&amp;$Z$2))),INDIRECT("'["&amp;G40&amp;"]"&amp;E40&amp;"'!"&amp;$Z$3),0)</f>
        <v>#VALUE!</v>
      </c>
      <c r="O40" s="34" t="e" cm="1">
        <f t="array" aca="1" ref="O40" ca="1">IF(AND(G40=INDIRECT("'["&amp;G40&amp;"]"&amp;E40&amp;"'!"&amp;$AH$2),OR(L40=INDIRECT("'["&amp;G40&amp;"]"&amp;E40&amp;"'!"&amp;$AA$2))),INDIRECT("'["&amp;G40&amp;"]"&amp;E40&amp;"'!"&amp;$AA$3),0)</f>
        <v>#VALUE!</v>
      </c>
      <c r="P40" s="34" t="e" cm="1">
        <f t="array" aca="1" ref="P40" ca="1">IF(AND(G40=INDIRECT("'["&amp;G40&amp;"]"&amp;E40&amp;"'!"&amp;$AH$2),OR(VALUE(I40)=INDIRECT("'["&amp;G40&amp;"]"&amp;E40&amp;"'!"&amp;$AB$2))),INDIRECT("'["&amp;G40&amp;"]"&amp;E40&amp;"'!"&amp;$AB$3),0)</f>
        <v>#VALUE!</v>
      </c>
      <c r="Q40" s="34" t="e" cm="1">
        <f t="array" aca="1" ref="Q40" ca="1">IF(AND(G40=INDIRECT("'["&amp;G40&amp;"]"&amp;E40&amp;"'!"&amp;$AH$2),OR(VALUE(I40)=INDIRECT("'["&amp;G40&amp;"]"&amp;E40&amp;"'!"&amp;$AC$2))),INDIRECT("'["&amp;G40&amp;"]"&amp;E40&amp;"'!"&amp;$AC$3),0)</f>
        <v>#VALUE!</v>
      </c>
      <c r="R40" s="34" t="e" cm="1">
        <f t="array" aca="1" ref="R40" ca="1">IF(AND(G40=INDIRECT("'["&amp;G40&amp;"]"&amp;E40&amp;"'!"&amp;$AH$2),OR(I40=INDIRECT("'["&amp;G40&amp;"]"&amp;E40&amp;"'!"&amp;$AD$2))),INDIRECT("'["&amp;G40&amp;"]"&amp;E40&amp;"'!"&amp;$AD$3),0)</f>
        <v>#VALUE!</v>
      </c>
      <c r="S40" s="34" t="e" cm="1">
        <f t="array" aca="1" ref="S40" ca="1">IF(AND(G40=INDIRECT("'["&amp;G40&amp;"]"&amp;E40&amp;"'!"&amp;$AH$2),OR(I40=INDIRECT("'["&amp;G40&amp;"]"&amp;E40&amp;"'!"&amp;$AE$2))),INDIRECT("'["&amp;G40&amp;"]"&amp;E40&amp;"'!"&amp;$AE$3),0)</f>
        <v>#VALUE!</v>
      </c>
      <c r="T40" s="35" t="e" cm="1">
        <f t="array" aca="1" ref="T40" ca="1">IF(AND(G40=INDIRECT("'["&amp;G40&amp;"]"&amp;E40&amp;"'!"&amp;$AH$2),OR(I40=INDIRECT("'["&amp;G40&amp;"]"&amp;E40&amp;"'!"&amp;$AF$2))),INDIRECT("'["&amp;G40&amp;"]"&amp;E40&amp;"'!"&amp;$AF$3),0)</f>
        <v>#VALUE!</v>
      </c>
      <c r="U40" s="34" t="e" cm="1">
        <f t="array" aca="1" ref="U40" ca="1">IF(AND(G40=INDIRECT("'["&amp;G40&amp;"]"&amp;E40&amp;"'!"&amp;$AH$2),OR(I40=INDIRECT("'["&amp;G40&amp;"]"&amp;E40&amp;"'!"&amp;$AG$2))),INDIRECT("'["&amp;G40&amp;"]"&amp;E40&amp;"'!"&amp;$AG$3),0)</f>
        <v>#VALUE!</v>
      </c>
      <c r="V40" s="25" t="str">
        <f t="shared" si="25"/>
        <v/>
      </c>
      <c r="W40" s="36" t="e" cm="1">
        <f t="array" aca="1" ref="W40" ca="1">IF(AND(G40=INDIRECT("'["&amp;G40&amp;"]"&amp;E40&amp;"'!"&amp;$AH$2),OR(V40=INDIRECT("'["&amp;G40&amp;"]"&amp;E40&amp;"'!"&amp;$AI$2))),INDIRECT("'["&amp;G40&amp;"]"&amp;E40&amp;"'!"&amp;$AI$3),0)</f>
        <v>#VALUE!</v>
      </c>
      <c r="AJ40" s="25">
        <v>1</v>
      </c>
      <c r="AK40" s="38">
        <f t="shared" ca="1" si="5"/>
        <v>0</v>
      </c>
      <c r="AL40" s="38">
        <f t="shared" ca="1" si="12"/>
        <v>0</v>
      </c>
      <c r="AM40" s="54" t="str">
        <f t="shared" ca="1" si="6"/>
        <v/>
      </c>
      <c r="AN40" s="25" t="e">
        <f t="shared" ca="1" si="13"/>
        <v>#VALUE!</v>
      </c>
      <c r="AO40" s="25" t="e">
        <f t="shared" ca="1" si="14"/>
        <v>#VALUE!</v>
      </c>
      <c r="AP40" s="39" t="str">
        <f t="shared" ca="1" si="7"/>
        <v/>
      </c>
      <c r="AQ40" s="46" t="str">
        <f ca="1">IF(AND(C40&lt;&gt;0, C41=0), SUM($C$2:C40)-SUM($AQ$1:AQ39), "")</f>
        <v/>
      </c>
      <c r="AR40" s="46" t="str">
        <f ca="1">IF(AND(AK40&lt;&gt;0, AK41=0), SUM($AK$2:AK40)-SUM($AR$1:AR39), "")</f>
        <v/>
      </c>
    </row>
    <row r="41" spans="1:44" ht="13.15" customHeight="1">
      <c r="A41" s="31"/>
      <c r="B41" s="68" t="str">
        <f t="shared" si="16"/>
        <v/>
      </c>
      <c r="C41" s="55" cm="1">
        <f t="array" aca="1" ref="C41" ca="1">SUM(IF(ISNUMBER(M41:U41),M41:U41,""))</f>
        <v>0</v>
      </c>
      <c r="D41" s="25" t="str">
        <f t="shared" si="17"/>
        <v/>
      </c>
      <c r="E41" s="25" t="e">
        <f t="shared" si="18"/>
        <v>#VALUE!</v>
      </c>
      <c r="F41" s="25" t="str">
        <f t="shared" si="19"/>
        <v/>
      </c>
      <c r="G41" s="25" t="str">
        <f t="shared" si="20"/>
        <v>.xlsx</v>
      </c>
      <c r="H41" s="29" t="e" cm="1">
        <f t="array" aca="1" ref="H41" ca="1">IF(AND(VALUE(E41)=INDIRECT("'["&amp;G41&amp;"]"&amp;E41&amp;"'!"&amp;$X$2),G41=INDIRECT("'["&amp;G41&amp;"]"&amp;E41&amp;"'!"&amp;$X$3)),INDIRECT("'["&amp;G41&amp;"]"&amp;E41&amp;"'!"&amp;$X$1),0)</f>
        <v>#VALUE!</v>
      </c>
      <c r="I41" s="25" t="str">
        <f t="shared" si="21"/>
        <v/>
      </c>
      <c r="J41" s="32" t="str">
        <f t="shared" si="22"/>
        <v/>
      </c>
      <c r="K41" s="25" t="str">
        <f t="shared" si="23"/>
        <v/>
      </c>
      <c r="L41" s="25" t="str">
        <f t="shared" si="24"/>
        <v/>
      </c>
      <c r="M41" s="33" t="e" cm="1">
        <f t="array" aca="1" ref="M41" ca="1">IF(AND(J41=INDIRECT("'["&amp;G41&amp;"]"&amp;E41&amp;"'!"&amp;$Y$2),G41=INDIRECT("'["&amp;G41&amp;"]"&amp;E41&amp;"'!"&amp;$AH$2)),INDIRECT("'["&amp;G41&amp;"]"&amp;E41&amp;"'!"&amp;$Y$3),0)</f>
        <v>#VALUE!</v>
      </c>
      <c r="N41" s="34" t="e" cm="1">
        <f t="array" aca="1" ref="N41" ca="1">IF(AND(G41=INDIRECT("'["&amp;G41&amp;"]"&amp;E41&amp;"'!"&amp;$AH$2),OR(K41=INDIRECT("'["&amp;G41&amp;"]"&amp;E41&amp;"'!"&amp;$Z$2))),INDIRECT("'["&amp;G41&amp;"]"&amp;E41&amp;"'!"&amp;$Z$3),0)</f>
        <v>#VALUE!</v>
      </c>
      <c r="O41" s="34" t="e" cm="1">
        <f t="array" aca="1" ref="O41" ca="1">IF(AND(G41=INDIRECT("'["&amp;G41&amp;"]"&amp;E41&amp;"'!"&amp;$AH$2),OR(L41=INDIRECT("'["&amp;G41&amp;"]"&amp;E41&amp;"'!"&amp;$AA$2))),INDIRECT("'["&amp;G41&amp;"]"&amp;E41&amp;"'!"&amp;$AA$3),0)</f>
        <v>#VALUE!</v>
      </c>
      <c r="P41" s="34" t="e" cm="1">
        <f t="array" aca="1" ref="P41" ca="1">IF(AND(G41=INDIRECT("'["&amp;G41&amp;"]"&amp;E41&amp;"'!"&amp;$AH$2),OR(VALUE(I41)=INDIRECT("'["&amp;G41&amp;"]"&amp;E41&amp;"'!"&amp;$AB$2))),INDIRECT("'["&amp;G41&amp;"]"&amp;E41&amp;"'!"&amp;$AB$3),0)</f>
        <v>#VALUE!</v>
      </c>
      <c r="Q41" s="34" t="e" cm="1">
        <f t="array" aca="1" ref="Q41" ca="1">IF(AND(G41=INDIRECT("'["&amp;G41&amp;"]"&amp;E41&amp;"'!"&amp;$AH$2),OR(VALUE(I41)=INDIRECT("'["&amp;G41&amp;"]"&amp;E41&amp;"'!"&amp;$AC$2))),INDIRECT("'["&amp;G41&amp;"]"&amp;E41&amp;"'!"&amp;$AC$3),0)</f>
        <v>#VALUE!</v>
      </c>
      <c r="R41" s="34" t="e" cm="1">
        <f t="array" aca="1" ref="R41" ca="1">IF(AND(G41=INDIRECT("'["&amp;G41&amp;"]"&amp;E41&amp;"'!"&amp;$AH$2),OR(I41=INDIRECT("'["&amp;G41&amp;"]"&amp;E41&amp;"'!"&amp;$AD$2))),INDIRECT("'["&amp;G41&amp;"]"&amp;E41&amp;"'!"&amp;$AD$3),0)</f>
        <v>#VALUE!</v>
      </c>
      <c r="S41" s="34" t="e" cm="1">
        <f t="array" aca="1" ref="S41" ca="1">IF(AND(G41=INDIRECT("'["&amp;G41&amp;"]"&amp;E41&amp;"'!"&amp;$AH$2),OR(I41=INDIRECT("'["&amp;G41&amp;"]"&amp;E41&amp;"'!"&amp;$AE$2))),INDIRECT("'["&amp;G41&amp;"]"&amp;E41&amp;"'!"&amp;$AE$3),0)</f>
        <v>#VALUE!</v>
      </c>
      <c r="T41" s="35" t="e" cm="1">
        <f t="array" aca="1" ref="T41" ca="1">IF(AND(G41=INDIRECT("'["&amp;G41&amp;"]"&amp;E41&amp;"'!"&amp;$AH$2),OR(I41=INDIRECT("'["&amp;G41&amp;"]"&amp;E41&amp;"'!"&amp;$AF$2))),INDIRECT("'["&amp;G41&amp;"]"&amp;E41&amp;"'!"&amp;$AF$3),0)</f>
        <v>#VALUE!</v>
      </c>
      <c r="U41" s="34" t="e" cm="1">
        <f t="array" aca="1" ref="U41" ca="1">IF(AND(G41=INDIRECT("'["&amp;G41&amp;"]"&amp;E41&amp;"'!"&amp;$AH$2),OR(I41=INDIRECT("'["&amp;G41&amp;"]"&amp;E41&amp;"'!"&amp;$AG$2))),INDIRECT("'["&amp;G41&amp;"]"&amp;E41&amp;"'!"&amp;$AG$3),0)</f>
        <v>#VALUE!</v>
      </c>
      <c r="V41" s="25" t="str">
        <f t="shared" si="25"/>
        <v/>
      </c>
      <c r="W41" s="36" t="e" cm="1">
        <f t="array" aca="1" ref="W41" ca="1">IF(AND(G41=INDIRECT("'["&amp;G41&amp;"]"&amp;E41&amp;"'!"&amp;$AH$2),OR(V41=INDIRECT("'["&amp;G41&amp;"]"&amp;E41&amp;"'!"&amp;$AI$2))),INDIRECT("'["&amp;G41&amp;"]"&amp;E41&amp;"'!"&amp;$AI$3),0)</f>
        <v>#VALUE!</v>
      </c>
      <c r="AJ41" s="25">
        <v>1</v>
      </c>
      <c r="AK41" s="38">
        <f t="shared" ca="1" si="5"/>
        <v>0</v>
      </c>
      <c r="AL41" s="38">
        <f t="shared" ca="1" si="12"/>
        <v>0</v>
      </c>
      <c r="AM41" s="54" t="str">
        <f t="shared" ca="1" si="6"/>
        <v/>
      </c>
      <c r="AN41" s="25" t="e">
        <f t="shared" ca="1" si="13"/>
        <v>#VALUE!</v>
      </c>
      <c r="AO41" s="25" t="e">
        <f t="shared" ca="1" si="14"/>
        <v>#VALUE!</v>
      </c>
      <c r="AP41" s="39" t="str">
        <f t="shared" ca="1" si="7"/>
        <v/>
      </c>
      <c r="AQ41" s="46" t="str">
        <f ca="1">IF(AND(C41&lt;&gt;0, C42=0), SUM($C$2:C41)-SUM($AQ$1:AQ40), "")</f>
        <v/>
      </c>
      <c r="AR41" s="46" t="str">
        <f ca="1">IF(AND(AK41&lt;&gt;0, AK42=0), SUM($AK$2:AK41)-SUM($AR$1:AR40), "")</f>
        <v/>
      </c>
    </row>
    <row r="42" spans="1:44" ht="13.15" customHeight="1">
      <c r="A42" s="31"/>
      <c r="B42" s="68" t="str">
        <f t="shared" si="16"/>
        <v/>
      </c>
      <c r="C42" s="55" cm="1">
        <f t="array" aca="1" ref="C42" ca="1">SUM(IF(ISNUMBER(M42:U42),M42:U42,""))</f>
        <v>0</v>
      </c>
      <c r="D42" s="25" t="str">
        <f t="shared" si="17"/>
        <v/>
      </c>
      <c r="E42" s="25" t="e">
        <f t="shared" si="18"/>
        <v>#VALUE!</v>
      </c>
      <c r="F42" s="25" t="str">
        <f t="shared" si="19"/>
        <v/>
      </c>
      <c r="G42" s="25" t="str">
        <f t="shared" si="20"/>
        <v>.xlsx</v>
      </c>
      <c r="H42" s="29" t="e" cm="1">
        <f t="array" aca="1" ref="H42" ca="1">IF(AND(VALUE(E42)=INDIRECT("'["&amp;G42&amp;"]"&amp;E42&amp;"'!"&amp;$X$2),G42=INDIRECT("'["&amp;G42&amp;"]"&amp;E42&amp;"'!"&amp;$X$3)),INDIRECT("'["&amp;G42&amp;"]"&amp;E42&amp;"'!"&amp;$X$1),0)</f>
        <v>#VALUE!</v>
      </c>
      <c r="I42" s="25" t="str">
        <f t="shared" si="21"/>
        <v/>
      </c>
      <c r="J42" s="32" t="str">
        <f t="shared" si="22"/>
        <v/>
      </c>
      <c r="K42" s="25" t="str">
        <f t="shared" si="23"/>
        <v/>
      </c>
      <c r="L42" s="25" t="str">
        <f t="shared" si="24"/>
        <v/>
      </c>
      <c r="M42" s="33" t="e" cm="1">
        <f t="array" aca="1" ref="M42" ca="1">IF(AND(J42=INDIRECT("'["&amp;G42&amp;"]"&amp;E42&amp;"'!"&amp;$Y$2),G42=INDIRECT("'["&amp;G42&amp;"]"&amp;E42&amp;"'!"&amp;$AH$2)),INDIRECT("'["&amp;G42&amp;"]"&amp;E42&amp;"'!"&amp;$Y$3),0)</f>
        <v>#VALUE!</v>
      </c>
      <c r="N42" s="34" t="e" cm="1">
        <f t="array" aca="1" ref="N42" ca="1">IF(AND(G42=INDIRECT("'["&amp;G42&amp;"]"&amp;E42&amp;"'!"&amp;$AH$2),OR(K42=INDIRECT("'["&amp;G42&amp;"]"&amp;E42&amp;"'!"&amp;$Z$2))),INDIRECT("'["&amp;G42&amp;"]"&amp;E42&amp;"'!"&amp;$Z$3),0)</f>
        <v>#VALUE!</v>
      </c>
      <c r="O42" s="34" t="e" cm="1">
        <f t="array" aca="1" ref="O42" ca="1">IF(AND(G42=INDIRECT("'["&amp;G42&amp;"]"&amp;E42&amp;"'!"&amp;$AH$2),OR(L42=INDIRECT("'["&amp;G42&amp;"]"&amp;E42&amp;"'!"&amp;$AA$2))),INDIRECT("'["&amp;G42&amp;"]"&amp;E42&amp;"'!"&amp;$AA$3),0)</f>
        <v>#VALUE!</v>
      </c>
      <c r="P42" s="34" t="e" cm="1">
        <f t="array" aca="1" ref="P42" ca="1">IF(AND(G42=INDIRECT("'["&amp;G42&amp;"]"&amp;E42&amp;"'!"&amp;$AH$2),OR(VALUE(I42)=INDIRECT("'["&amp;G42&amp;"]"&amp;E42&amp;"'!"&amp;$AB$2))),INDIRECT("'["&amp;G42&amp;"]"&amp;E42&amp;"'!"&amp;$AB$3),0)</f>
        <v>#VALUE!</v>
      </c>
      <c r="Q42" s="34" t="e" cm="1">
        <f t="array" aca="1" ref="Q42" ca="1">IF(AND(G42=INDIRECT("'["&amp;G42&amp;"]"&amp;E42&amp;"'!"&amp;$AH$2),OR(VALUE(I42)=INDIRECT("'["&amp;G42&amp;"]"&amp;E42&amp;"'!"&amp;$AC$2))),INDIRECT("'["&amp;G42&amp;"]"&amp;E42&amp;"'!"&amp;$AC$3),0)</f>
        <v>#VALUE!</v>
      </c>
      <c r="R42" s="34" t="e" cm="1">
        <f t="array" aca="1" ref="R42" ca="1">IF(AND(G42=INDIRECT("'["&amp;G42&amp;"]"&amp;E42&amp;"'!"&amp;$AH$2),OR(I42=INDIRECT("'["&amp;G42&amp;"]"&amp;E42&amp;"'!"&amp;$AD$2))),INDIRECT("'["&amp;G42&amp;"]"&amp;E42&amp;"'!"&amp;$AD$3),0)</f>
        <v>#VALUE!</v>
      </c>
      <c r="S42" s="34" t="e" cm="1">
        <f t="array" aca="1" ref="S42" ca="1">IF(AND(G42=INDIRECT("'["&amp;G42&amp;"]"&amp;E42&amp;"'!"&amp;$AH$2),OR(I42=INDIRECT("'["&amp;G42&amp;"]"&amp;E42&amp;"'!"&amp;$AE$2))),INDIRECT("'["&amp;G42&amp;"]"&amp;E42&amp;"'!"&amp;$AE$3),0)</f>
        <v>#VALUE!</v>
      </c>
      <c r="T42" s="35" t="e" cm="1">
        <f t="array" aca="1" ref="T42" ca="1">IF(AND(G42=INDIRECT("'["&amp;G42&amp;"]"&amp;E42&amp;"'!"&amp;$AH$2),OR(I42=INDIRECT("'["&amp;G42&amp;"]"&amp;E42&amp;"'!"&amp;$AF$2))),INDIRECT("'["&amp;G42&amp;"]"&amp;E42&amp;"'!"&amp;$AF$3),0)</f>
        <v>#VALUE!</v>
      </c>
      <c r="U42" s="34" t="e" cm="1">
        <f t="array" aca="1" ref="U42" ca="1">IF(AND(G42=INDIRECT("'["&amp;G42&amp;"]"&amp;E42&amp;"'!"&amp;$AH$2),OR(I42=INDIRECT("'["&amp;G42&amp;"]"&amp;E42&amp;"'!"&amp;$AG$2))),INDIRECT("'["&amp;G42&amp;"]"&amp;E42&amp;"'!"&amp;$AG$3),0)</f>
        <v>#VALUE!</v>
      </c>
      <c r="V42" s="25" t="str">
        <f t="shared" si="25"/>
        <v/>
      </c>
      <c r="W42" s="36" t="e" cm="1">
        <f t="array" aca="1" ref="W42" ca="1">IF(AND(G42=INDIRECT("'["&amp;G42&amp;"]"&amp;E42&amp;"'!"&amp;$AH$2),OR(V42=INDIRECT("'["&amp;G42&amp;"]"&amp;E42&amp;"'!"&amp;$AI$2))),INDIRECT("'["&amp;G42&amp;"]"&amp;E42&amp;"'!"&amp;$AI$3),0)</f>
        <v>#VALUE!</v>
      </c>
      <c r="AJ42" s="25">
        <v>1</v>
      </c>
      <c r="AK42" s="38">
        <f t="shared" ca="1" si="5"/>
        <v>0</v>
      </c>
      <c r="AL42" s="38">
        <f t="shared" ca="1" si="12"/>
        <v>0</v>
      </c>
      <c r="AM42" s="54" t="str">
        <f t="shared" ca="1" si="6"/>
        <v/>
      </c>
      <c r="AN42" s="25" t="e">
        <f t="shared" ca="1" si="13"/>
        <v>#VALUE!</v>
      </c>
      <c r="AO42" s="25" t="e">
        <f t="shared" ca="1" si="14"/>
        <v>#VALUE!</v>
      </c>
      <c r="AP42" s="39" t="str">
        <f t="shared" ca="1" si="7"/>
        <v/>
      </c>
      <c r="AQ42" s="46" t="str">
        <f ca="1">IF(AND(C42&lt;&gt;0, C43=0), SUM($C$2:C42)-SUM($AQ$1:AQ41), "")</f>
        <v/>
      </c>
      <c r="AR42" s="46" t="str">
        <f ca="1">IF(AND(AK42&lt;&gt;0, AK43=0), SUM($AK$2:AK42)-SUM($AR$1:AR41), "")</f>
        <v/>
      </c>
    </row>
    <row r="43" spans="1:44" ht="13.15" customHeight="1">
      <c r="A43" s="31"/>
      <c r="B43" s="68" t="str">
        <f t="shared" si="16"/>
        <v/>
      </c>
      <c r="C43" s="55" cm="1">
        <f t="array" aca="1" ref="C43" ca="1">SUM(IF(ISNUMBER(M43:U43),M43:U43,""))</f>
        <v>0</v>
      </c>
      <c r="D43" s="25" t="str">
        <f t="shared" si="17"/>
        <v/>
      </c>
      <c r="E43" s="25" t="e">
        <f t="shared" si="18"/>
        <v>#VALUE!</v>
      </c>
      <c r="F43" s="25" t="str">
        <f t="shared" si="19"/>
        <v/>
      </c>
      <c r="G43" s="25" t="str">
        <f t="shared" si="20"/>
        <v>.xlsx</v>
      </c>
      <c r="H43" s="29" t="e" cm="1">
        <f t="array" aca="1" ref="H43" ca="1">IF(AND(VALUE(E43)=INDIRECT("'["&amp;G43&amp;"]"&amp;E43&amp;"'!"&amp;$X$2),G43=INDIRECT("'["&amp;G43&amp;"]"&amp;E43&amp;"'!"&amp;$X$3)),INDIRECT("'["&amp;G43&amp;"]"&amp;E43&amp;"'!"&amp;$X$1),0)</f>
        <v>#VALUE!</v>
      </c>
      <c r="I43" s="25" t="str">
        <f t="shared" si="21"/>
        <v/>
      </c>
      <c r="J43" s="32" t="str">
        <f t="shared" si="22"/>
        <v/>
      </c>
      <c r="K43" s="25" t="str">
        <f t="shared" si="23"/>
        <v/>
      </c>
      <c r="L43" s="25" t="str">
        <f t="shared" si="24"/>
        <v/>
      </c>
      <c r="M43" s="33" t="e" cm="1">
        <f t="array" aca="1" ref="M43" ca="1">IF(AND(J43=INDIRECT("'["&amp;G43&amp;"]"&amp;E43&amp;"'!"&amp;$Y$2),G43=INDIRECT("'["&amp;G43&amp;"]"&amp;E43&amp;"'!"&amp;$AH$2)),INDIRECT("'["&amp;G43&amp;"]"&amp;E43&amp;"'!"&amp;$Y$3),0)</f>
        <v>#VALUE!</v>
      </c>
      <c r="N43" s="34" t="e" cm="1">
        <f t="array" aca="1" ref="N43" ca="1">IF(AND(G43=INDIRECT("'["&amp;G43&amp;"]"&amp;E43&amp;"'!"&amp;$AH$2),OR(K43=INDIRECT("'["&amp;G43&amp;"]"&amp;E43&amp;"'!"&amp;$Z$2))),INDIRECT("'["&amp;G43&amp;"]"&amp;E43&amp;"'!"&amp;$Z$3),0)</f>
        <v>#VALUE!</v>
      </c>
      <c r="O43" s="34" t="e" cm="1">
        <f t="array" aca="1" ref="O43" ca="1">IF(AND(G43=INDIRECT("'["&amp;G43&amp;"]"&amp;E43&amp;"'!"&amp;$AH$2),OR(L43=INDIRECT("'["&amp;G43&amp;"]"&amp;E43&amp;"'!"&amp;$AA$2))),INDIRECT("'["&amp;G43&amp;"]"&amp;E43&amp;"'!"&amp;$AA$3),0)</f>
        <v>#VALUE!</v>
      </c>
      <c r="P43" s="34" t="e" cm="1">
        <f t="array" aca="1" ref="P43" ca="1">IF(AND(G43=INDIRECT("'["&amp;G43&amp;"]"&amp;E43&amp;"'!"&amp;$AH$2),OR(VALUE(I43)=INDIRECT("'["&amp;G43&amp;"]"&amp;E43&amp;"'!"&amp;$AB$2))),INDIRECT("'["&amp;G43&amp;"]"&amp;E43&amp;"'!"&amp;$AB$3),0)</f>
        <v>#VALUE!</v>
      </c>
      <c r="Q43" s="34" t="e" cm="1">
        <f t="array" aca="1" ref="Q43" ca="1">IF(AND(G43=INDIRECT("'["&amp;G43&amp;"]"&amp;E43&amp;"'!"&amp;$AH$2),OR(VALUE(I43)=INDIRECT("'["&amp;G43&amp;"]"&amp;E43&amp;"'!"&amp;$AC$2))),INDIRECT("'["&amp;G43&amp;"]"&amp;E43&amp;"'!"&amp;$AC$3),0)</f>
        <v>#VALUE!</v>
      </c>
      <c r="R43" s="34" t="e" cm="1">
        <f t="array" aca="1" ref="R43" ca="1">IF(AND(G43=INDIRECT("'["&amp;G43&amp;"]"&amp;E43&amp;"'!"&amp;$AH$2),OR(I43=INDIRECT("'["&amp;G43&amp;"]"&amp;E43&amp;"'!"&amp;$AD$2))),INDIRECT("'["&amp;G43&amp;"]"&amp;E43&amp;"'!"&amp;$AD$3),0)</f>
        <v>#VALUE!</v>
      </c>
      <c r="S43" s="34" t="e" cm="1">
        <f t="array" aca="1" ref="S43" ca="1">IF(AND(G43=INDIRECT("'["&amp;G43&amp;"]"&amp;E43&amp;"'!"&amp;$AH$2),OR(I43=INDIRECT("'["&amp;G43&amp;"]"&amp;E43&amp;"'!"&amp;$AE$2))),INDIRECT("'["&amp;G43&amp;"]"&amp;E43&amp;"'!"&amp;$AE$3),0)</f>
        <v>#VALUE!</v>
      </c>
      <c r="T43" s="35" t="e" cm="1">
        <f t="array" aca="1" ref="T43" ca="1">IF(AND(G43=INDIRECT("'["&amp;G43&amp;"]"&amp;E43&amp;"'!"&amp;$AH$2),OR(I43=INDIRECT("'["&amp;G43&amp;"]"&amp;E43&amp;"'!"&amp;$AF$2))),INDIRECT("'["&amp;G43&amp;"]"&amp;E43&amp;"'!"&amp;$AF$3),0)</f>
        <v>#VALUE!</v>
      </c>
      <c r="U43" s="34" t="e" cm="1">
        <f t="array" aca="1" ref="U43" ca="1">IF(AND(G43=INDIRECT("'["&amp;G43&amp;"]"&amp;E43&amp;"'!"&amp;$AH$2),OR(I43=INDIRECT("'["&amp;G43&amp;"]"&amp;E43&amp;"'!"&amp;$AG$2))),INDIRECT("'["&amp;G43&amp;"]"&amp;E43&amp;"'!"&amp;$AG$3),0)</f>
        <v>#VALUE!</v>
      </c>
      <c r="V43" s="25" t="str">
        <f t="shared" si="25"/>
        <v/>
      </c>
      <c r="W43" s="36" t="e" cm="1">
        <f t="array" aca="1" ref="W43" ca="1">IF(AND(G43=INDIRECT("'["&amp;G43&amp;"]"&amp;E43&amp;"'!"&amp;$AH$2),OR(V43=INDIRECT("'["&amp;G43&amp;"]"&amp;E43&amp;"'!"&amp;$AI$2))),INDIRECT("'["&amp;G43&amp;"]"&amp;E43&amp;"'!"&amp;$AI$3),0)</f>
        <v>#VALUE!</v>
      </c>
      <c r="AJ43" s="25">
        <v>1</v>
      </c>
      <c r="AK43" s="38">
        <f t="shared" ca="1" si="5"/>
        <v>0</v>
      </c>
      <c r="AL43" s="38">
        <f t="shared" ca="1" si="12"/>
        <v>0</v>
      </c>
      <c r="AM43" s="54" t="str">
        <f t="shared" ca="1" si="6"/>
        <v/>
      </c>
      <c r="AN43" s="25" t="e">
        <f t="shared" ca="1" si="13"/>
        <v>#VALUE!</v>
      </c>
      <c r="AO43" s="25" t="e">
        <f t="shared" ca="1" si="14"/>
        <v>#VALUE!</v>
      </c>
      <c r="AP43" s="39" t="str">
        <f t="shared" ca="1" si="7"/>
        <v/>
      </c>
      <c r="AQ43" s="46" t="str">
        <f ca="1">IF(AND(C43&lt;&gt;0, C44=0), SUM($C$2:C43)-SUM($AQ$1:AQ42), "")</f>
        <v/>
      </c>
      <c r="AR43" s="46" t="str">
        <f ca="1">IF(AND(AK43&lt;&gt;0, AK44=0), SUM($AK$2:AK43)-SUM($AR$1:AR42), "")</f>
        <v/>
      </c>
    </row>
    <row r="44" spans="1:44" ht="13.15" customHeight="1">
      <c r="A44" s="31"/>
      <c r="B44" s="68" t="str">
        <f t="shared" si="16"/>
        <v/>
      </c>
      <c r="C44" s="55" cm="1">
        <f t="array" aca="1" ref="C44" ca="1">SUM(IF(ISNUMBER(M44:U44),M44:U44,""))</f>
        <v>0</v>
      </c>
      <c r="D44" s="25" t="str">
        <f t="shared" si="17"/>
        <v/>
      </c>
      <c r="E44" s="25" t="e">
        <f t="shared" si="18"/>
        <v>#VALUE!</v>
      </c>
      <c r="F44" s="25" t="str">
        <f t="shared" si="19"/>
        <v/>
      </c>
      <c r="G44" s="25" t="str">
        <f t="shared" si="20"/>
        <v>.xlsx</v>
      </c>
      <c r="H44" s="29" t="e" cm="1">
        <f t="array" aca="1" ref="H44" ca="1">IF(AND(VALUE(E44)=INDIRECT("'["&amp;G44&amp;"]"&amp;E44&amp;"'!"&amp;$X$2),G44=INDIRECT("'["&amp;G44&amp;"]"&amp;E44&amp;"'!"&amp;$X$3)),INDIRECT("'["&amp;G44&amp;"]"&amp;E44&amp;"'!"&amp;$X$1),0)</f>
        <v>#VALUE!</v>
      </c>
      <c r="I44" s="25" t="str">
        <f t="shared" si="21"/>
        <v/>
      </c>
      <c r="J44" s="32" t="str">
        <f t="shared" si="22"/>
        <v/>
      </c>
      <c r="K44" s="25" t="str">
        <f t="shared" si="23"/>
        <v/>
      </c>
      <c r="L44" s="25" t="str">
        <f t="shared" si="24"/>
        <v/>
      </c>
      <c r="M44" s="33" t="e" cm="1">
        <f t="array" aca="1" ref="M44" ca="1">IF(AND(J44=INDIRECT("'["&amp;G44&amp;"]"&amp;E44&amp;"'!"&amp;$Y$2),G44=INDIRECT("'["&amp;G44&amp;"]"&amp;E44&amp;"'!"&amp;$AH$2)),INDIRECT("'["&amp;G44&amp;"]"&amp;E44&amp;"'!"&amp;$Y$3),0)</f>
        <v>#VALUE!</v>
      </c>
      <c r="N44" s="34" t="e" cm="1">
        <f t="array" aca="1" ref="N44" ca="1">IF(AND(G44=INDIRECT("'["&amp;G44&amp;"]"&amp;E44&amp;"'!"&amp;$AH$2),OR(K44=INDIRECT("'["&amp;G44&amp;"]"&amp;E44&amp;"'!"&amp;$Z$2))),INDIRECT("'["&amp;G44&amp;"]"&amp;E44&amp;"'!"&amp;$Z$3),0)</f>
        <v>#VALUE!</v>
      </c>
      <c r="O44" s="34" t="e" cm="1">
        <f t="array" aca="1" ref="O44" ca="1">IF(AND(G44=INDIRECT("'["&amp;G44&amp;"]"&amp;E44&amp;"'!"&amp;$AH$2),OR(L44=INDIRECT("'["&amp;G44&amp;"]"&amp;E44&amp;"'!"&amp;$AA$2))),INDIRECT("'["&amp;G44&amp;"]"&amp;E44&amp;"'!"&amp;$AA$3),0)</f>
        <v>#VALUE!</v>
      </c>
      <c r="P44" s="34" t="e" cm="1">
        <f t="array" aca="1" ref="P44" ca="1">IF(AND(G44=INDIRECT("'["&amp;G44&amp;"]"&amp;E44&amp;"'!"&amp;$AH$2),OR(VALUE(I44)=INDIRECT("'["&amp;G44&amp;"]"&amp;E44&amp;"'!"&amp;$AB$2))),INDIRECT("'["&amp;G44&amp;"]"&amp;E44&amp;"'!"&amp;$AB$3),0)</f>
        <v>#VALUE!</v>
      </c>
      <c r="Q44" s="34" t="e" cm="1">
        <f t="array" aca="1" ref="Q44" ca="1">IF(AND(G44=INDIRECT("'["&amp;G44&amp;"]"&amp;E44&amp;"'!"&amp;$AH$2),OR(VALUE(I44)=INDIRECT("'["&amp;G44&amp;"]"&amp;E44&amp;"'!"&amp;$AC$2))),INDIRECT("'["&amp;G44&amp;"]"&amp;E44&amp;"'!"&amp;$AC$3),0)</f>
        <v>#VALUE!</v>
      </c>
      <c r="R44" s="34" t="e" cm="1">
        <f t="array" aca="1" ref="R44" ca="1">IF(AND(G44=INDIRECT("'["&amp;G44&amp;"]"&amp;E44&amp;"'!"&amp;$AH$2),OR(I44=INDIRECT("'["&amp;G44&amp;"]"&amp;E44&amp;"'!"&amp;$AD$2))),INDIRECT("'["&amp;G44&amp;"]"&amp;E44&amp;"'!"&amp;$AD$3),0)</f>
        <v>#VALUE!</v>
      </c>
      <c r="S44" s="34" t="e" cm="1">
        <f t="array" aca="1" ref="S44" ca="1">IF(AND(G44=INDIRECT("'["&amp;G44&amp;"]"&amp;E44&amp;"'!"&amp;$AH$2),OR(I44=INDIRECT("'["&amp;G44&amp;"]"&amp;E44&amp;"'!"&amp;$AE$2))),INDIRECT("'["&amp;G44&amp;"]"&amp;E44&amp;"'!"&amp;$AE$3),0)</f>
        <v>#VALUE!</v>
      </c>
      <c r="T44" s="35" t="e" cm="1">
        <f t="array" aca="1" ref="T44" ca="1">IF(AND(G44=INDIRECT("'["&amp;G44&amp;"]"&amp;E44&amp;"'!"&amp;$AH$2),OR(I44=INDIRECT("'["&amp;G44&amp;"]"&amp;E44&amp;"'!"&amp;$AF$2))),INDIRECT("'["&amp;G44&amp;"]"&amp;E44&amp;"'!"&amp;$AF$3),0)</f>
        <v>#VALUE!</v>
      </c>
      <c r="U44" s="34" t="e" cm="1">
        <f t="array" aca="1" ref="U44" ca="1">IF(AND(G44=INDIRECT("'["&amp;G44&amp;"]"&amp;E44&amp;"'!"&amp;$AH$2),OR(I44=INDIRECT("'["&amp;G44&amp;"]"&amp;E44&amp;"'!"&amp;$AG$2))),INDIRECT("'["&amp;G44&amp;"]"&amp;E44&amp;"'!"&amp;$AG$3),0)</f>
        <v>#VALUE!</v>
      </c>
      <c r="V44" s="25" t="str">
        <f t="shared" si="25"/>
        <v/>
      </c>
      <c r="W44" s="36" t="e" cm="1">
        <f t="array" aca="1" ref="W44" ca="1">IF(AND(G44=INDIRECT("'["&amp;G44&amp;"]"&amp;E44&amp;"'!"&amp;$AH$2),OR(V44=INDIRECT("'["&amp;G44&amp;"]"&amp;E44&amp;"'!"&amp;$AI$2))),INDIRECT("'["&amp;G44&amp;"]"&amp;E44&amp;"'!"&amp;$AI$3),0)</f>
        <v>#VALUE!</v>
      </c>
      <c r="AJ44" s="25">
        <v>1</v>
      </c>
      <c r="AK44" s="38">
        <f t="shared" ca="1" si="5"/>
        <v>0</v>
      </c>
      <c r="AL44" s="38">
        <f t="shared" ca="1" si="12"/>
        <v>0</v>
      </c>
      <c r="AM44" s="54" t="str">
        <f t="shared" ca="1" si="6"/>
        <v/>
      </c>
      <c r="AN44" s="25" t="e">
        <f t="shared" ca="1" si="13"/>
        <v>#VALUE!</v>
      </c>
      <c r="AO44" s="25" t="e">
        <f t="shared" ca="1" si="14"/>
        <v>#VALUE!</v>
      </c>
      <c r="AP44" s="39" t="str">
        <f t="shared" ca="1" si="7"/>
        <v/>
      </c>
      <c r="AQ44" s="46" t="str">
        <f ca="1">IF(AND(C44&lt;&gt;0, C45=0), SUM($C$2:C44)-SUM($AQ$1:AQ43), "")</f>
        <v/>
      </c>
      <c r="AR44" s="46" t="str">
        <f ca="1">IF(AND(AK44&lt;&gt;0, AK45=0), SUM($AK$2:AK44)-SUM($AR$1:AR43), "")</f>
        <v/>
      </c>
    </row>
    <row r="45" spans="1:44" ht="13.15" customHeight="1">
      <c r="A45" s="31"/>
      <c r="B45" s="68" t="str">
        <f t="shared" si="16"/>
        <v/>
      </c>
      <c r="C45" s="55" cm="1">
        <f t="array" aca="1" ref="C45" ca="1">SUM(IF(ISNUMBER(M45:U45),M45:U45,""))</f>
        <v>0</v>
      </c>
      <c r="D45" s="25" t="str">
        <f t="shared" si="17"/>
        <v/>
      </c>
      <c r="E45" s="25" t="e">
        <f t="shared" si="18"/>
        <v>#VALUE!</v>
      </c>
      <c r="F45" s="25" t="str">
        <f t="shared" si="19"/>
        <v/>
      </c>
      <c r="G45" s="25" t="str">
        <f t="shared" si="20"/>
        <v>.xlsx</v>
      </c>
      <c r="H45" s="29" t="e" cm="1">
        <f t="array" aca="1" ref="H45" ca="1">IF(AND(VALUE(E45)=INDIRECT("'["&amp;G45&amp;"]"&amp;E45&amp;"'!"&amp;$X$2),G45=INDIRECT("'["&amp;G45&amp;"]"&amp;E45&amp;"'!"&amp;$X$3)),INDIRECT("'["&amp;G45&amp;"]"&amp;E45&amp;"'!"&amp;$X$1),0)</f>
        <v>#VALUE!</v>
      </c>
      <c r="I45" s="25" t="str">
        <f t="shared" si="21"/>
        <v/>
      </c>
      <c r="J45" s="32" t="str">
        <f t="shared" si="22"/>
        <v/>
      </c>
      <c r="K45" s="25" t="str">
        <f t="shared" si="23"/>
        <v/>
      </c>
      <c r="L45" s="25" t="str">
        <f t="shared" si="24"/>
        <v/>
      </c>
      <c r="M45" s="33" t="e" cm="1">
        <f t="array" aca="1" ref="M45" ca="1">IF(AND(J45=INDIRECT("'["&amp;G45&amp;"]"&amp;E45&amp;"'!"&amp;$Y$2),G45=INDIRECT("'["&amp;G45&amp;"]"&amp;E45&amp;"'!"&amp;$AH$2)),INDIRECT("'["&amp;G45&amp;"]"&amp;E45&amp;"'!"&amp;$Y$3),0)</f>
        <v>#VALUE!</v>
      </c>
      <c r="N45" s="34" t="e" cm="1">
        <f t="array" aca="1" ref="N45" ca="1">IF(AND(G45=INDIRECT("'["&amp;G45&amp;"]"&amp;E45&amp;"'!"&amp;$AH$2),OR(K45=INDIRECT("'["&amp;G45&amp;"]"&amp;E45&amp;"'!"&amp;$Z$2))),INDIRECT("'["&amp;G45&amp;"]"&amp;E45&amp;"'!"&amp;$Z$3),0)</f>
        <v>#VALUE!</v>
      </c>
      <c r="O45" s="34" t="e" cm="1">
        <f t="array" aca="1" ref="O45" ca="1">IF(AND(G45=INDIRECT("'["&amp;G45&amp;"]"&amp;E45&amp;"'!"&amp;$AH$2),OR(L45=INDIRECT("'["&amp;G45&amp;"]"&amp;E45&amp;"'!"&amp;$AA$2))),INDIRECT("'["&amp;G45&amp;"]"&amp;E45&amp;"'!"&amp;$AA$3),0)</f>
        <v>#VALUE!</v>
      </c>
      <c r="P45" s="34" t="e" cm="1">
        <f t="array" aca="1" ref="P45" ca="1">IF(AND(G45=INDIRECT("'["&amp;G45&amp;"]"&amp;E45&amp;"'!"&amp;$AH$2),OR(VALUE(I45)=INDIRECT("'["&amp;G45&amp;"]"&amp;E45&amp;"'!"&amp;$AB$2))),INDIRECT("'["&amp;G45&amp;"]"&amp;E45&amp;"'!"&amp;$AB$3),0)</f>
        <v>#VALUE!</v>
      </c>
      <c r="Q45" s="34" t="e" cm="1">
        <f t="array" aca="1" ref="Q45" ca="1">IF(AND(G45=INDIRECT("'["&amp;G45&amp;"]"&amp;E45&amp;"'!"&amp;$AH$2),OR(VALUE(I45)=INDIRECT("'["&amp;G45&amp;"]"&amp;E45&amp;"'!"&amp;$AC$2))),INDIRECT("'["&amp;G45&amp;"]"&amp;E45&amp;"'!"&amp;$AC$3),0)</f>
        <v>#VALUE!</v>
      </c>
      <c r="R45" s="34" t="e" cm="1">
        <f t="array" aca="1" ref="R45" ca="1">IF(AND(G45=INDIRECT("'["&amp;G45&amp;"]"&amp;E45&amp;"'!"&amp;$AH$2),OR(I45=INDIRECT("'["&amp;G45&amp;"]"&amp;E45&amp;"'!"&amp;$AD$2))),INDIRECT("'["&amp;G45&amp;"]"&amp;E45&amp;"'!"&amp;$AD$3),0)</f>
        <v>#VALUE!</v>
      </c>
      <c r="S45" s="34" t="e" cm="1">
        <f t="array" aca="1" ref="S45" ca="1">IF(AND(G45=INDIRECT("'["&amp;G45&amp;"]"&amp;E45&amp;"'!"&amp;$AH$2),OR(I45=INDIRECT("'["&amp;G45&amp;"]"&amp;E45&amp;"'!"&amp;$AE$2))),INDIRECT("'["&amp;G45&amp;"]"&amp;E45&amp;"'!"&amp;$AE$3),0)</f>
        <v>#VALUE!</v>
      </c>
      <c r="T45" s="35" t="e" cm="1">
        <f t="array" aca="1" ref="T45" ca="1">IF(AND(G45=INDIRECT("'["&amp;G45&amp;"]"&amp;E45&amp;"'!"&amp;$AH$2),OR(I45=INDIRECT("'["&amp;G45&amp;"]"&amp;E45&amp;"'!"&amp;$AF$2))),INDIRECT("'["&amp;G45&amp;"]"&amp;E45&amp;"'!"&amp;$AF$3),0)</f>
        <v>#VALUE!</v>
      </c>
      <c r="U45" s="34" t="e" cm="1">
        <f t="array" aca="1" ref="U45" ca="1">IF(AND(G45=INDIRECT("'["&amp;G45&amp;"]"&amp;E45&amp;"'!"&amp;$AH$2),OR(I45=INDIRECT("'["&amp;G45&amp;"]"&amp;E45&amp;"'!"&amp;$AG$2))),INDIRECT("'["&amp;G45&amp;"]"&amp;E45&amp;"'!"&amp;$AG$3),0)</f>
        <v>#VALUE!</v>
      </c>
      <c r="V45" s="25" t="str">
        <f t="shared" si="25"/>
        <v/>
      </c>
      <c r="W45" s="36" t="e" cm="1">
        <f t="array" aca="1" ref="W45" ca="1">IF(AND(G45=INDIRECT("'["&amp;G45&amp;"]"&amp;E45&amp;"'!"&amp;$AH$2),OR(V45=INDIRECT("'["&amp;G45&amp;"]"&amp;E45&amp;"'!"&amp;$AI$2))),INDIRECT("'["&amp;G45&amp;"]"&amp;E45&amp;"'!"&amp;$AI$3),0)</f>
        <v>#VALUE!</v>
      </c>
      <c r="AJ45" s="25">
        <v>1</v>
      </c>
      <c r="AK45" s="38">
        <f t="shared" ca="1" si="5"/>
        <v>0</v>
      </c>
      <c r="AL45" s="38">
        <f t="shared" ca="1" si="12"/>
        <v>0</v>
      </c>
      <c r="AM45" s="54" t="str">
        <f t="shared" ca="1" si="6"/>
        <v/>
      </c>
      <c r="AN45" s="25" t="e">
        <f t="shared" ca="1" si="13"/>
        <v>#VALUE!</v>
      </c>
      <c r="AO45" s="25" t="e">
        <f t="shared" ca="1" si="14"/>
        <v>#VALUE!</v>
      </c>
      <c r="AP45" s="39" t="str">
        <f t="shared" ca="1" si="7"/>
        <v/>
      </c>
      <c r="AQ45" s="46" t="str">
        <f ca="1">IF(AND(C45&lt;&gt;0, C46=0), SUM($C$2:C45)-SUM($AQ$1:AQ44), "")</f>
        <v/>
      </c>
      <c r="AR45" s="46" t="str">
        <f ca="1">IF(AND(AK45&lt;&gt;0, AK46=0), SUM($AK$2:AK45)-SUM($AR$1:AR44), "")</f>
        <v/>
      </c>
    </row>
    <row r="46" spans="1:44" ht="13.15" customHeight="1">
      <c r="A46" s="31"/>
      <c r="B46" s="68" t="str">
        <f t="shared" si="16"/>
        <v/>
      </c>
      <c r="C46" s="55" cm="1">
        <f t="array" aca="1" ref="C46" ca="1">SUM(IF(ISNUMBER(M46:U46),M46:U46,""))</f>
        <v>0</v>
      </c>
      <c r="D46" s="25" t="str">
        <f t="shared" si="17"/>
        <v/>
      </c>
      <c r="E46" s="25" t="e">
        <f t="shared" si="18"/>
        <v>#VALUE!</v>
      </c>
      <c r="F46" s="25" t="str">
        <f t="shared" si="19"/>
        <v/>
      </c>
      <c r="G46" s="25" t="str">
        <f t="shared" si="20"/>
        <v>.xlsx</v>
      </c>
      <c r="H46" s="29" t="e" cm="1">
        <f t="array" aca="1" ref="H46" ca="1">IF(AND(VALUE(E46)=INDIRECT("'["&amp;G46&amp;"]"&amp;E46&amp;"'!"&amp;$X$2),G46=INDIRECT("'["&amp;G46&amp;"]"&amp;E46&amp;"'!"&amp;$X$3)),INDIRECT("'["&amp;G46&amp;"]"&amp;E46&amp;"'!"&amp;$X$1),0)</f>
        <v>#VALUE!</v>
      </c>
      <c r="I46" s="25" t="str">
        <f t="shared" si="21"/>
        <v/>
      </c>
      <c r="J46" s="32" t="str">
        <f t="shared" si="22"/>
        <v/>
      </c>
      <c r="K46" s="25" t="str">
        <f t="shared" si="23"/>
        <v/>
      </c>
      <c r="L46" s="25" t="str">
        <f t="shared" si="24"/>
        <v/>
      </c>
      <c r="M46" s="33" t="e" cm="1">
        <f t="array" aca="1" ref="M46" ca="1">IF(AND(J46=INDIRECT("'["&amp;G46&amp;"]"&amp;E46&amp;"'!"&amp;$Y$2),G46=INDIRECT("'["&amp;G46&amp;"]"&amp;E46&amp;"'!"&amp;$AH$2)),INDIRECT("'["&amp;G46&amp;"]"&amp;E46&amp;"'!"&amp;$Y$3),0)</f>
        <v>#VALUE!</v>
      </c>
      <c r="N46" s="34" t="e" cm="1">
        <f t="array" aca="1" ref="N46" ca="1">IF(AND(G46=INDIRECT("'["&amp;G46&amp;"]"&amp;E46&amp;"'!"&amp;$AH$2),OR(K46=INDIRECT("'["&amp;G46&amp;"]"&amp;E46&amp;"'!"&amp;$Z$2))),INDIRECT("'["&amp;G46&amp;"]"&amp;E46&amp;"'!"&amp;$Z$3),0)</f>
        <v>#VALUE!</v>
      </c>
      <c r="O46" s="34" t="e" cm="1">
        <f t="array" aca="1" ref="O46" ca="1">IF(AND(G46=INDIRECT("'["&amp;G46&amp;"]"&amp;E46&amp;"'!"&amp;$AH$2),OR(L46=INDIRECT("'["&amp;G46&amp;"]"&amp;E46&amp;"'!"&amp;$AA$2))),INDIRECT("'["&amp;G46&amp;"]"&amp;E46&amp;"'!"&amp;$AA$3),0)</f>
        <v>#VALUE!</v>
      </c>
      <c r="P46" s="34" t="e" cm="1">
        <f t="array" aca="1" ref="P46" ca="1">IF(AND(G46=INDIRECT("'["&amp;G46&amp;"]"&amp;E46&amp;"'!"&amp;$AH$2),OR(VALUE(I46)=INDIRECT("'["&amp;G46&amp;"]"&amp;E46&amp;"'!"&amp;$AB$2))),INDIRECT("'["&amp;G46&amp;"]"&amp;E46&amp;"'!"&amp;$AB$3),0)</f>
        <v>#VALUE!</v>
      </c>
      <c r="Q46" s="34" t="e" cm="1">
        <f t="array" aca="1" ref="Q46" ca="1">IF(AND(G46=INDIRECT("'["&amp;G46&amp;"]"&amp;E46&amp;"'!"&amp;$AH$2),OR(VALUE(I46)=INDIRECT("'["&amp;G46&amp;"]"&amp;E46&amp;"'!"&amp;$AC$2))),INDIRECT("'["&amp;G46&amp;"]"&amp;E46&amp;"'!"&amp;$AC$3),0)</f>
        <v>#VALUE!</v>
      </c>
      <c r="R46" s="34" t="e" cm="1">
        <f t="array" aca="1" ref="R46" ca="1">IF(AND(G46=INDIRECT("'["&amp;G46&amp;"]"&amp;E46&amp;"'!"&amp;$AH$2),OR(I46=INDIRECT("'["&amp;G46&amp;"]"&amp;E46&amp;"'!"&amp;$AD$2))),INDIRECT("'["&amp;G46&amp;"]"&amp;E46&amp;"'!"&amp;$AD$3),0)</f>
        <v>#VALUE!</v>
      </c>
      <c r="S46" s="34" t="e" cm="1">
        <f t="array" aca="1" ref="S46" ca="1">IF(AND(G46=INDIRECT("'["&amp;G46&amp;"]"&amp;E46&amp;"'!"&amp;$AH$2),OR(I46=INDIRECT("'["&amp;G46&amp;"]"&amp;E46&amp;"'!"&amp;$AE$2))),INDIRECT("'["&amp;G46&amp;"]"&amp;E46&amp;"'!"&amp;$AE$3),0)</f>
        <v>#VALUE!</v>
      </c>
      <c r="T46" s="35" t="e" cm="1">
        <f t="array" aca="1" ref="T46" ca="1">IF(AND(G46=INDIRECT("'["&amp;G46&amp;"]"&amp;E46&amp;"'!"&amp;$AH$2),OR(I46=INDIRECT("'["&amp;G46&amp;"]"&amp;E46&amp;"'!"&amp;$AF$2))),INDIRECT("'["&amp;G46&amp;"]"&amp;E46&amp;"'!"&amp;$AF$3),0)</f>
        <v>#VALUE!</v>
      </c>
      <c r="U46" s="34" t="e" cm="1">
        <f t="array" aca="1" ref="U46" ca="1">IF(AND(G46=INDIRECT("'["&amp;G46&amp;"]"&amp;E46&amp;"'!"&amp;$AH$2),OR(I46=INDIRECT("'["&amp;G46&amp;"]"&amp;E46&amp;"'!"&amp;$AG$2))),INDIRECT("'["&amp;G46&amp;"]"&amp;E46&amp;"'!"&amp;$AG$3),0)</f>
        <v>#VALUE!</v>
      </c>
      <c r="V46" s="25" t="str">
        <f t="shared" si="25"/>
        <v/>
      </c>
      <c r="W46" s="36" t="e" cm="1">
        <f t="array" aca="1" ref="W46" ca="1">IF(AND(G46=INDIRECT("'["&amp;G46&amp;"]"&amp;E46&amp;"'!"&amp;$AH$2),OR(V46=INDIRECT("'["&amp;G46&amp;"]"&amp;E46&amp;"'!"&amp;$AI$2))),INDIRECT("'["&amp;G46&amp;"]"&amp;E46&amp;"'!"&amp;$AI$3),0)</f>
        <v>#VALUE!</v>
      </c>
      <c r="AJ46" s="25">
        <v>1</v>
      </c>
      <c r="AK46" s="38">
        <f t="shared" ca="1" si="5"/>
        <v>0</v>
      </c>
      <c r="AL46" s="38">
        <f t="shared" ca="1" si="12"/>
        <v>0</v>
      </c>
      <c r="AM46" s="54" t="str">
        <f t="shared" ca="1" si="6"/>
        <v/>
      </c>
      <c r="AN46" s="25" t="e">
        <f t="shared" ca="1" si="13"/>
        <v>#VALUE!</v>
      </c>
      <c r="AO46" s="25" t="e">
        <f t="shared" ca="1" si="14"/>
        <v>#VALUE!</v>
      </c>
      <c r="AP46" s="39" t="str">
        <f t="shared" ca="1" si="7"/>
        <v/>
      </c>
      <c r="AQ46" s="46" t="str">
        <f ca="1">IF(AND(C46&lt;&gt;0, C47=0), SUM($C$2:C46)-SUM($AQ$1:AQ45), "")</f>
        <v/>
      </c>
      <c r="AR46" s="46" t="str">
        <f ca="1">IF(AND(AK46&lt;&gt;0, AK47=0), SUM($AK$2:AK46)-SUM($AR$1:AR45), "")</f>
        <v/>
      </c>
    </row>
    <row r="47" spans="1:44" ht="13.15" customHeight="1">
      <c r="A47" s="31"/>
      <c r="B47" s="68" t="str">
        <f t="shared" si="16"/>
        <v/>
      </c>
      <c r="C47" s="55" cm="1">
        <f t="array" aca="1" ref="C47" ca="1">SUM(IF(ISNUMBER(M47:U47),M47:U47,""))</f>
        <v>0</v>
      </c>
      <c r="D47" s="25" t="str">
        <f t="shared" si="17"/>
        <v/>
      </c>
      <c r="E47" s="25" t="e">
        <f t="shared" si="18"/>
        <v>#VALUE!</v>
      </c>
      <c r="F47" s="25" t="str">
        <f t="shared" si="19"/>
        <v/>
      </c>
      <c r="G47" s="25" t="str">
        <f t="shared" si="20"/>
        <v>.xlsx</v>
      </c>
      <c r="H47" s="29" t="e" cm="1">
        <f t="array" aca="1" ref="H47" ca="1">IF(AND(VALUE(E47)=INDIRECT("'["&amp;G47&amp;"]"&amp;E47&amp;"'!"&amp;$X$2),G47=INDIRECT("'["&amp;G47&amp;"]"&amp;E47&amp;"'!"&amp;$X$3)),INDIRECT("'["&amp;G47&amp;"]"&amp;E47&amp;"'!"&amp;$X$1),0)</f>
        <v>#VALUE!</v>
      </c>
      <c r="I47" s="25" t="str">
        <f t="shared" si="21"/>
        <v/>
      </c>
      <c r="J47" s="32" t="str">
        <f t="shared" si="22"/>
        <v/>
      </c>
      <c r="K47" s="25" t="str">
        <f t="shared" si="23"/>
        <v/>
      </c>
      <c r="L47" s="25" t="str">
        <f t="shared" si="24"/>
        <v/>
      </c>
      <c r="M47" s="33" t="e" cm="1">
        <f t="array" aca="1" ref="M47" ca="1">IF(AND(J47=INDIRECT("'["&amp;G47&amp;"]"&amp;E47&amp;"'!"&amp;$Y$2),G47=INDIRECT("'["&amp;G47&amp;"]"&amp;E47&amp;"'!"&amp;$AH$2)),INDIRECT("'["&amp;G47&amp;"]"&amp;E47&amp;"'!"&amp;$Y$3),0)</f>
        <v>#VALUE!</v>
      </c>
      <c r="N47" s="34" t="e" cm="1">
        <f t="array" aca="1" ref="N47" ca="1">IF(AND(G47=INDIRECT("'["&amp;G47&amp;"]"&amp;E47&amp;"'!"&amp;$AH$2),OR(K47=INDIRECT("'["&amp;G47&amp;"]"&amp;E47&amp;"'!"&amp;$Z$2))),INDIRECT("'["&amp;G47&amp;"]"&amp;E47&amp;"'!"&amp;$Z$3),0)</f>
        <v>#VALUE!</v>
      </c>
      <c r="O47" s="34" t="e" cm="1">
        <f t="array" aca="1" ref="O47" ca="1">IF(AND(G47=INDIRECT("'["&amp;G47&amp;"]"&amp;E47&amp;"'!"&amp;$AH$2),OR(L47=INDIRECT("'["&amp;G47&amp;"]"&amp;E47&amp;"'!"&amp;$AA$2))),INDIRECT("'["&amp;G47&amp;"]"&amp;E47&amp;"'!"&amp;$AA$3),0)</f>
        <v>#VALUE!</v>
      </c>
      <c r="P47" s="34" t="e" cm="1">
        <f t="array" aca="1" ref="P47" ca="1">IF(AND(G47=INDIRECT("'["&amp;G47&amp;"]"&amp;E47&amp;"'!"&amp;$AH$2),OR(VALUE(I47)=INDIRECT("'["&amp;G47&amp;"]"&amp;E47&amp;"'!"&amp;$AB$2))),INDIRECT("'["&amp;G47&amp;"]"&amp;E47&amp;"'!"&amp;$AB$3),0)</f>
        <v>#VALUE!</v>
      </c>
      <c r="Q47" s="34" t="e" cm="1">
        <f t="array" aca="1" ref="Q47" ca="1">IF(AND(G47=INDIRECT("'["&amp;G47&amp;"]"&amp;E47&amp;"'!"&amp;$AH$2),OR(VALUE(I47)=INDIRECT("'["&amp;G47&amp;"]"&amp;E47&amp;"'!"&amp;$AC$2))),INDIRECT("'["&amp;G47&amp;"]"&amp;E47&amp;"'!"&amp;$AC$3),0)</f>
        <v>#VALUE!</v>
      </c>
      <c r="R47" s="34" t="e" cm="1">
        <f t="array" aca="1" ref="R47" ca="1">IF(AND(G47=INDIRECT("'["&amp;G47&amp;"]"&amp;E47&amp;"'!"&amp;$AH$2),OR(I47=INDIRECT("'["&amp;G47&amp;"]"&amp;E47&amp;"'!"&amp;$AD$2))),INDIRECT("'["&amp;G47&amp;"]"&amp;E47&amp;"'!"&amp;$AD$3),0)</f>
        <v>#VALUE!</v>
      </c>
      <c r="S47" s="34" t="e" cm="1">
        <f t="array" aca="1" ref="S47" ca="1">IF(AND(G47=INDIRECT("'["&amp;G47&amp;"]"&amp;E47&amp;"'!"&amp;$AH$2),OR(I47=INDIRECT("'["&amp;G47&amp;"]"&amp;E47&amp;"'!"&amp;$AE$2))),INDIRECT("'["&amp;G47&amp;"]"&amp;E47&amp;"'!"&amp;$AE$3),0)</f>
        <v>#VALUE!</v>
      </c>
      <c r="T47" s="35" t="e" cm="1">
        <f t="array" aca="1" ref="T47" ca="1">IF(AND(G47=INDIRECT("'["&amp;G47&amp;"]"&amp;E47&amp;"'!"&amp;$AH$2),OR(I47=INDIRECT("'["&amp;G47&amp;"]"&amp;E47&amp;"'!"&amp;$AF$2))),INDIRECT("'["&amp;G47&amp;"]"&amp;E47&amp;"'!"&amp;$AF$3),0)</f>
        <v>#VALUE!</v>
      </c>
      <c r="U47" s="34" t="e" cm="1">
        <f t="array" aca="1" ref="U47" ca="1">IF(AND(G47=INDIRECT("'["&amp;G47&amp;"]"&amp;E47&amp;"'!"&amp;$AH$2),OR(I47=INDIRECT("'["&amp;G47&amp;"]"&amp;E47&amp;"'!"&amp;$AG$2))),INDIRECT("'["&amp;G47&amp;"]"&amp;E47&amp;"'!"&amp;$AG$3),0)</f>
        <v>#VALUE!</v>
      </c>
      <c r="V47" s="25" t="str">
        <f t="shared" si="25"/>
        <v/>
      </c>
      <c r="W47" s="36" t="e" cm="1">
        <f t="array" aca="1" ref="W47" ca="1">IF(AND(G47=INDIRECT("'["&amp;G47&amp;"]"&amp;E47&amp;"'!"&amp;$AH$2),OR(V47=INDIRECT("'["&amp;G47&amp;"]"&amp;E47&amp;"'!"&amp;$AI$2))),INDIRECT("'["&amp;G47&amp;"]"&amp;E47&amp;"'!"&amp;$AI$3),0)</f>
        <v>#VALUE!</v>
      </c>
      <c r="AI47" s="42"/>
      <c r="AJ47" s="25">
        <v>1</v>
      </c>
      <c r="AK47" s="38">
        <f t="shared" ca="1" si="5"/>
        <v>0</v>
      </c>
      <c r="AL47" s="38">
        <f t="shared" ca="1" si="12"/>
        <v>0</v>
      </c>
      <c r="AM47" s="54" t="str">
        <f t="shared" ca="1" si="6"/>
        <v/>
      </c>
      <c r="AN47" s="25" t="e">
        <f t="shared" ca="1" si="13"/>
        <v>#VALUE!</v>
      </c>
      <c r="AO47" s="25" t="e">
        <f t="shared" ca="1" si="14"/>
        <v>#VALUE!</v>
      </c>
      <c r="AP47" s="39" t="str">
        <f t="shared" ca="1" si="7"/>
        <v/>
      </c>
      <c r="AQ47" s="46" t="str">
        <f ca="1">IF(AND(C47&lt;&gt;0, C48=0), SUM($C$2:C47)-SUM($AQ$1:AQ46), "")</f>
        <v/>
      </c>
      <c r="AR47" s="46" t="str">
        <f ca="1">IF(AND(AK47&lt;&gt;0, AK48=0), SUM($AK$2:AK47)-SUM($AR$1:AR46), "")</f>
        <v/>
      </c>
    </row>
    <row r="48" spans="1:44" ht="13.15" customHeight="1">
      <c r="A48" s="31"/>
      <c r="B48" s="68" t="str">
        <f t="shared" si="16"/>
        <v/>
      </c>
      <c r="C48" s="55" cm="1">
        <f t="array" aca="1" ref="C48" ca="1">SUM(IF(ISNUMBER(M48:U48),M48:U48,""))</f>
        <v>0</v>
      </c>
      <c r="D48" s="25" t="str">
        <f t="shared" si="17"/>
        <v/>
      </c>
      <c r="E48" s="25" t="e">
        <f t="shared" si="18"/>
        <v>#VALUE!</v>
      </c>
      <c r="F48" s="25" t="str">
        <f t="shared" si="19"/>
        <v/>
      </c>
      <c r="G48" s="25" t="str">
        <f t="shared" si="20"/>
        <v>.xlsx</v>
      </c>
      <c r="H48" s="29" t="e" cm="1">
        <f t="array" aca="1" ref="H48" ca="1">IF(AND(VALUE(E48)=INDIRECT("'["&amp;G48&amp;"]"&amp;E48&amp;"'!"&amp;$X$2),G48=INDIRECT("'["&amp;G48&amp;"]"&amp;E48&amp;"'!"&amp;$X$3)),INDIRECT("'["&amp;G48&amp;"]"&amp;E48&amp;"'!"&amp;$X$1),0)</f>
        <v>#VALUE!</v>
      </c>
      <c r="I48" s="25" t="str">
        <f t="shared" si="21"/>
        <v/>
      </c>
      <c r="J48" s="32" t="str">
        <f t="shared" si="22"/>
        <v/>
      </c>
      <c r="K48" s="25" t="str">
        <f t="shared" si="23"/>
        <v/>
      </c>
      <c r="L48" s="25" t="str">
        <f t="shared" si="24"/>
        <v/>
      </c>
      <c r="M48" s="33" t="e" cm="1">
        <f t="array" aca="1" ref="M48" ca="1">IF(AND(J48=INDIRECT("'["&amp;G48&amp;"]"&amp;E48&amp;"'!"&amp;$Y$2),G48=INDIRECT("'["&amp;G48&amp;"]"&amp;E48&amp;"'!"&amp;$AH$2)),INDIRECT("'["&amp;G48&amp;"]"&amp;E48&amp;"'!"&amp;$Y$3),0)</f>
        <v>#VALUE!</v>
      </c>
      <c r="N48" s="34" t="e" cm="1">
        <f t="array" aca="1" ref="N48" ca="1">IF(AND(G48=INDIRECT("'["&amp;G48&amp;"]"&amp;E48&amp;"'!"&amp;$AH$2),OR(K48=INDIRECT("'["&amp;G48&amp;"]"&amp;E48&amp;"'!"&amp;$Z$2))),INDIRECT("'["&amp;G48&amp;"]"&amp;E48&amp;"'!"&amp;$Z$3),0)</f>
        <v>#VALUE!</v>
      </c>
      <c r="O48" s="34" t="e" cm="1">
        <f t="array" aca="1" ref="O48" ca="1">IF(AND(G48=INDIRECT("'["&amp;G48&amp;"]"&amp;E48&amp;"'!"&amp;$AH$2),OR(L48=INDIRECT("'["&amp;G48&amp;"]"&amp;E48&amp;"'!"&amp;$AA$2))),INDIRECT("'["&amp;G48&amp;"]"&amp;E48&amp;"'!"&amp;$AA$3),0)</f>
        <v>#VALUE!</v>
      </c>
      <c r="P48" s="34" t="e" cm="1">
        <f t="array" aca="1" ref="P48" ca="1">IF(AND(G48=INDIRECT("'["&amp;G48&amp;"]"&amp;E48&amp;"'!"&amp;$AH$2),OR(VALUE(I48)=INDIRECT("'["&amp;G48&amp;"]"&amp;E48&amp;"'!"&amp;$AB$2))),INDIRECT("'["&amp;G48&amp;"]"&amp;E48&amp;"'!"&amp;$AB$3),0)</f>
        <v>#VALUE!</v>
      </c>
      <c r="Q48" s="34" t="e" cm="1">
        <f t="array" aca="1" ref="Q48" ca="1">IF(AND(G48=INDIRECT("'["&amp;G48&amp;"]"&amp;E48&amp;"'!"&amp;$AH$2),OR(VALUE(I48)=INDIRECT("'["&amp;G48&amp;"]"&amp;E48&amp;"'!"&amp;$AC$2))),INDIRECT("'["&amp;G48&amp;"]"&amp;E48&amp;"'!"&amp;$AC$3),0)</f>
        <v>#VALUE!</v>
      </c>
      <c r="R48" s="34" t="e" cm="1">
        <f t="array" aca="1" ref="R48" ca="1">IF(AND(G48=INDIRECT("'["&amp;G48&amp;"]"&amp;E48&amp;"'!"&amp;$AH$2),OR(I48=INDIRECT("'["&amp;G48&amp;"]"&amp;E48&amp;"'!"&amp;$AD$2))),INDIRECT("'["&amp;G48&amp;"]"&amp;E48&amp;"'!"&amp;$AD$3),0)</f>
        <v>#VALUE!</v>
      </c>
      <c r="S48" s="34" t="e" cm="1">
        <f t="array" aca="1" ref="S48" ca="1">IF(AND(G48=INDIRECT("'["&amp;G48&amp;"]"&amp;E48&amp;"'!"&amp;$AH$2),OR(I48=INDIRECT("'["&amp;G48&amp;"]"&amp;E48&amp;"'!"&amp;$AE$2))),INDIRECT("'["&amp;G48&amp;"]"&amp;E48&amp;"'!"&amp;$AE$3),0)</f>
        <v>#VALUE!</v>
      </c>
      <c r="T48" s="35" t="e" cm="1">
        <f t="array" aca="1" ref="T48" ca="1">IF(AND(G48=INDIRECT("'["&amp;G48&amp;"]"&amp;E48&amp;"'!"&amp;$AH$2),OR(I48=INDIRECT("'["&amp;G48&amp;"]"&amp;E48&amp;"'!"&amp;$AF$2))),INDIRECT("'["&amp;G48&amp;"]"&amp;E48&amp;"'!"&amp;$AF$3),0)</f>
        <v>#VALUE!</v>
      </c>
      <c r="U48" s="34" t="e" cm="1">
        <f t="array" aca="1" ref="U48" ca="1">IF(AND(G48=INDIRECT("'["&amp;G48&amp;"]"&amp;E48&amp;"'!"&amp;$AH$2),OR(I48=INDIRECT("'["&amp;G48&amp;"]"&amp;E48&amp;"'!"&amp;$AG$2))),INDIRECT("'["&amp;G48&amp;"]"&amp;E48&amp;"'!"&amp;$AG$3),0)</f>
        <v>#VALUE!</v>
      </c>
      <c r="V48" s="25" t="str">
        <f t="shared" si="25"/>
        <v/>
      </c>
      <c r="W48" s="36" t="e" cm="1">
        <f t="array" aca="1" ref="W48" ca="1">IF(AND(G48=INDIRECT("'["&amp;G48&amp;"]"&amp;E48&amp;"'!"&amp;$AH$2),OR(V48=INDIRECT("'["&amp;G48&amp;"]"&amp;E48&amp;"'!"&amp;$AI$2))),INDIRECT("'["&amp;G48&amp;"]"&amp;E48&amp;"'!"&amp;$AI$3),0)</f>
        <v>#VALUE!</v>
      </c>
      <c r="AJ48" s="25">
        <v>1</v>
      </c>
      <c r="AK48" s="38">
        <f t="shared" ca="1" si="5"/>
        <v>0</v>
      </c>
      <c r="AL48" s="38">
        <f t="shared" ca="1" si="12"/>
        <v>0</v>
      </c>
      <c r="AM48" s="54" t="str">
        <f t="shared" ca="1" si="6"/>
        <v/>
      </c>
      <c r="AN48" s="25" t="e">
        <f t="shared" ca="1" si="13"/>
        <v>#VALUE!</v>
      </c>
      <c r="AO48" s="25" t="e">
        <f t="shared" ca="1" si="14"/>
        <v>#VALUE!</v>
      </c>
      <c r="AP48" s="39" t="str">
        <f t="shared" ca="1" si="7"/>
        <v/>
      </c>
      <c r="AQ48" s="46" t="str">
        <f ca="1">IF(AND(C48&lt;&gt;0, C49=0), SUM($C$2:C48)-SUM($AQ$1:AQ47), "")</f>
        <v/>
      </c>
      <c r="AR48" s="46" t="str">
        <f ca="1">IF(AND(AK48&lt;&gt;0, AK49=0), SUM($AK$2:AK48)-SUM($AR$1:AR47), "")</f>
        <v/>
      </c>
    </row>
    <row r="49" spans="1:44" ht="13.15" customHeight="1">
      <c r="A49" s="31"/>
      <c r="B49" s="68" t="str">
        <f t="shared" si="16"/>
        <v/>
      </c>
      <c r="C49" s="55" cm="1">
        <f t="array" aca="1" ref="C49" ca="1">SUM(IF(ISNUMBER(M49:U49),M49:U49,""))</f>
        <v>0</v>
      </c>
      <c r="D49" s="25" t="str">
        <f t="shared" si="17"/>
        <v/>
      </c>
      <c r="E49" s="25" t="e">
        <f t="shared" si="18"/>
        <v>#VALUE!</v>
      </c>
      <c r="F49" s="25" t="str">
        <f t="shared" si="19"/>
        <v/>
      </c>
      <c r="G49" s="25" t="str">
        <f t="shared" si="20"/>
        <v>.xlsx</v>
      </c>
      <c r="H49" s="29" t="e" cm="1">
        <f t="array" aca="1" ref="H49" ca="1">IF(AND(VALUE(E49)=INDIRECT("'["&amp;G49&amp;"]"&amp;E49&amp;"'!"&amp;$X$2),G49=INDIRECT("'["&amp;G49&amp;"]"&amp;E49&amp;"'!"&amp;$X$3)),INDIRECT("'["&amp;G49&amp;"]"&amp;E49&amp;"'!"&amp;$X$1),0)</f>
        <v>#VALUE!</v>
      </c>
      <c r="I49" s="25" t="str">
        <f t="shared" si="21"/>
        <v/>
      </c>
      <c r="J49" s="32" t="str">
        <f t="shared" si="22"/>
        <v/>
      </c>
      <c r="K49" s="25" t="str">
        <f t="shared" si="23"/>
        <v/>
      </c>
      <c r="L49" s="25" t="str">
        <f t="shared" si="24"/>
        <v/>
      </c>
      <c r="M49" s="33" t="e" cm="1">
        <f t="array" aca="1" ref="M49" ca="1">IF(AND(J49=INDIRECT("'["&amp;G49&amp;"]"&amp;E49&amp;"'!"&amp;$Y$2),G49=INDIRECT("'["&amp;G49&amp;"]"&amp;E49&amp;"'!"&amp;$AH$2)),INDIRECT("'["&amp;G49&amp;"]"&amp;E49&amp;"'!"&amp;$Y$3),0)</f>
        <v>#VALUE!</v>
      </c>
      <c r="N49" s="34" t="e" cm="1">
        <f t="array" aca="1" ref="N49" ca="1">IF(AND(G49=INDIRECT("'["&amp;G49&amp;"]"&amp;E49&amp;"'!"&amp;$AH$2),OR(K49=INDIRECT("'["&amp;G49&amp;"]"&amp;E49&amp;"'!"&amp;$Z$2))),INDIRECT("'["&amp;G49&amp;"]"&amp;E49&amp;"'!"&amp;$Z$3),0)</f>
        <v>#VALUE!</v>
      </c>
      <c r="O49" s="34" t="e" cm="1">
        <f t="array" aca="1" ref="O49" ca="1">IF(AND(G49=INDIRECT("'["&amp;G49&amp;"]"&amp;E49&amp;"'!"&amp;$AH$2),OR(L49=INDIRECT("'["&amp;G49&amp;"]"&amp;E49&amp;"'!"&amp;$AA$2))),INDIRECT("'["&amp;G49&amp;"]"&amp;E49&amp;"'!"&amp;$AA$3),0)</f>
        <v>#VALUE!</v>
      </c>
      <c r="P49" s="34" t="e" cm="1">
        <f t="array" aca="1" ref="P49" ca="1">IF(AND(G49=INDIRECT("'["&amp;G49&amp;"]"&amp;E49&amp;"'!"&amp;$AH$2),OR(VALUE(I49)=INDIRECT("'["&amp;G49&amp;"]"&amp;E49&amp;"'!"&amp;$AB$2))),INDIRECT("'["&amp;G49&amp;"]"&amp;E49&amp;"'!"&amp;$AB$3),0)</f>
        <v>#VALUE!</v>
      </c>
      <c r="Q49" s="34" t="e" cm="1">
        <f t="array" aca="1" ref="Q49" ca="1">IF(AND(G49=INDIRECT("'["&amp;G49&amp;"]"&amp;E49&amp;"'!"&amp;$AH$2),OR(VALUE(I49)=INDIRECT("'["&amp;G49&amp;"]"&amp;E49&amp;"'!"&amp;$AC$2))),INDIRECT("'["&amp;G49&amp;"]"&amp;E49&amp;"'!"&amp;$AC$3),0)</f>
        <v>#VALUE!</v>
      </c>
      <c r="R49" s="34" t="e" cm="1">
        <f t="array" aca="1" ref="R49" ca="1">IF(AND(G49=INDIRECT("'["&amp;G49&amp;"]"&amp;E49&amp;"'!"&amp;$AH$2),OR(I49=INDIRECT("'["&amp;G49&amp;"]"&amp;E49&amp;"'!"&amp;$AD$2))),INDIRECT("'["&amp;G49&amp;"]"&amp;E49&amp;"'!"&amp;$AD$3),0)</f>
        <v>#VALUE!</v>
      </c>
      <c r="S49" s="34" t="e" cm="1">
        <f t="array" aca="1" ref="S49" ca="1">IF(AND(G49=INDIRECT("'["&amp;G49&amp;"]"&amp;E49&amp;"'!"&amp;$AH$2),OR(I49=INDIRECT("'["&amp;G49&amp;"]"&amp;E49&amp;"'!"&amp;$AE$2))),INDIRECT("'["&amp;G49&amp;"]"&amp;E49&amp;"'!"&amp;$AE$3),0)</f>
        <v>#VALUE!</v>
      </c>
      <c r="T49" s="35" t="e" cm="1">
        <f t="array" aca="1" ref="T49" ca="1">IF(AND(G49=INDIRECT("'["&amp;G49&amp;"]"&amp;E49&amp;"'!"&amp;$AH$2),OR(I49=INDIRECT("'["&amp;G49&amp;"]"&amp;E49&amp;"'!"&amp;$AF$2))),INDIRECT("'["&amp;G49&amp;"]"&amp;E49&amp;"'!"&amp;$AF$3),0)</f>
        <v>#VALUE!</v>
      </c>
      <c r="U49" s="34" t="e" cm="1">
        <f t="array" aca="1" ref="U49" ca="1">IF(AND(G49=INDIRECT("'["&amp;G49&amp;"]"&amp;E49&amp;"'!"&amp;$AH$2),OR(I49=INDIRECT("'["&amp;G49&amp;"]"&amp;E49&amp;"'!"&amp;$AG$2))),INDIRECT("'["&amp;G49&amp;"]"&amp;E49&amp;"'!"&amp;$AG$3),0)</f>
        <v>#VALUE!</v>
      </c>
      <c r="V49" s="25" t="str">
        <f t="shared" si="25"/>
        <v/>
      </c>
      <c r="W49" s="36" t="e" cm="1">
        <f t="array" aca="1" ref="W49" ca="1">IF(AND(G49=INDIRECT("'["&amp;G49&amp;"]"&amp;E49&amp;"'!"&amp;$AH$2),OR(V49=INDIRECT("'["&amp;G49&amp;"]"&amp;E49&amp;"'!"&amp;$AI$2))),INDIRECT("'["&amp;G49&amp;"]"&amp;E49&amp;"'!"&amp;$AI$3),0)</f>
        <v>#VALUE!</v>
      </c>
      <c r="AJ49" s="25">
        <v>1</v>
      </c>
      <c r="AK49" s="38">
        <f t="shared" ca="1" si="5"/>
        <v>0</v>
      </c>
      <c r="AL49" s="38">
        <f t="shared" ca="1" si="12"/>
        <v>0</v>
      </c>
      <c r="AM49" s="54" t="str">
        <f t="shared" ca="1" si="6"/>
        <v/>
      </c>
      <c r="AN49" s="25" t="e">
        <f t="shared" ca="1" si="13"/>
        <v>#VALUE!</v>
      </c>
      <c r="AO49" s="25" t="e">
        <f t="shared" ca="1" si="14"/>
        <v>#VALUE!</v>
      </c>
      <c r="AP49" s="39" t="str">
        <f t="shared" ca="1" si="7"/>
        <v/>
      </c>
      <c r="AQ49" s="46" t="str">
        <f ca="1">IF(AND(C49&lt;&gt;0, C50=0), SUM($C$2:C49)-SUM($AQ$1:AQ48), "")</f>
        <v/>
      </c>
      <c r="AR49" s="46" t="str">
        <f ca="1">IF(AND(AK49&lt;&gt;0, AK50=0), SUM($AK$2:AK49)-SUM($AR$1:AR48), "")</f>
        <v/>
      </c>
    </row>
    <row r="50" spans="1:44" ht="13.15" customHeight="1">
      <c r="A50" s="31"/>
      <c r="B50" s="68" t="str">
        <f t="shared" si="16"/>
        <v/>
      </c>
      <c r="C50" s="55" cm="1">
        <f t="array" aca="1" ref="C50" ca="1">SUM(IF(ISNUMBER(M50:U50),M50:U50,""))</f>
        <v>0</v>
      </c>
      <c r="D50" s="25" t="str">
        <f t="shared" si="17"/>
        <v/>
      </c>
      <c r="E50" s="25" t="e">
        <f t="shared" si="18"/>
        <v>#VALUE!</v>
      </c>
      <c r="F50" s="25" t="str">
        <f t="shared" si="19"/>
        <v/>
      </c>
      <c r="G50" s="25" t="str">
        <f t="shared" si="20"/>
        <v>.xlsx</v>
      </c>
      <c r="H50" s="29" t="e" cm="1">
        <f t="array" aca="1" ref="H50" ca="1">IF(AND(VALUE(E50)=INDIRECT("'["&amp;G50&amp;"]"&amp;E50&amp;"'!"&amp;$X$2),G50=INDIRECT("'["&amp;G50&amp;"]"&amp;E50&amp;"'!"&amp;$X$3)),INDIRECT("'["&amp;G50&amp;"]"&amp;E50&amp;"'!"&amp;$X$1),0)</f>
        <v>#VALUE!</v>
      </c>
      <c r="I50" s="25" t="str">
        <f t="shared" si="21"/>
        <v/>
      </c>
      <c r="J50" s="32" t="str">
        <f t="shared" si="22"/>
        <v/>
      </c>
      <c r="K50" s="25" t="str">
        <f t="shared" si="23"/>
        <v/>
      </c>
      <c r="L50" s="25" t="str">
        <f t="shared" si="24"/>
        <v/>
      </c>
      <c r="M50" s="33" t="e" cm="1">
        <f t="array" aca="1" ref="M50" ca="1">IF(AND(J50=INDIRECT("'["&amp;G50&amp;"]"&amp;E50&amp;"'!"&amp;$Y$2),G50=INDIRECT("'["&amp;G50&amp;"]"&amp;E50&amp;"'!"&amp;$AH$2)),INDIRECT("'["&amp;G50&amp;"]"&amp;E50&amp;"'!"&amp;$Y$3),0)</f>
        <v>#VALUE!</v>
      </c>
      <c r="N50" s="34" t="e" cm="1">
        <f t="array" aca="1" ref="N50" ca="1">IF(AND(G50=INDIRECT("'["&amp;G50&amp;"]"&amp;E50&amp;"'!"&amp;$AH$2),OR(K50=INDIRECT("'["&amp;G50&amp;"]"&amp;E50&amp;"'!"&amp;$Z$2))),INDIRECT("'["&amp;G50&amp;"]"&amp;E50&amp;"'!"&amp;$Z$3),0)</f>
        <v>#VALUE!</v>
      </c>
      <c r="O50" s="34" t="e" cm="1">
        <f t="array" aca="1" ref="O50" ca="1">IF(AND(G50=INDIRECT("'["&amp;G50&amp;"]"&amp;E50&amp;"'!"&amp;$AH$2),OR(L50=INDIRECT("'["&amp;G50&amp;"]"&amp;E50&amp;"'!"&amp;$AA$2))),INDIRECT("'["&amp;G50&amp;"]"&amp;E50&amp;"'!"&amp;$AA$3),0)</f>
        <v>#VALUE!</v>
      </c>
      <c r="P50" s="34" t="e" cm="1">
        <f t="array" aca="1" ref="P50" ca="1">IF(AND(G50=INDIRECT("'["&amp;G50&amp;"]"&amp;E50&amp;"'!"&amp;$AH$2),OR(VALUE(I50)=INDIRECT("'["&amp;G50&amp;"]"&amp;E50&amp;"'!"&amp;$AB$2))),INDIRECT("'["&amp;G50&amp;"]"&amp;E50&amp;"'!"&amp;$AB$3),0)</f>
        <v>#VALUE!</v>
      </c>
      <c r="Q50" s="34" t="e" cm="1">
        <f t="array" aca="1" ref="Q50" ca="1">IF(AND(G50=INDIRECT("'["&amp;G50&amp;"]"&amp;E50&amp;"'!"&amp;$AH$2),OR(VALUE(I50)=INDIRECT("'["&amp;G50&amp;"]"&amp;E50&amp;"'!"&amp;$AC$2))),INDIRECT("'["&amp;G50&amp;"]"&amp;E50&amp;"'!"&amp;$AC$3),0)</f>
        <v>#VALUE!</v>
      </c>
      <c r="R50" s="34" t="e" cm="1">
        <f t="array" aca="1" ref="R50" ca="1">IF(AND(G50=INDIRECT("'["&amp;G50&amp;"]"&amp;E50&amp;"'!"&amp;$AH$2),OR(I50=INDIRECT("'["&amp;G50&amp;"]"&amp;E50&amp;"'!"&amp;$AD$2))),INDIRECT("'["&amp;G50&amp;"]"&amp;E50&amp;"'!"&amp;$AD$3),0)</f>
        <v>#VALUE!</v>
      </c>
      <c r="S50" s="34" t="e" cm="1">
        <f t="array" aca="1" ref="S50" ca="1">IF(AND(G50=INDIRECT("'["&amp;G50&amp;"]"&amp;E50&amp;"'!"&amp;$AH$2),OR(I50=INDIRECT("'["&amp;G50&amp;"]"&amp;E50&amp;"'!"&amp;$AE$2))),INDIRECT("'["&amp;G50&amp;"]"&amp;E50&amp;"'!"&amp;$AE$3),0)</f>
        <v>#VALUE!</v>
      </c>
      <c r="T50" s="35" t="e" cm="1">
        <f t="array" aca="1" ref="T50" ca="1">IF(AND(G50=INDIRECT("'["&amp;G50&amp;"]"&amp;E50&amp;"'!"&amp;$AH$2),OR(I50=INDIRECT("'["&amp;G50&amp;"]"&amp;E50&amp;"'!"&amp;$AF$2))),INDIRECT("'["&amp;G50&amp;"]"&amp;E50&amp;"'!"&amp;$AF$3),0)</f>
        <v>#VALUE!</v>
      </c>
      <c r="U50" s="34" t="e" cm="1">
        <f t="array" aca="1" ref="U50" ca="1">IF(AND(G50=INDIRECT("'["&amp;G50&amp;"]"&amp;E50&amp;"'!"&amp;$AH$2),OR(I50=INDIRECT("'["&amp;G50&amp;"]"&amp;E50&amp;"'!"&amp;$AG$2))),INDIRECT("'["&amp;G50&amp;"]"&amp;E50&amp;"'!"&amp;$AG$3),0)</f>
        <v>#VALUE!</v>
      </c>
      <c r="V50" s="25" t="str">
        <f t="shared" si="25"/>
        <v/>
      </c>
      <c r="W50" s="36" t="e" cm="1">
        <f t="array" aca="1" ref="W50" ca="1">IF(AND(G50=INDIRECT("'["&amp;G50&amp;"]"&amp;E50&amp;"'!"&amp;$AH$2),OR(V50=INDIRECT("'["&amp;G50&amp;"]"&amp;E50&amp;"'!"&amp;$AI$2))),INDIRECT("'["&amp;G50&amp;"]"&amp;E50&amp;"'!"&amp;$AI$3),0)</f>
        <v>#VALUE!</v>
      </c>
      <c r="AJ50" s="25">
        <v>1</v>
      </c>
      <c r="AK50" s="38">
        <f t="shared" ca="1" si="5"/>
        <v>0</v>
      </c>
      <c r="AL50" s="38">
        <f t="shared" ca="1" si="12"/>
        <v>0</v>
      </c>
      <c r="AM50" s="54" t="str">
        <f t="shared" ca="1" si="6"/>
        <v/>
      </c>
      <c r="AN50" s="25" t="e">
        <f t="shared" ca="1" si="13"/>
        <v>#VALUE!</v>
      </c>
      <c r="AO50" s="25" t="e">
        <f t="shared" ca="1" si="14"/>
        <v>#VALUE!</v>
      </c>
      <c r="AP50" s="39" t="str">
        <f t="shared" ca="1" si="7"/>
        <v/>
      </c>
      <c r="AQ50" s="46" t="str">
        <f ca="1">IF(AND(C50&lt;&gt;0, C51=0), SUM($C$2:C50)-SUM($AQ$1:AQ49), "")</f>
        <v/>
      </c>
      <c r="AR50" s="46" t="str">
        <f ca="1">IF(AND(AK50&lt;&gt;0, AK51=0), SUM($AK$2:AK50)-SUM($AR$1:AR49), "")</f>
        <v/>
      </c>
    </row>
    <row r="51" spans="1:44" ht="13.15" customHeight="1">
      <c r="A51" s="31"/>
      <c r="B51" s="68" t="str">
        <f t="shared" si="16"/>
        <v/>
      </c>
      <c r="C51" s="55" cm="1">
        <f t="array" aca="1" ref="C51" ca="1">SUM(IF(ISNUMBER(M51:U51),M51:U51,""))</f>
        <v>0</v>
      </c>
      <c r="D51" s="25" t="str">
        <f t="shared" si="17"/>
        <v/>
      </c>
      <c r="E51" s="25" t="e">
        <f t="shared" si="18"/>
        <v>#VALUE!</v>
      </c>
      <c r="F51" s="25" t="str">
        <f t="shared" si="19"/>
        <v/>
      </c>
      <c r="G51" s="25" t="str">
        <f t="shared" si="20"/>
        <v>.xlsx</v>
      </c>
      <c r="H51" s="29" t="e" cm="1">
        <f t="array" aca="1" ref="H51" ca="1">IF(AND(VALUE(E51)=INDIRECT("'["&amp;G51&amp;"]"&amp;E51&amp;"'!"&amp;$X$2),G51=INDIRECT("'["&amp;G51&amp;"]"&amp;E51&amp;"'!"&amp;$X$3)),INDIRECT("'["&amp;G51&amp;"]"&amp;E51&amp;"'!"&amp;$X$1),0)</f>
        <v>#VALUE!</v>
      </c>
      <c r="I51" s="25" t="str">
        <f t="shared" si="21"/>
        <v/>
      </c>
      <c r="J51" s="32" t="str">
        <f t="shared" si="22"/>
        <v/>
      </c>
      <c r="K51" s="25" t="str">
        <f t="shared" si="23"/>
        <v/>
      </c>
      <c r="L51" s="25" t="str">
        <f t="shared" si="24"/>
        <v/>
      </c>
      <c r="M51" s="33" t="e" cm="1">
        <f t="array" aca="1" ref="M51" ca="1">IF(AND(J51=INDIRECT("'["&amp;G51&amp;"]"&amp;E51&amp;"'!"&amp;$Y$2),G51=INDIRECT("'["&amp;G51&amp;"]"&amp;E51&amp;"'!"&amp;$AH$2)),INDIRECT("'["&amp;G51&amp;"]"&amp;E51&amp;"'!"&amp;$Y$3),0)</f>
        <v>#VALUE!</v>
      </c>
      <c r="N51" s="34" t="e" cm="1">
        <f t="array" aca="1" ref="N51" ca="1">IF(AND(G51=INDIRECT("'["&amp;G51&amp;"]"&amp;E51&amp;"'!"&amp;$AH$2),OR(K51=INDIRECT("'["&amp;G51&amp;"]"&amp;E51&amp;"'!"&amp;$Z$2))),INDIRECT("'["&amp;G51&amp;"]"&amp;E51&amp;"'!"&amp;$Z$3),0)</f>
        <v>#VALUE!</v>
      </c>
      <c r="O51" s="34" t="e" cm="1">
        <f t="array" aca="1" ref="O51" ca="1">IF(AND(G51=INDIRECT("'["&amp;G51&amp;"]"&amp;E51&amp;"'!"&amp;$AH$2),OR(L51=INDIRECT("'["&amp;G51&amp;"]"&amp;E51&amp;"'!"&amp;$AA$2))),INDIRECT("'["&amp;G51&amp;"]"&amp;E51&amp;"'!"&amp;$AA$3),0)</f>
        <v>#VALUE!</v>
      </c>
      <c r="P51" s="34" t="e" cm="1">
        <f t="array" aca="1" ref="P51" ca="1">IF(AND(G51=INDIRECT("'["&amp;G51&amp;"]"&amp;E51&amp;"'!"&amp;$AH$2),OR(VALUE(I51)=INDIRECT("'["&amp;G51&amp;"]"&amp;E51&amp;"'!"&amp;$AB$2))),INDIRECT("'["&amp;G51&amp;"]"&amp;E51&amp;"'!"&amp;$AB$3),0)</f>
        <v>#VALUE!</v>
      </c>
      <c r="Q51" s="34" t="e" cm="1">
        <f t="array" aca="1" ref="Q51" ca="1">IF(AND(G51=INDIRECT("'["&amp;G51&amp;"]"&amp;E51&amp;"'!"&amp;$AH$2),OR(VALUE(I51)=INDIRECT("'["&amp;G51&amp;"]"&amp;E51&amp;"'!"&amp;$AC$2))),INDIRECT("'["&amp;G51&amp;"]"&amp;E51&amp;"'!"&amp;$AC$3),0)</f>
        <v>#VALUE!</v>
      </c>
      <c r="R51" s="34" t="e" cm="1">
        <f t="array" aca="1" ref="R51" ca="1">IF(AND(G51=INDIRECT("'["&amp;G51&amp;"]"&amp;E51&amp;"'!"&amp;$AH$2),OR(I51=INDIRECT("'["&amp;G51&amp;"]"&amp;E51&amp;"'!"&amp;$AD$2))),INDIRECT("'["&amp;G51&amp;"]"&amp;E51&amp;"'!"&amp;$AD$3),0)</f>
        <v>#VALUE!</v>
      </c>
      <c r="S51" s="34" t="e" cm="1">
        <f t="array" aca="1" ref="S51" ca="1">IF(AND(G51=INDIRECT("'["&amp;G51&amp;"]"&amp;E51&amp;"'!"&amp;$AH$2),OR(I51=INDIRECT("'["&amp;G51&amp;"]"&amp;E51&amp;"'!"&amp;$AE$2))),INDIRECT("'["&amp;G51&amp;"]"&amp;E51&amp;"'!"&amp;$AE$3),0)</f>
        <v>#VALUE!</v>
      </c>
      <c r="T51" s="35" t="e" cm="1">
        <f t="array" aca="1" ref="T51" ca="1">IF(AND(G51=INDIRECT("'["&amp;G51&amp;"]"&amp;E51&amp;"'!"&amp;$AH$2),OR(I51=INDIRECT("'["&amp;G51&amp;"]"&amp;E51&amp;"'!"&amp;$AF$2))),INDIRECT("'["&amp;G51&amp;"]"&amp;E51&amp;"'!"&amp;$AF$3),0)</f>
        <v>#VALUE!</v>
      </c>
      <c r="U51" s="34" t="e" cm="1">
        <f t="array" aca="1" ref="U51" ca="1">IF(AND(G51=INDIRECT("'["&amp;G51&amp;"]"&amp;E51&amp;"'!"&amp;$AH$2),OR(I51=INDIRECT("'["&amp;G51&amp;"]"&amp;E51&amp;"'!"&amp;$AG$2))),INDIRECT("'["&amp;G51&amp;"]"&amp;E51&amp;"'!"&amp;$AG$3),0)</f>
        <v>#VALUE!</v>
      </c>
      <c r="V51" s="25" t="str">
        <f t="shared" si="25"/>
        <v/>
      </c>
      <c r="W51" s="36" t="e" cm="1">
        <f t="array" aca="1" ref="W51" ca="1">IF(AND(G51=INDIRECT("'["&amp;G51&amp;"]"&amp;E51&amp;"'!"&amp;$AH$2),OR(V51=INDIRECT("'["&amp;G51&amp;"]"&amp;E51&amp;"'!"&amp;$AI$2))),INDIRECT("'["&amp;G51&amp;"]"&amp;E51&amp;"'!"&amp;$AI$3),0)</f>
        <v>#VALUE!</v>
      </c>
      <c r="AJ51" s="25">
        <v>1</v>
      </c>
      <c r="AK51" s="38">
        <f t="shared" ca="1" si="5"/>
        <v>0</v>
      </c>
      <c r="AL51" s="38">
        <f t="shared" ca="1" si="12"/>
        <v>0</v>
      </c>
      <c r="AM51" s="54" t="str">
        <f t="shared" ca="1" si="6"/>
        <v/>
      </c>
      <c r="AN51" s="25" t="e">
        <f t="shared" ca="1" si="13"/>
        <v>#VALUE!</v>
      </c>
      <c r="AO51" s="25" t="e">
        <f t="shared" ca="1" si="14"/>
        <v>#VALUE!</v>
      </c>
      <c r="AP51" s="39" t="str">
        <f t="shared" ca="1" si="7"/>
        <v/>
      </c>
      <c r="AQ51" s="46" t="str">
        <f ca="1">IF(AND(C51&lt;&gt;0, C52=0), SUM($C$2:C51)-SUM($AQ$1:AQ50), "")</f>
        <v/>
      </c>
      <c r="AR51" s="46" t="str">
        <f ca="1">IF(AND(AK51&lt;&gt;0, AK52=0), SUM($AK$2:AK51)-SUM($AR$1:AR50), "")</f>
        <v/>
      </c>
    </row>
    <row r="52" spans="1:44" ht="13.15" customHeight="1">
      <c r="A52" s="31"/>
      <c r="B52" s="68" t="str">
        <f t="shared" si="16"/>
        <v/>
      </c>
      <c r="C52" s="55" cm="1">
        <f t="array" aca="1" ref="C52" ca="1">SUM(IF(ISNUMBER(M52:U52),M52:U52,""))</f>
        <v>0</v>
      </c>
      <c r="D52" s="25" t="str">
        <f t="shared" si="17"/>
        <v/>
      </c>
      <c r="E52" s="25" t="e">
        <f t="shared" si="18"/>
        <v>#VALUE!</v>
      </c>
      <c r="F52" s="25" t="str">
        <f t="shared" si="19"/>
        <v/>
      </c>
      <c r="G52" s="25" t="str">
        <f t="shared" si="20"/>
        <v>.xlsx</v>
      </c>
      <c r="H52" s="29" t="e" cm="1">
        <f t="array" aca="1" ref="H52" ca="1">IF(AND(VALUE(E52)=INDIRECT("'["&amp;G52&amp;"]"&amp;E52&amp;"'!"&amp;$X$2),G52=INDIRECT("'["&amp;G52&amp;"]"&amp;E52&amp;"'!"&amp;$X$3)),INDIRECT("'["&amp;G52&amp;"]"&amp;E52&amp;"'!"&amp;$X$1),0)</f>
        <v>#VALUE!</v>
      </c>
      <c r="I52" s="25" t="str">
        <f t="shared" si="21"/>
        <v/>
      </c>
      <c r="J52" s="32" t="str">
        <f t="shared" si="22"/>
        <v/>
      </c>
      <c r="K52" s="25" t="str">
        <f t="shared" si="23"/>
        <v/>
      </c>
      <c r="L52" s="25" t="str">
        <f t="shared" si="24"/>
        <v/>
      </c>
      <c r="M52" s="33" t="e" cm="1">
        <f t="array" aca="1" ref="M52" ca="1">IF(AND(J52=INDIRECT("'["&amp;G52&amp;"]"&amp;E52&amp;"'!"&amp;$Y$2),G52=INDIRECT("'["&amp;G52&amp;"]"&amp;E52&amp;"'!"&amp;$AH$2)),INDIRECT("'["&amp;G52&amp;"]"&amp;E52&amp;"'!"&amp;$Y$3),0)</f>
        <v>#VALUE!</v>
      </c>
      <c r="N52" s="34" t="e" cm="1">
        <f t="array" aca="1" ref="N52" ca="1">IF(AND(G52=INDIRECT("'["&amp;G52&amp;"]"&amp;E52&amp;"'!"&amp;$AH$2),OR(K52=INDIRECT("'["&amp;G52&amp;"]"&amp;E52&amp;"'!"&amp;$Z$2))),INDIRECT("'["&amp;G52&amp;"]"&amp;E52&amp;"'!"&amp;$Z$3),0)</f>
        <v>#VALUE!</v>
      </c>
      <c r="O52" s="34" t="e" cm="1">
        <f t="array" aca="1" ref="O52" ca="1">IF(AND(G52=INDIRECT("'["&amp;G52&amp;"]"&amp;E52&amp;"'!"&amp;$AH$2),OR(L52=INDIRECT("'["&amp;G52&amp;"]"&amp;E52&amp;"'!"&amp;$AA$2))),INDIRECT("'["&amp;G52&amp;"]"&amp;E52&amp;"'!"&amp;$AA$3),0)</f>
        <v>#VALUE!</v>
      </c>
      <c r="P52" s="34" t="e" cm="1">
        <f t="array" aca="1" ref="P52" ca="1">IF(AND(G52=INDIRECT("'["&amp;G52&amp;"]"&amp;E52&amp;"'!"&amp;$AH$2),OR(VALUE(I52)=INDIRECT("'["&amp;G52&amp;"]"&amp;E52&amp;"'!"&amp;$AB$2))),INDIRECT("'["&amp;G52&amp;"]"&amp;E52&amp;"'!"&amp;$AB$3),0)</f>
        <v>#VALUE!</v>
      </c>
      <c r="Q52" s="34" t="e" cm="1">
        <f t="array" aca="1" ref="Q52" ca="1">IF(AND(G52=INDIRECT("'["&amp;G52&amp;"]"&amp;E52&amp;"'!"&amp;$AH$2),OR(VALUE(I52)=INDIRECT("'["&amp;G52&amp;"]"&amp;E52&amp;"'!"&amp;$AC$2))),INDIRECT("'["&amp;G52&amp;"]"&amp;E52&amp;"'!"&amp;$AC$3),0)</f>
        <v>#VALUE!</v>
      </c>
      <c r="R52" s="34" t="e" cm="1">
        <f t="array" aca="1" ref="R52" ca="1">IF(AND(G52=INDIRECT("'["&amp;G52&amp;"]"&amp;E52&amp;"'!"&amp;$AH$2),OR(I52=INDIRECT("'["&amp;G52&amp;"]"&amp;E52&amp;"'!"&amp;$AD$2))),INDIRECT("'["&amp;G52&amp;"]"&amp;E52&amp;"'!"&amp;$AD$3),0)</f>
        <v>#VALUE!</v>
      </c>
      <c r="S52" s="34" t="e" cm="1">
        <f t="array" aca="1" ref="S52" ca="1">IF(AND(G52=INDIRECT("'["&amp;G52&amp;"]"&amp;E52&amp;"'!"&amp;$AH$2),OR(I52=INDIRECT("'["&amp;G52&amp;"]"&amp;E52&amp;"'!"&amp;$AE$2))),INDIRECT("'["&amp;G52&amp;"]"&amp;E52&amp;"'!"&amp;$AE$3),0)</f>
        <v>#VALUE!</v>
      </c>
      <c r="T52" s="35" t="e" cm="1">
        <f t="array" aca="1" ref="T52" ca="1">IF(AND(G52=INDIRECT("'["&amp;G52&amp;"]"&amp;E52&amp;"'!"&amp;$AH$2),OR(I52=INDIRECT("'["&amp;G52&amp;"]"&amp;E52&amp;"'!"&amp;$AF$2))),INDIRECT("'["&amp;G52&amp;"]"&amp;E52&amp;"'!"&amp;$AF$3),0)</f>
        <v>#VALUE!</v>
      </c>
      <c r="U52" s="34" t="e" cm="1">
        <f t="array" aca="1" ref="U52" ca="1">IF(AND(G52=INDIRECT("'["&amp;G52&amp;"]"&amp;E52&amp;"'!"&amp;$AH$2),OR(I52=INDIRECT("'["&amp;G52&amp;"]"&amp;E52&amp;"'!"&amp;$AG$2))),INDIRECT("'["&amp;G52&amp;"]"&amp;E52&amp;"'!"&amp;$AG$3),0)</f>
        <v>#VALUE!</v>
      </c>
      <c r="V52" s="25" t="str">
        <f t="shared" si="25"/>
        <v/>
      </c>
      <c r="W52" s="36" t="e" cm="1">
        <f t="array" aca="1" ref="W52" ca="1">IF(AND(G52=INDIRECT("'["&amp;G52&amp;"]"&amp;E52&amp;"'!"&amp;$AH$2),OR(V52=INDIRECT("'["&amp;G52&amp;"]"&amp;E52&amp;"'!"&amp;$AI$2))),INDIRECT("'["&amp;G52&amp;"]"&amp;E52&amp;"'!"&amp;$AI$3),0)</f>
        <v>#VALUE!</v>
      </c>
      <c r="AJ52" s="25">
        <v>1</v>
      </c>
      <c r="AK52" s="38">
        <f t="shared" ca="1" si="5"/>
        <v>0</v>
      </c>
      <c r="AL52" s="38">
        <f t="shared" ca="1" si="12"/>
        <v>0</v>
      </c>
      <c r="AM52" s="54" t="str">
        <f t="shared" ca="1" si="6"/>
        <v/>
      </c>
      <c r="AN52" s="25" t="e">
        <f t="shared" ca="1" si="13"/>
        <v>#VALUE!</v>
      </c>
      <c r="AO52" s="25" t="e">
        <f t="shared" ca="1" si="14"/>
        <v>#VALUE!</v>
      </c>
      <c r="AP52" s="39" t="str">
        <f t="shared" ca="1" si="7"/>
        <v/>
      </c>
      <c r="AQ52" s="46" t="str">
        <f ca="1">IF(AND(C52&lt;&gt;0, C53=0), SUM($C$2:C52)-SUM($AQ$1:AQ51), "")</f>
        <v/>
      </c>
      <c r="AR52" s="46" t="str">
        <f ca="1">IF(AND(AK52&lt;&gt;0, AK53=0), SUM($AK$2:AK52)-SUM($AR$1:AR51), "")</f>
        <v/>
      </c>
    </row>
    <row r="53" spans="1:44" ht="13.15" customHeight="1">
      <c r="A53" s="31"/>
      <c r="B53" s="68" t="str">
        <f t="shared" si="16"/>
        <v/>
      </c>
      <c r="C53" s="55" cm="1">
        <f t="array" aca="1" ref="C53" ca="1">SUM(IF(ISNUMBER(M53:U53),M53:U53,""))</f>
        <v>0</v>
      </c>
      <c r="D53" s="25" t="str">
        <f t="shared" si="17"/>
        <v/>
      </c>
      <c r="E53" s="25" t="e">
        <f t="shared" si="18"/>
        <v>#VALUE!</v>
      </c>
      <c r="F53" s="25" t="str">
        <f t="shared" si="19"/>
        <v/>
      </c>
      <c r="G53" s="25" t="str">
        <f t="shared" si="20"/>
        <v>.xlsx</v>
      </c>
      <c r="H53" s="29" t="e" cm="1">
        <f t="array" aca="1" ref="H53" ca="1">IF(AND(VALUE(E53)=INDIRECT("'["&amp;G53&amp;"]"&amp;E53&amp;"'!"&amp;$X$2),G53=INDIRECT("'["&amp;G53&amp;"]"&amp;E53&amp;"'!"&amp;$X$3)),INDIRECT("'["&amp;G53&amp;"]"&amp;E53&amp;"'!"&amp;$X$1),0)</f>
        <v>#VALUE!</v>
      </c>
      <c r="I53" s="25" t="str">
        <f t="shared" si="21"/>
        <v/>
      </c>
      <c r="J53" s="32" t="str">
        <f t="shared" si="22"/>
        <v/>
      </c>
      <c r="K53" s="25" t="str">
        <f t="shared" si="23"/>
        <v/>
      </c>
      <c r="L53" s="25" t="str">
        <f t="shared" si="24"/>
        <v/>
      </c>
      <c r="M53" s="33" t="e" cm="1">
        <f t="array" aca="1" ref="M53" ca="1">IF(AND(J53=INDIRECT("'["&amp;G53&amp;"]"&amp;E53&amp;"'!"&amp;$Y$2),G53=INDIRECT("'["&amp;G53&amp;"]"&amp;E53&amp;"'!"&amp;$AH$2)),INDIRECT("'["&amp;G53&amp;"]"&amp;E53&amp;"'!"&amp;$Y$3),0)</f>
        <v>#VALUE!</v>
      </c>
      <c r="N53" s="34" t="e" cm="1">
        <f t="array" aca="1" ref="N53" ca="1">IF(AND(G53=INDIRECT("'["&amp;G53&amp;"]"&amp;E53&amp;"'!"&amp;$AH$2),OR(K53=INDIRECT("'["&amp;G53&amp;"]"&amp;E53&amp;"'!"&amp;$Z$2))),INDIRECT("'["&amp;G53&amp;"]"&amp;E53&amp;"'!"&amp;$Z$3),0)</f>
        <v>#VALUE!</v>
      </c>
      <c r="O53" s="34" t="e" cm="1">
        <f t="array" aca="1" ref="O53" ca="1">IF(AND(G53=INDIRECT("'["&amp;G53&amp;"]"&amp;E53&amp;"'!"&amp;$AH$2),OR(L53=INDIRECT("'["&amp;G53&amp;"]"&amp;E53&amp;"'!"&amp;$AA$2))),INDIRECT("'["&amp;G53&amp;"]"&amp;E53&amp;"'!"&amp;$AA$3),0)</f>
        <v>#VALUE!</v>
      </c>
      <c r="P53" s="34" t="e" cm="1">
        <f t="array" aca="1" ref="P53" ca="1">IF(AND(G53=INDIRECT("'["&amp;G53&amp;"]"&amp;E53&amp;"'!"&amp;$AH$2),OR(VALUE(I53)=INDIRECT("'["&amp;G53&amp;"]"&amp;E53&amp;"'!"&amp;$AB$2))),INDIRECT("'["&amp;G53&amp;"]"&amp;E53&amp;"'!"&amp;$AB$3),0)</f>
        <v>#VALUE!</v>
      </c>
      <c r="Q53" s="34" t="e" cm="1">
        <f t="array" aca="1" ref="Q53" ca="1">IF(AND(G53=INDIRECT("'["&amp;G53&amp;"]"&amp;E53&amp;"'!"&amp;$AH$2),OR(VALUE(I53)=INDIRECT("'["&amp;G53&amp;"]"&amp;E53&amp;"'!"&amp;$AC$2))),INDIRECT("'["&amp;G53&amp;"]"&amp;E53&amp;"'!"&amp;$AC$3),0)</f>
        <v>#VALUE!</v>
      </c>
      <c r="R53" s="34" t="e" cm="1">
        <f t="array" aca="1" ref="R53" ca="1">IF(AND(G53=INDIRECT("'["&amp;G53&amp;"]"&amp;E53&amp;"'!"&amp;$AH$2),OR(I53=INDIRECT("'["&amp;G53&amp;"]"&amp;E53&amp;"'!"&amp;$AD$2))),INDIRECT("'["&amp;G53&amp;"]"&amp;E53&amp;"'!"&amp;$AD$3),0)</f>
        <v>#VALUE!</v>
      </c>
      <c r="S53" s="34" t="e" cm="1">
        <f t="array" aca="1" ref="S53" ca="1">IF(AND(G53=INDIRECT("'["&amp;G53&amp;"]"&amp;E53&amp;"'!"&amp;$AH$2),OR(I53=INDIRECT("'["&amp;G53&amp;"]"&amp;E53&amp;"'!"&amp;$AE$2))),INDIRECT("'["&amp;G53&amp;"]"&amp;E53&amp;"'!"&amp;$AE$3),0)</f>
        <v>#VALUE!</v>
      </c>
      <c r="T53" s="35" t="e" cm="1">
        <f t="array" aca="1" ref="T53" ca="1">IF(AND(G53=INDIRECT("'["&amp;G53&amp;"]"&amp;E53&amp;"'!"&amp;$AH$2),OR(I53=INDIRECT("'["&amp;G53&amp;"]"&amp;E53&amp;"'!"&amp;$AF$2))),INDIRECT("'["&amp;G53&amp;"]"&amp;E53&amp;"'!"&amp;$AF$3),0)</f>
        <v>#VALUE!</v>
      </c>
      <c r="U53" s="34" t="e" cm="1">
        <f t="array" aca="1" ref="U53" ca="1">IF(AND(G53=INDIRECT("'["&amp;G53&amp;"]"&amp;E53&amp;"'!"&amp;$AH$2),OR(I53=INDIRECT("'["&amp;G53&amp;"]"&amp;E53&amp;"'!"&amp;$AG$2))),INDIRECT("'["&amp;G53&amp;"]"&amp;E53&amp;"'!"&amp;$AG$3),0)</f>
        <v>#VALUE!</v>
      </c>
      <c r="V53" s="25" t="str">
        <f t="shared" si="25"/>
        <v/>
      </c>
      <c r="W53" s="36" t="e" cm="1">
        <f t="array" aca="1" ref="W53" ca="1">IF(AND(G53=INDIRECT("'["&amp;G53&amp;"]"&amp;E53&amp;"'!"&amp;$AH$2),OR(V53=INDIRECT("'["&amp;G53&amp;"]"&amp;E53&amp;"'!"&amp;$AI$2))),INDIRECT("'["&amp;G53&amp;"]"&amp;E53&amp;"'!"&amp;$AI$3),0)</f>
        <v>#VALUE!</v>
      </c>
      <c r="AJ53" s="25">
        <v>1</v>
      </c>
      <c r="AK53" s="38">
        <f t="shared" ca="1" si="5"/>
        <v>0</v>
      </c>
      <c r="AL53" s="38">
        <f t="shared" ca="1" si="12"/>
        <v>0</v>
      </c>
      <c r="AM53" s="54" t="str">
        <f t="shared" ca="1" si="6"/>
        <v/>
      </c>
      <c r="AN53" s="25" t="e">
        <f t="shared" ca="1" si="13"/>
        <v>#VALUE!</v>
      </c>
      <c r="AO53" s="25" t="e">
        <f t="shared" ca="1" si="14"/>
        <v>#VALUE!</v>
      </c>
      <c r="AP53" s="39" t="str">
        <f t="shared" ca="1" si="7"/>
        <v/>
      </c>
      <c r="AQ53" s="46" t="str">
        <f ca="1">IF(AND(C53&lt;&gt;0, C54=0), SUM($C$2:C53)-SUM($AQ$1:AQ52), "")</f>
        <v/>
      </c>
      <c r="AR53" s="46" t="str">
        <f ca="1">IF(AND(AK53&lt;&gt;0, AK54=0), SUM($AK$2:AK53)-SUM($AR$1:AR52), "")</f>
        <v/>
      </c>
    </row>
    <row r="54" spans="1:44" ht="13.15" customHeight="1">
      <c r="A54" s="31"/>
      <c r="B54" s="68" t="str">
        <f t="shared" si="16"/>
        <v/>
      </c>
      <c r="C54" s="55" cm="1">
        <f t="array" aca="1" ref="C54" ca="1">SUM(IF(ISNUMBER(M54:U54),M54:U54,""))</f>
        <v>0</v>
      </c>
      <c r="D54" s="25" t="str">
        <f t="shared" si="17"/>
        <v/>
      </c>
      <c r="E54" s="25" t="e">
        <f t="shared" si="18"/>
        <v>#VALUE!</v>
      </c>
      <c r="F54" s="25" t="str">
        <f t="shared" si="19"/>
        <v/>
      </c>
      <c r="G54" s="25" t="str">
        <f t="shared" si="20"/>
        <v>.xlsx</v>
      </c>
      <c r="H54" s="29" t="e" cm="1">
        <f t="array" aca="1" ref="H54" ca="1">IF(AND(VALUE(E54)=INDIRECT("'["&amp;G54&amp;"]"&amp;E54&amp;"'!"&amp;$X$2),G54=INDIRECT("'["&amp;G54&amp;"]"&amp;E54&amp;"'!"&amp;$X$3)),INDIRECT("'["&amp;G54&amp;"]"&amp;E54&amp;"'!"&amp;$X$1),0)</f>
        <v>#VALUE!</v>
      </c>
      <c r="I54" s="25" t="str">
        <f t="shared" si="21"/>
        <v/>
      </c>
      <c r="J54" s="32" t="str">
        <f t="shared" si="22"/>
        <v/>
      </c>
      <c r="K54" s="25" t="str">
        <f t="shared" si="23"/>
        <v/>
      </c>
      <c r="L54" s="25" t="str">
        <f t="shared" si="24"/>
        <v/>
      </c>
      <c r="M54" s="33" t="e" cm="1">
        <f t="array" aca="1" ref="M54" ca="1">IF(AND(J54=INDIRECT("'["&amp;G54&amp;"]"&amp;E54&amp;"'!"&amp;$Y$2),G54=INDIRECT("'["&amp;G54&amp;"]"&amp;E54&amp;"'!"&amp;$AH$2)),INDIRECT("'["&amp;G54&amp;"]"&amp;E54&amp;"'!"&amp;$Y$3),0)</f>
        <v>#VALUE!</v>
      </c>
      <c r="N54" s="34" t="e" cm="1">
        <f t="array" aca="1" ref="N54" ca="1">IF(AND(G54=INDIRECT("'["&amp;G54&amp;"]"&amp;E54&amp;"'!"&amp;$AH$2),OR(K54=INDIRECT("'["&amp;G54&amp;"]"&amp;E54&amp;"'!"&amp;$Z$2))),INDIRECT("'["&amp;G54&amp;"]"&amp;E54&amp;"'!"&amp;$Z$3),0)</f>
        <v>#VALUE!</v>
      </c>
      <c r="O54" s="34" t="e" cm="1">
        <f t="array" aca="1" ref="O54" ca="1">IF(AND(G54=INDIRECT("'["&amp;G54&amp;"]"&amp;E54&amp;"'!"&amp;$AH$2),OR(L54=INDIRECT("'["&amp;G54&amp;"]"&amp;E54&amp;"'!"&amp;$AA$2))),INDIRECT("'["&amp;G54&amp;"]"&amp;E54&amp;"'!"&amp;$AA$3),0)</f>
        <v>#VALUE!</v>
      </c>
      <c r="P54" s="34" t="e" cm="1">
        <f t="array" aca="1" ref="P54" ca="1">IF(AND(G54=INDIRECT("'["&amp;G54&amp;"]"&amp;E54&amp;"'!"&amp;$AH$2),OR(VALUE(I54)=INDIRECT("'["&amp;G54&amp;"]"&amp;E54&amp;"'!"&amp;$AB$2))),INDIRECT("'["&amp;G54&amp;"]"&amp;E54&amp;"'!"&amp;$AB$3),0)</f>
        <v>#VALUE!</v>
      </c>
      <c r="Q54" s="34" t="e" cm="1">
        <f t="array" aca="1" ref="Q54" ca="1">IF(AND(G54=INDIRECT("'["&amp;G54&amp;"]"&amp;E54&amp;"'!"&amp;$AH$2),OR(VALUE(I54)=INDIRECT("'["&amp;G54&amp;"]"&amp;E54&amp;"'!"&amp;$AC$2))),INDIRECT("'["&amp;G54&amp;"]"&amp;E54&amp;"'!"&amp;$AC$3),0)</f>
        <v>#VALUE!</v>
      </c>
      <c r="R54" s="34" t="e" cm="1">
        <f t="array" aca="1" ref="R54" ca="1">IF(AND(G54=INDIRECT("'["&amp;G54&amp;"]"&amp;E54&amp;"'!"&amp;$AH$2),OR(I54=INDIRECT("'["&amp;G54&amp;"]"&amp;E54&amp;"'!"&amp;$AD$2))),INDIRECT("'["&amp;G54&amp;"]"&amp;E54&amp;"'!"&amp;$AD$3),0)</f>
        <v>#VALUE!</v>
      </c>
      <c r="S54" s="34" t="e" cm="1">
        <f t="array" aca="1" ref="S54" ca="1">IF(AND(G54=INDIRECT("'["&amp;G54&amp;"]"&amp;E54&amp;"'!"&amp;$AH$2),OR(I54=INDIRECT("'["&amp;G54&amp;"]"&amp;E54&amp;"'!"&amp;$AE$2))),INDIRECT("'["&amp;G54&amp;"]"&amp;E54&amp;"'!"&amp;$AE$3),0)</f>
        <v>#VALUE!</v>
      </c>
      <c r="T54" s="35" t="e" cm="1">
        <f t="array" aca="1" ref="T54" ca="1">IF(AND(G54=INDIRECT("'["&amp;G54&amp;"]"&amp;E54&amp;"'!"&amp;$AH$2),OR(I54=INDIRECT("'["&amp;G54&amp;"]"&amp;E54&amp;"'!"&amp;$AF$2))),INDIRECT("'["&amp;G54&amp;"]"&amp;E54&amp;"'!"&amp;$AF$3),0)</f>
        <v>#VALUE!</v>
      </c>
      <c r="U54" s="34" t="e" cm="1">
        <f t="array" aca="1" ref="U54" ca="1">IF(AND(G54=INDIRECT("'["&amp;G54&amp;"]"&amp;E54&amp;"'!"&amp;$AH$2),OR(I54=INDIRECT("'["&amp;G54&amp;"]"&amp;E54&amp;"'!"&amp;$AG$2))),INDIRECT("'["&amp;G54&amp;"]"&amp;E54&amp;"'!"&amp;$AG$3),0)</f>
        <v>#VALUE!</v>
      </c>
      <c r="V54" s="25" t="str">
        <f t="shared" si="25"/>
        <v/>
      </c>
      <c r="W54" s="36" t="e" cm="1">
        <f t="array" aca="1" ref="W54" ca="1">IF(AND(G54=INDIRECT("'["&amp;G54&amp;"]"&amp;E54&amp;"'!"&amp;$AH$2),OR(V54=INDIRECT("'["&amp;G54&amp;"]"&amp;E54&amp;"'!"&amp;$AI$2))),INDIRECT("'["&amp;G54&amp;"]"&amp;E54&amp;"'!"&amp;$AI$3),0)</f>
        <v>#VALUE!</v>
      </c>
      <c r="AJ54" s="25">
        <v>1</v>
      </c>
      <c r="AK54" s="38">
        <f t="shared" ca="1" si="5"/>
        <v>0</v>
      </c>
      <c r="AL54" s="38">
        <f t="shared" ca="1" si="12"/>
        <v>0</v>
      </c>
      <c r="AM54" s="54" t="str">
        <f t="shared" ca="1" si="6"/>
        <v/>
      </c>
      <c r="AN54" s="25" t="e">
        <f t="shared" ca="1" si="13"/>
        <v>#VALUE!</v>
      </c>
      <c r="AO54" s="25" t="e">
        <f t="shared" ca="1" si="14"/>
        <v>#VALUE!</v>
      </c>
      <c r="AP54" s="39" t="str">
        <f t="shared" ca="1" si="7"/>
        <v/>
      </c>
      <c r="AQ54" s="46" t="str">
        <f ca="1">IF(AND(C54&lt;&gt;0, C55=0), SUM($C$2:C54)-SUM($AQ$1:AQ53), "")</f>
        <v/>
      </c>
      <c r="AR54" s="46" t="str">
        <f ca="1">IF(AND(AK54&lt;&gt;0, AK55=0), SUM($AK$2:AK54)-SUM($AR$1:AR53), "")</f>
        <v/>
      </c>
    </row>
    <row r="55" spans="1:44" ht="13.15" customHeight="1">
      <c r="A55" s="31"/>
      <c r="B55" s="68" t="str">
        <f t="shared" si="16"/>
        <v/>
      </c>
      <c r="C55" s="55" cm="1">
        <f t="array" aca="1" ref="C55" ca="1">SUM(IF(ISNUMBER(M55:U55),M55:U55,""))</f>
        <v>0</v>
      </c>
      <c r="D55" s="25" t="str">
        <f t="shared" si="17"/>
        <v/>
      </c>
      <c r="E55" s="25" t="e">
        <f t="shared" si="18"/>
        <v>#VALUE!</v>
      </c>
      <c r="F55" s="25" t="str">
        <f t="shared" si="19"/>
        <v/>
      </c>
      <c r="G55" s="25" t="str">
        <f t="shared" si="20"/>
        <v>.xlsx</v>
      </c>
      <c r="H55" s="29" t="e" cm="1">
        <f t="array" aca="1" ref="H55" ca="1">IF(AND(VALUE(E55)=INDIRECT("'["&amp;G55&amp;"]"&amp;E55&amp;"'!"&amp;$X$2),G55=INDIRECT("'["&amp;G55&amp;"]"&amp;E55&amp;"'!"&amp;$X$3)),INDIRECT("'["&amp;G55&amp;"]"&amp;E55&amp;"'!"&amp;$X$1),0)</f>
        <v>#VALUE!</v>
      </c>
      <c r="I55" s="25" t="str">
        <f t="shared" si="21"/>
        <v/>
      </c>
      <c r="J55" s="32" t="str">
        <f t="shared" si="22"/>
        <v/>
      </c>
      <c r="K55" s="25" t="str">
        <f t="shared" si="23"/>
        <v/>
      </c>
      <c r="L55" s="25" t="str">
        <f t="shared" si="24"/>
        <v/>
      </c>
      <c r="M55" s="33" t="e" cm="1">
        <f t="array" aca="1" ref="M55" ca="1">IF(AND(J55=INDIRECT("'["&amp;G55&amp;"]"&amp;E55&amp;"'!"&amp;$Y$2),G55=INDIRECT("'["&amp;G55&amp;"]"&amp;E55&amp;"'!"&amp;$AH$2)),INDIRECT("'["&amp;G55&amp;"]"&amp;E55&amp;"'!"&amp;$Y$3),0)</f>
        <v>#VALUE!</v>
      </c>
      <c r="N55" s="34" t="e" cm="1">
        <f t="array" aca="1" ref="N55" ca="1">IF(AND(G55=INDIRECT("'["&amp;G55&amp;"]"&amp;E55&amp;"'!"&amp;$AH$2),OR(K55=INDIRECT("'["&amp;G55&amp;"]"&amp;E55&amp;"'!"&amp;$Z$2))),INDIRECT("'["&amp;G55&amp;"]"&amp;E55&amp;"'!"&amp;$Z$3),0)</f>
        <v>#VALUE!</v>
      </c>
      <c r="O55" s="34" t="e" cm="1">
        <f t="array" aca="1" ref="O55" ca="1">IF(AND(G55=INDIRECT("'["&amp;G55&amp;"]"&amp;E55&amp;"'!"&amp;$AH$2),OR(L55=INDIRECT("'["&amp;G55&amp;"]"&amp;E55&amp;"'!"&amp;$AA$2))),INDIRECT("'["&amp;G55&amp;"]"&amp;E55&amp;"'!"&amp;$AA$3),0)</f>
        <v>#VALUE!</v>
      </c>
      <c r="P55" s="34" t="e" cm="1">
        <f t="array" aca="1" ref="P55" ca="1">IF(AND(G55=INDIRECT("'["&amp;G55&amp;"]"&amp;E55&amp;"'!"&amp;$AH$2),OR(VALUE(I55)=INDIRECT("'["&amp;G55&amp;"]"&amp;E55&amp;"'!"&amp;$AB$2))),INDIRECT("'["&amp;G55&amp;"]"&amp;E55&amp;"'!"&amp;$AB$3),0)</f>
        <v>#VALUE!</v>
      </c>
      <c r="Q55" s="34" t="e" cm="1">
        <f t="array" aca="1" ref="Q55" ca="1">IF(AND(G55=INDIRECT("'["&amp;G55&amp;"]"&amp;E55&amp;"'!"&amp;$AH$2),OR(VALUE(I55)=INDIRECT("'["&amp;G55&amp;"]"&amp;E55&amp;"'!"&amp;$AC$2))),INDIRECT("'["&amp;G55&amp;"]"&amp;E55&amp;"'!"&amp;$AC$3),0)</f>
        <v>#VALUE!</v>
      </c>
      <c r="R55" s="34" t="e" cm="1">
        <f t="array" aca="1" ref="R55" ca="1">IF(AND(G55=INDIRECT("'["&amp;G55&amp;"]"&amp;E55&amp;"'!"&amp;$AH$2),OR(I55=INDIRECT("'["&amp;G55&amp;"]"&amp;E55&amp;"'!"&amp;$AD$2))),INDIRECT("'["&amp;G55&amp;"]"&amp;E55&amp;"'!"&amp;$AD$3),0)</f>
        <v>#VALUE!</v>
      </c>
      <c r="S55" s="34" t="e" cm="1">
        <f t="array" aca="1" ref="S55" ca="1">IF(AND(G55=INDIRECT("'["&amp;G55&amp;"]"&amp;E55&amp;"'!"&amp;$AH$2),OR(I55=INDIRECT("'["&amp;G55&amp;"]"&amp;E55&amp;"'!"&amp;$AE$2))),INDIRECT("'["&amp;G55&amp;"]"&amp;E55&amp;"'!"&amp;$AE$3),0)</f>
        <v>#VALUE!</v>
      </c>
      <c r="T55" s="35" t="e" cm="1">
        <f t="array" aca="1" ref="T55" ca="1">IF(AND(G55=INDIRECT("'["&amp;G55&amp;"]"&amp;E55&amp;"'!"&amp;$AH$2),OR(I55=INDIRECT("'["&amp;G55&amp;"]"&amp;E55&amp;"'!"&amp;$AF$2))),INDIRECT("'["&amp;G55&amp;"]"&amp;E55&amp;"'!"&amp;$AF$3),0)</f>
        <v>#VALUE!</v>
      </c>
      <c r="U55" s="34" t="e" cm="1">
        <f t="array" aca="1" ref="U55" ca="1">IF(AND(G55=INDIRECT("'["&amp;G55&amp;"]"&amp;E55&amp;"'!"&amp;$AH$2),OR(I55=INDIRECT("'["&amp;G55&amp;"]"&amp;E55&amp;"'!"&amp;$AG$2))),INDIRECT("'["&amp;G55&amp;"]"&amp;E55&amp;"'!"&amp;$AG$3),0)</f>
        <v>#VALUE!</v>
      </c>
      <c r="V55" s="25" t="str">
        <f t="shared" si="25"/>
        <v/>
      </c>
      <c r="W55" s="36" t="e" cm="1">
        <f t="array" aca="1" ref="W55" ca="1">IF(AND(G55=INDIRECT("'["&amp;G55&amp;"]"&amp;E55&amp;"'!"&amp;$AH$2),OR(V55=INDIRECT("'["&amp;G55&amp;"]"&amp;E55&amp;"'!"&amp;$AI$2))),INDIRECT("'["&amp;G55&amp;"]"&amp;E55&amp;"'!"&amp;$AI$3),0)</f>
        <v>#VALUE!</v>
      </c>
      <c r="AJ55" s="25">
        <v>1</v>
      </c>
      <c r="AK55" s="38">
        <f t="shared" ca="1" si="5"/>
        <v>0</v>
      </c>
      <c r="AL55" s="38">
        <f t="shared" ca="1" si="12"/>
        <v>0</v>
      </c>
      <c r="AM55" s="54" t="str">
        <f ca="1">IF(A55&lt;&gt;"",IF(AM55="",NOW(),AM55),"")</f>
        <v/>
      </c>
      <c r="AN55" s="25" t="e">
        <f t="shared" ca="1" si="13"/>
        <v>#VALUE!</v>
      </c>
      <c r="AO55" s="25" t="e">
        <f t="shared" ca="1" si="14"/>
        <v>#VALUE!</v>
      </c>
      <c r="AP55" s="39" t="str">
        <f t="shared" ca="1" si="7"/>
        <v/>
      </c>
      <c r="AQ55" s="46" t="str">
        <f ca="1">IF(AND(C55&lt;&gt;0, C56=0), SUM($C$2:C55)-SUM($AQ$1:AQ54), "")</f>
        <v/>
      </c>
      <c r="AR55" s="46" t="str">
        <f ca="1">IF(AND(AK55&lt;&gt;0, AK56=0), SUM($AK$2:AK55)-SUM($AR$1:AR54), "")</f>
        <v/>
      </c>
    </row>
    <row r="56" spans="1:44" ht="13.15" customHeight="1">
      <c r="A56" s="31"/>
      <c r="B56" s="68" t="str">
        <f t="shared" si="16"/>
        <v/>
      </c>
      <c r="C56" s="55" cm="1">
        <f t="array" aca="1" ref="C56" ca="1">SUM(IF(ISNUMBER(M56:U56),M56:U56,""))</f>
        <v>0</v>
      </c>
      <c r="D56" s="25" t="str">
        <f t="shared" si="17"/>
        <v/>
      </c>
      <c r="E56" s="25" t="e">
        <f t="shared" si="18"/>
        <v>#VALUE!</v>
      </c>
      <c r="F56" s="25" t="str">
        <f t="shared" si="19"/>
        <v/>
      </c>
      <c r="G56" s="25" t="str">
        <f t="shared" si="20"/>
        <v>.xlsx</v>
      </c>
      <c r="H56" s="29" t="e" cm="1">
        <f t="array" aca="1" ref="H56" ca="1">IF(AND(VALUE(E56)=INDIRECT("'["&amp;G56&amp;"]"&amp;E56&amp;"'!"&amp;$X$2),G56=INDIRECT("'["&amp;G56&amp;"]"&amp;E56&amp;"'!"&amp;$X$3)),INDIRECT("'["&amp;G56&amp;"]"&amp;E56&amp;"'!"&amp;$X$1),0)</f>
        <v>#VALUE!</v>
      </c>
      <c r="I56" s="25" t="str">
        <f t="shared" si="21"/>
        <v/>
      </c>
      <c r="J56" s="32" t="str">
        <f t="shared" si="22"/>
        <v/>
      </c>
      <c r="K56" s="25" t="str">
        <f t="shared" si="23"/>
        <v/>
      </c>
      <c r="L56" s="25" t="str">
        <f t="shared" si="24"/>
        <v/>
      </c>
      <c r="M56" s="33" t="e" cm="1">
        <f t="array" aca="1" ref="M56" ca="1">IF(AND(J56=INDIRECT("'["&amp;G56&amp;"]"&amp;E56&amp;"'!"&amp;$Y$2),G56=INDIRECT("'["&amp;G56&amp;"]"&amp;E56&amp;"'!"&amp;$AH$2)),INDIRECT("'["&amp;G56&amp;"]"&amp;E56&amp;"'!"&amp;$Y$3),0)</f>
        <v>#VALUE!</v>
      </c>
      <c r="N56" s="34" t="e" cm="1">
        <f t="array" aca="1" ref="N56" ca="1">IF(AND(G56=INDIRECT("'["&amp;G56&amp;"]"&amp;E56&amp;"'!"&amp;$AH$2),OR(K56=INDIRECT("'["&amp;G56&amp;"]"&amp;E56&amp;"'!"&amp;$Z$2))),INDIRECT("'["&amp;G56&amp;"]"&amp;E56&amp;"'!"&amp;$Z$3),0)</f>
        <v>#VALUE!</v>
      </c>
      <c r="O56" s="34" t="e" cm="1">
        <f t="array" aca="1" ref="O56" ca="1">IF(AND(G56=INDIRECT("'["&amp;G56&amp;"]"&amp;E56&amp;"'!"&amp;$AH$2),OR(L56=INDIRECT("'["&amp;G56&amp;"]"&amp;E56&amp;"'!"&amp;$AA$2))),INDIRECT("'["&amp;G56&amp;"]"&amp;E56&amp;"'!"&amp;$AA$3),0)</f>
        <v>#VALUE!</v>
      </c>
      <c r="P56" s="34" t="e" cm="1">
        <f t="array" aca="1" ref="P56" ca="1">IF(AND(G56=INDIRECT("'["&amp;G56&amp;"]"&amp;E56&amp;"'!"&amp;$AH$2),OR(VALUE(I56)=INDIRECT("'["&amp;G56&amp;"]"&amp;E56&amp;"'!"&amp;$AB$2))),INDIRECT("'["&amp;G56&amp;"]"&amp;E56&amp;"'!"&amp;$AB$3),0)</f>
        <v>#VALUE!</v>
      </c>
      <c r="Q56" s="34" t="e" cm="1">
        <f t="array" aca="1" ref="Q56" ca="1">IF(AND(G56=INDIRECT("'["&amp;G56&amp;"]"&amp;E56&amp;"'!"&amp;$AH$2),OR(VALUE(I56)=INDIRECT("'["&amp;G56&amp;"]"&amp;E56&amp;"'!"&amp;$AC$2))),INDIRECT("'["&amp;G56&amp;"]"&amp;E56&amp;"'!"&amp;$AC$3),0)</f>
        <v>#VALUE!</v>
      </c>
      <c r="R56" s="34" t="e" cm="1">
        <f t="array" aca="1" ref="R56" ca="1">IF(AND(G56=INDIRECT("'["&amp;G56&amp;"]"&amp;E56&amp;"'!"&amp;$AH$2),OR(I56=INDIRECT("'["&amp;G56&amp;"]"&amp;E56&amp;"'!"&amp;$AD$2))),INDIRECT("'["&amp;G56&amp;"]"&amp;E56&amp;"'!"&amp;$AD$3),0)</f>
        <v>#VALUE!</v>
      </c>
      <c r="S56" s="34" t="e" cm="1">
        <f t="array" aca="1" ref="S56" ca="1">IF(AND(G56=INDIRECT("'["&amp;G56&amp;"]"&amp;E56&amp;"'!"&amp;$AH$2),OR(I56=INDIRECT("'["&amp;G56&amp;"]"&amp;E56&amp;"'!"&amp;$AE$2))),INDIRECT("'["&amp;G56&amp;"]"&amp;E56&amp;"'!"&amp;$AE$3),0)</f>
        <v>#VALUE!</v>
      </c>
      <c r="T56" s="35" t="e" cm="1">
        <f t="array" aca="1" ref="T56" ca="1">IF(AND(G56=INDIRECT("'["&amp;G56&amp;"]"&amp;E56&amp;"'!"&amp;$AH$2),OR(I56=INDIRECT("'["&amp;G56&amp;"]"&amp;E56&amp;"'!"&amp;$AF$2))),INDIRECT("'["&amp;G56&amp;"]"&amp;E56&amp;"'!"&amp;$AF$3),0)</f>
        <v>#VALUE!</v>
      </c>
      <c r="U56" s="34" t="e" cm="1">
        <f t="array" aca="1" ref="U56" ca="1">IF(AND(G56=INDIRECT("'["&amp;G56&amp;"]"&amp;E56&amp;"'!"&amp;$AH$2),OR(I56=INDIRECT("'["&amp;G56&amp;"]"&amp;E56&amp;"'!"&amp;$AG$2))),INDIRECT("'["&amp;G56&amp;"]"&amp;E56&amp;"'!"&amp;$AG$3),0)</f>
        <v>#VALUE!</v>
      </c>
      <c r="V56" s="25" t="str">
        <f t="shared" si="25"/>
        <v/>
      </c>
      <c r="W56" s="36" t="e" cm="1">
        <f t="array" aca="1" ref="W56" ca="1">IF(AND(G56=INDIRECT("'["&amp;G56&amp;"]"&amp;E56&amp;"'!"&amp;$AH$2),OR(V56=INDIRECT("'["&amp;G56&amp;"]"&amp;E56&amp;"'!"&amp;$AI$2))),INDIRECT("'["&amp;G56&amp;"]"&amp;E56&amp;"'!"&amp;$AI$3),0)</f>
        <v>#VALUE!</v>
      </c>
      <c r="AJ56" s="25">
        <v>1</v>
      </c>
      <c r="AK56" s="38">
        <f t="shared" ca="1" si="5"/>
        <v>0</v>
      </c>
      <c r="AL56" s="38">
        <f t="shared" ca="1" si="12"/>
        <v>0</v>
      </c>
      <c r="AM56" s="54" t="str">
        <f t="shared" ca="1" si="6"/>
        <v/>
      </c>
      <c r="AN56" s="25" t="e">
        <f t="shared" ca="1" si="13"/>
        <v>#VALUE!</v>
      </c>
      <c r="AO56" s="25" t="e">
        <f t="shared" ca="1" si="14"/>
        <v>#VALUE!</v>
      </c>
      <c r="AP56" s="39" t="str">
        <f t="shared" ca="1" si="7"/>
        <v/>
      </c>
      <c r="AQ56" s="46" t="str">
        <f ca="1">IF(AND(C56&lt;&gt;0, C57=0), SUM($C$2:C56)-SUM($AQ$1:AQ55), "")</f>
        <v/>
      </c>
      <c r="AR56" s="46" t="str">
        <f ca="1">IF(AND(AK56&lt;&gt;0, AK57=0), SUM($AK$2:AK56)-SUM($AR$1:AR55), "")</f>
        <v/>
      </c>
    </row>
    <row r="57" spans="1:44" ht="13.15" customHeight="1">
      <c r="A57" s="31"/>
      <c r="B57" s="68" t="str">
        <f t="shared" si="16"/>
        <v/>
      </c>
      <c r="C57" s="55" cm="1">
        <f t="array" aca="1" ref="C57" ca="1">SUM(IF(ISNUMBER(M57:U57),M57:U57,""))</f>
        <v>0</v>
      </c>
      <c r="D57" s="25" t="str">
        <f t="shared" si="17"/>
        <v/>
      </c>
      <c r="E57" s="25" t="e">
        <f t="shared" si="18"/>
        <v>#VALUE!</v>
      </c>
      <c r="F57" s="25" t="str">
        <f t="shared" si="19"/>
        <v/>
      </c>
      <c r="G57" s="25" t="str">
        <f t="shared" si="20"/>
        <v>.xlsx</v>
      </c>
      <c r="H57" s="29" t="e" cm="1">
        <f t="array" aca="1" ref="H57" ca="1">IF(AND(VALUE(E57)=INDIRECT("'["&amp;G57&amp;"]"&amp;E57&amp;"'!"&amp;$X$2),G57=INDIRECT("'["&amp;G57&amp;"]"&amp;E57&amp;"'!"&amp;$X$3)),INDIRECT("'["&amp;G57&amp;"]"&amp;E57&amp;"'!"&amp;$X$1),0)</f>
        <v>#VALUE!</v>
      </c>
      <c r="I57" s="25" t="str">
        <f t="shared" si="21"/>
        <v/>
      </c>
      <c r="J57" s="32" t="str">
        <f t="shared" si="22"/>
        <v/>
      </c>
      <c r="K57" s="25" t="str">
        <f t="shared" si="23"/>
        <v/>
      </c>
      <c r="L57" s="25" t="str">
        <f t="shared" si="24"/>
        <v/>
      </c>
      <c r="M57" s="33" t="e" cm="1">
        <f t="array" aca="1" ref="M57" ca="1">IF(AND(J57=INDIRECT("'["&amp;G57&amp;"]"&amp;E57&amp;"'!"&amp;$Y$2),G57=INDIRECT("'["&amp;G57&amp;"]"&amp;E57&amp;"'!"&amp;$AH$2)),INDIRECT("'["&amp;G57&amp;"]"&amp;E57&amp;"'!"&amp;$Y$3),0)</f>
        <v>#VALUE!</v>
      </c>
      <c r="N57" s="34" t="e" cm="1">
        <f t="array" aca="1" ref="N57" ca="1">IF(AND(G57=INDIRECT("'["&amp;G57&amp;"]"&amp;E57&amp;"'!"&amp;$AH$2),OR(K57=INDIRECT("'["&amp;G57&amp;"]"&amp;E57&amp;"'!"&amp;$Z$2))),INDIRECT("'["&amp;G57&amp;"]"&amp;E57&amp;"'!"&amp;$Z$3),0)</f>
        <v>#VALUE!</v>
      </c>
      <c r="O57" s="34" t="e" cm="1">
        <f t="array" aca="1" ref="O57" ca="1">IF(AND(G57=INDIRECT("'["&amp;G57&amp;"]"&amp;E57&amp;"'!"&amp;$AH$2),OR(L57=INDIRECT("'["&amp;G57&amp;"]"&amp;E57&amp;"'!"&amp;$AA$2))),INDIRECT("'["&amp;G57&amp;"]"&amp;E57&amp;"'!"&amp;$AA$3),0)</f>
        <v>#VALUE!</v>
      </c>
      <c r="P57" s="34" t="e" cm="1">
        <f t="array" aca="1" ref="P57" ca="1">IF(AND(G57=INDIRECT("'["&amp;G57&amp;"]"&amp;E57&amp;"'!"&amp;$AH$2),OR(VALUE(I57)=INDIRECT("'["&amp;G57&amp;"]"&amp;E57&amp;"'!"&amp;$AB$2))),INDIRECT("'["&amp;G57&amp;"]"&amp;E57&amp;"'!"&amp;$AB$3),0)</f>
        <v>#VALUE!</v>
      </c>
      <c r="Q57" s="34" t="e" cm="1">
        <f t="array" aca="1" ref="Q57" ca="1">IF(AND(G57=INDIRECT("'["&amp;G57&amp;"]"&amp;E57&amp;"'!"&amp;$AH$2),OR(VALUE(I57)=INDIRECT("'["&amp;G57&amp;"]"&amp;E57&amp;"'!"&amp;$AC$2))),INDIRECT("'["&amp;G57&amp;"]"&amp;E57&amp;"'!"&amp;$AC$3),0)</f>
        <v>#VALUE!</v>
      </c>
      <c r="R57" s="34" t="e" cm="1">
        <f t="array" aca="1" ref="R57" ca="1">IF(AND(G57=INDIRECT("'["&amp;G57&amp;"]"&amp;E57&amp;"'!"&amp;$AH$2),OR(I57=INDIRECT("'["&amp;G57&amp;"]"&amp;E57&amp;"'!"&amp;$AD$2))),INDIRECT("'["&amp;G57&amp;"]"&amp;E57&amp;"'!"&amp;$AD$3),0)</f>
        <v>#VALUE!</v>
      </c>
      <c r="S57" s="34" t="e" cm="1">
        <f t="array" aca="1" ref="S57" ca="1">IF(AND(G57=INDIRECT("'["&amp;G57&amp;"]"&amp;E57&amp;"'!"&amp;$AH$2),OR(I57=INDIRECT("'["&amp;G57&amp;"]"&amp;E57&amp;"'!"&amp;$AE$2))),INDIRECT("'["&amp;G57&amp;"]"&amp;E57&amp;"'!"&amp;$AE$3),0)</f>
        <v>#VALUE!</v>
      </c>
      <c r="T57" s="35" t="e" cm="1">
        <f t="array" aca="1" ref="T57" ca="1">IF(AND(G57=INDIRECT("'["&amp;G57&amp;"]"&amp;E57&amp;"'!"&amp;$AH$2),OR(I57=INDIRECT("'["&amp;G57&amp;"]"&amp;E57&amp;"'!"&amp;$AF$2))),INDIRECT("'["&amp;G57&amp;"]"&amp;E57&amp;"'!"&amp;$AF$3),0)</f>
        <v>#VALUE!</v>
      </c>
      <c r="U57" s="34" t="e" cm="1">
        <f t="array" aca="1" ref="U57" ca="1">IF(AND(G57=INDIRECT("'["&amp;G57&amp;"]"&amp;E57&amp;"'!"&amp;$AH$2),OR(I57=INDIRECT("'["&amp;G57&amp;"]"&amp;E57&amp;"'!"&amp;$AG$2))),INDIRECT("'["&amp;G57&amp;"]"&amp;E57&amp;"'!"&amp;$AG$3),0)</f>
        <v>#VALUE!</v>
      </c>
      <c r="V57" s="25" t="str">
        <f t="shared" si="25"/>
        <v/>
      </c>
      <c r="W57" s="36" t="e" cm="1">
        <f t="array" aca="1" ref="W57" ca="1">IF(AND(G57=INDIRECT("'["&amp;G57&amp;"]"&amp;E57&amp;"'!"&amp;$AH$2),OR(V57=INDIRECT("'["&amp;G57&amp;"]"&amp;E57&amp;"'!"&amp;$AI$2))),INDIRECT("'["&amp;G57&amp;"]"&amp;E57&amp;"'!"&amp;$AI$3),0)</f>
        <v>#VALUE!</v>
      </c>
      <c r="AJ57" s="25">
        <v>1</v>
      </c>
      <c r="AK57" s="38">
        <f t="shared" ca="1" si="5"/>
        <v>0</v>
      </c>
      <c r="AL57" s="38">
        <f t="shared" ca="1" si="12"/>
        <v>0</v>
      </c>
      <c r="AM57" s="54" t="str">
        <f t="shared" ca="1" si="6"/>
        <v/>
      </c>
      <c r="AN57" s="25" t="e">
        <f t="shared" ca="1" si="13"/>
        <v>#VALUE!</v>
      </c>
      <c r="AO57" s="25" t="e">
        <f t="shared" ca="1" si="14"/>
        <v>#VALUE!</v>
      </c>
      <c r="AP57" s="39" t="str">
        <f t="shared" ca="1" si="7"/>
        <v/>
      </c>
      <c r="AQ57" s="46" t="str">
        <f ca="1">IF(AND(C57&lt;&gt;0, C58=0), SUM($C$2:C57)-SUM($AQ$1:AQ56), "")</f>
        <v/>
      </c>
      <c r="AR57" s="46" t="str">
        <f ca="1">IF(AND(AK57&lt;&gt;0, AK58=0), SUM($AK$2:AK57)-SUM($AR$1:AR56), "")</f>
        <v/>
      </c>
    </row>
    <row r="58" spans="1:44" ht="13.15" customHeight="1">
      <c r="A58" s="31"/>
      <c r="B58" s="68" t="str">
        <f t="shared" si="16"/>
        <v/>
      </c>
      <c r="C58" s="55" cm="1">
        <f t="array" aca="1" ref="C58" ca="1">SUM(IF(ISNUMBER(M58:U58),M58:U58,""))</f>
        <v>0</v>
      </c>
      <c r="D58" s="25" t="str">
        <f t="shared" si="17"/>
        <v/>
      </c>
      <c r="E58" s="25" t="e">
        <f t="shared" si="18"/>
        <v>#VALUE!</v>
      </c>
      <c r="F58" s="25" t="str">
        <f t="shared" si="19"/>
        <v/>
      </c>
      <c r="G58" s="25" t="str">
        <f t="shared" si="20"/>
        <v>.xlsx</v>
      </c>
      <c r="H58" s="29" t="e" cm="1">
        <f t="array" aca="1" ref="H58" ca="1">IF(AND(VALUE(E58)=INDIRECT("'["&amp;G58&amp;"]"&amp;E58&amp;"'!"&amp;$X$2),G58=INDIRECT("'["&amp;G58&amp;"]"&amp;E58&amp;"'!"&amp;$X$3)),INDIRECT("'["&amp;G58&amp;"]"&amp;E58&amp;"'!"&amp;$X$1),0)</f>
        <v>#VALUE!</v>
      </c>
      <c r="I58" s="25" t="str">
        <f t="shared" si="21"/>
        <v/>
      </c>
      <c r="J58" s="32" t="str">
        <f t="shared" si="22"/>
        <v/>
      </c>
      <c r="K58" s="25" t="str">
        <f t="shared" si="23"/>
        <v/>
      </c>
      <c r="L58" s="25" t="str">
        <f t="shared" si="24"/>
        <v/>
      </c>
      <c r="M58" s="33" t="e" cm="1">
        <f t="array" aca="1" ref="M58" ca="1">IF(AND(J58=INDIRECT("'["&amp;G58&amp;"]"&amp;E58&amp;"'!"&amp;$Y$2),G58=INDIRECT("'["&amp;G58&amp;"]"&amp;E58&amp;"'!"&amp;$AH$2)),INDIRECT("'["&amp;G58&amp;"]"&amp;E58&amp;"'!"&amp;$Y$3),0)</f>
        <v>#VALUE!</v>
      </c>
      <c r="N58" s="34" t="e" cm="1">
        <f t="array" aca="1" ref="N58" ca="1">IF(AND(G58=INDIRECT("'["&amp;G58&amp;"]"&amp;E58&amp;"'!"&amp;$AH$2),OR(K58=INDIRECT("'["&amp;G58&amp;"]"&amp;E58&amp;"'!"&amp;$Z$2))),INDIRECT("'["&amp;G58&amp;"]"&amp;E58&amp;"'!"&amp;$Z$3),0)</f>
        <v>#VALUE!</v>
      </c>
      <c r="O58" s="34" t="e" cm="1">
        <f t="array" aca="1" ref="O58" ca="1">IF(AND(G58=INDIRECT("'["&amp;G58&amp;"]"&amp;E58&amp;"'!"&amp;$AH$2),OR(L58=INDIRECT("'["&amp;G58&amp;"]"&amp;E58&amp;"'!"&amp;$AA$2))),INDIRECT("'["&amp;G58&amp;"]"&amp;E58&amp;"'!"&amp;$AA$3),0)</f>
        <v>#VALUE!</v>
      </c>
      <c r="P58" s="34" t="e" cm="1">
        <f t="array" aca="1" ref="P58" ca="1">IF(AND(G58=INDIRECT("'["&amp;G58&amp;"]"&amp;E58&amp;"'!"&amp;$AH$2),OR(VALUE(I58)=INDIRECT("'["&amp;G58&amp;"]"&amp;E58&amp;"'!"&amp;$AB$2))),INDIRECT("'["&amp;G58&amp;"]"&amp;E58&amp;"'!"&amp;$AB$3),0)</f>
        <v>#VALUE!</v>
      </c>
      <c r="Q58" s="34" t="e" cm="1">
        <f t="array" aca="1" ref="Q58" ca="1">IF(AND(G58=INDIRECT("'["&amp;G58&amp;"]"&amp;E58&amp;"'!"&amp;$AH$2),OR(VALUE(I58)=INDIRECT("'["&amp;G58&amp;"]"&amp;E58&amp;"'!"&amp;$AC$2))),INDIRECT("'["&amp;G58&amp;"]"&amp;E58&amp;"'!"&amp;$AC$3),0)</f>
        <v>#VALUE!</v>
      </c>
      <c r="R58" s="34" t="e" cm="1">
        <f t="array" aca="1" ref="R58" ca="1">IF(AND(G58=INDIRECT("'["&amp;G58&amp;"]"&amp;E58&amp;"'!"&amp;$AH$2),OR(I58=INDIRECT("'["&amp;G58&amp;"]"&amp;E58&amp;"'!"&amp;$AD$2))),INDIRECT("'["&amp;G58&amp;"]"&amp;E58&amp;"'!"&amp;$AD$3),0)</f>
        <v>#VALUE!</v>
      </c>
      <c r="S58" s="34" t="e" cm="1">
        <f t="array" aca="1" ref="S58" ca="1">IF(AND(G58=INDIRECT("'["&amp;G58&amp;"]"&amp;E58&amp;"'!"&amp;$AH$2),OR(I58=INDIRECT("'["&amp;G58&amp;"]"&amp;E58&amp;"'!"&amp;$AE$2))),INDIRECT("'["&amp;G58&amp;"]"&amp;E58&amp;"'!"&amp;$AE$3),0)</f>
        <v>#VALUE!</v>
      </c>
      <c r="T58" s="35" t="e" cm="1">
        <f t="array" aca="1" ref="T58" ca="1">IF(AND(G58=INDIRECT("'["&amp;G58&amp;"]"&amp;E58&amp;"'!"&amp;$AH$2),OR(I58=INDIRECT("'["&amp;G58&amp;"]"&amp;E58&amp;"'!"&amp;$AF$2))),INDIRECT("'["&amp;G58&amp;"]"&amp;E58&amp;"'!"&amp;$AF$3),0)</f>
        <v>#VALUE!</v>
      </c>
      <c r="U58" s="34" t="e" cm="1">
        <f t="array" aca="1" ref="U58" ca="1">IF(AND(G58=INDIRECT("'["&amp;G58&amp;"]"&amp;E58&amp;"'!"&amp;$AH$2),OR(I58=INDIRECT("'["&amp;G58&amp;"]"&amp;E58&amp;"'!"&amp;$AG$2))),INDIRECT("'["&amp;G58&amp;"]"&amp;E58&amp;"'!"&amp;$AG$3),0)</f>
        <v>#VALUE!</v>
      </c>
      <c r="V58" s="25" t="str">
        <f t="shared" si="25"/>
        <v/>
      </c>
      <c r="W58" s="36" t="e" cm="1">
        <f t="array" aca="1" ref="W58" ca="1">IF(AND(G58=INDIRECT("'["&amp;G58&amp;"]"&amp;E58&amp;"'!"&amp;$AH$2),OR(V58=INDIRECT("'["&amp;G58&amp;"]"&amp;E58&amp;"'!"&amp;$AI$2))),INDIRECT("'["&amp;G58&amp;"]"&amp;E58&amp;"'!"&amp;$AI$3),0)</f>
        <v>#VALUE!</v>
      </c>
      <c r="AJ58" s="25">
        <v>1</v>
      </c>
      <c r="AK58" s="38">
        <f t="shared" ca="1" si="5"/>
        <v>0</v>
      </c>
      <c r="AL58" s="38">
        <f t="shared" ca="1" si="12"/>
        <v>0</v>
      </c>
      <c r="AM58" s="54" t="str">
        <f t="shared" ca="1" si="6"/>
        <v/>
      </c>
      <c r="AN58" s="25" t="e">
        <f t="shared" ca="1" si="13"/>
        <v>#VALUE!</v>
      </c>
      <c r="AO58" s="25" t="e">
        <f t="shared" ca="1" si="14"/>
        <v>#VALUE!</v>
      </c>
      <c r="AP58" s="39" t="str">
        <f t="shared" ca="1" si="7"/>
        <v/>
      </c>
      <c r="AQ58" s="46" t="str">
        <f ca="1">IF(AND(C58&lt;&gt;0, C59=0), SUM($C$2:C58)-SUM($AQ$1:AQ57), "")</f>
        <v/>
      </c>
      <c r="AR58" s="46" t="str">
        <f ca="1">IF(AND(AK58&lt;&gt;0, AK59=0), SUM($AK$2:AK58)-SUM($AR$1:AR57), "")</f>
        <v/>
      </c>
    </row>
    <row r="59" spans="1:44" ht="13.15" customHeight="1">
      <c r="A59" s="31"/>
      <c r="B59" s="68" t="str">
        <f>LEFT(A59,15)</f>
        <v/>
      </c>
      <c r="C59" s="55" cm="1">
        <f t="array" aca="1" ref="C59" ca="1">SUM(IF(ISNUMBER(M59:U59),M59:U59,""))</f>
        <v>0</v>
      </c>
      <c r="D59" s="25" t="str">
        <f t="shared" si="17"/>
        <v/>
      </c>
      <c r="E59" s="25" t="e">
        <f t="shared" si="18"/>
        <v>#VALUE!</v>
      </c>
      <c r="F59" s="25" t="str">
        <f t="shared" si="19"/>
        <v/>
      </c>
      <c r="G59" s="25" t="str">
        <f t="shared" si="20"/>
        <v>.xlsx</v>
      </c>
      <c r="H59" s="29" t="e" cm="1">
        <f t="array" aca="1" ref="H59" ca="1">IF(AND(VALUE(E59)=INDIRECT("'["&amp;G59&amp;"]"&amp;E59&amp;"'!"&amp;$X$2),G59=INDIRECT("'["&amp;G59&amp;"]"&amp;E59&amp;"'!"&amp;$X$3)),INDIRECT("'["&amp;G59&amp;"]"&amp;E59&amp;"'!"&amp;$X$1),0)</f>
        <v>#VALUE!</v>
      </c>
      <c r="I59" s="25" t="str">
        <f t="shared" si="21"/>
        <v/>
      </c>
      <c r="J59" s="32" t="str">
        <f t="shared" si="22"/>
        <v/>
      </c>
      <c r="K59" s="25" t="str">
        <f t="shared" si="23"/>
        <v/>
      </c>
      <c r="L59" s="25" t="str">
        <f t="shared" si="24"/>
        <v/>
      </c>
      <c r="M59" s="33" t="e" cm="1">
        <f t="array" aca="1" ref="M59" ca="1">IF(AND(J59=INDIRECT("'["&amp;G59&amp;"]"&amp;E59&amp;"'!"&amp;$Y$2),G59=INDIRECT("'["&amp;G59&amp;"]"&amp;E59&amp;"'!"&amp;$AH$2)),INDIRECT("'["&amp;G59&amp;"]"&amp;E59&amp;"'!"&amp;$Y$3),0)</f>
        <v>#VALUE!</v>
      </c>
      <c r="N59" s="34" t="e" cm="1">
        <f t="array" aca="1" ref="N59" ca="1">IF(AND(G59=INDIRECT("'["&amp;G59&amp;"]"&amp;E59&amp;"'!"&amp;$AH$2),OR(K59=INDIRECT("'["&amp;G59&amp;"]"&amp;E59&amp;"'!"&amp;$Z$2))),INDIRECT("'["&amp;G59&amp;"]"&amp;E59&amp;"'!"&amp;$Z$3),0)</f>
        <v>#VALUE!</v>
      </c>
      <c r="O59" s="34" t="e" cm="1">
        <f t="array" aca="1" ref="O59" ca="1">IF(AND(G59=INDIRECT("'["&amp;G59&amp;"]"&amp;E59&amp;"'!"&amp;$AH$2),OR(L59=INDIRECT("'["&amp;G59&amp;"]"&amp;E59&amp;"'!"&amp;$AA$2))),INDIRECT("'["&amp;G59&amp;"]"&amp;E59&amp;"'!"&amp;$AA$3),0)</f>
        <v>#VALUE!</v>
      </c>
      <c r="P59" s="34" t="e" cm="1">
        <f t="array" aca="1" ref="P59" ca="1">IF(AND(G59=INDIRECT("'["&amp;G59&amp;"]"&amp;E59&amp;"'!"&amp;$AH$2),OR(VALUE(I59)=INDIRECT("'["&amp;G59&amp;"]"&amp;E59&amp;"'!"&amp;$AB$2))),INDIRECT("'["&amp;G59&amp;"]"&amp;E59&amp;"'!"&amp;$AB$3),0)</f>
        <v>#VALUE!</v>
      </c>
      <c r="Q59" s="34" t="e" cm="1">
        <f t="array" aca="1" ref="Q59" ca="1">IF(AND(G59=INDIRECT("'["&amp;G59&amp;"]"&amp;E59&amp;"'!"&amp;$AH$2),OR(VALUE(I59)=INDIRECT("'["&amp;G59&amp;"]"&amp;E59&amp;"'!"&amp;$AC$2))),INDIRECT("'["&amp;G59&amp;"]"&amp;E59&amp;"'!"&amp;$AC$3),0)</f>
        <v>#VALUE!</v>
      </c>
      <c r="R59" s="34" t="e" cm="1">
        <f t="array" aca="1" ref="R59" ca="1">IF(AND(G59=INDIRECT("'["&amp;G59&amp;"]"&amp;E59&amp;"'!"&amp;$AH$2),OR(I59=INDIRECT("'["&amp;G59&amp;"]"&amp;E59&amp;"'!"&amp;$AD$2))),INDIRECT("'["&amp;G59&amp;"]"&amp;E59&amp;"'!"&amp;$AD$3),0)</f>
        <v>#VALUE!</v>
      </c>
      <c r="S59" s="34" t="e" cm="1">
        <f t="array" aca="1" ref="S59" ca="1">IF(AND(G59=INDIRECT("'["&amp;G59&amp;"]"&amp;E59&amp;"'!"&amp;$AH$2),OR(I59=INDIRECT("'["&amp;G59&amp;"]"&amp;E59&amp;"'!"&amp;$AE$2))),INDIRECT("'["&amp;G59&amp;"]"&amp;E59&amp;"'!"&amp;$AE$3),0)</f>
        <v>#VALUE!</v>
      </c>
      <c r="T59" s="35" t="e" cm="1">
        <f t="array" aca="1" ref="T59" ca="1">IF(AND(G59=INDIRECT("'["&amp;G59&amp;"]"&amp;E59&amp;"'!"&amp;$AH$2),OR(I59=INDIRECT("'["&amp;G59&amp;"]"&amp;E59&amp;"'!"&amp;$AF$2))),INDIRECT("'["&amp;G59&amp;"]"&amp;E59&amp;"'!"&amp;$AF$3),0)</f>
        <v>#VALUE!</v>
      </c>
      <c r="U59" s="34" t="e" cm="1">
        <f t="array" aca="1" ref="U59" ca="1">IF(AND(G59=INDIRECT("'["&amp;G59&amp;"]"&amp;E59&amp;"'!"&amp;$AH$2),OR(I59=INDIRECT("'["&amp;G59&amp;"]"&amp;E59&amp;"'!"&amp;$AG$2))),INDIRECT("'["&amp;G59&amp;"]"&amp;E59&amp;"'!"&amp;$AG$3),0)</f>
        <v>#VALUE!</v>
      </c>
      <c r="V59" s="25" t="str">
        <f t="shared" si="25"/>
        <v/>
      </c>
      <c r="W59" s="36" t="e" cm="1">
        <f t="array" aca="1" ref="W59" ca="1">IF(AND(G59=INDIRECT("'["&amp;G59&amp;"]"&amp;E59&amp;"'!"&amp;$AH$2),OR(V59=INDIRECT("'["&amp;G59&amp;"]"&amp;E59&amp;"'!"&amp;$AI$2))),INDIRECT("'["&amp;G59&amp;"]"&amp;E59&amp;"'!"&amp;$AI$3),0)</f>
        <v>#VALUE!</v>
      </c>
      <c r="AJ59" s="25">
        <v>1</v>
      </c>
      <c r="AK59" s="38">
        <f t="shared" ca="1" si="5"/>
        <v>0</v>
      </c>
      <c r="AL59" s="38">
        <f t="shared" ca="1" si="12"/>
        <v>0</v>
      </c>
      <c r="AM59" s="54" t="str">
        <f t="shared" ca="1" si="6"/>
        <v/>
      </c>
      <c r="AN59" s="25" t="e">
        <f t="shared" ca="1" si="13"/>
        <v>#VALUE!</v>
      </c>
      <c r="AO59" s="25" t="e">
        <f t="shared" ca="1" si="14"/>
        <v>#VALUE!</v>
      </c>
      <c r="AP59" s="39" t="str">
        <f t="shared" ca="1" si="7"/>
        <v/>
      </c>
      <c r="AQ59" s="46" t="str">
        <f ca="1">IF(AND(C59&lt;&gt;0, C60=0), SUM($C$2:C59)-SUM($AQ$1:AQ58), "")</f>
        <v/>
      </c>
      <c r="AR59" s="46" t="str">
        <f ca="1">IF(AND(AK59&lt;&gt;0, AK60=0), SUM($AK$2:AK59)-SUM($AR$1:AR58), "")</f>
        <v/>
      </c>
    </row>
    <row r="60" spans="1:44" ht="13.15" customHeight="1">
      <c r="A60" s="31"/>
      <c r="B60" s="68" t="str">
        <f t="shared" si="16"/>
        <v/>
      </c>
      <c r="C60" s="55" cm="1">
        <f t="array" aca="1" ref="C60" ca="1">SUM(IF(ISNUMBER(M60:U60),M60:U60,""))</f>
        <v>0</v>
      </c>
      <c r="D60" s="25" t="str">
        <f t="shared" si="17"/>
        <v/>
      </c>
      <c r="E60" s="25" t="e">
        <f t="shared" si="18"/>
        <v>#VALUE!</v>
      </c>
      <c r="F60" s="25" t="str">
        <f t="shared" si="19"/>
        <v/>
      </c>
      <c r="G60" s="25" t="str">
        <f t="shared" si="20"/>
        <v>.xlsx</v>
      </c>
      <c r="H60" s="29" t="e" cm="1">
        <f t="array" aca="1" ref="H60" ca="1">IF(AND(VALUE(E60)=INDIRECT("'["&amp;G60&amp;"]"&amp;E60&amp;"'!"&amp;$X$2),G60=INDIRECT("'["&amp;G60&amp;"]"&amp;E60&amp;"'!"&amp;$X$3)),INDIRECT("'["&amp;G60&amp;"]"&amp;E60&amp;"'!"&amp;$X$1),0)</f>
        <v>#VALUE!</v>
      </c>
      <c r="I60" s="25" t="str">
        <f t="shared" si="21"/>
        <v/>
      </c>
      <c r="J60" s="32" t="str">
        <f t="shared" si="22"/>
        <v/>
      </c>
      <c r="K60" s="25" t="str">
        <f t="shared" si="23"/>
        <v/>
      </c>
      <c r="L60" s="25" t="str">
        <f t="shared" si="24"/>
        <v/>
      </c>
      <c r="M60" s="33" t="e" cm="1">
        <f t="array" aca="1" ref="M60" ca="1">IF(AND(J60=INDIRECT("'["&amp;G60&amp;"]"&amp;E60&amp;"'!"&amp;$Y$2),G60=INDIRECT("'["&amp;G60&amp;"]"&amp;E60&amp;"'!"&amp;$AH$2)),INDIRECT("'["&amp;G60&amp;"]"&amp;E60&amp;"'!"&amp;$Y$3),0)</f>
        <v>#VALUE!</v>
      </c>
      <c r="N60" s="34" t="e" cm="1">
        <f t="array" aca="1" ref="N60" ca="1">IF(AND(G60=INDIRECT("'["&amp;G60&amp;"]"&amp;E60&amp;"'!"&amp;$AH$2),OR(K60=INDIRECT("'["&amp;G60&amp;"]"&amp;E60&amp;"'!"&amp;$Z$2))),INDIRECT("'["&amp;G60&amp;"]"&amp;E60&amp;"'!"&amp;$Z$3),0)</f>
        <v>#VALUE!</v>
      </c>
      <c r="O60" s="34" t="e" cm="1">
        <f t="array" aca="1" ref="O60" ca="1">IF(AND(G60=INDIRECT("'["&amp;G60&amp;"]"&amp;E60&amp;"'!"&amp;$AH$2),OR(L60=INDIRECT("'["&amp;G60&amp;"]"&amp;E60&amp;"'!"&amp;$AA$2))),INDIRECT("'["&amp;G60&amp;"]"&amp;E60&amp;"'!"&amp;$AA$3),0)</f>
        <v>#VALUE!</v>
      </c>
      <c r="P60" s="34" t="e" cm="1">
        <f t="array" aca="1" ref="P60" ca="1">IF(AND(G60=INDIRECT("'["&amp;G60&amp;"]"&amp;E60&amp;"'!"&amp;$AH$2),OR(VALUE(I60)=INDIRECT("'["&amp;G60&amp;"]"&amp;E60&amp;"'!"&amp;$AB$2))),INDIRECT("'["&amp;G60&amp;"]"&amp;E60&amp;"'!"&amp;$AB$3),0)</f>
        <v>#VALUE!</v>
      </c>
      <c r="Q60" s="34" t="e" cm="1">
        <f t="array" aca="1" ref="Q60" ca="1">IF(AND(G60=INDIRECT("'["&amp;G60&amp;"]"&amp;E60&amp;"'!"&amp;$AH$2),OR(VALUE(I60)=INDIRECT("'["&amp;G60&amp;"]"&amp;E60&amp;"'!"&amp;$AC$2))),INDIRECT("'["&amp;G60&amp;"]"&amp;E60&amp;"'!"&amp;$AC$3),0)</f>
        <v>#VALUE!</v>
      </c>
      <c r="R60" s="34" t="e" cm="1">
        <f t="array" aca="1" ref="R60" ca="1">IF(AND(G60=INDIRECT("'["&amp;G60&amp;"]"&amp;E60&amp;"'!"&amp;$AH$2),OR(I60=INDIRECT("'["&amp;G60&amp;"]"&amp;E60&amp;"'!"&amp;$AD$2))),INDIRECT("'["&amp;G60&amp;"]"&amp;E60&amp;"'!"&amp;$AD$3),0)</f>
        <v>#VALUE!</v>
      </c>
      <c r="S60" s="34" t="e" cm="1">
        <f t="array" aca="1" ref="S60" ca="1">IF(AND(G60=INDIRECT("'["&amp;G60&amp;"]"&amp;E60&amp;"'!"&amp;$AH$2),OR(I60=INDIRECT("'["&amp;G60&amp;"]"&amp;E60&amp;"'!"&amp;$AE$2))),INDIRECT("'["&amp;G60&amp;"]"&amp;E60&amp;"'!"&amp;$AE$3),0)</f>
        <v>#VALUE!</v>
      </c>
      <c r="T60" s="35" t="e" cm="1">
        <f t="array" aca="1" ref="T60" ca="1">IF(AND(G60=INDIRECT("'["&amp;G60&amp;"]"&amp;E60&amp;"'!"&amp;$AH$2),OR(I60=INDIRECT("'["&amp;G60&amp;"]"&amp;E60&amp;"'!"&amp;$AF$2))),INDIRECT("'["&amp;G60&amp;"]"&amp;E60&amp;"'!"&amp;$AF$3),0)</f>
        <v>#VALUE!</v>
      </c>
      <c r="U60" s="34" t="e" cm="1">
        <f t="array" aca="1" ref="U60" ca="1">IF(AND(G60=INDIRECT("'["&amp;G60&amp;"]"&amp;E60&amp;"'!"&amp;$AH$2),OR(I60=INDIRECT("'["&amp;G60&amp;"]"&amp;E60&amp;"'!"&amp;$AG$2))),INDIRECT("'["&amp;G60&amp;"]"&amp;E60&amp;"'!"&amp;$AG$3),0)</f>
        <v>#VALUE!</v>
      </c>
      <c r="V60" s="25" t="str">
        <f t="shared" si="25"/>
        <v/>
      </c>
      <c r="W60" s="36" t="e" cm="1">
        <f t="array" aca="1" ref="W60" ca="1">IF(AND(G60=INDIRECT("'["&amp;G60&amp;"]"&amp;E60&amp;"'!"&amp;$AH$2),OR(V60=INDIRECT("'["&amp;G60&amp;"]"&amp;E60&amp;"'!"&amp;$AI$2))),INDIRECT("'["&amp;G60&amp;"]"&amp;E60&amp;"'!"&amp;$AI$3),0)</f>
        <v>#VALUE!</v>
      </c>
      <c r="AJ60" s="25">
        <v>1</v>
      </c>
      <c r="AK60" s="38">
        <f t="shared" ca="1" si="5"/>
        <v>0</v>
      </c>
      <c r="AL60" s="38">
        <f t="shared" ca="1" si="12"/>
        <v>0</v>
      </c>
      <c r="AM60" s="54" t="str">
        <f t="shared" ca="1" si="6"/>
        <v/>
      </c>
      <c r="AN60" s="25" t="e">
        <f t="shared" ca="1" si="13"/>
        <v>#VALUE!</v>
      </c>
      <c r="AO60" s="25" t="e">
        <f t="shared" ca="1" si="14"/>
        <v>#VALUE!</v>
      </c>
      <c r="AP60" s="39" t="str">
        <f t="shared" ca="1" si="7"/>
        <v/>
      </c>
      <c r="AQ60" s="46" t="str">
        <f ca="1">IF(AND(C60&lt;&gt;0, C61=0), SUM($C$2:C60)-SUM($AQ$1:AQ59), "")</f>
        <v/>
      </c>
      <c r="AR60" s="46" t="str">
        <f ca="1">IF(AND(AK60&lt;&gt;0, AK61=0), SUM($AK$2:AK60)-SUM($AR$1:AR59), "")</f>
        <v/>
      </c>
    </row>
    <row r="61" spans="1:44" ht="13.15" customHeight="1">
      <c r="A61" s="31"/>
      <c r="B61" s="68" t="str">
        <f t="shared" si="16"/>
        <v/>
      </c>
      <c r="C61" s="55" cm="1">
        <f t="array" aca="1" ref="C61" ca="1">SUM(IF(ISNUMBER(M61:U61),M61:U61,""))</f>
        <v>0</v>
      </c>
      <c r="D61" s="25" t="str">
        <f t="shared" si="17"/>
        <v/>
      </c>
      <c r="E61" s="25" t="e">
        <f t="shared" si="18"/>
        <v>#VALUE!</v>
      </c>
      <c r="F61" s="25" t="str">
        <f t="shared" si="19"/>
        <v/>
      </c>
      <c r="G61" s="25" t="str">
        <f t="shared" si="20"/>
        <v>.xlsx</v>
      </c>
      <c r="H61" s="29" t="e" cm="1">
        <f t="array" aca="1" ref="H61" ca="1">IF(AND(VALUE(E61)=INDIRECT("'["&amp;G61&amp;"]"&amp;E61&amp;"'!"&amp;$X$2),G61=INDIRECT("'["&amp;G61&amp;"]"&amp;E61&amp;"'!"&amp;$X$3)),INDIRECT("'["&amp;G61&amp;"]"&amp;E61&amp;"'!"&amp;$X$1),0)</f>
        <v>#VALUE!</v>
      </c>
      <c r="I61" s="25" t="str">
        <f t="shared" si="21"/>
        <v/>
      </c>
      <c r="J61" s="32" t="str">
        <f t="shared" si="22"/>
        <v/>
      </c>
      <c r="K61" s="25" t="str">
        <f t="shared" si="23"/>
        <v/>
      </c>
      <c r="L61" s="25" t="str">
        <f t="shared" si="24"/>
        <v/>
      </c>
      <c r="M61" s="33" t="e" cm="1">
        <f t="array" aca="1" ref="M61" ca="1">IF(AND(J61=INDIRECT("'["&amp;G61&amp;"]"&amp;E61&amp;"'!"&amp;$Y$2),G61=INDIRECT("'["&amp;G61&amp;"]"&amp;E61&amp;"'!"&amp;$AH$2)),INDIRECT("'["&amp;G61&amp;"]"&amp;E61&amp;"'!"&amp;$Y$3),0)</f>
        <v>#VALUE!</v>
      </c>
      <c r="N61" s="34" t="e" cm="1">
        <f t="array" aca="1" ref="N61" ca="1">IF(AND(G61=INDIRECT("'["&amp;G61&amp;"]"&amp;E61&amp;"'!"&amp;$AH$2),OR(K61=INDIRECT("'["&amp;G61&amp;"]"&amp;E61&amp;"'!"&amp;$Z$2))),INDIRECT("'["&amp;G61&amp;"]"&amp;E61&amp;"'!"&amp;$Z$3),0)</f>
        <v>#VALUE!</v>
      </c>
      <c r="O61" s="34" t="e" cm="1">
        <f t="array" aca="1" ref="O61" ca="1">IF(AND(G61=INDIRECT("'["&amp;G61&amp;"]"&amp;E61&amp;"'!"&amp;$AH$2),OR(L61=INDIRECT("'["&amp;G61&amp;"]"&amp;E61&amp;"'!"&amp;$AA$2))),INDIRECT("'["&amp;G61&amp;"]"&amp;E61&amp;"'!"&amp;$AA$3),0)</f>
        <v>#VALUE!</v>
      </c>
      <c r="P61" s="34" t="e" cm="1">
        <f t="array" aca="1" ref="P61" ca="1">IF(AND(G61=INDIRECT("'["&amp;G61&amp;"]"&amp;E61&amp;"'!"&amp;$AH$2),OR(VALUE(I61)=INDIRECT("'["&amp;G61&amp;"]"&amp;E61&amp;"'!"&amp;$AB$2))),INDIRECT("'["&amp;G61&amp;"]"&amp;E61&amp;"'!"&amp;$AB$3),0)</f>
        <v>#VALUE!</v>
      </c>
      <c r="Q61" s="34" t="e" cm="1">
        <f t="array" aca="1" ref="Q61" ca="1">IF(AND(G61=INDIRECT("'["&amp;G61&amp;"]"&amp;E61&amp;"'!"&amp;$AH$2),OR(VALUE(I61)=INDIRECT("'["&amp;G61&amp;"]"&amp;E61&amp;"'!"&amp;$AC$2))),INDIRECT("'["&amp;G61&amp;"]"&amp;E61&amp;"'!"&amp;$AC$3),0)</f>
        <v>#VALUE!</v>
      </c>
      <c r="R61" s="34" t="e" cm="1">
        <f t="array" aca="1" ref="R61" ca="1">IF(AND(G61=INDIRECT("'["&amp;G61&amp;"]"&amp;E61&amp;"'!"&amp;$AH$2),OR(I61=INDIRECT("'["&amp;G61&amp;"]"&amp;E61&amp;"'!"&amp;$AD$2))),INDIRECT("'["&amp;G61&amp;"]"&amp;E61&amp;"'!"&amp;$AD$3),0)</f>
        <v>#VALUE!</v>
      </c>
      <c r="S61" s="34" t="e" cm="1">
        <f t="array" aca="1" ref="S61" ca="1">IF(AND(G61=INDIRECT("'["&amp;G61&amp;"]"&amp;E61&amp;"'!"&amp;$AH$2),OR(I61=INDIRECT("'["&amp;G61&amp;"]"&amp;E61&amp;"'!"&amp;$AE$2))),INDIRECT("'["&amp;G61&amp;"]"&amp;E61&amp;"'!"&amp;$AE$3),0)</f>
        <v>#VALUE!</v>
      </c>
      <c r="T61" s="35" t="e" cm="1">
        <f t="array" aca="1" ref="T61" ca="1">IF(AND(G61=INDIRECT("'["&amp;G61&amp;"]"&amp;E61&amp;"'!"&amp;$AH$2),OR(I61=INDIRECT("'["&amp;G61&amp;"]"&amp;E61&amp;"'!"&amp;$AF$2))),INDIRECT("'["&amp;G61&amp;"]"&amp;E61&amp;"'!"&amp;$AF$3),0)</f>
        <v>#VALUE!</v>
      </c>
      <c r="U61" s="34" t="e" cm="1">
        <f t="array" aca="1" ref="U61" ca="1">IF(AND(G61=INDIRECT("'["&amp;G61&amp;"]"&amp;E61&amp;"'!"&amp;$AH$2),OR(I61=INDIRECT("'["&amp;G61&amp;"]"&amp;E61&amp;"'!"&amp;$AG$2))),INDIRECT("'["&amp;G61&amp;"]"&amp;E61&amp;"'!"&amp;$AG$3),0)</f>
        <v>#VALUE!</v>
      </c>
      <c r="V61" s="25" t="str">
        <f t="shared" si="25"/>
        <v/>
      </c>
      <c r="W61" s="36" t="e" cm="1">
        <f t="array" aca="1" ref="W61" ca="1">IF(AND(G61=INDIRECT("'["&amp;G61&amp;"]"&amp;E61&amp;"'!"&amp;$AH$2),OR(V61=INDIRECT("'["&amp;G61&amp;"]"&amp;E61&amp;"'!"&amp;$AI$2))),INDIRECT("'["&amp;G61&amp;"]"&amp;E61&amp;"'!"&amp;$AI$3),0)</f>
        <v>#VALUE!</v>
      </c>
      <c r="AJ61" s="25">
        <v>1</v>
      </c>
      <c r="AK61" s="38">
        <f t="shared" ca="1" si="5"/>
        <v>0</v>
      </c>
      <c r="AL61" s="38">
        <f t="shared" ca="1" si="12"/>
        <v>0</v>
      </c>
      <c r="AM61" s="54" t="str">
        <f t="shared" ca="1" si="6"/>
        <v/>
      </c>
      <c r="AN61" s="25" t="e">
        <f t="shared" ca="1" si="13"/>
        <v>#VALUE!</v>
      </c>
      <c r="AO61" s="25" t="e">
        <f t="shared" ca="1" si="14"/>
        <v>#VALUE!</v>
      </c>
      <c r="AP61" s="39" t="str">
        <f t="shared" ca="1" si="7"/>
        <v/>
      </c>
      <c r="AQ61" s="46" t="str">
        <f ca="1">IF(AND(C61&lt;&gt;0, C62=0), SUM($C$2:C61)-SUM($AQ$1:AQ60), "")</f>
        <v/>
      </c>
      <c r="AR61" s="46" t="str">
        <f ca="1">IF(AND(AK61&lt;&gt;0, AK62=0), SUM($AK$2:AK61)-SUM($AR$1:AR60), "")</f>
        <v/>
      </c>
    </row>
    <row r="62" spans="1:44" ht="13.15" customHeight="1">
      <c r="A62" s="31"/>
      <c r="B62" s="68" t="str">
        <f t="shared" si="16"/>
        <v/>
      </c>
      <c r="C62" s="55" cm="1">
        <f t="array" aca="1" ref="C62" ca="1">SUM(IF(ISNUMBER(M62:U62),M62:U62,""))</f>
        <v>0</v>
      </c>
      <c r="D62" s="25" t="str">
        <f t="shared" si="17"/>
        <v/>
      </c>
      <c r="E62" s="25" t="e">
        <f t="shared" si="18"/>
        <v>#VALUE!</v>
      </c>
      <c r="F62" s="25" t="str">
        <f t="shared" si="19"/>
        <v/>
      </c>
      <c r="G62" s="25" t="str">
        <f t="shared" si="20"/>
        <v>.xlsx</v>
      </c>
      <c r="H62" s="29" t="e" cm="1">
        <f t="array" aca="1" ref="H62" ca="1">IF(AND(VALUE(E62)=INDIRECT("'["&amp;G62&amp;"]"&amp;E62&amp;"'!"&amp;$X$2),G62=INDIRECT("'["&amp;G62&amp;"]"&amp;E62&amp;"'!"&amp;$X$3)),INDIRECT("'["&amp;G62&amp;"]"&amp;E62&amp;"'!"&amp;$X$1),0)</f>
        <v>#VALUE!</v>
      </c>
      <c r="I62" s="25" t="str">
        <f t="shared" si="21"/>
        <v/>
      </c>
      <c r="J62" s="32" t="str">
        <f t="shared" si="22"/>
        <v/>
      </c>
      <c r="K62" s="25" t="str">
        <f t="shared" si="23"/>
        <v/>
      </c>
      <c r="L62" s="25" t="str">
        <f t="shared" si="24"/>
        <v/>
      </c>
      <c r="M62" s="33" t="e" cm="1">
        <f t="array" aca="1" ref="M62" ca="1">IF(AND(J62=INDIRECT("'["&amp;G62&amp;"]"&amp;E62&amp;"'!"&amp;$Y$2),G62=INDIRECT("'["&amp;G62&amp;"]"&amp;E62&amp;"'!"&amp;$AH$2)),INDIRECT("'["&amp;G62&amp;"]"&amp;E62&amp;"'!"&amp;$Y$3),0)</f>
        <v>#VALUE!</v>
      </c>
      <c r="N62" s="34" t="e" cm="1">
        <f t="array" aca="1" ref="N62" ca="1">IF(AND(G62=INDIRECT("'["&amp;G62&amp;"]"&amp;E62&amp;"'!"&amp;$AH$2),OR(K62=INDIRECT("'["&amp;G62&amp;"]"&amp;E62&amp;"'!"&amp;$Z$2))),INDIRECT("'["&amp;G62&amp;"]"&amp;E62&amp;"'!"&amp;$Z$3),0)</f>
        <v>#VALUE!</v>
      </c>
      <c r="O62" s="34" t="e" cm="1">
        <f t="array" aca="1" ref="O62" ca="1">IF(AND(G62=INDIRECT("'["&amp;G62&amp;"]"&amp;E62&amp;"'!"&amp;$AH$2),OR(L62=INDIRECT("'["&amp;G62&amp;"]"&amp;E62&amp;"'!"&amp;$AA$2))),INDIRECT("'["&amp;G62&amp;"]"&amp;E62&amp;"'!"&amp;$AA$3),0)</f>
        <v>#VALUE!</v>
      </c>
      <c r="P62" s="34" t="e" cm="1">
        <f t="array" aca="1" ref="P62" ca="1">IF(AND(G62=INDIRECT("'["&amp;G62&amp;"]"&amp;E62&amp;"'!"&amp;$AH$2),OR(VALUE(I62)=INDIRECT("'["&amp;G62&amp;"]"&amp;E62&amp;"'!"&amp;$AB$2))),INDIRECT("'["&amp;G62&amp;"]"&amp;E62&amp;"'!"&amp;$AB$3),0)</f>
        <v>#VALUE!</v>
      </c>
      <c r="Q62" s="34" t="e" cm="1">
        <f t="array" aca="1" ref="Q62" ca="1">IF(AND(G62=INDIRECT("'["&amp;G62&amp;"]"&amp;E62&amp;"'!"&amp;$AH$2),OR(VALUE(I62)=INDIRECT("'["&amp;G62&amp;"]"&amp;E62&amp;"'!"&amp;$AC$2))),INDIRECT("'["&amp;G62&amp;"]"&amp;E62&amp;"'!"&amp;$AC$3),0)</f>
        <v>#VALUE!</v>
      </c>
      <c r="R62" s="34" t="e" cm="1">
        <f t="array" aca="1" ref="R62" ca="1">IF(AND(G62=INDIRECT("'["&amp;G62&amp;"]"&amp;E62&amp;"'!"&amp;$AH$2),OR(I62=INDIRECT("'["&amp;G62&amp;"]"&amp;E62&amp;"'!"&amp;$AD$2))),INDIRECT("'["&amp;G62&amp;"]"&amp;E62&amp;"'!"&amp;$AD$3),0)</f>
        <v>#VALUE!</v>
      </c>
      <c r="S62" s="34" t="e" cm="1">
        <f t="array" aca="1" ref="S62" ca="1">IF(AND(G62=INDIRECT("'["&amp;G62&amp;"]"&amp;E62&amp;"'!"&amp;$AH$2),OR(I62=INDIRECT("'["&amp;G62&amp;"]"&amp;E62&amp;"'!"&amp;$AE$2))),INDIRECT("'["&amp;G62&amp;"]"&amp;E62&amp;"'!"&amp;$AE$3),0)</f>
        <v>#VALUE!</v>
      </c>
      <c r="T62" s="35" t="e" cm="1">
        <f t="array" aca="1" ref="T62" ca="1">IF(AND(G62=INDIRECT("'["&amp;G62&amp;"]"&amp;E62&amp;"'!"&amp;$AH$2),OR(I62=INDIRECT("'["&amp;G62&amp;"]"&amp;E62&amp;"'!"&amp;$AF$2))),INDIRECT("'["&amp;G62&amp;"]"&amp;E62&amp;"'!"&amp;$AF$3),0)</f>
        <v>#VALUE!</v>
      </c>
      <c r="U62" s="34" t="e" cm="1">
        <f t="array" aca="1" ref="U62" ca="1">IF(AND(G62=INDIRECT("'["&amp;G62&amp;"]"&amp;E62&amp;"'!"&amp;$AH$2),OR(I62=INDIRECT("'["&amp;G62&amp;"]"&amp;E62&amp;"'!"&amp;$AG$2))),INDIRECT("'["&amp;G62&amp;"]"&amp;E62&amp;"'!"&amp;$AG$3),0)</f>
        <v>#VALUE!</v>
      </c>
      <c r="V62" s="25" t="str">
        <f t="shared" si="25"/>
        <v/>
      </c>
      <c r="W62" s="36" t="e" cm="1">
        <f t="array" aca="1" ref="W62" ca="1">IF(AND(G62=INDIRECT("'["&amp;G62&amp;"]"&amp;E62&amp;"'!"&amp;$AH$2),OR(V62=INDIRECT("'["&amp;G62&amp;"]"&amp;E62&amp;"'!"&amp;$AI$2))),INDIRECT("'["&amp;G62&amp;"]"&amp;E62&amp;"'!"&amp;$AI$3),0)</f>
        <v>#VALUE!</v>
      </c>
      <c r="AJ62" s="25">
        <v>1</v>
      </c>
      <c r="AK62" s="38">
        <f t="shared" ca="1" si="5"/>
        <v>0</v>
      </c>
      <c r="AL62" s="38">
        <f t="shared" ca="1" si="12"/>
        <v>0</v>
      </c>
      <c r="AM62" s="54" t="str">
        <f t="shared" ca="1" si="6"/>
        <v/>
      </c>
      <c r="AN62" s="25" t="e">
        <f t="shared" ca="1" si="13"/>
        <v>#VALUE!</v>
      </c>
      <c r="AO62" s="25" t="e">
        <f t="shared" ca="1" si="14"/>
        <v>#VALUE!</v>
      </c>
      <c r="AP62" s="39" t="str">
        <f t="shared" ca="1" si="7"/>
        <v/>
      </c>
      <c r="AQ62" s="46" t="str">
        <f ca="1">IF(AND(C62&lt;&gt;0, C63=0), SUM($C$2:C62)-SUM($AQ$1:AQ61), "")</f>
        <v/>
      </c>
      <c r="AR62" s="46" t="str">
        <f ca="1">IF(AND(AK62&lt;&gt;0, AK63=0), SUM($AK$2:AK62)-SUM($AR$1:AR61), "")</f>
        <v/>
      </c>
    </row>
    <row r="63" spans="1:44" ht="13.15" customHeight="1">
      <c r="A63" s="31"/>
      <c r="B63" s="68" t="str">
        <f t="shared" si="16"/>
        <v/>
      </c>
      <c r="C63" s="55" cm="1">
        <f t="array" aca="1" ref="C63" ca="1">SUM(IF(ISNUMBER(M63:U63),M63:U63,""))</f>
        <v>0</v>
      </c>
      <c r="D63" s="25" t="str">
        <f t="shared" si="17"/>
        <v/>
      </c>
      <c r="E63" s="25" t="e">
        <f t="shared" si="18"/>
        <v>#VALUE!</v>
      </c>
      <c r="F63" s="25" t="str">
        <f t="shared" si="19"/>
        <v/>
      </c>
      <c r="G63" s="25" t="str">
        <f t="shared" si="20"/>
        <v>.xlsx</v>
      </c>
      <c r="H63" s="29" t="e" cm="1">
        <f t="array" aca="1" ref="H63" ca="1">IF(AND(VALUE(E63)=INDIRECT("'["&amp;G63&amp;"]"&amp;E63&amp;"'!"&amp;$X$2),G63=INDIRECT("'["&amp;G63&amp;"]"&amp;E63&amp;"'!"&amp;$X$3)),INDIRECT("'["&amp;G63&amp;"]"&amp;E63&amp;"'!"&amp;$X$1),0)</f>
        <v>#VALUE!</v>
      </c>
      <c r="I63" s="25" t="str">
        <f t="shared" si="21"/>
        <v/>
      </c>
      <c r="J63" s="32" t="str">
        <f t="shared" si="22"/>
        <v/>
      </c>
      <c r="K63" s="25" t="str">
        <f t="shared" si="23"/>
        <v/>
      </c>
      <c r="L63" s="25" t="str">
        <f t="shared" si="24"/>
        <v/>
      </c>
      <c r="M63" s="33" t="e" cm="1">
        <f t="array" aca="1" ref="M63" ca="1">IF(AND(J63=INDIRECT("'["&amp;G63&amp;"]"&amp;E63&amp;"'!"&amp;$Y$2),G63=INDIRECT("'["&amp;G63&amp;"]"&amp;E63&amp;"'!"&amp;$AH$2)),INDIRECT("'["&amp;G63&amp;"]"&amp;E63&amp;"'!"&amp;$Y$3),0)</f>
        <v>#VALUE!</v>
      </c>
      <c r="N63" s="34" t="e" cm="1">
        <f t="array" aca="1" ref="N63" ca="1">IF(AND(G63=INDIRECT("'["&amp;G63&amp;"]"&amp;E63&amp;"'!"&amp;$AH$2),OR(K63=INDIRECT("'["&amp;G63&amp;"]"&amp;E63&amp;"'!"&amp;$Z$2))),INDIRECT("'["&amp;G63&amp;"]"&amp;E63&amp;"'!"&amp;$Z$3),0)</f>
        <v>#VALUE!</v>
      </c>
      <c r="O63" s="34" t="e" cm="1">
        <f t="array" aca="1" ref="O63" ca="1">IF(AND(G63=INDIRECT("'["&amp;G63&amp;"]"&amp;E63&amp;"'!"&amp;$AH$2),OR(L63=INDIRECT("'["&amp;G63&amp;"]"&amp;E63&amp;"'!"&amp;$AA$2))),INDIRECT("'["&amp;G63&amp;"]"&amp;E63&amp;"'!"&amp;$AA$3),0)</f>
        <v>#VALUE!</v>
      </c>
      <c r="P63" s="34" t="e" cm="1">
        <f t="array" aca="1" ref="P63" ca="1">IF(AND(G63=INDIRECT("'["&amp;G63&amp;"]"&amp;E63&amp;"'!"&amp;$AH$2),OR(VALUE(I63)=INDIRECT("'["&amp;G63&amp;"]"&amp;E63&amp;"'!"&amp;$AB$2))),INDIRECT("'["&amp;G63&amp;"]"&amp;E63&amp;"'!"&amp;$AB$3),0)</f>
        <v>#VALUE!</v>
      </c>
      <c r="Q63" s="34" t="e" cm="1">
        <f t="array" aca="1" ref="Q63" ca="1">IF(AND(G63=INDIRECT("'["&amp;G63&amp;"]"&amp;E63&amp;"'!"&amp;$AH$2),OR(VALUE(I63)=INDIRECT("'["&amp;G63&amp;"]"&amp;E63&amp;"'!"&amp;$AC$2))),INDIRECT("'["&amp;G63&amp;"]"&amp;E63&amp;"'!"&amp;$AC$3),0)</f>
        <v>#VALUE!</v>
      </c>
      <c r="R63" s="34" t="e" cm="1">
        <f t="array" aca="1" ref="R63" ca="1">IF(AND(G63=INDIRECT("'["&amp;G63&amp;"]"&amp;E63&amp;"'!"&amp;$AH$2),OR(I63=INDIRECT("'["&amp;G63&amp;"]"&amp;E63&amp;"'!"&amp;$AD$2))),INDIRECT("'["&amp;G63&amp;"]"&amp;E63&amp;"'!"&amp;$AD$3),0)</f>
        <v>#VALUE!</v>
      </c>
      <c r="S63" s="34" t="e" cm="1">
        <f t="array" aca="1" ref="S63" ca="1">IF(AND(G63=INDIRECT("'["&amp;G63&amp;"]"&amp;E63&amp;"'!"&amp;$AH$2),OR(I63=INDIRECT("'["&amp;G63&amp;"]"&amp;E63&amp;"'!"&amp;$AE$2))),INDIRECT("'["&amp;G63&amp;"]"&amp;E63&amp;"'!"&amp;$AE$3),0)</f>
        <v>#VALUE!</v>
      </c>
      <c r="T63" s="35" t="e" cm="1">
        <f t="array" aca="1" ref="T63" ca="1">IF(AND(G63=INDIRECT("'["&amp;G63&amp;"]"&amp;E63&amp;"'!"&amp;$AH$2),OR(I63=INDIRECT("'["&amp;G63&amp;"]"&amp;E63&amp;"'!"&amp;$AF$2))),INDIRECT("'["&amp;G63&amp;"]"&amp;E63&amp;"'!"&amp;$AF$3),0)</f>
        <v>#VALUE!</v>
      </c>
      <c r="U63" s="34" t="e" cm="1">
        <f t="array" aca="1" ref="U63" ca="1">IF(AND(G63=INDIRECT("'["&amp;G63&amp;"]"&amp;E63&amp;"'!"&amp;$AH$2),OR(I63=INDIRECT("'["&amp;G63&amp;"]"&amp;E63&amp;"'!"&amp;$AG$2))),INDIRECT("'["&amp;G63&amp;"]"&amp;E63&amp;"'!"&amp;$AG$3),0)</f>
        <v>#VALUE!</v>
      </c>
      <c r="V63" s="25" t="str">
        <f t="shared" si="25"/>
        <v/>
      </c>
      <c r="W63" s="36" t="e" cm="1">
        <f t="array" aca="1" ref="W63" ca="1">IF(AND(G63=INDIRECT("'["&amp;G63&amp;"]"&amp;E63&amp;"'!"&amp;$AH$2),OR(V63=INDIRECT("'["&amp;G63&amp;"]"&amp;E63&amp;"'!"&amp;$AI$2))),INDIRECT("'["&amp;G63&amp;"]"&amp;E63&amp;"'!"&amp;$AI$3),0)</f>
        <v>#VALUE!</v>
      </c>
      <c r="AJ63" s="25">
        <v>1</v>
      </c>
      <c r="AK63" s="38">
        <f t="shared" ca="1" si="5"/>
        <v>0</v>
      </c>
      <c r="AL63" s="38">
        <f t="shared" ca="1" si="12"/>
        <v>0</v>
      </c>
      <c r="AM63" s="54" t="str">
        <f t="shared" ca="1" si="6"/>
        <v/>
      </c>
      <c r="AN63" s="25" t="e">
        <f t="shared" ca="1" si="13"/>
        <v>#VALUE!</v>
      </c>
      <c r="AO63" s="25" t="e">
        <f t="shared" ca="1" si="14"/>
        <v>#VALUE!</v>
      </c>
      <c r="AP63" s="39" t="str">
        <f t="shared" ca="1" si="7"/>
        <v/>
      </c>
      <c r="AQ63" s="46" t="str">
        <f ca="1">IF(AND(C63&lt;&gt;0, C64=0), SUM($C$2:C63)-SUM($AQ$1:AQ62), "")</f>
        <v/>
      </c>
      <c r="AR63" s="46" t="str">
        <f ca="1">IF(AND(AK63&lt;&gt;0, AK64=0), SUM($AK$2:AK63)-SUM($AR$1:AR62), "")</f>
        <v/>
      </c>
    </row>
    <row r="64" spans="1:44" ht="13.15" customHeight="1">
      <c r="A64" s="31"/>
      <c r="B64" s="68" t="str">
        <f t="shared" si="16"/>
        <v/>
      </c>
      <c r="C64" s="55" cm="1">
        <f t="array" aca="1" ref="C64" ca="1">SUM(IF(ISNUMBER(M64:U64),M64:U64,""))</f>
        <v>0</v>
      </c>
      <c r="D64" s="25" t="str">
        <f t="shared" si="17"/>
        <v/>
      </c>
      <c r="E64" s="25" t="e">
        <f t="shared" si="18"/>
        <v>#VALUE!</v>
      </c>
      <c r="F64" s="25" t="str">
        <f t="shared" si="19"/>
        <v/>
      </c>
      <c r="G64" s="25" t="str">
        <f t="shared" si="20"/>
        <v>.xlsx</v>
      </c>
      <c r="H64" s="29" t="e" cm="1">
        <f t="array" aca="1" ref="H64" ca="1">IF(AND(VALUE(E64)=INDIRECT("'["&amp;G64&amp;"]"&amp;E64&amp;"'!"&amp;$X$2),G64=INDIRECT("'["&amp;G64&amp;"]"&amp;E64&amp;"'!"&amp;$X$3)),INDIRECT("'["&amp;G64&amp;"]"&amp;E64&amp;"'!"&amp;$X$1),0)</f>
        <v>#VALUE!</v>
      </c>
      <c r="I64" s="25" t="str">
        <f t="shared" si="21"/>
        <v/>
      </c>
      <c r="J64" s="32" t="str">
        <f t="shared" si="22"/>
        <v/>
      </c>
      <c r="K64" s="25" t="str">
        <f t="shared" si="23"/>
        <v/>
      </c>
      <c r="L64" s="25" t="str">
        <f t="shared" si="24"/>
        <v/>
      </c>
      <c r="M64" s="33" t="e" cm="1">
        <f t="array" aca="1" ref="M64" ca="1">IF(AND(J64=INDIRECT("'["&amp;G64&amp;"]"&amp;E64&amp;"'!"&amp;$Y$2),G64=INDIRECT("'["&amp;G64&amp;"]"&amp;E64&amp;"'!"&amp;$AH$2)),INDIRECT("'["&amp;G64&amp;"]"&amp;E64&amp;"'!"&amp;$Y$3),0)</f>
        <v>#VALUE!</v>
      </c>
      <c r="N64" s="34" t="e" cm="1">
        <f t="array" aca="1" ref="N64" ca="1">IF(AND(G64=INDIRECT("'["&amp;G64&amp;"]"&amp;E64&amp;"'!"&amp;$AH$2),OR(K64=INDIRECT("'["&amp;G64&amp;"]"&amp;E64&amp;"'!"&amp;$Z$2))),INDIRECT("'["&amp;G64&amp;"]"&amp;E64&amp;"'!"&amp;$Z$3),0)</f>
        <v>#VALUE!</v>
      </c>
      <c r="O64" s="34" t="e" cm="1">
        <f t="array" aca="1" ref="O64" ca="1">IF(AND(G64=INDIRECT("'["&amp;G64&amp;"]"&amp;E64&amp;"'!"&amp;$AH$2),OR(L64=INDIRECT("'["&amp;G64&amp;"]"&amp;E64&amp;"'!"&amp;$AA$2))),INDIRECT("'["&amp;G64&amp;"]"&amp;E64&amp;"'!"&amp;$AA$3),0)</f>
        <v>#VALUE!</v>
      </c>
      <c r="P64" s="34" t="e" cm="1">
        <f t="array" aca="1" ref="P64" ca="1">IF(AND(G64=INDIRECT("'["&amp;G64&amp;"]"&amp;E64&amp;"'!"&amp;$AH$2),OR(VALUE(I64)=INDIRECT("'["&amp;G64&amp;"]"&amp;E64&amp;"'!"&amp;$AB$2))),INDIRECT("'["&amp;G64&amp;"]"&amp;E64&amp;"'!"&amp;$AB$3),0)</f>
        <v>#VALUE!</v>
      </c>
      <c r="Q64" s="34" t="e" cm="1">
        <f t="array" aca="1" ref="Q64" ca="1">IF(AND(G64=INDIRECT("'["&amp;G64&amp;"]"&amp;E64&amp;"'!"&amp;$AH$2),OR(VALUE(I64)=INDIRECT("'["&amp;G64&amp;"]"&amp;E64&amp;"'!"&amp;$AC$2))),INDIRECT("'["&amp;G64&amp;"]"&amp;E64&amp;"'!"&amp;$AC$3),0)</f>
        <v>#VALUE!</v>
      </c>
      <c r="R64" s="34" t="e" cm="1">
        <f t="array" aca="1" ref="R64" ca="1">IF(AND(G64=INDIRECT("'["&amp;G64&amp;"]"&amp;E64&amp;"'!"&amp;$AH$2),OR(I64=INDIRECT("'["&amp;G64&amp;"]"&amp;E64&amp;"'!"&amp;$AD$2))),INDIRECT("'["&amp;G64&amp;"]"&amp;E64&amp;"'!"&amp;$AD$3),0)</f>
        <v>#VALUE!</v>
      </c>
      <c r="S64" s="34" t="e" cm="1">
        <f t="array" aca="1" ref="S64" ca="1">IF(AND(G64=INDIRECT("'["&amp;G64&amp;"]"&amp;E64&amp;"'!"&amp;$AH$2),OR(I64=INDIRECT("'["&amp;G64&amp;"]"&amp;E64&amp;"'!"&amp;$AE$2))),INDIRECT("'["&amp;G64&amp;"]"&amp;E64&amp;"'!"&amp;$AE$3),0)</f>
        <v>#VALUE!</v>
      </c>
      <c r="T64" s="35" t="e" cm="1">
        <f t="array" aca="1" ref="T64" ca="1">IF(AND(G64=INDIRECT("'["&amp;G64&amp;"]"&amp;E64&amp;"'!"&amp;$AH$2),OR(I64=INDIRECT("'["&amp;G64&amp;"]"&amp;E64&amp;"'!"&amp;$AF$2))),INDIRECT("'["&amp;G64&amp;"]"&amp;E64&amp;"'!"&amp;$AF$3),0)</f>
        <v>#VALUE!</v>
      </c>
      <c r="U64" s="34" t="e" cm="1">
        <f t="array" aca="1" ref="U64" ca="1">IF(AND(G64=INDIRECT("'["&amp;G64&amp;"]"&amp;E64&amp;"'!"&amp;$AH$2),OR(I64=INDIRECT("'["&amp;G64&amp;"]"&amp;E64&amp;"'!"&amp;$AG$2))),INDIRECT("'["&amp;G64&amp;"]"&amp;E64&amp;"'!"&amp;$AG$3),0)</f>
        <v>#VALUE!</v>
      </c>
      <c r="V64" s="25" t="str">
        <f t="shared" si="25"/>
        <v/>
      </c>
      <c r="W64" s="36" t="e" cm="1">
        <f t="array" aca="1" ref="W64" ca="1">IF(AND(G64=INDIRECT("'["&amp;G64&amp;"]"&amp;E64&amp;"'!"&amp;$AH$2),OR(V64=INDIRECT("'["&amp;G64&amp;"]"&amp;E64&amp;"'!"&amp;$AI$2))),INDIRECT("'["&amp;G64&amp;"]"&amp;E64&amp;"'!"&amp;$AI$3),0)</f>
        <v>#VALUE!</v>
      </c>
      <c r="AJ64" s="25">
        <v>1</v>
      </c>
      <c r="AK64" s="38">
        <f t="shared" ca="1" si="5"/>
        <v>0</v>
      </c>
      <c r="AL64" s="38">
        <f t="shared" ca="1" si="12"/>
        <v>0</v>
      </c>
      <c r="AM64" s="54" t="str">
        <f t="shared" ca="1" si="6"/>
        <v/>
      </c>
      <c r="AN64" s="25" t="e">
        <f t="shared" ca="1" si="13"/>
        <v>#VALUE!</v>
      </c>
      <c r="AO64" s="25" t="e">
        <f t="shared" ca="1" si="14"/>
        <v>#VALUE!</v>
      </c>
      <c r="AP64" s="39" t="str">
        <f t="shared" ca="1" si="7"/>
        <v/>
      </c>
      <c r="AQ64" s="46" t="str">
        <f ca="1">IF(AND(C64&lt;&gt;0, C65=0), SUM($C$2:C64)-SUM($AQ$1:AQ63), "")</f>
        <v/>
      </c>
      <c r="AR64" s="46" t="str">
        <f ca="1">IF(AND(AK64&lt;&gt;0, AK65=0), SUM($AK$2:AK64)-SUM($AR$1:AR63), "")</f>
        <v/>
      </c>
    </row>
    <row r="65" spans="1:44" ht="13.15" customHeight="1">
      <c r="A65" s="31"/>
      <c r="B65" s="68" t="str">
        <f t="shared" si="16"/>
        <v/>
      </c>
      <c r="C65" s="55" cm="1">
        <f t="array" aca="1" ref="C65" ca="1">SUM(IF(ISNUMBER(M65:U65),M65:U65,""))</f>
        <v>0</v>
      </c>
      <c r="D65" s="25" t="str">
        <f t="shared" si="17"/>
        <v/>
      </c>
      <c r="E65" s="25" t="e">
        <f t="shared" si="18"/>
        <v>#VALUE!</v>
      </c>
      <c r="F65" s="25" t="str">
        <f t="shared" si="19"/>
        <v/>
      </c>
      <c r="G65" s="25" t="str">
        <f t="shared" si="20"/>
        <v>.xlsx</v>
      </c>
      <c r="H65" s="29" t="e" cm="1">
        <f t="array" aca="1" ref="H65" ca="1">IF(AND(VALUE(E65)=INDIRECT("'["&amp;G65&amp;"]"&amp;E65&amp;"'!"&amp;$X$2),G65=INDIRECT("'["&amp;G65&amp;"]"&amp;E65&amp;"'!"&amp;$X$3)),INDIRECT("'["&amp;G65&amp;"]"&amp;E65&amp;"'!"&amp;$X$1),0)</f>
        <v>#VALUE!</v>
      </c>
      <c r="I65" s="25" t="str">
        <f t="shared" si="21"/>
        <v/>
      </c>
      <c r="J65" s="32" t="str">
        <f t="shared" si="22"/>
        <v/>
      </c>
      <c r="K65" s="25" t="str">
        <f t="shared" si="23"/>
        <v/>
      </c>
      <c r="L65" s="25" t="str">
        <f t="shared" si="24"/>
        <v/>
      </c>
      <c r="M65" s="33" t="e" cm="1">
        <f t="array" aca="1" ref="M65" ca="1">IF(AND(J65=INDIRECT("'["&amp;G65&amp;"]"&amp;E65&amp;"'!"&amp;$Y$2),G65=INDIRECT("'["&amp;G65&amp;"]"&amp;E65&amp;"'!"&amp;$AH$2)),INDIRECT("'["&amp;G65&amp;"]"&amp;E65&amp;"'!"&amp;$Y$3),0)</f>
        <v>#VALUE!</v>
      </c>
      <c r="N65" s="34" t="e" cm="1">
        <f t="array" aca="1" ref="N65" ca="1">IF(AND(G65=INDIRECT("'["&amp;G65&amp;"]"&amp;E65&amp;"'!"&amp;$AH$2),OR(K65=INDIRECT("'["&amp;G65&amp;"]"&amp;E65&amp;"'!"&amp;$Z$2))),INDIRECT("'["&amp;G65&amp;"]"&amp;E65&amp;"'!"&amp;$Z$3),0)</f>
        <v>#VALUE!</v>
      </c>
      <c r="O65" s="34" t="e" cm="1">
        <f t="array" aca="1" ref="O65" ca="1">IF(AND(G65=INDIRECT("'["&amp;G65&amp;"]"&amp;E65&amp;"'!"&amp;$AH$2),OR(L65=INDIRECT("'["&amp;G65&amp;"]"&amp;E65&amp;"'!"&amp;$AA$2))),INDIRECT("'["&amp;G65&amp;"]"&amp;E65&amp;"'!"&amp;$AA$3),0)</f>
        <v>#VALUE!</v>
      </c>
      <c r="P65" s="34" t="e" cm="1">
        <f t="array" aca="1" ref="P65" ca="1">IF(AND(G65=INDIRECT("'["&amp;G65&amp;"]"&amp;E65&amp;"'!"&amp;$AH$2),OR(VALUE(I65)=INDIRECT("'["&amp;G65&amp;"]"&amp;E65&amp;"'!"&amp;$AB$2))),INDIRECT("'["&amp;G65&amp;"]"&amp;E65&amp;"'!"&amp;$AB$3),0)</f>
        <v>#VALUE!</v>
      </c>
      <c r="Q65" s="34" t="e" cm="1">
        <f t="array" aca="1" ref="Q65" ca="1">IF(AND(G65=INDIRECT("'["&amp;G65&amp;"]"&amp;E65&amp;"'!"&amp;$AH$2),OR(VALUE(I65)=INDIRECT("'["&amp;G65&amp;"]"&amp;E65&amp;"'!"&amp;$AC$2))),INDIRECT("'["&amp;G65&amp;"]"&amp;E65&amp;"'!"&amp;$AC$3),0)</f>
        <v>#VALUE!</v>
      </c>
      <c r="R65" s="34" t="e" cm="1">
        <f t="array" aca="1" ref="R65" ca="1">IF(AND(G65=INDIRECT("'["&amp;G65&amp;"]"&amp;E65&amp;"'!"&amp;$AH$2),OR(I65=INDIRECT("'["&amp;G65&amp;"]"&amp;E65&amp;"'!"&amp;$AD$2))),INDIRECT("'["&amp;G65&amp;"]"&amp;E65&amp;"'!"&amp;$AD$3),0)</f>
        <v>#VALUE!</v>
      </c>
      <c r="S65" s="34" t="e" cm="1">
        <f t="array" aca="1" ref="S65" ca="1">IF(AND(G65=INDIRECT("'["&amp;G65&amp;"]"&amp;E65&amp;"'!"&amp;$AH$2),OR(I65=INDIRECT("'["&amp;G65&amp;"]"&amp;E65&amp;"'!"&amp;$AE$2))),INDIRECT("'["&amp;G65&amp;"]"&amp;E65&amp;"'!"&amp;$AE$3),0)</f>
        <v>#VALUE!</v>
      </c>
      <c r="T65" s="35" t="e" cm="1">
        <f t="array" aca="1" ref="T65" ca="1">IF(AND(G65=INDIRECT("'["&amp;G65&amp;"]"&amp;E65&amp;"'!"&amp;$AH$2),OR(I65=INDIRECT("'["&amp;G65&amp;"]"&amp;E65&amp;"'!"&amp;$AF$2))),INDIRECT("'["&amp;G65&amp;"]"&amp;E65&amp;"'!"&amp;$AF$3),0)</f>
        <v>#VALUE!</v>
      </c>
      <c r="U65" s="34" t="e" cm="1">
        <f t="array" aca="1" ref="U65" ca="1">IF(AND(G65=INDIRECT("'["&amp;G65&amp;"]"&amp;E65&amp;"'!"&amp;$AH$2),OR(I65=INDIRECT("'["&amp;G65&amp;"]"&amp;E65&amp;"'!"&amp;$AG$2))),INDIRECT("'["&amp;G65&amp;"]"&amp;E65&amp;"'!"&amp;$AG$3),0)</f>
        <v>#VALUE!</v>
      </c>
      <c r="V65" s="25" t="str">
        <f t="shared" si="25"/>
        <v/>
      </c>
      <c r="W65" s="36" t="e" cm="1">
        <f t="array" aca="1" ref="W65" ca="1">IF(AND(G65=INDIRECT("'["&amp;G65&amp;"]"&amp;E65&amp;"'!"&amp;$AH$2),OR(V65=INDIRECT("'["&amp;G65&amp;"]"&amp;E65&amp;"'!"&amp;$AI$2))),INDIRECT("'["&amp;G65&amp;"]"&amp;E65&amp;"'!"&amp;$AI$3),0)</f>
        <v>#VALUE!</v>
      </c>
      <c r="AJ65" s="25">
        <v>1</v>
      </c>
      <c r="AK65" s="38">
        <f t="shared" ca="1" si="5"/>
        <v>0</v>
      </c>
      <c r="AL65" s="38">
        <f t="shared" ca="1" si="12"/>
        <v>0</v>
      </c>
      <c r="AM65" s="54" t="str">
        <f t="shared" ca="1" si="6"/>
        <v/>
      </c>
      <c r="AN65" s="25" t="e">
        <f t="shared" ca="1" si="13"/>
        <v>#VALUE!</v>
      </c>
      <c r="AO65" s="25" t="e">
        <f t="shared" ca="1" si="14"/>
        <v>#VALUE!</v>
      </c>
      <c r="AP65" s="39" t="str">
        <f t="shared" ca="1" si="7"/>
        <v/>
      </c>
      <c r="AQ65" s="46" t="str">
        <f ca="1">IF(AND(C65&lt;&gt;0, C66=0), SUM($C$2:C65)-SUM($AQ$1:AQ64), "")</f>
        <v/>
      </c>
      <c r="AR65" s="46" t="str">
        <f ca="1">IF(AND(AK65&lt;&gt;0, AK66=0), SUM($AK$2:AK65)-SUM($AR$1:AR64), "")</f>
        <v/>
      </c>
    </row>
    <row r="66" spans="1:44" ht="13.15" customHeight="1">
      <c r="A66" s="31"/>
      <c r="B66" s="68" t="str">
        <f t="shared" si="16"/>
        <v/>
      </c>
      <c r="C66" s="55" cm="1">
        <f t="array" aca="1" ref="C66" ca="1">SUM(IF(ISNUMBER(M66:U66),M66:U66,""))</f>
        <v>0</v>
      </c>
      <c r="D66" s="25" t="str">
        <f t="shared" si="17"/>
        <v/>
      </c>
      <c r="E66" s="25" t="e">
        <f>IF(ISEVEN(D66),D66-1,VALUE(D66))</f>
        <v>#VALUE!</v>
      </c>
      <c r="F66" s="25" t="str">
        <f t="shared" si="19"/>
        <v/>
      </c>
      <c r="G66" s="25" t="str">
        <f t="shared" ref="G66:G129" si="26">CONCATENATE(F66,".xlsx")</f>
        <v>.xlsx</v>
      </c>
      <c r="H66" s="29" t="e" cm="1">
        <f t="array" aca="1" ref="H66" ca="1">IF(AND(VALUE(E66)=INDIRECT("'["&amp;G66&amp;"]"&amp;E66&amp;"'!"&amp;$X$2),G66=INDIRECT("'["&amp;G66&amp;"]"&amp;E66&amp;"'!"&amp;$X$3)),INDIRECT("'["&amp;G66&amp;"]"&amp;E66&amp;"'!"&amp;$X$1),0)</f>
        <v>#VALUE!</v>
      </c>
      <c r="I66" s="25" t="str">
        <f t="shared" si="21"/>
        <v/>
      </c>
      <c r="J66" s="32" t="str">
        <f>RIGHT(I66,2)</f>
        <v/>
      </c>
      <c r="K66" s="25" t="str">
        <f t="shared" si="23"/>
        <v/>
      </c>
      <c r="L66" s="25" t="str">
        <f t="shared" si="24"/>
        <v/>
      </c>
      <c r="M66" s="33" t="e" cm="1">
        <f t="array" aca="1" ref="M66" ca="1">IF(AND(J66=INDIRECT("'["&amp;G66&amp;"]"&amp;E66&amp;"'!"&amp;$Y$2),G66=INDIRECT("'["&amp;G66&amp;"]"&amp;E66&amp;"'!"&amp;$AH$2)),INDIRECT("'["&amp;G66&amp;"]"&amp;E66&amp;"'!"&amp;$Y$3),0)</f>
        <v>#VALUE!</v>
      </c>
      <c r="N66" s="34" t="e" cm="1">
        <f t="array" aca="1" ref="N66" ca="1">IF(AND(G66=INDIRECT("'["&amp;G66&amp;"]"&amp;E66&amp;"'!"&amp;$AH$2),OR(K66=INDIRECT("'["&amp;G66&amp;"]"&amp;E66&amp;"'!"&amp;$Z$2))),INDIRECT("'["&amp;G66&amp;"]"&amp;E66&amp;"'!"&amp;$Z$3),0)</f>
        <v>#VALUE!</v>
      </c>
      <c r="O66" s="34" t="e" cm="1">
        <f t="array" aca="1" ref="O66" ca="1">IF(AND(G66=INDIRECT("'["&amp;G66&amp;"]"&amp;E66&amp;"'!"&amp;$AH$2),OR(L66=INDIRECT("'["&amp;G66&amp;"]"&amp;E66&amp;"'!"&amp;$AA$2))),INDIRECT("'["&amp;G66&amp;"]"&amp;E66&amp;"'!"&amp;$AA$3),0)</f>
        <v>#VALUE!</v>
      </c>
      <c r="P66" s="34" t="e" cm="1">
        <f t="array" aca="1" ref="P66" ca="1">IF(AND(G66=INDIRECT("'["&amp;G66&amp;"]"&amp;E66&amp;"'!"&amp;$AH$2),OR(VALUE(I66)=INDIRECT("'["&amp;G66&amp;"]"&amp;E66&amp;"'!"&amp;$AB$2))),INDIRECT("'["&amp;G66&amp;"]"&amp;E66&amp;"'!"&amp;$AB$3),0)</f>
        <v>#VALUE!</v>
      </c>
      <c r="Q66" s="34" t="e" cm="1">
        <f t="array" aca="1" ref="Q66" ca="1">IF(AND(G66=INDIRECT("'["&amp;G66&amp;"]"&amp;E66&amp;"'!"&amp;$AH$2),OR(VALUE(I66)=INDIRECT("'["&amp;G66&amp;"]"&amp;E66&amp;"'!"&amp;$AC$2))),INDIRECT("'["&amp;G66&amp;"]"&amp;E66&amp;"'!"&amp;$AC$3),0)</f>
        <v>#VALUE!</v>
      </c>
      <c r="R66" s="34" t="e" cm="1">
        <f t="array" aca="1" ref="R66" ca="1">IF(AND(G66=INDIRECT("'["&amp;G66&amp;"]"&amp;E66&amp;"'!"&amp;$AH$2),OR(I66=INDIRECT("'["&amp;G66&amp;"]"&amp;E66&amp;"'!"&amp;$AD$2))),INDIRECT("'["&amp;G66&amp;"]"&amp;E66&amp;"'!"&amp;$AD$3),0)</f>
        <v>#VALUE!</v>
      </c>
      <c r="S66" s="34" t="e" cm="1">
        <f t="array" aca="1" ref="S66" ca="1">IF(AND(G66=INDIRECT("'["&amp;G66&amp;"]"&amp;E66&amp;"'!"&amp;$AH$2),OR(I66=INDIRECT("'["&amp;G66&amp;"]"&amp;E66&amp;"'!"&amp;$AE$2))),INDIRECT("'["&amp;G66&amp;"]"&amp;E66&amp;"'!"&amp;$AE$3),0)</f>
        <v>#VALUE!</v>
      </c>
      <c r="T66" s="35" t="e" cm="1">
        <f t="array" aca="1" ref="T66" ca="1">IF(AND(G66=INDIRECT("'["&amp;G66&amp;"]"&amp;E66&amp;"'!"&amp;$AH$2),OR(I66=INDIRECT("'["&amp;G66&amp;"]"&amp;E66&amp;"'!"&amp;$AF$2))),INDIRECT("'["&amp;G66&amp;"]"&amp;E66&amp;"'!"&amp;$AF$3),0)</f>
        <v>#VALUE!</v>
      </c>
      <c r="U66" s="34" t="e" cm="1">
        <f t="array" aca="1" ref="U66" ca="1">IF(AND(G66=INDIRECT("'["&amp;G66&amp;"]"&amp;E66&amp;"'!"&amp;$AH$2),OR(I66=INDIRECT("'["&amp;G66&amp;"]"&amp;E66&amp;"'!"&amp;$AG$2))),INDIRECT("'["&amp;G66&amp;"]"&amp;E66&amp;"'!"&amp;$AG$3),0)</f>
        <v>#VALUE!</v>
      </c>
      <c r="V66" s="25" t="str">
        <f t="shared" si="25"/>
        <v/>
      </c>
      <c r="W66" s="36" t="e" cm="1">
        <f t="array" aca="1" ref="W66" ca="1">IF(AND(G66=INDIRECT("'["&amp;G66&amp;"]"&amp;E66&amp;"'!"&amp;$AH$2),OR(V66=INDIRECT("'["&amp;G66&amp;"]"&amp;E66&amp;"'!"&amp;$AI$2))),INDIRECT("'["&amp;G66&amp;"]"&amp;E66&amp;"'!"&amp;$AI$3),0)</f>
        <v>#VALUE!</v>
      </c>
      <c r="AJ66" s="25">
        <v>1</v>
      </c>
      <c r="AK66" s="38">
        <f t="shared" ca="1" si="5"/>
        <v>0</v>
      </c>
      <c r="AL66" s="38">
        <f t="shared" ca="1" si="12"/>
        <v>0</v>
      </c>
      <c r="AM66" s="54" t="str">
        <f t="shared" ref="AM66:AM129" ca="1" si="27">IF(A66&lt;&gt;"",IF(AM66="",NOW(),AM66),"")</f>
        <v/>
      </c>
      <c r="AN66" s="25" t="e">
        <f t="shared" ca="1" si="13"/>
        <v>#VALUE!</v>
      </c>
      <c r="AO66" s="25" t="e">
        <f t="shared" ca="1" si="14"/>
        <v>#VALUE!</v>
      </c>
      <c r="AP66" s="39" t="str">
        <f t="shared" ref="AP66:AP129" ca="1" si="28">IF(ISTEXT(W66),"อายัด","")</f>
        <v/>
      </c>
      <c r="AQ66" s="46" t="str">
        <f ca="1">IF(AND(C66&lt;&gt;0, C67=0), SUM($C$2:C66)-SUM($AQ$1:AQ65), "")</f>
        <v/>
      </c>
      <c r="AR66" s="46" t="str">
        <f ca="1">IF(AND(AK66&lt;&gt;0, AK67=0), SUM($AK$2:AK66)-SUM($AR$1:AR65), "")</f>
        <v/>
      </c>
    </row>
    <row r="67" spans="1:44" ht="13.15" customHeight="1">
      <c r="A67" s="31"/>
      <c r="B67" s="68" t="str">
        <f t="shared" si="16"/>
        <v/>
      </c>
      <c r="C67" s="55" cm="1">
        <f t="array" aca="1" ref="C67" ca="1">SUM(IF(ISNUMBER(M67:U67),M67:U67,""))</f>
        <v>0</v>
      </c>
      <c r="D67" s="25" t="str">
        <f t="shared" si="17"/>
        <v/>
      </c>
      <c r="E67" s="25" t="e">
        <f t="shared" ref="E67:E130" si="29">IF(ISEVEN(D67),D67-1,VALUE(D67))</f>
        <v>#VALUE!</v>
      </c>
      <c r="F67" s="25" t="str">
        <f t="shared" si="19"/>
        <v/>
      </c>
      <c r="G67" s="25" t="str">
        <f t="shared" si="26"/>
        <v>.xlsx</v>
      </c>
      <c r="H67" s="29" t="e" cm="1">
        <f t="array" aca="1" ref="H67" ca="1">IF(AND(VALUE(E67)=INDIRECT("'["&amp;G67&amp;"]"&amp;E67&amp;"'!"&amp;$X$2),G67=INDIRECT("'["&amp;G67&amp;"]"&amp;E67&amp;"'!"&amp;$X$3)),INDIRECT("'["&amp;G67&amp;"]"&amp;E67&amp;"'!"&amp;$X$1),0)</f>
        <v>#VALUE!</v>
      </c>
      <c r="I67" s="25" t="str">
        <f t="shared" ref="I67:I130" si="30">MID(A67,10,6)</f>
        <v/>
      </c>
      <c r="J67" s="32" t="str">
        <f t="shared" ref="J67:J130" si="31">RIGHT(I67,2)</f>
        <v/>
      </c>
      <c r="K67" s="25" t="str">
        <f t="shared" ref="K67:K130" si="32">LEFT(I67,3)</f>
        <v/>
      </c>
      <c r="L67" s="25" t="str">
        <f t="shared" ref="L67:L130" si="33">RIGHT(I67,3)</f>
        <v/>
      </c>
      <c r="M67" s="33" t="e" cm="1">
        <f t="array" aca="1" ref="M67" ca="1">IF(AND(J67=INDIRECT("'["&amp;G67&amp;"]"&amp;E67&amp;"'!"&amp;$Y$2),G67=INDIRECT("'["&amp;G67&amp;"]"&amp;E67&amp;"'!"&amp;$AH$2)),INDIRECT("'["&amp;G67&amp;"]"&amp;E67&amp;"'!"&amp;$Y$3),0)</f>
        <v>#VALUE!</v>
      </c>
      <c r="N67" s="34" t="e" cm="1">
        <f t="array" aca="1" ref="N67" ca="1">IF(AND(G67=INDIRECT("'["&amp;G67&amp;"]"&amp;E67&amp;"'!"&amp;$AH$2),OR(K67=INDIRECT("'["&amp;G67&amp;"]"&amp;E67&amp;"'!"&amp;$Z$2))),INDIRECT("'["&amp;G67&amp;"]"&amp;E67&amp;"'!"&amp;$Z$3),0)</f>
        <v>#VALUE!</v>
      </c>
      <c r="O67" s="34" t="e" cm="1">
        <f t="array" aca="1" ref="O67" ca="1">IF(AND(G67=INDIRECT("'["&amp;G67&amp;"]"&amp;E67&amp;"'!"&amp;$AH$2),OR(L67=INDIRECT("'["&amp;G67&amp;"]"&amp;E67&amp;"'!"&amp;$AA$2))),INDIRECT("'["&amp;G67&amp;"]"&amp;E67&amp;"'!"&amp;$AA$3),0)</f>
        <v>#VALUE!</v>
      </c>
      <c r="P67" s="34" t="e" cm="1">
        <f t="array" aca="1" ref="P67" ca="1">IF(AND(G67=INDIRECT("'["&amp;G67&amp;"]"&amp;E67&amp;"'!"&amp;$AH$2),OR(VALUE(I67)=INDIRECT("'["&amp;G67&amp;"]"&amp;E67&amp;"'!"&amp;$AB$2))),INDIRECT("'["&amp;G67&amp;"]"&amp;E67&amp;"'!"&amp;$AB$3),0)</f>
        <v>#VALUE!</v>
      </c>
      <c r="Q67" s="34" t="e" cm="1">
        <f t="array" aca="1" ref="Q67" ca="1">IF(AND(G67=INDIRECT("'["&amp;G67&amp;"]"&amp;E67&amp;"'!"&amp;$AH$2),OR(VALUE(I67)=INDIRECT("'["&amp;G67&amp;"]"&amp;E67&amp;"'!"&amp;$AC$2))),INDIRECT("'["&amp;G67&amp;"]"&amp;E67&amp;"'!"&amp;$AC$3),0)</f>
        <v>#VALUE!</v>
      </c>
      <c r="R67" s="34" t="e" cm="1">
        <f t="array" aca="1" ref="R67" ca="1">IF(AND(G67=INDIRECT("'["&amp;G67&amp;"]"&amp;E67&amp;"'!"&amp;$AH$2),OR(I67=INDIRECT("'["&amp;G67&amp;"]"&amp;E67&amp;"'!"&amp;$AD$2))),INDIRECT("'["&amp;G67&amp;"]"&amp;E67&amp;"'!"&amp;$AD$3),0)</f>
        <v>#VALUE!</v>
      </c>
      <c r="S67" s="34" t="e" cm="1">
        <f t="array" aca="1" ref="S67" ca="1">IF(AND(G67=INDIRECT("'["&amp;G67&amp;"]"&amp;E67&amp;"'!"&amp;$AH$2),OR(I67=INDIRECT("'["&amp;G67&amp;"]"&amp;E67&amp;"'!"&amp;$AE$2))),INDIRECT("'["&amp;G67&amp;"]"&amp;E67&amp;"'!"&amp;$AE$3),0)</f>
        <v>#VALUE!</v>
      </c>
      <c r="T67" s="35" t="e" cm="1">
        <f t="array" aca="1" ref="T67" ca="1">IF(AND(G67=INDIRECT("'["&amp;G67&amp;"]"&amp;E67&amp;"'!"&amp;$AH$2),OR(I67=INDIRECT("'["&amp;G67&amp;"]"&amp;E67&amp;"'!"&amp;$AF$2))),INDIRECT("'["&amp;G67&amp;"]"&amp;E67&amp;"'!"&amp;$AF$3),0)</f>
        <v>#VALUE!</v>
      </c>
      <c r="U67" s="34" t="e" cm="1">
        <f t="array" aca="1" ref="U67" ca="1">IF(AND(G67=INDIRECT("'["&amp;G67&amp;"]"&amp;E67&amp;"'!"&amp;$AH$2),OR(I67=INDIRECT("'["&amp;G67&amp;"]"&amp;E67&amp;"'!"&amp;$AG$2))),INDIRECT("'["&amp;G67&amp;"]"&amp;E67&amp;"'!"&amp;$AG$3),0)</f>
        <v>#VALUE!</v>
      </c>
      <c r="V67" s="25" t="str">
        <f t="shared" ref="V67:V130" si="34">MID(B67,7,9)</f>
        <v/>
      </c>
      <c r="W67" s="36" t="e" cm="1">
        <f t="array" aca="1" ref="W67" ca="1">IF(AND(G67=INDIRECT("'["&amp;G67&amp;"]"&amp;E67&amp;"'!"&amp;$AH$2),OR(V67=INDIRECT("'["&amp;G67&amp;"]"&amp;E67&amp;"'!"&amp;$AI$2))),INDIRECT("'["&amp;G67&amp;"]"&amp;E67&amp;"'!"&amp;$AI$3),0)</f>
        <v>#VALUE!</v>
      </c>
      <c r="AJ67" s="25">
        <v>1</v>
      </c>
      <c r="AK67" s="38">
        <f t="shared" ref="AK67:AK130" ca="1" si="35">(C67*AJ67%)</f>
        <v>0</v>
      </c>
      <c r="AL67" s="38">
        <f t="shared" ref="AL67:AL130" ca="1" si="36">C67-AK67</f>
        <v>0</v>
      </c>
      <c r="AM67" s="54" t="str">
        <f t="shared" ca="1" si="27"/>
        <v/>
      </c>
      <c r="AN67" s="25" t="e">
        <f t="shared" ref="AN67:AN130" ca="1" si="37">IF(VALUE(N67),"/","")</f>
        <v>#VALUE!</v>
      </c>
      <c r="AO67" s="25" t="e">
        <f t="shared" ref="AO67:AO130" ca="1" si="38">IF(VALUE(O67),"/","")</f>
        <v>#VALUE!</v>
      </c>
      <c r="AP67" s="39" t="str">
        <f t="shared" ca="1" si="28"/>
        <v/>
      </c>
      <c r="AQ67" s="46" t="str">
        <f ca="1">IF(AND(C67&lt;&gt;0, C68=0), SUM($C$2:C67)-SUM($AQ$1:AQ66), "")</f>
        <v/>
      </c>
      <c r="AR67" s="46" t="str">
        <f ca="1">IF(AND(AK67&lt;&gt;0, AK68=0), SUM($AK$2:AK67)-SUM($AR$1:AR66), "")</f>
        <v/>
      </c>
    </row>
    <row r="68" spans="1:44" ht="13.15" customHeight="1">
      <c r="A68" s="31"/>
      <c r="B68" s="68" t="str">
        <f t="shared" si="16"/>
        <v/>
      </c>
      <c r="C68" s="55" cm="1">
        <f t="array" aca="1" ref="C68" ca="1">SUM(IF(ISNUMBER(M68:U68),M68:U68,""))</f>
        <v>0</v>
      </c>
      <c r="D68" s="25" t="str">
        <f t="shared" si="17"/>
        <v/>
      </c>
      <c r="E68" s="25" t="e">
        <f t="shared" si="29"/>
        <v>#VALUE!</v>
      </c>
      <c r="F68" s="25" t="str">
        <f t="shared" si="19"/>
        <v/>
      </c>
      <c r="G68" s="25" t="str">
        <f t="shared" si="26"/>
        <v>.xlsx</v>
      </c>
      <c r="H68" s="29" t="e" cm="1">
        <f t="array" aca="1" ref="H68" ca="1">IF(AND(VALUE(E68)=INDIRECT("'["&amp;G68&amp;"]"&amp;E68&amp;"'!"&amp;$X$2),G68=INDIRECT("'["&amp;G68&amp;"]"&amp;E68&amp;"'!"&amp;$X$3)),INDIRECT("'["&amp;G68&amp;"]"&amp;E68&amp;"'!"&amp;$X$1),0)</f>
        <v>#VALUE!</v>
      </c>
      <c r="I68" s="25" t="str">
        <f t="shared" si="30"/>
        <v/>
      </c>
      <c r="J68" s="32" t="str">
        <f t="shared" si="31"/>
        <v/>
      </c>
      <c r="K68" s="25" t="str">
        <f t="shared" si="32"/>
        <v/>
      </c>
      <c r="L68" s="25" t="str">
        <f t="shared" si="33"/>
        <v/>
      </c>
      <c r="M68" s="33" t="e" cm="1">
        <f t="array" aca="1" ref="M68" ca="1">IF(AND(J68=INDIRECT("'["&amp;G68&amp;"]"&amp;E68&amp;"'!"&amp;$Y$2),G68=INDIRECT("'["&amp;G68&amp;"]"&amp;E68&amp;"'!"&amp;$AH$2)),INDIRECT("'["&amp;G68&amp;"]"&amp;E68&amp;"'!"&amp;$Y$3),0)</f>
        <v>#VALUE!</v>
      </c>
      <c r="N68" s="34" t="e" cm="1">
        <f t="array" aca="1" ref="N68" ca="1">IF(AND(G68=INDIRECT("'["&amp;G68&amp;"]"&amp;E68&amp;"'!"&amp;$AH$2),OR(K68=INDIRECT("'["&amp;G68&amp;"]"&amp;E68&amp;"'!"&amp;$Z$2))),INDIRECT("'["&amp;G68&amp;"]"&amp;E68&amp;"'!"&amp;$Z$3),0)</f>
        <v>#VALUE!</v>
      </c>
      <c r="O68" s="34" t="e" cm="1">
        <f t="array" aca="1" ref="O68" ca="1">IF(AND(G68=INDIRECT("'["&amp;G68&amp;"]"&amp;E68&amp;"'!"&amp;$AH$2),OR(L68=INDIRECT("'["&amp;G68&amp;"]"&amp;E68&amp;"'!"&amp;$AA$2))),INDIRECT("'["&amp;G68&amp;"]"&amp;E68&amp;"'!"&amp;$AA$3),0)</f>
        <v>#VALUE!</v>
      </c>
      <c r="P68" s="34" t="e" cm="1">
        <f t="array" aca="1" ref="P68" ca="1">IF(AND(G68=INDIRECT("'["&amp;G68&amp;"]"&amp;E68&amp;"'!"&amp;$AH$2),OR(VALUE(I68)=INDIRECT("'["&amp;G68&amp;"]"&amp;E68&amp;"'!"&amp;$AB$2))),INDIRECT("'["&amp;G68&amp;"]"&amp;E68&amp;"'!"&amp;$AB$3),0)</f>
        <v>#VALUE!</v>
      </c>
      <c r="Q68" s="34" t="e" cm="1">
        <f t="array" aca="1" ref="Q68" ca="1">IF(AND(G68=INDIRECT("'["&amp;G68&amp;"]"&amp;E68&amp;"'!"&amp;$AH$2),OR(VALUE(I68)=INDIRECT("'["&amp;G68&amp;"]"&amp;E68&amp;"'!"&amp;$AC$2))),INDIRECT("'["&amp;G68&amp;"]"&amp;E68&amp;"'!"&amp;$AC$3),0)</f>
        <v>#VALUE!</v>
      </c>
      <c r="R68" s="34" t="e" cm="1">
        <f t="array" aca="1" ref="R68" ca="1">IF(AND(G68=INDIRECT("'["&amp;G68&amp;"]"&amp;E68&amp;"'!"&amp;$AH$2),OR(I68=INDIRECT("'["&amp;G68&amp;"]"&amp;E68&amp;"'!"&amp;$AD$2))),INDIRECT("'["&amp;G68&amp;"]"&amp;E68&amp;"'!"&amp;$AD$3),0)</f>
        <v>#VALUE!</v>
      </c>
      <c r="S68" s="34" t="e" cm="1">
        <f t="array" aca="1" ref="S68" ca="1">IF(AND(G68=INDIRECT("'["&amp;G68&amp;"]"&amp;E68&amp;"'!"&amp;$AH$2),OR(I68=INDIRECT("'["&amp;G68&amp;"]"&amp;E68&amp;"'!"&amp;$AE$2))),INDIRECT("'["&amp;G68&amp;"]"&amp;E68&amp;"'!"&amp;$AE$3),0)</f>
        <v>#VALUE!</v>
      </c>
      <c r="T68" s="35" t="e" cm="1">
        <f t="array" aca="1" ref="T68" ca="1">IF(AND(G68=INDIRECT("'["&amp;G68&amp;"]"&amp;E68&amp;"'!"&amp;$AH$2),OR(I68=INDIRECT("'["&amp;G68&amp;"]"&amp;E68&amp;"'!"&amp;$AF$2))),INDIRECT("'["&amp;G68&amp;"]"&amp;E68&amp;"'!"&amp;$AF$3),0)</f>
        <v>#VALUE!</v>
      </c>
      <c r="U68" s="34" t="e" cm="1">
        <f t="array" aca="1" ref="U68" ca="1">IF(AND(G68=INDIRECT("'["&amp;G68&amp;"]"&amp;E68&amp;"'!"&amp;$AH$2),OR(I68=INDIRECT("'["&amp;G68&amp;"]"&amp;E68&amp;"'!"&amp;$AG$2))),INDIRECT("'["&amp;G68&amp;"]"&amp;E68&amp;"'!"&amp;$AG$3),0)</f>
        <v>#VALUE!</v>
      </c>
      <c r="V68" s="25" t="str">
        <f t="shared" si="34"/>
        <v/>
      </c>
      <c r="W68" s="36" t="e" cm="1">
        <f t="array" aca="1" ref="W68" ca="1">IF(AND(G68=INDIRECT("'["&amp;G68&amp;"]"&amp;E68&amp;"'!"&amp;$AH$2),OR(V68=INDIRECT("'["&amp;G68&amp;"]"&amp;E68&amp;"'!"&amp;$AI$2))),INDIRECT("'["&amp;G68&amp;"]"&amp;E68&amp;"'!"&amp;$AI$3),0)</f>
        <v>#VALUE!</v>
      </c>
      <c r="AJ68" s="25">
        <v>1</v>
      </c>
      <c r="AK68" s="38">
        <f t="shared" ca="1" si="35"/>
        <v>0</v>
      </c>
      <c r="AL68" s="38">
        <f t="shared" ca="1" si="36"/>
        <v>0</v>
      </c>
      <c r="AM68" s="54" t="str">
        <f t="shared" ca="1" si="27"/>
        <v/>
      </c>
      <c r="AN68" s="25" t="e">
        <f t="shared" ca="1" si="37"/>
        <v>#VALUE!</v>
      </c>
      <c r="AO68" s="25" t="e">
        <f t="shared" ca="1" si="38"/>
        <v>#VALUE!</v>
      </c>
      <c r="AP68" s="39" t="str">
        <f t="shared" ca="1" si="28"/>
        <v/>
      </c>
      <c r="AQ68" s="46" t="str">
        <f ca="1">IF(AND(C68&lt;&gt;0, C69=0), SUM($C$2:C68)-SUM($AQ$1:AQ67), "")</f>
        <v/>
      </c>
      <c r="AR68" s="46" t="str">
        <f ca="1">IF(AND(AK68&lt;&gt;0, AK69=0), SUM($AK$2:AK68)-SUM($AR$1:AR67), "")</f>
        <v/>
      </c>
    </row>
    <row r="69" spans="1:44" ht="13.15" customHeight="1">
      <c r="A69" s="31"/>
      <c r="B69" s="68" t="str">
        <f t="shared" si="16"/>
        <v/>
      </c>
      <c r="C69" s="55" cm="1">
        <f t="array" aca="1" ref="C69" ca="1">SUM(IF(ISNUMBER(M69:U69),M69:U69,""))</f>
        <v>0</v>
      </c>
      <c r="D69" s="25" t="str">
        <f t="shared" si="17"/>
        <v/>
      </c>
      <c r="E69" s="25" t="e">
        <f t="shared" si="29"/>
        <v>#VALUE!</v>
      </c>
      <c r="F69" s="25" t="str">
        <f t="shared" si="19"/>
        <v/>
      </c>
      <c r="G69" s="25" t="str">
        <f t="shared" si="26"/>
        <v>.xlsx</v>
      </c>
      <c r="H69" s="29" t="e" cm="1">
        <f t="array" aca="1" ref="H69" ca="1">IF(AND(VALUE(E69)=INDIRECT("'["&amp;G69&amp;"]"&amp;E69&amp;"'!"&amp;$X$2),G69=INDIRECT("'["&amp;G69&amp;"]"&amp;E69&amp;"'!"&amp;$X$3)),INDIRECT("'["&amp;G69&amp;"]"&amp;E69&amp;"'!"&amp;$X$1),0)</f>
        <v>#VALUE!</v>
      </c>
      <c r="I69" s="25" t="str">
        <f t="shared" si="30"/>
        <v/>
      </c>
      <c r="J69" s="32" t="str">
        <f t="shared" si="31"/>
        <v/>
      </c>
      <c r="K69" s="25" t="str">
        <f t="shared" si="32"/>
        <v/>
      </c>
      <c r="L69" s="25" t="str">
        <f t="shared" si="33"/>
        <v/>
      </c>
      <c r="M69" s="33" t="e" cm="1">
        <f t="array" aca="1" ref="M69" ca="1">IF(AND(J69=INDIRECT("'["&amp;G69&amp;"]"&amp;E69&amp;"'!"&amp;$Y$2),G69=INDIRECT("'["&amp;G69&amp;"]"&amp;E69&amp;"'!"&amp;$AH$2)),INDIRECT("'["&amp;G69&amp;"]"&amp;E69&amp;"'!"&amp;$Y$3),0)</f>
        <v>#VALUE!</v>
      </c>
      <c r="N69" s="34" t="e" cm="1">
        <f t="array" aca="1" ref="N69" ca="1">IF(AND(G69=INDIRECT("'["&amp;G69&amp;"]"&amp;E69&amp;"'!"&amp;$AH$2),OR(K69=INDIRECT("'["&amp;G69&amp;"]"&amp;E69&amp;"'!"&amp;$Z$2))),INDIRECT("'["&amp;G69&amp;"]"&amp;E69&amp;"'!"&amp;$Z$3),0)</f>
        <v>#VALUE!</v>
      </c>
      <c r="O69" s="34" t="e" cm="1">
        <f t="array" aca="1" ref="O69" ca="1">IF(AND(G69=INDIRECT("'["&amp;G69&amp;"]"&amp;E69&amp;"'!"&amp;$AH$2),OR(L69=INDIRECT("'["&amp;G69&amp;"]"&amp;E69&amp;"'!"&amp;$AA$2))),INDIRECT("'["&amp;G69&amp;"]"&amp;E69&amp;"'!"&amp;$AA$3),0)</f>
        <v>#VALUE!</v>
      </c>
      <c r="P69" s="34" t="e" cm="1">
        <f t="array" aca="1" ref="P69" ca="1">IF(AND(G69=INDIRECT("'["&amp;G69&amp;"]"&amp;E69&amp;"'!"&amp;$AH$2),OR(VALUE(I69)=INDIRECT("'["&amp;G69&amp;"]"&amp;E69&amp;"'!"&amp;$AB$2))),INDIRECT("'["&amp;G69&amp;"]"&amp;E69&amp;"'!"&amp;$AB$3),0)</f>
        <v>#VALUE!</v>
      </c>
      <c r="Q69" s="34" t="e" cm="1">
        <f t="array" aca="1" ref="Q69" ca="1">IF(AND(G69=INDIRECT("'["&amp;G69&amp;"]"&amp;E69&amp;"'!"&amp;$AH$2),OR(VALUE(I69)=INDIRECT("'["&amp;G69&amp;"]"&amp;E69&amp;"'!"&amp;$AC$2))),INDIRECT("'["&amp;G69&amp;"]"&amp;E69&amp;"'!"&amp;$AC$3),0)</f>
        <v>#VALUE!</v>
      </c>
      <c r="R69" s="34" t="e" cm="1">
        <f t="array" aca="1" ref="R69" ca="1">IF(AND(G69=INDIRECT("'["&amp;G69&amp;"]"&amp;E69&amp;"'!"&amp;$AH$2),OR(I69=INDIRECT("'["&amp;G69&amp;"]"&amp;E69&amp;"'!"&amp;$AD$2))),INDIRECT("'["&amp;G69&amp;"]"&amp;E69&amp;"'!"&amp;$AD$3),0)</f>
        <v>#VALUE!</v>
      </c>
      <c r="S69" s="34" t="e" cm="1">
        <f t="array" aca="1" ref="S69" ca="1">IF(AND(G69=INDIRECT("'["&amp;G69&amp;"]"&amp;E69&amp;"'!"&amp;$AH$2),OR(I69=INDIRECT("'["&amp;G69&amp;"]"&amp;E69&amp;"'!"&amp;$AE$2))),INDIRECT("'["&amp;G69&amp;"]"&amp;E69&amp;"'!"&amp;$AE$3),0)</f>
        <v>#VALUE!</v>
      </c>
      <c r="T69" s="35" t="e" cm="1">
        <f t="array" aca="1" ref="T69" ca="1">IF(AND(G69=INDIRECT("'["&amp;G69&amp;"]"&amp;E69&amp;"'!"&amp;$AH$2),OR(I69=INDIRECT("'["&amp;G69&amp;"]"&amp;E69&amp;"'!"&amp;$AF$2))),INDIRECT("'["&amp;G69&amp;"]"&amp;E69&amp;"'!"&amp;$AF$3),0)</f>
        <v>#VALUE!</v>
      </c>
      <c r="U69" s="34" t="e" cm="1">
        <f t="array" aca="1" ref="U69" ca="1">IF(AND(G69=INDIRECT("'["&amp;G69&amp;"]"&amp;E69&amp;"'!"&amp;$AH$2),OR(I69=INDIRECT("'["&amp;G69&amp;"]"&amp;E69&amp;"'!"&amp;$AG$2))),INDIRECT("'["&amp;G69&amp;"]"&amp;E69&amp;"'!"&amp;$AG$3),0)</f>
        <v>#VALUE!</v>
      </c>
      <c r="V69" s="25" t="str">
        <f t="shared" si="34"/>
        <v/>
      </c>
      <c r="W69" s="36" t="e" cm="1">
        <f t="array" aca="1" ref="W69" ca="1">IF(AND(G69=INDIRECT("'["&amp;G69&amp;"]"&amp;E69&amp;"'!"&amp;$AH$2),OR(V69=INDIRECT("'["&amp;G69&amp;"]"&amp;E69&amp;"'!"&amp;$AI$2))),INDIRECT("'["&amp;G69&amp;"]"&amp;E69&amp;"'!"&amp;$AI$3),0)</f>
        <v>#VALUE!</v>
      </c>
      <c r="AJ69" s="25">
        <v>1</v>
      </c>
      <c r="AK69" s="38">
        <f t="shared" ca="1" si="35"/>
        <v>0</v>
      </c>
      <c r="AL69" s="38">
        <f t="shared" ca="1" si="36"/>
        <v>0</v>
      </c>
      <c r="AM69" s="54" t="str">
        <f t="shared" ca="1" si="27"/>
        <v/>
      </c>
      <c r="AN69" s="25" t="e">
        <f t="shared" ca="1" si="37"/>
        <v>#VALUE!</v>
      </c>
      <c r="AO69" s="25" t="e">
        <f t="shared" ca="1" si="38"/>
        <v>#VALUE!</v>
      </c>
      <c r="AP69" s="39" t="str">
        <f t="shared" ca="1" si="28"/>
        <v/>
      </c>
      <c r="AQ69" s="46" t="str">
        <f ca="1">IF(AND(C69&lt;&gt;0, C70=0), SUM($C$2:C69)-SUM($AQ$1:AQ68), "")</f>
        <v/>
      </c>
      <c r="AR69" s="46" t="str">
        <f ca="1">IF(AND(AK69&lt;&gt;0, AK70=0), SUM($AK$2:AK69)-SUM($AR$1:AR68), "")</f>
        <v/>
      </c>
    </row>
    <row r="70" spans="1:44" ht="13.15" customHeight="1">
      <c r="A70" s="31"/>
      <c r="B70" s="68" t="str">
        <f t="shared" si="16"/>
        <v/>
      </c>
      <c r="C70" s="55" cm="1">
        <f t="array" aca="1" ref="C70" ca="1">SUM(IF(ISNUMBER(M70:U70),M70:U70,""))</f>
        <v>0</v>
      </c>
      <c r="D70" s="25" t="str">
        <f t="shared" si="17"/>
        <v/>
      </c>
      <c r="E70" s="25" t="e">
        <f t="shared" si="29"/>
        <v>#VALUE!</v>
      </c>
      <c r="F70" s="25" t="str">
        <f t="shared" si="19"/>
        <v/>
      </c>
      <c r="G70" s="25" t="str">
        <f t="shared" si="26"/>
        <v>.xlsx</v>
      </c>
      <c r="H70" s="29" t="e" cm="1">
        <f t="array" aca="1" ref="H70" ca="1">IF(AND(VALUE(E70)=INDIRECT("'["&amp;G70&amp;"]"&amp;E70&amp;"'!"&amp;$X$2),G70=INDIRECT("'["&amp;G70&amp;"]"&amp;E70&amp;"'!"&amp;$X$3)),INDIRECT("'["&amp;G70&amp;"]"&amp;E70&amp;"'!"&amp;$X$1),0)</f>
        <v>#VALUE!</v>
      </c>
      <c r="I70" s="25" t="str">
        <f t="shared" si="30"/>
        <v/>
      </c>
      <c r="J70" s="32" t="str">
        <f t="shared" si="31"/>
        <v/>
      </c>
      <c r="K70" s="25" t="str">
        <f t="shared" si="32"/>
        <v/>
      </c>
      <c r="L70" s="25" t="str">
        <f t="shared" si="33"/>
        <v/>
      </c>
      <c r="M70" s="33" t="e" cm="1">
        <f t="array" aca="1" ref="M70" ca="1">IF(AND(J70=INDIRECT("'["&amp;G70&amp;"]"&amp;E70&amp;"'!"&amp;$Y$2),G70=INDIRECT("'["&amp;G70&amp;"]"&amp;E70&amp;"'!"&amp;$AH$2)),INDIRECT("'["&amp;G70&amp;"]"&amp;E70&amp;"'!"&amp;$Y$3),0)</f>
        <v>#VALUE!</v>
      </c>
      <c r="N70" s="34" t="e" cm="1">
        <f t="array" aca="1" ref="N70" ca="1">IF(AND(G70=INDIRECT("'["&amp;G70&amp;"]"&amp;E70&amp;"'!"&amp;$AH$2),OR(K70=INDIRECT("'["&amp;G70&amp;"]"&amp;E70&amp;"'!"&amp;$Z$2))),INDIRECT("'["&amp;G70&amp;"]"&amp;E70&amp;"'!"&amp;$Z$3),0)</f>
        <v>#VALUE!</v>
      </c>
      <c r="O70" s="34" t="e" cm="1">
        <f t="array" aca="1" ref="O70" ca="1">IF(AND(G70=INDIRECT("'["&amp;G70&amp;"]"&amp;E70&amp;"'!"&amp;$AH$2),OR(L70=INDIRECT("'["&amp;G70&amp;"]"&amp;E70&amp;"'!"&amp;$AA$2))),INDIRECT("'["&amp;G70&amp;"]"&amp;E70&amp;"'!"&amp;$AA$3),0)</f>
        <v>#VALUE!</v>
      </c>
      <c r="P70" s="34" t="e" cm="1">
        <f t="array" aca="1" ref="P70" ca="1">IF(AND(G70=INDIRECT("'["&amp;G70&amp;"]"&amp;E70&amp;"'!"&amp;$AH$2),OR(VALUE(I70)=INDIRECT("'["&amp;G70&amp;"]"&amp;E70&amp;"'!"&amp;$AB$2))),INDIRECT("'["&amp;G70&amp;"]"&amp;E70&amp;"'!"&amp;$AB$3),0)</f>
        <v>#VALUE!</v>
      </c>
      <c r="Q70" s="34" t="e" cm="1">
        <f t="array" aca="1" ref="Q70" ca="1">IF(AND(G70=INDIRECT("'["&amp;G70&amp;"]"&amp;E70&amp;"'!"&amp;$AH$2),OR(VALUE(I70)=INDIRECT("'["&amp;G70&amp;"]"&amp;E70&amp;"'!"&amp;$AC$2))),INDIRECT("'["&amp;G70&amp;"]"&amp;E70&amp;"'!"&amp;$AC$3),0)</f>
        <v>#VALUE!</v>
      </c>
      <c r="R70" s="34" t="e" cm="1">
        <f t="array" aca="1" ref="R70" ca="1">IF(AND(G70=INDIRECT("'["&amp;G70&amp;"]"&amp;E70&amp;"'!"&amp;$AH$2),OR(I70=INDIRECT("'["&amp;G70&amp;"]"&amp;E70&amp;"'!"&amp;$AD$2))),INDIRECT("'["&amp;G70&amp;"]"&amp;E70&amp;"'!"&amp;$AD$3),0)</f>
        <v>#VALUE!</v>
      </c>
      <c r="S70" s="34" t="e" cm="1">
        <f t="array" aca="1" ref="S70" ca="1">IF(AND(G70=INDIRECT("'["&amp;G70&amp;"]"&amp;E70&amp;"'!"&amp;$AH$2),OR(I70=INDIRECT("'["&amp;G70&amp;"]"&amp;E70&amp;"'!"&amp;$AE$2))),INDIRECT("'["&amp;G70&amp;"]"&amp;E70&amp;"'!"&amp;$AE$3),0)</f>
        <v>#VALUE!</v>
      </c>
      <c r="T70" s="35" t="e" cm="1">
        <f t="array" aca="1" ref="T70" ca="1">IF(AND(G70=INDIRECT("'["&amp;G70&amp;"]"&amp;E70&amp;"'!"&amp;$AH$2),OR(I70=INDIRECT("'["&amp;G70&amp;"]"&amp;E70&amp;"'!"&amp;$AF$2))),INDIRECT("'["&amp;G70&amp;"]"&amp;E70&amp;"'!"&amp;$AF$3),0)</f>
        <v>#VALUE!</v>
      </c>
      <c r="U70" s="34" t="e" cm="1">
        <f t="array" aca="1" ref="U70" ca="1">IF(AND(G70=INDIRECT("'["&amp;G70&amp;"]"&amp;E70&amp;"'!"&amp;$AH$2),OR(I70=INDIRECT("'["&amp;G70&amp;"]"&amp;E70&amp;"'!"&amp;$AG$2))),INDIRECT("'["&amp;G70&amp;"]"&amp;E70&amp;"'!"&amp;$AG$3),0)</f>
        <v>#VALUE!</v>
      </c>
      <c r="V70" s="25" t="str">
        <f t="shared" si="34"/>
        <v/>
      </c>
      <c r="W70" s="36" t="e" cm="1">
        <f t="array" aca="1" ref="W70" ca="1">IF(AND(G70=INDIRECT("'["&amp;G70&amp;"]"&amp;E70&amp;"'!"&amp;$AH$2),OR(V70=INDIRECT("'["&amp;G70&amp;"]"&amp;E70&amp;"'!"&amp;$AI$2))),INDIRECT("'["&amp;G70&amp;"]"&amp;E70&amp;"'!"&amp;$AI$3),0)</f>
        <v>#VALUE!</v>
      </c>
      <c r="AJ70" s="25">
        <v>1</v>
      </c>
      <c r="AK70" s="38">
        <f t="shared" ca="1" si="35"/>
        <v>0</v>
      </c>
      <c r="AL70" s="38">
        <f t="shared" ca="1" si="36"/>
        <v>0</v>
      </c>
      <c r="AM70" s="54" t="str">
        <f t="shared" ca="1" si="27"/>
        <v/>
      </c>
      <c r="AN70" s="25" t="e">
        <f t="shared" ca="1" si="37"/>
        <v>#VALUE!</v>
      </c>
      <c r="AO70" s="25" t="e">
        <f t="shared" ca="1" si="38"/>
        <v>#VALUE!</v>
      </c>
      <c r="AP70" s="39" t="str">
        <f t="shared" ca="1" si="28"/>
        <v/>
      </c>
      <c r="AQ70" s="46" t="str">
        <f ca="1">IF(AND(C70&lt;&gt;0, C71=0), SUM($C$2:C70)-SUM($AQ$1:AQ69), "")</f>
        <v/>
      </c>
      <c r="AR70" s="46" t="str">
        <f ca="1">IF(AND(AK70&lt;&gt;0, AK71=0), SUM($AK$2:AK70)-SUM($AR$1:AR69), "")</f>
        <v/>
      </c>
    </row>
    <row r="71" spans="1:44" ht="13.15" customHeight="1">
      <c r="A71" s="31"/>
      <c r="B71" s="68" t="str">
        <f t="shared" si="16"/>
        <v/>
      </c>
      <c r="C71" s="55" cm="1">
        <f t="array" aca="1" ref="C71" ca="1">SUM(IF(ISNUMBER(M71:U71),M71:U71,""))</f>
        <v>0</v>
      </c>
      <c r="D71" s="25" t="str">
        <f t="shared" si="17"/>
        <v/>
      </c>
      <c r="E71" s="25" t="e">
        <f t="shared" si="29"/>
        <v>#VALUE!</v>
      </c>
      <c r="F71" s="25" t="str">
        <f t="shared" si="19"/>
        <v/>
      </c>
      <c r="G71" s="25" t="str">
        <f t="shared" si="26"/>
        <v>.xlsx</v>
      </c>
      <c r="H71" s="29" t="e" cm="1">
        <f t="array" aca="1" ref="H71" ca="1">IF(AND(VALUE(E71)=INDIRECT("'["&amp;G71&amp;"]"&amp;E71&amp;"'!"&amp;$X$2),G71=INDIRECT("'["&amp;G71&amp;"]"&amp;E71&amp;"'!"&amp;$X$3)),INDIRECT("'["&amp;G71&amp;"]"&amp;E71&amp;"'!"&amp;$X$1),0)</f>
        <v>#VALUE!</v>
      </c>
      <c r="I71" s="25" t="str">
        <f t="shared" si="30"/>
        <v/>
      </c>
      <c r="J71" s="32" t="str">
        <f t="shared" si="31"/>
        <v/>
      </c>
      <c r="K71" s="25" t="str">
        <f t="shared" si="32"/>
        <v/>
      </c>
      <c r="L71" s="25" t="str">
        <f t="shared" si="33"/>
        <v/>
      </c>
      <c r="M71" s="33" t="e" cm="1">
        <f t="array" aca="1" ref="M71" ca="1">IF(AND(J71=INDIRECT("'["&amp;G71&amp;"]"&amp;E71&amp;"'!"&amp;$Y$2),G71=INDIRECT("'["&amp;G71&amp;"]"&amp;E71&amp;"'!"&amp;$AH$2)),INDIRECT("'["&amp;G71&amp;"]"&amp;E71&amp;"'!"&amp;$Y$3),0)</f>
        <v>#VALUE!</v>
      </c>
      <c r="N71" s="34" t="e" cm="1">
        <f t="array" aca="1" ref="N71" ca="1">IF(AND(G71=INDIRECT("'["&amp;G71&amp;"]"&amp;E71&amp;"'!"&amp;$AH$2),OR(K71=INDIRECT("'["&amp;G71&amp;"]"&amp;E71&amp;"'!"&amp;$Z$2))),INDIRECT("'["&amp;G71&amp;"]"&amp;E71&amp;"'!"&amp;$Z$3),0)</f>
        <v>#VALUE!</v>
      </c>
      <c r="O71" s="34" t="e" cm="1">
        <f t="array" aca="1" ref="O71" ca="1">IF(AND(G71=INDIRECT("'["&amp;G71&amp;"]"&amp;E71&amp;"'!"&amp;$AH$2),OR(L71=INDIRECT("'["&amp;G71&amp;"]"&amp;E71&amp;"'!"&amp;$AA$2))),INDIRECT("'["&amp;G71&amp;"]"&amp;E71&amp;"'!"&amp;$AA$3),0)</f>
        <v>#VALUE!</v>
      </c>
      <c r="P71" s="34" t="e" cm="1">
        <f t="array" aca="1" ref="P71" ca="1">IF(AND(G71=INDIRECT("'["&amp;G71&amp;"]"&amp;E71&amp;"'!"&amp;$AH$2),OR(VALUE(I71)=INDIRECT("'["&amp;G71&amp;"]"&amp;E71&amp;"'!"&amp;$AB$2))),INDIRECT("'["&amp;G71&amp;"]"&amp;E71&amp;"'!"&amp;$AB$3),0)</f>
        <v>#VALUE!</v>
      </c>
      <c r="Q71" s="34" t="e" cm="1">
        <f t="array" aca="1" ref="Q71" ca="1">IF(AND(G71=INDIRECT("'["&amp;G71&amp;"]"&amp;E71&amp;"'!"&amp;$AH$2),OR(VALUE(I71)=INDIRECT("'["&amp;G71&amp;"]"&amp;E71&amp;"'!"&amp;$AC$2))),INDIRECT("'["&amp;G71&amp;"]"&amp;E71&amp;"'!"&amp;$AC$3),0)</f>
        <v>#VALUE!</v>
      </c>
      <c r="R71" s="34" t="e" cm="1">
        <f t="array" aca="1" ref="R71" ca="1">IF(AND(G71=INDIRECT("'["&amp;G71&amp;"]"&amp;E71&amp;"'!"&amp;$AH$2),OR(I71=INDIRECT("'["&amp;G71&amp;"]"&amp;E71&amp;"'!"&amp;$AD$2))),INDIRECT("'["&amp;G71&amp;"]"&amp;E71&amp;"'!"&amp;$AD$3),0)</f>
        <v>#VALUE!</v>
      </c>
      <c r="S71" s="34" t="e" cm="1">
        <f t="array" aca="1" ref="S71" ca="1">IF(AND(G71=INDIRECT("'["&amp;G71&amp;"]"&amp;E71&amp;"'!"&amp;$AH$2),OR(I71=INDIRECT("'["&amp;G71&amp;"]"&amp;E71&amp;"'!"&amp;$AE$2))),INDIRECT("'["&amp;G71&amp;"]"&amp;E71&amp;"'!"&amp;$AE$3),0)</f>
        <v>#VALUE!</v>
      </c>
      <c r="T71" s="35" t="e" cm="1">
        <f t="array" aca="1" ref="T71" ca="1">IF(AND(G71=INDIRECT("'["&amp;G71&amp;"]"&amp;E71&amp;"'!"&amp;$AH$2),OR(I71=INDIRECT("'["&amp;G71&amp;"]"&amp;E71&amp;"'!"&amp;$AF$2))),INDIRECT("'["&amp;G71&amp;"]"&amp;E71&amp;"'!"&amp;$AF$3),0)</f>
        <v>#VALUE!</v>
      </c>
      <c r="U71" s="34" t="e" cm="1">
        <f t="array" aca="1" ref="U71" ca="1">IF(AND(G71=INDIRECT("'["&amp;G71&amp;"]"&amp;E71&amp;"'!"&amp;$AH$2),OR(I71=INDIRECT("'["&amp;G71&amp;"]"&amp;E71&amp;"'!"&amp;$AG$2))),INDIRECT("'["&amp;G71&amp;"]"&amp;E71&amp;"'!"&amp;$AG$3),0)</f>
        <v>#VALUE!</v>
      </c>
      <c r="V71" s="25" t="str">
        <f t="shared" si="34"/>
        <v/>
      </c>
      <c r="W71" s="36" t="e" cm="1">
        <f t="array" aca="1" ref="W71" ca="1">IF(AND(G71=INDIRECT("'["&amp;G71&amp;"]"&amp;E71&amp;"'!"&amp;$AH$2),OR(V71=INDIRECT("'["&amp;G71&amp;"]"&amp;E71&amp;"'!"&amp;$AI$2))),INDIRECT("'["&amp;G71&amp;"]"&amp;E71&amp;"'!"&amp;$AI$3),0)</f>
        <v>#VALUE!</v>
      </c>
      <c r="AJ71" s="25">
        <v>1</v>
      </c>
      <c r="AK71" s="38">
        <f t="shared" ca="1" si="35"/>
        <v>0</v>
      </c>
      <c r="AL71" s="38">
        <f t="shared" ca="1" si="36"/>
        <v>0</v>
      </c>
      <c r="AM71" s="54" t="str">
        <f t="shared" ca="1" si="27"/>
        <v/>
      </c>
      <c r="AN71" s="25" t="e">
        <f t="shared" ca="1" si="37"/>
        <v>#VALUE!</v>
      </c>
      <c r="AO71" s="25" t="e">
        <f t="shared" ca="1" si="38"/>
        <v>#VALUE!</v>
      </c>
      <c r="AP71" s="39" t="str">
        <f t="shared" ca="1" si="28"/>
        <v/>
      </c>
      <c r="AQ71" s="46" t="str">
        <f ca="1">IF(AND(C71&lt;&gt;0, C72=0), SUM($C$2:C71)-SUM($AQ$1:AQ70), "")</f>
        <v/>
      </c>
      <c r="AR71" s="46" t="str">
        <f ca="1">IF(AND(AK71&lt;&gt;0, AK72=0), SUM($AK$2:AK71)-SUM($AR$1:AR70), "")</f>
        <v/>
      </c>
    </row>
    <row r="72" spans="1:44" ht="13.15" customHeight="1">
      <c r="A72" s="31"/>
      <c r="B72" s="68" t="str">
        <f t="shared" si="16"/>
        <v/>
      </c>
      <c r="C72" s="55" cm="1">
        <f t="array" aca="1" ref="C72" ca="1">SUM(IF(ISNUMBER(M72:U72),M72:U72,""))</f>
        <v>0</v>
      </c>
      <c r="D72" s="25" t="str">
        <f t="shared" si="17"/>
        <v/>
      </c>
      <c r="E72" s="25" t="e">
        <f t="shared" si="29"/>
        <v>#VALUE!</v>
      </c>
      <c r="F72" s="25" t="str">
        <f t="shared" si="19"/>
        <v/>
      </c>
      <c r="G72" s="25" t="str">
        <f t="shared" si="26"/>
        <v>.xlsx</v>
      </c>
      <c r="H72" s="29" t="e" cm="1">
        <f t="array" aca="1" ref="H72" ca="1">IF(AND(VALUE(E72)=INDIRECT("'["&amp;G72&amp;"]"&amp;E72&amp;"'!"&amp;$X$2),G72=INDIRECT("'["&amp;G72&amp;"]"&amp;E72&amp;"'!"&amp;$X$3)),INDIRECT("'["&amp;G72&amp;"]"&amp;E72&amp;"'!"&amp;$X$1),0)</f>
        <v>#VALUE!</v>
      </c>
      <c r="I72" s="25" t="str">
        <f t="shared" si="30"/>
        <v/>
      </c>
      <c r="J72" s="32" t="str">
        <f t="shared" si="31"/>
        <v/>
      </c>
      <c r="K72" s="25" t="str">
        <f t="shared" si="32"/>
        <v/>
      </c>
      <c r="L72" s="25" t="str">
        <f t="shared" si="33"/>
        <v/>
      </c>
      <c r="M72" s="33" t="e" cm="1">
        <f t="array" aca="1" ref="M72" ca="1">IF(AND(J72=INDIRECT("'["&amp;G72&amp;"]"&amp;E72&amp;"'!"&amp;$Y$2),G72=INDIRECT("'["&amp;G72&amp;"]"&amp;E72&amp;"'!"&amp;$AH$2)),INDIRECT("'["&amp;G72&amp;"]"&amp;E72&amp;"'!"&amp;$Y$3),0)</f>
        <v>#VALUE!</v>
      </c>
      <c r="N72" s="34" t="e" cm="1">
        <f t="array" aca="1" ref="N72" ca="1">IF(AND(G72=INDIRECT("'["&amp;G72&amp;"]"&amp;E72&amp;"'!"&amp;$AH$2),OR(K72=INDIRECT("'["&amp;G72&amp;"]"&amp;E72&amp;"'!"&amp;$Z$2))),INDIRECT("'["&amp;G72&amp;"]"&amp;E72&amp;"'!"&amp;$Z$3),0)</f>
        <v>#VALUE!</v>
      </c>
      <c r="O72" s="34" t="e" cm="1">
        <f t="array" aca="1" ref="O72" ca="1">IF(AND(G72=INDIRECT("'["&amp;G72&amp;"]"&amp;E72&amp;"'!"&amp;$AH$2),OR(L72=INDIRECT("'["&amp;G72&amp;"]"&amp;E72&amp;"'!"&amp;$AA$2))),INDIRECT("'["&amp;G72&amp;"]"&amp;E72&amp;"'!"&amp;$AA$3),0)</f>
        <v>#VALUE!</v>
      </c>
      <c r="P72" s="34" t="e" cm="1">
        <f t="array" aca="1" ref="P72" ca="1">IF(AND(G72=INDIRECT("'["&amp;G72&amp;"]"&amp;E72&amp;"'!"&amp;$AH$2),OR(VALUE(I72)=INDIRECT("'["&amp;G72&amp;"]"&amp;E72&amp;"'!"&amp;$AB$2))),INDIRECT("'["&amp;G72&amp;"]"&amp;E72&amp;"'!"&amp;$AB$3),0)</f>
        <v>#VALUE!</v>
      </c>
      <c r="Q72" s="34" t="e" cm="1">
        <f t="array" aca="1" ref="Q72" ca="1">IF(AND(G72=INDIRECT("'["&amp;G72&amp;"]"&amp;E72&amp;"'!"&amp;$AH$2),OR(VALUE(I72)=INDIRECT("'["&amp;G72&amp;"]"&amp;E72&amp;"'!"&amp;$AC$2))),INDIRECT("'["&amp;G72&amp;"]"&amp;E72&amp;"'!"&amp;$AC$3),0)</f>
        <v>#VALUE!</v>
      </c>
      <c r="R72" s="34" t="e" cm="1">
        <f t="array" aca="1" ref="R72" ca="1">IF(AND(G72=INDIRECT("'["&amp;G72&amp;"]"&amp;E72&amp;"'!"&amp;$AH$2),OR(I72=INDIRECT("'["&amp;G72&amp;"]"&amp;E72&amp;"'!"&amp;$AD$2))),INDIRECT("'["&amp;G72&amp;"]"&amp;E72&amp;"'!"&amp;$AD$3),0)</f>
        <v>#VALUE!</v>
      </c>
      <c r="S72" s="34" t="e" cm="1">
        <f t="array" aca="1" ref="S72" ca="1">IF(AND(G72=INDIRECT("'["&amp;G72&amp;"]"&amp;E72&amp;"'!"&amp;$AH$2),OR(I72=INDIRECT("'["&amp;G72&amp;"]"&amp;E72&amp;"'!"&amp;$AE$2))),INDIRECT("'["&amp;G72&amp;"]"&amp;E72&amp;"'!"&amp;$AE$3),0)</f>
        <v>#VALUE!</v>
      </c>
      <c r="T72" s="35" t="e" cm="1">
        <f t="array" aca="1" ref="T72" ca="1">IF(AND(G72=INDIRECT("'["&amp;G72&amp;"]"&amp;E72&amp;"'!"&amp;$AH$2),OR(I72=INDIRECT("'["&amp;G72&amp;"]"&amp;E72&amp;"'!"&amp;$AF$2))),INDIRECT("'["&amp;G72&amp;"]"&amp;E72&amp;"'!"&amp;$AF$3),0)</f>
        <v>#VALUE!</v>
      </c>
      <c r="U72" s="34" t="e" cm="1">
        <f t="array" aca="1" ref="U72" ca="1">IF(AND(G72=INDIRECT("'["&amp;G72&amp;"]"&amp;E72&amp;"'!"&amp;$AH$2),OR(I72=INDIRECT("'["&amp;G72&amp;"]"&amp;E72&amp;"'!"&amp;$AG$2))),INDIRECT("'["&amp;G72&amp;"]"&amp;E72&amp;"'!"&amp;$AG$3),0)</f>
        <v>#VALUE!</v>
      </c>
      <c r="V72" s="25" t="str">
        <f t="shared" si="34"/>
        <v/>
      </c>
      <c r="W72" s="36" t="e" cm="1">
        <f t="array" aca="1" ref="W72" ca="1">IF(AND(G72=INDIRECT("'["&amp;G72&amp;"]"&amp;E72&amp;"'!"&amp;$AH$2),OR(V72=INDIRECT("'["&amp;G72&amp;"]"&amp;E72&amp;"'!"&amp;$AI$2))),INDIRECT("'["&amp;G72&amp;"]"&amp;E72&amp;"'!"&amp;$AI$3),0)</f>
        <v>#VALUE!</v>
      </c>
      <c r="AJ72" s="25">
        <v>1</v>
      </c>
      <c r="AK72" s="38">
        <f t="shared" ca="1" si="35"/>
        <v>0</v>
      </c>
      <c r="AL72" s="38">
        <f t="shared" ca="1" si="36"/>
        <v>0</v>
      </c>
      <c r="AM72" s="54" t="str">
        <f t="shared" ca="1" si="27"/>
        <v/>
      </c>
      <c r="AN72" s="25" t="e">
        <f t="shared" ca="1" si="37"/>
        <v>#VALUE!</v>
      </c>
      <c r="AO72" s="25" t="e">
        <f t="shared" ca="1" si="38"/>
        <v>#VALUE!</v>
      </c>
      <c r="AP72" s="39" t="str">
        <f t="shared" ca="1" si="28"/>
        <v/>
      </c>
      <c r="AQ72" s="46" t="str">
        <f ca="1">IF(AND(C72&lt;&gt;0, C73=0), SUM($C$2:C72)-SUM($AQ$1:AQ71), "")</f>
        <v/>
      </c>
      <c r="AR72" s="46" t="str">
        <f ca="1">IF(AND(AK72&lt;&gt;0, AK73=0), SUM($AK$2:AK72)-SUM($AR$1:AR71), "")</f>
        <v/>
      </c>
    </row>
    <row r="73" spans="1:44" ht="13.15" customHeight="1">
      <c r="A73" s="31"/>
      <c r="B73" s="68" t="str">
        <f t="shared" si="16"/>
        <v/>
      </c>
      <c r="C73" s="55" cm="1">
        <f t="array" aca="1" ref="C73" ca="1">SUM(IF(ISNUMBER(M73:U73),M73:U73,""))</f>
        <v>0</v>
      </c>
      <c r="D73" s="25" t="str">
        <f t="shared" si="17"/>
        <v/>
      </c>
      <c r="E73" s="25" t="e">
        <f t="shared" si="29"/>
        <v>#VALUE!</v>
      </c>
      <c r="F73" s="25" t="str">
        <f t="shared" si="19"/>
        <v/>
      </c>
      <c r="G73" s="25" t="str">
        <f t="shared" si="26"/>
        <v>.xlsx</v>
      </c>
      <c r="H73" s="29" t="e" cm="1">
        <f t="array" aca="1" ref="H73" ca="1">IF(AND(VALUE(E73)=INDIRECT("'["&amp;G73&amp;"]"&amp;E73&amp;"'!"&amp;$X$2),G73=INDIRECT("'["&amp;G73&amp;"]"&amp;E73&amp;"'!"&amp;$X$3)),INDIRECT("'["&amp;G73&amp;"]"&amp;E73&amp;"'!"&amp;$X$1),0)</f>
        <v>#VALUE!</v>
      </c>
      <c r="I73" s="25" t="str">
        <f t="shared" si="30"/>
        <v/>
      </c>
      <c r="J73" s="32" t="str">
        <f t="shared" si="31"/>
        <v/>
      </c>
      <c r="K73" s="25" t="str">
        <f t="shared" si="32"/>
        <v/>
      </c>
      <c r="L73" s="25" t="str">
        <f t="shared" si="33"/>
        <v/>
      </c>
      <c r="M73" s="33" t="e" cm="1">
        <f t="array" aca="1" ref="M73" ca="1">IF(AND(J73=INDIRECT("'["&amp;G73&amp;"]"&amp;E73&amp;"'!"&amp;$Y$2),G73=INDIRECT("'["&amp;G73&amp;"]"&amp;E73&amp;"'!"&amp;$AH$2)),INDIRECT("'["&amp;G73&amp;"]"&amp;E73&amp;"'!"&amp;$Y$3),0)</f>
        <v>#VALUE!</v>
      </c>
      <c r="N73" s="34" t="e" cm="1">
        <f t="array" aca="1" ref="N73" ca="1">IF(AND(G73=INDIRECT("'["&amp;G73&amp;"]"&amp;E73&amp;"'!"&amp;$AH$2),OR(K73=INDIRECT("'["&amp;G73&amp;"]"&amp;E73&amp;"'!"&amp;$Z$2))),INDIRECT("'["&amp;G73&amp;"]"&amp;E73&amp;"'!"&amp;$Z$3),0)</f>
        <v>#VALUE!</v>
      </c>
      <c r="O73" s="34" t="e" cm="1">
        <f t="array" aca="1" ref="O73" ca="1">IF(AND(G73=INDIRECT("'["&amp;G73&amp;"]"&amp;E73&amp;"'!"&amp;$AH$2),OR(L73=INDIRECT("'["&amp;G73&amp;"]"&amp;E73&amp;"'!"&amp;$AA$2))),INDIRECT("'["&amp;G73&amp;"]"&amp;E73&amp;"'!"&amp;$AA$3),0)</f>
        <v>#VALUE!</v>
      </c>
      <c r="P73" s="34" t="e" cm="1">
        <f t="array" aca="1" ref="P73" ca="1">IF(AND(G73=INDIRECT("'["&amp;G73&amp;"]"&amp;E73&amp;"'!"&amp;$AH$2),OR(VALUE(I73)=INDIRECT("'["&amp;G73&amp;"]"&amp;E73&amp;"'!"&amp;$AB$2))),INDIRECT("'["&amp;G73&amp;"]"&amp;E73&amp;"'!"&amp;$AB$3),0)</f>
        <v>#VALUE!</v>
      </c>
      <c r="Q73" s="34" t="e" cm="1">
        <f t="array" aca="1" ref="Q73" ca="1">IF(AND(G73=INDIRECT("'["&amp;G73&amp;"]"&amp;E73&amp;"'!"&amp;$AH$2),OR(VALUE(I73)=INDIRECT("'["&amp;G73&amp;"]"&amp;E73&amp;"'!"&amp;$AC$2))),INDIRECT("'["&amp;G73&amp;"]"&amp;E73&amp;"'!"&amp;$AC$3),0)</f>
        <v>#VALUE!</v>
      </c>
      <c r="R73" s="34" t="e" cm="1">
        <f t="array" aca="1" ref="R73" ca="1">IF(AND(G73=INDIRECT("'["&amp;G73&amp;"]"&amp;E73&amp;"'!"&amp;$AH$2),OR(I73=INDIRECT("'["&amp;G73&amp;"]"&amp;E73&amp;"'!"&amp;$AD$2))),INDIRECT("'["&amp;G73&amp;"]"&amp;E73&amp;"'!"&amp;$AD$3),0)</f>
        <v>#VALUE!</v>
      </c>
      <c r="S73" s="34" t="e" cm="1">
        <f t="array" aca="1" ref="S73" ca="1">IF(AND(G73=INDIRECT("'["&amp;G73&amp;"]"&amp;E73&amp;"'!"&amp;$AH$2),OR(I73=INDIRECT("'["&amp;G73&amp;"]"&amp;E73&amp;"'!"&amp;$AE$2))),INDIRECT("'["&amp;G73&amp;"]"&amp;E73&amp;"'!"&amp;$AE$3),0)</f>
        <v>#VALUE!</v>
      </c>
      <c r="T73" s="35" t="e" cm="1">
        <f t="array" aca="1" ref="T73" ca="1">IF(AND(G73=INDIRECT("'["&amp;G73&amp;"]"&amp;E73&amp;"'!"&amp;$AH$2),OR(I73=INDIRECT("'["&amp;G73&amp;"]"&amp;E73&amp;"'!"&amp;$AF$2))),INDIRECT("'["&amp;G73&amp;"]"&amp;E73&amp;"'!"&amp;$AF$3),0)</f>
        <v>#VALUE!</v>
      </c>
      <c r="U73" s="34" t="e" cm="1">
        <f t="array" aca="1" ref="U73" ca="1">IF(AND(G73=INDIRECT("'["&amp;G73&amp;"]"&amp;E73&amp;"'!"&amp;$AH$2),OR(I73=INDIRECT("'["&amp;G73&amp;"]"&amp;E73&amp;"'!"&amp;$AG$2))),INDIRECT("'["&amp;G73&amp;"]"&amp;E73&amp;"'!"&amp;$AG$3),0)</f>
        <v>#VALUE!</v>
      </c>
      <c r="V73" s="25" t="str">
        <f t="shared" si="34"/>
        <v/>
      </c>
      <c r="W73" s="36" t="e" cm="1">
        <f t="array" aca="1" ref="W73" ca="1">IF(AND(G73=INDIRECT("'["&amp;G73&amp;"]"&amp;E73&amp;"'!"&amp;$AH$2),OR(V73=INDIRECT("'["&amp;G73&amp;"]"&amp;E73&amp;"'!"&amp;$AI$2))),INDIRECT("'["&amp;G73&amp;"]"&amp;E73&amp;"'!"&amp;$AI$3),0)</f>
        <v>#VALUE!</v>
      </c>
      <c r="AJ73" s="25">
        <v>1</v>
      </c>
      <c r="AK73" s="38">
        <f t="shared" ca="1" si="35"/>
        <v>0</v>
      </c>
      <c r="AL73" s="38">
        <f t="shared" ca="1" si="36"/>
        <v>0</v>
      </c>
      <c r="AM73" s="54" t="str">
        <f t="shared" ca="1" si="27"/>
        <v/>
      </c>
      <c r="AN73" s="25" t="e">
        <f t="shared" ca="1" si="37"/>
        <v>#VALUE!</v>
      </c>
      <c r="AO73" s="25" t="e">
        <f t="shared" ca="1" si="38"/>
        <v>#VALUE!</v>
      </c>
      <c r="AP73" s="39" t="str">
        <f t="shared" ca="1" si="28"/>
        <v/>
      </c>
      <c r="AQ73" s="46" t="str">
        <f ca="1">IF(AND(C73&lt;&gt;0, C74=0), SUM($C$2:C73)-SUM($AQ$1:AQ72), "")</f>
        <v/>
      </c>
      <c r="AR73" s="46" t="str">
        <f ca="1">IF(AND(AK73&lt;&gt;0, AK74=0), SUM($AK$2:AK73)-SUM($AR$1:AR72), "")</f>
        <v/>
      </c>
    </row>
    <row r="74" spans="1:44" ht="13.15" customHeight="1">
      <c r="A74" s="31"/>
      <c r="B74" s="68" t="str">
        <f t="shared" si="16"/>
        <v/>
      </c>
      <c r="C74" s="55" cm="1">
        <f t="array" aca="1" ref="C74" ca="1">SUM(IF(ISNUMBER(M74:U74),M74:U74,""))</f>
        <v>0</v>
      </c>
      <c r="D74" s="25" t="str">
        <f t="shared" si="17"/>
        <v/>
      </c>
      <c r="E74" s="25" t="e">
        <f t="shared" si="29"/>
        <v>#VALUE!</v>
      </c>
      <c r="F74" s="25" t="str">
        <f t="shared" si="19"/>
        <v/>
      </c>
      <c r="G74" s="25" t="str">
        <f t="shared" si="26"/>
        <v>.xlsx</v>
      </c>
      <c r="H74" s="29" t="e" cm="1">
        <f t="array" aca="1" ref="H74" ca="1">IF(AND(VALUE(E74)=INDIRECT("'["&amp;G74&amp;"]"&amp;E74&amp;"'!"&amp;$X$2),G74=INDIRECT("'["&amp;G74&amp;"]"&amp;E74&amp;"'!"&amp;$X$3)),INDIRECT("'["&amp;G74&amp;"]"&amp;E74&amp;"'!"&amp;$X$1),0)</f>
        <v>#VALUE!</v>
      </c>
      <c r="I74" s="25" t="str">
        <f t="shared" si="30"/>
        <v/>
      </c>
      <c r="J74" s="32" t="str">
        <f t="shared" si="31"/>
        <v/>
      </c>
      <c r="K74" s="25" t="str">
        <f t="shared" si="32"/>
        <v/>
      </c>
      <c r="L74" s="25" t="str">
        <f t="shared" si="33"/>
        <v/>
      </c>
      <c r="M74" s="33" t="e" cm="1">
        <f t="array" aca="1" ref="M74" ca="1">IF(AND(J74=INDIRECT("'["&amp;G74&amp;"]"&amp;E74&amp;"'!"&amp;$Y$2),G74=INDIRECT("'["&amp;G74&amp;"]"&amp;E74&amp;"'!"&amp;$AH$2)),INDIRECT("'["&amp;G74&amp;"]"&amp;E74&amp;"'!"&amp;$Y$3),0)</f>
        <v>#VALUE!</v>
      </c>
      <c r="N74" s="34" t="e" cm="1">
        <f t="array" aca="1" ref="N74" ca="1">IF(AND(G74=INDIRECT("'["&amp;G74&amp;"]"&amp;E74&amp;"'!"&amp;$AH$2),OR(K74=INDIRECT("'["&amp;G74&amp;"]"&amp;E74&amp;"'!"&amp;$Z$2))),INDIRECT("'["&amp;G74&amp;"]"&amp;E74&amp;"'!"&amp;$Z$3),0)</f>
        <v>#VALUE!</v>
      </c>
      <c r="O74" s="34" t="e" cm="1">
        <f t="array" aca="1" ref="O74" ca="1">IF(AND(G74=INDIRECT("'["&amp;G74&amp;"]"&amp;E74&amp;"'!"&amp;$AH$2),OR(L74=INDIRECT("'["&amp;G74&amp;"]"&amp;E74&amp;"'!"&amp;$AA$2))),INDIRECT("'["&amp;G74&amp;"]"&amp;E74&amp;"'!"&amp;$AA$3),0)</f>
        <v>#VALUE!</v>
      </c>
      <c r="P74" s="34" t="e" cm="1">
        <f t="array" aca="1" ref="P74" ca="1">IF(AND(G74=INDIRECT("'["&amp;G74&amp;"]"&amp;E74&amp;"'!"&amp;$AH$2),OR(VALUE(I74)=INDIRECT("'["&amp;G74&amp;"]"&amp;E74&amp;"'!"&amp;$AB$2))),INDIRECT("'["&amp;G74&amp;"]"&amp;E74&amp;"'!"&amp;$AB$3),0)</f>
        <v>#VALUE!</v>
      </c>
      <c r="Q74" s="34" t="e" cm="1">
        <f t="array" aca="1" ref="Q74" ca="1">IF(AND(G74=INDIRECT("'["&amp;G74&amp;"]"&amp;E74&amp;"'!"&amp;$AH$2),OR(VALUE(I74)=INDIRECT("'["&amp;G74&amp;"]"&amp;E74&amp;"'!"&amp;$AC$2))),INDIRECT("'["&amp;G74&amp;"]"&amp;E74&amp;"'!"&amp;$AC$3),0)</f>
        <v>#VALUE!</v>
      </c>
      <c r="R74" s="34" t="e" cm="1">
        <f t="array" aca="1" ref="R74" ca="1">IF(AND(G74=INDIRECT("'["&amp;G74&amp;"]"&amp;E74&amp;"'!"&amp;$AH$2),OR(I74=INDIRECT("'["&amp;G74&amp;"]"&amp;E74&amp;"'!"&amp;$AD$2))),INDIRECT("'["&amp;G74&amp;"]"&amp;E74&amp;"'!"&amp;$AD$3),0)</f>
        <v>#VALUE!</v>
      </c>
      <c r="S74" s="34" t="e" cm="1">
        <f t="array" aca="1" ref="S74" ca="1">IF(AND(G74=INDIRECT("'["&amp;G74&amp;"]"&amp;E74&amp;"'!"&amp;$AH$2),OR(I74=INDIRECT("'["&amp;G74&amp;"]"&amp;E74&amp;"'!"&amp;$AE$2))),INDIRECT("'["&amp;G74&amp;"]"&amp;E74&amp;"'!"&amp;$AE$3),0)</f>
        <v>#VALUE!</v>
      </c>
      <c r="T74" s="35" t="e" cm="1">
        <f t="array" aca="1" ref="T74" ca="1">IF(AND(G74=INDIRECT("'["&amp;G74&amp;"]"&amp;E74&amp;"'!"&amp;$AH$2),OR(I74=INDIRECT("'["&amp;G74&amp;"]"&amp;E74&amp;"'!"&amp;$AF$2))),INDIRECT("'["&amp;G74&amp;"]"&amp;E74&amp;"'!"&amp;$AF$3),0)</f>
        <v>#VALUE!</v>
      </c>
      <c r="U74" s="34" t="e" cm="1">
        <f t="array" aca="1" ref="U74" ca="1">IF(AND(G74=INDIRECT("'["&amp;G74&amp;"]"&amp;E74&amp;"'!"&amp;$AH$2),OR(I74=INDIRECT("'["&amp;G74&amp;"]"&amp;E74&amp;"'!"&amp;$AG$2))),INDIRECT("'["&amp;G74&amp;"]"&amp;E74&amp;"'!"&amp;$AG$3),0)</f>
        <v>#VALUE!</v>
      </c>
      <c r="V74" s="25" t="str">
        <f t="shared" si="34"/>
        <v/>
      </c>
      <c r="W74" s="36" t="e" cm="1">
        <f t="array" aca="1" ref="W74" ca="1">IF(AND(G74=INDIRECT("'["&amp;G74&amp;"]"&amp;E74&amp;"'!"&amp;$AH$2),OR(V74=INDIRECT("'["&amp;G74&amp;"]"&amp;E74&amp;"'!"&amp;$AI$2))),INDIRECT("'["&amp;G74&amp;"]"&amp;E74&amp;"'!"&amp;$AI$3),0)</f>
        <v>#VALUE!</v>
      </c>
      <c r="AJ74" s="25">
        <v>1</v>
      </c>
      <c r="AK74" s="38">
        <f t="shared" ca="1" si="35"/>
        <v>0</v>
      </c>
      <c r="AL74" s="38">
        <f t="shared" ca="1" si="36"/>
        <v>0</v>
      </c>
      <c r="AM74" s="54" t="str">
        <f t="shared" ca="1" si="27"/>
        <v/>
      </c>
      <c r="AN74" s="25" t="e">
        <f t="shared" ca="1" si="37"/>
        <v>#VALUE!</v>
      </c>
      <c r="AO74" s="25" t="e">
        <f t="shared" ca="1" si="38"/>
        <v>#VALUE!</v>
      </c>
      <c r="AP74" s="39" t="str">
        <f t="shared" ca="1" si="28"/>
        <v/>
      </c>
      <c r="AQ74" s="46" t="str">
        <f ca="1">IF(AND(C74&lt;&gt;0, C75=0), SUM($C$2:C74)-SUM($AQ$1:AQ73), "")</f>
        <v/>
      </c>
      <c r="AR74" s="46" t="str">
        <f ca="1">IF(AND(AK74&lt;&gt;0, AK75=0), SUM($AK$2:AK74)-SUM($AR$1:AR73), "")</f>
        <v/>
      </c>
    </row>
    <row r="75" spans="1:44" ht="13.15" customHeight="1">
      <c r="A75" s="31"/>
      <c r="B75" s="68" t="str">
        <f t="shared" si="16"/>
        <v/>
      </c>
      <c r="C75" s="55" cm="1">
        <f t="array" aca="1" ref="C75" ca="1">SUM(IF(ISNUMBER(M75:U75),M75:U75,""))</f>
        <v>0</v>
      </c>
      <c r="D75" s="25" t="str">
        <f t="shared" si="17"/>
        <v/>
      </c>
      <c r="E75" s="25" t="e">
        <f t="shared" si="29"/>
        <v>#VALUE!</v>
      </c>
      <c r="F75" s="25" t="str">
        <f t="shared" si="19"/>
        <v/>
      </c>
      <c r="G75" s="25" t="str">
        <f t="shared" si="26"/>
        <v>.xlsx</v>
      </c>
      <c r="H75" s="29" t="e" cm="1">
        <f t="array" aca="1" ref="H75" ca="1">IF(AND(VALUE(E75)=INDIRECT("'["&amp;G75&amp;"]"&amp;E75&amp;"'!"&amp;$X$2),G75=INDIRECT("'["&amp;G75&amp;"]"&amp;E75&amp;"'!"&amp;$X$3)),INDIRECT("'["&amp;G75&amp;"]"&amp;E75&amp;"'!"&amp;$X$1),0)</f>
        <v>#VALUE!</v>
      </c>
      <c r="I75" s="25" t="str">
        <f t="shared" si="30"/>
        <v/>
      </c>
      <c r="J75" s="32" t="str">
        <f t="shared" si="31"/>
        <v/>
      </c>
      <c r="K75" s="25" t="str">
        <f t="shared" si="32"/>
        <v/>
      </c>
      <c r="L75" s="25" t="str">
        <f t="shared" si="33"/>
        <v/>
      </c>
      <c r="M75" s="33" t="e" cm="1">
        <f t="array" aca="1" ref="M75" ca="1">IF(AND(J75=INDIRECT("'["&amp;G75&amp;"]"&amp;E75&amp;"'!"&amp;$Y$2),G75=INDIRECT("'["&amp;G75&amp;"]"&amp;E75&amp;"'!"&amp;$AH$2)),INDIRECT("'["&amp;G75&amp;"]"&amp;E75&amp;"'!"&amp;$Y$3),0)</f>
        <v>#VALUE!</v>
      </c>
      <c r="N75" s="34" t="e" cm="1">
        <f t="array" aca="1" ref="N75" ca="1">IF(AND(G75=INDIRECT("'["&amp;G75&amp;"]"&amp;E75&amp;"'!"&amp;$AH$2),OR(K75=INDIRECT("'["&amp;G75&amp;"]"&amp;E75&amp;"'!"&amp;$Z$2))),INDIRECT("'["&amp;G75&amp;"]"&amp;E75&amp;"'!"&amp;$Z$3),0)</f>
        <v>#VALUE!</v>
      </c>
      <c r="O75" s="34" t="e" cm="1">
        <f t="array" aca="1" ref="O75" ca="1">IF(AND(G75=INDIRECT("'["&amp;G75&amp;"]"&amp;E75&amp;"'!"&amp;$AH$2),OR(L75=INDIRECT("'["&amp;G75&amp;"]"&amp;E75&amp;"'!"&amp;$AA$2))),INDIRECT("'["&amp;G75&amp;"]"&amp;E75&amp;"'!"&amp;$AA$3),0)</f>
        <v>#VALUE!</v>
      </c>
      <c r="P75" s="34" t="e" cm="1">
        <f t="array" aca="1" ref="P75" ca="1">IF(AND(G75=INDIRECT("'["&amp;G75&amp;"]"&amp;E75&amp;"'!"&amp;$AH$2),OR(VALUE(I75)=INDIRECT("'["&amp;G75&amp;"]"&amp;E75&amp;"'!"&amp;$AB$2))),INDIRECT("'["&amp;G75&amp;"]"&amp;E75&amp;"'!"&amp;$AB$3),0)</f>
        <v>#VALUE!</v>
      </c>
      <c r="Q75" s="34" t="e" cm="1">
        <f t="array" aca="1" ref="Q75" ca="1">IF(AND(G75=INDIRECT("'["&amp;G75&amp;"]"&amp;E75&amp;"'!"&amp;$AH$2),OR(VALUE(I75)=INDIRECT("'["&amp;G75&amp;"]"&amp;E75&amp;"'!"&amp;$AC$2))),INDIRECT("'["&amp;G75&amp;"]"&amp;E75&amp;"'!"&amp;$AC$3),0)</f>
        <v>#VALUE!</v>
      </c>
      <c r="R75" s="34" t="e" cm="1">
        <f t="array" aca="1" ref="R75" ca="1">IF(AND(G75=INDIRECT("'["&amp;G75&amp;"]"&amp;E75&amp;"'!"&amp;$AH$2),OR(I75=INDIRECT("'["&amp;G75&amp;"]"&amp;E75&amp;"'!"&amp;$AD$2))),INDIRECT("'["&amp;G75&amp;"]"&amp;E75&amp;"'!"&amp;$AD$3),0)</f>
        <v>#VALUE!</v>
      </c>
      <c r="S75" s="34" t="e" cm="1">
        <f t="array" aca="1" ref="S75" ca="1">IF(AND(G75=INDIRECT("'["&amp;G75&amp;"]"&amp;E75&amp;"'!"&amp;$AH$2),OR(I75=INDIRECT("'["&amp;G75&amp;"]"&amp;E75&amp;"'!"&amp;$AE$2))),INDIRECT("'["&amp;G75&amp;"]"&amp;E75&amp;"'!"&amp;$AE$3),0)</f>
        <v>#VALUE!</v>
      </c>
      <c r="T75" s="35" t="e" cm="1">
        <f t="array" aca="1" ref="T75" ca="1">IF(AND(G75=INDIRECT("'["&amp;G75&amp;"]"&amp;E75&amp;"'!"&amp;$AH$2),OR(I75=INDIRECT("'["&amp;G75&amp;"]"&amp;E75&amp;"'!"&amp;$AF$2))),INDIRECT("'["&amp;G75&amp;"]"&amp;E75&amp;"'!"&amp;$AF$3),0)</f>
        <v>#VALUE!</v>
      </c>
      <c r="U75" s="34" t="e" cm="1">
        <f t="array" aca="1" ref="U75" ca="1">IF(AND(G75=INDIRECT("'["&amp;G75&amp;"]"&amp;E75&amp;"'!"&amp;$AH$2),OR(I75=INDIRECT("'["&amp;G75&amp;"]"&amp;E75&amp;"'!"&amp;$AG$2))),INDIRECT("'["&amp;G75&amp;"]"&amp;E75&amp;"'!"&amp;$AG$3),0)</f>
        <v>#VALUE!</v>
      </c>
      <c r="V75" s="25" t="str">
        <f t="shared" si="34"/>
        <v/>
      </c>
      <c r="W75" s="36" t="e" cm="1">
        <f t="array" aca="1" ref="W75" ca="1">IF(AND(G75=INDIRECT("'["&amp;G75&amp;"]"&amp;E75&amp;"'!"&amp;$AH$2),OR(V75=INDIRECT("'["&amp;G75&amp;"]"&amp;E75&amp;"'!"&amp;$AI$2))),INDIRECT("'["&amp;G75&amp;"]"&amp;E75&amp;"'!"&amp;$AI$3),0)</f>
        <v>#VALUE!</v>
      </c>
      <c r="AJ75" s="25">
        <v>1</v>
      </c>
      <c r="AK75" s="38">
        <f t="shared" ca="1" si="35"/>
        <v>0</v>
      </c>
      <c r="AL75" s="38">
        <f t="shared" ca="1" si="36"/>
        <v>0</v>
      </c>
      <c r="AM75" s="54" t="str">
        <f t="shared" ca="1" si="27"/>
        <v/>
      </c>
      <c r="AN75" s="25" t="e">
        <f t="shared" ca="1" si="37"/>
        <v>#VALUE!</v>
      </c>
      <c r="AO75" s="25" t="e">
        <f t="shared" ca="1" si="38"/>
        <v>#VALUE!</v>
      </c>
      <c r="AP75" s="39" t="str">
        <f t="shared" ca="1" si="28"/>
        <v/>
      </c>
      <c r="AQ75" s="46" t="str">
        <f ca="1">IF(AND(C75&lt;&gt;0, C76=0), SUM($C$2:C75)-SUM($AQ$1:AQ74), "")</f>
        <v/>
      </c>
      <c r="AR75" s="46" t="str">
        <f ca="1">IF(AND(AK75&lt;&gt;0, AK76=0), SUM($AK$2:AK75)-SUM($AR$1:AR74), "")</f>
        <v/>
      </c>
    </row>
    <row r="76" spans="1:44" ht="13.15" customHeight="1">
      <c r="A76" s="31"/>
      <c r="B76" s="68" t="str">
        <f t="shared" si="16"/>
        <v/>
      </c>
      <c r="C76" s="55" cm="1">
        <f t="array" aca="1" ref="C76" ca="1">SUM(IF(ISNUMBER(M76:U76),M76:U76,""))</f>
        <v>0</v>
      </c>
      <c r="D76" s="25" t="str">
        <f t="shared" si="17"/>
        <v/>
      </c>
      <c r="E76" s="25" t="e">
        <f t="shared" si="29"/>
        <v>#VALUE!</v>
      </c>
      <c r="F76" s="25" t="str">
        <f t="shared" si="19"/>
        <v/>
      </c>
      <c r="G76" s="25" t="str">
        <f t="shared" si="26"/>
        <v>.xlsx</v>
      </c>
      <c r="H76" s="29" t="e" cm="1">
        <f t="array" aca="1" ref="H76" ca="1">IF(AND(VALUE(E76)=INDIRECT("'["&amp;G76&amp;"]"&amp;E76&amp;"'!"&amp;$X$2),G76=INDIRECT("'["&amp;G76&amp;"]"&amp;E76&amp;"'!"&amp;$X$3)),INDIRECT("'["&amp;G76&amp;"]"&amp;E76&amp;"'!"&amp;$X$1),0)</f>
        <v>#VALUE!</v>
      </c>
      <c r="I76" s="25" t="str">
        <f t="shared" si="30"/>
        <v/>
      </c>
      <c r="J76" s="32" t="str">
        <f t="shared" si="31"/>
        <v/>
      </c>
      <c r="K76" s="25" t="str">
        <f t="shared" si="32"/>
        <v/>
      </c>
      <c r="L76" s="25" t="str">
        <f t="shared" si="33"/>
        <v/>
      </c>
      <c r="M76" s="33" t="e" cm="1">
        <f t="array" aca="1" ref="M76" ca="1">IF(AND(J76=INDIRECT("'["&amp;G76&amp;"]"&amp;E76&amp;"'!"&amp;$Y$2),G76=INDIRECT("'["&amp;G76&amp;"]"&amp;E76&amp;"'!"&amp;$AH$2)),INDIRECT("'["&amp;G76&amp;"]"&amp;E76&amp;"'!"&amp;$Y$3),0)</f>
        <v>#VALUE!</v>
      </c>
      <c r="N76" s="34" t="e" cm="1">
        <f t="array" aca="1" ref="N76" ca="1">IF(AND(G76=INDIRECT("'["&amp;G76&amp;"]"&amp;E76&amp;"'!"&amp;$AH$2),OR(K76=INDIRECT("'["&amp;G76&amp;"]"&amp;E76&amp;"'!"&amp;$Z$2))),INDIRECT("'["&amp;G76&amp;"]"&amp;E76&amp;"'!"&amp;$Z$3),0)</f>
        <v>#VALUE!</v>
      </c>
      <c r="O76" s="34" t="e" cm="1">
        <f t="array" aca="1" ref="O76" ca="1">IF(AND(G76=INDIRECT("'["&amp;G76&amp;"]"&amp;E76&amp;"'!"&amp;$AH$2),OR(L76=INDIRECT("'["&amp;G76&amp;"]"&amp;E76&amp;"'!"&amp;$AA$2))),INDIRECT("'["&amp;G76&amp;"]"&amp;E76&amp;"'!"&amp;$AA$3),0)</f>
        <v>#VALUE!</v>
      </c>
      <c r="P76" s="34" t="e" cm="1">
        <f t="array" aca="1" ref="P76" ca="1">IF(AND(G76=INDIRECT("'["&amp;G76&amp;"]"&amp;E76&amp;"'!"&amp;$AH$2),OR(VALUE(I76)=INDIRECT("'["&amp;G76&amp;"]"&amp;E76&amp;"'!"&amp;$AB$2))),INDIRECT("'["&amp;G76&amp;"]"&amp;E76&amp;"'!"&amp;$AB$3),0)</f>
        <v>#VALUE!</v>
      </c>
      <c r="Q76" s="34" t="e" cm="1">
        <f t="array" aca="1" ref="Q76" ca="1">IF(AND(G76=INDIRECT("'["&amp;G76&amp;"]"&amp;E76&amp;"'!"&amp;$AH$2),OR(VALUE(I76)=INDIRECT("'["&amp;G76&amp;"]"&amp;E76&amp;"'!"&amp;$AC$2))),INDIRECT("'["&amp;G76&amp;"]"&amp;E76&amp;"'!"&amp;$AC$3),0)</f>
        <v>#VALUE!</v>
      </c>
      <c r="R76" s="34" t="e" cm="1">
        <f t="array" aca="1" ref="R76" ca="1">IF(AND(G76=INDIRECT("'["&amp;G76&amp;"]"&amp;E76&amp;"'!"&amp;$AH$2),OR(I76=INDIRECT("'["&amp;G76&amp;"]"&amp;E76&amp;"'!"&amp;$AD$2))),INDIRECT("'["&amp;G76&amp;"]"&amp;E76&amp;"'!"&amp;$AD$3),0)</f>
        <v>#VALUE!</v>
      </c>
      <c r="S76" s="34" t="e" cm="1">
        <f t="array" aca="1" ref="S76" ca="1">IF(AND(G76=INDIRECT("'["&amp;G76&amp;"]"&amp;E76&amp;"'!"&amp;$AH$2),OR(I76=INDIRECT("'["&amp;G76&amp;"]"&amp;E76&amp;"'!"&amp;$AE$2))),INDIRECT("'["&amp;G76&amp;"]"&amp;E76&amp;"'!"&amp;$AE$3),0)</f>
        <v>#VALUE!</v>
      </c>
      <c r="T76" s="35" t="e" cm="1">
        <f t="array" aca="1" ref="T76" ca="1">IF(AND(G76=INDIRECT("'["&amp;G76&amp;"]"&amp;E76&amp;"'!"&amp;$AH$2),OR(I76=INDIRECT("'["&amp;G76&amp;"]"&amp;E76&amp;"'!"&amp;$AF$2))),INDIRECT("'["&amp;G76&amp;"]"&amp;E76&amp;"'!"&amp;$AF$3),0)</f>
        <v>#VALUE!</v>
      </c>
      <c r="U76" s="34" t="e" cm="1">
        <f t="array" aca="1" ref="U76" ca="1">IF(AND(G76=INDIRECT("'["&amp;G76&amp;"]"&amp;E76&amp;"'!"&amp;$AH$2),OR(I76=INDIRECT("'["&amp;G76&amp;"]"&amp;E76&amp;"'!"&amp;$AG$2))),INDIRECT("'["&amp;G76&amp;"]"&amp;E76&amp;"'!"&amp;$AG$3),0)</f>
        <v>#VALUE!</v>
      </c>
      <c r="V76" s="25" t="str">
        <f t="shared" si="34"/>
        <v/>
      </c>
      <c r="W76" s="36" t="e" cm="1">
        <f t="array" aca="1" ref="W76" ca="1">IF(AND(G76=INDIRECT("'["&amp;G76&amp;"]"&amp;E76&amp;"'!"&amp;$AH$2),OR(V76=INDIRECT("'["&amp;G76&amp;"]"&amp;E76&amp;"'!"&amp;$AI$2))),INDIRECT("'["&amp;G76&amp;"]"&amp;E76&amp;"'!"&amp;$AI$3),0)</f>
        <v>#VALUE!</v>
      </c>
      <c r="AJ76" s="25">
        <v>1</v>
      </c>
      <c r="AK76" s="38">
        <f t="shared" ca="1" si="35"/>
        <v>0</v>
      </c>
      <c r="AL76" s="38">
        <f t="shared" ca="1" si="36"/>
        <v>0</v>
      </c>
      <c r="AM76" s="54" t="str">
        <f t="shared" ca="1" si="27"/>
        <v/>
      </c>
      <c r="AN76" s="25" t="e">
        <f t="shared" ca="1" si="37"/>
        <v>#VALUE!</v>
      </c>
      <c r="AO76" s="25" t="e">
        <f t="shared" ca="1" si="38"/>
        <v>#VALUE!</v>
      </c>
      <c r="AP76" s="39" t="str">
        <f t="shared" ca="1" si="28"/>
        <v/>
      </c>
      <c r="AQ76" s="46" t="str">
        <f ca="1">IF(AND(C76&lt;&gt;0, C77=0), SUM($C$2:C76)-SUM($AQ$1:AQ75), "")</f>
        <v/>
      </c>
      <c r="AR76" s="46" t="str">
        <f ca="1">IF(AND(AK76&lt;&gt;0, AK77=0), SUM($AK$2:AK76)-SUM($AR$1:AR75), "")</f>
        <v/>
      </c>
    </row>
    <row r="77" spans="1:44" ht="13.15" customHeight="1">
      <c r="A77" s="31"/>
      <c r="B77" s="68" t="str">
        <f t="shared" si="16"/>
        <v/>
      </c>
      <c r="C77" s="55" cm="1">
        <f t="array" aca="1" ref="C77" ca="1">SUM(IF(ISNUMBER(M77:U77),M77:U77,""))</f>
        <v>0</v>
      </c>
      <c r="D77" s="25" t="str">
        <f t="shared" si="17"/>
        <v/>
      </c>
      <c r="E77" s="25" t="e">
        <f t="shared" si="29"/>
        <v>#VALUE!</v>
      </c>
      <c r="F77" s="25" t="str">
        <f t="shared" si="19"/>
        <v/>
      </c>
      <c r="G77" s="25" t="str">
        <f t="shared" si="26"/>
        <v>.xlsx</v>
      </c>
      <c r="H77" s="29" t="e" cm="1">
        <f t="array" aca="1" ref="H77" ca="1">IF(AND(VALUE(E77)=INDIRECT("'["&amp;G77&amp;"]"&amp;E77&amp;"'!"&amp;$X$2),G77=INDIRECT("'["&amp;G77&amp;"]"&amp;E77&amp;"'!"&amp;$X$3)),INDIRECT("'["&amp;G77&amp;"]"&amp;E77&amp;"'!"&amp;$X$1),0)</f>
        <v>#VALUE!</v>
      </c>
      <c r="I77" s="25" t="str">
        <f t="shared" si="30"/>
        <v/>
      </c>
      <c r="J77" s="32" t="str">
        <f t="shared" si="31"/>
        <v/>
      </c>
      <c r="K77" s="25" t="str">
        <f t="shared" si="32"/>
        <v/>
      </c>
      <c r="L77" s="25" t="str">
        <f t="shared" si="33"/>
        <v/>
      </c>
      <c r="M77" s="33" t="e" cm="1">
        <f t="array" aca="1" ref="M77" ca="1">IF(AND(J77=INDIRECT("'["&amp;G77&amp;"]"&amp;E77&amp;"'!"&amp;$Y$2),G77=INDIRECT("'["&amp;G77&amp;"]"&amp;E77&amp;"'!"&amp;$AH$2)),INDIRECT("'["&amp;G77&amp;"]"&amp;E77&amp;"'!"&amp;$Y$3),0)</f>
        <v>#VALUE!</v>
      </c>
      <c r="N77" s="34" t="e" cm="1">
        <f t="array" aca="1" ref="N77" ca="1">IF(AND(G77=INDIRECT("'["&amp;G77&amp;"]"&amp;E77&amp;"'!"&amp;$AH$2),OR(K77=INDIRECT("'["&amp;G77&amp;"]"&amp;E77&amp;"'!"&amp;$Z$2))),INDIRECT("'["&amp;G77&amp;"]"&amp;E77&amp;"'!"&amp;$Z$3),0)</f>
        <v>#VALUE!</v>
      </c>
      <c r="O77" s="34" t="e" cm="1">
        <f t="array" aca="1" ref="O77" ca="1">IF(AND(G77=INDIRECT("'["&amp;G77&amp;"]"&amp;E77&amp;"'!"&amp;$AH$2),OR(L77=INDIRECT("'["&amp;G77&amp;"]"&amp;E77&amp;"'!"&amp;$AA$2))),INDIRECT("'["&amp;G77&amp;"]"&amp;E77&amp;"'!"&amp;$AA$3),0)</f>
        <v>#VALUE!</v>
      </c>
      <c r="P77" s="34" t="e" cm="1">
        <f t="array" aca="1" ref="P77" ca="1">IF(AND(G77=INDIRECT("'["&amp;G77&amp;"]"&amp;E77&amp;"'!"&amp;$AH$2),OR(VALUE(I77)=INDIRECT("'["&amp;G77&amp;"]"&amp;E77&amp;"'!"&amp;$AB$2))),INDIRECT("'["&amp;G77&amp;"]"&amp;E77&amp;"'!"&amp;$AB$3),0)</f>
        <v>#VALUE!</v>
      </c>
      <c r="Q77" s="34" t="e" cm="1">
        <f t="array" aca="1" ref="Q77" ca="1">IF(AND(G77=INDIRECT("'["&amp;G77&amp;"]"&amp;E77&amp;"'!"&amp;$AH$2),OR(VALUE(I77)=INDIRECT("'["&amp;G77&amp;"]"&amp;E77&amp;"'!"&amp;$AC$2))),INDIRECT("'["&amp;G77&amp;"]"&amp;E77&amp;"'!"&amp;$AC$3),0)</f>
        <v>#VALUE!</v>
      </c>
      <c r="R77" s="34" t="e" cm="1">
        <f t="array" aca="1" ref="R77" ca="1">IF(AND(G77=INDIRECT("'["&amp;G77&amp;"]"&amp;E77&amp;"'!"&amp;$AH$2),OR(I77=INDIRECT("'["&amp;G77&amp;"]"&amp;E77&amp;"'!"&amp;$AD$2))),INDIRECT("'["&amp;G77&amp;"]"&amp;E77&amp;"'!"&amp;$AD$3),0)</f>
        <v>#VALUE!</v>
      </c>
      <c r="S77" s="34" t="e" cm="1">
        <f t="array" aca="1" ref="S77" ca="1">IF(AND(G77=INDIRECT("'["&amp;G77&amp;"]"&amp;E77&amp;"'!"&amp;$AH$2),OR(I77=INDIRECT("'["&amp;G77&amp;"]"&amp;E77&amp;"'!"&amp;$AE$2))),INDIRECT("'["&amp;G77&amp;"]"&amp;E77&amp;"'!"&amp;$AE$3),0)</f>
        <v>#VALUE!</v>
      </c>
      <c r="T77" s="35" t="e" cm="1">
        <f t="array" aca="1" ref="T77" ca="1">IF(AND(G77=INDIRECT("'["&amp;G77&amp;"]"&amp;E77&amp;"'!"&amp;$AH$2),OR(I77=INDIRECT("'["&amp;G77&amp;"]"&amp;E77&amp;"'!"&amp;$AF$2))),INDIRECT("'["&amp;G77&amp;"]"&amp;E77&amp;"'!"&amp;$AF$3),0)</f>
        <v>#VALUE!</v>
      </c>
      <c r="U77" s="34" t="e" cm="1">
        <f t="array" aca="1" ref="U77" ca="1">IF(AND(G77=INDIRECT("'["&amp;G77&amp;"]"&amp;E77&amp;"'!"&amp;$AH$2),OR(I77=INDIRECT("'["&amp;G77&amp;"]"&amp;E77&amp;"'!"&amp;$AG$2))),INDIRECT("'["&amp;G77&amp;"]"&amp;E77&amp;"'!"&amp;$AG$3),0)</f>
        <v>#VALUE!</v>
      </c>
      <c r="V77" s="25" t="str">
        <f t="shared" si="34"/>
        <v/>
      </c>
      <c r="W77" s="36" t="e" cm="1">
        <f t="array" aca="1" ref="W77" ca="1">IF(AND(G77=INDIRECT("'["&amp;G77&amp;"]"&amp;E77&amp;"'!"&amp;$AH$2),OR(V77=INDIRECT("'["&amp;G77&amp;"]"&amp;E77&amp;"'!"&amp;$AI$2))),INDIRECT("'["&amp;G77&amp;"]"&amp;E77&amp;"'!"&amp;$AI$3),0)</f>
        <v>#VALUE!</v>
      </c>
      <c r="AJ77" s="25">
        <v>1</v>
      </c>
      <c r="AK77" s="38">
        <f t="shared" ca="1" si="35"/>
        <v>0</v>
      </c>
      <c r="AL77" s="38">
        <f t="shared" ca="1" si="36"/>
        <v>0</v>
      </c>
      <c r="AM77" s="54" t="str">
        <f t="shared" ca="1" si="27"/>
        <v/>
      </c>
      <c r="AN77" s="25" t="e">
        <f t="shared" ca="1" si="37"/>
        <v>#VALUE!</v>
      </c>
      <c r="AO77" s="25" t="e">
        <f t="shared" ca="1" si="38"/>
        <v>#VALUE!</v>
      </c>
      <c r="AP77" s="39" t="str">
        <f t="shared" ca="1" si="28"/>
        <v/>
      </c>
      <c r="AQ77" s="46" t="str">
        <f ca="1">IF(AND(C77&lt;&gt;0, C78=0), SUM($C$2:C77)-SUM($AQ$1:AQ76), "")</f>
        <v/>
      </c>
      <c r="AR77" s="46" t="str">
        <f ca="1">IF(AND(AK77&lt;&gt;0, AK78=0), SUM($AK$2:AK77)-SUM($AR$1:AR76), "")</f>
        <v/>
      </c>
    </row>
    <row r="78" spans="1:44" ht="13.15" customHeight="1">
      <c r="A78" s="31"/>
      <c r="B78" s="68" t="str">
        <f t="shared" si="16"/>
        <v/>
      </c>
      <c r="C78" s="55" cm="1">
        <f t="array" aca="1" ref="C78" ca="1">SUM(IF(ISNUMBER(M78:U78),M78:U78,""))</f>
        <v>0</v>
      </c>
      <c r="D78" s="25" t="str">
        <f t="shared" si="17"/>
        <v/>
      </c>
      <c r="E78" s="25" t="e">
        <f t="shared" si="29"/>
        <v>#VALUE!</v>
      </c>
      <c r="F78" s="25" t="str">
        <f t="shared" si="19"/>
        <v/>
      </c>
      <c r="G78" s="25" t="str">
        <f t="shared" si="26"/>
        <v>.xlsx</v>
      </c>
      <c r="H78" s="29" t="e" cm="1">
        <f t="array" aca="1" ref="H78" ca="1">IF(AND(VALUE(E78)=INDIRECT("'["&amp;G78&amp;"]"&amp;E78&amp;"'!"&amp;$X$2),G78=INDIRECT("'["&amp;G78&amp;"]"&amp;E78&amp;"'!"&amp;$X$3)),INDIRECT("'["&amp;G78&amp;"]"&amp;E78&amp;"'!"&amp;$X$1),0)</f>
        <v>#VALUE!</v>
      </c>
      <c r="I78" s="25" t="str">
        <f t="shared" si="30"/>
        <v/>
      </c>
      <c r="J78" s="32" t="str">
        <f t="shared" si="31"/>
        <v/>
      </c>
      <c r="K78" s="25" t="str">
        <f t="shared" si="32"/>
        <v/>
      </c>
      <c r="L78" s="25" t="str">
        <f t="shared" si="33"/>
        <v/>
      </c>
      <c r="M78" s="33" t="e" cm="1">
        <f t="array" aca="1" ref="M78" ca="1">IF(AND(J78=INDIRECT("'["&amp;G78&amp;"]"&amp;E78&amp;"'!"&amp;$Y$2),G78=INDIRECT("'["&amp;G78&amp;"]"&amp;E78&amp;"'!"&amp;$AH$2)),INDIRECT("'["&amp;G78&amp;"]"&amp;E78&amp;"'!"&amp;$Y$3),0)</f>
        <v>#VALUE!</v>
      </c>
      <c r="N78" s="34" t="e" cm="1">
        <f t="array" aca="1" ref="N78" ca="1">IF(AND(G78=INDIRECT("'["&amp;G78&amp;"]"&amp;E78&amp;"'!"&amp;$AH$2),OR(K78=INDIRECT("'["&amp;G78&amp;"]"&amp;E78&amp;"'!"&amp;$Z$2))),INDIRECT("'["&amp;G78&amp;"]"&amp;E78&amp;"'!"&amp;$Z$3),0)</f>
        <v>#VALUE!</v>
      </c>
      <c r="O78" s="34" t="e" cm="1">
        <f t="array" aca="1" ref="O78" ca="1">IF(AND(G78=INDIRECT("'["&amp;G78&amp;"]"&amp;E78&amp;"'!"&amp;$AH$2),OR(L78=INDIRECT("'["&amp;G78&amp;"]"&amp;E78&amp;"'!"&amp;$AA$2))),INDIRECT("'["&amp;G78&amp;"]"&amp;E78&amp;"'!"&amp;$AA$3),0)</f>
        <v>#VALUE!</v>
      </c>
      <c r="P78" s="34" t="e" cm="1">
        <f t="array" aca="1" ref="P78" ca="1">IF(AND(G78=INDIRECT("'["&amp;G78&amp;"]"&amp;E78&amp;"'!"&amp;$AH$2),OR(VALUE(I78)=INDIRECT("'["&amp;G78&amp;"]"&amp;E78&amp;"'!"&amp;$AB$2))),INDIRECT("'["&amp;G78&amp;"]"&amp;E78&amp;"'!"&amp;$AB$3),0)</f>
        <v>#VALUE!</v>
      </c>
      <c r="Q78" s="34" t="e" cm="1">
        <f t="array" aca="1" ref="Q78" ca="1">IF(AND(G78=INDIRECT("'["&amp;G78&amp;"]"&amp;E78&amp;"'!"&amp;$AH$2),OR(VALUE(I78)=INDIRECT("'["&amp;G78&amp;"]"&amp;E78&amp;"'!"&amp;$AC$2))),INDIRECT("'["&amp;G78&amp;"]"&amp;E78&amp;"'!"&amp;$AC$3),0)</f>
        <v>#VALUE!</v>
      </c>
      <c r="R78" s="34" t="e" cm="1">
        <f t="array" aca="1" ref="R78" ca="1">IF(AND(G78=INDIRECT("'["&amp;G78&amp;"]"&amp;E78&amp;"'!"&amp;$AH$2),OR(I78=INDIRECT("'["&amp;G78&amp;"]"&amp;E78&amp;"'!"&amp;$AD$2))),INDIRECT("'["&amp;G78&amp;"]"&amp;E78&amp;"'!"&amp;$AD$3),0)</f>
        <v>#VALUE!</v>
      </c>
      <c r="S78" s="34" t="e" cm="1">
        <f t="array" aca="1" ref="S78" ca="1">IF(AND(G78=INDIRECT("'["&amp;G78&amp;"]"&amp;E78&amp;"'!"&amp;$AH$2),OR(I78=INDIRECT("'["&amp;G78&amp;"]"&amp;E78&amp;"'!"&amp;$AE$2))),INDIRECT("'["&amp;G78&amp;"]"&amp;E78&amp;"'!"&amp;$AE$3),0)</f>
        <v>#VALUE!</v>
      </c>
      <c r="T78" s="35" t="e" cm="1">
        <f t="array" aca="1" ref="T78" ca="1">IF(AND(G78=INDIRECT("'["&amp;G78&amp;"]"&amp;E78&amp;"'!"&amp;$AH$2),OR(I78=INDIRECT("'["&amp;G78&amp;"]"&amp;E78&amp;"'!"&amp;$AF$2))),INDIRECT("'["&amp;G78&amp;"]"&amp;E78&amp;"'!"&amp;$AF$3),0)</f>
        <v>#VALUE!</v>
      </c>
      <c r="U78" s="34" t="e" cm="1">
        <f t="array" aca="1" ref="U78" ca="1">IF(AND(G78=INDIRECT("'["&amp;G78&amp;"]"&amp;E78&amp;"'!"&amp;$AH$2),OR(I78=INDIRECT("'["&amp;G78&amp;"]"&amp;E78&amp;"'!"&amp;$AG$2))),INDIRECT("'["&amp;G78&amp;"]"&amp;E78&amp;"'!"&amp;$AG$3),0)</f>
        <v>#VALUE!</v>
      </c>
      <c r="V78" s="25" t="str">
        <f t="shared" si="34"/>
        <v/>
      </c>
      <c r="W78" s="36" t="e" cm="1">
        <f t="array" aca="1" ref="W78" ca="1">IF(AND(G78=INDIRECT("'["&amp;G78&amp;"]"&amp;E78&amp;"'!"&amp;$AH$2),OR(V78=INDIRECT("'["&amp;G78&amp;"]"&amp;E78&amp;"'!"&amp;$AI$2))),INDIRECT("'["&amp;G78&amp;"]"&amp;E78&amp;"'!"&amp;$AI$3),0)</f>
        <v>#VALUE!</v>
      </c>
      <c r="AJ78" s="25">
        <v>1</v>
      </c>
      <c r="AK78" s="38">
        <f t="shared" ca="1" si="35"/>
        <v>0</v>
      </c>
      <c r="AL78" s="38">
        <f t="shared" ca="1" si="36"/>
        <v>0</v>
      </c>
      <c r="AM78" s="54" t="str">
        <f t="shared" ca="1" si="27"/>
        <v/>
      </c>
      <c r="AN78" s="25" t="e">
        <f t="shared" ca="1" si="37"/>
        <v>#VALUE!</v>
      </c>
      <c r="AO78" s="25" t="e">
        <f t="shared" ca="1" si="38"/>
        <v>#VALUE!</v>
      </c>
      <c r="AP78" s="39" t="str">
        <f t="shared" ca="1" si="28"/>
        <v/>
      </c>
      <c r="AQ78" s="46" t="str">
        <f ca="1">IF(AND(C78&lt;&gt;0, C79=0), SUM($C$2:C78)-SUM($AQ$1:AQ77), "")</f>
        <v/>
      </c>
      <c r="AR78" s="46" t="str">
        <f ca="1">IF(AND(AK78&lt;&gt;0, AK79=0), SUM($AK$2:AK78)-SUM($AR$1:AR77), "")</f>
        <v/>
      </c>
    </row>
    <row r="79" spans="1:44" ht="13.15" customHeight="1">
      <c r="A79" s="31"/>
      <c r="B79" s="68" t="str">
        <f t="shared" si="16"/>
        <v/>
      </c>
      <c r="C79" s="55" cm="1">
        <f t="array" aca="1" ref="C79" ca="1">SUM(IF(ISNUMBER(M79:U79),M79:U79,""))</f>
        <v>0</v>
      </c>
      <c r="D79" s="25" t="str">
        <f t="shared" si="17"/>
        <v/>
      </c>
      <c r="E79" s="25" t="e">
        <f t="shared" si="29"/>
        <v>#VALUE!</v>
      </c>
      <c r="F79" s="25" t="str">
        <f t="shared" si="19"/>
        <v/>
      </c>
      <c r="G79" s="25" t="str">
        <f t="shared" si="26"/>
        <v>.xlsx</v>
      </c>
      <c r="H79" s="29" t="e" cm="1">
        <f t="array" aca="1" ref="H79" ca="1">IF(AND(VALUE(E79)=INDIRECT("'["&amp;G79&amp;"]"&amp;E79&amp;"'!"&amp;$X$2),G79=INDIRECT("'["&amp;G79&amp;"]"&amp;E79&amp;"'!"&amp;$X$3)),INDIRECT("'["&amp;G79&amp;"]"&amp;E79&amp;"'!"&amp;$X$1),0)</f>
        <v>#VALUE!</v>
      </c>
      <c r="I79" s="25" t="str">
        <f t="shared" si="30"/>
        <v/>
      </c>
      <c r="J79" s="32" t="str">
        <f t="shared" si="31"/>
        <v/>
      </c>
      <c r="K79" s="25" t="str">
        <f t="shared" si="32"/>
        <v/>
      </c>
      <c r="L79" s="25" t="str">
        <f t="shared" si="33"/>
        <v/>
      </c>
      <c r="M79" s="33" t="e" cm="1">
        <f t="array" aca="1" ref="M79" ca="1">IF(AND(J79=INDIRECT("'["&amp;G79&amp;"]"&amp;E79&amp;"'!"&amp;$Y$2),G79=INDIRECT("'["&amp;G79&amp;"]"&amp;E79&amp;"'!"&amp;$AH$2)),INDIRECT("'["&amp;G79&amp;"]"&amp;E79&amp;"'!"&amp;$Y$3),0)</f>
        <v>#VALUE!</v>
      </c>
      <c r="N79" s="34" t="e" cm="1">
        <f t="array" aca="1" ref="N79" ca="1">IF(AND(G79=INDIRECT("'["&amp;G79&amp;"]"&amp;E79&amp;"'!"&amp;$AH$2),OR(K79=INDIRECT("'["&amp;G79&amp;"]"&amp;E79&amp;"'!"&amp;$Z$2))),INDIRECT("'["&amp;G79&amp;"]"&amp;E79&amp;"'!"&amp;$Z$3),0)</f>
        <v>#VALUE!</v>
      </c>
      <c r="O79" s="34" t="e" cm="1">
        <f t="array" aca="1" ref="O79" ca="1">IF(AND(G79=INDIRECT("'["&amp;G79&amp;"]"&amp;E79&amp;"'!"&amp;$AH$2),OR(L79=INDIRECT("'["&amp;G79&amp;"]"&amp;E79&amp;"'!"&amp;$AA$2))),INDIRECT("'["&amp;G79&amp;"]"&amp;E79&amp;"'!"&amp;$AA$3),0)</f>
        <v>#VALUE!</v>
      </c>
      <c r="P79" s="34" t="e" cm="1">
        <f t="array" aca="1" ref="P79" ca="1">IF(AND(G79=INDIRECT("'["&amp;G79&amp;"]"&amp;E79&amp;"'!"&amp;$AH$2),OR(VALUE(I79)=INDIRECT("'["&amp;G79&amp;"]"&amp;E79&amp;"'!"&amp;$AB$2))),INDIRECT("'["&amp;G79&amp;"]"&amp;E79&amp;"'!"&amp;$AB$3),0)</f>
        <v>#VALUE!</v>
      </c>
      <c r="Q79" s="34" t="e" cm="1">
        <f t="array" aca="1" ref="Q79" ca="1">IF(AND(G79=INDIRECT("'["&amp;G79&amp;"]"&amp;E79&amp;"'!"&amp;$AH$2),OR(VALUE(I79)=INDIRECT("'["&amp;G79&amp;"]"&amp;E79&amp;"'!"&amp;$AC$2))),INDIRECT("'["&amp;G79&amp;"]"&amp;E79&amp;"'!"&amp;$AC$3),0)</f>
        <v>#VALUE!</v>
      </c>
      <c r="R79" s="34" t="e" cm="1">
        <f t="array" aca="1" ref="R79" ca="1">IF(AND(G79=INDIRECT("'["&amp;G79&amp;"]"&amp;E79&amp;"'!"&amp;$AH$2),OR(I79=INDIRECT("'["&amp;G79&amp;"]"&amp;E79&amp;"'!"&amp;$AD$2))),INDIRECT("'["&amp;G79&amp;"]"&amp;E79&amp;"'!"&amp;$AD$3),0)</f>
        <v>#VALUE!</v>
      </c>
      <c r="S79" s="34" t="e" cm="1">
        <f t="array" aca="1" ref="S79" ca="1">IF(AND(G79=INDIRECT("'["&amp;G79&amp;"]"&amp;E79&amp;"'!"&amp;$AH$2),OR(I79=INDIRECT("'["&amp;G79&amp;"]"&amp;E79&amp;"'!"&amp;$AE$2))),INDIRECT("'["&amp;G79&amp;"]"&amp;E79&amp;"'!"&amp;$AE$3),0)</f>
        <v>#VALUE!</v>
      </c>
      <c r="T79" s="35" t="e" cm="1">
        <f t="array" aca="1" ref="T79" ca="1">IF(AND(G79=INDIRECT("'["&amp;G79&amp;"]"&amp;E79&amp;"'!"&amp;$AH$2),OR(I79=INDIRECT("'["&amp;G79&amp;"]"&amp;E79&amp;"'!"&amp;$AF$2))),INDIRECT("'["&amp;G79&amp;"]"&amp;E79&amp;"'!"&amp;$AF$3),0)</f>
        <v>#VALUE!</v>
      </c>
      <c r="U79" s="34" t="e" cm="1">
        <f t="array" aca="1" ref="U79" ca="1">IF(AND(G79=INDIRECT("'["&amp;G79&amp;"]"&amp;E79&amp;"'!"&amp;$AH$2),OR(I79=INDIRECT("'["&amp;G79&amp;"]"&amp;E79&amp;"'!"&amp;$AG$2))),INDIRECT("'["&amp;G79&amp;"]"&amp;E79&amp;"'!"&amp;$AG$3),0)</f>
        <v>#VALUE!</v>
      </c>
      <c r="V79" s="25" t="str">
        <f t="shared" si="34"/>
        <v/>
      </c>
      <c r="W79" s="36" t="e" cm="1">
        <f t="array" aca="1" ref="W79" ca="1">IF(AND(G79=INDIRECT("'["&amp;G79&amp;"]"&amp;E79&amp;"'!"&amp;$AH$2),OR(V79=INDIRECT("'["&amp;G79&amp;"]"&amp;E79&amp;"'!"&amp;$AI$2))),INDIRECT("'["&amp;G79&amp;"]"&amp;E79&amp;"'!"&amp;$AI$3),0)</f>
        <v>#VALUE!</v>
      </c>
      <c r="AJ79" s="25">
        <v>1</v>
      </c>
      <c r="AK79" s="38">
        <f t="shared" ca="1" si="35"/>
        <v>0</v>
      </c>
      <c r="AL79" s="38">
        <f t="shared" ca="1" si="36"/>
        <v>0</v>
      </c>
      <c r="AM79" s="54" t="str">
        <f t="shared" ca="1" si="27"/>
        <v/>
      </c>
      <c r="AN79" s="25" t="e">
        <f t="shared" ca="1" si="37"/>
        <v>#VALUE!</v>
      </c>
      <c r="AO79" s="25" t="e">
        <f t="shared" ca="1" si="38"/>
        <v>#VALUE!</v>
      </c>
      <c r="AP79" s="39" t="str">
        <f t="shared" ca="1" si="28"/>
        <v/>
      </c>
      <c r="AQ79" s="46" t="str">
        <f ca="1">IF(AND(C79&lt;&gt;0, C80=0), SUM($C$2:C79)-SUM($AQ$1:AQ78), "")</f>
        <v/>
      </c>
      <c r="AR79" s="46" t="str">
        <f ca="1">IF(AND(AK79&lt;&gt;0, AK80=0), SUM($AK$2:AK79)-SUM($AR$1:AR78), "")</f>
        <v/>
      </c>
    </row>
    <row r="80" spans="1:44" ht="13.15" customHeight="1">
      <c r="A80" s="31"/>
      <c r="B80" s="68" t="str">
        <f t="shared" si="16"/>
        <v/>
      </c>
      <c r="C80" s="55" cm="1">
        <f t="array" aca="1" ref="C80" ca="1">SUM(IF(ISNUMBER(M80:U80),M80:U80,""))</f>
        <v>0</v>
      </c>
      <c r="D80" s="25" t="str">
        <f t="shared" si="17"/>
        <v/>
      </c>
      <c r="E80" s="25" t="e">
        <f t="shared" si="29"/>
        <v>#VALUE!</v>
      </c>
      <c r="F80" s="25" t="str">
        <f t="shared" si="19"/>
        <v/>
      </c>
      <c r="G80" s="25" t="str">
        <f t="shared" si="26"/>
        <v>.xlsx</v>
      </c>
      <c r="H80" s="29" t="e" cm="1">
        <f t="array" aca="1" ref="H80" ca="1">IF(AND(VALUE(E80)=INDIRECT("'["&amp;G80&amp;"]"&amp;E80&amp;"'!"&amp;$X$2),G80=INDIRECT("'["&amp;G80&amp;"]"&amp;E80&amp;"'!"&amp;$X$3)),INDIRECT("'["&amp;G80&amp;"]"&amp;E80&amp;"'!"&amp;$X$1),0)</f>
        <v>#VALUE!</v>
      </c>
      <c r="I80" s="25" t="str">
        <f t="shared" si="30"/>
        <v/>
      </c>
      <c r="J80" s="32" t="str">
        <f t="shared" si="31"/>
        <v/>
      </c>
      <c r="K80" s="25" t="str">
        <f t="shared" si="32"/>
        <v/>
      </c>
      <c r="L80" s="25" t="str">
        <f t="shared" si="33"/>
        <v/>
      </c>
      <c r="M80" s="33" t="e" cm="1">
        <f t="array" aca="1" ref="M80" ca="1">IF(AND(J80=INDIRECT("'["&amp;G80&amp;"]"&amp;E80&amp;"'!"&amp;$Y$2),G80=INDIRECT("'["&amp;G80&amp;"]"&amp;E80&amp;"'!"&amp;$AH$2)),INDIRECT("'["&amp;G80&amp;"]"&amp;E80&amp;"'!"&amp;$Y$3),0)</f>
        <v>#VALUE!</v>
      </c>
      <c r="N80" s="34" t="e" cm="1">
        <f t="array" aca="1" ref="N80" ca="1">IF(AND(G80=INDIRECT("'["&amp;G80&amp;"]"&amp;E80&amp;"'!"&amp;$AH$2),OR(K80=INDIRECT("'["&amp;G80&amp;"]"&amp;E80&amp;"'!"&amp;$Z$2))),INDIRECT("'["&amp;G80&amp;"]"&amp;E80&amp;"'!"&amp;$Z$3),0)</f>
        <v>#VALUE!</v>
      </c>
      <c r="O80" s="34" t="e" cm="1">
        <f t="array" aca="1" ref="O80" ca="1">IF(AND(G80=INDIRECT("'["&amp;G80&amp;"]"&amp;E80&amp;"'!"&amp;$AH$2),OR(L80=INDIRECT("'["&amp;G80&amp;"]"&amp;E80&amp;"'!"&amp;$AA$2))),INDIRECT("'["&amp;G80&amp;"]"&amp;E80&amp;"'!"&amp;$AA$3),0)</f>
        <v>#VALUE!</v>
      </c>
      <c r="P80" s="34" t="e" cm="1">
        <f t="array" aca="1" ref="P80" ca="1">IF(AND(G80=INDIRECT("'["&amp;G80&amp;"]"&amp;E80&amp;"'!"&amp;$AH$2),OR(VALUE(I80)=INDIRECT("'["&amp;G80&amp;"]"&amp;E80&amp;"'!"&amp;$AB$2))),INDIRECT("'["&amp;G80&amp;"]"&amp;E80&amp;"'!"&amp;$AB$3),0)</f>
        <v>#VALUE!</v>
      </c>
      <c r="Q80" s="34" t="e" cm="1">
        <f t="array" aca="1" ref="Q80" ca="1">IF(AND(G80=INDIRECT("'["&amp;G80&amp;"]"&amp;E80&amp;"'!"&amp;$AH$2),OR(VALUE(I80)=INDIRECT("'["&amp;G80&amp;"]"&amp;E80&amp;"'!"&amp;$AC$2))),INDIRECT("'["&amp;G80&amp;"]"&amp;E80&amp;"'!"&amp;$AC$3),0)</f>
        <v>#VALUE!</v>
      </c>
      <c r="R80" s="34" t="e" cm="1">
        <f t="array" aca="1" ref="R80" ca="1">IF(AND(G80=INDIRECT("'["&amp;G80&amp;"]"&amp;E80&amp;"'!"&amp;$AH$2),OR(I80=INDIRECT("'["&amp;G80&amp;"]"&amp;E80&amp;"'!"&amp;$AD$2))),INDIRECT("'["&amp;G80&amp;"]"&amp;E80&amp;"'!"&amp;$AD$3),0)</f>
        <v>#VALUE!</v>
      </c>
      <c r="S80" s="34" t="e" cm="1">
        <f t="array" aca="1" ref="S80" ca="1">IF(AND(G80=INDIRECT("'["&amp;G80&amp;"]"&amp;E80&amp;"'!"&amp;$AH$2),OR(I80=INDIRECT("'["&amp;G80&amp;"]"&amp;E80&amp;"'!"&amp;$AE$2))),INDIRECT("'["&amp;G80&amp;"]"&amp;E80&amp;"'!"&amp;$AE$3),0)</f>
        <v>#VALUE!</v>
      </c>
      <c r="T80" s="35" t="e" cm="1">
        <f t="array" aca="1" ref="T80" ca="1">IF(AND(G80=INDIRECT("'["&amp;G80&amp;"]"&amp;E80&amp;"'!"&amp;$AH$2),OR(I80=INDIRECT("'["&amp;G80&amp;"]"&amp;E80&amp;"'!"&amp;$AF$2))),INDIRECT("'["&amp;G80&amp;"]"&amp;E80&amp;"'!"&amp;$AF$3),0)</f>
        <v>#VALUE!</v>
      </c>
      <c r="U80" s="34" t="e" cm="1">
        <f t="array" aca="1" ref="U80" ca="1">IF(AND(G80=INDIRECT("'["&amp;G80&amp;"]"&amp;E80&amp;"'!"&amp;$AH$2),OR(I80=INDIRECT("'["&amp;G80&amp;"]"&amp;E80&amp;"'!"&amp;$AG$2))),INDIRECT("'["&amp;G80&amp;"]"&amp;E80&amp;"'!"&amp;$AG$3),0)</f>
        <v>#VALUE!</v>
      </c>
      <c r="V80" s="25" t="str">
        <f t="shared" si="34"/>
        <v/>
      </c>
      <c r="W80" s="36" t="e" cm="1">
        <f t="array" aca="1" ref="W80" ca="1">IF(AND(G80=INDIRECT("'["&amp;G80&amp;"]"&amp;E80&amp;"'!"&amp;$AH$2),OR(V80=INDIRECT("'["&amp;G80&amp;"]"&amp;E80&amp;"'!"&amp;$AI$2))),INDIRECT("'["&amp;G80&amp;"]"&amp;E80&amp;"'!"&amp;$AI$3),0)</f>
        <v>#VALUE!</v>
      </c>
      <c r="AJ80" s="25">
        <v>1</v>
      </c>
      <c r="AK80" s="38">
        <f t="shared" ca="1" si="35"/>
        <v>0</v>
      </c>
      <c r="AL80" s="38">
        <f t="shared" ca="1" si="36"/>
        <v>0</v>
      </c>
      <c r="AM80" s="54" t="str">
        <f t="shared" ca="1" si="27"/>
        <v/>
      </c>
      <c r="AN80" s="25" t="e">
        <f t="shared" ca="1" si="37"/>
        <v>#VALUE!</v>
      </c>
      <c r="AO80" s="25" t="e">
        <f t="shared" ca="1" si="38"/>
        <v>#VALUE!</v>
      </c>
      <c r="AP80" s="39" t="str">
        <f t="shared" ca="1" si="28"/>
        <v/>
      </c>
      <c r="AQ80" s="46" t="str">
        <f ca="1">IF(AND(C80&lt;&gt;0, C81=0), SUM($C$2:C80)-SUM($AQ$1:AQ79), "")</f>
        <v/>
      </c>
      <c r="AR80" s="46" t="str">
        <f ca="1">IF(AND(AK80&lt;&gt;0, AK81=0), SUM($AK$2:AK80)-SUM($AR$1:AR79), "")</f>
        <v/>
      </c>
    </row>
    <row r="81" spans="1:44" ht="13.15" customHeight="1">
      <c r="A81" s="31"/>
      <c r="B81" s="68" t="str">
        <f t="shared" si="16"/>
        <v/>
      </c>
      <c r="C81" s="55" cm="1">
        <f t="array" aca="1" ref="C81" ca="1">SUM(IF(ISNUMBER(M81:U81),M81:U81,""))</f>
        <v>0</v>
      </c>
      <c r="D81" s="25" t="str">
        <f t="shared" si="17"/>
        <v/>
      </c>
      <c r="E81" s="25" t="e">
        <f t="shared" si="29"/>
        <v>#VALUE!</v>
      </c>
      <c r="F81" s="25" t="str">
        <f t="shared" si="19"/>
        <v/>
      </c>
      <c r="G81" s="25" t="str">
        <f t="shared" si="26"/>
        <v>.xlsx</v>
      </c>
      <c r="H81" s="29" t="e" cm="1">
        <f t="array" aca="1" ref="H81" ca="1">IF(AND(VALUE(E81)=INDIRECT("'["&amp;G81&amp;"]"&amp;E81&amp;"'!"&amp;$X$2),G81=INDIRECT("'["&amp;G81&amp;"]"&amp;E81&amp;"'!"&amp;$X$3)),INDIRECT("'["&amp;G81&amp;"]"&amp;E81&amp;"'!"&amp;$X$1),0)</f>
        <v>#VALUE!</v>
      </c>
      <c r="I81" s="25" t="str">
        <f t="shared" si="30"/>
        <v/>
      </c>
      <c r="J81" s="32" t="str">
        <f t="shared" si="31"/>
        <v/>
      </c>
      <c r="K81" s="25" t="str">
        <f t="shared" si="32"/>
        <v/>
      </c>
      <c r="L81" s="25" t="str">
        <f t="shared" si="33"/>
        <v/>
      </c>
      <c r="M81" s="33" t="e" cm="1">
        <f t="array" aca="1" ref="M81" ca="1">IF(AND(J81=INDIRECT("'["&amp;G81&amp;"]"&amp;E81&amp;"'!"&amp;$Y$2),G81=INDIRECT("'["&amp;G81&amp;"]"&amp;E81&amp;"'!"&amp;$AH$2)),INDIRECT("'["&amp;G81&amp;"]"&amp;E81&amp;"'!"&amp;$Y$3),0)</f>
        <v>#VALUE!</v>
      </c>
      <c r="N81" s="34" t="e" cm="1">
        <f t="array" aca="1" ref="N81" ca="1">IF(AND(G81=INDIRECT("'["&amp;G81&amp;"]"&amp;E81&amp;"'!"&amp;$AH$2),OR(K81=INDIRECT("'["&amp;G81&amp;"]"&amp;E81&amp;"'!"&amp;$Z$2))),INDIRECT("'["&amp;G81&amp;"]"&amp;E81&amp;"'!"&amp;$Z$3),0)</f>
        <v>#VALUE!</v>
      </c>
      <c r="O81" s="34" t="e" cm="1">
        <f t="array" aca="1" ref="O81" ca="1">IF(AND(G81=INDIRECT("'["&amp;G81&amp;"]"&amp;E81&amp;"'!"&amp;$AH$2),OR(L81=INDIRECT("'["&amp;G81&amp;"]"&amp;E81&amp;"'!"&amp;$AA$2))),INDIRECT("'["&amp;G81&amp;"]"&amp;E81&amp;"'!"&amp;$AA$3),0)</f>
        <v>#VALUE!</v>
      </c>
      <c r="P81" s="34" t="e" cm="1">
        <f t="array" aca="1" ref="P81" ca="1">IF(AND(G81=INDIRECT("'["&amp;G81&amp;"]"&amp;E81&amp;"'!"&amp;$AH$2),OR(VALUE(I81)=INDIRECT("'["&amp;G81&amp;"]"&amp;E81&amp;"'!"&amp;$AB$2))),INDIRECT("'["&amp;G81&amp;"]"&amp;E81&amp;"'!"&amp;$AB$3),0)</f>
        <v>#VALUE!</v>
      </c>
      <c r="Q81" s="34" t="e" cm="1">
        <f t="array" aca="1" ref="Q81" ca="1">IF(AND(G81=INDIRECT("'["&amp;G81&amp;"]"&amp;E81&amp;"'!"&amp;$AH$2),OR(VALUE(I81)=INDIRECT("'["&amp;G81&amp;"]"&amp;E81&amp;"'!"&amp;$AC$2))),INDIRECT("'["&amp;G81&amp;"]"&amp;E81&amp;"'!"&amp;$AC$3),0)</f>
        <v>#VALUE!</v>
      </c>
      <c r="R81" s="34" t="e" cm="1">
        <f t="array" aca="1" ref="R81" ca="1">IF(AND(G81=INDIRECT("'["&amp;G81&amp;"]"&amp;E81&amp;"'!"&amp;$AH$2),OR(I81=INDIRECT("'["&amp;G81&amp;"]"&amp;E81&amp;"'!"&amp;$AD$2))),INDIRECT("'["&amp;G81&amp;"]"&amp;E81&amp;"'!"&amp;$AD$3),0)</f>
        <v>#VALUE!</v>
      </c>
      <c r="S81" s="34" t="e" cm="1">
        <f t="array" aca="1" ref="S81" ca="1">IF(AND(G81=INDIRECT("'["&amp;G81&amp;"]"&amp;E81&amp;"'!"&amp;$AH$2),OR(I81=INDIRECT("'["&amp;G81&amp;"]"&amp;E81&amp;"'!"&amp;$AE$2))),INDIRECT("'["&amp;G81&amp;"]"&amp;E81&amp;"'!"&amp;$AE$3),0)</f>
        <v>#VALUE!</v>
      </c>
      <c r="T81" s="35" t="e" cm="1">
        <f t="array" aca="1" ref="T81" ca="1">IF(AND(G81=INDIRECT("'["&amp;G81&amp;"]"&amp;E81&amp;"'!"&amp;$AH$2),OR(I81=INDIRECT("'["&amp;G81&amp;"]"&amp;E81&amp;"'!"&amp;$AF$2))),INDIRECT("'["&amp;G81&amp;"]"&amp;E81&amp;"'!"&amp;$AF$3),0)</f>
        <v>#VALUE!</v>
      </c>
      <c r="U81" s="34" t="e" cm="1">
        <f t="array" aca="1" ref="U81" ca="1">IF(AND(G81=INDIRECT("'["&amp;G81&amp;"]"&amp;E81&amp;"'!"&amp;$AH$2),OR(I81=INDIRECT("'["&amp;G81&amp;"]"&amp;E81&amp;"'!"&amp;$AG$2))),INDIRECT("'["&amp;G81&amp;"]"&amp;E81&amp;"'!"&amp;$AG$3),0)</f>
        <v>#VALUE!</v>
      </c>
      <c r="V81" s="25" t="str">
        <f t="shared" si="34"/>
        <v/>
      </c>
      <c r="W81" s="36" t="e" cm="1">
        <f t="array" aca="1" ref="W81" ca="1">IF(AND(G81=INDIRECT("'["&amp;G81&amp;"]"&amp;E81&amp;"'!"&amp;$AH$2),OR(V81=INDIRECT("'["&amp;G81&amp;"]"&amp;E81&amp;"'!"&amp;$AI$2))),INDIRECT("'["&amp;G81&amp;"]"&amp;E81&amp;"'!"&amp;$AI$3),0)</f>
        <v>#VALUE!</v>
      </c>
      <c r="AJ81" s="25">
        <v>1</v>
      </c>
      <c r="AK81" s="38">
        <f t="shared" ca="1" si="35"/>
        <v>0</v>
      </c>
      <c r="AL81" s="38">
        <f t="shared" ca="1" si="36"/>
        <v>0</v>
      </c>
      <c r="AM81" s="54" t="str">
        <f t="shared" ca="1" si="27"/>
        <v/>
      </c>
      <c r="AN81" s="25" t="e">
        <f t="shared" ca="1" si="37"/>
        <v>#VALUE!</v>
      </c>
      <c r="AO81" s="25" t="e">
        <f t="shared" ca="1" si="38"/>
        <v>#VALUE!</v>
      </c>
      <c r="AP81" s="39" t="str">
        <f t="shared" ca="1" si="28"/>
        <v/>
      </c>
      <c r="AQ81" s="46" t="str">
        <f ca="1">IF(AND(C81&lt;&gt;0, C82=0), SUM($C$2:C81)-SUM($AQ$1:AQ80), "")</f>
        <v/>
      </c>
      <c r="AR81" s="46" t="str">
        <f ca="1">IF(AND(AK81&lt;&gt;0, AK82=0), SUM($AK$2:AK81)-SUM($AR$1:AR80), "")</f>
        <v/>
      </c>
    </row>
    <row r="82" spans="1:44" ht="13.15" customHeight="1">
      <c r="A82" s="31"/>
      <c r="B82" s="68" t="str">
        <f t="shared" si="16"/>
        <v/>
      </c>
      <c r="C82" s="55" cm="1">
        <f t="array" aca="1" ref="C82" ca="1">SUM(IF(ISNUMBER(M82:U82),M82:U82,""))</f>
        <v>0</v>
      </c>
      <c r="D82" s="25" t="str">
        <f t="shared" si="17"/>
        <v/>
      </c>
      <c r="E82" s="25" t="e">
        <f t="shared" si="29"/>
        <v>#VALUE!</v>
      </c>
      <c r="F82" s="25" t="str">
        <f t="shared" si="19"/>
        <v/>
      </c>
      <c r="G82" s="25" t="str">
        <f t="shared" si="26"/>
        <v>.xlsx</v>
      </c>
      <c r="H82" s="29" t="e" cm="1">
        <f t="array" aca="1" ref="H82" ca="1">IF(AND(VALUE(E82)=INDIRECT("'["&amp;G82&amp;"]"&amp;E82&amp;"'!"&amp;$X$2),G82=INDIRECT("'["&amp;G82&amp;"]"&amp;E82&amp;"'!"&amp;$X$3)),INDIRECT("'["&amp;G82&amp;"]"&amp;E82&amp;"'!"&amp;$X$1),0)</f>
        <v>#VALUE!</v>
      </c>
      <c r="I82" s="25" t="str">
        <f t="shared" si="30"/>
        <v/>
      </c>
      <c r="J82" s="32" t="str">
        <f t="shared" si="31"/>
        <v/>
      </c>
      <c r="K82" s="25" t="str">
        <f t="shared" si="32"/>
        <v/>
      </c>
      <c r="L82" s="25" t="str">
        <f t="shared" si="33"/>
        <v/>
      </c>
      <c r="M82" s="33" t="e" cm="1">
        <f t="array" aca="1" ref="M82" ca="1">IF(AND(J82=INDIRECT("'["&amp;G82&amp;"]"&amp;E82&amp;"'!"&amp;$Y$2),G82=INDIRECT("'["&amp;G82&amp;"]"&amp;E82&amp;"'!"&amp;$AH$2)),INDIRECT("'["&amp;G82&amp;"]"&amp;E82&amp;"'!"&amp;$Y$3),0)</f>
        <v>#VALUE!</v>
      </c>
      <c r="N82" s="34" t="e" cm="1">
        <f t="array" aca="1" ref="N82" ca="1">IF(AND(G82=INDIRECT("'["&amp;G82&amp;"]"&amp;E82&amp;"'!"&amp;$AH$2),OR(K82=INDIRECT("'["&amp;G82&amp;"]"&amp;E82&amp;"'!"&amp;$Z$2))),INDIRECT("'["&amp;G82&amp;"]"&amp;E82&amp;"'!"&amp;$Z$3),0)</f>
        <v>#VALUE!</v>
      </c>
      <c r="O82" s="34" t="e" cm="1">
        <f t="array" aca="1" ref="O82" ca="1">IF(AND(G82=INDIRECT("'["&amp;G82&amp;"]"&amp;E82&amp;"'!"&amp;$AH$2),OR(L82=INDIRECT("'["&amp;G82&amp;"]"&amp;E82&amp;"'!"&amp;$AA$2))),INDIRECT("'["&amp;G82&amp;"]"&amp;E82&amp;"'!"&amp;$AA$3),0)</f>
        <v>#VALUE!</v>
      </c>
      <c r="P82" s="34" t="e" cm="1">
        <f t="array" aca="1" ref="P82" ca="1">IF(AND(G82=INDIRECT("'["&amp;G82&amp;"]"&amp;E82&amp;"'!"&amp;$AH$2),OR(VALUE(I82)=INDIRECT("'["&amp;G82&amp;"]"&amp;E82&amp;"'!"&amp;$AB$2))),INDIRECT("'["&amp;G82&amp;"]"&amp;E82&amp;"'!"&amp;$AB$3),0)</f>
        <v>#VALUE!</v>
      </c>
      <c r="Q82" s="34" t="e" cm="1">
        <f t="array" aca="1" ref="Q82" ca="1">IF(AND(G82=INDIRECT("'["&amp;G82&amp;"]"&amp;E82&amp;"'!"&amp;$AH$2),OR(VALUE(I82)=INDIRECT("'["&amp;G82&amp;"]"&amp;E82&amp;"'!"&amp;$AC$2))),INDIRECT("'["&amp;G82&amp;"]"&amp;E82&amp;"'!"&amp;$AC$3),0)</f>
        <v>#VALUE!</v>
      </c>
      <c r="R82" s="34" t="e" cm="1">
        <f t="array" aca="1" ref="R82" ca="1">IF(AND(G82=INDIRECT("'["&amp;G82&amp;"]"&amp;E82&amp;"'!"&amp;$AH$2),OR(I82=INDIRECT("'["&amp;G82&amp;"]"&amp;E82&amp;"'!"&amp;$AD$2))),INDIRECT("'["&amp;G82&amp;"]"&amp;E82&amp;"'!"&amp;$AD$3),0)</f>
        <v>#VALUE!</v>
      </c>
      <c r="S82" s="34" t="e" cm="1">
        <f t="array" aca="1" ref="S82" ca="1">IF(AND(G82=INDIRECT("'["&amp;G82&amp;"]"&amp;E82&amp;"'!"&amp;$AH$2),OR(I82=INDIRECT("'["&amp;G82&amp;"]"&amp;E82&amp;"'!"&amp;$AE$2))),INDIRECT("'["&amp;G82&amp;"]"&amp;E82&amp;"'!"&amp;$AE$3),0)</f>
        <v>#VALUE!</v>
      </c>
      <c r="T82" s="35" t="e" cm="1">
        <f t="array" aca="1" ref="T82" ca="1">IF(AND(G82=INDIRECT("'["&amp;G82&amp;"]"&amp;E82&amp;"'!"&amp;$AH$2),OR(I82=INDIRECT("'["&amp;G82&amp;"]"&amp;E82&amp;"'!"&amp;$AF$2))),INDIRECT("'["&amp;G82&amp;"]"&amp;E82&amp;"'!"&amp;$AF$3),0)</f>
        <v>#VALUE!</v>
      </c>
      <c r="U82" s="34" t="e" cm="1">
        <f t="array" aca="1" ref="U82" ca="1">IF(AND(G82=INDIRECT("'["&amp;G82&amp;"]"&amp;E82&amp;"'!"&amp;$AH$2),OR(I82=INDIRECT("'["&amp;G82&amp;"]"&amp;E82&amp;"'!"&amp;$AG$2))),INDIRECT("'["&amp;G82&amp;"]"&amp;E82&amp;"'!"&amp;$AG$3),0)</f>
        <v>#VALUE!</v>
      </c>
      <c r="V82" s="25" t="str">
        <f t="shared" si="34"/>
        <v/>
      </c>
      <c r="W82" s="36" t="e" cm="1">
        <f t="array" aca="1" ref="W82" ca="1">IF(AND(G82=INDIRECT("'["&amp;G82&amp;"]"&amp;E82&amp;"'!"&amp;$AH$2),OR(V82=INDIRECT("'["&amp;G82&amp;"]"&amp;E82&amp;"'!"&amp;$AI$2))),INDIRECT("'["&amp;G82&amp;"]"&amp;E82&amp;"'!"&amp;$AI$3),0)</f>
        <v>#VALUE!</v>
      </c>
      <c r="AJ82" s="25">
        <v>1</v>
      </c>
      <c r="AK82" s="38">
        <f t="shared" ca="1" si="35"/>
        <v>0</v>
      </c>
      <c r="AL82" s="38">
        <f t="shared" ca="1" si="36"/>
        <v>0</v>
      </c>
      <c r="AM82" s="54" t="str">
        <f t="shared" ca="1" si="27"/>
        <v/>
      </c>
      <c r="AN82" s="25" t="e">
        <f t="shared" ca="1" si="37"/>
        <v>#VALUE!</v>
      </c>
      <c r="AO82" s="25" t="e">
        <f t="shared" ca="1" si="38"/>
        <v>#VALUE!</v>
      </c>
      <c r="AP82" s="39" t="str">
        <f t="shared" ca="1" si="28"/>
        <v/>
      </c>
      <c r="AQ82" s="46" t="str">
        <f ca="1">IF(AND(C82&lt;&gt;0, C83=0), SUM($C$2:C82)-SUM($AQ$1:AQ81), "")</f>
        <v/>
      </c>
      <c r="AR82" s="46" t="str">
        <f ca="1">IF(AND(AK82&lt;&gt;0, AK83=0), SUM($AK$2:AK82)-SUM($AR$1:AR81), "")</f>
        <v/>
      </c>
    </row>
    <row r="83" spans="1:44" ht="13.15" customHeight="1">
      <c r="A83" s="31"/>
      <c r="B83" s="68" t="str">
        <f t="shared" si="16"/>
        <v/>
      </c>
      <c r="C83" s="55" cm="1">
        <f t="array" aca="1" ref="C83" ca="1">SUM(IF(ISNUMBER(M83:U83),M83:U83,""))</f>
        <v>0</v>
      </c>
      <c r="D83" s="25" t="str">
        <f t="shared" si="17"/>
        <v/>
      </c>
      <c r="E83" s="25" t="e">
        <f t="shared" si="29"/>
        <v>#VALUE!</v>
      </c>
      <c r="F83" s="25" t="str">
        <f t="shared" si="19"/>
        <v/>
      </c>
      <c r="G83" s="25" t="str">
        <f t="shared" si="26"/>
        <v>.xlsx</v>
      </c>
      <c r="H83" s="29" t="e" cm="1">
        <f t="array" aca="1" ref="H83" ca="1">IF(AND(VALUE(E83)=INDIRECT("'["&amp;G83&amp;"]"&amp;E83&amp;"'!"&amp;$X$2),G83=INDIRECT("'["&amp;G83&amp;"]"&amp;E83&amp;"'!"&amp;$X$3)),INDIRECT("'["&amp;G83&amp;"]"&amp;E83&amp;"'!"&amp;$X$1),0)</f>
        <v>#VALUE!</v>
      </c>
      <c r="I83" s="25" t="str">
        <f t="shared" si="30"/>
        <v/>
      </c>
      <c r="J83" s="32" t="str">
        <f t="shared" si="31"/>
        <v/>
      </c>
      <c r="K83" s="25" t="str">
        <f t="shared" si="32"/>
        <v/>
      </c>
      <c r="L83" s="25" t="str">
        <f t="shared" si="33"/>
        <v/>
      </c>
      <c r="M83" s="33" t="e" cm="1">
        <f t="array" aca="1" ref="M83" ca="1">IF(AND(J83=INDIRECT("'["&amp;G83&amp;"]"&amp;E83&amp;"'!"&amp;$Y$2),G83=INDIRECT("'["&amp;G83&amp;"]"&amp;E83&amp;"'!"&amp;$AH$2)),INDIRECT("'["&amp;G83&amp;"]"&amp;E83&amp;"'!"&amp;$Y$3),0)</f>
        <v>#VALUE!</v>
      </c>
      <c r="N83" s="34" t="e" cm="1">
        <f t="array" aca="1" ref="N83" ca="1">IF(AND(G83=INDIRECT("'["&amp;G83&amp;"]"&amp;E83&amp;"'!"&amp;$AH$2),OR(K83=INDIRECT("'["&amp;G83&amp;"]"&amp;E83&amp;"'!"&amp;$Z$2))),INDIRECT("'["&amp;G83&amp;"]"&amp;E83&amp;"'!"&amp;$Z$3),0)</f>
        <v>#VALUE!</v>
      </c>
      <c r="O83" s="34" t="e" cm="1">
        <f t="array" aca="1" ref="O83" ca="1">IF(AND(G83=INDIRECT("'["&amp;G83&amp;"]"&amp;E83&amp;"'!"&amp;$AH$2),OR(L83=INDIRECT("'["&amp;G83&amp;"]"&amp;E83&amp;"'!"&amp;$AA$2))),INDIRECT("'["&amp;G83&amp;"]"&amp;E83&amp;"'!"&amp;$AA$3),0)</f>
        <v>#VALUE!</v>
      </c>
      <c r="P83" s="34" t="e" cm="1">
        <f t="array" aca="1" ref="P83" ca="1">IF(AND(G83=INDIRECT("'["&amp;G83&amp;"]"&amp;E83&amp;"'!"&amp;$AH$2),OR(VALUE(I83)=INDIRECT("'["&amp;G83&amp;"]"&amp;E83&amp;"'!"&amp;$AB$2))),INDIRECT("'["&amp;G83&amp;"]"&amp;E83&amp;"'!"&amp;$AB$3),0)</f>
        <v>#VALUE!</v>
      </c>
      <c r="Q83" s="34" t="e" cm="1">
        <f t="array" aca="1" ref="Q83" ca="1">IF(AND(G83=INDIRECT("'["&amp;G83&amp;"]"&amp;E83&amp;"'!"&amp;$AH$2),OR(VALUE(I83)=INDIRECT("'["&amp;G83&amp;"]"&amp;E83&amp;"'!"&amp;$AC$2))),INDIRECT("'["&amp;G83&amp;"]"&amp;E83&amp;"'!"&amp;$AC$3),0)</f>
        <v>#VALUE!</v>
      </c>
      <c r="R83" s="34" t="e" cm="1">
        <f t="array" aca="1" ref="R83" ca="1">IF(AND(G83=INDIRECT("'["&amp;G83&amp;"]"&amp;E83&amp;"'!"&amp;$AH$2),OR(I83=INDIRECT("'["&amp;G83&amp;"]"&amp;E83&amp;"'!"&amp;$AD$2))),INDIRECT("'["&amp;G83&amp;"]"&amp;E83&amp;"'!"&amp;$AD$3),0)</f>
        <v>#VALUE!</v>
      </c>
      <c r="S83" s="34" t="e" cm="1">
        <f t="array" aca="1" ref="S83" ca="1">IF(AND(G83=INDIRECT("'["&amp;G83&amp;"]"&amp;E83&amp;"'!"&amp;$AH$2),OR(I83=INDIRECT("'["&amp;G83&amp;"]"&amp;E83&amp;"'!"&amp;$AE$2))),INDIRECT("'["&amp;G83&amp;"]"&amp;E83&amp;"'!"&amp;$AE$3),0)</f>
        <v>#VALUE!</v>
      </c>
      <c r="T83" s="35" t="e" cm="1">
        <f t="array" aca="1" ref="T83" ca="1">IF(AND(G83=INDIRECT("'["&amp;G83&amp;"]"&amp;E83&amp;"'!"&amp;$AH$2),OR(I83=INDIRECT("'["&amp;G83&amp;"]"&amp;E83&amp;"'!"&amp;$AF$2))),INDIRECT("'["&amp;G83&amp;"]"&amp;E83&amp;"'!"&amp;$AF$3),0)</f>
        <v>#VALUE!</v>
      </c>
      <c r="U83" s="34" t="e" cm="1">
        <f t="array" aca="1" ref="U83" ca="1">IF(AND(G83=INDIRECT("'["&amp;G83&amp;"]"&amp;E83&amp;"'!"&amp;$AH$2),OR(I83=INDIRECT("'["&amp;G83&amp;"]"&amp;E83&amp;"'!"&amp;$AG$2))),INDIRECT("'["&amp;G83&amp;"]"&amp;E83&amp;"'!"&amp;$AG$3),0)</f>
        <v>#VALUE!</v>
      </c>
      <c r="V83" s="25" t="str">
        <f t="shared" si="34"/>
        <v/>
      </c>
      <c r="W83" s="36" t="e" cm="1">
        <f t="array" aca="1" ref="W83" ca="1">IF(AND(G83=INDIRECT("'["&amp;G83&amp;"]"&amp;E83&amp;"'!"&amp;$AH$2),OR(V83=INDIRECT("'["&amp;G83&amp;"]"&amp;E83&amp;"'!"&amp;$AI$2))),INDIRECT("'["&amp;G83&amp;"]"&amp;E83&amp;"'!"&amp;$AI$3),0)</f>
        <v>#VALUE!</v>
      </c>
      <c r="AJ83" s="25">
        <v>1</v>
      </c>
      <c r="AK83" s="38">
        <f t="shared" ca="1" si="35"/>
        <v>0</v>
      </c>
      <c r="AL83" s="38">
        <f t="shared" ca="1" si="36"/>
        <v>0</v>
      </c>
      <c r="AM83" s="54" t="str">
        <f t="shared" ca="1" si="27"/>
        <v/>
      </c>
      <c r="AN83" s="25" t="e">
        <f t="shared" ca="1" si="37"/>
        <v>#VALUE!</v>
      </c>
      <c r="AO83" s="25" t="e">
        <f t="shared" ca="1" si="38"/>
        <v>#VALUE!</v>
      </c>
      <c r="AP83" s="39" t="str">
        <f t="shared" ca="1" si="28"/>
        <v/>
      </c>
      <c r="AQ83" s="46" t="str">
        <f ca="1">IF(AND(C83&lt;&gt;0, C84=0), SUM($C$2:C83)-SUM($AQ$1:AQ82), "")</f>
        <v/>
      </c>
      <c r="AR83" s="46" t="str">
        <f ca="1">IF(AND(AK83&lt;&gt;0, AK84=0), SUM($AK$2:AK83)-SUM($AR$1:AR82), "")</f>
        <v/>
      </c>
    </row>
    <row r="84" spans="1:44" ht="13.15" customHeight="1">
      <c r="A84" s="31"/>
      <c r="B84" s="68" t="str">
        <f t="shared" si="16"/>
        <v/>
      </c>
      <c r="C84" s="55" cm="1">
        <f t="array" aca="1" ref="C84" ca="1">SUM(IF(ISNUMBER(M84:U84),M84:U84,""))</f>
        <v>0</v>
      </c>
      <c r="D84" s="25" t="str">
        <f t="shared" si="17"/>
        <v/>
      </c>
      <c r="E84" s="25" t="e">
        <f t="shared" si="29"/>
        <v>#VALUE!</v>
      </c>
      <c r="F84" s="25" t="str">
        <f t="shared" si="19"/>
        <v/>
      </c>
      <c r="G84" s="25" t="str">
        <f t="shared" si="26"/>
        <v>.xlsx</v>
      </c>
      <c r="H84" s="29" t="e" cm="1">
        <f t="array" aca="1" ref="H84" ca="1">IF(AND(VALUE(E84)=INDIRECT("'["&amp;G84&amp;"]"&amp;E84&amp;"'!"&amp;$X$2),G84=INDIRECT("'["&amp;G84&amp;"]"&amp;E84&amp;"'!"&amp;$X$3)),INDIRECT("'["&amp;G84&amp;"]"&amp;E84&amp;"'!"&amp;$X$1),0)</f>
        <v>#VALUE!</v>
      </c>
      <c r="I84" s="25" t="str">
        <f t="shared" si="30"/>
        <v/>
      </c>
      <c r="J84" s="32" t="str">
        <f t="shared" si="31"/>
        <v/>
      </c>
      <c r="K84" s="25" t="str">
        <f t="shared" si="32"/>
        <v/>
      </c>
      <c r="L84" s="25" t="str">
        <f t="shared" si="33"/>
        <v/>
      </c>
      <c r="M84" s="33" t="e" cm="1">
        <f t="array" aca="1" ref="M84" ca="1">IF(AND(J84=INDIRECT("'["&amp;G84&amp;"]"&amp;E84&amp;"'!"&amp;$Y$2),G84=INDIRECT("'["&amp;G84&amp;"]"&amp;E84&amp;"'!"&amp;$AH$2)),INDIRECT("'["&amp;G84&amp;"]"&amp;E84&amp;"'!"&amp;$Y$3),0)</f>
        <v>#VALUE!</v>
      </c>
      <c r="N84" s="34" t="e" cm="1">
        <f t="array" aca="1" ref="N84" ca="1">IF(AND(G84=INDIRECT("'["&amp;G84&amp;"]"&amp;E84&amp;"'!"&amp;$AH$2),OR(K84=INDIRECT("'["&amp;G84&amp;"]"&amp;E84&amp;"'!"&amp;$Z$2))),INDIRECT("'["&amp;G84&amp;"]"&amp;E84&amp;"'!"&amp;$Z$3),0)</f>
        <v>#VALUE!</v>
      </c>
      <c r="O84" s="34" t="e" cm="1">
        <f t="array" aca="1" ref="O84" ca="1">IF(AND(G84=INDIRECT("'["&amp;G84&amp;"]"&amp;E84&amp;"'!"&amp;$AH$2),OR(L84=INDIRECT("'["&amp;G84&amp;"]"&amp;E84&amp;"'!"&amp;$AA$2))),INDIRECT("'["&amp;G84&amp;"]"&amp;E84&amp;"'!"&amp;$AA$3),0)</f>
        <v>#VALUE!</v>
      </c>
      <c r="P84" s="34" t="e" cm="1">
        <f t="array" aca="1" ref="P84" ca="1">IF(AND(G84=INDIRECT("'["&amp;G84&amp;"]"&amp;E84&amp;"'!"&amp;$AH$2),OR(VALUE(I84)=INDIRECT("'["&amp;G84&amp;"]"&amp;E84&amp;"'!"&amp;$AB$2))),INDIRECT("'["&amp;G84&amp;"]"&amp;E84&amp;"'!"&amp;$AB$3),0)</f>
        <v>#VALUE!</v>
      </c>
      <c r="Q84" s="34" t="e" cm="1">
        <f t="array" aca="1" ref="Q84" ca="1">IF(AND(G84=INDIRECT("'["&amp;G84&amp;"]"&amp;E84&amp;"'!"&amp;$AH$2),OR(VALUE(I84)=INDIRECT("'["&amp;G84&amp;"]"&amp;E84&amp;"'!"&amp;$AC$2))),INDIRECT("'["&amp;G84&amp;"]"&amp;E84&amp;"'!"&amp;$AC$3),0)</f>
        <v>#VALUE!</v>
      </c>
      <c r="R84" s="34" t="e" cm="1">
        <f t="array" aca="1" ref="R84" ca="1">IF(AND(G84=INDIRECT("'["&amp;G84&amp;"]"&amp;E84&amp;"'!"&amp;$AH$2),OR(I84=INDIRECT("'["&amp;G84&amp;"]"&amp;E84&amp;"'!"&amp;$AD$2))),INDIRECT("'["&amp;G84&amp;"]"&amp;E84&amp;"'!"&amp;$AD$3),0)</f>
        <v>#VALUE!</v>
      </c>
      <c r="S84" s="34" t="e" cm="1">
        <f t="array" aca="1" ref="S84" ca="1">IF(AND(G84=INDIRECT("'["&amp;G84&amp;"]"&amp;E84&amp;"'!"&amp;$AH$2),OR(I84=INDIRECT("'["&amp;G84&amp;"]"&amp;E84&amp;"'!"&amp;$AE$2))),INDIRECT("'["&amp;G84&amp;"]"&amp;E84&amp;"'!"&amp;$AE$3),0)</f>
        <v>#VALUE!</v>
      </c>
      <c r="T84" s="35" t="e" cm="1">
        <f t="array" aca="1" ref="T84" ca="1">IF(AND(G84=INDIRECT("'["&amp;G84&amp;"]"&amp;E84&amp;"'!"&amp;$AH$2),OR(I84=INDIRECT("'["&amp;G84&amp;"]"&amp;E84&amp;"'!"&amp;$AF$2))),INDIRECT("'["&amp;G84&amp;"]"&amp;E84&amp;"'!"&amp;$AF$3),0)</f>
        <v>#VALUE!</v>
      </c>
      <c r="U84" s="34" t="e" cm="1">
        <f t="array" aca="1" ref="U84" ca="1">IF(AND(G84=INDIRECT("'["&amp;G84&amp;"]"&amp;E84&amp;"'!"&amp;$AH$2),OR(I84=INDIRECT("'["&amp;G84&amp;"]"&amp;E84&amp;"'!"&amp;$AG$2))),INDIRECT("'["&amp;G84&amp;"]"&amp;E84&amp;"'!"&amp;$AG$3),0)</f>
        <v>#VALUE!</v>
      </c>
      <c r="V84" s="25" t="str">
        <f t="shared" si="34"/>
        <v/>
      </c>
      <c r="W84" s="36" t="e" cm="1">
        <f t="array" aca="1" ref="W84" ca="1">IF(AND(G84=INDIRECT("'["&amp;G84&amp;"]"&amp;E84&amp;"'!"&amp;$AH$2),OR(V84=INDIRECT("'["&amp;G84&amp;"]"&amp;E84&amp;"'!"&amp;$AI$2))),INDIRECT("'["&amp;G84&amp;"]"&amp;E84&amp;"'!"&amp;$AI$3),0)</f>
        <v>#VALUE!</v>
      </c>
      <c r="AJ84" s="25">
        <v>1</v>
      </c>
      <c r="AK84" s="38">
        <f t="shared" ca="1" si="35"/>
        <v>0</v>
      </c>
      <c r="AL84" s="38">
        <f t="shared" ca="1" si="36"/>
        <v>0</v>
      </c>
      <c r="AM84" s="54" t="str">
        <f t="shared" ca="1" si="27"/>
        <v/>
      </c>
      <c r="AN84" s="25" t="e">
        <f t="shared" ca="1" si="37"/>
        <v>#VALUE!</v>
      </c>
      <c r="AO84" s="25" t="e">
        <f t="shared" ca="1" si="38"/>
        <v>#VALUE!</v>
      </c>
      <c r="AP84" s="39" t="str">
        <f t="shared" ca="1" si="28"/>
        <v/>
      </c>
      <c r="AQ84" s="46" t="str">
        <f ca="1">IF(AND(C84&lt;&gt;0, C85=0), SUM($C$2:C84)-SUM($AQ$1:AQ83), "")</f>
        <v/>
      </c>
      <c r="AR84" s="46" t="str">
        <f ca="1">IF(AND(AK84&lt;&gt;0, AK85=0), SUM($AK$2:AK84)-SUM($AR$1:AR83), "")</f>
        <v/>
      </c>
    </row>
    <row r="85" spans="1:44" ht="13.15" customHeight="1">
      <c r="A85" s="31"/>
      <c r="B85" s="68" t="str">
        <f t="shared" si="16"/>
        <v/>
      </c>
      <c r="C85" s="55" cm="1">
        <f t="array" aca="1" ref="C85" ca="1">SUM(IF(ISNUMBER(M85:U85),M85:U85,""))</f>
        <v>0</v>
      </c>
      <c r="D85" s="25" t="str">
        <f t="shared" si="17"/>
        <v/>
      </c>
      <c r="E85" s="25" t="e">
        <f t="shared" si="29"/>
        <v>#VALUE!</v>
      </c>
      <c r="F85" s="25" t="str">
        <f t="shared" si="19"/>
        <v/>
      </c>
      <c r="G85" s="25" t="str">
        <f t="shared" si="26"/>
        <v>.xlsx</v>
      </c>
      <c r="H85" s="29" t="e" cm="1">
        <f t="array" aca="1" ref="H85" ca="1">IF(AND(VALUE(E85)=INDIRECT("'["&amp;G85&amp;"]"&amp;E85&amp;"'!"&amp;$X$2),G85=INDIRECT("'["&amp;G85&amp;"]"&amp;E85&amp;"'!"&amp;$X$3)),INDIRECT("'["&amp;G85&amp;"]"&amp;E85&amp;"'!"&amp;$X$1),0)</f>
        <v>#VALUE!</v>
      </c>
      <c r="I85" s="25" t="str">
        <f t="shared" si="30"/>
        <v/>
      </c>
      <c r="J85" s="32" t="str">
        <f t="shared" si="31"/>
        <v/>
      </c>
      <c r="K85" s="25" t="str">
        <f t="shared" si="32"/>
        <v/>
      </c>
      <c r="L85" s="25" t="str">
        <f t="shared" si="33"/>
        <v/>
      </c>
      <c r="M85" s="33" t="e" cm="1">
        <f t="array" aca="1" ref="M85" ca="1">IF(AND(J85=INDIRECT("'["&amp;G85&amp;"]"&amp;E85&amp;"'!"&amp;$Y$2),G85=INDIRECT("'["&amp;G85&amp;"]"&amp;E85&amp;"'!"&amp;$AH$2)),INDIRECT("'["&amp;G85&amp;"]"&amp;E85&amp;"'!"&amp;$Y$3),0)</f>
        <v>#VALUE!</v>
      </c>
      <c r="N85" s="34" t="e" cm="1">
        <f t="array" aca="1" ref="N85" ca="1">IF(AND(G85=INDIRECT("'["&amp;G85&amp;"]"&amp;E85&amp;"'!"&amp;$AH$2),OR(K85=INDIRECT("'["&amp;G85&amp;"]"&amp;E85&amp;"'!"&amp;$Z$2))),INDIRECT("'["&amp;G85&amp;"]"&amp;E85&amp;"'!"&amp;$Z$3),0)</f>
        <v>#VALUE!</v>
      </c>
      <c r="O85" s="34" t="e" cm="1">
        <f t="array" aca="1" ref="O85" ca="1">IF(AND(G85=INDIRECT("'["&amp;G85&amp;"]"&amp;E85&amp;"'!"&amp;$AH$2),OR(L85=INDIRECT("'["&amp;G85&amp;"]"&amp;E85&amp;"'!"&amp;$AA$2))),INDIRECT("'["&amp;G85&amp;"]"&amp;E85&amp;"'!"&amp;$AA$3),0)</f>
        <v>#VALUE!</v>
      </c>
      <c r="P85" s="34" t="e" cm="1">
        <f t="array" aca="1" ref="P85" ca="1">IF(AND(G85=INDIRECT("'["&amp;G85&amp;"]"&amp;E85&amp;"'!"&amp;$AH$2),OR(VALUE(I85)=INDIRECT("'["&amp;G85&amp;"]"&amp;E85&amp;"'!"&amp;$AB$2))),INDIRECT("'["&amp;G85&amp;"]"&amp;E85&amp;"'!"&amp;$AB$3),0)</f>
        <v>#VALUE!</v>
      </c>
      <c r="Q85" s="34" t="e" cm="1">
        <f t="array" aca="1" ref="Q85" ca="1">IF(AND(G85=INDIRECT("'["&amp;G85&amp;"]"&amp;E85&amp;"'!"&amp;$AH$2),OR(VALUE(I85)=INDIRECT("'["&amp;G85&amp;"]"&amp;E85&amp;"'!"&amp;$AC$2))),INDIRECT("'["&amp;G85&amp;"]"&amp;E85&amp;"'!"&amp;$AC$3),0)</f>
        <v>#VALUE!</v>
      </c>
      <c r="R85" s="34" t="e" cm="1">
        <f t="array" aca="1" ref="R85" ca="1">IF(AND(G85=INDIRECT("'["&amp;G85&amp;"]"&amp;E85&amp;"'!"&amp;$AH$2),OR(I85=INDIRECT("'["&amp;G85&amp;"]"&amp;E85&amp;"'!"&amp;$AD$2))),INDIRECT("'["&amp;G85&amp;"]"&amp;E85&amp;"'!"&amp;$AD$3),0)</f>
        <v>#VALUE!</v>
      </c>
      <c r="S85" s="34" t="e" cm="1">
        <f t="array" aca="1" ref="S85" ca="1">IF(AND(G85=INDIRECT("'["&amp;G85&amp;"]"&amp;E85&amp;"'!"&amp;$AH$2),OR(I85=INDIRECT("'["&amp;G85&amp;"]"&amp;E85&amp;"'!"&amp;$AE$2))),INDIRECT("'["&amp;G85&amp;"]"&amp;E85&amp;"'!"&amp;$AE$3),0)</f>
        <v>#VALUE!</v>
      </c>
      <c r="T85" s="35" t="e" cm="1">
        <f t="array" aca="1" ref="T85" ca="1">IF(AND(G85=INDIRECT("'["&amp;G85&amp;"]"&amp;E85&amp;"'!"&amp;$AH$2),OR(I85=INDIRECT("'["&amp;G85&amp;"]"&amp;E85&amp;"'!"&amp;$AF$2))),INDIRECT("'["&amp;G85&amp;"]"&amp;E85&amp;"'!"&amp;$AF$3),0)</f>
        <v>#VALUE!</v>
      </c>
      <c r="U85" s="34" t="e" cm="1">
        <f t="array" aca="1" ref="U85" ca="1">IF(AND(G85=INDIRECT("'["&amp;G85&amp;"]"&amp;E85&amp;"'!"&amp;$AH$2),OR(I85=INDIRECT("'["&amp;G85&amp;"]"&amp;E85&amp;"'!"&amp;$AG$2))),INDIRECT("'["&amp;G85&amp;"]"&amp;E85&amp;"'!"&amp;$AG$3),0)</f>
        <v>#VALUE!</v>
      </c>
      <c r="V85" s="25" t="str">
        <f t="shared" si="34"/>
        <v/>
      </c>
      <c r="W85" s="36" t="e" cm="1">
        <f t="array" aca="1" ref="W85" ca="1">IF(AND(G85=INDIRECT("'["&amp;G85&amp;"]"&amp;E85&amp;"'!"&amp;$AH$2),OR(V85=INDIRECT("'["&amp;G85&amp;"]"&amp;E85&amp;"'!"&amp;$AI$2))),INDIRECT("'["&amp;G85&amp;"]"&amp;E85&amp;"'!"&amp;$AI$3),0)</f>
        <v>#VALUE!</v>
      </c>
      <c r="AJ85" s="25">
        <v>1</v>
      </c>
      <c r="AK85" s="38">
        <f t="shared" ca="1" si="35"/>
        <v>0</v>
      </c>
      <c r="AL85" s="38">
        <f t="shared" ca="1" si="36"/>
        <v>0</v>
      </c>
      <c r="AM85" s="54" t="str">
        <f t="shared" ca="1" si="27"/>
        <v/>
      </c>
      <c r="AN85" s="25" t="e">
        <f t="shared" ca="1" si="37"/>
        <v>#VALUE!</v>
      </c>
      <c r="AO85" s="25" t="e">
        <f t="shared" ca="1" si="38"/>
        <v>#VALUE!</v>
      </c>
      <c r="AP85" s="39" t="str">
        <f t="shared" ca="1" si="28"/>
        <v/>
      </c>
      <c r="AQ85" s="46" t="str">
        <f ca="1">IF(AND(C85&lt;&gt;0, C86=0), SUM($C$2:C85)-SUM($AQ$1:AQ84), "")</f>
        <v/>
      </c>
      <c r="AR85" s="46" t="str">
        <f ca="1">IF(AND(AK85&lt;&gt;0, AK86=0), SUM($AK$2:AK85)-SUM($AR$1:AR84), "")</f>
        <v/>
      </c>
    </row>
    <row r="86" spans="1:44" ht="13.15" customHeight="1">
      <c r="A86" s="31"/>
      <c r="B86" s="68" t="str">
        <f t="shared" si="16"/>
        <v/>
      </c>
      <c r="C86" s="55" cm="1">
        <f t="array" aca="1" ref="C86" ca="1">SUM(IF(ISNUMBER(M86:U86),M86:U86,""))</f>
        <v>0</v>
      </c>
      <c r="D86" s="25" t="str">
        <f t="shared" si="17"/>
        <v/>
      </c>
      <c r="E86" s="25" t="e">
        <f t="shared" si="29"/>
        <v>#VALUE!</v>
      </c>
      <c r="F86" s="25" t="str">
        <f t="shared" si="19"/>
        <v/>
      </c>
      <c r="G86" s="25" t="str">
        <f t="shared" si="26"/>
        <v>.xlsx</v>
      </c>
      <c r="H86" s="29" t="e" cm="1">
        <f t="array" aca="1" ref="H86" ca="1">IF(AND(VALUE(E86)=INDIRECT("'["&amp;G86&amp;"]"&amp;E86&amp;"'!"&amp;$X$2),G86=INDIRECT("'["&amp;G86&amp;"]"&amp;E86&amp;"'!"&amp;$X$3)),INDIRECT("'["&amp;G86&amp;"]"&amp;E86&amp;"'!"&amp;$X$1),0)</f>
        <v>#VALUE!</v>
      </c>
      <c r="I86" s="25" t="str">
        <f t="shared" si="30"/>
        <v/>
      </c>
      <c r="J86" s="32" t="str">
        <f t="shared" si="31"/>
        <v/>
      </c>
      <c r="K86" s="25" t="str">
        <f t="shared" si="32"/>
        <v/>
      </c>
      <c r="L86" s="25" t="str">
        <f t="shared" si="33"/>
        <v/>
      </c>
      <c r="M86" s="33" t="e" cm="1">
        <f t="array" aca="1" ref="M86" ca="1">IF(AND(J86=INDIRECT("'["&amp;G86&amp;"]"&amp;E86&amp;"'!"&amp;$Y$2),G86=INDIRECT("'["&amp;G86&amp;"]"&amp;E86&amp;"'!"&amp;$AH$2)),INDIRECT("'["&amp;G86&amp;"]"&amp;E86&amp;"'!"&amp;$Y$3),0)</f>
        <v>#VALUE!</v>
      </c>
      <c r="N86" s="34" t="e" cm="1">
        <f t="array" aca="1" ref="N86" ca="1">IF(AND(G86=INDIRECT("'["&amp;G86&amp;"]"&amp;E86&amp;"'!"&amp;$AH$2),OR(K86=INDIRECT("'["&amp;G86&amp;"]"&amp;E86&amp;"'!"&amp;$Z$2))),INDIRECT("'["&amp;G86&amp;"]"&amp;E86&amp;"'!"&amp;$Z$3),0)</f>
        <v>#VALUE!</v>
      </c>
      <c r="O86" s="34" t="e" cm="1">
        <f t="array" aca="1" ref="O86" ca="1">IF(AND(G86=INDIRECT("'["&amp;G86&amp;"]"&amp;E86&amp;"'!"&amp;$AH$2),OR(L86=INDIRECT("'["&amp;G86&amp;"]"&amp;E86&amp;"'!"&amp;$AA$2))),INDIRECT("'["&amp;G86&amp;"]"&amp;E86&amp;"'!"&amp;$AA$3),0)</f>
        <v>#VALUE!</v>
      </c>
      <c r="P86" s="34" t="e" cm="1">
        <f t="array" aca="1" ref="P86" ca="1">IF(AND(G86=INDIRECT("'["&amp;G86&amp;"]"&amp;E86&amp;"'!"&amp;$AH$2),OR(VALUE(I86)=INDIRECT("'["&amp;G86&amp;"]"&amp;E86&amp;"'!"&amp;$AB$2))),INDIRECT("'["&amp;G86&amp;"]"&amp;E86&amp;"'!"&amp;$AB$3),0)</f>
        <v>#VALUE!</v>
      </c>
      <c r="Q86" s="34" t="e" cm="1">
        <f t="array" aca="1" ref="Q86" ca="1">IF(AND(G86=INDIRECT("'["&amp;G86&amp;"]"&amp;E86&amp;"'!"&amp;$AH$2),OR(VALUE(I86)=INDIRECT("'["&amp;G86&amp;"]"&amp;E86&amp;"'!"&amp;$AC$2))),INDIRECT("'["&amp;G86&amp;"]"&amp;E86&amp;"'!"&amp;$AC$3),0)</f>
        <v>#VALUE!</v>
      </c>
      <c r="R86" s="34" t="e" cm="1">
        <f t="array" aca="1" ref="R86" ca="1">IF(AND(G86=INDIRECT("'["&amp;G86&amp;"]"&amp;E86&amp;"'!"&amp;$AH$2),OR(I86=INDIRECT("'["&amp;G86&amp;"]"&amp;E86&amp;"'!"&amp;$AD$2))),INDIRECT("'["&amp;G86&amp;"]"&amp;E86&amp;"'!"&amp;$AD$3),0)</f>
        <v>#VALUE!</v>
      </c>
      <c r="S86" s="34" t="e" cm="1">
        <f t="array" aca="1" ref="S86" ca="1">IF(AND(G86=INDIRECT("'["&amp;G86&amp;"]"&amp;E86&amp;"'!"&amp;$AH$2),OR(I86=INDIRECT("'["&amp;G86&amp;"]"&amp;E86&amp;"'!"&amp;$AE$2))),INDIRECT("'["&amp;G86&amp;"]"&amp;E86&amp;"'!"&amp;$AE$3),0)</f>
        <v>#VALUE!</v>
      </c>
      <c r="T86" s="35" t="e" cm="1">
        <f t="array" aca="1" ref="T86" ca="1">IF(AND(G86=INDIRECT("'["&amp;G86&amp;"]"&amp;E86&amp;"'!"&amp;$AH$2),OR(I86=INDIRECT("'["&amp;G86&amp;"]"&amp;E86&amp;"'!"&amp;$AF$2))),INDIRECT("'["&amp;G86&amp;"]"&amp;E86&amp;"'!"&amp;$AF$3),0)</f>
        <v>#VALUE!</v>
      </c>
      <c r="U86" s="34" t="e" cm="1">
        <f t="array" aca="1" ref="U86" ca="1">IF(AND(G86=INDIRECT("'["&amp;G86&amp;"]"&amp;E86&amp;"'!"&amp;$AH$2),OR(I86=INDIRECT("'["&amp;G86&amp;"]"&amp;E86&amp;"'!"&amp;$AG$2))),INDIRECT("'["&amp;G86&amp;"]"&amp;E86&amp;"'!"&amp;$AG$3),0)</f>
        <v>#VALUE!</v>
      </c>
      <c r="V86" s="25" t="str">
        <f t="shared" si="34"/>
        <v/>
      </c>
      <c r="W86" s="36" t="e" cm="1">
        <f t="array" aca="1" ref="W86" ca="1">IF(AND(G86=INDIRECT("'["&amp;G86&amp;"]"&amp;E86&amp;"'!"&amp;$AH$2),OR(V86=INDIRECT("'["&amp;G86&amp;"]"&amp;E86&amp;"'!"&amp;$AI$2))),INDIRECT("'["&amp;G86&amp;"]"&amp;E86&amp;"'!"&amp;$AI$3),0)</f>
        <v>#VALUE!</v>
      </c>
      <c r="AJ86" s="25">
        <v>1</v>
      </c>
      <c r="AK86" s="38">
        <f t="shared" ca="1" si="35"/>
        <v>0</v>
      </c>
      <c r="AL86" s="38">
        <f t="shared" ca="1" si="36"/>
        <v>0</v>
      </c>
      <c r="AM86" s="54" t="str">
        <f t="shared" ca="1" si="27"/>
        <v/>
      </c>
      <c r="AN86" s="25" t="e">
        <f t="shared" ca="1" si="37"/>
        <v>#VALUE!</v>
      </c>
      <c r="AO86" s="25" t="e">
        <f t="shared" ca="1" si="38"/>
        <v>#VALUE!</v>
      </c>
      <c r="AP86" s="39" t="str">
        <f t="shared" ca="1" si="28"/>
        <v/>
      </c>
      <c r="AQ86" s="46" t="str">
        <f ca="1">IF(AND(C86&lt;&gt;0, C87=0), SUM($C$2:C86)-SUM($AQ$1:AQ85), "")</f>
        <v/>
      </c>
      <c r="AR86" s="46" t="str">
        <f ca="1">IF(AND(AK86&lt;&gt;0, AK87=0), SUM($AK$2:AK86)-SUM($AR$1:AR85), "")</f>
        <v/>
      </c>
    </row>
    <row r="87" spans="1:44" ht="13.15" customHeight="1">
      <c r="A87" s="31"/>
      <c r="B87" s="68" t="str">
        <f t="shared" si="16"/>
        <v/>
      </c>
      <c r="C87" s="55" cm="1">
        <f t="array" aca="1" ref="C87" ca="1">SUM(IF(ISNUMBER(M87:U87),M87:U87,""))</f>
        <v>0</v>
      </c>
      <c r="D87" s="25" t="str">
        <f t="shared" si="17"/>
        <v/>
      </c>
      <c r="E87" s="25" t="e">
        <f t="shared" si="29"/>
        <v>#VALUE!</v>
      </c>
      <c r="F87" s="25" t="str">
        <f t="shared" si="19"/>
        <v/>
      </c>
      <c r="G87" s="25" t="str">
        <f t="shared" si="26"/>
        <v>.xlsx</v>
      </c>
      <c r="H87" s="29" t="e" cm="1">
        <f t="array" aca="1" ref="H87" ca="1">IF(AND(VALUE(E87)=INDIRECT("'["&amp;G87&amp;"]"&amp;E87&amp;"'!"&amp;$X$2),G87=INDIRECT("'["&amp;G87&amp;"]"&amp;E87&amp;"'!"&amp;$X$3)),INDIRECT("'["&amp;G87&amp;"]"&amp;E87&amp;"'!"&amp;$X$1),0)</f>
        <v>#VALUE!</v>
      </c>
      <c r="I87" s="25" t="str">
        <f t="shared" si="30"/>
        <v/>
      </c>
      <c r="J87" s="32" t="str">
        <f t="shared" si="31"/>
        <v/>
      </c>
      <c r="K87" s="25" t="str">
        <f t="shared" si="32"/>
        <v/>
      </c>
      <c r="L87" s="25" t="str">
        <f t="shared" si="33"/>
        <v/>
      </c>
      <c r="M87" s="33" t="e" cm="1">
        <f t="array" aca="1" ref="M87" ca="1">IF(AND(J87=INDIRECT("'["&amp;G87&amp;"]"&amp;E87&amp;"'!"&amp;$Y$2),G87=INDIRECT("'["&amp;G87&amp;"]"&amp;E87&amp;"'!"&amp;$AH$2)),INDIRECT("'["&amp;G87&amp;"]"&amp;E87&amp;"'!"&amp;$Y$3),0)</f>
        <v>#VALUE!</v>
      </c>
      <c r="N87" s="34" t="e" cm="1">
        <f t="array" aca="1" ref="N87" ca="1">IF(AND(G87=INDIRECT("'["&amp;G87&amp;"]"&amp;E87&amp;"'!"&amp;$AH$2),OR(K87=INDIRECT("'["&amp;G87&amp;"]"&amp;E87&amp;"'!"&amp;$Z$2))),INDIRECT("'["&amp;G87&amp;"]"&amp;E87&amp;"'!"&amp;$Z$3),0)</f>
        <v>#VALUE!</v>
      </c>
      <c r="O87" s="34" t="e" cm="1">
        <f t="array" aca="1" ref="O87" ca="1">IF(AND(G87=INDIRECT("'["&amp;G87&amp;"]"&amp;E87&amp;"'!"&amp;$AH$2),OR(L87=INDIRECT("'["&amp;G87&amp;"]"&amp;E87&amp;"'!"&amp;$AA$2))),INDIRECT("'["&amp;G87&amp;"]"&amp;E87&amp;"'!"&amp;$AA$3),0)</f>
        <v>#VALUE!</v>
      </c>
      <c r="P87" s="34" t="e" cm="1">
        <f t="array" aca="1" ref="P87" ca="1">IF(AND(G87=INDIRECT("'["&amp;G87&amp;"]"&amp;E87&amp;"'!"&amp;$AH$2),OR(VALUE(I87)=INDIRECT("'["&amp;G87&amp;"]"&amp;E87&amp;"'!"&amp;$AB$2))),INDIRECT("'["&amp;G87&amp;"]"&amp;E87&amp;"'!"&amp;$AB$3),0)</f>
        <v>#VALUE!</v>
      </c>
      <c r="Q87" s="34" t="e" cm="1">
        <f t="array" aca="1" ref="Q87" ca="1">IF(AND(G87=INDIRECT("'["&amp;G87&amp;"]"&amp;E87&amp;"'!"&amp;$AH$2),OR(VALUE(I87)=INDIRECT("'["&amp;G87&amp;"]"&amp;E87&amp;"'!"&amp;$AC$2))),INDIRECT("'["&amp;G87&amp;"]"&amp;E87&amp;"'!"&amp;$AC$3),0)</f>
        <v>#VALUE!</v>
      </c>
      <c r="R87" s="34" t="e" cm="1">
        <f t="array" aca="1" ref="R87" ca="1">IF(AND(G87=INDIRECT("'["&amp;G87&amp;"]"&amp;E87&amp;"'!"&amp;$AH$2),OR(I87=INDIRECT("'["&amp;G87&amp;"]"&amp;E87&amp;"'!"&amp;$AD$2))),INDIRECT("'["&amp;G87&amp;"]"&amp;E87&amp;"'!"&amp;$AD$3),0)</f>
        <v>#VALUE!</v>
      </c>
      <c r="S87" s="34" t="e" cm="1">
        <f t="array" aca="1" ref="S87" ca="1">IF(AND(G87=INDIRECT("'["&amp;G87&amp;"]"&amp;E87&amp;"'!"&amp;$AH$2),OR(I87=INDIRECT("'["&amp;G87&amp;"]"&amp;E87&amp;"'!"&amp;$AE$2))),INDIRECT("'["&amp;G87&amp;"]"&amp;E87&amp;"'!"&amp;$AE$3),0)</f>
        <v>#VALUE!</v>
      </c>
      <c r="T87" s="35" t="e" cm="1">
        <f t="array" aca="1" ref="T87" ca="1">IF(AND(G87=INDIRECT("'["&amp;G87&amp;"]"&amp;E87&amp;"'!"&amp;$AH$2),OR(I87=INDIRECT("'["&amp;G87&amp;"]"&amp;E87&amp;"'!"&amp;$AF$2))),INDIRECT("'["&amp;G87&amp;"]"&amp;E87&amp;"'!"&amp;$AF$3),0)</f>
        <v>#VALUE!</v>
      </c>
      <c r="U87" s="34" t="e" cm="1">
        <f t="array" aca="1" ref="U87" ca="1">IF(AND(G87=INDIRECT("'["&amp;G87&amp;"]"&amp;E87&amp;"'!"&amp;$AH$2),OR(I87=INDIRECT("'["&amp;G87&amp;"]"&amp;E87&amp;"'!"&amp;$AG$2))),INDIRECT("'["&amp;G87&amp;"]"&amp;E87&amp;"'!"&amp;$AG$3),0)</f>
        <v>#VALUE!</v>
      </c>
      <c r="V87" s="25" t="str">
        <f t="shared" si="34"/>
        <v/>
      </c>
      <c r="W87" s="36" t="e" cm="1">
        <f t="array" aca="1" ref="W87" ca="1">IF(AND(G87=INDIRECT("'["&amp;G87&amp;"]"&amp;E87&amp;"'!"&amp;$AH$2),OR(V87=INDIRECT("'["&amp;G87&amp;"]"&amp;E87&amp;"'!"&amp;$AI$2))),INDIRECT("'["&amp;G87&amp;"]"&amp;E87&amp;"'!"&amp;$AI$3),0)</f>
        <v>#VALUE!</v>
      </c>
      <c r="AJ87" s="25">
        <v>1</v>
      </c>
      <c r="AK87" s="38">
        <f t="shared" ca="1" si="35"/>
        <v>0</v>
      </c>
      <c r="AL87" s="38">
        <f t="shared" ca="1" si="36"/>
        <v>0</v>
      </c>
      <c r="AM87" s="54" t="str">
        <f t="shared" ca="1" si="27"/>
        <v/>
      </c>
      <c r="AN87" s="25" t="e">
        <f t="shared" ca="1" si="37"/>
        <v>#VALUE!</v>
      </c>
      <c r="AO87" s="25" t="e">
        <f t="shared" ca="1" si="38"/>
        <v>#VALUE!</v>
      </c>
      <c r="AP87" s="39" t="str">
        <f t="shared" ca="1" si="28"/>
        <v/>
      </c>
      <c r="AQ87" s="46" t="str">
        <f ca="1">IF(AND(C87&lt;&gt;0, C88=0), SUM($C$2:C87)-SUM($AQ$1:AQ86), "")</f>
        <v/>
      </c>
      <c r="AR87" s="46" t="str">
        <f ca="1">IF(AND(AK87&lt;&gt;0, AK88=0), SUM($AK$2:AK87)-SUM($AR$1:AR86), "")</f>
        <v/>
      </c>
    </row>
    <row r="88" spans="1:44" ht="13.15" customHeight="1">
      <c r="A88" s="31"/>
      <c r="B88" s="68" t="str">
        <f t="shared" si="16"/>
        <v/>
      </c>
      <c r="C88" s="55" cm="1">
        <f t="array" aca="1" ref="C88" ca="1">SUM(IF(ISNUMBER(M88:U88),M88:U88,""))</f>
        <v>0</v>
      </c>
      <c r="D88" s="25" t="str">
        <f t="shared" ref="D88:D101" si="39">MID(A88,4,2)</f>
        <v/>
      </c>
      <c r="E88" s="25" t="e">
        <f t="shared" si="29"/>
        <v>#VALUE!</v>
      </c>
      <c r="F88" s="25" t="str">
        <f t="shared" ref="F88:F101" si="40">LEFT(A88,2)</f>
        <v/>
      </c>
      <c r="G88" s="25" t="str">
        <f t="shared" si="26"/>
        <v>.xlsx</v>
      </c>
      <c r="H88" s="29" t="e" cm="1">
        <f t="array" aca="1" ref="H88" ca="1">IF(AND(VALUE(E88)=INDIRECT("'["&amp;G88&amp;"]"&amp;E88&amp;"'!"&amp;$X$2),G88=INDIRECT("'["&amp;G88&amp;"]"&amp;E88&amp;"'!"&amp;$X$3)),INDIRECT("'["&amp;G88&amp;"]"&amp;E88&amp;"'!"&amp;$X$1),0)</f>
        <v>#VALUE!</v>
      </c>
      <c r="I88" s="25" t="str">
        <f t="shared" si="30"/>
        <v/>
      </c>
      <c r="J88" s="32" t="str">
        <f t="shared" si="31"/>
        <v/>
      </c>
      <c r="K88" s="25" t="str">
        <f t="shared" si="32"/>
        <v/>
      </c>
      <c r="L88" s="25" t="str">
        <f t="shared" si="33"/>
        <v/>
      </c>
      <c r="M88" s="33" t="e" cm="1">
        <f t="array" aca="1" ref="M88" ca="1">IF(AND(J88=INDIRECT("'["&amp;G88&amp;"]"&amp;E88&amp;"'!"&amp;$Y$2),G88=INDIRECT("'["&amp;G88&amp;"]"&amp;E88&amp;"'!"&amp;$AH$2)),INDIRECT("'["&amp;G88&amp;"]"&amp;E88&amp;"'!"&amp;$Y$3),0)</f>
        <v>#VALUE!</v>
      </c>
      <c r="N88" s="34" t="e" cm="1">
        <f t="array" aca="1" ref="N88" ca="1">IF(AND(G88=INDIRECT("'["&amp;G88&amp;"]"&amp;E88&amp;"'!"&amp;$AH$2),OR(K88=INDIRECT("'["&amp;G88&amp;"]"&amp;E88&amp;"'!"&amp;$Z$2))),INDIRECT("'["&amp;G88&amp;"]"&amp;E88&amp;"'!"&amp;$Z$3),0)</f>
        <v>#VALUE!</v>
      </c>
      <c r="O88" s="34" t="e" cm="1">
        <f t="array" aca="1" ref="O88" ca="1">IF(AND(G88=INDIRECT("'["&amp;G88&amp;"]"&amp;E88&amp;"'!"&amp;$AH$2),OR(L88=INDIRECT("'["&amp;G88&amp;"]"&amp;E88&amp;"'!"&amp;$AA$2))),INDIRECT("'["&amp;G88&amp;"]"&amp;E88&amp;"'!"&amp;$AA$3),0)</f>
        <v>#VALUE!</v>
      </c>
      <c r="P88" s="34" t="e" cm="1">
        <f t="array" aca="1" ref="P88" ca="1">IF(AND(G88=INDIRECT("'["&amp;G88&amp;"]"&amp;E88&amp;"'!"&amp;$AH$2),OR(VALUE(I88)=INDIRECT("'["&amp;G88&amp;"]"&amp;E88&amp;"'!"&amp;$AB$2))),INDIRECT("'["&amp;G88&amp;"]"&amp;E88&amp;"'!"&amp;$AB$3),0)</f>
        <v>#VALUE!</v>
      </c>
      <c r="Q88" s="34" t="e" cm="1">
        <f t="array" aca="1" ref="Q88" ca="1">IF(AND(G88=INDIRECT("'["&amp;G88&amp;"]"&amp;E88&amp;"'!"&amp;$AH$2),OR(VALUE(I88)=INDIRECT("'["&amp;G88&amp;"]"&amp;E88&amp;"'!"&amp;$AC$2))),INDIRECT("'["&amp;G88&amp;"]"&amp;E88&amp;"'!"&amp;$AC$3),0)</f>
        <v>#VALUE!</v>
      </c>
      <c r="R88" s="34" t="e" cm="1">
        <f t="array" aca="1" ref="R88" ca="1">IF(AND(G88=INDIRECT("'["&amp;G88&amp;"]"&amp;E88&amp;"'!"&amp;$AH$2),OR(I88=INDIRECT("'["&amp;G88&amp;"]"&amp;E88&amp;"'!"&amp;$AD$2))),INDIRECT("'["&amp;G88&amp;"]"&amp;E88&amp;"'!"&amp;$AD$3),0)</f>
        <v>#VALUE!</v>
      </c>
      <c r="S88" s="34" t="e" cm="1">
        <f t="array" aca="1" ref="S88" ca="1">IF(AND(G88=INDIRECT("'["&amp;G88&amp;"]"&amp;E88&amp;"'!"&amp;$AH$2),OR(I88=INDIRECT("'["&amp;G88&amp;"]"&amp;E88&amp;"'!"&amp;$AE$2))),INDIRECT("'["&amp;G88&amp;"]"&amp;E88&amp;"'!"&amp;$AE$3),0)</f>
        <v>#VALUE!</v>
      </c>
      <c r="T88" s="35" t="e" cm="1">
        <f t="array" aca="1" ref="T88" ca="1">IF(AND(G88=INDIRECT("'["&amp;G88&amp;"]"&amp;E88&amp;"'!"&amp;$AH$2),OR(I88=INDIRECT("'["&amp;G88&amp;"]"&amp;E88&amp;"'!"&amp;$AF$2))),INDIRECT("'["&amp;G88&amp;"]"&amp;E88&amp;"'!"&amp;$AF$3),0)</f>
        <v>#VALUE!</v>
      </c>
      <c r="U88" s="34" t="e" cm="1">
        <f t="array" aca="1" ref="U88" ca="1">IF(AND(G88=INDIRECT("'["&amp;G88&amp;"]"&amp;E88&amp;"'!"&amp;$AH$2),OR(I88=INDIRECT("'["&amp;G88&amp;"]"&amp;E88&amp;"'!"&amp;$AG$2))),INDIRECT("'["&amp;G88&amp;"]"&amp;E88&amp;"'!"&amp;$AG$3),0)</f>
        <v>#VALUE!</v>
      </c>
      <c r="V88" s="25" t="str">
        <f t="shared" si="34"/>
        <v/>
      </c>
      <c r="W88" s="36" t="e" cm="1">
        <f t="array" aca="1" ref="W88" ca="1">IF(AND(G88=INDIRECT("'["&amp;G88&amp;"]"&amp;E88&amp;"'!"&amp;$AH$2),OR(V88=INDIRECT("'["&amp;G88&amp;"]"&amp;E88&amp;"'!"&amp;$AI$2))),INDIRECT("'["&amp;G88&amp;"]"&amp;E88&amp;"'!"&amp;$AI$3),0)</f>
        <v>#VALUE!</v>
      </c>
      <c r="AJ88" s="25">
        <v>1</v>
      </c>
      <c r="AK88" s="38">
        <f t="shared" ca="1" si="35"/>
        <v>0</v>
      </c>
      <c r="AL88" s="38">
        <f t="shared" ca="1" si="36"/>
        <v>0</v>
      </c>
      <c r="AM88" s="54" t="str">
        <f t="shared" ca="1" si="27"/>
        <v/>
      </c>
      <c r="AN88" s="25" t="e">
        <f t="shared" ca="1" si="37"/>
        <v>#VALUE!</v>
      </c>
      <c r="AO88" s="25" t="e">
        <f t="shared" ca="1" si="38"/>
        <v>#VALUE!</v>
      </c>
      <c r="AP88" s="39" t="str">
        <f t="shared" ca="1" si="28"/>
        <v/>
      </c>
      <c r="AQ88" s="46" t="str">
        <f ca="1">IF(AND(C88&lt;&gt;0, C89=0), SUM($C$2:C88)-SUM($AQ$1:AQ87), "")</f>
        <v/>
      </c>
      <c r="AR88" s="46" t="str">
        <f ca="1">IF(AND(AK88&lt;&gt;0, AK89=0), SUM($AK$2:AK88)-SUM($AR$1:AR87), "")</f>
        <v/>
      </c>
    </row>
    <row r="89" spans="1:44" ht="13.15" customHeight="1">
      <c r="A89" s="31"/>
      <c r="B89" s="68" t="str">
        <f t="shared" si="16"/>
        <v/>
      </c>
      <c r="C89" s="55" cm="1">
        <f t="array" aca="1" ref="C89" ca="1">SUM(IF(ISNUMBER(M89:U89),M89:U89,""))</f>
        <v>0</v>
      </c>
      <c r="D89" s="25" t="str">
        <f t="shared" si="39"/>
        <v/>
      </c>
      <c r="E89" s="25" t="e">
        <f t="shared" si="29"/>
        <v>#VALUE!</v>
      </c>
      <c r="F89" s="25" t="str">
        <f t="shared" si="40"/>
        <v/>
      </c>
      <c r="G89" s="25" t="str">
        <f t="shared" si="26"/>
        <v>.xlsx</v>
      </c>
      <c r="H89" s="29" t="e" cm="1">
        <f t="array" aca="1" ref="H89" ca="1">IF(AND(VALUE(E89)=INDIRECT("'["&amp;G89&amp;"]"&amp;E89&amp;"'!"&amp;$X$2),G89=INDIRECT("'["&amp;G89&amp;"]"&amp;E89&amp;"'!"&amp;$X$3)),INDIRECT("'["&amp;G89&amp;"]"&amp;E89&amp;"'!"&amp;$X$1),0)</f>
        <v>#VALUE!</v>
      </c>
      <c r="I89" s="25" t="str">
        <f t="shared" si="30"/>
        <v/>
      </c>
      <c r="J89" s="32" t="str">
        <f t="shared" si="31"/>
        <v/>
      </c>
      <c r="K89" s="25" t="str">
        <f t="shared" si="32"/>
        <v/>
      </c>
      <c r="L89" s="25" t="str">
        <f t="shared" si="33"/>
        <v/>
      </c>
      <c r="M89" s="33" t="e" cm="1">
        <f t="array" aca="1" ref="M89" ca="1">IF(AND(J89=INDIRECT("'["&amp;G89&amp;"]"&amp;E89&amp;"'!"&amp;$Y$2),G89=INDIRECT("'["&amp;G89&amp;"]"&amp;E89&amp;"'!"&amp;$AH$2)),INDIRECT("'["&amp;G89&amp;"]"&amp;E89&amp;"'!"&amp;$Y$3),0)</f>
        <v>#VALUE!</v>
      </c>
      <c r="N89" s="34" t="e" cm="1">
        <f t="array" aca="1" ref="N89" ca="1">IF(AND(G89=INDIRECT("'["&amp;G89&amp;"]"&amp;E89&amp;"'!"&amp;$AH$2),OR(K89=INDIRECT("'["&amp;G89&amp;"]"&amp;E89&amp;"'!"&amp;$Z$2))),INDIRECT("'["&amp;G89&amp;"]"&amp;E89&amp;"'!"&amp;$Z$3),0)</f>
        <v>#VALUE!</v>
      </c>
      <c r="O89" s="34" t="e" cm="1">
        <f t="array" aca="1" ref="O89" ca="1">IF(AND(G89=INDIRECT("'["&amp;G89&amp;"]"&amp;E89&amp;"'!"&amp;$AH$2),OR(L89=INDIRECT("'["&amp;G89&amp;"]"&amp;E89&amp;"'!"&amp;$AA$2))),INDIRECT("'["&amp;G89&amp;"]"&amp;E89&amp;"'!"&amp;$AA$3),0)</f>
        <v>#VALUE!</v>
      </c>
      <c r="P89" s="34" t="e" cm="1">
        <f t="array" aca="1" ref="P89" ca="1">IF(AND(G89=INDIRECT("'["&amp;G89&amp;"]"&amp;E89&amp;"'!"&amp;$AH$2),OR(VALUE(I89)=INDIRECT("'["&amp;G89&amp;"]"&amp;E89&amp;"'!"&amp;$AB$2))),INDIRECT("'["&amp;G89&amp;"]"&amp;E89&amp;"'!"&amp;$AB$3),0)</f>
        <v>#VALUE!</v>
      </c>
      <c r="Q89" s="34" t="e" cm="1">
        <f t="array" aca="1" ref="Q89" ca="1">IF(AND(G89=INDIRECT("'["&amp;G89&amp;"]"&amp;E89&amp;"'!"&amp;$AH$2),OR(VALUE(I89)=INDIRECT("'["&amp;G89&amp;"]"&amp;E89&amp;"'!"&amp;$AC$2))),INDIRECT("'["&amp;G89&amp;"]"&amp;E89&amp;"'!"&amp;$AC$3),0)</f>
        <v>#VALUE!</v>
      </c>
      <c r="R89" s="34" t="e" cm="1">
        <f t="array" aca="1" ref="R89" ca="1">IF(AND(G89=INDIRECT("'["&amp;G89&amp;"]"&amp;E89&amp;"'!"&amp;$AH$2),OR(I89=INDIRECT("'["&amp;G89&amp;"]"&amp;E89&amp;"'!"&amp;$AD$2))),INDIRECT("'["&amp;G89&amp;"]"&amp;E89&amp;"'!"&amp;$AD$3),0)</f>
        <v>#VALUE!</v>
      </c>
      <c r="S89" s="34" t="e" cm="1">
        <f t="array" aca="1" ref="S89" ca="1">IF(AND(G89=INDIRECT("'["&amp;G89&amp;"]"&amp;E89&amp;"'!"&amp;$AH$2),OR(I89=INDIRECT("'["&amp;G89&amp;"]"&amp;E89&amp;"'!"&amp;$AE$2))),INDIRECT("'["&amp;G89&amp;"]"&amp;E89&amp;"'!"&amp;$AE$3),0)</f>
        <v>#VALUE!</v>
      </c>
      <c r="T89" s="35" t="e" cm="1">
        <f t="array" aca="1" ref="T89" ca="1">IF(AND(G89=INDIRECT("'["&amp;G89&amp;"]"&amp;E89&amp;"'!"&amp;$AH$2),OR(I89=INDIRECT("'["&amp;G89&amp;"]"&amp;E89&amp;"'!"&amp;$AF$2))),INDIRECT("'["&amp;G89&amp;"]"&amp;E89&amp;"'!"&amp;$AF$3),0)</f>
        <v>#VALUE!</v>
      </c>
      <c r="U89" s="34" t="e" cm="1">
        <f t="array" aca="1" ref="U89" ca="1">IF(AND(G89=INDIRECT("'["&amp;G89&amp;"]"&amp;E89&amp;"'!"&amp;$AH$2),OR(I89=INDIRECT("'["&amp;G89&amp;"]"&amp;E89&amp;"'!"&amp;$AG$2))),INDIRECT("'["&amp;G89&amp;"]"&amp;E89&amp;"'!"&amp;$AG$3),0)</f>
        <v>#VALUE!</v>
      </c>
      <c r="V89" s="25" t="str">
        <f t="shared" si="34"/>
        <v/>
      </c>
      <c r="W89" s="36" t="e" cm="1">
        <f t="array" aca="1" ref="W89" ca="1">IF(AND(G89=INDIRECT("'["&amp;G89&amp;"]"&amp;E89&amp;"'!"&amp;$AH$2),OR(V89=INDIRECT("'["&amp;G89&amp;"]"&amp;E89&amp;"'!"&amp;$AI$2))),INDIRECT("'["&amp;G89&amp;"]"&amp;E89&amp;"'!"&amp;$AI$3),0)</f>
        <v>#VALUE!</v>
      </c>
      <c r="AJ89" s="25">
        <v>1</v>
      </c>
      <c r="AK89" s="38">
        <f t="shared" ca="1" si="35"/>
        <v>0</v>
      </c>
      <c r="AL89" s="38">
        <f t="shared" ca="1" si="36"/>
        <v>0</v>
      </c>
      <c r="AM89" s="54" t="str">
        <f t="shared" ca="1" si="27"/>
        <v/>
      </c>
      <c r="AN89" s="25" t="e">
        <f t="shared" ca="1" si="37"/>
        <v>#VALUE!</v>
      </c>
      <c r="AO89" s="25" t="e">
        <f t="shared" ca="1" si="38"/>
        <v>#VALUE!</v>
      </c>
      <c r="AP89" s="39" t="str">
        <f t="shared" ca="1" si="28"/>
        <v/>
      </c>
      <c r="AQ89" s="46" t="str">
        <f ca="1">IF(AND(C89&lt;&gt;0, C90=0), SUM($C$2:C89)-SUM($AQ$1:AQ88), "")</f>
        <v/>
      </c>
      <c r="AR89" s="46" t="str">
        <f ca="1">IF(AND(AK89&lt;&gt;0, AK90=0), SUM($AK$2:AK89)-SUM($AR$1:AR88), "")</f>
        <v/>
      </c>
    </row>
    <row r="90" spans="1:44" ht="13.15" customHeight="1">
      <c r="A90" s="31"/>
      <c r="B90" s="68" t="str">
        <f t="shared" ref="B90:B153" si="41">LEFT(A90,15)</f>
        <v/>
      </c>
      <c r="C90" s="55" cm="1">
        <f t="array" aca="1" ref="C90" ca="1">SUM(IF(ISNUMBER(M90:U90),M90:U90,""))</f>
        <v>0</v>
      </c>
      <c r="D90" s="25" t="str">
        <f t="shared" si="39"/>
        <v/>
      </c>
      <c r="E90" s="25" t="e">
        <f t="shared" si="29"/>
        <v>#VALUE!</v>
      </c>
      <c r="F90" s="25" t="str">
        <f t="shared" si="40"/>
        <v/>
      </c>
      <c r="G90" s="25" t="str">
        <f t="shared" si="26"/>
        <v>.xlsx</v>
      </c>
      <c r="H90" s="29" t="e" cm="1">
        <f t="array" aca="1" ref="H90" ca="1">IF(AND(VALUE(E90)=INDIRECT("'["&amp;G90&amp;"]"&amp;E90&amp;"'!"&amp;$X$2),G90=INDIRECT("'["&amp;G90&amp;"]"&amp;E90&amp;"'!"&amp;$X$3)),INDIRECT("'["&amp;G90&amp;"]"&amp;E90&amp;"'!"&amp;$X$1),0)</f>
        <v>#VALUE!</v>
      </c>
      <c r="I90" s="25" t="str">
        <f t="shared" si="30"/>
        <v/>
      </c>
      <c r="J90" s="32" t="str">
        <f t="shared" si="31"/>
        <v/>
      </c>
      <c r="K90" s="25" t="str">
        <f t="shared" si="32"/>
        <v/>
      </c>
      <c r="L90" s="25" t="str">
        <f t="shared" si="33"/>
        <v/>
      </c>
      <c r="M90" s="33" t="e" cm="1">
        <f t="array" aca="1" ref="M90" ca="1">IF(AND(J90=INDIRECT("'["&amp;G90&amp;"]"&amp;E90&amp;"'!"&amp;$Y$2),G90=INDIRECT("'["&amp;G90&amp;"]"&amp;E90&amp;"'!"&amp;$AH$2)),INDIRECT("'["&amp;G90&amp;"]"&amp;E90&amp;"'!"&amp;$Y$3),0)</f>
        <v>#VALUE!</v>
      </c>
      <c r="N90" s="34" t="e" cm="1">
        <f t="array" aca="1" ref="N90" ca="1">IF(AND(G90=INDIRECT("'["&amp;G90&amp;"]"&amp;E90&amp;"'!"&amp;$AH$2),OR(K90=INDIRECT("'["&amp;G90&amp;"]"&amp;E90&amp;"'!"&amp;$Z$2))),INDIRECT("'["&amp;G90&amp;"]"&amp;E90&amp;"'!"&amp;$Z$3),0)</f>
        <v>#VALUE!</v>
      </c>
      <c r="O90" s="34" t="e" cm="1">
        <f t="array" aca="1" ref="O90" ca="1">IF(AND(G90=INDIRECT("'["&amp;G90&amp;"]"&amp;E90&amp;"'!"&amp;$AH$2),OR(L90=INDIRECT("'["&amp;G90&amp;"]"&amp;E90&amp;"'!"&amp;$AA$2))),INDIRECT("'["&amp;G90&amp;"]"&amp;E90&amp;"'!"&amp;$AA$3),0)</f>
        <v>#VALUE!</v>
      </c>
      <c r="P90" s="34" t="e" cm="1">
        <f t="array" aca="1" ref="P90" ca="1">IF(AND(G90=INDIRECT("'["&amp;G90&amp;"]"&amp;E90&amp;"'!"&amp;$AH$2),OR(VALUE(I90)=INDIRECT("'["&amp;G90&amp;"]"&amp;E90&amp;"'!"&amp;$AB$2))),INDIRECT("'["&amp;G90&amp;"]"&amp;E90&amp;"'!"&amp;$AB$3),0)</f>
        <v>#VALUE!</v>
      </c>
      <c r="Q90" s="34" t="e" cm="1">
        <f t="array" aca="1" ref="Q90" ca="1">IF(AND(G90=INDIRECT("'["&amp;G90&amp;"]"&amp;E90&amp;"'!"&amp;$AH$2),OR(VALUE(I90)=INDIRECT("'["&amp;G90&amp;"]"&amp;E90&amp;"'!"&amp;$AC$2))),INDIRECT("'["&amp;G90&amp;"]"&amp;E90&amp;"'!"&amp;$AC$3),0)</f>
        <v>#VALUE!</v>
      </c>
      <c r="R90" s="34" t="e" cm="1">
        <f t="array" aca="1" ref="R90" ca="1">IF(AND(G90=INDIRECT("'["&amp;G90&amp;"]"&amp;E90&amp;"'!"&amp;$AH$2),OR(I90=INDIRECT("'["&amp;G90&amp;"]"&amp;E90&amp;"'!"&amp;$AD$2))),INDIRECT("'["&amp;G90&amp;"]"&amp;E90&amp;"'!"&amp;$AD$3),0)</f>
        <v>#VALUE!</v>
      </c>
      <c r="S90" s="34" t="e" cm="1">
        <f t="array" aca="1" ref="S90" ca="1">IF(AND(G90=INDIRECT("'["&amp;G90&amp;"]"&amp;E90&amp;"'!"&amp;$AH$2),OR(I90=INDIRECT("'["&amp;G90&amp;"]"&amp;E90&amp;"'!"&amp;$AE$2))),INDIRECT("'["&amp;G90&amp;"]"&amp;E90&amp;"'!"&amp;$AE$3),0)</f>
        <v>#VALUE!</v>
      </c>
      <c r="T90" s="35" t="e" cm="1">
        <f t="array" aca="1" ref="T90" ca="1">IF(AND(G90=INDIRECT("'["&amp;G90&amp;"]"&amp;E90&amp;"'!"&amp;$AH$2),OR(I90=INDIRECT("'["&amp;G90&amp;"]"&amp;E90&amp;"'!"&amp;$AF$2))),INDIRECT("'["&amp;G90&amp;"]"&amp;E90&amp;"'!"&amp;$AF$3),0)</f>
        <v>#VALUE!</v>
      </c>
      <c r="U90" s="34" t="e" cm="1">
        <f t="array" aca="1" ref="U90" ca="1">IF(AND(G90=INDIRECT("'["&amp;G90&amp;"]"&amp;E90&amp;"'!"&amp;$AH$2),OR(I90=INDIRECT("'["&amp;G90&amp;"]"&amp;E90&amp;"'!"&amp;$AG$2))),INDIRECT("'["&amp;G90&amp;"]"&amp;E90&amp;"'!"&amp;$AG$3),0)</f>
        <v>#VALUE!</v>
      </c>
      <c r="V90" s="25" t="str">
        <f t="shared" si="34"/>
        <v/>
      </c>
      <c r="W90" s="36" t="e" cm="1">
        <f t="array" aca="1" ref="W90" ca="1">IF(AND(G90=INDIRECT("'["&amp;G90&amp;"]"&amp;E90&amp;"'!"&amp;$AH$2),OR(V90=INDIRECT("'["&amp;G90&amp;"]"&amp;E90&amp;"'!"&amp;$AI$2))),INDIRECT("'["&amp;G90&amp;"]"&amp;E90&amp;"'!"&amp;$AI$3),0)</f>
        <v>#VALUE!</v>
      </c>
      <c r="AJ90" s="25">
        <v>1</v>
      </c>
      <c r="AK90" s="38">
        <f t="shared" ca="1" si="35"/>
        <v>0</v>
      </c>
      <c r="AL90" s="38">
        <f t="shared" ca="1" si="36"/>
        <v>0</v>
      </c>
      <c r="AM90" s="54" t="str">
        <f t="shared" ca="1" si="27"/>
        <v/>
      </c>
      <c r="AN90" s="25" t="e">
        <f t="shared" ca="1" si="37"/>
        <v>#VALUE!</v>
      </c>
      <c r="AO90" s="25" t="e">
        <f t="shared" ca="1" si="38"/>
        <v>#VALUE!</v>
      </c>
      <c r="AP90" s="39" t="str">
        <f t="shared" ca="1" si="28"/>
        <v/>
      </c>
      <c r="AQ90" s="46" t="str">
        <f ca="1">IF(AND(C90&lt;&gt;0, C91=0), SUM($C$2:C90)-SUM($AQ$1:AQ89), "")</f>
        <v/>
      </c>
      <c r="AR90" s="46" t="str">
        <f ca="1">IF(AND(AK90&lt;&gt;0, AK91=0), SUM($AK$2:AK90)-SUM($AR$1:AR89), "")</f>
        <v/>
      </c>
    </row>
    <row r="91" spans="1:44" ht="13.15" customHeight="1">
      <c r="A91" s="31"/>
      <c r="B91" s="68" t="str">
        <f t="shared" si="41"/>
        <v/>
      </c>
      <c r="C91" s="55" cm="1">
        <f t="array" aca="1" ref="C91" ca="1">SUM(IF(ISNUMBER(M91:U91),M91:U91,""))</f>
        <v>0</v>
      </c>
      <c r="D91" s="25" t="str">
        <f t="shared" si="39"/>
        <v/>
      </c>
      <c r="E91" s="25" t="e">
        <f t="shared" si="29"/>
        <v>#VALUE!</v>
      </c>
      <c r="F91" s="25" t="str">
        <f t="shared" si="40"/>
        <v/>
      </c>
      <c r="G91" s="25" t="str">
        <f t="shared" si="26"/>
        <v>.xlsx</v>
      </c>
      <c r="H91" s="29" t="e" cm="1">
        <f t="array" aca="1" ref="H91" ca="1">IF(AND(VALUE(E91)=INDIRECT("'["&amp;G91&amp;"]"&amp;E91&amp;"'!"&amp;$X$2),G91=INDIRECT("'["&amp;G91&amp;"]"&amp;E91&amp;"'!"&amp;$X$3)),INDIRECT("'["&amp;G91&amp;"]"&amp;E91&amp;"'!"&amp;$X$1),0)</f>
        <v>#VALUE!</v>
      </c>
      <c r="I91" s="25" t="str">
        <f t="shared" si="30"/>
        <v/>
      </c>
      <c r="J91" s="32" t="str">
        <f t="shared" si="31"/>
        <v/>
      </c>
      <c r="K91" s="25" t="str">
        <f t="shared" si="32"/>
        <v/>
      </c>
      <c r="L91" s="25" t="str">
        <f t="shared" si="33"/>
        <v/>
      </c>
      <c r="M91" s="33" t="e" cm="1">
        <f t="array" aca="1" ref="M91" ca="1">IF(AND(J91=INDIRECT("'["&amp;G91&amp;"]"&amp;E91&amp;"'!"&amp;$Y$2),G91=INDIRECT("'["&amp;G91&amp;"]"&amp;E91&amp;"'!"&amp;$AH$2)),INDIRECT("'["&amp;G91&amp;"]"&amp;E91&amp;"'!"&amp;$Y$3),0)</f>
        <v>#VALUE!</v>
      </c>
      <c r="N91" s="34" t="e" cm="1">
        <f t="array" aca="1" ref="N91" ca="1">IF(AND(G91=INDIRECT("'["&amp;G91&amp;"]"&amp;E91&amp;"'!"&amp;$AH$2),OR(K91=INDIRECT("'["&amp;G91&amp;"]"&amp;E91&amp;"'!"&amp;$Z$2))),INDIRECT("'["&amp;G91&amp;"]"&amp;E91&amp;"'!"&amp;$Z$3),0)</f>
        <v>#VALUE!</v>
      </c>
      <c r="O91" s="34" t="e" cm="1">
        <f t="array" aca="1" ref="O91" ca="1">IF(AND(G91=INDIRECT("'["&amp;G91&amp;"]"&amp;E91&amp;"'!"&amp;$AH$2),OR(L91=INDIRECT("'["&amp;G91&amp;"]"&amp;E91&amp;"'!"&amp;$AA$2))),INDIRECT("'["&amp;G91&amp;"]"&amp;E91&amp;"'!"&amp;$AA$3),0)</f>
        <v>#VALUE!</v>
      </c>
      <c r="P91" s="34" t="e" cm="1">
        <f t="array" aca="1" ref="P91" ca="1">IF(AND(G91=INDIRECT("'["&amp;G91&amp;"]"&amp;E91&amp;"'!"&amp;$AH$2),OR(VALUE(I91)=INDIRECT("'["&amp;G91&amp;"]"&amp;E91&amp;"'!"&amp;$AB$2))),INDIRECT("'["&amp;G91&amp;"]"&amp;E91&amp;"'!"&amp;$AB$3),0)</f>
        <v>#VALUE!</v>
      </c>
      <c r="Q91" s="34" t="e" cm="1">
        <f t="array" aca="1" ref="Q91" ca="1">IF(AND(G91=INDIRECT("'["&amp;G91&amp;"]"&amp;E91&amp;"'!"&amp;$AH$2),OR(VALUE(I91)=INDIRECT("'["&amp;G91&amp;"]"&amp;E91&amp;"'!"&amp;$AC$2))),INDIRECT("'["&amp;G91&amp;"]"&amp;E91&amp;"'!"&amp;$AC$3),0)</f>
        <v>#VALUE!</v>
      </c>
      <c r="R91" s="34" t="e" cm="1">
        <f t="array" aca="1" ref="R91" ca="1">IF(AND(G91=INDIRECT("'["&amp;G91&amp;"]"&amp;E91&amp;"'!"&amp;$AH$2),OR(I91=INDIRECT("'["&amp;G91&amp;"]"&amp;E91&amp;"'!"&amp;$AD$2))),INDIRECT("'["&amp;G91&amp;"]"&amp;E91&amp;"'!"&amp;$AD$3),0)</f>
        <v>#VALUE!</v>
      </c>
      <c r="S91" s="34" t="e" cm="1">
        <f t="array" aca="1" ref="S91" ca="1">IF(AND(G91=INDIRECT("'["&amp;G91&amp;"]"&amp;E91&amp;"'!"&amp;$AH$2),OR(I91=INDIRECT("'["&amp;G91&amp;"]"&amp;E91&amp;"'!"&amp;$AE$2))),INDIRECT("'["&amp;G91&amp;"]"&amp;E91&amp;"'!"&amp;$AE$3),0)</f>
        <v>#VALUE!</v>
      </c>
      <c r="T91" s="35" t="e" cm="1">
        <f t="array" aca="1" ref="T91" ca="1">IF(AND(G91=INDIRECT("'["&amp;G91&amp;"]"&amp;E91&amp;"'!"&amp;$AH$2),OR(I91=INDIRECT("'["&amp;G91&amp;"]"&amp;E91&amp;"'!"&amp;$AF$2))),INDIRECT("'["&amp;G91&amp;"]"&amp;E91&amp;"'!"&amp;$AF$3),0)</f>
        <v>#VALUE!</v>
      </c>
      <c r="U91" s="34" t="e" cm="1">
        <f t="array" aca="1" ref="U91" ca="1">IF(AND(G91=INDIRECT("'["&amp;G91&amp;"]"&amp;E91&amp;"'!"&amp;$AH$2),OR(I91=INDIRECT("'["&amp;G91&amp;"]"&amp;E91&amp;"'!"&amp;$AG$2))),INDIRECT("'["&amp;G91&amp;"]"&amp;E91&amp;"'!"&amp;$AG$3),0)</f>
        <v>#VALUE!</v>
      </c>
      <c r="V91" s="25" t="str">
        <f t="shared" si="34"/>
        <v/>
      </c>
      <c r="W91" s="36" t="e" cm="1">
        <f t="array" aca="1" ref="W91" ca="1">IF(AND(G91=INDIRECT("'["&amp;G91&amp;"]"&amp;E91&amp;"'!"&amp;$AH$2),OR(V91=INDIRECT("'["&amp;G91&amp;"]"&amp;E91&amp;"'!"&amp;$AI$2))),INDIRECT("'["&amp;G91&amp;"]"&amp;E91&amp;"'!"&amp;$AI$3),0)</f>
        <v>#VALUE!</v>
      </c>
      <c r="AJ91" s="25">
        <v>1</v>
      </c>
      <c r="AK91" s="38">
        <f t="shared" ca="1" si="35"/>
        <v>0</v>
      </c>
      <c r="AL91" s="38">
        <f t="shared" ca="1" si="36"/>
        <v>0</v>
      </c>
      <c r="AM91" s="54" t="str">
        <f t="shared" ca="1" si="27"/>
        <v/>
      </c>
      <c r="AN91" s="25" t="e">
        <f t="shared" ca="1" si="37"/>
        <v>#VALUE!</v>
      </c>
      <c r="AO91" s="25" t="e">
        <f t="shared" ca="1" si="38"/>
        <v>#VALUE!</v>
      </c>
      <c r="AP91" s="39" t="str">
        <f t="shared" ca="1" si="28"/>
        <v/>
      </c>
      <c r="AQ91" s="46" t="str">
        <f ca="1">IF(AND(C91&lt;&gt;0, C92=0), SUM($C$2:C91)-SUM($AQ$1:AQ90), "")</f>
        <v/>
      </c>
      <c r="AR91" s="46" t="str">
        <f ca="1">IF(AND(AK91&lt;&gt;0, AK92=0), SUM($AK$2:AK91)-SUM($AR$1:AR90), "")</f>
        <v/>
      </c>
    </row>
    <row r="92" spans="1:44" ht="13.15" customHeight="1">
      <c r="A92" s="31"/>
      <c r="B92" s="68" t="str">
        <f t="shared" si="41"/>
        <v/>
      </c>
      <c r="C92" s="55" cm="1">
        <f t="array" aca="1" ref="C92" ca="1">SUM(IF(ISNUMBER(M92:U92),M92:U92,""))</f>
        <v>0</v>
      </c>
      <c r="D92" s="25" t="str">
        <f t="shared" si="39"/>
        <v/>
      </c>
      <c r="E92" s="25" t="e">
        <f t="shared" si="29"/>
        <v>#VALUE!</v>
      </c>
      <c r="F92" s="25" t="str">
        <f t="shared" si="40"/>
        <v/>
      </c>
      <c r="G92" s="25" t="str">
        <f t="shared" si="26"/>
        <v>.xlsx</v>
      </c>
      <c r="H92" s="29" t="e" cm="1">
        <f t="array" aca="1" ref="H92" ca="1">IF(AND(VALUE(E92)=INDIRECT("'["&amp;G92&amp;"]"&amp;E92&amp;"'!"&amp;$X$2),G92=INDIRECT("'["&amp;G92&amp;"]"&amp;E92&amp;"'!"&amp;$X$3)),INDIRECT("'["&amp;G92&amp;"]"&amp;E92&amp;"'!"&amp;$X$1),0)</f>
        <v>#VALUE!</v>
      </c>
      <c r="I92" s="25" t="str">
        <f t="shared" si="30"/>
        <v/>
      </c>
      <c r="J92" s="32" t="str">
        <f t="shared" si="31"/>
        <v/>
      </c>
      <c r="K92" s="25" t="str">
        <f t="shared" si="32"/>
        <v/>
      </c>
      <c r="L92" s="25" t="str">
        <f t="shared" si="33"/>
        <v/>
      </c>
      <c r="M92" s="33" t="e" cm="1">
        <f t="array" aca="1" ref="M92" ca="1">IF(AND(J92=INDIRECT("'["&amp;G92&amp;"]"&amp;E92&amp;"'!"&amp;$Y$2),G92=INDIRECT("'["&amp;G92&amp;"]"&amp;E92&amp;"'!"&amp;$AH$2)),INDIRECT("'["&amp;G92&amp;"]"&amp;E92&amp;"'!"&amp;$Y$3),0)</f>
        <v>#VALUE!</v>
      </c>
      <c r="N92" s="34" t="e" cm="1">
        <f t="array" aca="1" ref="N92" ca="1">IF(AND(G92=INDIRECT("'["&amp;G92&amp;"]"&amp;E92&amp;"'!"&amp;$AH$2),OR(K92=INDIRECT("'["&amp;G92&amp;"]"&amp;E92&amp;"'!"&amp;$Z$2))),INDIRECT("'["&amp;G92&amp;"]"&amp;E92&amp;"'!"&amp;$Z$3),0)</f>
        <v>#VALUE!</v>
      </c>
      <c r="O92" s="34" t="e" cm="1">
        <f t="array" aca="1" ref="O92" ca="1">IF(AND(G92=INDIRECT("'["&amp;G92&amp;"]"&amp;E92&amp;"'!"&amp;$AH$2),OR(L92=INDIRECT("'["&amp;G92&amp;"]"&amp;E92&amp;"'!"&amp;$AA$2))),INDIRECT("'["&amp;G92&amp;"]"&amp;E92&amp;"'!"&amp;$AA$3),0)</f>
        <v>#VALUE!</v>
      </c>
      <c r="P92" s="34" t="e" cm="1">
        <f t="array" aca="1" ref="P92" ca="1">IF(AND(G92=INDIRECT("'["&amp;G92&amp;"]"&amp;E92&amp;"'!"&amp;$AH$2),OR(VALUE(I92)=INDIRECT("'["&amp;G92&amp;"]"&amp;E92&amp;"'!"&amp;$AB$2))),INDIRECT("'["&amp;G92&amp;"]"&amp;E92&amp;"'!"&amp;$AB$3),0)</f>
        <v>#VALUE!</v>
      </c>
      <c r="Q92" s="34" t="e" cm="1">
        <f t="array" aca="1" ref="Q92" ca="1">IF(AND(G92=INDIRECT("'["&amp;G92&amp;"]"&amp;E92&amp;"'!"&amp;$AH$2),OR(VALUE(I92)=INDIRECT("'["&amp;G92&amp;"]"&amp;E92&amp;"'!"&amp;$AC$2))),INDIRECT("'["&amp;G92&amp;"]"&amp;E92&amp;"'!"&amp;$AC$3),0)</f>
        <v>#VALUE!</v>
      </c>
      <c r="R92" s="34" t="e" cm="1">
        <f t="array" aca="1" ref="R92" ca="1">IF(AND(G92=INDIRECT("'["&amp;G92&amp;"]"&amp;E92&amp;"'!"&amp;$AH$2),OR(I92=INDIRECT("'["&amp;G92&amp;"]"&amp;E92&amp;"'!"&amp;$AD$2))),INDIRECT("'["&amp;G92&amp;"]"&amp;E92&amp;"'!"&amp;$AD$3),0)</f>
        <v>#VALUE!</v>
      </c>
      <c r="S92" s="34" t="e" cm="1">
        <f t="array" aca="1" ref="S92" ca="1">IF(AND(G92=INDIRECT("'["&amp;G92&amp;"]"&amp;E92&amp;"'!"&amp;$AH$2),OR(I92=INDIRECT("'["&amp;G92&amp;"]"&amp;E92&amp;"'!"&amp;$AE$2))),INDIRECT("'["&amp;G92&amp;"]"&amp;E92&amp;"'!"&amp;$AE$3),0)</f>
        <v>#VALUE!</v>
      </c>
      <c r="T92" s="35" t="e" cm="1">
        <f t="array" aca="1" ref="T92" ca="1">IF(AND(G92=INDIRECT("'["&amp;G92&amp;"]"&amp;E92&amp;"'!"&amp;$AH$2),OR(I92=INDIRECT("'["&amp;G92&amp;"]"&amp;E92&amp;"'!"&amp;$AF$2))),INDIRECT("'["&amp;G92&amp;"]"&amp;E92&amp;"'!"&amp;$AF$3),0)</f>
        <v>#VALUE!</v>
      </c>
      <c r="U92" s="34" t="e" cm="1">
        <f t="array" aca="1" ref="U92" ca="1">IF(AND(G92=INDIRECT("'["&amp;G92&amp;"]"&amp;E92&amp;"'!"&amp;$AH$2),OR(I92=INDIRECT("'["&amp;G92&amp;"]"&amp;E92&amp;"'!"&amp;$AG$2))),INDIRECT("'["&amp;G92&amp;"]"&amp;E92&amp;"'!"&amp;$AG$3),0)</f>
        <v>#VALUE!</v>
      </c>
      <c r="V92" s="25" t="str">
        <f t="shared" si="34"/>
        <v/>
      </c>
      <c r="W92" s="36" t="e" cm="1">
        <f t="array" aca="1" ref="W92" ca="1">IF(AND(G92=INDIRECT("'["&amp;G92&amp;"]"&amp;E92&amp;"'!"&amp;$AH$2),OR(V92=INDIRECT("'["&amp;G92&amp;"]"&amp;E92&amp;"'!"&amp;$AI$2))),INDIRECT("'["&amp;G92&amp;"]"&amp;E92&amp;"'!"&amp;$AI$3),0)</f>
        <v>#VALUE!</v>
      </c>
      <c r="AJ92" s="25">
        <v>1</v>
      </c>
      <c r="AK92" s="38">
        <f t="shared" ca="1" si="35"/>
        <v>0</v>
      </c>
      <c r="AL92" s="38">
        <f t="shared" ca="1" si="36"/>
        <v>0</v>
      </c>
      <c r="AM92" s="54" t="str">
        <f t="shared" ca="1" si="27"/>
        <v/>
      </c>
      <c r="AN92" s="25" t="e">
        <f t="shared" ca="1" si="37"/>
        <v>#VALUE!</v>
      </c>
      <c r="AO92" s="25" t="e">
        <f t="shared" ca="1" si="38"/>
        <v>#VALUE!</v>
      </c>
      <c r="AP92" s="39" t="str">
        <f t="shared" ca="1" si="28"/>
        <v/>
      </c>
      <c r="AQ92" s="46" t="str">
        <f ca="1">IF(AND(C92&lt;&gt;0, C93=0), SUM($C$2:C92)-SUM($AQ$1:AQ91), "")</f>
        <v/>
      </c>
      <c r="AR92" s="46" t="str">
        <f ca="1">IF(AND(AK92&lt;&gt;0, AK93=0), SUM($AK$2:AK92)-SUM($AR$1:AR91), "")</f>
        <v/>
      </c>
    </row>
    <row r="93" spans="1:44" ht="13.15" customHeight="1">
      <c r="A93" s="31"/>
      <c r="B93" s="68" t="str">
        <f t="shared" si="41"/>
        <v/>
      </c>
      <c r="C93" s="55" cm="1">
        <f t="array" aca="1" ref="C93" ca="1">SUM(IF(ISNUMBER(M93:U93),M93:U93,""))</f>
        <v>0</v>
      </c>
      <c r="D93" s="25" t="str">
        <f t="shared" si="39"/>
        <v/>
      </c>
      <c r="E93" s="25" t="e">
        <f t="shared" si="29"/>
        <v>#VALUE!</v>
      </c>
      <c r="F93" s="25" t="str">
        <f t="shared" si="40"/>
        <v/>
      </c>
      <c r="G93" s="25" t="str">
        <f t="shared" si="26"/>
        <v>.xlsx</v>
      </c>
      <c r="H93" s="29" t="e" cm="1">
        <f t="array" aca="1" ref="H93" ca="1">IF(AND(VALUE(E93)=INDIRECT("'["&amp;G93&amp;"]"&amp;E93&amp;"'!"&amp;$X$2),G93=INDIRECT("'["&amp;G93&amp;"]"&amp;E93&amp;"'!"&amp;$X$3)),INDIRECT("'["&amp;G93&amp;"]"&amp;E93&amp;"'!"&amp;$X$1),0)</f>
        <v>#VALUE!</v>
      </c>
      <c r="I93" s="25" t="str">
        <f t="shared" si="30"/>
        <v/>
      </c>
      <c r="J93" s="32" t="str">
        <f t="shared" si="31"/>
        <v/>
      </c>
      <c r="K93" s="25" t="str">
        <f t="shared" si="32"/>
        <v/>
      </c>
      <c r="L93" s="25" t="str">
        <f t="shared" si="33"/>
        <v/>
      </c>
      <c r="M93" s="33" t="e" cm="1">
        <f t="array" aca="1" ref="M93" ca="1">IF(AND(J93=INDIRECT("'["&amp;G93&amp;"]"&amp;E93&amp;"'!"&amp;$Y$2),G93=INDIRECT("'["&amp;G93&amp;"]"&amp;E93&amp;"'!"&amp;$AH$2)),INDIRECT("'["&amp;G93&amp;"]"&amp;E93&amp;"'!"&amp;$Y$3),0)</f>
        <v>#VALUE!</v>
      </c>
      <c r="N93" s="34" t="e" cm="1">
        <f t="array" aca="1" ref="N93" ca="1">IF(AND(G93=INDIRECT("'["&amp;G93&amp;"]"&amp;E93&amp;"'!"&amp;$AH$2),OR(K93=INDIRECT("'["&amp;G93&amp;"]"&amp;E93&amp;"'!"&amp;$Z$2))),INDIRECT("'["&amp;G93&amp;"]"&amp;E93&amp;"'!"&amp;$Z$3),0)</f>
        <v>#VALUE!</v>
      </c>
      <c r="O93" s="34" t="e" cm="1">
        <f t="array" aca="1" ref="O93" ca="1">IF(AND(G93=INDIRECT("'["&amp;G93&amp;"]"&amp;E93&amp;"'!"&amp;$AH$2),OR(L93=INDIRECT("'["&amp;G93&amp;"]"&amp;E93&amp;"'!"&amp;$AA$2))),INDIRECT("'["&amp;G93&amp;"]"&amp;E93&amp;"'!"&amp;$AA$3),0)</f>
        <v>#VALUE!</v>
      </c>
      <c r="P93" s="34" t="e" cm="1">
        <f t="array" aca="1" ref="P93" ca="1">IF(AND(G93=INDIRECT("'["&amp;G93&amp;"]"&amp;E93&amp;"'!"&amp;$AH$2),OR(VALUE(I93)=INDIRECT("'["&amp;G93&amp;"]"&amp;E93&amp;"'!"&amp;$AB$2))),INDIRECT("'["&amp;G93&amp;"]"&amp;E93&amp;"'!"&amp;$AB$3),0)</f>
        <v>#VALUE!</v>
      </c>
      <c r="Q93" s="34" t="e" cm="1">
        <f t="array" aca="1" ref="Q93" ca="1">IF(AND(G93=INDIRECT("'["&amp;G93&amp;"]"&amp;E93&amp;"'!"&amp;$AH$2),OR(VALUE(I93)=INDIRECT("'["&amp;G93&amp;"]"&amp;E93&amp;"'!"&amp;$AC$2))),INDIRECT("'["&amp;G93&amp;"]"&amp;E93&amp;"'!"&amp;$AC$3),0)</f>
        <v>#VALUE!</v>
      </c>
      <c r="R93" s="34" t="e" cm="1">
        <f t="array" aca="1" ref="R93" ca="1">IF(AND(G93=INDIRECT("'["&amp;G93&amp;"]"&amp;E93&amp;"'!"&amp;$AH$2),OR(I93=INDIRECT("'["&amp;G93&amp;"]"&amp;E93&amp;"'!"&amp;$AD$2))),INDIRECT("'["&amp;G93&amp;"]"&amp;E93&amp;"'!"&amp;$AD$3),0)</f>
        <v>#VALUE!</v>
      </c>
      <c r="S93" s="34" t="e" cm="1">
        <f t="array" aca="1" ref="S93" ca="1">IF(AND(G93=INDIRECT("'["&amp;G93&amp;"]"&amp;E93&amp;"'!"&amp;$AH$2),OR(I93=INDIRECT("'["&amp;G93&amp;"]"&amp;E93&amp;"'!"&amp;$AE$2))),INDIRECT("'["&amp;G93&amp;"]"&amp;E93&amp;"'!"&amp;$AE$3),0)</f>
        <v>#VALUE!</v>
      </c>
      <c r="T93" s="35" t="e" cm="1">
        <f t="array" aca="1" ref="T93" ca="1">IF(AND(G93=INDIRECT("'["&amp;G93&amp;"]"&amp;E93&amp;"'!"&amp;$AH$2),OR(I93=INDIRECT("'["&amp;G93&amp;"]"&amp;E93&amp;"'!"&amp;$AF$2))),INDIRECT("'["&amp;G93&amp;"]"&amp;E93&amp;"'!"&amp;$AF$3),0)</f>
        <v>#VALUE!</v>
      </c>
      <c r="U93" s="34" t="e" cm="1">
        <f t="array" aca="1" ref="U93" ca="1">IF(AND(G93=INDIRECT("'["&amp;G93&amp;"]"&amp;E93&amp;"'!"&amp;$AH$2),OR(I93=INDIRECT("'["&amp;G93&amp;"]"&amp;E93&amp;"'!"&amp;$AG$2))),INDIRECT("'["&amp;G93&amp;"]"&amp;E93&amp;"'!"&amp;$AG$3),0)</f>
        <v>#VALUE!</v>
      </c>
      <c r="V93" s="25" t="str">
        <f t="shared" si="34"/>
        <v/>
      </c>
      <c r="W93" s="36" t="e" cm="1">
        <f t="array" aca="1" ref="W93" ca="1">IF(AND(G93=INDIRECT("'["&amp;G93&amp;"]"&amp;E93&amp;"'!"&amp;$AH$2),OR(V93=INDIRECT("'["&amp;G93&amp;"]"&amp;E93&amp;"'!"&amp;$AI$2))),INDIRECT("'["&amp;G93&amp;"]"&amp;E93&amp;"'!"&amp;$AI$3),0)</f>
        <v>#VALUE!</v>
      </c>
      <c r="AJ93" s="25">
        <v>1</v>
      </c>
      <c r="AK93" s="38">
        <f t="shared" ca="1" si="35"/>
        <v>0</v>
      </c>
      <c r="AL93" s="38">
        <f t="shared" ca="1" si="36"/>
        <v>0</v>
      </c>
      <c r="AM93" s="54" t="str">
        <f t="shared" ca="1" si="27"/>
        <v/>
      </c>
      <c r="AN93" s="25" t="e">
        <f t="shared" ca="1" si="37"/>
        <v>#VALUE!</v>
      </c>
      <c r="AO93" s="25" t="e">
        <f t="shared" ca="1" si="38"/>
        <v>#VALUE!</v>
      </c>
      <c r="AP93" s="39" t="str">
        <f t="shared" ca="1" si="28"/>
        <v/>
      </c>
      <c r="AQ93" s="46" t="str">
        <f ca="1">IF(AND(C93&lt;&gt;0, C94=0), SUM($C$2:C93)-SUM($AQ$1:AQ92), "")</f>
        <v/>
      </c>
      <c r="AR93" s="46" t="str">
        <f ca="1">IF(AND(AK93&lt;&gt;0, AK94=0), SUM($AK$2:AK93)-SUM($AR$1:AR92), "")</f>
        <v/>
      </c>
    </row>
    <row r="94" spans="1:44" ht="13.15" customHeight="1">
      <c r="A94" s="31"/>
      <c r="B94" s="68" t="str">
        <f t="shared" si="41"/>
        <v/>
      </c>
      <c r="C94" s="55" cm="1">
        <f t="array" aca="1" ref="C94" ca="1">SUM(IF(ISNUMBER(M94:U94),M94:U94,""))</f>
        <v>0</v>
      </c>
      <c r="D94" s="25" t="str">
        <f t="shared" si="39"/>
        <v/>
      </c>
      <c r="E94" s="25" t="e">
        <f t="shared" si="29"/>
        <v>#VALUE!</v>
      </c>
      <c r="F94" s="25" t="str">
        <f t="shared" si="40"/>
        <v/>
      </c>
      <c r="G94" s="25" t="str">
        <f t="shared" si="26"/>
        <v>.xlsx</v>
      </c>
      <c r="H94" s="29" t="e" cm="1">
        <f t="array" aca="1" ref="H94" ca="1">IF(AND(VALUE(E94)=INDIRECT("'["&amp;G94&amp;"]"&amp;E94&amp;"'!"&amp;$X$2),G94=INDIRECT("'["&amp;G94&amp;"]"&amp;E94&amp;"'!"&amp;$X$3)),INDIRECT("'["&amp;G94&amp;"]"&amp;E94&amp;"'!"&amp;$X$1),0)</f>
        <v>#VALUE!</v>
      </c>
      <c r="I94" s="25" t="str">
        <f t="shared" si="30"/>
        <v/>
      </c>
      <c r="J94" s="32" t="str">
        <f t="shared" si="31"/>
        <v/>
      </c>
      <c r="K94" s="25" t="str">
        <f t="shared" si="32"/>
        <v/>
      </c>
      <c r="L94" s="25" t="str">
        <f t="shared" si="33"/>
        <v/>
      </c>
      <c r="M94" s="33" t="e" cm="1">
        <f t="array" aca="1" ref="M94" ca="1">IF(AND(J94=INDIRECT("'["&amp;G94&amp;"]"&amp;E94&amp;"'!"&amp;$Y$2),G94=INDIRECT("'["&amp;G94&amp;"]"&amp;E94&amp;"'!"&amp;$AH$2)),INDIRECT("'["&amp;G94&amp;"]"&amp;E94&amp;"'!"&amp;$Y$3),0)</f>
        <v>#VALUE!</v>
      </c>
      <c r="N94" s="34" t="e" cm="1">
        <f t="array" aca="1" ref="N94" ca="1">IF(AND(G94=INDIRECT("'["&amp;G94&amp;"]"&amp;E94&amp;"'!"&amp;$AH$2),OR(K94=INDIRECT("'["&amp;G94&amp;"]"&amp;E94&amp;"'!"&amp;$Z$2))),INDIRECT("'["&amp;G94&amp;"]"&amp;E94&amp;"'!"&amp;$Z$3),0)</f>
        <v>#VALUE!</v>
      </c>
      <c r="O94" s="34" t="e" cm="1">
        <f t="array" aca="1" ref="O94" ca="1">IF(AND(G94=INDIRECT("'["&amp;G94&amp;"]"&amp;E94&amp;"'!"&amp;$AH$2),OR(L94=INDIRECT("'["&amp;G94&amp;"]"&amp;E94&amp;"'!"&amp;$AA$2))),INDIRECT("'["&amp;G94&amp;"]"&amp;E94&amp;"'!"&amp;$AA$3),0)</f>
        <v>#VALUE!</v>
      </c>
      <c r="P94" s="34" t="e" cm="1">
        <f t="array" aca="1" ref="P94" ca="1">IF(AND(G94=INDIRECT("'["&amp;G94&amp;"]"&amp;E94&amp;"'!"&amp;$AH$2),OR(VALUE(I94)=INDIRECT("'["&amp;G94&amp;"]"&amp;E94&amp;"'!"&amp;$AB$2))),INDIRECT("'["&amp;G94&amp;"]"&amp;E94&amp;"'!"&amp;$AB$3),0)</f>
        <v>#VALUE!</v>
      </c>
      <c r="Q94" s="34" t="e" cm="1">
        <f t="array" aca="1" ref="Q94" ca="1">IF(AND(G94=INDIRECT("'["&amp;G94&amp;"]"&amp;E94&amp;"'!"&amp;$AH$2),OR(VALUE(I94)=INDIRECT("'["&amp;G94&amp;"]"&amp;E94&amp;"'!"&amp;$AC$2))),INDIRECT("'["&amp;G94&amp;"]"&amp;E94&amp;"'!"&amp;$AC$3),0)</f>
        <v>#VALUE!</v>
      </c>
      <c r="R94" s="34" t="e" cm="1">
        <f t="array" aca="1" ref="R94" ca="1">IF(AND(G94=INDIRECT("'["&amp;G94&amp;"]"&amp;E94&amp;"'!"&amp;$AH$2),OR(I94=INDIRECT("'["&amp;G94&amp;"]"&amp;E94&amp;"'!"&amp;$AD$2))),INDIRECT("'["&amp;G94&amp;"]"&amp;E94&amp;"'!"&amp;$AD$3),0)</f>
        <v>#VALUE!</v>
      </c>
      <c r="S94" s="34" t="e" cm="1">
        <f t="array" aca="1" ref="S94" ca="1">IF(AND(G94=INDIRECT("'["&amp;G94&amp;"]"&amp;E94&amp;"'!"&amp;$AH$2),OR(I94=INDIRECT("'["&amp;G94&amp;"]"&amp;E94&amp;"'!"&amp;$AE$2))),INDIRECT("'["&amp;G94&amp;"]"&amp;E94&amp;"'!"&amp;$AE$3),0)</f>
        <v>#VALUE!</v>
      </c>
      <c r="T94" s="35" t="e" cm="1">
        <f t="array" aca="1" ref="T94" ca="1">IF(AND(G94=INDIRECT("'["&amp;G94&amp;"]"&amp;E94&amp;"'!"&amp;$AH$2),OR(I94=INDIRECT("'["&amp;G94&amp;"]"&amp;E94&amp;"'!"&amp;$AF$2))),INDIRECT("'["&amp;G94&amp;"]"&amp;E94&amp;"'!"&amp;$AF$3),0)</f>
        <v>#VALUE!</v>
      </c>
      <c r="U94" s="34" t="e" cm="1">
        <f t="array" aca="1" ref="U94" ca="1">IF(AND(G94=INDIRECT("'["&amp;G94&amp;"]"&amp;E94&amp;"'!"&amp;$AH$2),OR(I94=INDIRECT("'["&amp;G94&amp;"]"&amp;E94&amp;"'!"&amp;$AG$2))),INDIRECT("'["&amp;G94&amp;"]"&amp;E94&amp;"'!"&amp;$AG$3),0)</f>
        <v>#VALUE!</v>
      </c>
      <c r="V94" s="25" t="str">
        <f t="shared" si="34"/>
        <v/>
      </c>
      <c r="W94" s="36" t="e" cm="1">
        <f t="array" aca="1" ref="W94" ca="1">IF(AND(G94=INDIRECT("'["&amp;G94&amp;"]"&amp;E94&amp;"'!"&amp;$AH$2),OR(V94=INDIRECT("'["&amp;G94&amp;"]"&amp;E94&amp;"'!"&amp;$AI$2))),INDIRECT("'["&amp;G94&amp;"]"&amp;E94&amp;"'!"&amp;$AI$3),0)</f>
        <v>#VALUE!</v>
      </c>
      <c r="AJ94" s="25">
        <v>1</v>
      </c>
      <c r="AK94" s="38">
        <f t="shared" ca="1" si="35"/>
        <v>0</v>
      </c>
      <c r="AL94" s="38">
        <f t="shared" ca="1" si="36"/>
        <v>0</v>
      </c>
      <c r="AM94" s="54" t="str">
        <f t="shared" ca="1" si="27"/>
        <v/>
      </c>
      <c r="AN94" s="25" t="e">
        <f t="shared" ca="1" si="37"/>
        <v>#VALUE!</v>
      </c>
      <c r="AO94" s="25" t="e">
        <f t="shared" ca="1" si="38"/>
        <v>#VALUE!</v>
      </c>
      <c r="AP94" s="39" t="str">
        <f t="shared" ca="1" si="28"/>
        <v/>
      </c>
      <c r="AQ94" s="46" t="str">
        <f ca="1">IF(AND(C94&lt;&gt;0, C95=0), SUM($C$2:C94)-SUM($AQ$1:AQ93), "")</f>
        <v/>
      </c>
      <c r="AR94" s="46" t="str">
        <f ca="1">IF(AND(AK94&lt;&gt;0, AK95=0), SUM($AK$2:AK94)-SUM($AR$1:AR93), "")</f>
        <v/>
      </c>
    </row>
    <row r="95" spans="1:44" ht="13.15" customHeight="1">
      <c r="A95" s="31"/>
      <c r="B95" s="68" t="str">
        <f t="shared" si="41"/>
        <v/>
      </c>
      <c r="C95" s="55" cm="1">
        <f t="array" aca="1" ref="C95" ca="1">SUM(IF(ISNUMBER(M95:U95),M95:U95,""))</f>
        <v>0</v>
      </c>
      <c r="D95" s="25" t="str">
        <f t="shared" si="39"/>
        <v/>
      </c>
      <c r="E95" s="25" t="e">
        <f t="shared" si="29"/>
        <v>#VALUE!</v>
      </c>
      <c r="F95" s="25" t="str">
        <f t="shared" si="40"/>
        <v/>
      </c>
      <c r="G95" s="25" t="str">
        <f t="shared" si="26"/>
        <v>.xlsx</v>
      </c>
      <c r="H95" s="29" t="e" cm="1">
        <f t="array" aca="1" ref="H95" ca="1">IF(AND(VALUE(E95)=INDIRECT("'["&amp;G95&amp;"]"&amp;E95&amp;"'!"&amp;$X$2),G95=INDIRECT("'["&amp;G95&amp;"]"&amp;E95&amp;"'!"&amp;$X$3)),INDIRECT("'["&amp;G95&amp;"]"&amp;E95&amp;"'!"&amp;$X$1),0)</f>
        <v>#VALUE!</v>
      </c>
      <c r="I95" s="25" t="str">
        <f t="shared" si="30"/>
        <v/>
      </c>
      <c r="J95" s="32" t="str">
        <f t="shared" si="31"/>
        <v/>
      </c>
      <c r="K95" s="25" t="str">
        <f t="shared" si="32"/>
        <v/>
      </c>
      <c r="L95" s="25" t="str">
        <f t="shared" si="33"/>
        <v/>
      </c>
      <c r="M95" s="33" t="e" cm="1">
        <f t="array" aca="1" ref="M95" ca="1">IF(AND(J95=INDIRECT("'["&amp;G95&amp;"]"&amp;E95&amp;"'!"&amp;$Y$2),G95=INDIRECT("'["&amp;G95&amp;"]"&amp;E95&amp;"'!"&amp;$AH$2)),INDIRECT("'["&amp;G95&amp;"]"&amp;E95&amp;"'!"&amp;$Y$3),0)</f>
        <v>#VALUE!</v>
      </c>
      <c r="N95" s="34" t="e" cm="1">
        <f t="array" aca="1" ref="N95" ca="1">IF(AND(G95=INDIRECT("'["&amp;G95&amp;"]"&amp;E95&amp;"'!"&amp;$AH$2),OR(K95=INDIRECT("'["&amp;G95&amp;"]"&amp;E95&amp;"'!"&amp;$Z$2))),INDIRECT("'["&amp;G95&amp;"]"&amp;E95&amp;"'!"&amp;$Z$3),0)</f>
        <v>#VALUE!</v>
      </c>
      <c r="O95" s="34" t="e" cm="1">
        <f t="array" aca="1" ref="O95" ca="1">IF(AND(G95=INDIRECT("'["&amp;G95&amp;"]"&amp;E95&amp;"'!"&amp;$AH$2),OR(L95=INDIRECT("'["&amp;G95&amp;"]"&amp;E95&amp;"'!"&amp;$AA$2))),INDIRECT("'["&amp;G95&amp;"]"&amp;E95&amp;"'!"&amp;$AA$3),0)</f>
        <v>#VALUE!</v>
      </c>
      <c r="P95" s="34" t="e" cm="1">
        <f t="array" aca="1" ref="P95" ca="1">IF(AND(G95=INDIRECT("'["&amp;G95&amp;"]"&amp;E95&amp;"'!"&amp;$AH$2),OR(VALUE(I95)=INDIRECT("'["&amp;G95&amp;"]"&amp;E95&amp;"'!"&amp;$AB$2))),INDIRECT("'["&amp;G95&amp;"]"&amp;E95&amp;"'!"&amp;$AB$3),0)</f>
        <v>#VALUE!</v>
      </c>
      <c r="Q95" s="34" t="e" cm="1">
        <f t="array" aca="1" ref="Q95" ca="1">IF(AND(G95=INDIRECT("'["&amp;G95&amp;"]"&amp;E95&amp;"'!"&amp;$AH$2),OR(VALUE(I95)=INDIRECT("'["&amp;G95&amp;"]"&amp;E95&amp;"'!"&amp;$AC$2))),INDIRECT("'["&amp;G95&amp;"]"&amp;E95&amp;"'!"&amp;$AC$3),0)</f>
        <v>#VALUE!</v>
      </c>
      <c r="R95" s="34" t="e" cm="1">
        <f t="array" aca="1" ref="R95" ca="1">IF(AND(G95=INDIRECT("'["&amp;G95&amp;"]"&amp;E95&amp;"'!"&amp;$AH$2),OR(I95=INDIRECT("'["&amp;G95&amp;"]"&amp;E95&amp;"'!"&amp;$AD$2))),INDIRECT("'["&amp;G95&amp;"]"&amp;E95&amp;"'!"&amp;$AD$3),0)</f>
        <v>#VALUE!</v>
      </c>
      <c r="S95" s="34" t="e" cm="1">
        <f t="array" aca="1" ref="S95" ca="1">IF(AND(G95=INDIRECT("'["&amp;G95&amp;"]"&amp;E95&amp;"'!"&amp;$AH$2),OR(I95=INDIRECT("'["&amp;G95&amp;"]"&amp;E95&amp;"'!"&amp;$AE$2))),INDIRECT("'["&amp;G95&amp;"]"&amp;E95&amp;"'!"&amp;$AE$3),0)</f>
        <v>#VALUE!</v>
      </c>
      <c r="T95" s="35" t="e" cm="1">
        <f t="array" aca="1" ref="T95" ca="1">IF(AND(G95=INDIRECT("'["&amp;G95&amp;"]"&amp;E95&amp;"'!"&amp;$AH$2),OR(I95=INDIRECT("'["&amp;G95&amp;"]"&amp;E95&amp;"'!"&amp;$AF$2))),INDIRECT("'["&amp;G95&amp;"]"&amp;E95&amp;"'!"&amp;$AF$3),0)</f>
        <v>#VALUE!</v>
      </c>
      <c r="U95" s="34" t="e" cm="1">
        <f t="array" aca="1" ref="U95" ca="1">IF(AND(G95=INDIRECT("'["&amp;G95&amp;"]"&amp;E95&amp;"'!"&amp;$AH$2),OR(I95=INDIRECT("'["&amp;G95&amp;"]"&amp;E95&amp;"'!"&amp;$AG$2))),INDIRECT("'["&amp;G95&amp;"]"&amp;E95&amp;"'!"&amp;$AG$3),0)</f>
        <v>#VALUE!</v>
      </c>
      <c r="V95" s="25" t="str">
        <f t="shared" si="34"/>
        <v/>
      </c>
      <c r="W95" s="36" t="e" cm="1">
        <f t="array" aca="1" ref="W95" ca="1">IF(AND(G95=INDIRECT("'["&amp;G95&amp;"]"&amp;E95&amp;"'!"&amp;$AH$2),OR(V95=INDIRECT("'["&amp;G95&amp;"]"&amp;E95&amp;"'!"&amp;$AI$2))),INDIRECT("'["&amp;G95&amp;"]"&amp;E95&amp;"'!"&amp;$AI$3),0)</f>
        <v>#VALUE!</v>
      </c>
      <c r="AJ95" s="25">
        <v>1</v>
      </c>
      <c r="AK95" s="38">
        <f t="shared" ca="1" si="35"/>
        <v>0</v>
      </c>
      <c r="AL95" s="38">
        <f t="shared" ca="1" si="36"/>
        <v>0</v>
      </c>
      <c r="AM95" s="54" t="str">
        <f t="shared" ca="1" si="27"/>
        <v/>
      </c>
      <c r="AN95" s="25" t="e">
        <f t="shared" ca="1" si="37"/>
        <v>#VALUE!</v>
      </c>
      <c r="AO95" s="25" t="e">
        <f t="shared" ca="1" si="38"/>
        <v>#VALUE!</v>
      </c>
      <c r="AP95" s="39" t="str">
        <f t="shared" ca="1" si="28"/>
        <v/>
      </c>
      <c r="AQ95" s="46" t="str">
        <f ca="1">IF(AND(C95&lt;&gt;0, C96=0), SUM($C$2:C95)-SUM($AQ$1:AQ94), "")</f>
        <v/>
      </c>
      <c r="AR95" s="46" t="str">
        <f ca="1">IF(AND(AK95&lt;&gt;0, AK96=0), SUM($AK$2:AK95)-SUM($AR$1:AR94), "")</f>
        <v/>
      </c>
    </row>
    <row r="96" spans="1:44" ht="13.15" customHeight="1">
      <c r="A96" s="31"/>
      <c r="B96" s="68" t="str">
        <f t="shared" si="41"/>
        <v/>
      </c>
      <c r="C96" s="55" cm="1">
        <f t="array" aca="1" ref="C96" ca="1">SUM(IF(ISNUMBER(M96:U96),M96:U96,""))</f>
        <v>0</v>
      </c>
      <c r="D96" s="25" t="str">
        <f t="shared" si="39"/>
        <v/>
      </c>
      <c r="E96" s="25" t="e">
        <f t="shared" si="29"/>
        <v>#VALUE!</v>
      </c>
      <c r="F96" s="25" t="str">
        <f t="shared" si="40"/>
        <v/>
      </c>
      <c r="G96" s="25" t="str">
        <f t="shared" si="26"/>
        <v>.xlsx</v>
      </c>
      <c r="H96" s="29" t="e" cm="1">
        <f t="array" aca="1" ref="H96" ca="1">IF(AND(VALUE(E96)=INDIRECT("'["&amp;G96&amp;"]"&amp;E96&amp;"'!"&amp;$X$2),G96=INDIRECT("'["&amp;G96&amp;"]"&amp;E96&amp;"'!"&amp;$X$3)),INDIRECT("'["&amp;G96&amp;"]"&amp;E96&amp;"'!"&amp;$X$1),0)</f>
        <v>#VALUE!</v>
      </c>
      <c r="I96" s="25" t="str">
        <f t="shared" si="30"/>
        <v/>
      </c>
      <c r="J96" s="32" t="str">
        <f t="shared" si="31"/>
        <v/>
      </c>
      <c r="K96" s="25" t="str">
        <f t="shared" si="32"/>
        <v/>
      </c>
      <c r="L96" s="25" t="str">
        <f t="shared" si="33"/>
        <v/>
      </c>
      <c r="M96" s="33" t="e" cm="1">
        <f t="array" aca="1" ref="M96" ca="1">IF(AND(J96=INDIRECT("'["&amp;G96&amp;"]"&amp;E96&amp;"'!"&amp;$Y$2),G96=INDIRECT("'["&amp;G96&amp;"]"&amp;E96&amp;"'!"&amp;$AH$2)),INDIRECT("'["&amp;G96&amp;"]"&amp;E96&amp;"'!"&amp;$Y$3),0)</f>
        <v>#VALUE!</v>
      </c>
      <c r="N96" s="34" t="e" cm="1">
        <f t="array" aca="1" ref="N96" ca="1">IF(AND(G96=INDIRECT("'["&amp;G96&amp;"]"&amp;E96&amp;"'!"&amp;$AH$2),OR(K96=INDIRECT("'["&amp;G96&amp;"]"&amp;E96&amp;"'!"&amp;$Z$2))),INDIRECT("'["&amp;G96&amp;"]"&amp;E96&amp;"'!"&amp;$Z$3),0)</f>
        <v>#VALUE!</v>
      </c>
      <c r="O96" s="34" t="e" cm="1">
        <f t="array" aca="1" ref="O96" ca="1">IF(AND(G96=INDIRECT("'["&amp;G96&amp;"]"&amp;E96&amp;"'!"&amp;$AH$2),OR(L96=INDIRECT("'["&amp;G96&amp;"]"&amp;E96&amp;"'!"&amp;$AA$2))),INDIRECT("'["&amp;G96&amp;"]"&amp;E96&amp;"'!"&amp;$AA$3),0)</f>
        <v>#VALUE!</v>
      </c>
      <c r="P96" s="34" t="e" cm="1">
        <f t="array" aca="1" ref="P96" ca="1">IF(AND(G96=INDIRECT("'["&amp;G96&amp;"]"&amp;E96&amp;"'!"&amp;$AH$2),OR(VALUE(I96)=INDIRECT("'["&amp;G96&amp;"]"&amp;E96&amp;"'!"&amp;$AB$2))),INDIRECT("'["&amp;G96&amp;"]"&amp;E96&amp;"'!"&amp;$AB$3),0)</f>
        <v>#VALUE!</v>
      </c>
      <c r="Q96" s="34" t="e" cm="1">
        <f t="array" aca="1" ref="Q96" ca="1">IF(AND(G96=INDIRECT("'["&amp;G96&amp;"]"&amp;E96&amp;"'!"&amp;$AH$2),OR(VALUE(I96)=INDIRECT("'["&amp;G96&amp;"]"&amp;E96&amp;"'!"&amp;$AC$2))),INDIRECT("'["&amp;G96&amp;"]"&amp;E96&amp;"'!"&amp;$AC$3),0)</f>
        <v>#VALUE!</v>
      </c>
      <c r="R96" s="34" t="e" cm="1">
        <f t="array" aca="1" ref="R96" ca="1">IF(AND(G96=INDIRECT("'["&amp;G96&amp;"]"&amp;E96&amp;"'!"&amp;$AH$2),OR(I96=INDIRECT("'["&amp;G96&amp;"]"&amp;E96&amp;"'!"&amp;$AD$2))),INDIRECT("'["&amp;G96&amp;"]"&amp;E96&amp;"'!"&amp;$AD$3),0)</f>
        <v>#VALUE!</v>
      </c>
      <c r="S96" s="34" t="e" cm="1">
        <f t="array" aca="1" ref="S96" ca="1">IF(AND(G96=INDIRECT("'["&amp;G96&amp;"]"&amp;E96&amp;"'!"&amp;$AH$2),OR(I96=INDIRECT("'["&amp;G96&amp;"]"&amp;E96&amp;"'!"&amp;$AE$2))),INDIRECT("'["&amp;G96&amp;"]"&amp;E96&amp;"'!"&amp;$AE$3),0)</f>
        <v>#VALUE!</v>
      </c>
      <c r="T96" s="35" t="e" cm="1">
        <f t="array" aca="1" ref="T96" ca="1">IF(AND(G96=INDIRECT("'["&amp;G96&amp;"]"&amp;E96&amp;"'!"&amp;$AH$2),OR(I96=INDIRECT("'["&amp;G96&amp;"]"&amp;E96&amp;"'!"&amp;$AF$2))),INDIRECT("'["&amp;G96&amp;"]"&amp;E96&amp;"'!"&amp;$AF$3),0)</f>
        <v>#VALUE!</v>
      </c>
      <c r="U96" s="34" t="e" cm="1">
        <f t="array" aca="1" ref="U96" ca="1">IF(AND(G96=INDIRECT("'["&amp;G96&amp;"]"&amp;E96&amp;"'!"&amp;$AH$2),OR(I96=INDIRECT("'["&amp;G96&amp;"]"&amp;E96&amp;"'!"&amp;$AG$2))),INDIRECT("'["&amp;G96&amp;"]"&amp;E96&amp;"'!"&amp;$AG$3),0)</f>
        <v>#VALUE!</v>
      </c>
      <c r="V96" s="25" t="str">
        <f t="shared" si="34"/>
        <v/>
      </c>
      <c r="W96" s="36" t="e" cm="1">
        <f t="array" aca="1" ref="W96" ca="1">IF(AND(G96=INDIRECT("'["&amp;G96&amp;"]"&amp;E96&amp;"'!"&amp;$AH$2),OR(V96=INDIRECT("'["&amp;G96&amp;"]"&amp;E96&amp;"'!"&amp;$AI$2))),INDIRECT("'["&amp;G96&amp;"]"&amp;E96&amp;"'!"&amp;$AI$3),0)</f>
        <v>#VALUE!</v>
      </c>
      <c r="AJ96" s="25">
        <v>1</v>
      </c>
      <c r="AK96" s="38">
        <f t="shared" ca="1" si="35"/>
        <v>0</v>
      </c>
      <c r="AL96" s="38">
        <f t="shared" ca="1" si="36"/>
        <v>0</v>
      </c>
      <c r="AM96" s="54" t="str">
        <f t="shared" ca="1" si="27"/>
        <v/>
      </c>
      <c r="AN96" s="25" t="e">
        <f t="shared" ca="1" si="37"/>
        <v>#VALUE!</v>
      </c>
      <c r="AO96" s="25" t="e">
        <f t="shared" ca="1" si="38"/>
        <v>#VALUE!</v>
      </c>
      <c r="AP96" s="39" t="str">
        <f t="shared" ca="1" si="28"/>
        <v/>
      </c>
      <c r="AQ96" s="46" t="str">
        <f ca="1">IF(AND(C96&lt;&gt;0, C97=0), SUM($C$2:C96)-SUM($AQ$1:AQ95), "")</f>
        <v/>
      </c>
      <c r="AR96" s="46" t="str">
        <f ca="1">IF(AND(AK96&lt;&gt;0, AK97=0), SUM($AK$2:AK96)-SUM($AR$1:AR95), "")</f>
        <v/>
      </c>
    </row>
    <row r="97" spans="1:44" ht="13.15" customHeight="1">
      <c r="A97" s="31"/>
      <c r="B97" s="68" t="str">
        <f t="shared" si="41"/>
        <v/>
      </c>
      <c r="C97" s="55" cm="1">
        <f t="array" aca="1" ref="C97" ca="1">SUM(IF(ISNUMBER(M97:U97),M97:U97,""))</f>
        <v>0</v>
      </c>
      <c r="D97" s="25" t="str">
        <f t="shared" si="39"/>
        <v/>
      </c>
      <c r="E97" s="25" t="e">
        <f t="shared" si="29"/>
        <v>#VALUE!</v>
      </c>
      <c r="F97" s="25" t="str">
        <f t="shared" si="40"/>
        <v/>
      </c>
      <c r="G97" s="25" t="str">
        <f t="shared" si="26"/>
        <v>.xlsx</v>
      </c>
      <c r="H97" s="29" t="e" cm="1">
        <f t="array" aca="1" ref="H97" ca="1">IF(AND(VALUE(E97)=INDIRECT("'["&amp;G97&amp;"]"&amp;E97&amp;"'!"&amp;$X$2),G97=INDIRECT("'["&amp;G97&amp;"]"&amp;E97&amp;"'!"&amp;$X$3)),INDIRECT("'["&amp;G97&amp;"]"&amp;E97&amp;"'!"&amp;$X$1),0)</f>
        <v>#VALUE!</v>
      </c>
      <c r="I97" s="25" t="str">
        <f t="shared" si="30"/>
        <v/>
      </c>
      <c r="J97" s="32" t="str">
        <f t="shared" si="31"/>
        <v/>
      </c>
      <c r="K97" s="25" t="str">
        <f t="shared" si="32"/>
        <v/>
      </c>
      <c r="L97" s="25" t="str">
        <f t="shared" si="33"/>
        <v/>
      </c>
      <c r="M97" s="33" t="e" cm="1">
        <f t="array" aca="1" ref="M97" ca="1">IF(AND(J97=INDIRECT("'["&amp;G97&amp;"]"&amp;E97&amp;"'!"&amp;$Y$2),G97=INDIRECT("'["&amp;G97&amp;"]"&amp;E97&amp;"'!"&amp;$AH$2)),INDIRECT("'["&amp;G97&amp;"]"&amp;E97&amp;"'!"&amp;$Y$3),0)</f>
        <v>#VALUE!</v>
      </c>
      <c r="N97" s="34" t="e" cm="1">
        <f t="array" aca="1" ref="N97" ca="1">IF(AND(G97=INDIRECT("'["&amp;G97&amp;"]"&amp;E97&amp;"'!"&amp;$AH$2),OR(K97=INDIRECT("'["&amp;G97&amp;"]"&amp;E97&amp;"'!"&amp;$Z$2))),INDIRECT("'["&amp;G97&amp;"]"&amp;E97&amp;"'!"&amp;$Z$3),0)</f>
        <v>#VALUE!</v>
      </c>
      <c r="O97" s="34" t="e" cm="1">
        <f t="array" aca="1" ref="O97" ca="1">IF(AND(G97=INDIRECT("'["&amp;G97&amp;"]"&amp;E97&amp;"'!"&amp;$AH$2),OR(L97=INDIRECT("'["&amp;G97&amp;"]"&amp;E97&amp;"'!"&amp;$AA$2))),INDIRECT("'["&amp;G97&amp;"]"&amp;E97&amp;"'!"&amp;$AA$3),0)</f>
        <v>#VALUE!</v>
      </c>
      <c r="P97" s="34" t="e" cm="1">
        <f t="array" aca="1" ref="P97" ca="1">IF(AND(G97=INDIRECT("'["&amp;G97&amp;"]"&amp;E97&amp;"'!"&amp;$AH$2),OR(VALUE(I97)=INDIRECT("'["&amp;G97&amp;"]"&amp;E97&amp;"'!"&amp;$AB$2))),INDIRECT("'["&amp;G97&amp;"]"&amp;E97&amp;"'!"&amp;$AB$3),0)</f>
        <v>#VALUE!</v>
      </c>
      <c r="Q97" s="34" t="e" cm="1">
        <f t="array" aca="1" ref="Q97" ca="1">IF(AND(G97=INDIRECT("'["&amp;G97&amp;"]"&amp;E97&amp;"'!"&amp;$AH$2),OR(VALUE(I97)=INDIRECT("'["&amp;G97&amp;"]"&amp;E97&amp;"'!"&amp;$AC$2))),INDIRECT("'["&amp;G97&amp;"]"&amp;E97&amp;"'!"&amp;$AC$3),0)</f>
        <v>#VALUE!</v>
      </c>
      <c r="R97" s="34" t="e" cm="1">
        <f t="array" aca="1" ref="R97" ca="1">IF(AND(G97=INDIRECT("'["&amp;G97&amp;"]"&amp;E97&amp;"'!"&amp;$AH$2),OR(I97=INDIRECT("'["&amp;G97&amp;"]"&amp;E97&amp;"'!"&amp;$AD$2))),INDIRECT("'["&amp;G97&amp;"]"&amp;E97&amp;"'!"&amp;$AD$3),0)</f>
        <v>#VALUE!</v>
      </c>
      <c r="S97" s="34" t="e" cm="1">
        <f t="array" aca="1" ref="S97" ca="1">IF(AND(G97=INDIRECT("'["&amp;G97&amp;"]"&amp;E97&amp;"'!"&amp;$AH$2),OR(I97=INDIRECT("'["&amp;G97&amp;"]"&amp;E97&amp;"'!"&amp;$AE$2))),INDIRECT("'["&amp;G97&amp;"]"&amp;E97&amp;"'!"&amp;$AE$3),0)</f>
        <v>#VALUE!</v>
      </c>
      <c r="T97" s="35" t="e" cm="1">
        <f t="array" aca="1" ref="T97" ca="1">IF(AND(G97=INDIRECT("'["&amp;G97&amp;"]"&amp;E97&amp;"'!"&amp;$AH$2),OR(I97=INDIRECT("'["&amp;G97&amp;"]"&amp;E97&amp;"'!"&amp;$AF$2))),INDIRECT("'["&amp;G97&amp;"]"&amp;E97&amp;"'!"&amp;$AF$3),0)</f>
        <v>#VALUE!</v>
      </c>
      <c r="U97" s="34" t="e" cm="1">
        <f t="array" aca="1" ref="U97" ca="1">IF(AND(G97=INDIRECT("'["&amp;G97&amp;"]"&amp;E97&amp;"'!"&amp;$AH$2),OR(I97=INDIRECT("'["&amp;G97&amp;"]"&amp;E97&amp;"'!"&amp;$AG$2))),INDIRECT("'["&amp;G97&amp;"]"&amp;E97&amp;"'!"&amp;$AG$3),0)</f>
        <v>#VALUE!</v>
      </c>
      <c r="V97" s="25" t="str">
        <f t="shared" si="34"/>
        <v/>
      </c>
      <c r="W97" s="36" t="e" cm="1">
        <f t="array" aca="1" ref="W97" ca="1">IF(AND(G97=INDIRECT("'["&amp;G97&amp;"]"&amp;E97&amp;"'!"&amp;$AH$2),OR(V97=INDIRECT("'["&amp;G97&amp;"]"&amp;E97&amp;"'!"&amp;$AI$2))),INDIRECT("'["&amp;G97&amp;"]"&amp;E97&amp;"'!"&amp;$AI$3),0)</f>
        <v>#VALUE!</v>
      </c>
      <c r="AJ97" s="25">
        <v>1</v>
      </c>
      <c r="AK97" s="38">
        <f t="shared" ca="1" si="35"/>
        <v>0</v>
      </c>
      <c r="AL97" s="38">
        <f t="shared" ca="1" si="36"/>
        <v>0</v>
      </c>
      <c r="AM97" s="54" t="str">
        <f t="shared" ca="1" si="27"/>
        <v/>
      </c>
      <c r="AN97" s="25" t="e">
        <f t="shared" ca="1" si="37"/>
        <v>#VALUE!</v>
      </c>
      <c r="AO97" s="25" t="e">
        <f t="shared" ca="1" si="38"/>
        <v>#VALUE!</v>
      </c>
      <c r="AP97" s="39" t="str">
        <f t="shared" ca="1" si="28"/>
        <v/>
      </c>
      <c r="AQ97" s="46" t="str">
        <f ca="1">IF(AND(C97&lt;&gt;0, C98=0), SUM($C$2:C97)-SUM($AQ$1:AQ96), "")</f>
        <v/>
      </c>
      <c r="AR97" s="46" t="str">
        <f ca="1">IF(AND(AK97&lt;&gt;0, AK98=0), SUM($AK$2:AK97)-SUM($AR$1:AR96), "")</f>
        <v/>
      </c>
    </row>
    <row r="98" spans="1:44" ht="13.15" customHeight="1">
      <c r="A98" s="31"/>
      <c r="B98" s="68" t="str">
        <f t="shared" si="41"/>
        <v/>
      </c>
      <c r="C98" s="55" cm="1">
        <f t="array" aca="1" ref="C98" ca="1">SUM(IF(ISNUMBER(M98:U98),M98:U98,""))</f>
        <v>0</v>
      </c>
      <c r="D98" s="25" t="str">
        <f t="shared" si="39"/>
        <v/>
      </c>
      <c r="E98" s="25" t="e">
        <f t="shared" si="29"/>
        <v>#VALUE!</v>
      </c>
      <c r="F98" s="25" t="str">
        <f t="shared" si="40"/>
        <v/>
      </c>
      <c r="G98" s="25" t="str">
        <f t="shared" si="26"/>
        <v>.xlsx</v>
      </c>
      <c r="H98" s="29" t="e" cm="1">
        <f t="array" aca="1" ref="H98" ca="1">IF(AND(VALUE(E98)=INDIRECT("'["&amp;G98&amp;"]"&amp;E98&amp;"'!"&amp;$X$2),G98=INDIRECT("'["&amp;G98&amp;"]"&amp;E98&amp;"'!"&amp;$X$3)),INDIRECT("'["&amp;G98&amp;"]"&amp;E98&amp;"'!"&amp;$X$1),0)</f>
        <v>#VALUE!</v>
      </c>
      <c r="I98" s="25" t="str">
        <f t="shared" si="30"/>
        <v/>
      </c>
      <c r="J98" s="32" t="str">
        <f t="shared" si="31"/>
        <v/>
      </c>
      <c r="K98" s="25" t="str">
        <f t="shared" si="32"/>
        <v/>
      </c>
      <c r="L98" s="25" t="str">
        <f t="shared" si="33"/>
        <v/>
      </c>
      <c r="M98" s="33" t="e" cm="1">
        <f t="array" aca="1" ref="M98" ca="1">IF(AND(J98=INDIRECT("'["&amp;G98&amp;"]"&amp;E98&amp;"'!"&amp;$Y$2),G98=INDIRECT("'["&amp;G98&amp;"]"&amp;E98&amp;"'!"&amp;$AH$2)),INDIRECT("'["&amp;G98&amp;"]"&amp;E98&amp;"'!"&amp;$Y$3),0)</f>
        <v>#VALUE!</v>
      </c>
      <c r="N98" s="34" t="e" cm="1">
        <f t="array" aca="1" ref="N98" ca="1">IF(AND(G98=INDIRECT("'["&amp;G98&amp;"]"&amp;E98&amp;"'!"&amp;$AH$2),OR(K98=INDIRECT("'["&amp;G98&amp;"]"&amp;E98&amp;"'!"&amp;$Z$2))),INDIRECT("'["&amp;G98&amp;"]"&amp;E98&amp;"'!"&amp;$Z$3),0)</f>
        <v>#VALUE!</v>
      </c>
      <c r="O98" s="34" t="e" cm="1">
        <f t="array" aca="1" ref="O98" ca="1">IF(AND(G98=INDIRECT("'["&amp;G98&amp;"]"&amp;E98&amp;"'!"&amp;$AH$2),OR(L98=INDIRECT("'["&amp;G98&amp;"]"&amp;E98&amp;"'!"&amp;$AA$2))),INDIRECT("'["&amp;G98&amp;"]"&amp;E98&amp;"'!"&amp;$AA$3),0)</f>
        <v>#VALUE!</v>
      </c>
      <c r="P98" s="34" t="e" cm="1">
        <f t="array" aca="1" ref="P98" ca="1">IF(AND(G98=INDIRECT("'["&amp;G98&amp;"]"&amp;E98&amp;"'!"&amp;$AH$2),OR(VALUE(I98)=INDIRECT("'["&amp;G98&amp;"]"&amp;E98&amp;"'!"&amp;$AB$2))),INDIRECT("'["&amp;G98&amp;"]"&amp;E98&amp;"'!"&amp;$AB$3),0)</f>
        <v>#VALUE!</v>
      </c>
      <c r="Q98" s="34" t="e" cm="1">
        <f t="array" aca="1" ref="Q98" ca="1">IF(AND(G98=INDIRECT("'["&amp;G98&amp;"]"&amp;E98&amp;"'!"&amp;$AH$2),OR(VALUE(I98)=INDIRECT("'["&amp;G98&amp;"]"&amp;E98&amp;"'!"&amp;$AC$2))),INDIRECT("'["&amp;G98&amp;"]"&amp;E98&amp;"'!"&amp;$AC$3),0)</f>
        <v>#VALUE!</v>
      </c>
      <c r="R98" s="34" t="e" cm="1">
        <f t="array" aca="1" ref="R98" ca="1">IF(AND(G98=INDIRECT("'["&amp;G98&amp;"]"&amp;E98&amp;"'!"&amp;$AH$2),OR(I98=INDIRECT("'["&amp;G98&amp;"]"&amp;E98&amp;"'!"&amp;$AD$2))),INDIRECT("'["&amp;G98&amp;"]"&amp;E98&amp;"'!"&amp;$AD$3),0)</f>
        <v>#VALUE!</v>
      </c>
      <c r="S98" s="34" t="e" cm="1">
        <f t="array" aca="1" ref="S98" ca="1">IF(AND(G98=INDIRECT("'["&amp;G98&amp;"]"&amp;E98&amp;"'!"&amp;$AH$2),OR(I98=INDIRECT("'["&amp;G98&amp;"]"&amp;E98&amp;"'!"&amp;$AE$2))),INDIRECT("'["&amp;G98&amp;"]"&amp;E98&amp;"'!"&amp;$AE$3),0)</f>
        <v>#VALUE!</v>
      </c>
      <c r="T98" s="35" t="e" cm="1">
        <f t="array" aca="1" ref="T98" ca="1">IF(AND(G98=INDIRECT("'["&amp;G98&amp;"]"&amp;E98&amp;"'!"&amp;$AH$2),OR(I98=INDIRECT("'["&amp;G98&amp;"]"&amp;E98&amp;"'!"&amp;$AF$2))),INDIRECT("'["&amp;G98&amp;"]"&amp;E98&amp;"'!"&amp;$AF$3),0)</f>
        <v>#VALUE!</v>
      </c>
      <c r="U98" s="34" t="e" cm="1">
        <f t="array" aca="1" ref="U98" ca="1">IF(AND(G98=INDIRECT("'["&amp;G98&amp;"]"&amp;E98&amp;"'!"&amp;$AH$2),OR(I98=INDIRECT("'["&amp;G98&amp;"]"&amp;E98&amp;"'!"&amp;$AG$2))),INDIRECT("'["&amp;G98&amp;"]"&amp;E98&amp;"'!"&amp;$AG$3),0)</f>
        <v>#VALUE!</v>
      </c>
      <c r="V98" s="25" t="str">
        <f t="shared" si="34"/>
        <v/>
      </c>
      <c r="W98" s="36" t="e" cm="1">
        <f t="array" aca="1" ref="W98" ca="1">IF(AND(G98=INDIRECT("'["&amp;G98&amp;"]"&amp;E98&amp;"'!"&amp;$AH$2),OR(V98=INDIRECT("'["&amp;G98&amp;"]"&amp;E98&amp;"'!"&amp;$AI$2))),INDIRECT("'["&amp;G98&amp;"]"&amp;E98&amp;"'!"&amp;$AI$3),0)</f>
        <v>#VALUE!</v>
      </c>
      <c r="AJ98" s="25">
        <v>1</v>
      </c>
      <c r="AK98" s="38">
        <f t="shared" ca="1" si="35"/>
        <v>0</v>
      </c>
      <c r="AL98" s="38">
        <f t="shared" ca="1" si="36"/>
        <v>0</v>
      </c>
      <c r="AM98" s="54" t="str">
        <f t="shared" ca="1" si="27"/>
        <v/>
      </c>
      <c r="AN98" s="25" t="e">
        <f t="shared" ca="1" si="37"/>
        <v>#VALUE!</v>
      </c>
      <c r="AO98" s="25" t="e">
        <f t="shared" ca="1" si="38"/>
        <v>#VALUE!</v>
      </c>
      <c r="AP98" s="39" t="str">
        <f t="shared" ca="1" si="28"/>
        <v/>
      </c>
      <c r="AQ98" s="46" t="str">
        <f ca="1">IF(AND(C98&lt;&gt;0, C99=0), SUM($C$2:C98)-SUM($AQ$1:AQ97), "")</f>
        <v/>
      </c>
      <c r="AR98" s="46" t="str">
        <f ca="1">IF(AND(AK98&lt;&gt;0, AK99=0), SUM($AK$2:AK98)-SUM($AR$1:AR97), "")</f>
        <v/>
      </c>
    </row>
    <row r="99" spans="1:44" ht="13.15" customHeight="1">
      <c r="A99" s="31"/>
      <c r="B99" s="68" t="str">
        <f t="shared" si="41"/>
        <v/>
      </c>
      <c r="C99" s="55" cm="1">
        <f t="array" aca="1" ref="C99" ca="1">SUM(IF(ISNUMBER(M99:U99),M99:U99,""))</f>
        <v>0</v>
      </c>
      <c r="D99" s="25" t="str">
        <f t="shared" si="39"/>
        <v/>
      </c>
      <c r="E99" s="25" t="e">
        <f t="shared" si="29"/>
        <v>#VALUE!</v>
      </c>
      <c r="F99" s="25" t="str">
        <f t="shared" si="40"/>
        <v/>
      </c>
      <c r="G99" s="25" t="str">
        <f t="shared" si="26"/>
        <v>.xlsx</v>
      </c>
      <c r="H99" s="29" t="e" cm="1">
        <f t="array" aca="1" ref="H99" ca="1">IF(AND(VALUE(E99)=INDIRECT("'["&amp;G99&amp;"]"&amp;E99&amp;"'!"&amp;$X$2),G99=INDIRECT("'["&amp;G99&amp;"]"&amp;E99&amp;"'!"&amp;$X$3)),INDIRECT("'["&amp;G99&amp;"]"&amp;E99&amp;"'!"&amp;$X$1),0)</f>
        <v>#VALUE!</v>
      </c>
      <c r="I99" s="25" t="str">
        <f t="shared" si="30"/>
        <v/>
      </c>
      <c r="J99" s="32" t="str">
        <f t="shared" si="31"/>
        <v/>
      </c>
      <c r="K99" s="25" t="str">
        <f t="shared" si="32"/>
        <v/>
      </c>
      <c r="L99" s="25" t="str">
        <f t="shared" si="33"/>
        <v/>
      </c>
      <c r="M99" s="33" t="e" cm="1">
        <f t="array" aca="1" ref="M99" ca="1">IF(AND(J99=INDIRECT("'["&amp;G99&amp;"]"&amp;E99&amp;"'!"&amp;$Y$2),G99=INDIRECT("'["&amp;G99&amp;"]"&amp;E99&amp;"'!"&amp;$AH$2)),INDIRECT("'["&amp;G99&amp;"]"&amp;E99&amp;"'!"&amp;$Y$3),0)</f>
        <v>#VALUE!</v>
      </c>
      <c r="N99" s="34" t="e" cm="1">
        <f t="array" aca="1" ref="N99" ca="1">IF(AND(G99=INDIRECT("'["&amp;G99&amp;"]"&amp;E99&amp;"'!"&amp;$AH$2),OR(K99=INDIRECT("'["&amp;G99&amp;"]"&amp;E99&amp;"'!"&amp;$Z$2))),INDIRECT("'["&amp;G99&amp;"]"&amp;E99&amp;"'!"&amp;$Z$3),0)</f>
        <v>#VALUE!</v>
      </c>
      <c r="O99" s="34" t="e" cm="1">
        <f t="array" aca="1" ref="O99" ca="1">IF(AND(G99=INDIRECT("'["&amp;G99&amp;"]"&amp;E99&amp;"'!"&amp;$AH$2),OR(L99=INDIRECT("'["&amp;G99&amp;"]"&amp;E99&amp;"'!"&amp;$AA$2))),INDIRECT("'["&amp;G99&amp;"]"&amp;E99&amp;"'!"&amp;$AA$3),0)</f>
        <v>#VALUE!</v>
      </c>
      <c r="P99" s="34" t="e" cm="1">
        <f t="array" aca="1" ref="P99" ca="1">IF(AND(G99=INDIRECT("'["&amp;G99&amp;"]"&amp;E99&amp;"'!"&amp;$AH$2),OR(VALUE(I99)=INDIRECT("'["&amp;G99&amp;"]"&amp;E99&amp;"'!"&amp;$AB$2))),INDIRECT("'["&amp;G99&amp;"]"&amp;E99&amp;"'!"&amp;$AB$3),0)</f>
        <v>#VALUE!</v>
      </c>
      <c r="Q99" s="34" t="e" cm="1">
        <f t="array" aca="1" ref="Q99" ca="1">IF(AND(G99=INDIRECT("'["&amp;G99&amp;"]"&amp;E99&amp;"'!"&amp;$AH$2),OR(VALUE(I99)=INDIRECT("'["&amp;G99&amp;"]"&amp;E99&amp;"'!"&amp;$AC$2))),INDIRECT("'["&amp;G99&amp;"]"&amp;E99&amp;"'!"&amp;$AC$3),0)</f>
        <v>#VALUE!</v>
      </c>
      <c r="R99" s="34" t="e" cm="1">
        <f t="array" aca="1" ref="R99" ca="1">IF(AND(G99=INDIRECT("'["&amp;G99&amp;"]"&amp;E99&amp;"'!"&amp;$AH$2),OR(I99=INDIRECT("'["&amp;G99&amp;"]"&amp;E99&amp;"'!"&amp;$AD$2))),INDIRECT("'["&amp;G99&amp;"]"&amp;E99&amp;"'!"&amp;$AD$3),0)</f>
        <v>#VALUE!</v>
      </c>
      <c r="S99" s="34" t="e" cm="1">
        <f t="array" aca="1" ref="S99" ca="1">IF(AND(G99=INDIRECT("'["&amp;G99&amp;"]"&amp;E99&amp;"'!"&amp;$AH$2),OR(I99=INDIRECT("'["&amp;G99&amp;"]"&amp;E99&amp;"'!"&amp;$AE$2))),INDIRECT("'["&amp;G99&amp;"]"&amp;E99&amp;"'!"&amp;$AE$3),0)</f>
        <v>#VALUE!</v>
      </c>
      <c r="T99" s="35" t="e" cm="1">
        <f t="array" aca="1" ref="T99" ca="1">IF(AND(G99=INDIRECT("'["&amp;G99&amp;"]"&amp;E99&amp;"'!"&amp;$AH$2),OR(I99=INDIRECT("'["&amp;G99&amp;"]"&amp;E99&amp;"'!"&amp;$AF$2))),INDIRECT("'["&amp;G99&amp;"]"&amp;E99&amp;"'!"&amp;$AF$3),0)</f>
        <v>#VALUE!</v>
      </c>
      <c r="U99" s="34" t="e" cm="1">
        <f t="array" aca="1" ref="U99" ca="1">IF(AND(G99=INDIRECT("'["&amp;G99&amp;"]"&amp;E99&amp;"'!"&amp;$AH$2),OR(I99=INDIRECT("'["&amp;G99&amp;"]"&amp;E99&amp;"'!"&amp;$AG$2))),INDIRECT("'["&amp;G99&amp;"]"&amp;E99&amp;"'!"&amp;$AG$3),0)</f>
        <v>#VALUE!</v>
      </c>
      <c r="V99" s="25" t="str">
        <f t="shared" si="34"/>
        <v/>
      </c>
      <c r="W99" s="36" t="e" cm="1">
        <f t="array" aca="1" ref="W99" ca="1">IF(AND(G99=INDIRECT("'["&amp;G99&amp;"]"&amp;E99&amp;"'!"&amp;$AH$2),OR(V99=INDIRECT("'["&amp;G99&amp;"]"&amp;E99&amp;"'!"&amp;$AI$2))),INDIRECT("'["&amp;G99&amp;"]"&amp;E99&amp;"'!"&amp;$AI$3),0)</f>
        <v>#VALUE!</v>
      </c>
      <c r="AJ99" s="25">
        <v>1</v>
      </c>
      <c r="AK99" s="38">
        <f t="shared" ca="1" si="35"/>
        <v>0</v>
      </c>
      <c r="AL99" s="38">
        <f t="shared" ca="1" si="36"/>
        <v>0</v>
      </c>
      <c r="AM99" s="54" t="str">
        <f t="shared" ca="1" si="27"/>
        <v/>
      </c>
      <c r="AN99" s="25" t="e">
        <f t="shared" ca="1" si="37"/>
        <v>#VALUE!</v>
      </c>
      <c r="AO99" s="25" t="e">
        <f t="shared" ca="1" si="38"/>
        <v>#VALUE!</v>
      </c>
      <c r="AP99" s="39" t="str">
        <f t="shared" ca="1" si="28"/>
        <v/>
      </c>
      <c r="AQ99" s="46" t="str">
        <f ca="1">IF(AND(C99&lt;&gt;0, C100=0), SUM($C$2:C99)-SUM($AQ$1:AQ98), "")</f>
        <v/>
      </c>
      <c r="AR99" s="46" t="str">
        <f ca="1">IF(AND(AK99&lt;&gt;0, AK100=0), SUM($AK$2:AK99)-SUM($AR$1:AR98), "")</f>
        <v/>
      </c>
    </row>
    <row r="100" spans="1:44" ht="13.15" customHeight="1">
      <c r="A100" s="31"/>
      <c r="B100" s="68" t="str">
        <f t="shared" si="41"/>
        <v/>
      </c>
      <c r="C100" s="55" cm="1">
        <f t="array" aca="1" ref="C100" ca="1">SUM(IF(ISNUMBER(M100:U100),M100:U100,""))</f>
        <v>0</v>
      </c>
      <c r="D100" s="25" t="str">
        <f t="shared" si="39"/>
        <v/>
      </c>
      <c r="E100" s="25" t="e">
        <f t="shared" si="29"/>
        <v>#VALUE!</v>
      </c>
      <c r="F100" s="25" t="str">
        <f t="shared" si="40"/>
        <v/>
      </c>
      <c r="G100" s="25" t="str">
        <f t="shared" si="26"/>
        <v>.xlsx</v>
      </c>
      <c r="H100" s="29" t="e" cm="1">
        <f t="array" aca="1" ref="H100" ca="1">IF(AND(VALUE(E100)=INDIRECT("'["&amp;G100&amp;"]"&amp;E100&amp;"'!"&amp;$X$2),G100=INDIRECT("'["&amp;G100&amp;"]"&amp;E100&amp;"'!"&amp;$X$3)),INDIRECT("'["&amp;G100&amp;"]"&amp;E100&amp;"'!"&amp;$X$1),0)</f>
        <v>#VALUE!</v>
      </c>
      <c r="I100" s="25" t="str">
        <f t="shared" si="30"/>
        <v/>
      </c>
      <c r="J100" s="32" t="str">
        <f t="shared" si="31"/>
        <v/>
      </c>
      <c r="K100" s="25" t="str">
        <f t="shared" si="32"/>
        <v/>
      </c>
      <c r="L100" s="25" t="str">
        <f t="shared" si="33"/>
        <v/>
      </c>
      <c r="M100" s="33" t="e" cm="1">
        <f t="array" aca="1" ref="M100" ca="1">IF(AND(J100=INDIRECT("'["&amp;G100&amp;"]"&amp;E100&amp;"'!"&amp;$Y$2),G100=INDIRECT("'["&amp;G100&amp;"]"&amp;E100&amp;"'!"&amp;$AH$2)),INDIRECT("'["&amp;G100&amp;"]"&amp;E100&amp;"'!"&amp;$Y$3),0)</f>
        <v>#VALUE!</v>
      </c>
      <c r="N100" s="34" t="e" cm="1">
        <f t="array" aca="1" ref="N100" ca="1">IF(AND(G100=INDIRECT("'["&amp;G100&amp;"]"&amp;E100&amp;"'!"&amp;$AH$2),OR(K100=INDIRECT("'["&amp;G100&amp;"]"&amp;E100&amp;"'!"&amp;$Z$2))),INDIRECT("'["&amp;G100&amp;"]"&amp;E100&amp;"'!"&amp;$Z$3),0)</f>
        <v>#VALUE!</v>
      </c>
      <c r="O100" s="34" t="e" cm="1">
        <f t="array" aca="1" ref="O100" ca="1">IF(AND(G100=INDIRECT("'["&amp;G100&amp;"]"&amp;E100&amp;"'!"&amp;$AH$2),OR(L100=INDIRECT("'["&amp;G100&amp;"]"&amp;E100&amp;"'!"&amp;$AA$2))),INDIRECT("'["&amp;G100&amp;"]"&amp;E100&amp;"'!"&amp;$AA$3),0)</f>
        <v>#VALUE!</v>
      </c>
      <c r="P100" s="34" t="e" cm="1">
        <f t="array" aca="1" ref="P100" ca="1">IF(AND(G100=INDIRECT("'["&amp;G100&amp;"]"&amp;E100&amp;"'!"&amp;$AH$2),OR(VALUE(I100)=INDIRECT("'["&amp;G100&amp;"]"&amp;E100&amp;"'!"&amp;$AB$2))),INDIRECT("'["&amp;G100&amp;"]"&amp;E100&amp;"'!"&amp;$AB$3),0)</f>
        <v>#VALUE!</v>
      </c>
      <c r="Q100" s="34" t="e" cm="1">
        <f t="array" aca="1" ref="Q100" ca="1">IF(AND(G100=INDIRECT("'["&amp;G100&amp;"]"&amp;E100&amp;"'!"&amp;$AH$2),OR(VALUE(I100)=INDIRECT("'["&amp;G100&amp;"]"&amp;E100&amp;"'!"&amp;$AC$2))),INDIRECT("'["&amp;G100&amp;"]"&amp;E100&amp;"'!"&amp;$AC$3),0)</f>
        <v>#VALUE!</v>
      </c>
      <c r="R100" s="34" t="e" cm="1">
        <f t="array" aca="1" ref="R100" ca="1">IF(AND(G100=INDIRECT("'["&amp;G100&amp;"]"&amp;E100&amp;"'!"&amp;$AH$2),OR(I100=INDIRECT("'["&amp;G100&amp;"]"&amp;E100&amp;"'!"&amp;$AD$2))),INDIRECT("'["&amp;G100&amp;"]"&amp;E100&amp;"'!"&amp;$AD$3),0)</f>
        <v>#VALUE!</v>
      </c>
      <c r="S100" s="34" t="e" cm="1">
        <f t="array" aca="1" ref="S100" ca="1">IF(AND(G100=INDIRECT("'["&amp;G100&amp;"]"&amp;E100&amp;"'!"&amp;$AH$2),OR(I100=INDIRECT("'["&amp;G100&amp;"]"&amp;E100&amp;"'!"&amp;$AE$2))),INDIRECT("'["&amp;G100&amp;"]"&amp;E100&amp;"'!"&amp;$AE$3),0)</f>
        <v>#VALUE!</v>
      </c>
      <c r="T100" s="35" t="e" cm="1">
        <f t="array" aca="1" ref="T100" ca="1">IF(AND(G100=INDIRECT("'["&amp;G100&amp;"]"&amp;E100&amp;"'!"&amp;$AH$2),OR(I100=INDIRECT("'["&amp;G100&amp;"]"&amp;E100&amp;"'!"&amp;$AF$2))),INDIRECT("'["&amp;G100&amp;"]"&amp;E100&amp;"'!"&amp;$AF$3),0)</f>
        <v>#VALUE!</v>
      </c>
      <c r="U100" s="34" t="e" cm="1">
        <f t="array" aca="1" ref="U100" ca="1">IF(AND(G100=INDIRECT("'["&amp;G100&amp;"]"&amp;E100&amp;"'!"&amp;$AH$2),OR(I100=INDIRECT("'["&amp;G100&amp;"]"&amp;E100&amp;"'!"&amp;$AG$2))),INDIRECT("'["&amp;G100&amp;"]"&amp;E100&amp;"'!"&amp;$AG$3),0)</f>
        <v>#VALUE!</v>
      </c>
      <c r="V100" s="25" t="str">
        <f t="shared" si="34"/>
        <v/>
      </c>
      <c r="W100" s="36" t="e" cm="1">
        <f t="array" aca="1" ref="W100" ca="1">IF(AND(G100=INDIRECT("'["&amp;G100&amp;"]"&amp;E100&amp;"'!"&amp;$AH$2),OR(V100=INDIRECT("'["&amp;G100&amp;"]"&amp;E100&amp;"'!"&amp;$AI$2))),INDIRECT("'["&amp;G100&amp;"]"&amp;E100&amp;"'!"&amp;$AI$3),0)</f>
        <v>#VALUE!</v>
      </c>
      <c r="AJ100" s="25">
        <v>1</v>
      </c>
      <c r="AK100" s="38">
        <f t="shared" ca="1" si="35"/>
        <v>0</v>
      </c>
      <c r="AL100" s="38">
        <f t="shared" ca="1" si="36"/>
        <v>0</v>
      </c>
      <c r="AM100" s="54" t="str">
        <f t="shared" ca="1" si="27"/>
        <v/>
      </c>
      <c r="AN100" s="25" t="e">
        <f t="shared" ca="1" si="37"/>
        <v>#VALUE!</v>
      </c>
      <c r="AO100" s="25" t="e">
        <f t="shared" ca="1" si="38"/>
        <v>#VALUE!</v>
      </c>
      <c r="AP100" s="39" t="str">
        <f t="shared" ca="1" si="28"/>
        <v/>
      </c>
      <c r="AQ100" s="46" t="str">
        <f ca="1">IF(AND(C100&lt;&gt;0, C101=0), SUM($C$2:C100)-SUM($AQ$1:AQ99), "")</f>
        <v/>
      </c>
      <c r="AR100" s="46" t="str">
        <f ca="1">IF(AND(AK100&lt;&gt;0, AK101=0), SUM($AK$2:AK100)-SUM($AR$1:AR99), "")</f>
        <v/>
      </c>
    </row>
    <row r="101" spans="1:44" ht="13.15" customHeight="1">
      <c r="A101" s="31"/>
      <c r="B101" s="68" t="str">
        <f t="shared" si="41"/>
        <v/>
      </c>
      <c r="C101" s="55" cm="1">
        <f t="array" aca="1" ref="C101" ca="1">SUM(IF(ISNUMBER(M101:U101),M101:U101,""))</f>
        <v>0</v>
      </c>
      <c r="D101" s="25" t="str">
        <f t="shared" si="39"/>
        <v/>
      </c>
      <c r="E101" s="25" t="e">
        <f t="shared" si="29"/>
        <v>#VALUE!</v>
      </c>
      <c r="F101" s="25" t="str">
        <f t="shared" si="40"/>
        <v/>
      </c>
      <c r="G101" s="25" t="str">
        <f t="shared" si="26"/>
        <v>.xlsx</v>
      </c>
      <c r="H101" s="29" t="e" cm="1">
        <f t="array" aca="1" ref="H101" ca="1">IF(AND(VALUE(E101)=INDIRECT("'["&amp;G101&amp;"]"&amp;E101&amp;"'!"&amp;$X$2),G101=INDIRECT("'["&amp;G101&amp;"]"&amp;E101&amp;"'!"&amp;$X$3)),INDIRECT("'["&amp;G101&amp;"]"&amp;E101&amp;"'!"&amp;$X$1),0)</f>
        <v>#VALUE!</v>
      </c>
      <c r="I101" s="25" t="str">
        <f t="shared" si="30"/>
        <v/>
      </c>
      <c r="J101" s="32" t="str">
        <f t="shared" si="31"/>
        <v/>
      </c>
      <c r="K101" s="25" t="str">
        <f t="shared" si="32"/>
        <v/>
      </c>
      <c r="L101" s="25" t="str">
        <f t="shared" si="33"/>
        <v/>
      </c>
      <c r="M101" s="33" t="e" cm="1">
        <f t="array" aca="1" ref="M101" ca="1">IF(AND(J101=INDIRECT("'["&amp;G101&amp;"]"&amp;E101&amp;"'!"&amp;$Y$2),G101=INDIRECT("'["&amp;G101&amp;"]"&amp;E101&amp;"'!"&amp;$AH$2)),INDIRECT("'["&amp;G101&amp;"]"&amp;E101&amp;"'!"&amp;$Y$3),0)</f>
        <v>#VALUE!</v>
      </c>
      <c r="N101" s="34" t="e" cm="1">
        <f t="array" aca="1" ref="N101" ca="1">IF(AND(G101=INDIRECT("'["&amp;G101&amp;"]"&amp;E101&amp;"'!"&amp;$AH$2),OR(K101=INDIRECT("'["&amp;G101&amp;"]"&amp;E101&amp;"'!"&amp;$Z$2))),INDIRECT("'["&amp;G101&amp;"]"&amp;E101&amp;"'!"&amp;$Z$3),0)</f>
        <v>#VALUE!</v>
      </c>
      <c r="O101" s="34" t="e" cm="1">
        <f t="array" aca="1" ref="O101" ca="1">IF(AND(G101=INDIRECT("'["&amp;G101&amp;"]"&amp;E101&amp;"'!"&amp;$AH$2),OR(L101=INDIRECT("'["&amp;G101&amp;"]"&amp;E101&amp;"'!"&amp;$AA$2))),INDIRECT("'["&amp;G101&amp;"]"&amp;E101&amp;"'!"&amp;$AA$3),0)</f>
        <v>#VALUE!</v>
      </c>
      <c r="P101" s="34" t="e" cm="1">
        <f t="array" aca="1" ref="P101" ca="1">IF(AND(G101=INDIRECT("'["&amp;G101&amp;"]"&amp;E101&amp;"'!"&amp;$AH$2),OR(VALUE(I101)=INDIRECT("'["&amp;G101&amp;"]"&amp;E101&amp;"'!"&amp;$AB$2))),INDIRECT("'["&amp;G101&amp;"]"&amp;E101&amp;"'!"&amp;$AB$3),0)</f>
        <v>#VALUE!</v>
      </c>
      <c r="Q101" s="34" t="e" cm="1">
        <f t="array" aca="1" ref="Q101" ca="1">IF(AND(G101=INDIRECT("'["&amp;G101&amp;"]"&amp;E101&amp;"'!"&amp;$AH$2),OR(VALUE(I101)=INDIRECT("'["&amp;G101&amp;"]"&amp;E101&amp;"'!"&amp;$AC$2))),INDIRECT("'["&amp;G101&amp;"]"&amp;E101&amp;"'!"&amp;$AC$3),0)</f>
        <v>#VALUE!</v>
      </c>
      <c r="R101" s="34" t="e" cm="1">
        <f t="array" aca="1" ref="R101" ca="1">IF(AND(G101=INDIRECT("'["&amp;G101&amp;"]"&amp;E101&amp;"'!"&amp;$AH$2),OR(I101=INDIRECT("'["&amp;G101&amp;"]"&amp;E101&amp;"'!"&amp;$AD$2))),INDIRECT("'["&amp;G101&amp;"]"&amp;E101&amp;"'!"&amp;$AD$3),0)</f>
        <v>#VALUE!</v>
      </c>
      <c r="S101" s="34" t="e" cm="1">
        <f t="array" aca="1" ref="S101" ca="1">IF(AND(G101=INDIRECT("'["&amp;G101&amp;"]"&amp;E101&amp;"'!"&amp;$AH$2),OR(I101=INDIRECT("'["&amp;G101&amp;"]"&amp;E101&amp;"'!"&amp;$AE$2))),INDIRECT("'["&amp;G101&amp;"]"&amp;E101&amp;"'!"&amp;$AE$3),0)</f>
        <v>#VALUE!</v>
      </c>
      <c r="T101" s="35" t="e" cm="1">
        <f t="array" aca="1" ref="T101" ca="1">IF(AND(G101=INDIRECT("'["&amp;G101&amp;"]"&amp;E101&amp;"'!"&amp;$AH$2),OR(I101=INDIRECT("'["&amp;G101&amp;"]"&amp;E101&amp;"'!"&amp;$AF$2))),INDIRECT("'["&amp;G101&amp;"]"&amp;E101&amp;"'!"&amp;$AF$3),0)</f>
        <v>#VALUE!</v>
      </c>
      <c r="U101" s="34" t="e" cm="1">
        <f t="array" aca="1" ref="U101" ca="1">IF(AND(G101=INDIRECT("'["&amp;G101&amp;"]"&amp;E101&amp;"'!"&amp;$AH$2),OR(I101=INDIRECT("'["&amp;G101&amp;"]"&amp;E101&amp;"'!"&amp;$AG$2))),INDIRECT("'["&amp;G101&amp;"]"&amp;E101&amp;"'!"&amp;$AG$3),0)</f>
        <v>#VALUE!</v>
      </c>
      <c r="V101" s="25" t="str">
        <f t="shared" si="34"/>
        <v/>
      </c>
      <c r="W101" s="36" t="e" cm="1">
        <f t="array" aca="1" ref="W101" ca="1">IF(AND(G101=INDIRECT("'["&amp;G101&amp;"]"&amp;E101&amp;"'!"&amp;$AH$2),OR(V101=INDIRECT("'["&amp;G101&amp;"]"&amp;E101&amp;"'!"&amp;$AI$2))),INDIRECT("'["&amp;G101&amp;"]"&amp;E101&amp;"'!"&amp;$AI$3),0)</f>
        <v>#VALUE!</v>
      </c>
      <c r="AJ101" s="25">
        <v>1</v>
      </c>
      <c r="AK101" s="38">
        <f t="shared" ca="1" si="35"/>
        <v>0</v>
      </c>
      <c r="AL101" s="38">
        <f t="shared" ca="1" si="36"/>
        <v>0</v>
      </c>
      <c r="AM101" s="54" t="str">
        <f t="shared" ca="1" si="27"/>
        <v/>
      </c>
      <c r="AN101" s="25" t="e">
        <f t="shared" ca="1" si="37"/>
        <v>#VALUE!</v>
      </c>
      <c r="AO101" s="25" t="e">
        <f t="shared" ca="1" si="38"/>
        <v>#VALUE!</v>
      </c>
      <c r="AP101" s="39" t="str">
        <f t="shared" ca="1" si="28"/>
        <v/>
      </c>
      <c r="AQ101" s="46" t="str">
        <f ca="1">IF(AND(C101&lt;&gt;0, C102=0), SUM($C$2:C101)-SUM($AQ$1:AQ100), "")</f>
        <v/>
      </c>
      <c r="AR101" s="46" t="str">
        <f ca="1">IF(AND(AK101&lt;&gt;0, AK102=0), SUM($AK$2:AK101)-SUM($AR$1:AR100), "")</f>
        <v/>
      </c>
    </row>
    <row r="102" spans="1:44" ht="13.15" customHeight="1">
      <c r="A102" s="31"/>
      <c r="B102" s="68" t="str">
        <f t="shared" si="41"/>
        <v/>
      </c>
      <c r="C102" s="55" cm="1">
        <f t="array" aca="1" ref="C102" ca="1">SUM(IF(ISNUMBER(M102:U102),M102:U102,""))</f>
        <v>0</v>
      </c>
      <c r="D102" s="25" t="str">
        <f>MID(A102,4,2)</f>
        <v/>
      </c>
      <c r="E102" s="25" t="e">
        <f t="shared" si="29"/>
        <v>#VALUE!</v>
      </c>
      <c r="F102" s="25" t="str">
        <f>LEFT(A102,2)</f>
        <v/>
      </c>
      <c r="G102" s="25" t="str">
        <f t="shared" si="26"/>
        <v>.xlsx</v>
      </c>
      <c r="H102" s="29" t="e" cm="1">
        <f t="array" aca="1" ref="H102" ca="1">IF(AND(VALUE(E102)=INDIRECT("'["&amp;G102&amp;"]"&amp;E102&amp;"'!"&amp;$X$2),G102=INDIRECT("'["&amp;G102&amp;"]"&amp;E102&amp;"'!"&amp;$X$3)),INDIRECT("'["&amp;G102&amp;"]"&amp;E102&amp;"'!"&amp;$X$1),0)</f>
        <v>#VALUE!</v>
      </c>
      <c r="I102" s="25" t="str">
        <f t="shared" si="30"/>
        <v/>
      </c>
      <c r="J102" s="32" t="str">
        <f t="shared" si="31"/>
        <v/>
      </c>
      <c r="K102" s="25" t="str">
        <f t="shared" si="32"/>
        <v/>
      </c>
      <c r="L102" s="25" t="str">
        <f t="shared" si="33"/>
        <v/>
      </c>
      <c r="M102" s="33" t="e" cm="1">
        <f t="array" aca="1" ref="M102" ca="1">IF(AND(J102=INDIRECT("'["&amp;G102&amp;"]"&amp;E102&amp;"'!"&amp;$Y$2),G102=INDIRECT("'["&amp;G102&amp;"]"&amp;E102&amp;"'!"&amp;$AH$2)),INDIRECT("'["&amp;G102&amp;"]"&amp;E102&amp;"'!"&amp;$Y$3),0)</f>
        <v>#VALUE!</v>
      </c>
      <c r="N102" s="34" t="e" cm="1">
        <f t="array" aca="1" ref="N102" ca="1">IF(AND(G102=INDIRECT("'["&amp;G102&amp;"]"&amp;E102&amp;"'!"&amp;$AH$2),OR(K102=INDIRECT("'["&amp;G102&amp;"]"&amp;E102&amp;"'!"&amp;$Z$2))),INDIRECT("'["&amp;G102&amp;"]"&amp;E102&amp;"'!"&amp;$Z$3),0)</f>
        <v>#VALUE!</v>
      </c>
      <c r="O102" s="34" t="e" cm="1">
        <f t="array" aca="1" ref="O102" ca="1">IF(AND(G102=INDIRECT("'["&amp;G102&amp;"]"&amp;E102&amp;"'!"&amp;$AH$2),OR(L102=INDIRECT("'["&amp;G102&amp;"]"&amp;E102&amp;"'!"&amp;$AA$2))),INDIRECT("'["&amp;G102&amp;"]"&amp;E102&amp;"'!"&amp;$AA$3),0)</f>
        <v>#VALUE!</v>
      </c>
      <c r="P102" s="34" t="e" cm="1">
        <f t="array" aca="1" ref="P102" ca="1">IF(AND(G102=INDIRECT("'["&amp;G102&amp;"]"&amp;E102&amp;"'!"&amp;$AH$2),OR(VALUE(I102)=INDIRECT("'["&amp;G102&amp;"]"&amp;E102&amp;"'!"&amp;$AB$2))),INDIRECT("'["&amp;G102&amp;"]"&amp;E102&amp;"'!"&amp;$AB$3),0)</f>
        <v>#VALUE!</v>
      </c>
      <c r="Q102" s="34" t="e" cm="1">
        <f t="array" aca="1" ref="Q102" ca="1">IF(AND(G102=INDIRECT("'["&amp;G102&amp;"]"&amp;E102&amp;"'!"&amp;$AH$2),OR(VALUE(I102)=INDIRECT("'["&amp;G102&amp;"]"&amp;E102&amp;"'!"&amp;$AC$2))),INDIRECT("'["&amp;G102&amp;"]"&amp;E102&amp;"'!"&amp;$AC$3),0)</f>
        <v>#VALUE!</v>
      </c>
      <c r="R102" s="34" t="e" cm="1">
        <f t="array" aca="1" ref="R102" ca="1">IF(AND(G102=INDIRECT("'["&amp;G102&amp;"]"&amp;E102&amp;"'!"&amp;$AH$2),OR(I102=INDIRECT("'["&amp;G102&amp;"]"&amp;E102&amp;"'!"&amp;$AD$2))),INDIRECT("'["&amp;G102&amp;"]"&amp;E102&amp;"'!"&amp;$AD$3),0)</f>
        <v>#VALUE!</v>
      </c>
      <c r="S102" s="34" t="e" cm="1">
        <f t="array" aca="1" ref="S102" ca="1">IF(AND(G102=INDIRECT("'["&amp;G102&amp;"]"&amp;E102&amp;"'!"&amp;$AH$2),OR(I102=INDIRECT("'["&amp;G102&amp;"]"&amp;E102&amp;"'!"&amp;$AE$2))),INDIRECT("'["&amp;G102&amp;"]"&amp;E102&amp;"'!"&amp;$AE$3),0)</f>
        <v>#VALUE!</v>
      </c>
      <c r="T102" s="35" t="e" cm="1">
        <f t="array" aca="1" ref="T102" ca="1">IF(AND(G102=INDIRECT("'["&amp;G102&amp;"]"&amp;E102&amp;"'!"&amp;$AH$2),OR(I102=INDIRECT("'["&amp;G102&amp;"]"&amp;E102&amp;"'!"&amp;$AF$2))),INDIRECT("'["&amp;G102&amp;"]"&amp;E102&amp;"'!"&amp;$AF$3),0)</f>
        <v>#VALUE!</v>
      </c>
      <c r="U102" s="34" t="e" cm="1">
        <f t="array" aca="1" ref="U102" ca="1">IF(AND(G102=INDIRECT("'["&amp;G102&amp;"]"&amp;E102&amp;"'!"&amp;$AH$2),OR(I102=INDIRECT("'["&amp;G102&amp;"]"&amp;E102&amp;"'!"&amp;$AG$2))),INDIRECT("'["&amp;G102&amp;"]"&amp;E102&amp;"'!"&amp;$AG$3),0)</f>
        <v>#VALUE!</v>
      </c>
      <c r="V102" s="25" t="str">
        <f t="shared" si="34"/>
        <v/>
      </c>
      <c r="W102" s="36" t="e" cm="1">
        <f t="array" aca="1" ref="W102" ca="1">IF(AND(G102=INDIRECT("'["&amp;G102&amp;"]"&amp;E102&amp;"'!"&amp;$AH$2),OR(V102=INDIRECT("'["&amp;G102&amp;"]"&amp;E102&amp;"'!"&amp;$AI$2))),INDIRECT("'["&amp;G102&amp;"]"&amp;E102&amp;"'!"&amp;$AI$3),0)</f>
        <v>#VALUE!</v>
      </c>
      <c r="AJ102" s="25">
        <v>1</v>
      </c>
      <c r="AK102" s="38">
        <f t="shared" ca="1" si="35"/>
        <v>0</v>
      </c>
      <c r="AL102" s="38">
        <f t="shared" ca="1" si="36"/>
        <v>0</v>
      </c>
      <c r="AM102" s="54" t="str">
        <f t="shared" ca="1" si="27"/>
        <v/>
      </c>
      <c r="AN102" s="25" t="e">
        <f t="shared" ca="1" si="37"/>
        <v>#VALUE!</v>
      </c>
      <c r="AO102" s="25" t="e">
        <f t="shared" ca="1" si="38"/>
        <v>#VALUE!</v>
      </c>
      <c r="AP102" s="39" t="str">
        <f t="shared" ca="1" si="28"/>
        <v/>
      </c>
      <c r="AQ102" s="46" t="str">
        <f ca="1">IF(AND(C102&lt;&gt;0, C103=0), SUM($C$2:C102)-SUM($AQ$1:AQ101), "")</f>
        <v/>
      </c>
      <c r="AR102" s="46" t="str">
        <f ca="1">IF(AND(AK102&lt;&gt;0, AK103=0), SUM($AK$2:AK102)-SUM($AR$1:AR101), "")</f>
        <v/>
      </c>
    </row>
    <row r="103" spans="1:44" ht="13.15" customHeight="1">
      <c r="A103" s="31"/>
      <c r="B103" s="68" t="str">
        <f t="shared" si="41"/>
        <v/>
      </c>
      <c r="C103" s="55" cm="1">
        <f t="array" aca="1" ref="C103" ca="1">SUM(IF(ISNUMBER(M103:U103),M103:U103,""))</f>
        <v>0</v>
      </c>
      <c r="D103" s="25" t="str">
        <f>MID(A103,4,2)</f>
        <v/>
      </c>
      <c r="E103" s="25" t="e">
        <f t="shared" si="29"/>
        <v>#VALUE!</v>
      </c>
      <c r="F103" s="25" t="str">
        <f t="shared" ref="F103:F161" si="42">LEFT(A103,2)</f>
        <v/>
      </c>
      <c r="G103" s="25" t="str">
        <f t="shared" si="26"/>
        <v>.xlsx</v>
      </c>
      <c r="H103" s="29" t="e" cm="1">
        <f t="array" aca="1" ref="H103" ca="1">IF(AND(VALUE(E103)=INDIRECT("'["&amp;G103&amp;"]"&amp;E103&amp;"'!"&amp;$X$2),G103=INDIRECT("'["&amp;G103&amp;"]"&amp;E103&amp;"'!"&amp;$X$3)),INDIRECT("'["&amp;G103&amp;"]"&amp;E103&amp;"'!"&amp;$X$1),0)</f>
        <v>#VALUE!</v>
      </c>
      <c r="I103" s="25" t="str">
        <f t="shared" si="30"/>
        <v/>
      </c>
      <c r="J103" s="32" t="str">
        <f t="shared" si="31"/>
        <v/>
      </c>
      <c r="K103" s="25" t="str">
        <f t="shared" si="32"/>
        <v/>
      </c>
      <c r="L103" s="25" t="str">
        <f t="shared" si="33"/>
        <v/>
      </c>
      <c r="M103" s="33" t="e" cm="1">
        <f t="array" aca="1" ref="M103" ca="1">IF(AND(J103=INDIRECT("'["&amp;G103&amp;"]"&amp;E103&amp;"'!"&amp;$Y$2),G103=INDIRECT("'["&amp;G103&amp;"]"&amp;E103&amp;"'!"&amp;$AH$2)),INDIRECT("'["&amp;G103&amp;"]"&amp;E103&amp;"'!"&amp;$Y$3),0)</f>
        <v>#VALUE!</v>
      </c>
      <c r="N103" s="34" t="e" cm="1">
        <f t="array" aca="1" ref="N103" ca="1">IF(AND(G103=INDIRECT("'["&amp;G103&amp;"]"&amp;E103&amp;"'!"&amp;$AH$2),OR(K103=INDIRECT("'["&amp;G103&amp;"]"&amp;E103&amp;"'!"&amp;$Z$2))),INDIRECT("'["&amp;G103&amp;"]"&amp;E103&amp;"'!"&amp;$Z$3),0)</f>
        <v>#VALUE!</v>
      </c>
      <c r="O103" s="34" t="e" cm="1">
        <f t="array" aca="1" ref="O103" ca="1">IF(AND(G103=INDIRECT("'["&amp;G103&amp;"]"&amp;E103&amp;"'!"&amp;$AH$2),OR(L103=INDIRECT("'["&amp;G103&amp;"]"&amp;E103&amp;"'!"&amp;$AA$2))),INDIRECT("'["&amp;G103&amp;"]"&amp;E103&amp;"'!"&amp;$AA$3),0)</f>
        <v>#VALUE!</v>
      </c>
      <c r="P103" s="34" t="e" cm="1">
        <f t="array" aca="1" ref="P103" ca="1">IF(AND(G103=INDIRECT("'["&amp;G103&amp;"]"&amp;E103&amp;"'!"&amp;$AH$2),OR(VALUE(I103)=INDIRECT("'["&amp;G103&amp;"]"&amp;E103&amp;"'!"&amp;$AB$2))),INDIRECT("'["&amp;G103&amp;"]"&amp;E103&amp;"'!"&amp;$AB$3),0)</f>
        <v>#VALUE!</v>
      </c>
      <c r="Q103" s="34" t="e" cm="1">
        <f t="array" aca="1" ref="Q103" ca="1">IF(AND(G103=INDIRECT("'["&amp;G103&amp;"]"&amp;E103&amp;"'!"&amp;$AH$2),OR(VALUE(I103)=INDIRECT("'["&amp;G103&amp;"]"&amp;E103&amp;"'!"&amp;$AC$2))),INDIRECT("'["&amp;G103&amp;"]"&amp;E103&amp;"'!"&amp;$AC$3),0)</f>
        <v>#VALUE!</v>
      </c>
      <c r="R103" s="34" t="e" cm="1">
        <f t="array" aca="1" ref="R103" ca="1">IF(AND(G103=INDIRECT("'["&amp;G103&amp;"]"&amp;E103&amp;"'!"&amp;$AH$2),OR(I103=INDIRECT("'["&amp;G103&amp;"]"&amp;E103&amp;"'!"&amp;$AD$2))),INDIRECT("'["&amp;G103&amp;"]"&amp;E103&amp;"'!"&amp;$AD$3),0)</f>
        <v>#VALUE!</v>
      </c>
      <c r="S103" s="34" t="e" cm="1">
        <f t="array" aca="1" ref="S103" ca="1">IF(AND(G103=INDIRECT("'["&amp;G103&amp;"]"&amp;E103&amp;"'!"&amp;$AH$2),OR(I103=INDIRECT("'["&amp;G103&amp;"]"&amp;E103&amp;"'!"&amp;$AE$2))),INDIRECT("'["&amp;G103&amp;"]"&amp;E103&amp;"'!"&amp;$AE$3),0)</f>
        <v>#VALUE!</v>
      </c>
      <c r="T103" s="35" t="e" cm="1">
        <f t="array" aca="1" ref="T103" ca="1">IF(AND(G103=INDIRECT("'["&amp;G103&amp;"]"&amp;E103&amp;"'!"&amp;$AH$2),OR(I103=INDIRECT("'["&amp;G103&amp;"]"&amp;E103&amp;"'!"&amp;$AF$2))),INDIRECT("'["&amp;G103&amp;"]"&amp;E103&amp;"'!"&amp;$AF$3),0)</f>
        <v>#VALUE!</v>
      </c>
      <c r="U103" s="34" t="e" cm="1">
        <f t="array" aca="1" ref="U103" ca="1">IF(AND(G103=INDIRECT("'["&amp;G103&amp;"]"&amp;E103&amp;"'!"&amp;$AH$2),OR(I103=INDIRECT("'["&amp;G103&amp;"]"&amp;E103&amp;"'!"&amp;$AG$2))),INDIRECT("'["&amp;G103&amp;"]"&amp;E103&amp;"'!"&amp;$AG$3),0)</f>
        <v>#VALUE!</v>
      </c>
      <c r="V103" s="25" t="str">
        <f t="shared" si="34"/>
        <v/>
      </c>
      <c r="W103" s="36" t="e" cm="1">
        <f t="array" aca="1" ref="W103" ca="1">IF(AND(G103=INDIRECT("'["&amp;G103&amp;"]"&amp;E103&amp;"'!"&amp;$AH$2),OR(V103=INDIRECT("'["&amp;G103&amp;"]"&amp;E103&amp;"'!"&amp;$AI$2))),INDIRECT("'["&amp;G103&amp;"]"&amp;E103&amp;"'!"&amp;$AI$3),0)</f>
        <v>#VALUE!</v>
      </c>
      <c r="AJ103" s="25">
        <v>1</v>
      </c>
      <c r="AK103" s="38">
        <f t="shared" ca="1" si="35"/>
        <v>0</v>
      </c>
      <c r="AL103" s="38">
        <f t="shared" ca="1" si="36"/>
        <v>0</v>
      </c>
      <c r="AM103" s="54" t="str">
        <f t="shared" ca="1" si="27"/>
        <v/>
      </c>
      <c r="AN103" s="25" t="e">
        <f t="shared" ca="1" si="37"/>
        <v>#VALUE!</v>
      </c>
      <c r="AO103" s="25" t="e">
        <f t="shared" ca="1" si="38"/>
        <v>#VALUE!</v>
      </c>
      <c r="AP103" s="39" t="str">
        <f t="shared" ca="1" si="28"/>
        <v/>
      </c>
      <c r="AQ103" s="46" t="str">
        <f ca="1">IF(AND(C103&lt;&gt;0, C104=0), SUM($C$2:C103)-SUM($AQ$1:AQ102), "")</f>
        <v/>
      </c>
      <c r="AR103" s="46" t="str">
        <f ca="1">IF(AND(AK103&lt;&gt;0, AK104=0), SUM($AK$2:AK103)-SUM($AR$1:AR102), "")</f>
        <v/>
      </c>
    </row>
    <row r="104" spans="1:44" ht="13.15" customHeight="1">
      <c r="A104" s="31"/>
      <c r="B104" s="68" t="str">
        <f t="shared" si="41"/>
        <v/>
      </c>
      <c r="C104" s="55" cm="1">
        <f t="array" aca="1" ref="C104" ca="1">SUM(IF(ISNUMBER(M104:U104),M104:U104,""))</f>
        <v>0</v>
      </c>
      <c r="D104" s="25" t="str">
        <f t="shared" ref="D104:D161" si="43">MID(A104,4,2)</f>
        <v/>
      </c>
      <c r="E104" s="25" t="e">
        <f t="shared" si="29"/>
        <v>#VALUE!</v>
      </c>
      <c r="F104" s="25" t="str">
        <f t="shared" si="42"/>
        <v/>
      </c>
      <c r="G104" s="25" t="str">
        <f t="shared" si="26"/>
        <v>.xlsx</v>
      </c>
      <c r="H104" s="29" t="e" cm="1">
        <f t="array" aca="1" ref="H104" ca="1">IF(AND(VALUE(E104)=INDIRECT("'["&amp;G104&amp;"]"&amp;E104&amp;"'!"&amp;$X$2),G104=INDIRECT("'["&amp;G104&amp;"]"&amp;E104&amp;"'!"&amp;$X$3)),INDIRECT("'["&amp;G104&amp;"]"&amp;E104&amp;"'!"&amp;$X$1),0)</f>
        <v>#VALUE!</v>
      </c>
      <c r="I104" s="25" t="str">
        <f t="shared" si="30"/>
        <v/>
      </c>
      <c r="J104" s="32" t="str">
        <f t="shared" si="31"/>
        <v/>
      </c>
      <c r="K104" s="25" t="str">
        <f t="shared" si="32"/>
        <v/>
      </c>
      <c r="L104" s="25" t="str">
        <f t="shared" si="33"/>
        <v/>
      </c>
      <c r="M104" s="33" t="e" cm="1">
        <f t="array" aca="1" ref="M104" ca="1">IF(AND(J104=INDIRECT("'["&amp;G104&amp;"]"&amp;E104&amp;"'!"&amp;$Y$2),G104=INDIRECT("'["&amp;G104&amp;"]"&amp;E104&amp;"'!"&amp;$AH$2)),INDIRECT("'["&amp;G104&amp;"]"&amp;E104&amp;"'!"&amp;$Y$3),0)</f>
        <v>#VALUE!</v>
      </c>
      <c r="N104" s="34" t="e" cm="1">
        <f t="array" aca="1" ref="N104" ca="1">IF(AND(G104=INDIRECT("'["&amp;G104&amp;"]"&amp;E104&amp;"'!"&amp;$AH$2),OR(K104=INDIRECT("'["&amp;G104&amp;"]"&amp;E104&amp;"'!"&amp;$Z$2))),INDIRECT("'["&amp;G104&amp;"]"&amp;E104&amp;"'!"&amp;$Z$3),0)</f>
        <v>#VALUE!</v>
      </c>
      <c r="O104" s="34" t="e" cm="1">
        <f t="array" aca="1" ref="O104" ca="1">IF(AND(G104=INDIRECT("'["&amp;G104&amp;"]"&amp;E104&amp;"'!"&amp;$AH$2),OR(L104=INDIRECT("'["&amp;G104&amp;"]"&amp;E104&amp;"'!"&amp;$AA$2))),INDIRECT("'["&amp;G104&amp;"]"&amp;E104&amp;"'!"&amp;$AA$3),0)</f>
        <v>#VALUE!</v>
      </c>
      <c r="P104" s="34" t="e" cm="1">
        <f t="array" aca="1" ref="P104" ca="1">IF(AND(G104=INDIRECT("'["&amp;G104&amp;"]"&amp;E104&amp;"'!"&amp;$AH$2),OR(VALUE(I104)=INDIRECT("'["&amp;G104&amp;"]"&amp;E104&amp;"'!"&amp;$AB$2))),INDIRECT("'["&amp;G104&amp;"]"&amp;E104&amp;"'!"&amp;$AB$3),0)</f>
        <v>#VALUE!</v>
      </c>
      <c r="Q104" s="34" t="e" cm="1">
        <f t="array" aca="1" ref="Q104" ca="1">IF(AND(G104=INDIRECT("'["&amp;G104&amp;"]"&amp;E104&amp;"'!"&amp;$AH$2),OR(VALUE(I104)=INDIRECT("'["&amp;G104&amp;"]"&amp;E104&amp;"'!"&amp;$AC$2))),INDIRECT("'["&amp;G104&amp;"]"&amp;E104&amp;"'!"&amp;$AC$3),0)</f>
        <v>#VALUE!</v>
      </c>
      <c r="R104" s="34" t="e" cm="1">
        <f t="array" aca="1" ref="R104" ca="1">IF(AND(G104=INDIRECT("'["&amp;G104&amp;"]"&amp;E104&amp;"'!"&amp;$AH$2),OR(I104=INDIRECT("'["&amp;G104&amp;"]"&amp;E104&amp;"'!"&amp;$AD$2))),INDIRECT("'["&amp;G104&amp;"]"&amp;E104&amp;"'!"&amp;$AD$3),0)</f>
        <v>#VALUE!</v>
      </c>
      <c r="S104" s="34" t="e" cm="1">
        <f t="array" aca="1" ref="S104" ca="1">IF(AND(G104=INDIRECT("'["&amp;G104&amp;"]"&amp;E104&amp;"'!"&amp;$AH$2),OR(I104=INDIRECT("'["&amp;G104&amp;"]"&amp;E104&amp;"'!"&amp;$AE$2))),INDIRECT("'["&amp;G104&amp;"]"&amp;E104&amp;"'!"&amp;$AE$3),0)</f>
        <v>#VALUE!</v>
      </c>
      <c r="T104" s="35" t="e" cm="1">
        <f t="array" aca="1" ref="T104" ca="1">IF(AND(G104=INDIRECT("'["&amp;G104&amp;"]"&amp;E104&amp;"'!"&amp;$AH$2),OR(I104=INDIRECT("'["&amp;G104&amp;"]"&amp;E104&amp;"'!"&amp;$AF$2))),INDIRECT("'["&amp;G104&amp;"]"&amp;E104&amp;"'!"&amp;$AF$3),0)</f>
        <v>#VALUE!</v>
      </c>
      <c r="U104" s="34" t="e" cm="1">
        <f t="array" aca="1" ref="U104" ca="1">IF(AND(G104=INDIRECT("'["&amp;G104&amp;"]"&amp;E104&amp;"'!"&amp;$AH$2),OR(I104=INDIRECT("'["&amp;G104&amp;"]"&amp;E104&amp;"'!"&amp;$AG$2))),INDIRECT("'["&amp;G104&amp;"]"&amp;E104&amp;"'!"&amp;$AG$3),0)</f>
        <v>#VALUE!</v>
      </c>
      <c r="V104" s="25" t="str">
        <f t="shared" si="34"/>
        <v/>
      </c>
      <c r="W104" s="36" t="e" cm="1">
        <f t="array" aca="1" ref="W104" ca="1">IF(AND(G104=INDIRECT("'["&amp;G104&amp;"]"&amp;E104&amp;"'!"&amp;$AH$2),OR(V104=INDIRECT("'["&amp;G104&amp;"]"&amp;E104&amp;"'!"&amp;$AI$2))),INDIRECT("'["&amp;G104&amp;"]"&amp;E104&amp;"'!"&amp;$AI$3),0)</f>
        <v>#VALUE!</v>
      </c>
      <c r="AJ104" s="25">
        <v>1</v>
      </c>
      <c r="AK104" s="38">
        <f t="shared" ca="1" si="35"/>
        <v>0</v>
      </c>
      <c r="AL104" s="38">
        <f t="shared" ca="1" si="36"/>
        <v>0</v>
      </c>
      <c r="AM104" s="54" t="str">
        <f t="shared" ca="1" si="27"/>
        <v/>
      </c>
      <c r="AN104" s="25" t="e">
        <f t="shared" ca="1" si="37"/>
        <v>#VALUE!</v>
      </c>
      <c r="AO104" s="25" t="e">
        <f t="shared" ca="1" si="38"/>
        <v>#VALUE!</v>
      </c>
      <c r="AP104" s="39" t="str">
        <f t="shared" ca="1" si="28"/>
        <v/>
      </c>
      <c r="AQ104" s="46" t="str">
        <f ca="1">IF(AND(C104&lt;&gt;0, C105=0), SUM($C$2:C104)-SUM($AQ$1:AQ103), "")</f>
        <v/>
      </c>
      <c r="AR104" s="46" t="str">
        <f ca="1">IF(AND(AK104&lt;&gt;0, AK105=0), SUM($AK$2:AK104)-SUM($AR$1:AR103), "")</f>
        <v/>
      </c>
    </row>
    <row r="105" spans="1:44" ht="13.15" customHeight="1">
      <c r="A105" s="31"/>
      <c r="B105" s="68" t="str">
        <f t="shared" si="41"/>
        <v/>
      </c>
      <c r="C105" s="55" cm="1">
        <f t="array" aca="1" ref="C105" ca="1">SUM(IF(ISNUMBER(M105:U105),M105:U105,""))</f>
        <v>0</v>
      </c>
      <c r="D105" s="25" t="str">
        <f t="shared" si="43"/>
        <v/>
      </c>
      <c r="E105" s="25" t="e">
        <f t="shared" si="29"/>
        <v>#VALUE!</v>
      </c>
      <c r="F105" s="25" t="str">
        <f t="shared" si="42"/>
        <v/>
      </c>
      <c r="G105" s="25" t="str">
        <f t="shared" si="26"/>
        <v>.xlsx</v>
      </c>
      <c r="H105" s="29" t="e" cm="1">
        <f t="array" aca="1" ref="H105" ca="1">IF(AND(VALUE(E105)=INDIRECT("'["&amp;G105&amp;"]"&amp;E105&amp;"'!"&amp;$X$2),G105=INDIRECT("'["&amp;G105&amp;"]"&amp;E105&amp;"'!"&amp;$X$3)),INDIRECT("'["&amp;G105&amp;"]"&amp;E105&amp;"'!"&amp;$X$1),0)</f>
        <v>#VALUE!</v>
      </c>
      <c r="I105" s="25" t="str">
        <f t="shared" si="30"/>
        <v/>
      </c>
      <c r="J105" s="32" t="str">
        <f t="shared" si="31"/>
        <v/>
      </c>
      <c r="K105" s="25" t="str">
        <f t="shared" si="32"/>
        <v/>
      </c>
      <c r="L105" s="25" t="str">
        <f t="shared" si="33"/>
        <v/>
      </c>
      <c r="M105" s="33" t="e" cm="1">
        <f t="array" aca="1" ref="M105" ca="1">IF(AND(J105=INDIRECT("'["&amp;G105&amp;"]"&amp;E105&amp;"'!"&amp;$Y$2),G105=INDIRECT("'["&amp;G105&amp;"]"&amp;E105&amp;"'!"&amp;$AH$2)),INDIRECT("'["&amp;G105&amp;"]"&amp;E105&amp;"'!"&amp;$Y$3),0)</f>
        <v>#VALUE!</v>
      </c>
      <c r="N105" s="34" t="e" cm="1">
        <f t="array" aca="1" ref="N105" ca="1">IF(AND(G105=INDIRECT("'["&amp;G105&amp;"]"&amp;E105&amp;"'!"&amp;$AH$2),OR(K105=INDIRECT("'["&amp;G105&amp;"]"&amp;E105&amp;"'!"&amp;$Z$2))),INDIRECT("'["&amp;G105&amp;"]"&amp;E105&amp;"'!"&amp;$Z$3),0)</f>
        <v>#VALUE!</v>
      </c>
      <c r="O105" s="34" t="e" cm="1">
        <f t="array" aca="1" ref="O105" ca="1">IF(AND(G105=INDIRECT("'["&amp;G105&amp;"]"&amp;E105&amp;"'!"&amp;$AH$2),OR(L105=INDIRECT("'["&amp;G105&amp;"]"&amp;E105&amp;"'!"&amp;$AA$2))),INDIRECT("'["&amp;G105&amp;"]"&amp;E105&amp;"'!"&amp;$AA$3),0)</f>
        <v>#VALUE!</v>
      </c>
      <c r="P105" s="34" t="e" cm="1">
        <f t="array" aca="1" ref="P105" ca="1">IF(AND(G105=INDIRECT("'["&amp;G105&amp;"]"&amp;E105&amp;"'!"&amp;$AH$2),OR(VALUE(I105)=INDIRECT("'["&amp;G105&amp;"]"&amp;E105&amp;"'!"&amp;$AB$2))),INDIRECT("'["&amp;G105&amp;"]"&amp;E105&amp;"'!"&amp;$AB$3),0)</f>
        <v>#VALUE!</v>
      </c>
      <c r="Q105" s="34" t="e" cm="1">
        <f t="array" aca="1" ref="Q105" ca="1">IF(AND(G105=INDIRECT("'["&amp;G105&amp;"]"&amp;E105&amp;"'!"&amp;$AH$2),OR(VALUE(I105)=INDIRECT("'["&amp;G105&amp;"]"&amp;E105&amp;"'!"&amp;$AC$2))),INDIRECT("'["&amp;G105&amp;"]"&amp;E105&amp;"'!"&amp;$AC$3),0)</f>
        <v>#VALUE!</v>
      </c>
      <c r="R105" s="34" t="e" cm="1">
        <f t="array" aca="1" ref="R105" ca="1">IF(AND(G105=INDIRECT("'["&amp;G105&amp;"]"&amp;E105&amp;"'!"&amp;$AH$2),OR(I105=INDIRECT("'["&amp;G105&amp;"]"&amp;E105&amp;"'!"&amp;$AD$2))),INDIRECT("'["&amp;G105&amp;"]"&amp;E105&amp;"'!"&amp;$AD$3),0)</f>
        <v>#VALUE!</v>
      </c>
      <c r="S105" s="34" t="e" cm="1">
        <f t="array" aca="1" ref="S105" ca="1">IF(AND(G105=INDIRECT("'["&amp;G105&amp;"]"&amp;E105&amp;"'!"&amp;$AH$2),OR(I105=INDIRECT("'["&amp;G105&amp;"]"&amp;E105&amp;"'!"&amp;$AE$2))),INDIRECT("'["&amp;G105&amp;"]"&amp;E105&amp;"'!"&amp;$AE$3),0)</f>
        <v>#VALUE!</v>
      </c>
      <c r="T105" s="35" t="e" cm="1">
        <f t="array" aca="1" ref="T105" ca="1">IF(AND(G105=INDIRECT("'["&amp;G105&amp;"]"&amp;E105&amp;"'!"&amp;$AH$2),OR(I105=INDIRECT("'["&amp;G105&amp;"]"&amp;E105&amp;"'!"&amp;$AF$2))),INDIRECT("'["&amp;G105&amp;"]"&amp;E105&amp;"'!"&amp;$AF$3),0)</f>
        <v>#VALUE!</v>
      </c>
      <c r="U105" s="34" t="e" cm="1">
        <f t="array" aca="1" ref="U105" ca="1">IF(AND(G105=INDIRECT("'["&amp;G105&amp;"]"&amp;E105&amp;"'!"&amp;$AH$2),OR(I105=INDIRECT("'["&amp;G105&amp;"]"&amp;E105&amp;"'!"&amp;$AG$2))),INDIRECT("'["&amp;G105&amp;"]"&amp;E105&amp;"'!"&amp;$AG$3),0)</f>
        <v>#VALUE!</v>
      </c>
      <c r="V105" s="25" t="str">
        <f t="shared" si="34"/>
        <v/>
      </c>
      <c r="W105" s="36" t="e" cm="1">
        <f t="array" aca="1" ref="W105" ca="1">IF(AND(G105=INDIRECT("'["&amp;G105&amp;"]"&amp;E105&amp;"'!"&amp;$AH$2),OR(V105=INDIRECT("'["&amp;G105&amp;"]"&amp;E105&amp;"'!"&amp;$AI$2))),INDIRECT("'["&amp;G105&amp;"]"&amp;E105&amp;"'!"&amp;$AI$3),0)</f>
        <v>#VALUE!</v>
      </c>
      <c r="AJ105" s="25">
        <v>1</v>
      </c>
      <c r="AK105" s="38">
        <f t="shared" ca="1" si="35"/>
        <v>0</v>
      </c>
      <c r="AL105" s="38">
        <f t="shared" ca="1" si="36"/>
        <v>0</v>
      </c>
      <c r="AM105" s="54" t="str">
        <f t="shared" ca="1" si="27"/>
        <v/>
      </c>
      <c r="AN105" s="25" t="e">
        <f t="shared" ca="1" si="37"/>
        <v>#VALUE!</v>
      </c>
      <c r="AO105" s="25" t="e">
        <f t="shared" ca="1" si="38"/>
        <v>#VALUE!</v>
      </c>
      <c r="AP105" s="39" t="str">
        <f t="shared" ca="1" si="28"/>
        <v/>
      </c>
      <c r="AQ105" s="46" t="str">
        <f ca="1">IF(AND(C105&lt;&gt;0, C106=0), SUM($C$2:C105)-SUM($AQ$1:AQ104), "")</f>
        <v/>
      </c>
      <c r="AR105" s="46" t="str">
        <f ca="1">IF(AND(AK105&lt;&gt;0, AK106=0), SUM($AK$2:AK105)-SUM($AR$1:AR104), "")</f>
        <v/>
      </c>
    </row>
    <row r="106" spans="1:44" ht="13.15" customHeight="1">
      <c r="A106" s="31"/>
      <c r="B106" s="68" t="str">
        <f t="shared" si="41"/>
        <v/>
      </c>
      <c r="C106" s="55" cm="1">
        <f t="array" aca="1" ref="C106" ca="1">SUM(IF(ISNUMBER(M106:U106),M106:U106,""))</f>
        <v>0</v>
      </c>
      <c r="D106" s="25" t="str">
        <f t="shared" si="43"/>
        <v/>
      </c>
      <c r="E106" s="25" t="e">
        <f t="shared" si="29"/>
        <v>#VALUE!</v>
      </c>
      <c r="F106" s="25" t="str">
        <f t="shared" si="42"/>
        <v/>
      </c>
      <c r="G106" s="25" t="str">
        <f t="shared" si="26"/>
        <v>.xlsx</v>
      </c>
      <c r="H106" s="29" t="e" cm="1">
        <f t="array" aca="1" ref="H106" ca="1">IF(AND(VALUE(E106)=INDIRECT("'["&amp;G106&amp;"]"&amp;E106&amp;"'!"&amp;$X$2),G106=INDIRECT("'["&amp;G106&amp;"]"&amp;E106&amp;"'!"&amp;$X$3)),INDIRECT("'["&amp;G106&amp;"]"&amp;E106&amp;"'!"&amp;$X$1),0)</f>
        <v>#VALUE!</v>
      </c>
      <c r="I106" s="25" t="str">
        <f t="shared" si="30"/>
        <v/>
      </c>
      <c r="J106" s="32" t="str">
        <f t="shared" si="31"/>
        <v/>
      </c>
      <c r="K106" s="25" t="str">
        <f t="shared" si="32"/>
        <v/>
      </c>
      <c r="L106" s="25" t="str">
        <f t="shared" si="33"/>
        <v/>
      </c>
      <c r="M106" s="33" t="e" cm="1">
        <f t="array" aca="1" ref="M106" ca="1">IF(AND(J106=INDIRECT("'["&amp;G106&amp;"]"&amp;E106&amp;"'!"&amp;$Y$2),G106=INDIRECT("'["&amp;G106&amp;"]"&amp;E106&amp;"'!"&amp;$AH$2)),INDIRECT("'["&amp;G106&amp;"]"&amp;E106&amp;"'!"&amp;$Y$3),0)</f>
        <v>#VALUE!</v>
      </c>
      <c r="N106" s="34" t="e" cm="1">
        <f t="array" aca="1" ref="N106" ca="1">IF(AND(G106=INDIRECT("'["&amp;G106&amp;"]"&amp;E106&amp;"'!"&amp;$AH$2),OR(K106=INDIRECT("'["&amp;G106&amp;"]"&amp;E106&amp;"'!"&amp;$Z$2))),INDIRECT("'["&amp;G106&amp;"]"&amp;E106&amp;"'!"&amp;$Z$3),0)</f>
        <v>#VALUE!</v>
      </c>
      <c r="O106" s="34" t="e" cm="1">
        <f t="array" aca="1" ref="O106" ca="1">IF(AND(G106=INDIRECT("'["&amp;G106&amp;"]"&amp;E106&amp;"'!"&amp;$AH$2),OR(L106=INDIRECT("'["&amp;G106&amp;"]"&amp;E106&amp;"'!"&amp;$AA$2))),INDIRECT("'["&amp;G106&amp;"]"&amp;E106&amp;"'!"&amp;$AA$3),0)</f>
        <v>#VALUE!</v>
      </c>
      <c r="P106" s="34" t="e" cm="1">
        <f t="array" aca="1" ref="P106" ca="1">IF(AND(G106=INDIRECT("'["&amp;G106&amp;"]"&amp;E106&amp;"'!"&amp;$AH$2),OR(VALUE(I106)=INDIRECT("'["&amp;G106&amp;"]"&amp;E106&amp;"'!"&amp;$AB$2))),INDIRECT("'["&amp;G106&amp;"]"&amp;E106&amp;"'!"&amp;$AB$3),0)</f>
        <v>#VALUE!</v>
      </c>
      <c r="Q106" s="34" t="e" cm="1">
        <f t="array" aca="1" ref="Q106" ca="1">IF(AND(G106=INDIRECT("'["&amp;G106&amp;"]"&amp;E106&amp;"'!"&amp;$AH$2),OR(VALUE(I106)=INDIRECT("'["&amp;G106&amp;"]"&amp;E106&amp;"'!"&amp;$AC$2))),INDIRECT("'["&amp;G106&amp;"]"&amp;E106&amp;"'!"&amp;$AC$3),0)</f>
        <v>#VALUE!</v>
      </c>
      <c r="R106" s="34" t="e" cm="1">
        <f t="array" aca="1" ref="R106" ca="1">IF(AND(G106=INDIRECT("'["&amp;G106&amp;"]"&amp;E106&amp;"'!"&amp;$AH$2),OR(I106=INDIRECT("'["&amp;G106&amp;"]"&amp;E106&amp;"'!"&amp;$AD$2))),INDIRECT("'["&amp;G106&amp;"]"&amp;E106&amp;"'!"&amp;$AD$3),0)</f>
        <v>#VALUE!</v>
      </c>
      <c r="S106" s="34" t="e" cm="1">
        <f t="array" aca="1" ref="S106" ca="1">IF(AND(G106=INDIRECT("'["&amp;G106&amp;"]"&amp;E106&amp;"'!"&amp;$AH$2),OR(I106=INDIRECT("'["&amp;G106&amp;"]"&amp;E106&amp;"'!"&amp;$AE$2))),INDIRECT("'["&amp;G106&amp;"]"&amp;E106&amp;"'!"&amp;$AE$3),0)</f>
        <v>#VALUE!</v>
      </c>
      <c r="T106" s="35" t="e" cm="1">
        <f t="array" aca="1" ref="T106" ca="1">IF(AND(G106=INDIRECT("'["&amp;G106&amp;"]"&amp;E106&amp;"'!"&amp;$AH$2),OR(I106=INDIRECT("'["&amp;G106&amp;"]"&amp;E106&amp;"'!"&amp;$AF$2))),INDIRECT("'["&amp;G106&amp;"]"&amp;E106&amp;"'!"&amp;$AF$3),0)</f>
        <v>#VALUE!</v>
      </c>
      <c r="U106" s="34" t="e" cm="1">
        <f t="array" aca="1" ref="U106" ca="1">IF(AND(G106=INDIRECT("'["&amp;G106&amp;"]"&amp;E106&amp;"'!"&amp;$AH$2),OR(I106=INDIRECT("'["&amp;G106&amp;"]"&amp;E106&amp;"'!"&amp;$AG$2))),INDIRECT("'["&amp;G106&amp;"]"&amp;E106&amp;"'!"&amp;$AG$3),0)</f>
        <v>#VALUE!</v>
      </c>
      <c r="V106" s="25" t="str">
        <f t="shared" si="34"/>
        <v/>
      </c>
      <c r="W106" s="36" t="e" cm="1">
        <f t="array" aca="1" ref="W106" ca="1">IF(AND(G106=INDIRECT("'["&amp;G106&amp;"]"&amp;E106&amp;"'!"&amp;$AH$2),OR(V106=INDIRECT("'["&amp;G106&amp;"]"&amp;E106&amp;"'!"&amp;$AI$2))),INDIRECT("'["&amp;G106&amp;"]"&amp;E106&amp;"'!"&amp;$AI$3),0)</f>
        <v>#VALUE!</v>
      </c>
      <c r="AJ106" s="25">
        <v>1</v>
      </c>
      <c r="AK106" s="38">
        <f t="shared" ca="1" si="35"/>
        <v>0</v>
      </c>
      <c r="AL106" s="38">
        <f t="shared" ca="1" si="36"/>
        <v>0</v>
      </c>
      <c r="AM106" s="54" t="str">
        <f t="shared" ca="1" si="27"/>
        <v/>
      </c>
      <c r="AN106" s="25" t="e">
        <f t="shared" ca="1" si="37"/>
        <v>#VALUE!</v>
      </c>
      <c r="AO106" s="25" t="e">
        <f t="shared" ca="1" si="38"/>
        <v>#VALUE!</v>
      </c>
      <c r="AP106" s="39" t="str">
        <f t="shared" ca="1" si="28"/>
        <v/>
      </c>
      <c r="AQ106" s="46" t="str">
        <f ca="1">IF(AND(C106&lt;&gt;0, C107=0), SUM($C$2:C106)-SUM($AQ$1:AQ105), "")</f>
        <v/>
      </c>
      <c r="AR106" s="46" t="str">
        <f ca="1">IF(AND(AK106&lt;&gt;0, AK107=0), SUM($AK$2:AK106)-SUM($AR$1:AR105), "")</f>
        <v/>
      </c>
    </row>
    <row r="107" spans="1:44" ht="13.15" customHeight="1">
      <c r="A107" s="31"/>
      <c r="B107" s="68" t="str">
        <f t="shared" si="41"/>
        <v/>
      </c>
      <c r="C107" s="55" cm="1">
        <f t="array" aca="1" ref="C107" ca="1">SUM(IF(ISNUMBER(M107:U107),M107:U107,""))</f>
        <v>0</v>
      </c>
      <c r="D107" s="25" t="str">
        <f t="shared" si="43"/>
        <v/>
      </c>
      <c r="E107" s="25" t="e">
        <f t="shared" si="29"/>
        <v>#VALUE!</v>
      </c>
      <c r="F107" s="25" t="str">
        <f t="shared" si="42"/>
        <v/>
      </c>
      <c r="G107" s="25" t="str">
        <f t="shared" si="26"/>
        <v>.xlsx</v>
      </c>
      <c r="H107" s="29" t="e" cm="1">
        <f t="array" aca="1" ref="H107" ca="1">IF(AND(VALUE(E107)=INDIRECT("'["&amp;G107&amp;"]"&amp;E107&amp;"'!"&amp;$X$2),G107=INDIRECT("'["&amp;G107&amp;"]"&amp;E107&amp;"'!"&amp;$X$3)),INDIRECT("'["&amp;G107&amp;"]"&amp;E107&amp;"'!"&amp;$X$1),0)</f>
        <v>#VALUE!</v>
      </c>
      <c r="I107" s="25" t="str">
        <f t="shared" si="30"/>
        <v/>
      </c>
      <c r="J107" s="32" t="str">
        <f t="shared" si="31"/>
        <v/>
      </c>
      <c r="K107" s="25" t="str">
        <f t="shared" si="32"/>
        <v/>
      </c>
      <c r="L107" s="25" t="str">
        <f t="shared" si="33"/>
        <v/>
      </c>
      <c r="M107" s="33" t="e" cm="1">
        <f t="array" aca="1" ref="M107" ca="1">IF(AND(J107=INDIRECT("'["&amp;G107&amp;"]"&amp;E107&amp;"'!"&amp;$Y$2),G107=INDIRECT("'["&amp;G107&amp;"]"&amp;E107&amp;"'!"&amp;$AH$2)),INDIRECT("'["&amp;G107&amp;"]"&amp;E107&amp;"'!"&amp;$Y$3),0)</f>
        <v>#VALUE!</v>
      </c>
      <c r="N107" s="34" t="e" cm="1">
        <f t="array" aca="1" ref="N107" ca="1">IF(AND(G107=INDIRECT("'["&amp;G107&amp;"]"&amp;E107&amp;"'!"&amp;$AH$2),OR(K107=INDIRECT("'["&amp;G107&amp;"]"&amp;E107&amp;"'!"&amp;$Z$2))),INDIRECT("'["&amp;G107&amp;"]"&amp;E107&amp;"'!"&amp;$Z$3),0)</f>
        <v>#VALUE!</v>
      </c>
      <c r="O107" s="34" t="e" cm="1">
        <f t="array" aca="1" ref="O107" ca="1">IF(AND(G107=INDIRECT("'["&amp;G107&amp;"]"&amp;E107&amp;"'!"&amp;$AH$2),OR(L107=INDIRECT("'["&amp;G107&amp;"]"&amp;E107&amp;"'!"&amp;$AA$2))),INDIRECT("'["&amp;G107&amp;"]"&amp;E107&amp;"'!"&amp;$AA$3),0)</f>
        <v>#VALUE!</v>
      </c>
      <c r="P107" s="34" t="e" cm="1">
        <f t="array" aca="1" ref="P107" ca="1">IF(AND(G107=INDIRECT("'["&amp;G107&amp;"]"&amp;E107&amp;"'!"&amp;$AH$2),OR(VALUE(I107)=INDIRECT("'["&amp;G107&amp;"]"&amp;E107&amp;"'!"&amp;$AB$2))),INDIRECT("'["&amp;G107&amp;"]"&amp;E107&amp;"'!"&amp;$AB$3),0)</f>
        <v>#VALUE!</v>
      </c>
      <c r="Q107" s="34" t="e" cm="1">
        <f t="array" aca="1" ref="Q107" ca="1">IF(AND(G107=INDIRECT("'["&amp;G107&amp;"]"&amp;E107&amp;"'!"&amp;$AH$2),OR(VALUE(I107)=INDIRECT("'["&amp;G107&amp;"]"&amp;E107&amp;"'!"&amp;$AC$2))),INDIRECT("'["&amp;G107&amp;"]"&amp;E107&amp;"'!"&amp;$AC$3),0)</f>
        <v>#VALUE!</v>
      </c>
      <c r="R107" s="34" t="e" cm="1">
        <f t="array" aca="1" ref="R107" ca="1">IF(AND(G107=INDIRECT("'["&amp;G107&amp;"]"&amp;E107&amp;"'!"&amp;$AH$2),OR(I107=INDIRECT("'["&amp;G107&amp;"]"&amp;E107&amp;"'!"&amp;$AD$2))),INDIRECT("'["&amp;G107&amp;"]"&amp;E107&amp;"'!"&amp;$AD$3),0)</f>
        <v>#VALUE!</v>
      </c>
      <c r="S107" s="34" t="e" cm="1">
        <f t="array" aca="1" ref="S107" ca="1">IF(AND(G107=INDIRECT("'["&amp;G107&amp;"]"&amp;E107&amp;"'!"&amp;$AH$2),OR(I107=INDIRECT("'["&amp;G107&amp;"]"&amp;E107&amp;"'!"&amp;$AE$2))),INDIRECT("'["&amp;G107&amp;"]"&amp;E107&amp;"'!"&amp;$AE$3),0)</f>
        <v>#VALUE!</v>
      </c>
      <c r="T107" s="35" t="e" cm="1">
        <f t="array" aca="1" ref="T107" ca="1">IF(AND(G107=INDIRECT("'["&amp;G107&amp;"]"&amp;E107&amp;"'!"&amp;$AH$2),OR(I107=INDIRECT("'["&amp;G107&amp;"]"&amp;E107&amp;"'!"&amp;$AF$2))),INDIRECT("'["&amp;G107&amp;"]"&amp;E107&amp;"'!"&amp;$AF$3),0)</f>
        <v>#VALUE!</v>
      </c>
      <c r="U107" s="34" t="e" cm="1">
        <f t="array" aca="1" ref="U107" ca="1">IF(AND(G107=INDIRECT("'["&amp;G107&amp;"]"&amp;E107&amp;"'!"&amp;$AH$2),OR(I107=INDIRECT("'["&amp;G107&amp;"]"&amp;E107&amp;"'!"&amp;$AG$2))),INDIRECT("'["&amp;G107&amp;"]"&amp;E107&amp;"'!"&amp;$AG$3),0)</f>
        <v>#VALUE!</v>
      </c>
      <c r="V107" s="25" t="str">
        <f t="shared" si="34"/>
        <v/>
      </c>
      <c r="W107" s="36" t="e" cm="1">
        <f t="array" aca="1" ref="W107" ca="1">IF(AND(G107=INDIRECT("'["&amp;G107&amp;"]"&amp;E107&amp;"'!"&amp;$AH$2),OR(V107=INDIRECT("'["&amp;G107&amp;"]"&amp;E107&amp;"'!"&amp;$AI$2))),INDIRECT("'["&amp;G107&amp;"]"&amp;E107&amp;"'!"&amp;$AI$3),0)</f>
        <v>#VALUE!</v>
      </c>
      <c r="AJ107" s="25">
        <v>1</v>
      </c>
      <c r="AK107" s="38">
        <f t="shared" ca="1" si="35"/>
        <v>0</v>
      </c>
      <c r="AL107" s="38">
        <f t="shared" ca="1" si="36"/>
        <v>0</v>
      </c>
      <c r="AM107" s="54" t="str">
        <f t="shared" ca="1" si="27"/>
        <v/>
      </c>
      <c r="AN107" s="25" t="e">
        <f t="shared" ca="1" si="37"/>
        <v>#VALUE!</v>
      </c>
      <c r="AO107" s="25" t="e">
        <f t="shared" ca="1" si="38"/>
        <v>#VALUE!</v>
      </c>
      <c r="AP107" s="39" t="str">
        <f t="shared" ca="1" si="28"/>
        <v/>
      </c>
      <c r="AQ107" s="46" t="str">
        <f ca="1">IF(AND(C107&lt;&gt;0, C108=0), SUM($C$2:C107)-SUM($AQ$1:AQ106), "")</f>
        <v/>
      </c>
      <c r="AR107" s="46" t="str">
        <f ca="1">IF(AND(AK107&lt;&gt;0, AK108=0), SUM($AK$2:AK107)-SUM($AR$1:AR106), "")</f>
        <v/>
      </c>
    </row>
    <row r="108" spans="1:44" ht="13.15" customHeight="1">
      <c r="A108" s="31"/>
      <c r="B108" s="68" t="str">
        <f t="shared" si="41"/>
        <v/>
      </c>
      <c r="C108" s="55" cm="1">
        <f t="array" aca="1" ref="C108" ca="1">SUM(IF(ISNUMBER(M108:U108),M108:U108,""))</f>
        <v>0</v>
      </c>
      <c r="D108" s="25" t="str">
        <f t="shared" si="43"/>
        <v/>
      </c>
      <c r="E108" s="25" t="e">
        <f t="shared" si="29"/>
        <v>#VALUE!</v>
      </c>
      <c r="F108" s="25" t="str">
        <f t="shared" si="42"/>
        <v/>
      </c>
      <c r="G108" s="25" t="str">
        <f t="shared" si="26"/>
        <v>.xlsx</v>
      </c>
      <c r="H108" s="29" t="e" cm="1">
        <f t="array" aca="1" ref="H108" ca="1">IF(AND(VALUE(E108)=INDIRECT("'["&amp;G108&amp;"]"&amp;E108&amp;"'!"&amp;$X$2),G108=INDIRECT("'["&amp;G108&amp;"]"&amp;E108&amp;"'!"&amp;$X$3)),INDIRECT("'["&amp;G108&amp;"]"&amp;E108&amp;"'!"&amp;$X$1),0)</f>
        <v>#VALUE!</v>
      </c>
      <c r="I108" s="25" t="str">
        <f t="shared" si="30"/>
        <v/>
      </c>
      <c r="J108" s="32" t="str">
        <f t="shared" si="31"/>
        <v/>
      </c>
      <c r="K108" s="25" t="str">
        <f t="shared" si="32"/>
        <v/>
      </c>
      <c r="L108" s="25" t="str">
        <f t="shared" si="33"/>
        <v/>
      </c>
      <c r="M108" s="33" t="e" cm="1">
        <f t="array" aca="1" ref="M108" ca="1">IF(AND(J108=INDIRECT("'["&amp;G108&amp;"]"&amp;E108&amp;"'!"&amp;$Y$2),G108=INDIRECT("'["&amp;G108&amp;"]"&amp;E108&amp;"'!"&amp;$AH$2)),INDIRECT("'["&amp;G108&amp;"]"&amp;E108&amp;"'!"&amp;$Y$3),0)</f>
        <v>#VALUE!</v>
      </c>
      <c r="N108" s="34" t="e" cm="1">
        <f t="array" aca="1" ref="N108" ca="1">IF(AND(G108=INDIRECT("'["&amp;G108&amp;"]"&amp;E108&amp;"'!"&amp;$AH$2),OR(K108=INDIRECT("'["&amp;G108&amp;"]"&amp;E108&amp;"'!"&amp;$Z$2))),INDIRECT("'["&amp;G108&amp;"]"&amp;E108&amp;"'!"&amp;$Z$3),0)</f>
        <v>#VALUE!</v>
      </c>
      <c r="O108" s="34" t="e" cm="1">
        <f t="array" aca="1" ref="O108" ca="1">IF(AND(G108=INDIRECT("'["&amp;G108&amp;"]"&amp;E108&amp;"'!"&amp;$AH$2),OR(L108=INDIRECT("'["&amp;G108&amp;"]"&amp;E108&amp;"'!"&amp;$AA$2))),INDIRECT("'["&amp;G108&amp;"]"&amp;E108&amp;"'!"&amp;$AA$3),0)</f>
        <v>#VALUE!</v>
      </c>
      <c r="P108" s="34" t="e" cm="1">
        <f t="array" aca="1" ref="P108" ca="1">IF(AND(G108=INDIRECT("'["&amp;G108&amp;"]"&amp;E108&amp;"'!"&amp;$AH$2),OR(VALUE(I108)=INDIRECT("'["&amp;G108&amp;"]"&amp;E108&amp;"'!"&amp;$AB$2))),INDIRECT("'["&amp;G108&amp;"]"&amp;E108&amp;"'!"&amp;$AB$3),0)</f>
        <v>#VALUE!</v>
      </c>
      <c r="Q108" s="34" t="e" cm="1">
        <f t="array" aca="1" ref="Q108" ca="1">IF(AND(G108=INDIRECT("'["&amp;G108&amp;"]"&amp;E108&amp;"'!"&amp;$AH$2),OR(VALUE(I108)=INDIRECT("'["&amp;G108&amp;"]"&amp;E108&amp;"'!"&amp;$AC$2))),INDIRECT("'["&amp;G108&amp;"]"&amp;E108&amp;"'!"&amp;$AC$3),0)</f>
        <v>#VALUE!</v>
      </c>
      <c r="R108" s="34" t="e" cm="1">
        <f t="array" aca="1" ref="R108" ca="1">IF(AND(G108=INDIRECT("'["&amp;G108&amp;"]"&amp;E108&amp;"'!"&amp;$AH$2),OR(I108=INDIRECT("'["&amp;G108&amp;"]"&amp;E108&amp;"'!"&amp;$AD$2))),INDIRECT("'["&amp;G108&amp;"]"&amp;E108&amp;"'!"&amp;$AD$3),0)</f>
        <v>#VALUE!</v>
      </c>
      <c r="S108" s="34" t="e" cm="1">
        <f t="array" aca="1" ref="S108" ca="1">IF(AND(G108=INDIRECT("'["&amp;G108&amp;"]"&amp;E108&amp;"'!"&amp;$AH$2),OR(I108=INDIRECT("'["&amp;G108&amp;"]"&amp;E108&amp;"'!"&amp;$AE$2))),INDIRECT("'["&amp;G108&amp;"]"&amp;E108&amp;"'!"&amp;$AE$3),0)</f>
        <v>#VALUE!</v>
      </c>
      <c r="T108" s="35" t="e" cm="1">
        <f t="array" aca="1" ref="T108" ca="1">IF(AND(G108=INDIRECT("'["&amp;G108&amp;"]"&amp;E108&amp;"'!"&amp;$AH$2),OR(I108=INDIRECT("'["&amp;G108&amp;"]"&amp;E108&amp;"'!"&amp;$AF$2))),INDIRECT("'["&amp;G108&amp;"]"&amp;E108&amp;"'!"&amp;$AF$3),0)</f>
        <v>#VALUE!</v>
      </c>
      <c r="U108" s="34" t="e" cm="1">
        <f t="array" aca="1" ref="U108" ca="1">IF(AND(G108=INDIRECT("'["&amp;G108&amp;"]"&amp;E108&amp;"'!"&amp;$AH$2),OR(I108=INDIRECT("'["&amp;G108&amp;"]"&amp;E108&amp;"'!"&amp;$AG$2))),INDIRECT("'["&amp;G108&amp;"]"&amp;E108&amp;"'!"&amp;$AG$3),0)</f>
        <v>#VALUE!</v>
      </c>
      <c r="V108" s="25" t="str">
        <f t="shared" si="34"/>
        <v/>
      </c>
      <c r="W108" s="36" t="e" cm="1">
        <f t="array" aca="1" ref="W108" ca="1">IF(AND(G108=INDIRECT("'["&amp;G108&amp;"]"&amp;E108&amp;"'!"&amp;$AH$2),OR(V108=INDIRECT("'["&amp;G108&amp;"]"&amp;E108&amp;"'!"&amp;$AI$2))),INDIRECT("'["&amp;G108&amp;"]"&amp;E108&amp;"'!"&amp;$AI$3),0)</f>
        <v>#VALUE!</v>
      </c>
      <c r="AJ108" s="25">
        <v>1</v>
      </c>
      <c r="AK108" s="38">
        <f t="shared" ca="1" si="35"/>
        <v>0</v>
      </c>
      <c r="AL108" s="38">
        <f t="shared" ca="1" si="36"/>
        <v>0</v>
      </c>
      <c r="AM108" s="54" t="str">
        <f t="shared" ca="1" si="27"/>
        <v/>
      </c>
      <c r="AN108" s="25" t="e">
        <f t="shared" ca="1" si="37"/>
        <v>#VALUE!</v>
      </c>
      <c r="AO108" s="25" t="e">
        <f t="shared" ca="1" si="38"/>
        <v>#VALUE!</v>
      </c>
      <c r="AP108" s="39" t="str">
        <f t="shared" ca="1" si="28"/>
        <v/>
      </c>
      <c r="AQ108" s="46" t="str">
        <f ca="1">IF(AND(C108&lt;&gt;0, C109=0), SUM($C$2:C108)-SUM($AQ$1:AQ107), "")</f>
        <v/>
      </c>
      <c r="AR108" s="46" t="str">
        <f ca="1">IF(AND(AK108&lt;&gt;0, AK109=0), SUM($AK$2:AK108)-SUM($AR$1:AR107), "")</f>
        <v/>
      </c>
    </row>
    <row r="109" spans="1:44" ht="13.15" customHeight="1">
      <c r="A109" s="31"/>
      <c r="B109" s="68" t="str">
        <f t="shared" si="41"/>
        <v/>
      </c>
      <c r="C109" s="55" cm="1">
        <f t="array" aca="1" ref="C109" ca="1">SUM(IF(ISNUMBER(M109:U109),M109:U109,""))</f>
        <v>0</v>
      </c>
      <c r="D109" s="25" t="str">
        <f t="shared" si="43"/>
        <v/>
      </c>
      <c r="E109" s="25" t="e">
        <f t="shared" si="29"/>
        <v>#VALUE!</v>
      </c>
      <c r="F109" s="25" t="str">
        <f t="shared" si="42"/>
        <v/>
      </c>
      <c r="G109" s="25" t="str">
        <f t="shared" si="26"/>
        <v>.xlsx</v>
      </c>
      <c r="H109" s="29" t="e" cm="1">
        <f t="array" aca="1" ref="H109" ca="1">IF(AND(VALUE(E109)=INDIRECT("'["&amp;G109&amp;"]"&amp;E109&amp;"'!"&amp;$X$2),G109=INDIRECT("'["&amp;G109&amp;"]"&amp;E109&amp;"'!"&amp;$X$3)),INDIRECT("'["&amp;G109&amp;"]"&amp;E109&amp;"'!"&amp;$X$1),0)</f>
        <v>#VALUE!</v>
      </c>
      <c r="I109" s="25" t="str">
        <f t="shared" si="30"/>
        <v/>
      </c>
      <c r="J109" s="32" t="str">
        <f t="shared" si="31"/>
        <v/>
      </c>
      <c r="K109" s="25" t="str">
        <f t="shared" si="32"/>
        <v/>
      </c>
      <c r="L109" s="25" t="str">
        <f t="shared" si="33"/>
        <v/>
      </c>
      <c r="M109" s="33" t="e" cm="1">
        <f t="array" aca="1" ref="M109" ca="1">IF(AND(J109=INDIRECT("'["&amp;G109&amp;"]"&amp;E109&amp;"'!"&amp;$Y$2),G109=INDIRECT("'["&amp;G109&amp;"]"&amp;E109&amp;"'!"&amp;$AH$2)),INDIRECT("'["&amp;G109&amp;"]"&amp;E109&amp;"'!"&amp;$Y$3),0)</f>
        <v>#VALUE!</v>
      </c>
      <c r="N109" s="34" t="e" cm="1">
        <f t="array" aca="1" ref="N109" ca="1">IF(AND(G109=INDIRECT("'["&amp;G109&amp;"]"&amp;E109&amp;"'!"&amp;$AH$2),OR(K109=INDIRECT("'["&amp;G109&amp;"]"&amp;E109&amp;"'!"&amp;$Z$2))),INDIRECT("'["&amp;G109&amp;"]"&amp;E109&amp;"'!"&amp;$Z$3),0)</f>
        <v>#VALUE!</v>
      </c>
      <c r="O109" s="34" t="e" cm="1">
        <f t="array" aca="1" ref="O109" ca="1">IF(AND(G109=INDIRECT("'["&amp;G109&amp;"]"&amp;E109&amp;"'!"&amp;$AH$2),OR(L109=INDIRECT("'["&amp;G109&amp;"]"&amp;E109&amp;"'!"&amp;$AA$2))),INDIRECT("'["&amp;G109&amp;"]"&amp;E109&amp;"'!"&amp;$AA$3),0)</f>
        <v>#VALUE!</v>
      </c>
      <c r="P109" s="34" t="e" cm="1">
        <f t="array" aca="1" ref="P109" ca="1">IF(AND(G109=INDIRECT("'["&amp;G109&amp;"]"&amp;E109&amp;"'!"&amp;$AH$2),OR(VALUE(I109)=INDIRECT("'["&amp;G109&amp;"]"&amp;E109&amp;"'!"&amp;$AB$2))),INDIRECT("'["&amp;G109&amp;"]"&amp;E109&amp;"'!"&amp;$AB$3),0)</f>
        <v>#VALUE!</v>
      </c>
      <c r="Q109" s="34" t="e" cm="1">
        <f t="array" aca="1" ref="Q109" ca="1">IF(AND(G109=INDIRECT("'["&amp;G109&amp;"]"&amp;E109&amp;"'!"&amp;$AH$2),OR(VALUE(I109)=INDIRECT("'["&amp;G109&amp;"]"&amp;E109&amp;"'!"&amp;$AC$2))),INDIRECT("'["&amp;G109&amp;"]"&amp;E109&amp;"'!"&amp;$AC$3),0)</f>
        <v>#VALUE!</v>
      </c>
      <c r="R109" s="34" t="e" cm="1">
        <f t="array" aca="1" ref="R109" ca="1">IF(AND(G109=INDIRECT("'["&amp;G109&amp;"]"&amp;E109&amp;"'!"&amp;$AH$2),OR(I109=INDIRECT("'["&amp;G109&amp;"]"&amp;E109&amp;"'!"&amp;$AD$2))),INDIRECT("'["&amp;G109&amp;"]"&amp;E109&amp;"'!"&amp;$AD$3),0)</f>
        <v>#VALUE!</v>
      </c>
      <c r="S109" s="34" t="e" cm="1">
        <f t="array" aca="1" ref="S109" ca="1">IF(AND(G109=INDIRECT("'["&amp;G109&amp;"]"&amp;E109&amp;"'!"&amp;$AH$2),OR(I109=INDIRECT("'["&amp;G109&amp;"]"&amp;E109&amp;"'!"&amp;$AE$2))),INDIRECT("'["&amp;G109&amp;"]"&amp;E109&amp;"'!"&amp;$AE$3),0)</f>
        <v>#VALUE!</v>
      </c>
      <c r="T109" s="35" t="e" cm="1">
        <f t="array" aca="1" ref="T109" ca="1">IF(AND(G109=INDIRECT("'["&amp;G109&amp;"]"&amp;E109&amp;"'!"&amp;$AH$2),OR(I109=INDIRECT("'["&amp;G109&amp;"]"&amp;E109&amp;"'!"&amp;$AF$2))),INDIRECT("'["&amp;G109&amp;"]"&amp;E109&amp;"'!"&amp;$AF$3),0)</f>
        <v>#VALUE!</v>
      </c>
      <c r="U109" s="34" t="e" cm="1">
        <f t="array" aca="1" ref="U109" ca="1">IF(AND(G109=INDIRECT("'["&amp;G109&amp;"]"&amp;E109&amp;"'!"&amp;$AH$2),OR(I109=INDIRECT("'["&amp;G109&amp;"]"&amp;E109&amp;"'!"&amp;$AG$2))),INDIRECT("'["&amp;G109&amp;"]"&amp;E109&amp;"'!"&amp;$AG$3),0)</f>
        <v>#VALUE!</v>
      </c>
      <c r="V109" s="25" t="str">
        <f t="shared" si="34"/>
        <v/>
      </c>
      <c r="W109" s="36" t="e" cm="1">
        <f t="array" aca="1" ref="W109" ca="1">IF(AND(G109=INDIRECT("'["&amp;G109&amp;"]"&amp;E109&amp;"'!"&amp;$AH$2),OR(V109=INDIRECT("'["&amp;G109&amp;"]"&amp;E109&amp;"'!"&amp;$AI$2))),INDIRECT("'["&amp;G109&amp;"]"&amp;E109&amp;"'!"&amp;$AI$3),0)</f>
        <v>#VALUE!</v>
      </c>
      <c r="AJ109" s="25">
        <v>1</v>
      </c>
      <c r="AK109" s="38">
        <f t="shared" ca="1" si="35"/>
        <v>0</v>
      </c>
      <c r="AL109" s="38">
        <f t="shared" ca="1" si="36"/>
        <v>0</v>
      </c>
      <c r="AM109" s="54" t="str">
        <f t="shared" ca="1" si="27"/>
        <v/>
      </c>
      <c r="AN109" s="25" t="e">
        <f t="shared" ca="1" si="37"/>
        <v>#VALUE!</v>
      </c>
      <c r="AO109" s="25" t="e">
        <f t="shared" ca="1" si="38"/>
        <v>#VALUE!</v>
      </c>
      <c r="AP109" s="39" t="str">
        <f t="shared" ca="1" si="28"/>
        <v/>
      </c>
      <c r="AQ109" s="46" t="str">
        <f ca="1">IF(AND(C109&lt;&gt;0, C110=0), SUM($C$2:C109)-SUM($AQ$1:AQ108), "")</f>
        <v/>
      </c>
      <c r="AR109" s="46" t="str">
        <f ca="1">IF(AND(AK109&lt;&gt;0, AK110=0), SUM($AK$2:AK109)-SUM($AR$1:AR108), "")</f>
        <v/>
      </c>
    </row>
    <row r="110" spans="1:44" ht="13.15" customHeight="1">
      <c r="A110" s="31"/>
      <c r="B110" s="68" t="str">
        <f t="shared" si="41"/>
        <v/>
      </c>
      <c r="C110" s="55" cm="1">
        <f t="array" aca="1" ref="C110" ca="1">SUM(IF(ISNUMBER(M110:U110),M110:U110,""))</f>
        <v>0</v>
      </c>
      <c r="D110" s="25" t="str">
        <f t="shared" si="43"/>
        <v/>
      </c>
      <c r="E110" s="25" t="e">
        <f t="shared" si="29"/>
        <v>#VALUE!</v>
      </c>
      <c r="F110" s="25" t="str">
        <f t="shared" si="42"/>
        <v/>
      </c>
      <c r="G110" s="25" t="str">
        <f t="shared" si="26"/>
        <v>.xlsx</v>
      </c>
      <c r="H110" s="29" t="e" cm="1">
        <f t="array" aca="1" ref="H110" ca="1">IF(AND(VALUE(E110)=INDIRECT("'["&amp;G110&amp;"]"&amp;E110&amp;"'!"&amp;$X$2),G110=INDIRECT("'["&amp;G110&amp;"]"&amp;E110&amp;"'!"&amp;$X$3)),INDIRECT("'["&amp;G110&amp;"]"&amp;E110&amp;"'!"&amp;$X$1),0)</f>
        <v>#VALUE!</v>
      </c>
      <c r="I110" s="25" t="str">
        <f t="shared" si="30"/>
        <v/>
      </c>
      <c r="J110" s="32" t="str">
        <f t="shared" si="31"/>
        <v/>
      </c>
      <c r="K110" s="25" t="str">
        <f t="shared" si="32"/>
        <v/>
      </c>
      <c r="L110" s="25" t="str">
        <f t="shared" si="33"/>
        <v/>
      </c>
      <c r="M110" s="33" t="e" cm="1">
        <f t="array" aca="1" ref="M110" ca="1">IF(AND(J110=INDIRECT("'["&amp;G110&amp;"]"&amp;E110&amp;"'!"&amp;$Y$2),G110=INDIRECT("'["&amp;G110&amp;"]"&amp;E110&amp;"'!"&amp;$AH$2)),INDIRECT("'["&amp;G110&amp;"]"&amp;E110&amp;"'!"&amp;$Y$3),0)</f>
        <v>#VALUE!</v>
      </c>
      <c r="N110" s="34" t="e" cm="1">
        <f t="array" aca="1" ref="N110" ca="1">IF(AND(G110=INDIRECT("'["&amp;G110&amp;"]"&amp;E110&amp;"'!"&amp;$AH$2),OR(K110=INDIRECT("'["&amp;G110&amp;"]"&amp;E110&amp;"'!"&amp;$Z$2))),INDIRECT("'["&amp;G110&amp;"]"&amp;E110&amp;"'!"&amp;$Z$3),0)</f>
        <v>#VALUE!</v>
      </c>
      <c r="O110" s="34" t="e" cm="1">
        <f t="array" aca="1" ref="O110" ca="1">IF(AND(G110=INDIRECT("'["&amp;G110&amp;"]"&amp;E110&amp;"'!"&amp;$AH$2),OR(L110=INDIRECT("'["&amp;G110&amp;"]"&amp;E110&amp;"'!"&amp;$AA$2))),INDIRECT("'["&amp;G110&amp;"]"&amp;E110&amp;"'!"&amp;$AA$3),0)</f>
        <v>#VALUE!</v>
      </c>
      <c r="P110" s="34" t="e" cm="1">
        <f t="array" aca="1" ref="P110" ca="1">IF(AND(G110=INDIRECT("'["&amp;G110&amp;"]"&amp;E110&amp;"'!"&amp;$AH$2),OR(VALUE(I110)=INDIRECT("'["&amp;G110&amp;"]"&amp;E110&amp;"'!"&amp;$AB$2))),INDIRECT("'["&amp;G110&amp;"]"&amp;E110&amp;"'!"&amp;$AB$3),0)</f>
        <v>#VALUE!</v>
      </c>
      <c r="Q110" s="34" t="e" cm="1">
        <f t="array" aca="1" ref="Q110" ca="1">IF(AND(G110=INDIRECT("'["&amp;G110&amp;"]"&amp;E110&amp;"'!"&amp;$AH$2),OR(VALUE(I110)=INDIRECT("'["&amp;G110&amp;"]"&amp;E110&amp;"'!"&amp;$AC$2))),INDIRECT("'["&amp;G110&amp;"]"&amp;E110&amp;"'!"&amp;$AC$3),0)</f>
        <v>#VALUE!</v>
      </c>
      <c r="R110" s="34" t="e" cm="1">
        <f t="array" aca="1" ref="R110" ca="1">IF(AND(G110=INDIRECT("'["&amp;G110&amp;"]"&amp;E110&amp;"'!"&amp;$AH$2),OR(I110=INDIRECT("'["&amp;G110&amp;"]"&amp;E110&amp;"'!"&amp;$AD$2))),INDIRECT("'["&amp;G110&amp;"]"&amp;E110&amp;"'!"&amp;$AD$3),0)</f>
        <v>#VALUE!</v>
      </c>
      <c r="S110" s="34" t="e" cm="1">
        <f t="array" aca="1" ref="S110" ca="1">IF(AND(G110=INDIRECT("'["&amp;G110&amp;"]"&amp;E110&amp;"'!"&amp;$AH$2),OR(I110=INDIRECT("'["&amp;G110&amp;"]"&amp;E110&amp;"'!"&amp;$AE$2))),INDIRECT("'["&amp;G110&amp;"]"&amp;E110&amp;"'!"&amp;$AE$3),0)</f>
        <v>#VALUE!</v>
      </c>
      <c r="T110" s="35" t="e" cm="1">
        <f t="array" aca="1" ref="T110" ca="1">IF(AND(G110=INDIRECT("'["&amp;G110&amp;"]"&amp;E110&amp;"'!"&amp;$AH$2),OR(I110=INDIRECT("'["&amp;G110&amp;"]"&amp;E110&amp;"'!"&amp;$AF$2))),INDIRECT("'["&amp;G110&amp;"]"&amp;E110&amp;"'!"&amp;$AF$3),0)</f>
        <v>#VALUE!</v>
      </c>
      <c r="U110" s="34" t="e" cm="1">
        <f t="array" aca="1" ref="U110" ca="1">IF(AND(G110=INDIRECT("'["&amp;G110&amp;"]"&amp;E110&amp;"'!"&amp;$AH$2),OR(I110=INDIRECT("'["&amp;G110&amp;"]"&amp;E110&amp;"'!"&amp;$AG$2))),INDIRECT("'["&amp;G110&amp;"]"&amp;E110&amp;"'!"&amp;$AG$3),0)</f>
        <v>#VALUE!</v>
      </c>
      <c r="V110" s="25" t="str">
        <f t="shared" si="34"/>
        <v/>
      </c>
      <c r="W110" s="36" t="e" cm="1">
        <f t="array" aca="1" ref="W110" ca="1">IF(AND(G110=INDIRECT("'["&amp;G110&amp;"]"&amp;E110&amp;"'!"&amp;$AH$2),OR(V110=INDIRECT("'["&amp;G110&amp;"]"&amp;E110&amp;"'!"&amp;$AI$2))),INDIRECT("'["&amp;G110&amp;"]"&amp;E110&amp;"'!"&amp;$AI$3),0)</f>
        <v>#VALUE!</v>
      </c>
      <c r="AJ110" s="25">
        <v>1</v>
      </c>
      <c r="AK110" s="38">
        <f t="shared" ca="1" si="35"/>
        <v>0</v>
      </c>
      <c r="AL110" s="38">
        <f t="shared" ca="1" si="36"/>
        <v>0</v>
      </c>
      <c r="AM110" s="54" t="str">
        <f t="shared" ca="1" si="27"/>
        <v/>
      </c>
      <c r="AN110" s="25" t="e">
        <f t="shared" ca="1" si="37"/>
        <v>#VALUE!</v>
      </c>
      <c r="AO110" s="25" t="e">
        <f t="shared" ca="1" si="38"/>
        <v>#VALUE!</v>
      </c>
      <c r="AP110" s="39" t="str">
        <f t="shared" ca="1" si="28"/>
        <v/>
      </c>
      <c r="AQ110" s="46" t="str">
        <f ca="1">IF(AND(C110&lt;&gt;0, C111=0), SUM($C$2:C110)-SUM($AQ$1:AQ109), "")</f>
        <v/>
      </c>
      <c r="AR110" s="46" t="str">
        <f ca="1">IF(AND(AK110&lt;&gt;0, AK111=0), SUM($AK$2:AK110)-SUM($AR$1:AR109), "")</f>
        <v/>
      </c>
    </row>
    <row r="111" spans="1:44" ht="13.15" customHeight="1">
      <c r="A111" s="31"/>
      <c r="B111" s="68" t="str">
        <f t="shared" si="41"/>
        <v/>
      </c>
      <c r="C111" s="55" cm="1">
        <f t="array" aca="1" ref="C111" ca="1">SUM(IF(ISNUMBER(M111:U111),M111:U111,""))</f>
        <v>0</v>
      </c>
      <c r="D111" s="25" t="str">
        <f t="shared" si="43"/>
        <v/>
      </c>
      <c r="E111" s="25" t="e">
        <f t="shared" si="29"/>
        <v>#VALUE!</v>
      </c>
      <c r="F111" s="25" t="str">
        <f t="shared" si="42"/>
        <v/>
      </c>
      <c r="G111" s="25" t="str">
        <f t="shared" si="26"/>
        <v>.xlsx</v>
      </c>
      <c r="H111" s="29" t="e" cm="1">
        <f t="array" aca="1" ref="H111" ca="1">IF(AND(VALUE(E111)=INDIRECT("'["&amp;G111&amp;"]"&amp;E111&amp;"'!"&amp;$X$2),G111=INDIRECT("'["&amp;G111&amp;"]"&amp;E111&amp;"'!"&amp;$X$3)),INDIRECT("'["&amp;G111&amp;"]"&amp;E111&amp;"'!"&amp;$X$1),0)</f>
        <v>#VALUE!</v>
      </c>
      <c r="I111" s="25" t="str">
        <f t="shared" si="30"/>
        <v/>
      </c>
      <c r="J111" s="32" t="str">
        <f t="shared" si="31"/>
        <v/>
      </c>
      <c r="K111" s="25" t="str">
        <f t="shared" si="32"/>
        <v/>
      </c>
      <c r="L111" s="25" t="str">
        <f t="shared" si="33"/>
        <v/>
      </c>
      <c r="M111" s="33" t="e" cm="1">
        <f t="array" aca="1" ref="M111" ca="1">IF(AND(J111=INDIRECT("'["&amp;G111&amp;"]"&amp;E111&amp;"'!"&amp;$Y$2),G111=INDIRECT("'["&amp;G111&amp;"]"&amp;E111&amp;"'!"&amp;$AH$2)),INDIRECT("'["&amp;G111&amp;"]"&amp;E111&amp;"'!"&amp;$Y$3),0)</f>
        <v>#VALUE!</v>
      </c>
      <c r="N111" s="34" t="e" cm="1">
        <f t="array" aca="1" ref="N111" ca="1">IF(AND(G111=INDIRECT("'["&amp;G111&amp;"]"&amp;E111&amp;"'!"&amp;$AH$2),OR(K111=INDIRECT("'["&amp;G111&amp;"]"&amp;E111&amp;"'!"&amp;$Z$2))),INDIRECT("'["&amp;G111&amp;"]"&amp;E111&amp;"'!"&amp;$Z$3),0)</f>
        <v>#VALUE!</v>
      </c>
      <c r="O111" s="34" t="e" cm="1">
        <f t="array" aca="1" ref="O111" ca="1">IF(AND(G111=INDIRECT("'["&amp;G111&amp;"]"&amp;E111&amp;"'!"&amp;$AH$2),OR(L111=INDIRECT("'["&amp;G111&amp;"]"&amp;E111&amp;"'!"&amp;$AA$2))),INDIRECT("'["&amp;G111&amp;"]"&amp;E111&amp;"'!"&amp;$AA$3),0)</f>
        <v>#VALUE!</v>
      </c>
      <c r="P111" s="34" t="e" cm="1">
        <f t="array" aca="1" ref="P111" ca="1">IF(AND(G111=INDIRECT("'["&amp;G111&amp;"]"&amp;E111&amp;"'!"&amp;$AH$2),OR(VALUE(I111)=INDIRECT("'["&amp;G111&amp;"]"&amp;E111&amp;"'!"&amp;$AB$2))),INDIRECT("'["&amp;G111&amp;"]"&amp;E111&amp;"'!"&amp;$AB$3),0)</f>
        <v>#VALUE!</v>
      </c>
      <c r="Q111" s="34" t="e" cm="1">
        <f t="array" aca="1" ref="Q111" ca="1">IF(AND(G111=INDIRECT("'["&amp;G111&amp;"]"&amp;E111&amp;"'!"&amp;$AH$2),OR(VALUE(I111)=INDIRECT("'["&amp;G111&amp;"]"&amp;E111&amp;"'!"&amp;$AC$2))),INDIRECT("'["&amp;G111&amp;"]"&amp;E111&amp;"'!"&amp;$AC$3),0)</f>
        <v>#VALUE!</v>
      </c>
      <c r="R111" s="34" t="e" cm="1">
        <f t="array" aca="1" ref="R111" ca="1">IF(AND(G111=INDIRECT("'["&amp;G111&amp;"]"&amp;E111&amp;"'!"&amp;$AH$2),OR(I111=INDIRECT("'["&amp;G111&amp;"]"&amp;E111&amp;"'!"&amp;$AD$2))),INDIRECT("'["&amp;G111&amp;"]"&amp;E111&amp;"'!"&amp;$AD$3),0)</f>
        <v>#VALUE!</v>
      </c>
      <c r="S111" s="34" t="e" cm="1">
        <f t="array" aca="1" ref="S111" ca="1">IF(AND(G111=INDIRECT("'["&amp;G111&amp;"]"&amp;E111&amp;"'!"&amp;$AH$2),OR(I111=INDIRECT("'["&amp;G111&amp;"]"&amp;E111&amp;"'!"&amp;$AE$2))),INDIRECT("'["&amp;G111&amp;"]"&amp;E111&amp;"'!"&amp;$AE$3),0)</f>
        <v>#VALUE!</v>
      </c>
      <c r="T111" s="35" t="e" cm="1">
        <f t="array" aca="1" ref="T111" ca="1">IF(AND(G111=INDIRECT("'["&amp;G111&amp;"]"&amp;E111&amp;"'!"&amp;$AH$2),OR(I111=INDIRECT("'["&amp;G111&amp;"]"&amp;E111&amp;"'!"&amp;$AF$2))),INDIRECT("'["&amp;G111&amp;"]"&amp;E111&amp;"'!"&amp;$AF$3),0)</f>
        <v>#VALUE!</v>
      </c>
      <c r="U111" s="34" t="e" cm="1">
        <f t="array" aca="1" ref="U111" ca="1">IF(AND(G111=INDIRECT("'["&amp;G111&amp;"]"&amp;E111&amp;"'!"&amp;$AH$2),OR(I111=INDIRECT("'["&amp;G111&amp;"]"&amp;E111&amp;"'!"&amp;$AG$2))),INDIRECT("'["&amp;G111&amp;"]"&amp;E111&amp;"'!"&amp;$AG$3),0)</f>
        <v>#VALUE!</v>
      </c>
      <c r="V111" s="25" t="str">
        <f t="shared" si="34"/>
        <v/>
      </c>
      <c r="W111" s="36" t="e" cm="1">
        <f t="array" aca="1" ref="W111" ca="1">IF(AND(G111=INDIRECT("'["&amp;G111&amp;"]"&amp;E111&amp;"'!"&amp;$AH$2),OR(V111=INDIRECT("'["&amp;G111&amp;"]"&amp;E111&amp;"'!"&amp;$AI$2))),INDIRECT("'["&amp;G111&amp;"]"&amp;E111&amp;"'!"&amp;$AI$3),0)</f>
        <v>#VALUE!</v>
      </c>
      <c r="AJ111" s="25">
        <v>1</v>
      </c>
      <c r="AK111" s="38">
        <f t="shared" ca="1" si="35"/>
        <v>0</v>
      </c>
      <c r="AL111" s="38">
        <f t="shared" ca="1" si="36"/>
        <v>0</v>
      </c>
      <c r="AM111" s="54" t="str">
        <f t="shared" ca="1" si="27"/>
        <v/>
      </c>
      <c r="AN111" s="25" t="e">
        <f t="shared" ca="1" si="37"/>
        <v>#VALUE!</v>
      </c>
      <c r="AO111" s="25" t="e">
        <f t="shared" ca="1" si="38"/>
        <v>#VALUE!</v>
      </c>
      <c r="AP111" s="39" t="str">
        <f t="shared" ca="1" si="28"/>
        <v/>
      </c>
      <c r="AQ111" s="46" t="str">
        <f ca="1">IF(AND(C111&lt;&gt;0, C112=0), SUM($C$2:C111)-SUM($AQ$1:AQ110), "")</f>
        <v/>
      </c>
      <c r="AR111" s="46" t="str">
        <f ca="1">IF(AND(AK111&lt;&gt;0, AK112=0), SUM($AK$2:AK111)-SUM($AR$1:AR110), "")</f>
        <v/>
      </c>
    </row>
    <row r="112" spans="1:44" ht="13.15" customHeight="1">
      <c r="A112" s="31"/>
      <c r="B112" s="68" t="str">
        <f t="shared" si="41"/>
        <v/>
      </c>
      <c r="C112" s="55" cm="1">
        <f t="array" aca="1" ref="C112" ca="1">SUM(IF(ISNUMBER(M112:U112),M112:U112,""))</f>
        <v>0</v>
      </c>
      <c r="D112" s="25" t="str">
        <f t="shared" si="43"/>
        <v/>
      </c>
      <c r="E112" s="25" t="e">
        <f t="shared" si="29"/>
        <v>#VALUE!</v>
      </c>
      <c r="F112" s="25" t="str">
        <f t="shared" si="42"/>
        <v/>
      </c>
      <c r="G112" s="25" t="str">
        <f t="shared" si="26"/>
        <v>.xlsx</v>
      </c>
      <c r="H112" s="29" t="e" cm="1">
        <f t="array" aca="1" ref="H112" ca="1">IF(AND(VALUE(E112)=INDIRECT("'["&amp;G112&amp;"]"&amp;E112&amp;"'!"&amp;$X$2),G112=INDIRECT("'["&amp;G112&amp;"]"&amp;E112&amp;"'!"&amp;$X$3)),INDIRECT("'["&amp;G112&amp;"]"&amp;E112&amp;"'!"&amp;$X$1),0)</f>
        <v>#VALUE!</v>
      </c>
      <c r="I112" s="25" t="str">
        <f t="shared" si="30"/>
        <v/>
      </c>
      <c r="J112" s="32" t="str">
        <f t="shared" si="31"/>
        <v/>
      </c>
      <c r="K112" s="25" t="str">
        <f t="shared" si="32"/>
        <v/>
      </c>
      <c r="L112" s="25" t="str">
        <f t="shared" si="33"/>
        <v/>
      </c>
      <c r="M112" s="33" t="e" cm="1">
        <f t="array" aca="1" ref="M112" ca="1">IF(AND(J112=INDIRECT("'["&amp;G112&amp;"]"&amp;E112&amp;"'!"&amp;$Y$2),G112=INDIRECT("'["&amp;G112&amp;"]"&amp;E112&amp;"'!"&amp;$AH$2)),INDIRECT("'["&amp;G112&amp;"]"&amp;E112&amp;"'!"&amp;$Y$3),0)</f>
        <v>#VALUE!</v>
      </c>
      <c r="N112" s="34" t="e" cm="1">
        <f t="array" aca="1" ref="N112" ca="1">IF(AND(G112=INDIRECT("'["&amp;G112&amp;"]"&amp;E112&amp;"'!"&amp;$AH$2),OR(K112=INDIRECT("'["&amp;G112&amp;"]"&amp;E112&amp;"'!"&amp;$Z$2))),INDIRECT("'["&amp;G112&amp;"]"&amp;E112&amp;"'!"&amp;$Z$3),0)</f>
        <v>#VALUE!</v>
      </c>
      <c r="O112" s="34" t="e" cm="1">
        <f t="array" aca="1" ref="O112" ca="1">IF(AND(G112=INDIRECT("'["&amp;G112&amp;"]"&amp;E112&amp;"'!"&amp;$AH$2),OR(L112=INDIRECT("'["&amp;G112&amp;"]"&amp;E112&amp;"'!"&amp;$AA$2))),INDIRECT("'["&amp;G112&amp;"]"&amp;E112&amp;"'!"&amp;$AA$3),0)</f>
        <v>#VALUE!</v>
      </c>
      <c r="P112" s="34" t="e" cm="1">
        <f t="array" aca="1" ref="P112" ca="1">IF(AND(G112=INDIRECT("'["&amp;G112&amp;"]"&amp;E112&amp;"'!"&amp;$AH$2),OR(VALUE(I112)=INDIRECT("'["&amp;G112&amp;"]"&amp;E112&amp;"'!"&amp;$AB$2))),INDIRECT("'["&amp;G112&amp;"]"&amp;E112&amp;"'!"&amp;$AB$3),0)</f>
        <v>#VALUE!</v>
      </c>
      <c r="Q112" s="34" t="e" cm="1">
        <f t="array" aca="1" ref="Q112" ca="1">IF(AND(G112=INDIRECT("'["&amp;G112&amp;"]"&amp;E112&amp;"'!"&amp;$AH$2),OR(VALUE(I112)=INDIRECT("'["&amp;G112&amp;"]"&amp;E112&amp;"'!"&amp;$AC$2))),INDIRECT("'["&amp;G112&amp;"]"&amp;E112&amp;"'!"&amp;$AC$3),0)</f>
        <v>#VALUE!</v>
      </c>
      <c r="R112" s="34" t="e" cm="1">
        <f t="array" aca="1" ref="R112" ca="1">IF(AND(G112=INDIRECT("'["&amp;G112&amp;"]"&amp;E112&amp;"'!"&amp;$AH$2),OR(I112=INDIRECT("'["&amp;G112&amp;"]"&amp;E112&amp;"'!"&amp;$AD$2))),INDIRECT("'["&amp;G112&amp;"]"&amp;E112&amp;"'!"&amp;$AD$3),0)</f>
        <v>#VALUE!</v>
      </c>
      <c r="S112" s="34" t="e" cm="1">
        <f t="array" aca="1" ref="S112" ca="1">IF(AND(G112=INDIRECT("'["&amp;G112&amp;"]"&amp;E112&amp;"'!"&amp;$AH$2),OR(I112=INDIRECT("'["&amp;G112&amp;"]"&amp;E112&amp;"'!"&amp;$AE$2))),INDIRECT("'["&amp;G112&amp;"]"&amp;E112&amp;"'!"&amp;$AE$3),0)</f>
        <v>#VALUE!</v>
      </c>
      <c r="T112" s="35" t="e" cm="1">
        <f t="array" aca="1" ref="T112" ca="1">IF(AND(G112=INDIRECT("'["&amp;G112&amp;"]"&amp;E112&amp;"'!"&amp;$AH$2),OR(I112=INDIRECT("'["&amp;G112&amp;"]"&amp;E112&amp;"'!"&amp;$AF$2))),INDIRECT("'["&amp;G112&amp;"]"&amp;E112&amp;"'!"&amp;$AF$3),0)</f>
        <v>#VALUE!</v>
      </c>
      <c r="U112" s="34" t="e" cm="1">
        <f t="array" aca="1" ref="U112" ca="1">IF(AND(G112=INDIRECT("'["&amp;G112&amp;"]"&amp;E112&amp;"'!"&amp;$AH$2),OR(I112=INDIRECT("'["&amp;G112&amp;"]"&amp;E112&amp;"'!"&amp;$AG$2))),INDIRECT("'["&amp;G112&amp;"]"&amp;E112&amp;"'!"&amp;$AG$3),0)</f>
        <v>#VALUE!</v>
      </c>
      <c r="V112" s="25" t="str">
        <f t="shared" si="34"/>
        <v/>
      </c>
      <c r="W112" s="36" t="e" cm="1">
        <f t="array" aca="1" ref="W112" ca="1">IF(AND(G112=INDIRECT("'["&amp;G112&amp;"]"&amp;E112&amp;"'!"&amp;$AH$2),OR(V112=INDIRECT("'["&amp;G112&amp;"]"&amp;E112&amp;"'!"&amp;$AI$2))),INDIRECT("'["&amp;G112&amp;"]"&amp;E112&amp;"'!"&amp;$AI$3),0)</f>
        <v>#VALUE!</v>
      </c>
      <c r="AJ112" s="25">
        <v>1</v>
      </c>
      <c r="AK112" s="38">
        <f t="shared" ca="1" si="35"/>
        <v>0</v>
      </c>
      <c r="AL112" s="38">
        <f t="shared" ca="1" si="36"/>
        <v>0</v>
      </c>
      <c r="AM112" s="54" t="str">
        <f t="shared" ca="1" si="27"/>
        <v/>
      </c>
      <c r="AN112" s="25" t="e">
        <f t="shared" ca="1" si="37"/>
        <v>#VALUE!</v>
      </c>
      <c r="AO112" s="25" t="e">
        <f t="shared" ca="1" si="38"/>
        <v>#VALUE!</v>
      </c>
      <c r="AP112" s="39" t="str">
        <f t="shared" ca="1" si="28"/>
        <v/>
      </c>
      <c r="AQ112" s="46" t="str">
        <f ca="1">IF(AND(C112&lt;&gt;0, C113=0), SUM($C$2:C112)-SUM($AQ$1:AQ111), "")</f>
        <v/>
      </c>
      <c r="AR112" s="46" t="str">
        <f ca="1">IF(AND(AK112&lt;&gt;0, AK113=0), SUM($AK$2:AK112)-SUM($AR$1:AR111), "")</f>
        <v/>
      </c>
    </row>
    <row r="113" spans="1:44" ht="13.15" customHeight="1">
      <c r="A113" s="31"/>
      <c r="B113" s="68" t="str">
        <f t="shared" si="41"/>
        <v/>
      </c>
      <c r="C113" s="55" cm="1">
        <f t="array" aca="1" ref="C113" ca="1">SUM(IF(ISNUMBER(M113:U113),M113:U113,""))</f>
        <v>0</v>
      </c>
      <c r="D113" s="25" t="str">
        <f t="shared" si="43"/>
        <v/>
      </c>
      <c r="E113" s="25" t="e">
        <f t="shared" si="29"/>
        <v>#VALUE!</v>
      </c>
      <c r="F113" s="25" t="str">
        <f t="shared" si="42"/>
        <v/>
      </c>
      <c r="G113" s="25" t="str">
        <f t="shared" si="26"/>
        <v>.xlsx</v>
      </c>
      <c r="H113" s="29" t="e" cm="1">
        <f t="array" aca="1" ref="H113" ca="1">IF(AND(VALUE(E113)=INDIRECT("'["&amp;G113&amp;"]"&amp;E113&amp;"'!"&amp;$X$2),G113=INDIRECT("'["&amp;G113&amp;"]"&amp;E113&amp;"'!"&amp;$X$3)),INDIRECT("'["&amp;G113&amp;"]"&amp;E113&amp;"'!"&amp;$X$1),0)</f>
        <v>#VALUE!</v>
      </c>
      <c r="I113" s="25" t="str">
        <f t="shared" si="30"/>
        <v/>
      </c>
      <c r="J113" s="32" t="str">
        <f t="shared" si="31"/>
        <v/>
      </c>
      <c r="K113" s="25" t="str">
        <f t="shared" si="32"/>
        <v/>
      </c>
      <c r="L113" s="25" t="str">
        <f t="shared" si="33"/>
        <v/>
      </c>
      <c r="M113" s="33" t="e" cm="1">
        <f t="array" aca="1" ref="M113" ca="1">IF(AND(J113=INDIRECT("'["&amp;G113&amp;"]"&amp;E113&amp;"'!"&amp;$Y$2),G113=INDIRECT("'["&amp;G113&amp;"]"&amp;E113&amp;"'!"&amp;$AH$2)),INDIRECT("'["&amp;G113&amp;"]"&amp;E113&amp;"'!"&amp;$Y$3),0)</f>
        <v>#VALUE!</v>
      </c>
      <c r="N113" s="34" t="e" cm="1">
        <f t="array" aca="1" ref="N113" ca="1">IF(AND(G113=INDIRECT("'["&amp;G113&amp;"]"&amp;E113&amp;"'!"&amp;$AH$2),OR(K113=INDIRECT("'["&amp;G113&amp;"]"&amp;E113&amp;"'!"&amp;$Z$2))),INDIRECT("'["&amp;G113&amp;"]"&amp;E113&amp;"'!"&amp;$Z$3),0)</f>
        <v>#VALUE!</v>
      </c>
      <c r="O113" s="34" t="e" cm="1">
        <f t="array" aca="1" ref="O113" ca="1">IF(AND(G113=INDIRECT("'["&amp;G113&amp;"]"&amp;E113&amp;"'!"&amp;$AH$2),OR(L113=INDIRECT("'["&amp;G113&amp;"]"&amp;E113&amp;"'!"&amp;$AA$2))),INDIRECT("'["&amp;G113&amp;"]"&amp;E113&amp;"'!"&amp;$AA$3),0)</f>
        <v>#VALUE!</v>
      </c>
      <c r="P113" s="34" t="e" cm="1">
        <f t="array" aca="1" ref="P113" ca="1">IF(AND(G113=INDIRECT("'["&amp;G113&amp;"]"&amp;E113&amp;"'!"&amp;$AH$2),OR(VALUE(I113)=INDIRECT("'["&amp;G113&amp;"]"&amp;E113&amp;"'!"&amp;$AB$2))),INDIRECT("'["&amp;G113&amp;"]"&amp;E113&amp;"'!"&amp;$AB$3),0)</f>
        <v>#VALUE!</v>
      </c>
      <c r="Q113" s="34" t="e" cm="1">
        <f t="array" aca="1" ref="Q113" ca="1">IF(AND(G113=INDIRECT("'["&amp;G113&amp;"]"&amp;E113&amp;"'!"&amp;$AH$2),OR(VALUE(I113)=INDIRECT("'["&amp;G113&amp;"]"&amp;E113&amp;"'!"&amp;$AC$2))),INDIRECT("'["&amp;G113&amp;"]"&amp;E113&amp;"'!"&amp;$AC$3),0)</f>
        <v>#VALUE!</v>
      </c>
      <c r="R113" s="34" t="e" cm="1">
        <f t="array" aca="1" ref="R113" ca="1">IF(AND(G113=INDIRECT("'["&amp;G113&amp;"]"&amp;E113&amp;"'!"&amp;$AH$2),OR(I113=INDIRECT("'["&amp;G113&amp;"]"&amp;E113&amp;"'!"&amp;$AD$2))),INDIRECT("'["&amp;G113&amp;"]"&amp;E113&amp;"'!"&amp;$AD$3),0)</f>
        <v>#VALUE!</v>
      </c>
      <c r="S113" s="34" t="e" cm="1">
        <f t="array" aca="1" ref="S113" ca="1">IF(AND(G113=INDIRECT("'["&amp;G113&amp;"]"&amp;E113&amp;"'!"&amp;$AH$2),OR(I113=INDIRECT("'["&amp;G113&amp;"]"&amp;E113&amp;"'!"&amp;$AE$2))),INDIRECT("'["&amp;G113&amp;"]"&amp;E113&amp;"'!"&amp;$AE$3),0)</f>
        <v>#VALUE!</v>
      </c>
      <c r="T113" s="35" t="e" cm="1">
        <f t="array" aca="1" ref="T113" ca="1">IF(AND(G113=INDIRECT("'["&amp;G113&amp;"]"&amp;E113&amp;"'!"&amp;$AH$2),OR(I113=INDIRECT("'["&amp;G113&amp;"]"&amp;E113&amp;"'!"&amp;$AF$2))),INDIRECT("'["&amp;G113&amp;"]"&amp;E113&amp;"'!"&amp;$AF$3),0)</f>
        <v>#VALUE!</v>
      </c>
      <c r="U113" s="34" t="e" cm="1">
        <f t="array" aca="1" ref="U113" ca="1">IF(AND(G113=INDIRECT("'["&amp;G113&amp;"]"&amp;E113&amp;"'!"&amp;$AH$2),OR(I113=INDIRECT("'["&amp;G113&amp;"]"&amp;E113&amp;"'!"&amp;$AG$2))),INDIRECT("'["&amp;G113&amp;"]"&amp;E113&amp;"'!"&amp;$AG$3),0)</f>
        <v>#VALUE!</v>
      </c>
      <c r="V113" s="25" t="str">
        <f t="shared" si="34"/>
        <v/>
      </c>
      <c r="W113" s="36" t="e" cm="1">
        <f t="array" aca="1" ref="W113" ca="1">IF(AND(G113=INDIRECT("'["&amp;G113&amp;"]"&amp;E113&amp;"'!"&amp;$AH$2),OR(V113=INDIRECT("'["&amp;G113&amp;"]"&amp;E113&amp;"'!"&amp;$AI$2))),INDIRECT("'["&amp;G113&amp;"]"&amp;E113&amp;"'!"&amp;$AI$3),0)</f>
        <v>#VALUE!</v>
      </c>
      <c r="AJ113" s="25">
        <v>1</v>
      </c>
      <c r="AK113" s="38">
        <f t="shared" ca="1" si="35"/>
        <v>0</v>
      </c>
      <c r="AL113" s="38">
        <f t="shared" ca="1" si="36"/>
        <v>0</v>
      </c>
      <c r="AM113" s="54" t="str">
        <f t="shared" ca="1" si="27"/>
        <v/>
      </c>
      <c r="AN113" s="25" t="e">
        <f t="shared" ca="1" si="37"/>
        <v>#VALUE!</v>
      </c>
      <c r="AO113" s="25" t="e">
        <f t="shared" ca="1" si="38"/>
        <v>#VALUE!</v>
      </c>
      <c r="AP113" s="39" t="str">
        <f t="shared" ca="1" si="28"/>
        <v/>
      </c>
      <c r="AQ113" s="46" t="str">
        <f ca="1">IF(AND(C113&lt;&gt;0, C114=0), SUM($C$2:C113)-SUM($AQ$1:AQ112), "")</f>
        <v/>
      </c>
      <c r="AR113" s="46" t="str">
        <f ca="1">IF(AND(AK113&lt;&gt;0, AK114=0), SUM($AK$2:AK113)-SUM($AR$1:AR112), "")</f>
        <v/>
      </c>
    </row>
    <row r="114" spans="1:44" ht="13.15" customHeight="1">
      <c r="A114" s="63"/>
      <c r="B114" s="68" t="str">
        <f t="shared" si="41"/>
        <v/>
      </c>
      <c r="C114" s="55" cm="1">
        <f t="array" aca="1" ref="C114" ca="1">SUM(IF(ISNUMBER(M114:U114),M114:U114,""))</f>
        <v>0</v>
      </c>
      <c r="D114" s="25" t="str">
        <f t="shared" si="43"/>
        <v/>
      </c>
      <c r="E114" s="25" t="e">
        <f t="shared" si="29"/>
        <v>#VALUE!</v>
      </c>
      <c r="F114" s="25" t="str">
        <f t="shared" si="42"/>
        <v/>
      </c>
      <c r="G114" s="25" t="str">
        <f t="shared" si="26"/>
        <v>.xlsx</v>
      </c>
      <c r="H114" s="29" t="e" cm="1">
        <f t="array" aca="1" ref="H114" ca="1">IF(AND(VALUE(E114)=INDIRECT("'["&amp;G114&amp;"]"&amp;E114&amp;"'!"&amp;$X$2),G114=INDIRECT("'["&amp;G114&amp;"]"&amp;E114&amp;"'!"&amp;$X$3)),INDIRECT("'["&amp;G114&amp;"]"&amp;E114&amp;"'!"&amp;$X$1),0)</f>
        <v>#VALUE!</v>
      </c>
      <c r="I114" s="25" t="str">
        <f t="shared" si="30"/>
        <v/>
      </c>
      <c r="J114" s="32" t="str">
        <f t="shared" si="31"/>
        <v/>
      </c>
      <c r="K114" s="25" t="str">
        <f t="shared" si="32"/>
        <v/>
      </c>
      <c r="L114" s="25" t="str">
        <f t="shared" si="33"/>
        <v/>
      </c>
      <c r="M114" s="33" t="e" cm="1">
        <f t="array" aca="1" ref="M114" ca="1">IF(AND(J114=INDIRECT("'["&amp;G114&amp;"]"&amp;E114&amp;"'!"&amp;$Y$2),G114=INDIRECT("'["&amp;G114&amp;"]"&amp;E114&amp;"'!"&amp;$AH$2)),INDIRECT("'["&amp;G114&amp;"]"&amp;E114&amp;"'!"&amp;$Y$3),0)</f>
        <v>#VALUE!</v>
      </c>
      <c r="N114" s="34" t="e" cm="1">
        <f t="array" aca="1" ref="N114" ca="1">IF(AND(G114=INDIRECT("'["&amp;G114&amp;"]"&amp;E114&amp;"'!"&amp;$AH$2),OR(K114=INDIRECT("'["&amp;G114&amp;"]"&amp;E114&amp;"'!"&amp;$Z$2))),INDIRECT("'["&amp;G114&amp;"]"&amp;E114&amp;"'!"&amp;$Z$3),0)</f>
        <v>#VALUE!</v>
      </c>
      <c r="O114" s="34" t="e" cm="1">
        <f t="array" aca="1" ref="O114" ca="1">IF(AND(G114=INDIRECT("'["&amp;G114&amp;"]"&amp;E114&amp;"'!"&amp;$AH$2),OR(L114=INDIRECT("'["&amp;G114&amp;"]"&amp;E114&amp;"'!"&amp;$AA$2))),INDIRECT("'["&amp;G114&amp;"]"&amp;E114&amp;"'!"&amp;$AA$3),0)</f>
        <v>#VALUE!</v>
      </c>
      <c r="P114" s="34" t="e" cm="1">
        <f t="array" aca="1" ref="P114" ca="1">IF(AND(G114=INDIRECT("'["&amp;G114&amp;"]"&amp;E114&amp;"'!"&amp;$AH$2),OR(VALUE(I114)=INDIRECT("'["&amp;G114&amp;"]"&amp;E114&amp;"'!"&amp;$AB$2))),INDIRECT("'["&amp;G114&amp;"]"&amp;E114&amp;"'!"&amp;$AB$3),0)</f>
        <v>#VALUE!</v>
      </c>
      <c r="Q114" s="34" t="e" cm="1">
        <f t="array" aca="1" ref="Q114" ca="1">IF(AND(G114=INDIRECT("'["&amp;G114&amp;"]"&amp;E114&amp;"'!"&amp;$AH$2),OR(VALUE(I114)=INDIRECT("'["&amp;G114&amp;"]"&amp;E114&amp;"'!"&amp;$AC$2))),INDIRECT("'["&amp;G114&amp;"]"&amp;E114&amp;"'!"&amp;$AC$3),0)</f>
        <v>#VALUE!</v>
      </c>
      <c r="R114" s="34" t="e" cm="1">
        <f t="array" aca="1" ref="R114" ca="1">IF(AND(G114=INDIRECT("'["&amp;G114&amp;"]"&amp;E114&amp;"'!"&amp;$AH$2),OR(I114=INDIRECT("'["&amp;G114&amp;"]"&amp;E114&amp;"'!"&amp;$AD$2))),INDIRECT("'["&amp;G114&amp;"]"&amp;E114&amp;"'!"&amp;$AD$3),0)</f>
        <v>#VALUE!</v>
      </c>
      <c r="S114" s="34" t="e" cm="1">
        <f t="array" aca="1" ref="S114" ca="1">IF(AND(G114=INDIRECT("'["&amp;G114&amp;"]"&amp;E114&amp;"'!"&amp;$AH$2),OR(I114=INDIRECT("'["&amp;G114&amp;"]"&amp;E114&amp;"'!"&amp;$AE$2))),INDIRECT("'["&amp;G114&amp;"]"&amp;E114&amp;"'!"&amp;$AE$3),0)</f>
        <v>#VALUE!</v>
      </c>
      <c r="T114" s="35" t="e" cm="1">
        <f t="array" aca="1" ref="T114" ca="1">IF(AND(G114=INDIRECT("'["&amp;G114&amp;"]"&amp;E114&amp;"'!"&amp;$AH$2),OR(I114=INDIRECT("'["&amp;G114&amp;"]"&amp;E114&amp;"'!"&amp;$AF$2))),INDIRECT("'["&amp;G114&amp;"]"&amp;E114&amp;"'!"&amp;$AF$3),0)</f>
        <v>#VALUE!</v>
      </c>
      <c r="U114" s="34" t="e" cm="1">
        <f t="array" aca="1" ref="U114" ca="1">IF(AND(G114=INDIRECT("'["&amp;G114&amp;"]"&amp;E114&amp;"'!"&amp;$AH$2),OR(I114=INDIRECT("'["&amp;G114&amp;"]"&amp;E114&amp;"'!"&amp;$AG$2))),INDIRECT("'["&amp;G114&amp;"]"&amp;E114&amp;"'!"&amp;$AG$3),0)</f>
        <v>#VALUE!</v>
      </c>
      <c r="V114" s="25" t="str">
        <f t="shared" si="34"/>
        <v/>
      </c>
      <c r="W114" s="36" t="e" cm="1">
        <f t="array" aca="1" ref="W114" ca="1">IF(AND(G114=INDIRECT("'["&amp;G114&amp;"]"&amp;E114&amp;"'!"&amp;$AH$2),OR(V114=INDIRECT("'["&amp;G114&amp;"]"&amp;E114&amp;"'!"&amp;$AI$2))),INDIRECT("'["&amp;G114&amp;"]"&amp;E114&amp;"'!"&amp;$AI$3),0)</f>
        <v>#VALUE!</v>
      </c>
      <c r="AJ114" s="25">
        <v>1</v>
      </c>
      <c r="AK114" s="38">
        <f t="shared" ca="1" si="35"/>
        <v>0</v>
      </c>
      <c r="AL114" s="38">
        <f t="shared" ca="1" si="36"/>
        <v>0</v>
      </c>
      <c r="AM114" s="54" t="str">
        <f t="shared" ca="1" si="27"/>
        <v/>
      </c>
      <c r="AN114" s="25" t="e">
        <f t="shared" ca="1" si="37"/>
        <v>#VALUE!</v>
      </c>
      <c r="AO114" s="25" t="e">
        <f t="shared" ca="1" si="38"/>
        <v>#VALUE!</v>
      </c>
      <c r="AP114" s="39" t="str">
        <f t="shared" ca="1" si="28"/>
        <v/>
      </c>
      <c r="AQ114" s="46" t="str">
        <f ca="1">IF(AND(C114&lt;&gt;0, C115=0), SUM($C$2:C114)-SUM($AQ$1:AQ113), "")</f>
        <v/>
      </c>
      <c r="AR114" s="46" t="str">
        <f ca="1">IF(AND(AK114&lt;&gt;0, AK115=0), SUM($AK$2:AK114)-SUM($AR$1:AR113), "")</f>
        <v/>
      </c>
    </row>
    <row r="115" spans="1:44" ht="13.15" customHeight="1">
      <c r="A115" s="63"/>
      <c r="B115" s="68" t="str">
        <f t="shared" si="41"/>
        <v/>
      </c>
      <c r="C115" s="55" cm="1">
        <f t="array" aca="1" ref="C115" ca="1">SUM(IF(ISNUMBER(M115:U115),M115:U115,""))</f>
        <v>0</v>
      </c>
      <c r="D115" s="25" t="str">
        <f t="shared" si="43"/>
        <v/>
      </c>
      <c r="E115" s="25" t="e">
        <f t="shared" si="29"/>
        <v>#VALUE!</v>
      </c>
      <c r="F115" s="25" t="str">
        <f t="shared" si="42"/>
        <v/>
      </c>
      <c r="G115" s="25" t="str">
        <f t="shared" si="26"/>
        <v>.xlsx</v>
      </c>
      <c r="H115" s="29" t="e" cm="1">
        <f t="array" aca="1" ref="H115" ca="1">IF(AND(VALUE(E115)=INDIRECT("'["&amp;G115&amp;"]"&amp;E115&amp;"'!"&amp;$X$2),G115=INDIRECT("'["&amp;G115&amp;"]"&amp;E115&amp;"'!"&amp;$X$3)),INDIRECT("'["&amp;G115&amp;"]"&amp;E115&amp;"'!"&amp;$X$1),0)</f>
        <v>#VALUE!</v>
      </c>
      <c r="I115" s="25" t="str">
        <f t="shared" si="30"/>
        <v/>
      </c>
      <c r="J115" s="32" t="str">
        <f t="shared" si="31"/>
        <v/>
      </c>
      <c r="K115" s="25" t="str">
        <f t="shared" si="32"/>
        <v/>
      </c>
      <c r="L115" s="25" t="str">
        <f t="shared" si="33"/>
        <v/>
      </c>
      <c r="M115" s="33" t="e" cm="1">
        <f t="array" aca="1" ref="M115" ca="1">IF(AND(J115=INDIRECT("'["&amp;G115&amp;"]"&amp;E115&amp;"'!"&amp;$Y$2),G115=INDIRECT("'["&amp;G115&amp;"]"&amp;E115&amp;"'!"&amp;$AH$2)),INDIRECT("'["&amp;G115&amp;"]"&amp;E115&amp;"'!"&amp;$Y$3),0)</f>
        <v>#VALUE!</v>
      </c>
      <c r="N115" s="34" t="e" cm="1">
        <f t="array" aca="1" ref="N115" ca="1">IF(AND(G115=INDIRECT("'["&amp;G115&amp;"]"&amp;E115&amp;"'!"&amp;$AH$2),OR(K115=INDIRECT("'["&amp;G115&amp;"]"&amp;E115&amp;"'!"&amp;$Z$2))),INDIRECT("'["&amp;G115&amp;"]"&amp;E115&amp;"'!"&amp;$Z$3),0)</f>
        <v>#VALUE!</v>
      </c>
      <c r="O115" s="34" t="e" cm="1">
        <f t="array" aca="1" ref="O115" ca="1">IF(AND(G115=INDIRECT("'["&amp;G115&amp;"]"&amp;E115&amp;"'!"&amp;$AH$2),OR(L115=INDIRECT("'["&amp;G115&amp;"]"&amp;E115&amp;"'!"&amp;$AA$2))),INDIRECT("'["&amp;G115&amp;"]"&amp;E115&amp;"'!"&amp;$AA$3),0)</f>
        <v>#VALUE!</v>
      </c>
      <c r="P115" s="34" t="e" cm="1">
        <f t="array" aca="1" ref="P115" ca="1">IF(AND(G115=INDIRECT("'["&amp;G115&amp;"]"&amp;E115&amp;"'!"&amp;$AH$2),OR(VALUE(I115)=INDIRECT("'["&amp;G115&amp;"]"&amp;E115&amp;"'!"&amp;$AB$2))),INDIRECT("'["&amp;G115&amp;"]"&amp;E115&amp;"'!"&amp;$AB$3),0)</f>
        <v>#VALUE!</v>
      </c>
      <c r="Q115" s="34" t="e" cm="1">
        <f t="array" aca="1" ref="Q115" ca="1">IF(AND(G115=INDIRECT("'["&amp;G115&amp;"]"&amp;E115&amp;"'!"&amp;$AH$2),OR(VALUE(I115)=INDIRECT("'["&amp;G115&amp;"]"&amp;E115&amp;"'!"&amp;$AC$2))),INDIRECT("'["&amp;G115&amp;"]"&amp;E115&amp;"'!"&amp;$AC$3),0)</f>
        <v>#VALUE!</v>
      </c>
      <c r="R115" s="34" t="e" cm="1">
        <f t="array" aca="1" ref="R115" ca="1">IF(AND(G115=INDIRECT("'["&amp;G115&amp;"]"&amp;E115&amp;"'!"&amp;$AH$2),OR(I115=INDIRECT("'["&amp;G115&amp;"]"&amp;E115&amp;"'!"&amp;$AD$2))),INDIRECT("'["&amp;G115&amp;"]"&amp;E115&amp;"'!"&amp;$AD$3),0)</f>
        <v>#VALUE!</v>
      </c>
      <c r="S115" s="34" t="e" cm="1">
        <f t="array" aca="1" ref="S115" ca="1">IF(AND(G115=INDIRECT("'["&amp;G115&amp;"]"&amp;E115&amp;"'!"&amp;$AH$2),OR(I115=INDIRECT("'["&amp;G115&amp;"]"&amp;E115&amp;"'!"&amp;$AE$2))),INDIRECT("'["&amp;G115&amp;"]"&amp;E115&amp;"'!"&amp;$AE$3),0)</f>
        <v>#VALUE!</v>
      </c>
      <c r="T115" s="35" t="e" cm="1">
        <f t="array" aca="1" ref="T115" ca="1">IF(AND(G115=INDIRECT("'["&amp;G115&amp;"]"&amp;E115&amp;"'!"&amp;$AH$2),OR(I115=INDIRECT("'["&amp;G115&amp;"]"&amp;E115&amp;"'!"&amp;$AF$2))),INDIRECT("'["&amp;G115&amp;"]"&amp;E115&amp;"'!"&amp;$AF$3),0)</f>
        <v>#VALUE!</v>
      </c>
      <c r="U115" s="34" t="e" cm="1">
        <f t="array" aca="1" ref="U115" ca="1">IF(AND(G115=INDIRECT("'["&amp;G115&amp;"]"&amp;E115&amp;"'!"&amp;$AH$2),OR(I115=INDIRECT("'["&amp;G115&amp;"]"&amp;E115&amp;"'!"&amp;$AG$2))),INDIRECT("'["&amp;G115&amp;"]"&amp;E115&amp;"'!"&amp;$AG$3),0)</f>
        <v>#VALUE!</v>
      </c>
      <c r="V115" s="25" t="str">
        <f t="shared" si="34"/>
        <v/>
      </c>
      <c r="W115" s="36" t="e" cm="1">
        <f t="array" aca="1" ref="W115" ca="1">IF(AND(G115=INDIRECT("'["&amp;G115&amp;"]"&amp;E115&amp;"'!"&amp;$AH$2),OR(V115=INDIRECT("'["&amp;G115&amp;"]"&amp;E115&amp;"'!"&amp;$AI$2))),INDIRECT("'["&amp;G115&amp;"]"&amp;E115&amp;"'!"&amp;$AI$3),0)</f>
        <v>#VALUE!</v>
      </c>
      <c r="AJ115" s="25">
        <v>1</v>
      </c>
      <c r="AK115" s="38">
        <f t="shared" ca="1" si="35"/>
        <v>0</v>
      </c>
      <c r="AL115" s="38">
        <f t="shared" ca="1" si="36"/>
        <v>0</v>
      </c>
      <c r="AM115" s="54" t="str">
        <f t="shared" ca="1" si="27"/>
        <v/>
      </c>
      <c r="AN115" s="25" t="e">
        <f t="shared" ca="1" si="37"/>
        <v>#VALUE!</v>
      </c>
      <c r="AO115" s="25" t="e">
        <f t="shared" ca="1" si="38"/>
        <v>#VALUE!</v>
      </c>
      <c r="AP115" s="39" t="str">
        <f t="shared" ca="1" si="28"/>
        <v/>
      </c>
      <c r="AQ115" s="46" t="str">
        <f ca="1">IF(AND(C115&lt;&gt;0, C116=0), SUM($C$2:C115)-SUM($AQ$1:AQ114), "")</f>
        <v/>
      </c>
      <c r="AR115" s="46" t="str">
        <f ca="1">IF(AND(AK115&lt;&gt;0, AK116=0), SUM($AK$2:AK115)-SUM($AR$1:AR114), "")</f>
        <v/>
      </c>
    </row>
    <row r="116" spans="1:44" ht="13.15" customHeight="1">
      <c r="A116" s="63"/>
      <c r="B116" s="68" t="str">
        <f t="shared" si="41"/>
        <v/>
      </c>
      <c r="C116" s="55" cm="1">
        <f t="array" aca="1" ref="C116" ca="1">SUM(IF(ISNUMBER(M116:U116),M116:U116,""))</f>
        <v>0</v>
      </c>
      <c r="D116" s="25" t="str">
        <f t="shared" si="43"/>
        <v/>
      </c>
      <c r="E116" s="25" t="e">
        <f t="shared" si="29"/>
        <v>#VALUE!</v>
      </c>
      <c r="F116" s="25" t="str">
        <f t="shared" si="42"/>
        <v/>
      </c>
      <c r="G116" s="25" t="str">
        <f t="shared" si="26"/>
        <v>.xlsx</v>
      </c>
      <c r="H116" s="29" t="e" cm="1">
        <f t="array" aca="1" ref="H116" ca="1">IF(AND(VALUE(E116)=INDIRECT("'["&amp;G116&amp;"]"&amp;E116&amp;"'!"&amp;$X$2),G116=INDIRECT("'["&amp;G116&amp;"]"&amp;E116&amp;"'!"&amp;$X$3)),INDIRECT("'["&amp;G116&amp;"]"&amp;E116&amp;"'!"&amp;$X$1),0)</f>
        <v>#VALUE!</v>
      </c>
      <c r="I116" s="25" t="str">
        <f t="shared" si="30"/>
        <v/>
      </c>
      <c r="J116" s="32" t="str">
        <f t="shared" si="31"/>
        <v/>
      </c>
      <c r="K116" s="25" t="str">
        <f t="shared" si="32"/>
        <v/>
      </c>
      <c r="L116" s="25" t="str">
        <f t="shared" si="33"/>
        <v/>
      </c>
      <c r="M116" s="33" t="e" cm="1">
        <f t="array" aca="1" ref="M116" ca="1">IF(AND(J116=INDIRECT("'["&amp;G116&amp;"]"&amp;E116&amp;"'!"&amp;$Y$2),G116=INDIRECT("'["&amp;G116&amp;"]"&amp;E116&amp;"'!"&amp;$AH$2)),INDIRECT("'["&amp;G116&amp;"]"&amp;E116&amp;"'!"&amp;$Y$3),0)</f>
        <v>#VALUE!</v>
      </c>
      <c r="N116" s="34" t="e" cm="1">
        <f t="array" aca="1" ref="N116" ca="1">IF(AND(G116=INDIRECT("'["&amp;G116&amp;"]"&amp;E116&amp;"'!"&amp;$AH$2),OR(K116=INDIRECT("'["&amp;G116&amp;"]"&amp;E116&amp;"'!"&amp;$Z$2))),INDIRECT("'["&amp;G116&amp;"]"&amp;E116&amp;"'!"&amp;$Z$3),0)</f>
        <v>#VALUE!</v>
      </c>
      <c r="O116" s="34" t="e" cm="1">
        <f t="array" aca="1" ref="O116" ca="1">IF(AND(G116=INDIRECT("'["&amp;G116&amp;"]"&amp;E116&amp;"'!"&amp;$AH$2),OR(L116=INDIRECT("'["&amp;G116&amp;"]"&amp;E116&amp;"'!"&amp;$AA$2))),INDIRECT("'["&amp;G116&amp;"]"&amp;E116&amp;"'!"&amp;$AA$3),0)</f>
        <v>#VALUE!</v>
      </c>
      <c r="P116" s="34" t="e" cm="1">
        <f t="array" aca="1" ref="P116" ca="1">IF(AND(G116=INDIRECT("'["&amp;G116&amp;"]"&amp;E116&amp;"'!"&amp;$AH$2),OR(VALUE(I116)=INDIRECT("'["&amp;G116&amp;"]"&amp;E116&amp;"'!"&amp;$AB$2))),INDIRECT("'["&amp;G116&amp;"]"&amp;E116&amp;"'!"&amp;$AB$3),0)</f>
        <v>#VALUE!</v>
      </c>
      <c r="Q116" s="34" t="e" cm="1">
        <f t="array" aca="1" ref="Q116" ca="1">IF(AND(G116=INDIRECT("'["&amp;G116&amp;"]"&amp;E116&amp;"'!"&amp;$AH$2),OR(VALUE(I116)=INDIRECT("'["&amp;G116&amp;"]"&amp;E116&amp;"'!"&amp;$AC$2))),INDIRECT("'["&amp;G116&amp;"]"&amp;E116&amp;"'!"&amp;$AC$3),0)</f>
        <v>#VALUE!</v>
      </c>
      <c r="R116" s="34" t="e" cm="1">
        <f t="array" aca="1" ref="R116" ca="1">IF(AND(G116=INDIRECT("'["&amp;G116&amp;"]"&amp;E116&amp;"'!"&amp;$AH$2),OR(I116=INDIRECT("'["&amp;G116&amp;"]"&amp;E116&amp;"'!"&amp;$AD$2))),INDIRECT("'["&amp;G116&amp;"]"&amp;E116&amp;"'!"&amp;$AD$3),0)</f>
        <v>#VALUE!</v>
      </c>
      <c r="S116" s="34" t="e" cm="1">
        <f t="array" aca="1" ref="S116" ca="1">IF(AND(G116=INDIRECT("'["&amp;G116&amp;"]"&amp;E116&amp;"'!"&amp;$AH$2),OR(I116=INDIRECT("'["&amp;G116&amp;"]"&amp;E116&amp;"'!"&amp;$AE$2))),INDIRECT("'["&amp;G116&amp;"]"&amp;E116&amp;"'!"&amp;$AE$3),0)</f>
        <v>#VALUE!</v>
      </c>
      <c r="T116" s="35" t="e" cm="1">
        <f t="array" aca="1" ref="T116" ca="1">IF(AND(G116=INDIRECT("'["&amp;G116&amp;"]"&amp;E116&amp;"'!"&amp;$AH$2),OR(I116=INDIRECT("'["&amp;G116&amp;"]"&amp;E116&amp;"'!"&amp;$AF$2))),INDIRECT("'["&amp;G116&amp;"]"&amp;E116&amp;"'!"&amp;$AF$3),0)</f>
        <v>#VALUE!</v>
      </c>
      <c r="U116" s="34" t="e" cm="1">
        <f t="array" aca="1" ref="U116" ca="1">IF(AND(G116=INDIRECT("'["&amp;G116&amp;"]"&amp;E116&amp;"'!"&amp;$AH$2),OR(I116=INDIRECT("'["&amp;G116&amp;"]"&amp;E116&amp;"'!"&amp;$AG$2))),INDIRECT("'["&amp;G116&amp;"]"&amp;E116&amp;"'!"&amp;$AG$3),0)</f>
        <v>#VALUE!</v>
      </c>
      <c r="V116" s="25" t="str">
        <f t="shared" si="34"/>
        <v/>
      </c>
      <c r="W116" s="36" t="e" cm="1">
        <f t="array" aca="1" ref="W116" ca="1">IF(AND(G116=INDIRECT("'["&amp;G116&amp;"]"&amp;E116&amp;"'!"&amp;$AH$2),OR(V116=INDIRECT("'["&amp;G116&amp;"]"&amp;E116&amp;"'!"&amp;$AI$2))),INDIRECT("'["&amp;G116&amp;"]"&amp;E116&amp;"'!"&amp;$AI$3),0)</f>
        <v>#VALUE!</v>
      </c>
      <c r="AJ116" s="25">
        <v>1</v>
      </c>
      <c r="AK116" s="38">
        <f t="shared" ca="1" si="35"/>
        <v>0</v>
      </c>
      <c r="AL116" s="38">
        <f t="shared" ca="1" si="36"/>
        <v>0</v>
      </c>
      <c r="AM116" s="54" t="str">
        <f t="shared" ca="1" si="27"/>
        <v/>
      </c>
      <c r="AN116" s="25" t="e">
        <f t="shared" ca="1" si="37"/>
        <v>#VALUE!</v>
      </c>
      <c r="AO116" s="25" t="e">
        <f t="shared" ca="1" si="38"/>
        <v>#VALUE!</v>
      </c>
      <c r="AP116" s="39" t="str">
        <f t="shared" ca="1" si="28"/>
        <v/>
      </c>
      <c r="AQ116" s="46" t="str">
        <f ca="1">IF(AND(C116&lt;&gt;0, C117=0), SUM($C$2:C116)-SUM($AQ$1:AQ115), "")</f>
        <v/>
      </c>
      <c r="AR116" s="46" t="str">
        <f ca="1">IF(AND(AK116&lt;&gt;0, AK117=0), SUM($AK$2:AK116)-SUM($AR$1:AR115), "")</f>
        <v/>
      </c>
    </row>
    <row r="117" spans="1:44" ht="13.15" customHeight="1">
      <c r="A117" s="63"/>
      <c r="B117" s="68" t="str">
        <f t="shared" si="41"/>
        <v/>
      </c>
      <c r="C117" s="55" cm="1">
        <f t="array" aca="1" ref="C117" ca="1">SUM(IF(ISNUMBER(M117:U117),M117:U117,""))</f>
        <v>0</v>
      </c>
      <c r="D117" s="25" t="str">
        <f t="shared" si="43"/>
        <v/>
      </c>
      <c r="E117" s="25" t="e">
        <f t="shared" si="29"/>
        <v>#VALUE!</v>
      </c>
      <c r="F117" s="25" t="str">
        <f t="shared" si="42"/>
        <v/>
      </c>
      <c r="G117" s="25" t="str">
        <f t="shared" si="26"/>
        <v>.xlsx</v>
      </c>
      <c r="H117" s="29" t="e" cm="1">
        <f t="array" aca="1" ref="H117" ca="1">IF(AND(VALUE(E117)=INDIRECT("'["&amp;G117&amp;"]"&amp;E117&amp;"'!"&amp;$X$2),G117=INDIRECT("'["&amp;G117&amp;"]"&amp;E117&amp;"'!"&amp;$X$3)),INDIRECT("'["&amp;G117&amp;"]"&amp;E117&amp;"'!"&amp;$X$1),0)</f>
        <v>#VALUE!</v>
      </c>
      <c r="I117" s="25" t="str">
        <f t="shared" si="30"/>
        <v/>
      </c>
      <c r="J117" s="32" t="str">
        <f t="shared" si="31"/>
        <v/>
      </c>
      <c r="K117" s="25" t="str">
        <f t="shared" si="32"/>
        <v/>
      </c>
      <c r="L117" s="25" t="str">
        <f t="shared" si="33"/>
        <v/>
      </c>
      <c r="M117" s="33" t="e" cm="1">
        <f t="array" aca="1" ref="M117" ca="1">IF(AND(J117=INDIRECT("'["&amp;G117&amp;"]"&amp;E117&amp;"'!"&amp;$Y$2),G117=INDIRECT("'["&amp;G117&amp;"]"&amp;E117&amp;"'!"&amp;$AH$2)),INDIRECT("'["&amp;G117&amp;"]"&amp;E117&amp;"'!"&amp;$Y$3),0)</f>
        <v>#VALUE!</v>
      </c>
      <c r="N117" s="34" t="e" cm="1">
        <f t="array" aca="1" ref="N117" ca="1">IF(AND(G117=INDIRECT("'["&amp;G117&amp;"]"&amp;E117&amp;"'!"&amp;$AH$2),OR(K117=INDIRECT("'["&amp;G117&amp;"]"&amp;E117&amp;"'!"&amp;$Z$2))),INDIRECT("'["&amp;G117&amp;"]"&amp;E117&amp;"'!"&amp;$Z$3),0)</f>
        <v>#VALUE!</v>
      </c>
      <c r="O117" s="34" t="e" cm="1">
        <f t="array" aca="1" ref="O117" ca="1">IF(AND(G117=INDIRECT("'["&amp;G117&amp;"]"&amp;E117&amp;"'!"&amp;$AH$2),OR(L117=INDIRECT("'["&amp;G117&amp;"]"&amp;E117&amp;"'!"&amp;$AA$2))),INDIRECT("'["&amp;G117&amp;"]"&amp;E117&amp;"'!"&amp;$AA$3),0)</f>
        <v>#VALUE!</v>
      </c>
      <c r="P117" s="34" t="e" cm="1">
        <f t="array" aca="1" ref="P117" ca="1">IF(AND(G117=INDIRECT("'["&amp;G117&amp;"]"&amp;E117&amp;"'!"&amp;$AH$2),OR(VALUE(I117)=INDIRECT("'["&amp;G117&amp;"]"&amp;E117&amp;"'!"&amp;$AB$2))),INDIRECT("'["&amp;G117&amp;"]"&amp;E117&amp;"'!"&amp;$AB$3),0)</f>
        <v>#VALUE!</v>
      </c>
      <c r="Q117" s="34" t="e" cm="1">
        <f t="array" aca="1" ref="Q117" ca="1">IF(AND(G117=INDIRECT("'["&amp;G117&amp;"]"&amp;E117&amp;"'!"&amp;$AH$2),OR(VALUE(I117)=INDIRECT("'["&amp;G117&amp;"]"&amp;E117&amp;"'!"&amp;$AC$2))),INDIRECT("'["&amp;G117&amp;"]"&amp;E117&amp;"'!"&amp;$AC$3),0)</f>
        <v>#VALUE!</v>
      </c>
      <c r="R117" s="34" t="e" cm="1">
        <f t="array" aca="1" ref="R117" ca="1">IF(AND(G117=INDIRECT("'["&amp;G117&amp;"]"&amp;E117&amp;"'!"&amp;$AH$2),OR(I117=INDIRECT("'["&amp;G117&amp;"]"&amp;E117&amp;"'!"&amp;$AD$2))),INDIRECT("'["&amp;G117&amp;"]"&amp;E117&amp;"'!"&amp;$AD$3),0)</f>
        <v>#VALUE!</v>
      </c>
      <c r="S117" s="34" t="e" cm="1">
        <f t="array" aca="1" ref="S117" ca="1">IF(AND(G117=INDIRECT("'["&amp;G117&amp;"]"&amp;E117&amp;"'!"&amp;$AH$2),OR(I117=INDIRECT("'["&amp;G117&amp;"]"&amp;E117&amp;"'!"&amp;$AE$2))),INDIRECT("'["&amp;G117&amp;"]"&amp;E117&amp;"'!"&amp;$AE$3),0)</f>
        <v>#VALUE!</v>
      </c>
      <c r="T117" s="35" t="e" cm="1">
        <f t="array" aca="1" ref="T117" ca="1">IF(AND(G117=INDIRECT("'["&amp;G117&amp;"]"&amp;E117&amp;"'!"&amp;$AH$2),OR(I117=INDIRECT("'["&amp;G117&amp;"]"&amp;E117&amp;"'!"&amp;$AF$2))),INDIRECT("'["&amp;G117&amp;"]"&amp;E117&amp;"'!"&amp;$AF$3),0)</f>
        <v>#VALUE!</v>
      </c>
      <c r="U117" s="34" t="e" cm="1">
        <f t="array" aca="1" ref="U117" ca="1">IF(AND(G117=INDIRECT("'["&amp;G117&amp;"]"&amp;E117&amp;"'!"&amp;$AH$2),OR(I117=INDIRECT("'["&amp;G117&amp;"]"&amp;E117&amp;"'!"&amp;$AG$2))),INDIRECT("'["&amp;G117&amp;"]"&amp;E117&amp;"'!"&amp;$AG$3),0)</f>
        <v>#VALUE!</v>
      </c>
      <c r="V117" s="25" t="str">
        <f t="shared" si="34"/>
        <v/>
      </c>
      <c r="W117" s="36" t="e" cm="1">
        <f t="array" aca="1" ref="W117" ca="1">IF(AND(G117=INDIRECT("'["&amp;G117&amp;"]"&amp;E117&amp;"'!"&amp;$AH$2),OR(V117=INDIRECT("'["&amp;G117&amp;"]"&amp;E117&amp;"'!"&amp;$AI$2))),INDIRECT("'["&amp;G117&amp;"]"&amp;E117&amp;"'!"&amp;$AI$3),0)</f>
        <v>#VALUE!</v>
      </c>
      <c r="AJ117" s="25">
        <v>1</v>
      </c>
      <c r="AK117" s="38">
        <f t="shared" ca="1" si="35"/>
        <v>0</v>
      </c>
      <c r="AL117" s="38">
        <f t="shared" ca="1" si="36"/>
        <v>0</v>
      </c>
      <c r="AM117" s="54" t="str">
        <f t="shared" ca="1" si="27"/>
        <v/>
      </c>
      <c r="AN117" s="25" t="e">
        <f t="shared" ca="1" si="37"/>
        <v>#VALUE!</v>
      </c>
      <c r="AO117" s="25" t="e">
        <f t="shared" ca="1" si="38"/>
        <v>#VALUE!</v>
      </c>
      <c r="AP117" s="39" t="str">
        <f t="shared" ca="1" si="28"/>
        <v/>
      </c>
      <c r="AQ117" s="46" t="str">
        <f ca="1">IF(AND(C117&lt;&gt;0, C118=0), SUM($C$2:C117)-SUM($AQ$1:AQ116), "")</f>
        <v/>
      </c>
      <c r="AR117" s="46" t="str">
        <f ca="1">IF(AND(AK117&lt;&gt;0, AK118=0), SUM($AK$2:AK117)-SUM($AR$1:AR116), "")</f>
        <v/>
      </c>
    </row>
    <row r="118" spans="1:44" ht="13.15" customHeight="1">
      <c r="A118" s="63"/>
      <c r="B118" s="68" t="str">
        <f t="shared" si="41"/>
        <v/>
      </c>
      <c r="C118" s="55" cm="1">
        <f t="array" aca="1" ref="C118" ca="1">SUM(IF(ISNUMBER(M118:U118),M118:U118,""))</f>
        <v>0</v>
      </c>
      <c r="D118" s="25" t="str">
        <f t="shared" si="43"/>
        <v/>
      </c>
      <c r="E118" s="25" t="e">
        <f t="shared" si="29"/>
        <v>#VALUE!</v>
      </c>
      <c r="F118" s="25" t="str">
        <f t="shared" si="42"/>
        <v/>
      </c>
      <c r="G118" s="25" t="str">
        <f t="shared" si="26"/>
        <v>.xlsx</v>
      </c>
      <c r="H118" s="29" t="e" cm="1">
        <f t="array" aca="1" ref="H118" ca="1">IF(AND(VALUE(E118)=INDIRECT("'["&amp;G118&amp;"]"&amp;E118&amp;"'!"&amp;$X$2),G118=INDIRECT("'["&amp;G118&amp;"]"&amp;E118&amp;"'!"&amp;$X$3)),INDIRECT("'["&amp;G118&amp;"]"&amp;E118&amp;"'!"&amp;$X$1),0)</f>
        <v>#VALUE!</v>
      </c>
      <c r="I118" s="25" t="str">
        <f t="shared" si="30"/>
        <v/>
      </c>
      <c r="J118" s="32" t="str">
        <f t="shared" si="31"/>
        <v/>
      </c>
      <c r="K118" s="25" t="str">
        <f t="shared" si="32"/>
        <v/>
      </c>
      <c r="L118" s="25" t="str">
        <f t="shared" si="33"/>
        <v/>
      </c>
      <c r="M118" s="33" t="e" cm="1">
        <f t="array" aca="1" ref="M118" ca="1">IF(AND(J118=INDIRECT("'["&amp;G118&amp;"]"&amp;E118&amp;"'!"&amp;$Y$2),G118=INDIRECT("'["&amp;G118&amp;"]"&amp;E118&amp;"'!"&amp;$AH$2)),INDIRECT("'["&amp;G118&amp;"]"&amp;E118&amp;"'!"&amp;$Y$3),0)</f>
        <v>#VALUE!</v>
      </c>
      <c r="N118" s="34" t="e" cm="1">
        <f t="array" aca="1" ref="N118" ca="1">IF(AND(G118=INDIRECT("'["&amp;G118&amp;"]"&amp;E118&amp;"'!"&amp;$AH$2),OR(K118=INDIRECT("'["&amp;G118&amp;"]"&amp;E118&amp;"'!"&amp;$Z$2))),INDIRECT("'["&amp;G118&amp;"]"&amp;E118&amp;"'!"&amp;$Z$3),0)</f>
        <v>#VALUE!</v>
      </c>
      <c r="O118" s="34" t="e" cm="1">
        <f t="array" aca="1" ref="O118" ca="1">IF(AND(G118=INDIRECT("'["&amp;G118&amp;"]"&amp;E118&amp;"'!"&amp;$AH$2),OR(L118=INDIRECT("'["&amp;G118&amp;"]"&amp;E118&amp;"'!"&amp;$AA$2))),INDIRECT("'["&amp;G118&amp;"]"&amp;E118&amp;"'!"&amp;$AA$3),0)</f>
        <v>#VALUE!</v>
      </c>
      <c r="P118" s="34" t="e" cm="1">
        <f t="array" aca="1" ref="P118" ca="1">IF(AND(G118=INDIRECT("'["&amp;G118&amp;"]"&amp;E118&amp;"'!"&amp;$AH$2),OR(VALUE(I118)=INDIRECT("'["&amp;G118&amp;"]"&amp;E118&amp;"'!"&amp;$AB$2))),INDIRECT("'["&amp;G118&amp;"]"&amp;E118&amp;"'!"&amp;$AB$3),0)</f>
        <v>#VALUE!</v>
      </c>
      <c r="Q118" s="34" t="e" cm="1">
        <f t="array" aca="1" ref="Q118" ca="1">IF(AND(G118=INDIRECT("'["&amp;G118&amp;"]"&amp;E118&amp;"'!"&amp;$AH$2),OR(VALUE(I118)=INDIRECT("'["&amp;G118&amp;"]"&amp;E118&amp;"'!"&amp;$AC$2))),INDIRECT("'["&amp;G118&amp;"]"&amp;E118&amp;"'!"&amp;$AC$3),0)</f>
        <v>#VALUE!</v>
      </c>
      <c r="R118" s="34" t="e" cm="1">
        <f t="array" aca="1" ref="R118" ca="1">IF(AND(G118=INDIRECT("'["&amp;G118&amp;"]"&amp;E118&amp;"'!"&amp;$AH$2),OR(I118=INDIRECT("'["&amp;G118&amp;"]"&amp;E118&amp;"'!"&amp;$AD$2))),INDIRECT("'["&amp;G118&amp;"]"&amp;E118&amp;"'!"&amp;$AD$3),0)</f>
        <v>#VALUE!</v>
      </c>
      <c r="S118" s="34" t="e" cm="1">
        <f t="array" aca="1" ref="S118" ca="1">IF(AND(G118=INDIRECT("'["&amp;G118&amp;"]"&amp;E118&amp;"'!"&amp;$AH$2),OR(I118=INDIRECT("'["&amp;G118&amp;"]"&amp;E118&amp;"'!"&amp;$AE$2))),INDIRECT("'["&amp;G118&amp;"]"&amp;E118&amp;"'!"&amp;$AE$3),0)</f>
        <v>#VALUE!</v>
      </c>
      <c r="T118" s="35" t="e" cm="1">
        <f t="array" aca="1" ref="T118" ca="1">IF(AND(G118=INDIRECT("'["&amp;G118&amp;"]"&amp;E118&amp;"'!"&amp;$AH$2),OR(I118=INDIRECT("'["&amp;G118&amp;"]"&amp;E118&amp;"'!"&amp;$AF$2))),INDIRECT("'["&amp;G118&amp;"]"&amp;E118&amp;"'!"&amp;$AF$3),0)</f>
        <v>#VALUE!</v>
      </c>
      <c r="U118" s="34" t="e" cm="1">
        <f t="array" aca="1" ref="U118" ca="1">IF(AND(G118=INDIRECT("'["&amp;G118&amp;"]"&amp;E118&amp;"'!"&amp;$AH$2),OR(I118=INDIRECT("'["&amp;G118&amp;"]"&amp;E118&amp;"'!"&amp;$AG$2))),INDIRECT("'["&amp;G118&amp;"]"&amp;E118&amp;"'!"&amp;$AG$3),0)</f>
        <v>#VALUE!</v>
      </c>
      <c r="V118" s="25" t="str">
        <f t="shared" si="34"/>
        <v/>
      </c>
      <c r="W118" s="36" t="e" cm="1">
        <f t="array" aca="1" ref="W118" ca="1">IF(AND(G118=INDIRECT("'["&amp;G118&amp;"]"&amp;E118&amp;"'!"&amp;$AH$2),OR(V118=INDIRECT("'["&amp;G118&amp;"]"&amp;E118&amp;"'!"&amp;$AI$2))),INDIRECT("'["&amp;G118&amp;"]"&amp;E118&amp;"'!"&amp;$AI$3),0)</f>
        <v>#VALUE!</v>
      </c>
      <c r="AJ118" s="25">
        <v>1</v>
      </c>
      <c r="AK118" s="38">
        <f t="shared" ca="1" si="35"/>
        <v>0</v>
      </c>
      <c r="AL118" s="38">
        <f t="shared" ca="1" si="36"/>
        <v>0</v>
      </c>
      <c r="AM118" s="54" t="str">
        <f t="shared" ca="1" si="27"/>
        <v/>
      </c>
      <c r="AN118" s="25" t="e">
        <f t="shared" ca="1" si="37"/>
        <v>#VALUE!</v>
      </c>
      <c r="AO118" s="25" t="e">
        <f t="shared" ca="1" si="38"/>
        <v>#VALUE!</v>
      </c>
      <c r="AP118" s="39" t="str">
        <f t="shared" ca="1" si="28"/>
        <v/>
      </c>
      <c r="AQ118" s="46" t="str">
        <f ca="1">IF(AND(C118&lt;&gt;0, C119=0), SUM($C$2:C118)-SUM($AQ$1:AQ117), "")</f>
        <v/>
      </c>
      <c r="AR118" s="46" t="str">
        <f ca="1">IF(AND(AK118&lt;&gt;0, AK119=0), SUM($AK$2:AK118)-SUM($AR$1:AR117), "")</f>
        <v/>
      </c>
    </row>
    <row r="119" spans="1:44" ht="13.15" customHeight="1">
      <c r="A119" s="63"/>
      <c r="B119" s="68" t="str">
        <f t="shared" si="41"/>
        <v/>
      </c>
      <c r="C119" s="55" cm="1">
        <f t="array" aca="1" ref="C119" ca="1">SUM(IF(ISNUMBER(M119:U119),M119:U119,""))</f>
        <v>0</v>
      </c>
      <c r="D119" s="25" t="str">
        <f t="shared" si="43"/>
        <v/>
      </c>
      <c r="E119" s="25" t="e">
        <f t="shared" si="29"/>
        <v>#VALUE!</v>
      </c>
      <c r="F119" s="25" t="str">
        <f t="shared" si="42"/>
        <v/>
      </c>
      <c r="G119" s="25" t="str">
        <f t="shared" si="26"/>
        <v>.xlsx</v>
      </c>
      <c r="H119" s="29" t="e" cm="1">
        <f t="array" aca="1" ref="H119" ca="1">IF(AND(VALUE(E119)=INDIRECT("'["&amp;G119&amp;"]"&amp;E119&amp;"'!"&amp;$X$2),G119=INDIRECT("'["&amp;G119&amp;"]"&amp;E119&amp;"'!"&amp;$X$3)),INDIRECT("'["&amp;G119&amp;"]"&amp;E119&amp;"'!"&amp;$X$1),0)</f>
        <v>#VALUE!</v>
      </c>
      <c r="I119" s="25" t="str">
        <f t="shared" si="30"/>
        <v/>
      </c>
      <c r="J119" s="32" t="str">
        <f t="shared" si="31"/>
        <v/>
      </c>
      <c r="K119" s="25" t="str">
        <f t="shared" si="32"/>
        <v/>
      </c>
      <c r="L119" s="25" t="str">
        <f t="shared" si="33"/>
        <v/>
      </c>
      <c r="M119" s="33" t="e" cm="1">
        <f t="array" aca="1" ref="M119" ca="1">IF(AND(J119=INDIRECT("'["&amp;G119&amp;"]"&amp;E119&amp;"'!"&amp;$Y$2),G119=INDIRECT("'["&amp;G119&amp;"]"&amp;E119&amp;"'!"&amp;$AH$2)),INDIRECT("'["&amp;G119&amp;"]"&amp;E119&amp;"'!"&amp;$Y$3),0)</f>
        <v>#VALUE!</v>
      </c>
      <c r="N119" s="34" t="e" cm="1">
        <f t="array" aca="1" ref="N119" ca="1">IF(AND(G119=INDIRECT("'["&amp;G119&amp;"]"&amp;E119&amp;"'!"&amp;$AH$2),OR(K119=INDIRECT("'["&amp;G119&amp;"]"&amp;E119&amp;"'!"&amp;$Z$2))),INDIRECT("'["&amp;G119&amp;"]"&amp;E119&amp;"'!"&amp;$Z$3),0)</f>
        <v>#VALUE!</v>
      </c>
      <c r="O119" s="34" t="e" cm="1">
        <f t="array" aca="1" ref="O119" ca="1">IF(AND(G119=INDIRECT("'["&amp;G119&amp;"]"&amp;E119&amp;"'!"&amp;$AH$2),OR(L119=INDIRECT("'["&amp;G119&amp;"]"&amp;E119&amp;"'!"&amp;$AA$2))),INDIRECT("'["&amp;G119&amp;"]"&amp;E119&amp;"'!"&amp;$AA$3),0)</f>
        <v>#VALUE!</v>
      </c>
      <c r="P119" s="34" t="e" cm="1">
        <f t="array" aca="1" ref="P119" ca="1">IF(AND(G119=INDIRECT("'["&amp;G119&amp;"]"&amp;E119&amp;"'!"&amp;$AH$2),OR(VALUE(I119)=INDIRECT("'["&amp;G119&amp;"]"&amp;E119&amp;"'!"&amp;$AB$2))),INDIRECT("'["&amp;G119&amp;"]"&amp;E119&amp;"'!"&amp;$AB$3),0)</f>
        <v>#VALUE!</v>
      </c>
      <c r="Q119" s="34" t="e" cm="1">
        <f t="array" aca="1" ref="Q119" ca="1">IF(AND(G119=INDIRECT("'["&amp;G119&amp;"]"&amp;E119&amp;"'!"&amp;$AH$2),OR(VALUE(I119)=INDIRECT("'["&amp;G119&amp;"]"&amp;E119&amp;"'!"&amp;$AC$2))),INDIRECT("'["&amp;G119&amp;"]"&amp;E119&amp;"'!"&amp;$AC$3),0)</f>
        <v>#VALUE!</v>
      </c>
      <c r="R119" s="34" t="e" cm="1">
        <f t="array" aca="1" ref="R119" ca="1">IF(AND(G119=INDIRECT("'["&amp;G119&amp;"]"&amp;E119&amp;"'!"&amp;$AH$2),OR(I119=INDIRECT("'["&amp;G119&amp;"]"&amp;E119&amp;"'!"&amp;$AD$2))),INDIRECT("'["&amp;G119&amp;"]"&amp;E119&amp;"'!"&amp;$AD$3),0)</f>
        <v>#VALUE!</v>
      </c>
      <c r="S119" s="34" t="e" cm="1">
        <f t="array" aca="1" ref="S119" ca="1">IF(AND(G119=INDIRECT("'["&amp;G119&amp;"]"&amp;E119&amp;"'!"&amp;$AH$2),OR(I119=INDIRECT("'["&amp;G119&amp;"]"&amp;E119&amp;"'!"&amp;$AE$2))),INDIRECT("'["&amp;G119&amp;"]"&amp;E119&amp;"'!"&amp;$AE$3),0)</f>
        <v>#VALUE!</v>
      </c>
      <c r="T119" s="35" t="e" cm="1">
        <f t="array" aca="1" ref="T119" ca="1">IF(AND(G119=INDIRECT("'["&amp;G119&amp;"]"&amp;E119&amp;"'!"&amp;$AH$2),OR(I119=INDIRECT("'["&amp;G119&amp;"]"&amp;E119&amp;"'!"&amp;$AF$2))),INDIRECT("'["&amp;G119&amp;"]"&amp;E119&amp;"'!"&amp;$AF$3),0)</f>
        <v>#VALUE!</v>
      </c>
      <c r="U119" s="34" t="e" cm="1">
        <f t="array" aca="1" ref="U119" ca="1">IF(AND(G119=INDIRECT("'["&amp;G119&amp;"]"&amp;E119&amp;"'!"&amp;$AH$2),OR(I119=INDIRECT("'["&amp;G119&amp;"]"&amp;E119&amp;"'!"&amp;$AG$2))),INDIRECT("'["&amp;G119&amp;"]"&amp;E119&amp;"'!"&amp;$AG$3),0)</f>
        <v>#VALUE!</v>
      </c>
      <c r="V119" s="25" t="str">
        <f t="shared" si="34"/>
        <v/>
      </c>
      <c r="W119" s="36" t="e" cm="1">
        <f t="array" aca="1" ref="W119" ca="1">IF(AND(G119=INDIRECT("'["&amp;G119&amp;"]"&amp;E119&amp;"'!"&amp;$AH$2),OR(V119=INDIRECT("'["&amp;G119&amp;"]"&amp;E119&amp;"'!"&amp;$AI$2))),INDIRECT("'["&amp;G119&amp;"]"&amp;E119&amp;"'!"&amp;$AI$3),0)</f>
        <v>#VALUE!</v>
      </c>
      <c r="AJ119" s="25">
        <v>1</v>
      </c>
      <c r="AK119" s="38">
        <f t="shared" ca="1" si="35"/>
        <v>0</v>
      </c>
      <c r="AL119" s="38">
        <f t="shared" ca="1" si="36"/>
        <v>0</v>
      </c>
      <c r="AM119" s="54" t="str">
        <f t="shared" ca="1" si="27"/>
        <v/>
      </c>
      <c r="AN119" s="25" t="e">
        <f t="shared" ca="1" si="37"/>
        <v>#VALUE!</v>
      </c>
      <c r="AO119" s="25" t="e">
        <f t="shared" ca="1" si="38"/>
        <v>#VALUE!</v>
      </c>
      <c r="AP119" s="39" t="str">
        <f t="shared" ca="1" si="28"/>
        <v/>
      </c>
      <c r="AQ119" s="46" t="str">
        <f ca="1">IF(AND(C119&lt;&gt;0, C120=0), SUM($C$2:C119)-SUM($AQ$1:AQ118), "")</f>
        <v/>
      </c>
      <c r="AR119" s="46" t="str">
        <f ca="1">IF(AND(AK119&lt;&gt;0, AK120=0), SUM($AK$2:AK119)-SUM($AR$1:AR118), "")</f>
        <v/>
      </c>
    </row>
    <row r="120" spans="1:44" ht="13.15" customHeight="1">
      <c r="A120" s="63"/>
      <c r="B120" s="68" t="str">
        <f t="shared" si="41"/>
        <v/>
      </c>
      <c r="C120" s="55" cm="1">
        <f t="array" aca="1" ref="C120" ca="1">SUM(IF(ISNUMBER(M120:U120),M120:U120,""))</f>
        <v>0</v>
      </c>
      <c r="D120" s="25" t="str">
        <f t="shared" si="43"/>
        <v/>
      </c>
      <c r="E120" s="25" t="e">
        <f t="shared" si="29"/>
        <v>#VALUE!</v>
      </c>
      <c r="F120" s="25" t="str">
        <f t="shared" si="42"/>
        <v/>
      </c>
      <c r="G120" s="25" t="str">
        <f t="shared" si="26"/>
        <v>.xlsx</v>
      </c>
      <c r="H120" s="29" t="e" cm="1">
        <f t="array" aca="1" ref="H120" ca="1">IF(AND(VALUE(E120)=INDIRECT("'["&amp;G120&amp;"]"&amp;E120&amp;"'!"&amp;$X$2),G120=INDIRECT("'["&amp;G120&amp;"]"&amp;E120&amp;"'!"&amp;$X$3)),INDIRECT("'["&amp;G120&amp;"]"&amp;E120&amp;"'!"&amp;$X$1),0)</f>
        <v>#VALUE!</v>
      </c>
      <c r="I120" s="25" t="str">
        <f t="shared" si="30"/>
        <v/>
      </c>
      <c r="J120" s="32" t="str">
        <f t="shared" si="31"/>
        <v/>
      </c>
      <c r="K120" s="25" t="str">
        <f t="shared" si="32"/>
        <v/>
      </c>
      <c r="L120" s="25" t="str">
        <f t="shared" si="33"/>
        <v/>
      </c>
      <c r="M120" s="33" t="e" cm="1">
        <f t="array" aca="1" ref="M120" ca="1">IF(AND(J120=INDIRECT("'["&amp;G120&amp;"]"&amp;E120&amp;"'!"&amp;$Y$2),G120=INDIRECT("'["&amp;G120&amp;"]"&amp;E120&amp;"'!"&amp;$AH$2)),INDIRECT("'["&amp;G120&amp;"]"&amp;E120&amp;"'!"&amp;$Y$3),0)</f>
        <v>#VALUE!</v>
      </c>
      <c r="N120" s="34" t="e" cm="1">
        <f t="array" aca="1" ref="N120" ca="1">IF(AND(G120=INDIRECT("'["&amp;G120&amp;"]"&amp;E120&amp;"'!"&amp;$AH$2),OR(K120=INDIRECT("'["&amp;G120&amp;"]"&amp;E120&amp;"'!"&amp;$Z$2))),INDIRECT("'["&amp;G120&amp;"]"&amp;E120&amp;"'!"&amp;$Z$3),0)</f>
        <v>#VALUE!</v>
      </c>
      <c r="O120" s="34" t="e" cm="1">
        <f t="array" aca="1" ref="O120" ca="1">IF(AND(G120=INDIRECT("'["&amp;G120&amp;"]"&amp;E120&amp;"'!"&amp;$AH$2),OR(L120=INDIRECT("'["&amp;G120&amp;"]"&amp;E120&amp;"'!"&amp;$AA$2))),INDIRECT("'["&amp;G120&amp;"]"&amp;E120&amp;"'!"&amp;$AA$3),0)</f>
        <v>#VALUE!</v>
      </c>
      <c r="P120" s="34" t="e" cm="1">
        <f t="array" aca="1" ref="P120" ca="1">IF(AND(G120=INDIRECT("'["&amp;G120&amp;"]"&amp;E120&amp;"'!"&amp;$AH$2),OR(VALUE(I120)=INDIRECT("'["&amp;G120&amp;"]"&amp;E120&amp;"'!"&amp;$AB$2))),INDIRECT("'["&amp;G120&amp;"]"&amp;E120&amp;"'!"&amp;$AB$3),0)</f>
        <v>#VALUE!</v>
      </c>
      <c r="Q120" s="34" t="e" cm="1">
        <f t="array" aca="1" ref="Q120" ca="1">IF(AND(G120=INDIRECT("'["&amp;G120&amp;"]"&amp;E120&amp;"'!"&amp;$AH$2),OR(VALUE(I120)=INDIRECT("'["&amp;G120&amp;"]"&amp;E120&amp;"'!"&amp;$AC$2))),INDIRECT("'["&amp;G120&amp;"]"&amp;E120&amp;"'!"&amp;$AC$3),0)</f>
        <v>#VALUE!</v>
      </c>
      <c r="R120" s="34" t="e" cm="1">
        <f t="array" aca="1" ref="R120" ca="1">IF(AND(G120=INDIRECT("'["&amp;G120&amp;"]"&amp;E120&amp;"'!"&amp;$AH$2),OR(I120=INDIRECT("'["&amp;G120&amp;"]"&amp;E120&amp;"'!"&amp;$AD$2))),INDIRECT("'["&amp;G120&amp;"]"&amp;E120&amp;"'!"&amp;$AD$3),0)</f>
        <v>#VALUE!</v>
      </c>
      <c r="S120" s="34" t="e" cm="1">
        <f t="array" aca="1" ref="S120" ca="1">IF(AND(G120=INDIRECT("'["&amp;G120&amp;"]"&amp;E120&amp;"'!"&amp;$AH$2),OR(I120=INDIRECT("'["&amp;G120&amp;"]"&amp;E120&amp;"'!"&amp;$AE$2))),INDIRECT("'["&amp;G120&amp;"]"&amp;E120&amp;"'!"&amp;$AE$3),0)</f>
        <v>#VALUE!</v>
      </c>
      <c r="T120" s="35" t="e" cm="1">
        <f t="array" aca="1" ref="T120" ca="1">IF(AND(G120=INDIRECT("'["&amp;G120&amp;"]"&amp;E120&amp;"'!"&amp;$AH$2),OR(I120=INDIRECT("'["&amp;G120&amp;"]"&amp;E120&amp;"'!"&amp;$AF$2))),INDIRECT("'["&amp;G120&amp;"]"&amp;E120&amp;"'!"&amp;$AF$3),0)</f>
        <v>#VALUE!</v>
      </c>
      <c r="U120" s="34" t="e" cm="1">
        <f t="array" aca="1" ref="U120" ca="1">IF(AND(G120=INDIRECT("'["&amp;G120&amp;"]"&amp;E120&amp;"'!"&amp;$AH$2),OR(I120=INDIRECT("'["&amp;G120&amp;"]"&amp;E120&amp;"'!"&amp;$AG$2))),INDIRECT("'["&amp;G120&amp;"]"&amp;E120&amp;"'!"&amp;$AG$3),0)</f>
        <v>#VALUE!</v>
      </c>
      <c r="V120" s="25" t="str">
        <f t="shared" si="34"/>
        <v/>
      </c>
      <c r="W120" s="36" t="e" cm="1">
        <f t="array" aca="1" ref="W120" ca="1">IF(AND(G120=INDIRECT("'["&amp;G120&amp;"]"&amp;E120&amp;"'!"&amp;$AH$2),OR(V120=INDIRECT("'["&amp;G120&amp;"]"&amp;E120&amp;"'!"&amp;$AI$2))),INDIRECT("'["&amp;G120&amp;"]"&amp;E120&amp;"'!"&amp;$AI$3),0)</f>
        <v>#VALUE!</v>
      </c>
      <c r="AJ120" s="25">
        <v>1</v>
      </c>
      <c r="AK120" s="38">
        <f t="shared" ca="1" si="35"/>
        <v>0</v>
      </c>
      <c r="AL120" s="38">
        <f t="shared" ca="1" si="36"/>
        <v>0</v>
      </c>
      <c r="AM120" s="54" t="str">
        <f t="shared" ca="1" si="27"/>
        <v/>
      </c>
      <c r="AN120" s="25" t="e">
        <f t="shared" ca="1" si="37"/>
        <v>#VALUE!</v>
      </c>
      <c r="AO120" s="25" t="e">
        <f t="shared" ca="1" si="38"/>
        <v>#VALUE!</v>
      </c>
      <c r="AP120" s="39" t="str">
        <f t="shared" ca="1" si="28"/>
        <v/>
      </c>
      <c r="AQ120" s="46" t="str">
        <f ca="1">IF(AND(C120&lt;&gt;0, C121=0), SUM($C$2:C120)-SUM($AQ$1:AQ119), "")</f>
        <v/>
      </c>
      <c r="AR120" s="46" t="str">
        <f ca="1">IF(AND(AK120&lt;&gt;0, AK121=0), SUM($AK$2:AK120)-SUM($AR$1:AR119), "")</f>
        <v/>
      </c>
    </row>
    <row r="121" spans="1:44" ht="13.15" customHeight="1">
      <c r="A121" s="63"/>
      <c r="B121" s="68" t="str">
        <f t="shared" si="41"/>
        <v/>
      </c>
      <c r="C121" s="55" cm="1">
        <f t="array" aca="1" ref="C121" ca="1">SUM(IF(ISNUMBER(M121:U121),M121:U121,""))</f>
        <v>0</v>
      </c>
      <c r="D121" s="25" t="str">
        <f t="shared" si="43"/>
        <v/>
      </c>
      <c r="E121" s="25" t="e">
        <f t="shared" si="29"/>
        <v>#VALUE!</v>
      </c>
      <c r="F121" s="25" t="str">
        <f t="shared" si="42"/>
        <v/>
      </c>
      <c r="G121" s="25" t="str">
        <f t="shared" si="26"/>
        <v>.xlsx</v>
      </c>
      <c r="H121" s="29" t="e" cm="1">
        <f t="array" aca="1" ref="H121" ca="1">IF(AND(VALUE(E121)=INDIRECT("'["&amp;G121&amp;"]"&amp;E121&amp;"'!"&amp;$X$2),G121=INDIRECT("'["&amp;G121&amp;"]"&amp;E121&amp;"'!"&amp;$X$3)),INDIRECT("'["&amp;G121&amp;"]"&amp;E121&amp;"'!"&amp;$X$1),0)</f>
        <v>#VALUE!</v>
      </c>
      <c r="I121" s="25" t="str">
        <f t="shared" si="30"/>
        <v/>
      </c>
      <c r="J121" s="32" t="str">
        <f t="shared" si="31"/>
        <v/>
      </c>
      <c r="K121" s="25" t="str">
        <f t="shared" si="32"/>
        <v/>
      </c>
      <c r="L121" s="25" t="str">
        <f t="shared" si="33"/>
        <v/>
      </c>
      <c r="M121" s="33" t="e" cm="1">
        <f t="array" aca="1" ref="M121" ca="1">IF(AND(J121=INDIRECT("'["&amp;G121&amp;"]"&amp;E121&amp;"'!"&amp;$Y$2),G121=INDIRECT("'["&amp;G121&amp;"]"&amp;E121&amp;"'!"&amp;$AH$2)),INDIRECT("'["&amp;G121&amp;"]"&amp;E121&amp;"'!"&amp;$Y$3),0)</f>
        <v>#VALUE!</v>
      </c>
      <c r="N121" s="34" t="e" cm="1">
        <f t="array" aca="1" ref="N121" ca="1">IF(AND(G121=INDIRECT("'["&amp;G121&amp;"]"&amp;E121&amp;"'!"&amp;$AH$2),OR(K121=INDIRECT("'["&amp;G121&amp;"]"&amp;E121&amp;"'!"&amp;$Z$2))),INDIRECT("'["&amp;G121&amp;"]"&amp;E121&amp;"'!"&amp;$Z$3),0)</f>
        <v>#VALUE!</v>
      </c>
      <c r="O121" s="34" t="e" cm="1">
        <f t="array" aca="1" ref="O121" ca="1">IF(AND(G121=INDIRECT("'["&amp;G121&amp;"]"&amp;E121&amp;"'!"&amp;$AH$2),OR(L121=INDIRECT("'["&amp;G121&amp;"]"&amp;E121&amp;"'!"&amp;$AA$2))),INDIRECT("'["&amp;G121&amp;"]"&amp;E121&amp;"'!"&amp;$AA$3),0)</f>
        <v>#VALUE!</v>
      </c>
      <c r="P121" s="34" t="e" cm="1">
        <f t="array" aca="1" ref="P121" ca="1">IF(AND(G121=INDIRECT("'["&amp;G121&amp;"]"&amp;E121&amp;"'!"&amp;$AH$2),OR(VALUE(I121)=INDIRECT("'["&amp;G121&amp;"]"&amp;E121&amp;"'!"&amp;$AB$2))),INDIRECT("'["&amp;G121&amp;"]"&amp;E121&amp;"'!"&amp;$AB$3),0)</f>
        <v>#VALUE!</v>
      </c>
      <c r="Q121" s="34" t="e" cm="1">
        <f t="array" aca="1" ref="Q121" ca="1">IF(AND(G121=INDIRECT("'["&amp;G121&amp;"]"&amp;E121&amp;"'!"&amp;$AH$2),OR(VALUE(I121)=INDIRECT("'["&amp;G121&amp;"]"&amp;E121&amp;"'!"&amp;$AC$2))),INDIRECT("'["&amp;G121&amp;"]"&amp;E121&amp;"'!"&amp;$AC$3),0)</f>
        <v>#VALUE!</v>
      </c>
      <c r="R121" s="34" t="e" cm="1">
        <f t="array" aca="1" ref="R121" ca="1">IF(AND(G121=INDIRECT("'["&amp;G121&amp;"]"&amp;E121&amp;"'!"&amp;$AH$2),OR(I121=INDIRECT("'["&amp;G121&amp;"]"&amp;E121&amp;"'!"&amp;$AD$2))),INDIRECT("'["&amp;G121&amp;"]"&amp;E121&amp;"'!"&amp;$AD$3),0)</f>
        <v>#VALUE!</v>
      </c>
      <c r="S121" s="34" t="e" cm="1">
        <f t="array" aca="1" ref="S121" ca="1">IF(AND(G121=INDIRECT("'["&amp;G121&amp;"]"&amp;E121&amp;"'!"&amp;$AH$2),OR(I121=INDIRECT("'["&amp;G121&amp;"]"&amp;E121&amp;"'!"&amp;$AE$2))),INDIRECT("'["&amp;G121&amp;"]"&amp;E121&amp;"'!"&amp;$AE$3),0)</f>
        <v>#VALUE!</v>
      </c>
      <c r="T121" s="35" t="e" cm="1">
        <f t="array" aca="1" ref="T121" ca="1">IF(AND(G121=INDIRECT("'["&amp;G121&amp;"]"&amp;E121&amp;"'!"&amp;$AH$2),OR(I121=INDIRECT("'["&amp;G121&amp;"]"&amp;E121&amp;"'!"&amp;$AF$2))),INDIRECT("'["&amp;G121&amp;"]"&amp;E121&amp;"'!"&amp;$AF$3),0)</f>
        <v>#VALUE!</v>
      </c>
      <c r="U121" s="34" t="e" cm="1">
        <f t="array" aca="1" ref="U121" ca="1">IF(AND(G121=INDIRECT("'["&amp;G121&amp;"]"&amp;E121&amp;"'!"&amp;$AH$2),OR(I121=INDIRECT("'["&amp;G121&amp;"]"&amp;E121&amp;"'!"&amp;$AG$2))),INDIRECT("'["&amp;G121&amp;"]"&amp;E121&amp;"'!"&amp;$AG$3),0)</f>
        <v>#VALUE!</v>
      </c>
      <c r="V121" s="25" t="str">
        <f t="shared" si="34"/>
        <v/>
      </c>
      <c r="W121" s="36" t="e" cm="1">
        <f t="array" aca="1" ref="W121" ca="1">IF(AND(G121=INDIRECT("'["&amp;G121&amp;"]"&amp;E121&amp;"'!"&amp;$AH$2),OR(V121=INDIRECT("'["&amp;G121&amp;"]"&amp;E121&amp;"'!"&amp;$AI$2))),INDIRECT("'["&amp;G121&amp;"]"&amp;E121&amp;"'!"&amp;$AI$3),0)</f>
        <v>#VALUE!</v>
      </c>
      <c r="AJ121" s="25">
        <v>1</v>
      </c>
      <c r="AK121" s="38">
        <f t="shared" ca="1" si="35"/>
        <v>0</v>
      </c>
      <c r="AL121" s="38">
        <f t="shared" ca="1" si="36"/>
        <v>0</v>
      </c>
      <c r="AM121" s="54" t="str">
        <f t="shared" ca="1" si="27"/>
        <v/>
      </c>
      <c r="AN121" s="25" t="e">
        <f t="shared" ca="1" si="37"/>
        <v>#VALUE!</v>
      </c>
      <c r="AO121" s="25" t="e">
        <f t="shared" ca="1" si="38"/>
        <v>#VALUE!</v>
      </c>
      <c r="AP121" s="39" t="str">
        <f t="shared" ca="1" si="28"/>
        <v/>
      </c>
      <c r="AQ121" s="46" t="str">
        <f ca="1">IF(AND(C121&lt;&gt;0, C122=0), SUM($C$2:C121)-SUM($AQ$1:AQ120), "")</f>
        <v/>
      </c>
      <c r="AR121" s="46" t="str">
        <f ca="1">IF(AND(AK121&lt;&gt;0, AK122=0), SUM($AK$2:AK121)-SUM($AR$1:AR120), "")</f>
        <v/>
      </c>
    </row>
    <row r="122" spans="1:44" ht="13.15" customHeight="1">
      <c r="A122" s="31"/>
      <c r="B122" s="68" t="str">
        <f t="shared" si="41"/>
        <v/>
      </c>
      <c r="C122" s="55" cm="1">
        <f t="array" aca="1" ref="C122" ca="1">SUM(IF(ISNUMBER(M122:U122),M122:U122,""))</f>
        <v>0</v>
      </c>
      <c r="D122" s="25" t="str">
        <f t="shared" si="43"/>
        <v/>
      </c>
      <c r="E122" s="25" t="e">
        <f t="shared" si="29"/>
        <v>#VALUE!</v>
      </c>
      <c r="F122" s="25" t="str">
        <f t="shared" si="42"/>
        <v/>
      </c>
      <c r="G122" s="25" t="str">
        <f t="shared" si="26"/>
        <v>.xlsx</v>
      </c>
      <c r="H122" s="29" t="e" cm="1">
        <f t="array" aca="1" ref="H122" ca="1">IF(AND(VALUE(E122)=INDIRECT("'["&amp;G122&amp;"]"&amp;E122&amp;"'!"&amp;$X$2),G122=INDIRECT("'["&amp;G122&amp;"]"&amp;E122&amp;"'!"&amp;$X$3)),INDIRECT("'["&amp;G122&amp;"]"&amp;E122&amp;"'!"&amp;$X$1),0)</f>
        <v>#VALUE!</v>
      </c>
      <c r="I122" s="25" t="str">
        <f t="shared" si="30"/>
        <v/>
      </c>
      <c r="J122" s="32" t="str">
        <f t="shared" si="31"/>
        <v/>
      </c>
      <c r="K122" s="25" t="str">
        <f t="shared" si="32"/>
        <v/>
      </c>
      <c r="L122" s="25" t="str">
        <f t="shared" si="33"/>
        <v/>
      </c>
      <c r="M122" s="33" t="e" cm="1">
        <f t="array" aca="1" ref="M122" ca="1">IF(AND(J122=INDIRECT("'["&amp;G122&amp;"]"&amp;E122&amp;"'!"&amp;$Y$2),G122=INDIRECT("'["&amp;G122&amp;"]"&amp;E122&amp;"'!"&amp;$AH$2)),INDIRECT("'["&amp;G122&amp;"]"&amp;E122&amp;"'!"&amp;$Y$3),0)</f>
        <v>#VALUE!</v>
      </c>
      <c r="N122" s="34" t="e" cm="1">
        <f t="array" aca="1" ref="N122" ca="1">IF(AND(G122=INDIRECT("'["&amp;G122&amp;"]"&amp;E122&amp;"'!"&amp;$AH$2),OR(K122=INDIRECT("'["&amp;G122&amp;"]"&amp;E122&amp;"'!"&amp;$Z$2))),INDIRECT("'["&amp;G122&amp;"]"&amp;E122&amp;"'!"&amp;$Z$3),0)</f>
        <v>#VALUE!</v>
      </c>
      <c r="O122" s="34" t="e" cm="1">
        <f t="array" aca="1" ref="O122" ca="1">IF(AND(G122=INDIRECT("'["&amp;G122&amp;"]"&amp;E122&amp;"'!"&amp;$AH$2),OR(L122=INDIRECT("'["&amp;G122&amp;"]"&amp;E122&amp;"'!"&amp;$AA$2))),INDIRECT("'["&amp;G122&amp;"]"&amp;E122&amp;"'!"&amp;$AA$3),0)</f>
        <v>#VALUE!</v>
      </c>
      <c r="P122" s="34" t="e" cm="1">
        <f t="array" aca="1" ref="P122" ca="1">IF(AND(G122=INDIRECT("'["&amp;G122&amp;"]"&amp;E122&amp;"'!"&amp;$AH$2),OR(VALUE(I122)=INDIRECT("'["&amp;G122&amp;"]"&amp;E122&amp;"'!"&amp;$AB$2))),INDIRECT("'["&amp;G122&amp;"]"&amp;E122&amp;"'!"&amp;$AB$3),0)</f>
        <v>#VALUE!</v>
      </c>
      <c r="Q122" s="34" t="e" cm="1">
        <f t="array" aca="1" ref="Q122" ca="1">IF(AND(G122=INDIRECT("'["&amp;G122&amp;"]"&amp;E122&amp;"'!"&amp;$AH$2),OR(VALUE(I122)=INDIRECT("'["&amp;G122&amp;"]"&amp;E122&amp;"'!"&amp;$AC$2))),INDIRECT("'["&amp;G122&amp;"]"&amp;E122&amp;"'!"&amp;$AC$3),0)</f>
        <v>#VALUE!</v>
      </c>
      <c r="R122" s="34" t="e" cm="1">
        <f t="array" aca="1" ref="R122" ca="1">IF(AND(G122=INDIRECT("'["&amp;G122&amp;"]"&amp;E122&amp;"'!"&amp;$AH$2),OR(I122=INDIRECT("'["&amp;G122&amp;"]"&amp;E122&amp;"'!"&amp;$AD$2))),INDIRECT("'["&amp;G122&amp;"]"&amp;E122&amp;"'!"&amp;$AD$3),0)</f>
        <v>#VALUE!</v>
      </c>
      <c r="S122" s="34" t="e" cm="1">
        <f t="array" aca="1" ref="S122" ca="1">IF(AND(G122=INDIRECT("'["&amp;G122&amp;"]"&amp;E122&amp;"'!"&amp;$AH$2),OR(I122=INDIRECT("'["&amp;G122&amp;"]"&amp;E122&amp;"'!"&amp;$AE$2))),INDIRECT("'["&amp;G122&amp;"]"&amp;E122&amp;"'!"&amp;$AE$3),0)</f>
        <v>#VALUE!</v>
      </c>
      <c r="T122" s="35" t="e" cm="1">
        <f t="array" aca="1" ref="T122" ca="1">IF(AND(G122=INDIRECT("'["&amp;G122&amp;"]"&amp;E122&amp;"'!"&amp;$AH$2),OR(I122=INDIRECT("'["&amp;G122&amp;"]"&amp;E122&amp;"'!"&amp;$AF$2))),INDIRECT("'["&amp;G122&amp;"]"&amp;E122&amp;"'!"&amp;$AF$3),0)</f>
        <v>#VALUE!</v>
      </c>
      <c r="U122" s="34" t="e" cm="1">
        <f t="array" aca="1" ref="U122" ca="1">IF(AND(G122=INDIRECT("'["&amp;G122&amp;"]"&amp;E122&amp;"'!"&amp;$AH$2),OR(I122=INDIRECT("'["&amp;G122&amp;"]"&amp;E122&amp;"'!"&amp;$AG$2))),INDIRECT("'["&amp;G122&amp;"]"&amp;E122&amp;"'!"&amp;$AG$3),0)</f>
        <v>#VALUE!</v>
      </c>
      <c r="V122" s="25" t="str">
        <f t="shared" si="34"/>
        <v/>
      </c>
      <c r="W122" s="36" t="e" cm="1">
        <f t="array" aca="1" ref="W122" ca="1">IF(AND(G122=INDIRECT("'["&amp;G122&amp;"]"&amp;E122&amp;"'!"&amp;$AH$2),OR(V122=INDIRECT("'["&amp;G122&amp;"]"&amp;E122&amp;"'!"&amp;$AI$2))),INDIRECT("'["&amp;G122&amp;"]"&amp;E122&amp;"'!"&amp;$AI$3),0)</f>
        <v>#VALUE!</v>
      </c>
      <c r="AJ122" s="25">
        <v>1</v>
      </c>
      <c r="AK122" s="38">
        <f t="shared" ca="1" si="35"/>
        <v>0</v>
      </c>
      <c r="AL122" s="38">
        <f t="shared" ca="1" si="36"/>
        <v>0</v>
      </c>
      <c r="AM122" s="54" t="str">
        <f t="shared" ca="1" si="27"/>
        <v/>
      </c>
      <c r="AN122" s="25" t="e">
        <f t="shared" ca="1" si="37"/>
        <v>#VALUE!</v>
      </c>
      <c r="AO122" s="25" t="e">
        <f t="shared" ca="1" si="38"/>
        <v>#VALUE!</v>
      </c>
      <c r="AP122" s="39" t="str">
        <f t="shared" ca="1" si="28"/>
        <v/>
      </c>
      <c r="AQ122" s="46" t="str">
        <f ca="1">IF(AND(C122&lt;&gt;0, C123=0), SUM($C$2:C122)-SUM($AQ$1:AQ121), "")</f>
        <v/>
      </c>
      <c r="AR122" s="46" t="str">
        <f ca="1">IF(AND(AK122&lt;&gt;0, AK123=0), SUM($AK$2:AK122)-SUM($AR$1:AR121), "")</f>
        <v/>
      </c>
    </row>
    <row r="123" spans="1:44" ht="13.15" customHeight="1">
      <c r="A123" s="31"/>
      <c r="B123" s="68" t="str">
        <f t="shared" si="41"/>
        <v/>
      </c>
      <c r="C123" s="55" cm="1">
        <f t="array" aca="1" ref="C123" ca="1">SUM(IF(ISNUMBER(M123:U123),M123:U123,""))</f>
        <v>0</v>
      </c>
      <c r="D123" s="25" t="str">
        <f t="shared" si="43"/>
        <v/>
      </c>
      <c r="E123" s="25" t="e">
        <f t="shared" si="29"/>
        <v>#VALUE!</v>
      </c>
      <c r="F123" s="25" t="str">
        <f t="shared" si="42"/>
        <v/>
      </c>
      <c r="G123" s="25" t="str">
        <f t="shared" si="26"/>
        <v>.xlsx</v>
      </c>
      <c r="H123" s="29" t="e" cm="1">
        <f t="array" aca="1" ref="H123" ca="1">IF(AND(VALUE(E123)=INDIRECT("'["&amp;G123&amp;"]"&amp;E123&amp;"'!"&amp;$X$2),G123=INDIRECT("'["&amp;G123&amp;"]"&amp;E123&amp;"'!"&amp;$X$3)),INDIRECT("'["&amp;G123&amp;"]"&amp;E123&amp;"'!"&amp;$X$1),0)</f>
        <v>#VALUE!</v>
      </c>
      <c r="I123" s="25" t="str">
        <f t="shared" si="30"/>
        <v/>
      </c>
      <c r="J123" s="32" t="str">
        <f t="shared" si="31"/>
        <v/>
      </c>
      <c r="K123" s="25" t="str">
        <f t="shared" si="32"/>
        <v/>
      </c>
      <c r="L123" s="25" t="str">
        <f t="shared" si="33"/>
        <v/>
      </c>
      <c r="M123" s="33" t="e" cm="1">
        <f t="array" aca="1" ref="M123" ca="1">IF(AND(J123=INDIRECT("'["&amp;G123&amp;"]"&amp;E123&amp;"'!"&amp;$Y$2),G123=INDIRECT("'["&amp;G123&amp;"]"&amp;E123&amp;"'!"&amp;$AH$2)),INDIRECT("'["&amp;G123&amp;"]"&amp;E123&amp;"'!"&amp;$Y$3),0)</f>
        <v>#VALUE!</v>
      </c>
      <c r="N123" s="34" t="e" cm="1">
        <f t="array" aca="1" ref="N123" ca="1">IF(AND(G123=INDIRECT("'["&amp;G123&amp;"]"&amp;E123&amp;"'!"&amp;$AH$2),OR(K123=INDIRECT("'["&amp;G123&amp;"]"&amp;E123&amp;"'!"&amp;$Z$2))),INDIRECT("'["&amp;G123&amp;"]"&amp;E123&amp;"'!"&amp;$Z$3),0)</f>
        <v>#VALUE!</v>
      </c>
      <c r="O123" s="34" t="e" cm="1">
        <f t="array" aca="1" ref="O123" ca="1">IF(AND(G123=INDIRECT("'["&amp;G123&amp;"]"&amp;E123&amp;"'!"&amp;$AH$2),OR(L123=INDIRECT("'["&amp;G123&amp;"]"&amp;E123&amp;"'!"&amp;$AA$2))),INDIRECT("'["&amp;G123&amp;"]"&amp;E123&amp;"'!"&amp;$AA$3),0)</f>
        <v>#VALUE!</v>
      </c>
      <c r="P123" s="34" t="e" cm="1">
        <f t="array" aca="1" ref="P123" ca="1">IF(AND(G123=INDIRECT("'["&amp;G123&amp;"]"&amp;E123&amp;"'!"&amp;$AH$2),OR(VALUE(I123)=INDIRECT("'["&amp;G123&amp;"]"&amp;E123&amp;"'!"&amp;$AB$2))),INDIRECT("'["&amp;G123&amp;"]"&amp;E123&amp;"'!"&amp;$AB$3),0)</f>
        <v>#VALUE!</v>
      </c>
      <c r="Q123" s="34" t="e" cm="1">
        <f t="array" aca="1" ref="Q123" ca="1">IF(AND(G123=INDIRECT("'["&amp;G123&amp;"]"&amp;E123&amp;"'!"&amp;$AH$2),OR(VALUE(I123)=INDIRECT("'["&amp;G123&amp;"]"&amp;E123&amp;"'!"&amp;$AC$2))),INDIRECT("'["&amp;G123&amp;"]"&amp;E123&amp;"'!"&amp;$AC$3),0)</f>
        <v>#VALUE!</v>
      </c>
      <c r="R123" s="34" t="e" cm="1">
        <f t="array" aca="1" ref="R123" ca="1">IF(AND(G123=INDIRECT("'["&amp;G123&amp;"]"&amp;E123&amp;"'!"&amp;$AH$2),OR(I123=INDIRECT("'["&amp;G123&amp;"]"&amp;E123&amp;"'!"&amp;$AD$2))),INDIRECT("'["&amp;G123&amp;"]"&amp;E123&amp;"'!"&amp;$AD$3),0)</f>
        <v>#VALUE!</v>
      </c>
      <c r="S123" s="34" t="e" cm="1">
        <f t="array" aca="1" ref="S123" ca="1">IF(AND(G123=INDIRECT("'["&amp;G123&amp;"]"&amp;E123&amp;"'!"&amp;$AH$2),OR(I123=INDIRECT("'["&amp;G123&amp;"]"&amp;E123&amp;"'!"&amp;$AE$2))),INDIRECT("'["&amp;G123&amp;"]"&amp;E123&amp;"'!"&amp;$AE$3),0)</f>
        <v>#VALUE!</v>
      </c>
      <c r="T123" s="35" t="e" cm="1">
        <f t="array" aca="1" ref="T123" ca="1">IF(AND(G123=INDIRECT("'["&amp;G123&amp;"]"&amp;E123&amp;"'!"&amp;$AH$2),OR(I123=INDIRECT("'["&amp;G123&amp;"]"&amp;E123&amp;"'!"&amp;$AF$2))),INDIRECT("'["&amp;G123&amp;"]"&amp;E123&amp;"'!"&amp;$AF$3),0)</f>
        <v>#VALUE!</v>
      </c>
      <c r="U123" s="34" t="e" cm="1">
        <f t="array" aca="1" ref="U123" ca="1">IF(AND(G123=INDIRECT("'["&amp;G123&amp;"]"&amp;E123&amp;"'!"&amp;$AH$2),OR(I123=INDIRECT("'["&amp;G123&amp;"]"&amp;E123&amp;"'!"&amp;$AG$2))),INDIRECT("'["&amp;G123&amp;"]"&amp;E123&amp;"'!"&amp;$AG$3),0)</f>
        <v>#VALUE!</v>
      </c>
      <c r="V123" s="25" t="str">
        <f t="shared" si="34"/>
        <v/>
      </c>
      <c r="W123" s="36" t="e" cm="1">
        <f t="array" aca="1" ref="W123" ca="1">IF(AND(G123=INDIRECT("'["&amp;G123&amp;"]"&amp;E123&amp;"'!"&amp;$AH$2),OR(V123=INDIRECT("'["&amp;G123&amp;"]"&amp;E123&amp;"'!"&amp;$AI$2))),INDIRECT("'["&amp;G123&amp;"]"&amp;E123&amp;"'!"&amp;$AI$3),0)</f>
        <v>#VALUE!</v>
      </c>
      <c r="AJ123" s="25">
        <v>1</v>
      </c>
      <c r="AK123" s="38">
        <f t="shared" ca="1" si="35"/>
        <v>0</v>
      </c>
      <c r="AL123" s="38">
        <f t="shared" ca="1" si="36"/>
        <v>0</v>
      </c>
      <c r="AM123" s="54" t="str">
        <f t="shared" ca="1" si="27"/>
        <v/>
      </c>
      <c r="AN123" s="25" t="e">
        <f t="shared" ca="1" si="37"/>
        <v>#VALUE!</v>
      </c>
      <c r="AO123" s="25" t="e">
        <f t="shared" ca="1" si="38"/>
        <v>#VALUE!</v>
      </c>
      <c r="AP123" s="39" t="str">
        <f t="shared" ca="1" si="28"/>
        <v/>
      </c>
      <c r="AQ123" s="46" t="str">
        <f ca="1">IF(AND(C123&lt;&gt;0, C124=0), SUM($C$2:C123)-SUM($AQ$1:AQ122), "")</f>
        <v/>
      </c>
      <c r="AR123" s="46" t="str">
        <f ca="1">IF(AND(AK123&lt;&gt;0, AK124=0), SUM($AK$2:AK123)-SUM($AR$1:AR122), "")</f>
        <v/>
      </c>
    </row>
    <row r="124" spans="1:44" ht="13.15" customHeight="1">
      <c r="A124" s="31"/>
      <c r="B124" s="68" t="str">
        <f t="shared" si="41"/>
        <v/>
      </c>
      <c r="C124" s="55" cm="1">
        <f t="array" aca="1" ref="C124" ca="1">SUM(IF(ISNUMBER(M124:U124),M124:U124,""))</f>
        <v>0</v>
      </c>
      <c r="D124" s="25" t="str">
        <f t="shared" si="43"/>
        <v/>
      </c>
      <c r="E124" s="25" t="e">
        <f t="shared" si="29"/>
        <v>#VALUE!</v>
      </c>
      <c r="F124" s="25" t="str">
        <f t="shared" si="42"/>
        <v/>
      </c>
      <c r="G124" s="25" t="str">
        <f t="shared" si="26"/>
        <v>.xlsx</v>
      </c>
      <c r="H124" s="29" t="e" cm="1">
        <f t="array" aca="1" ref="H124" ca="1">IF(AND(VALUE(E124)=INDIRECT("'["&amp;G124&amp;"]"&amp;E124&amp;"'!"&amp;$X$2),G124=INDIRECT("'["&amp;G124&amp;"]"&amp;E124&amp;"'!"&amp;$X$3)),INDIRECT("'["&amp;G124&amp;"]"&amp;E124&amp;"'!"&amp;$X$1),0)</f>
        <v>#VALUE!</v>
      </c>
      <c r="I124" s="25" t="str">
        <f t="shared" si="30"/>
        <v/>
      </c>
      <c r="J124" s="32" t="str">
        <f t="shared" si="31"/>
        <v/>
      </c>
      <c r="K124" s="25" t="str">
        <f t="shared" si="32"/>
        <v/>
      </c>
      <c r="L124" s="25" t="str">
        <f t="shared" si="33"/>
        <v/>
      </c>
      <c r="M124" s="33" t="e" cm="1">
        <f t="array" aca="1" ref="M124" ca="1">IF(AND(J124=INDIRECT("'["&amp;G124&amp;"]"&amp;E124&amp;"'!"&amp;$Y$2),G124=INDIRECT("'["&amp;G124&amp;"]"&amp;E124&amp;"'!"&amp;$AH$2)),INDIRECT("'["&amp;G124&amp;"]"&amp;E124&amp;"'!"&amp;$Y$3),0)</f>
        <v>#VALUE!</v>
      </c>
      <c r="N124" s="34" t="e" cm="1">
        <f t="array" aca="1" ref="N124" ca="1">IF(AND(G124=INDIRECT("'["&amp;G124&amp;"]"&amp;E124&amp;"'!"&amp;$AH$2),OR(K124=INDIRECT("'["&amp;G124&amp;"]"&amp;E124&amp;"'!"&amp;$Z$2))),INDIRECT("'["&amp;G124&amp;"]"&amp;E124&amp;"'!"&amp;$Z$3),0)</f>
        <v>#VALUE!</v>
      </c>
      <c r="O124" s="34" t="e" cm="1">
        <f t="array" aca="1" ref="O124" ca="1">IF(AND(G124=INDIRECT("'["&amp;G124&amp;"]"&amp;E124&amp;"'!"&amp;$AH$2),OR(L124=INDIRECT("'["&amp;G124&amp;"]"&amp;E124&amp;"'!"&amp;$AA$2))),INDIRECT("'["&amp;G124&amp;"]"&amp;E124&amp;"'!"&amp;$AA$3),0)</f>
        <v>#VALUE!</v>
      </c>
      <c r="P124" s="34" t="e" cm="1">
        <f t="array" aca="1" ref="P124" ca="1">IF(AND(G124=INDIRECT("'["&amp;G124&amp;"]"&amp;E124&amp;"'!"&amp;$AH$2),OR(VALUE(I124)=INDIRECT("'["&amp;G124&amp;"]"&amp;E124&amp;"'!"&amp;$AB$2))),INDIRECT("'["&amp;G124&amp;"]"&amp;E124&amp;"'!"&amp;$AB$3),0)</f>
        <v>#VALUE!</v>
      </c>
      <c r="Q124" s="34" t="e" cm="1">
        <f t="array" aca="1" ref="Q124" ca="1">IF(AND(G124=INDIRECT("'["&amp;G124&amp;"]"&amp;E124&amp;"'!"&amp;$AH$2),OR(VALUE(I124)=INDIRECT("'["&amp;G124&amp;"]"&amp;E124&amp;"'!"&amp;$AC$2))),INDIRECT("'["&amp;G124&amp;"]"&amp;E124&amp;"'!"&amp;$AC$3),0)</f>
        <v>#VALUE!</v>
      </c>
      <c r="R124" s="34" t="e" cm="1">
        <f t="array" aca="1" ref="R124" ca="1">IF(AND(G124=INDIRECT("'["&amp;G124&amp;"]"&amp;E124&amp;"'!"&amp;$AH$2),OR(I124=INDIRECT("'["&amp;G124&amp;"]"&amp;E124&amp;"'!"&amp;$AD$2))),INDIRECT("'["&amp;G124&amp;"]"&amp;E124&amp;"'!"&amp;$AD$3),0)</f>
        <v>#VALUE!</v>
      </c>
      <c r="S124" s="34" t="e" cm="1">
        <f t="array" aca="1" ref="S124" ca="1">IF(AND(G124=INDIRECT("'["&amp;G124&amp;"]"&amp;E124&amp;"'!"&amp;$AH$2),OR(I124=INDIRECT("'["&amp;G124&amp;"]"&amp;E124&amp;"'!"&amp;$AE$2))),INDIRECT("'["&amp;G124&amp;"]"&amp;E124&amp;"'!"&amp;$AE$3),0)</f>
        <v>#VALUE!</v>
      </c>
      <c r="T124" s="35" t="e" cm="1">
        <f t="array" aca="1" ref="T124" ca="1">IF(AND(G124=INDIRECT("'["&amp;G124&amp;"]"&amp;E124&amp;"'!"&amp;$AH$2),OR(I124=INDIRECT("'["&amp;G124&amp;"]"&amp;E124&amp;"'!"&amp;$AF$2))),INDIRECT("'["&amp;G124&amp;"]"&amp;E124&amp;"'!"&amp;$AF$3),0)</f>
        <v>#VALUE!</v>
      </c>
      <c r="U124" s="34" t="e" cm="1">
        <f t="array" aca="1" ref="U124" ca="1">IF(AND(G124=INDIRECT("'["&amp;G124&amp;"]"&amp;E124&amp;"'!"&amp;$AH$2),OR(I124=INDIRECT("'["&amp;G124&amp;"]"&amp;E124&amp;"'!"&amp;$AG$2))),INDIRECT("'["&amp;G124&amp;"]"&amp;E124&amp;"'!"&amp;$AG$3),0)</f>
        <v>#VALUE!</v>
      </c>
      <c r="V124" s="25" t="str">
        <f t="shared" si="34"/>
        <v/>
      </c>
      <c r="W124" s="36" t="e" cm="1">
        <f t="array" aca="1" ref="W124" ca="1">IF(AND(G124=INDIRECT("'["&amp;G124&amp;"]"&amp;E124&amp;"'!"&amp;$AH$2),OR(V124=INDIRECT("'["&amp;G124&amp;"]"&amp;E124&amp;"'!"&amp;$AI$2))),INDIRECT("'["&amp;G124&amp;"]"&amp;E124&amp;"'!"&amp;$AI$3),0)</f>
        <v>#VALUE!</v>
      </c>
      <c r="AJ124" s="25">
        <v>1</v>
      </c>
      <c r="AK124" s="38">
        <f t="shared" ca="1" si="35"/>
        <v>0</v>
      </c>
      <c r="AL124" s="38">
        <f t="shared" ca="1" si="36"/>
        <v>0</v>
      </c>
      <c r="AM124" s="54" t="str">
        <f t="shared" ca="1" si="27"/>
        <v/>
      </c>
      <c r="AN124" s="25" t="e">
        <f t="shared" ca="1" si="37"/>
        <v>#VALUE!</v>
      </c>
      <c r="AO124" s="25" t="e">
        <f t="shared" ca="1" si="38"/>
        <v>#VALUE!</v>
      </c>
      <c r="AP124" s="39" t="str">
        <f t="shared" ca="1" si="28"/>
        <v/>
      </c>
      <c r="AQ124" s="46" t="str">
        <f ca="1">IF(AND(C124&lt;&gt;0, C125=0), SUM($C$2:C124)-SUM($AQ$1:AQ123), "")</f>
        <v/>
      </c>
      <c r="AR124" s="46" t="str">
        <f ca="1">IF(AND(AK124&lt;&gt;0, AK125=0), SUM($AK$2:AK124)-SUM($AR$1:AR123), "")</f>
        <v/>
      </c>
    </row>
    <row r="125" spans="1:44" ht="13.15" customHeight="1">
      <c r="A125" s="31"/>
      <c r="B125" s="68" t="str">
        <f t="shared" si="41"/>
        <v/>
      </c>
      <c r="C125" s="55" cm="1">
        <f t="array" aca="1" ref="C125" ca="1">SUM(IF(ISNUMBER(M125:U125),M125:U125,""))</f>
        <v>0</v>
      </c>
      <c r="D125" s="25" t="str">
        <f t="shared" si="43"/>
        <v/>
      </c>
      <c r="E125" s="25" t="e">
        <f t="shared" si="29"/>
        <v>#VALUE!</v>
      </c>
      <c r="F125" s="25" t="str">
        <f t="shared" si="42"/>
        <v/>
      </c>
      <c r="G125" s="25" t="str">
        <f t="shared" si="26"/>
        <v>.xlsx</v>
      </c>
      <c r="H125" s="29" t="e" cm="1">
        <f t="array" aca="1" ref="H125" ca="1">IF(AND(VALUE(E125)=INDIRECT("'["&amp;G125&amp;"]"&amp;E125&amp;"'!"&amp;$X$2),G125=INDIRECT("'["&amp;G125&amp;"]"&amp;E125&amp;"'!"&amp;$X$3)),INDIRECT("'["&amp;G125&amp;"]"&amp;E125&amp;"'!"&amp;$X$1),0)</f>
        <v>#VALUE!</v>
      </c>
      <c r="I125" s="25" t="str">
        <f t="shared" si="30"/>
        <v/>
      </c>
      <c r="J125" s="32" t="str">
        <f t="shared" si="31"/>
        <v/>
      </c>
      <c r="K125" s="25" t="str">
        <f t="shared" si="32"/>
        <v/>
      </c>
      <c r="L125" s="25" t="str">
        <f t="shared" si="33"/>
        <v/>
      </c>
      <c r="M125" s="33" t="e" cm="1">
        <f t="array" aca="1" ref="M125" ca="1">IF(AND(J125=INDIRECT("'["&amp;G125&amp;"]"&amp;E125&amp;"'!"&amp;$Y$2),G125=INDIRECT("'["&amp;G125&amp;"]"&amp;E125&amp;"'!"&amp;$AH$2)),INDIRECT("'["&amp;G125&amp;"]"&amp;E125&amp;"'!"&amp;$Y$3),0)</f>
        <v>#VALUE!</v>
      </c>
      <c r="N125" s="34" t="e" cm="1">
        <f t="array" aca="1" ref="N125" ca="1">IF(AND(G125=INDIRECT("'["&amp;G125&amp;"]"&amp;E125&amp;"'!"&amp;$AH$2),OR(K125=INDIRECT("'["&amp;G125&amp;"]"&amp;E125&amp;"'!"&amp;$Z$2))),INDIRECT("'["&amp;G125&amp;"]"&amp;E125&amp;"'!"&amp;$Z$3),0)</f>
        <v>#VALUE!</v>
      </c>
      <c r="O125" s="34" t="e" cm="1">
        <f t="array" aca="1" ref="O125" ca="1">IF(AND(G125=INDIRECT("'["&amp;G125&amp;"]"&amp;E125&amp;"'!"&amp;$AH$2),OR(L125=INDIRECT("'["&amp;G125&amp;"]"&amp;E125&amp;"'!"&amp;$AA$2))),INDIRECT("'["&amp;G125&amp;"]"&amp;E125&amp;"'!"&amp;$AA$3),0)</f>
        <v>#VALUE!</v>
      </c>
      <c r="P125" s="34" t="e" cm="1">
        <f t="array" aca="1" ref="P125" ca="1">IF(AND(G125=INDIRECT("'["&amp;G125&amp;"]"&amp;E125&amp;"'!"&amp;$AH$2),OR(VALUE(I125)=INDIRECT("'["&amp;G125&amp;"]"&amp;E125&amp;"'!"&amp;$AB$2))),INDIRECT("'["&amp;G125&amp;"]"&amp;E125&amp;"'!"&amp;$AB$3),0)</f>
        <v>#VALUE!</v>
      </c>
      <c r="Q125" s="34" t="e" cm="1">
        <f t="array" aca="1" ref="Q125" ca="1">IF(AND(G125=INDIRECT("'["&amp;G125&amp;"]"&amp;E125&amp;"'!"&amp;$AH$2),OR(VALUE(I125)=INDIRECT("'["&amp;G125&amp;"]"&amp;E125&amp;"'!"&amp;$AC$2))),INDIRECT("'["&amp;G125&amp;"]"&amp;E125&amp;"'!"&amp;$AC$3),0)</f>
        <v>#VALUE!</v>
      </c>
      <c r="R125" s="34" t="e" cm="1">
        <f t="array" aca="1" ref="R125" ca="1">IF(AND(G125=INDIRECT("'["&amp;G125&amp;"]"&amp;E125&amp;"'!"&amp;$AH$2),OR(I125=INDIRECT("'["&amp;G125&amp;"]"&amp;E125&amp;"'!"&amp;$AD$2))),INDIRECT("'["&amp;G125&amp;"]"&amp;E125&amp;"'!"&amp;$AD$3),0)</f>
        <v>#VALUE!</v>
      </c>
      <c r="S125" s="34" t="e" cm="1">
        <f t="array" aca="1" ref="S125" ca="1">IF(AND(G125=INDIRECT("'["&amp;G125&amp;"]"&amp;E125&amp;"'!"&amp;$AH$2),OR(I125=INDIRECT("'["&amp;G125&amp;"]"&amp;E125&amp;"'!"&amp;$AE$2))),INDIRECT("'["&amp;G125&amp;"]"&amp;E125&amp;"'!"&amp;$AE$3),0)</f>
        <v>#VALUE!</v>
      </c>
      <c r="T125" s="35" t="e" cm="1">
        <f t="array" aca="1" ref="T125" ca="1">IF(AND(G125=INDIRECT("'["&amp;G125&amp;"]"&amp;E125&amp;"'!"&amp;$AH$2),OR(I125=INDIRECT("'["&amp;G125&amp;"]"&amp;E125&amp;"'!"&amp;$AF$2))),INDIRECT("'["&amp;G125&amp;"]"&amp;E125&amp;"'!"&amp;$AF$3),0)</f>
        <v>#VALUE!</v>
      </c>
      <c r="U125" s="34" t="e" cm="1">
        <f t="array" aca="1" ref="U125" ca="1">IF(AND(G125=INDIRECT("'["&amp;G125&amp;"]"&amp;E125&amp;"'!"&amp;$AH$2),OR(I125=INDIRECT("'["&amp;G125&amp;"]"&amp;E125&amp;"'!"&amp;$AG$2))),INDIRECT("'["&amp;G125&amp;"]"&amp;E125&amp;"'!"&amp;$AG$3),0)</f>
        <v>#VALUE!</v>
      </c>
      <c r="V125" s="25" t="str">
        <f t="shared" si="34"/>
        <v/>
      </c>
      <c r="W125" s="36" t="e" cm="1">
        <f t="array" aca="1" ref="W125" ca="1">IF(AND(G125=INDIRECT("'["&amp;G125&amp;"]"&amp;E125&amp;"'!"&amp;$AH$2),OR(V125=INDIRECT("'["&amp;G125&amp;"]"&amp;E125&amp;"'!"&amp;$AI$2))),INDIRECT("'["&amp;G125&amp;"]"&amp;E125&amp;"'!"&amp;$AI$3),0)</f>
        <v>#VALUE!</v>
      </c>
      <c r="AJ125" s="25">
        <v>1</v>
      </c>
      <c r="AK125" s="38">
        <f t="shared" ca="1" si="35"/>
        <v>0</v>
      </c>
      <c r="AL125" s="38">
        <f t="shared" ca="1" si="36"/>
        <v>0</v>
      </c>
      <c r="AM125" s="54" t="str">
        <f t="shared" ca="1" si="27"/>
        <v/>
      </c>
      <c r="AN125" s="25" t="e">
        <f t="shared" ca="1" si="37"/>
        <v>#VALUE!</v>
      </c>
      <c r="AO125" s="25" t="e">
        <f t="shared" ca="1" si="38"/>
        <v>#VALUE!</v>
      </c>
      <c r="AP125" s="39" t="str">
        <f t="shared" ca="1" si="28"/>
        <v/>
      </c>
      <c r="AQ125" s="46" t="str">
        <f ca="1">IF(AND(C125&lt;&gt;0, C126=0), SUM($C$2:C125)-SUM($AQ$1:AQ124), "")</f>
        <v/>
      </c>
      <c r="AR125" s="46" t="str">
        <f ca="1">IF(AND(AK125&lt;&gt;0, AK126=0), SUM($AK$2:AK125)-SUM($AR$1:AR124), "")</f>
        <v/>
      </c>
    </row>
    <row r="126" spans="1:44" ht="13.15" customHeight="1">
      <c r="A126" s="31"/>
      <c r="B126" s="68" t="str">
        <f t="shared" si="41"/>
        <v/>
      </c>
      <c r="C126" s="55" cm="1">
        <f t="array" aca="1" ref="C126" ca="1">SUM(IF(ISNUMBER(M126:U126),M126:U126,""))</f>
        <v>0</v>
      </c>
      <c r="D126" s="25" t="str">
        <f t="shared" si="43"/>
        <v/>
      </c>
      <c r="E126" s="25" t="e">
        <f t="shared" si="29"/>
        <v>#VALUE!</v>
      </c>
      <c r="F126" s="25" t="str">
        <f t="shared" si="42"/>
        <v/>
      </c>
      <c r="G126" s="25" t="str">
        <f t="shared" si="26"/>
        <v>.xlsx</v>
      </c>
      <c r="H126" s="29" t="e" cm="1">
        <f t="array" aca="1" ref="H126" ca="1">IF(AND(VALUE(E126)=INDIRECT("'["&amp;G126&amp;"]"&amp;E126&amp;"'!"&amp;$X$2),G126=INDIRECT("'["&amp;G126&amp;"]"&amp;E126&amp;"'!"&amp;$X$3)),INDIRECT("'["&amp;G126&amp;"]"&amp;E126&amp;"'!"&amp;$X$1),0)</f>
        <v>#VALUE!</v>
      </c>
      <c r="I126" s="25" t="str">
        <f t="shared" si="30"/>
        <v/>
      </c>
      <c r="J126" s="32" t="str">
        <f t="shared" si="31"/>
        <v/>
      </c>
      <c r="K126" s="25" t="str">
        <f t="shared" si="32"/>
        <v/>
      </c>
      <c r="L126" s="25" t="str">
        <f t="shared" si="33"/>
        <v/>
      </c>
      <c r="M126" s="33" t="e" cm="1">
        <f t="array" aca="1" ref="M126" ca="1">IF(AND(J126=INDIRECT("'["&amp;G126&amp;"]"&amp;E126&amp;"'!"&amp;$Y$2),G126=INDIRECT("'["&amp;G126&amp;"]"&amp;E126&amp;"'!"&amp;$AH$2)),INDIRECT("'["&amp;G126&amp;"]"&amp;E126&amp;"'!"&amp;$Y$3),0)</f>
        <v>#VALUE!</v>
      </c>
      <c r="N126" s="34" t="e" cm="1">
        <f t="array" aca="1" ref="N126" ca="1">IF(AND(G126=INDIRECT("'["&amp;G126&amp;"]"&amp;E126&amp;"'!"&amp;$AH$2),OR(K126=INDIRECT("'["&amp;G126&amp;"]"&amp;E126&amp;"'!"&amp;$Z$2))),INDIRECT("'["&amp;G126&amp;"]"&amp;E126&amp;"'!"&amp;$Z$3),0)</f>
        <v>#VALUE!</v>
      </c>
      <c r="O126" s="34" t="e" cm="1">
        <f t="array" aca="1" ref="O126" ca="1">IF(AND(G126=INDIRECT("'["&amp;G126&amp;"]"&amp;E126&amp;"'!"&amp;$AH$2),OR(L126=INDIRECT("'["&amp;G126&amp;"]"&amp;E126&amp;"'!"&amp;$AA$2))),INDIRECT("'["&amp;G126&amp;"]"&amp;E126&amp;"'!"&amp;$AA$3),0)</f>
        <v>#VALUE!</v>
      </c>
      <c r="P126" s="34" t="e" cm="1">
        <f t="array" aca="1" ref="P126" ca="1">IF(AND(G126=INDIRECT("'["&amp;G126&amp;"]"&amp;E126&amp;"'!"&amp;$AH$2),OR(VALUE(I126)=INDIRECT("'["&amp;G126&amp;"]"&amp;E126&amp;"'!"&amp;$AB$2))),INDIRECT("'["&amp;G126&amp;"]"&amp;E126&amp;"'!"&amp;$AB$3),0)</f>
        <v>#VALUE!</v>
      </c>
      <c r="Q126" s="34" t="e" cm="1">
        <f t="array" aca="1" ref="Q126" ca="1">IF(AND(G126=INDIRECT("'["&amp;G126&amp;"]"&amp;E126&amp;"'!"&amp;$AH$2),OR(VALUE(I126)=INDIRECT("'["&amp;G126&amp;"]"&amp;E126&amp;"'!"&amp;$AC$2))),INDIRECT("'["&amp;G126&amp;"]"&amp;E126&amp;"'!"&amp;$AC$3),0)</f>
        <v>#VALUE!</v>
      </c>
      <c r="R126" s="34" t="e" cm="1">
        <f t="array" aca="1" ref="R126" ca="1">IF(AND(G126=INDIRECT("'["&amp;G126&amp;"]"&amp;E126&amp;"'!"&amp;$AH$2),OR(I126=INDIRECT("'["&amp;G126&amp;"]"&amp;E126&amp;"'!"&amp;$AD$2))),INDIRECT("'["&amp;G126&amp;"]"&amp;E126&amp;"'!"&amp;$AD$3),0)</f>
        <v>#VALUE!</v>
      </c>
      <c r="S126" s="34" t="e" cm="1">
        <f t="array" aca="1" ref="S126" ca="1">IF(AND(G126=INDIRECT("'["&amp;G126&amp;"]"&amp;E126&amp;"'!"&amp;$AH$2),OR(I126=INDIRECT("'["&amp;G126&amp;"]"&amp;E126&amp;"'!"&amp;$AE$2))),INDIRECT("'["&amp;G126&amp;"]"&amp;E126&amp;"'!"&amp;$AE$3),0)</f>
        <v>#VALUE!</v>
      </c>
      <c r="T126" s="35" t="e" cm="1">
        <f t="array" aca="1" ref="T126" ca="1">IF(AND(G126=INDIRECT("'["&amp;G126&amp;"]"&amp;E126&amp;"'!"&amp;$AH$2),OR(I126=INDIRECT("'["&amp;G126&amp;"]"&amp;E126&amp;"'!"&amp;$AF$2))),INDIRECT("'["&amp;G126&amp;"]"&amp;E126&amp;"'!"&amp;$AF$3),0)</f>
        <v>#VALUE!</v>
      </c>
      <c r="U126" s="34" t="e" cm="1">
        <f t="array" aca="1" ref="U126" ca="1">IF(AND(G126=INDIRECT("'["&amp;G126&amp;"]"&amp;E126&amp;"'!"&amp;$AH$2),OR(I126=INDIRECT("'["&amp;G126&amp;"]"&amp;E126&amp;"'!"&amp;$AG$2))),INDIRECT("'["&amp;G126&amp;"]"&amp;E126&amp;"'!"&amp;$AG$3),0)</f>
        <v>#VALUE!</v>
      </c>
      <c r="V126" s="25" t="str">
        <f t="shared" si="34"/>
        <v/>
      </c>
      <c r="W126" s="36" t="e" cm="1">
        <f t="array" aca="1" ref="W126" ca="1">IF(AND(G126=INDIRECT("'["&amp;G126&amp;"]"&amp;E126&amp;"'!"&amp;$AH$2),OR(V126=INDIRECT("'["&amp;G126&amp;"]"&amp;E126&amp;"'!"&amp;$AI$2))),INDIRECT("'["&amp;G126&amp;"]"&amp;E126&amp;"'!"&amp;$AI$3),0)</f>
        <v>#VALUE!</v>
      </c>
      <c r="AJ126" s="25">
        <v>1</v>
      </c>
      <c r="AK126" s="38">
        <f t="shared" ca="1" si="35"/>
        <v>0</v>
      </c>
      <c r="AL126" s="38">
        <f t="shared" ca="1" si="36"/>
        <v>0</v>
      </c>
      <c r="AM126" s="54" t="str">
        <f t="shared" ca="1" si="27"/>
        <v/>
      </c>
      <c r="AN126" s="25" t="e">
        <f t="shared" ca="1" si="37"/>
        <v>#VALUE!</v>
      </c>
      <c r="AO126" s="25" t="e">
        <f t="shared" ca="1" si="38"/>
        <v>#VALUE!</v>
      </c>
      <c r="AP126" s="39" t="str">
        <f t="shared" ca="1" si="28"/>
        <v/>
      </c>
      <c r="AQ126" s="46" t="str">
        <f ca="1">IF(AND(C126&lt;&gt;0, C127=0), SUM($C$2:C126)-SUM($AQ$1:AQ125), "")</f>
        <v/>
      </c>
      <c r="AR126" s="46" t="str">
        <f ca="1">IF(AND(AK126&lt;&gt;0, AK127=0), SUM($AK$2:AK126)-SUM($AR$1:AR125), "")</f>
        <v/>
      </c>
    </row>
    <row r="127" spans="1:44" ht="13.15" customHeight="1">
      <c r="A127" s="31"/>
      <c r="B127" s="68" t="str">
        <f t="shared" si="41"/>
        <v/>
      </c>
      <c r="C127" s="55" cm="1">
        <f t="array" aca="1" ref="C127" ca="1">SUM(IF(ISNUMBER(M127:U127),M127:U127,""))</f>
        <v>0</v>
      </c>
      <c r="D127" s="25" t="str">
        <f t="shared" si="43"/>
        <v/>
      </c>
      <c r="E127" s="25" t="e">
        <f t="shared" si="29"/>
        <v>#VALUE!</v>
      </c>
      <c r="F127" s="25" t="str">
        <f t="shared" si="42"/>
        <v/>
      </c>
      <c r="G127" s="25" t="str">
        <f t="shared" si="26"/>
        <v>.xlsx</v>
      </c>
      <c r="H127" s="29" t="e" cm="1">
        <f t="array" aca="1" ref="H127" ca="1">IF(AND(VALUE(E127)=INDIRECT("'["&amp;G127&amp;"]"&amp;E127&amp;"'!"&amp;$X$2),G127=INDIRECT("'["&amp;G127&amp;"]"&amp;E127&amp;"'!"&amp;$X$3)),INDIRECT("'["&amp;G127&amp;"]"&amp;E127&amp;"'!"&amp;$X$1),0)</f>
        <v>#VALUE!</v>
      </c>
      <c r="I127" s="25" t="str">
        <f t="shared" si="30"/>
        <v/>
      </c>
      <c r="J127" s="32" t="str">
        <f t="shared" si="31"/>
        <v/>
      </c>
      <c r="K127" s="25" t="str">
        <f t="shared" si="32"/>
        <v/>
      </c>
      <c r="L127" s="25" t="str">
        <f t="shared" si="33"/>
        <v/>
      </c>
      <c r="M127" s="33" t="e" cm="1">
        <f t="array" aca="1" ref="M127" ca="1">IF(AND(J127=INDIRECT("'["&amp;G127&amp;"]"&amp;E127&amp;"'!"&amp;$Y$2),G127=INDIRECT("'["&amp;G127&amp;"]"&amp;E127&amp;"'!"&amp;$AH$2)),INDIRECT("'["&amp;G127&amp;"]"&amp;E127&amp;"'!"&amp;$Y$3),0)</f>
        <v>#VALUE!</v>
      </c>
      <c r="N127" s="34" t="e" cm="1">
        <f t="array" aca="1" ref="N127" ca="1">IF(AND(G127=INDIRECT("'["&amp;G127&amp;"]"&amp;E127&amp;"'!"&amp;$AH$2),OR(K127=INDIRECT("'["&amp;G127&amp;"]"&amp;E127&amp;"'!"&amp;$Z$2))),INDIRECT("'["&amp;G127&amp;"]"&amp;E127&amp;"'!"&amp;$Z$3),0)</f>
        <v>#VALUE!</v>
      </c>
      <c r="O127" s="34" t="e" cm="1">
        <f t="array" aca="1" ref="O127" ca="1">IF(AND(G127=INDIRECT("'["&amp;G127&amp;"]"&amp;E127&amp;"'!"&amp;$AH$2),OR(L127=INDIRECT("'["&amp;G127&amp;"]"&amp;E127&amp;"'!"&amp;$AA$2))),INDIRECT("'["&amp;G127&amp;"]"&amp;E127&amp;"'!"&amp;$AA$3),0)</f>
        <v>#VALUE!</v>
      </c>
      <c r="P127" s="34" t="e" cm="1">
        <f t="array" aca="1" ref="P127" ca="1">IF(AND(G127=INDIRECT("'["&amp;G127&amp;"]"&amp;E127&amp;"'!"&amp;$AH$2),OR(VALUE(I127)=INDIRECT("'["&amp;G127&amp;"]"&amp;E127&amp;"'!"&amp;$AB$2))),INDIRECT("'["&amp;G127&amp;"]"&amp;E127&amp;"'!"&amp;$AB$3),0)</f>
        <v>#VALUE!</v>
      </c>
      <c r="Q127" s="34" t="e" cm="1">
        <f t="array" aca="1" ref="Q127" ca="1">IF(AND(G127=INDIRECT("'["&amp;G127&amp;"]"&amp;E127&amp;"'!"&amp;$AH$2),OR(VALUE(I127)=INDIRECT("'["&amp;G127&amp;"]"&amp;E127&amp;"'!"&amp;$AC$2))),INDIRECT("'["&amp;G127&amp;"]"&amp;E127&amp;"'!"&amp;$AC$3),0)</f>
        <v>#VALUE!</v>
      </c>
      <c r="R127" s="34" t="e" cm="1">
        <f t="array" aca="1" ref="R127" ca="1">IF(AND(G127=INDIRECT("'["&amp;G127&amp;"]"&amp;E127&amp;"'!"&amp;$AH$2),OR(I127=INDIRECT("'["&amp;G127&amp;"]"&amp;E127&amp;"'!"&amp;$AD$2))),INDIRECT("'["&amp;G127&amp;"]"&amp;E127&amp;"'!"&amp;$AD$3),0)</f>
        <v>#VALUE!</v>
      </c>
      <c r="S127" s="34" t="e" cm="1">
        <f t="array" aca="1" ref="S127" ca="1">IF(AND(G127=INDIRECT("'["&amp;G127&amp;"]"&amp;E127&amp;"'!"&amp;$AH$2),OR(I127=INDIRECT("'["&amp;G127&amp;"]"&amp;E127&amp;"'!"&amp;$AE$2))),INDIRECT("'["&amp;G127&amp;"]"&amp;E127&amp;"'!"&amp;$AE$3),0)</f>
        <v>#VALUE!</v>
      </c>
      <c r="T127" s="35" t="e" cm="1">
        <f t="array" aca="1" ref="T127" ca="1">IF(AND(G127=INDIRECT("'["&amp;G127&amp;"]"&amp;E127&amp;"'!"&amp;$AH$2),OR(I127=INDIRECT("'["&amp;G127&amp;"]"&amp;E127&amp;"'!"&amp;$AF$2))),INDIRECT("'["&amp;G127&amp;"]"&amp;E127&amp;"'!"&amp;$AF$3),0)</f>
        <v>#VALUE!</v>
      </c>
      <c r="U127" s="34" t="e" cm="1">
        <f t="array" aca="1" ref="U127" ca="1">IF(AND(G127=INDIRECT("'["&amp;G127&amp;"]"&amp;E127&amp;"'!"&amp;$AH$2),OR(I127=INDIRECT("'["&amp;G127&amp;"]"&amp;E127&amp;"'!"&amp;$AG$2))),INDIRECT("'["&amp;G127&amp;"]"&amp;E127&amp;"'!"&amp;$AG$3),0)</f>
        <v>#VALUE!</v>
      </c>
      <c r="V127" s="25" t="str">
        <f t="shared" si="34"/>
        <v/>
      </c>
      <c r="W127" s="36" t="e" cm="1">
        <f t="array" aca="1" ref="W127" ca="1">IF(AND(G127=INDIRECT("'["&amp;G127&amp;"]"&amp;E127&amp;"'!"&amp;$AH$2),OR(V127=INDIRECT("'["&amp;G127&amp;"]"&amp;E127&amp;"'!"&amp;$AI$2))),INDIRECT("'["&amp;G127&amp;"]"&amp;E127&amp;"'!"&amp;$AI$3),0)</f>
        <v>#VALUE!</v>
      </c>
      <c r="AJ127" s="25">
        <v>1</v>
      </c>
      <c r="AK127" s="38">
        <f t="shared" ca="1" si="35"/>
        <v>0</v>
      </c>
      <c r="AL127" s="38">
        <f t="shared" ca="1" si="36"/>
        <v>0</v>
      </c>
      <c r="AM127" s="54" t="str">
        <f t="shared" ca="1" si="27"/>
        <v/>
      </c>
      <c r="AN127" s="25" t="e">
        <f t="shared" ca="1" si="37"/>
        <v>#VALUE!</v>
      </c>
      <c r="AO127" s="25" t="e">
        <f t="shared" ca="1" si="38"/>
        <v>#VALUE!</v>
      </c>
      <c r="AP127" s="39" t="str">
        <f t="shared" ca="1" si="28"/>
        <v/>
      </c>
      <c r="AQ127" s="46" t="str">
        <f ca="1">IF(AND(C127&lt;&gt;0, C128=0), SUM($C$2:C127)-SUM($AQ$1:AQ126), "")</f>
        <v/>
      </c>
      <c r="AR127" s="46" t="str">
        <f ca="1">IF(AND(AK127&lt;&gt;0, AK128=0), SUM($AK$2:AK127)-SUM($AR$1:AR126), "")</f>
        <v/>
      </c>
    </row>
    <row r="128" spans="1:44" ht="13.15" customHeight="1">
      <c r="A128" s="31"/>
      <c r="B128" s="68" t="str">
        <f t="shared" si="41"/>
        <v/>
      </c>
      <c r="C128" s="55" cm="1">
        <f t="array" aca="1" ref="C128" ca="1">SUM(IF(ISNUMBER(M128:U128),M128:U128,""))</f>
        <v>0</v>
      </c>
      <c r="D128" s="25" t="str">
        <f t="shared" si="43"/>
        <v/>
      </c>
      <c r="E128" s="25" t="e">
        <f t="shared" si="29"/>
        <v>#VALUE!</v>
      </c>
      <c r="F128" s="25" t="str">
        <f t="shared" si="42"/>
        <v/>
      </c>
      <c r="G128" s="25" t="str">
        <f t="shared" si="26"/>
        <v>.xlsx</v>
      </c>
      <c r="H128" s="29" t="e" cm="1">
        <f t="array" aca="1" ref="H128" ca="1">IF(AND(VALUE(E128)=INDIRECT("'["&amp;G128&amp;"]"&amp;E128&amp;"'!"&amp;$X$2),G128=INDIRECT("'["&amp;G128&amp;"]"&amp;E128&amp;"'!"&amp;$X$3)),INDIRECT("'["&amp;G128&amp;"]"&amp;E128&amp;"'!"&amp;$X$1),0)</f>
        <v>#VALUE!</v>
      </c>
      <c r="I128" s="25" t="str">
        <f t="shared" si="30"/>
        <v/>
      </c>
      <c r="J128" s="32" t="str">
        <f t="shared" si="31"/>
        <v/>
      </c>
      <c r="K128" s="25" t="str">
        <f t="shared" si="32"/>
        <v/>
      </c>
      <c r="L128" s="25" t="str">
        <f t="shared" si="33"/>
        <v/>
      </c>
      <c r="M128" s="33" t="e" cm="1">
        <f t="array" aca="1" ref="M128" ca="1">IF(AND(J128=INDIRECT("'["&amp;G128&amp;"]"&amp;E128&amp;"'!"&amp;$Y$2),G128=INDIRECT("'["&amp;G128&amp;"]"&amp;E128&amp;"'!"&amp;$AH$2)),INDIRECT("'["&amp;G128&amp;"]"&amp;E128&amp;"'!"&amp;$Y$3),0)</f>
        <v>#VALUE!</v>
      </c>
      <c r="N128" s="34" t="e" cm="1">
        <f t="array" aca="1" ref="N128" ca="1">IF(AND(G128=INDIRECT("'["&amp;G128&amp;"]"&amp;E128&amp;"'!"&amp;$AH$2),OR(K128=INDIRECT("'["&amp;G128&amp;"]"&amp;E128&amp;"'!"&amp;$Z$2))),INDIRECT("'["&amp;G128&amp;"]"&amp;E128&amp;"'!"&amp;$Z$3),0)</f>
        <v>#VALUE!</v>
      </c>
      <c r="O128" s="34" t="e" cm="1">
        <f t="array" aca="1" ref="O128" ca="1">IF(AND(G128=INDIRECT("'["&amp;G128&amp;"]"&amp;E128&amp;"'!"&amp;$AH$2),OR(L128=INDIRECT("'["&amp;G128&amp;"]"&amp;E128&amp;"'!"&amp;$AA$2))),INDIRECT("'["&amp;G128&amp;"]"&amp;E128&amp;"'!"&amp;$AA$3),0)</f>
        <v>#VALUE!</v>
      </c>
      <c r="P128" s="34" t="e" cm="1">
        <f t="array" aca="1" ref="P128" ca="1">IF(AND(G128=INDIRECT("'["&amp;G128&amp;"]"&amp;E128&amp;"'!"&amp;$AH$2),OR(VALUE(I128)=INDIRECT("'["&amp;G128&amp;"]"&amp;E128&amp;"'!"&amp;$AB$2))),INDIRECT("'["&amp;G128&amp;"]"&amp;E128&amp;"'!"&amp;$AB$3),0)</f>
        <v>#VALUE!</v>
      </c>
      <c r="Q128" s="34" t="e" cm="1">
        <f t="array" aca="1" ref="Q128" ca="1">IF(AND(G128=INDIRECT("'["&amp;G128&amp;"]"&amp;E128&amp;"'!"&amp;$AH$2),OR(VALUE(I128)=INDIRECT("'["&amp;G128&amp;"]"&amp;E128&amp;"'!"&amp;$AC$2))),INDIRECT("'["&amp;G128&amp;"]"&amp;E128&amp;"'!"&amp;$AC$3),0)</f>
        <v>#VALUE!</v>
      </c>
      <c r="R128" s="34" t="e" cm="1">
        <f t="array" aca="1" ref="R128" ca="1">IF(AND(G128=INDIRECT("'["&amp;G128&amp;"]"&amp;E128&amp;"'!"&amp;$AH$2),OR(I128=INDIRECT("'["&amp;G128&amp;"]"&amp;E128&amp;"'!"&amp;$AD$2))),INDIRECT("'["&amp;G128&amp;"]"&amp;E128&amp;"'!"&amp;$AD$3),0)</f>
        <v>#VALUE!</v>
      </c>
      <c r="S128" s="34" t="e" cm="1">
        <f t="array" aca="1" ref="S128" ca="1">IF(AND(G128=INDIRECT("'["&amp;G128&amp;"]"&amp;E128&amp;"'!"&amp;$AH$2),OR(I128=INDIRECT("'["&amp;G128&amp;"]"&amp;E128&amp;"'!"&amp;$AE$2))),INDIRECT("'["&amp;G128&amp;"]"&amp;E128&amp;"'!"&amp;$AE$3),0)</f>
        <v>#VALUE!</v>
      </c>
      <c r="T128" s="35" t="e" cm="1">
        <f t="array" aca="1" ref="T128" ca="1">IF(AND(G128=INDIRECT("'["&amp;G128&amp;"]"&amp;E128&amp;"'!"&amp;$AH$2),OR(I128=INDIRECT("'["&amp;G128&amp;"]"&amp;E128&amp;"'!"&amp;$AF$2))),INDIRECT("'["&amp;G128&amp;"]"&amp;E128&amp;"'!"&amp;$AF$3),0)</f>
        <v>#VALUE!</v>
      </c>
      <c r="U128" s="34" t="e" cm="1">
        <f t="array" aca="1" ref="U128" ca="1">IF(AND(G128=INDIRECT("'["&amp;G128&amp;"]"&amp;E128&amp;"'!"&amp;$AH$2),OR(I128=INDIRECT("'["&amp;G128&amp;"]"&amp;E128&amp;"'!"&amp;$AG$2))),INDIRECT("'["&amp;G128&amp;"]"&amp;E128&amp;"'!"&amp;$AG$3),0)</f>
        <v>#VALUE!</v>
      </c>
      <c r="V128" s="25" t="str">
        <f t="shared" si="34"/>
        <v/>
      </c>
      <c r="W128" s="36" t="e" cm="1">
        <f t="array" aca="1" ref="W128" ca="1">IF(AND(G128=INDIRECT("'["&amp;G128&amp;"]"&amp;E128&amp;"'!"&amp;$AH$2),OR(V128=INDIRECT("'["&amp;G128&amp;"]"&amp;E128&amp;"'!"&amp;$AI$2))),INDIRECT("'["&amp;G128&amp;"]"&amp;E128&amp;"'!"&amp;$AI$3),0)</f>
        <v>#VALUE!</v>
      </c>
      <c r="AJ128" s="25">
        <v>1</v>
      </c>
      <c r="AK128" s="38">
        <f t="shared" ca="1" si="35"/>
        <v>0</v>
      </c>
      <c r="AL128" s="38">
        <f t="shared" ca="1" si="36"/>
        <v>0</v>
      </c>
      <c r="AM128" s="54" t="str">
        <f t="shared" ca="1" si="27"/>
        <v/>
      </c>
      <c r="AN128" s="25" t="e">
        <f t="shared" ca="1" si="37"/>
        <v>#VALUE!</v>
      </c>
      <c r="AO128" s="25" t="e">
        <f t="shared" ca="1" si="38"/>
        <v>#VALUE!</v>
      </c>
      <c r="AP128" s="39" t="str">
        <f t="shared" ca="1" si="28"/>
        <v/>
      </c>
      <c r="AQ128" s="46" t="str">
        <f ca="1">IF(AND(C128&lt;&gt;0, C129=0), SUM($C$2:C128)-SUM($AQ$1:AQ127), "")</f>
        <v/>
      </c>
      <c r="AR128" s="46" t="str">
        <f ca="1">IF(AND(AK128&lt;&gt;0, AK129=0), SUM($AK$2:AK128)-SUM($AR$1:AR127), "")</f>
        <v/>
      </c>
    </row>
    <row r="129" spans="1:44" ht="13.15" customHeight="1">
      <c r="A129" s="31"/>
      <c r="B129" s="68" t="str">
        <f t="shared" si="41"/>
        <v/>
      </c>
      <c r="C129" s="55" cm="1">
        <f t="array" aca="1" ref="C129" ca="1">SUM(IF(ISNUMBER(M129:U129),M129:U129,""))</f>
        <v>0</v>
      </c>
      <c r="D129" s="25" t="str">
        <f t="shared" si="43"/>
        <v/>
      </c>
      <c r="E129" s="25" t="e">
        <f t="shared" si="29"/>
        <v>#VALUE!</v>
      </c>
      <c r="F129" s="25" t="str">
        <f t="shared" si="42"/>
        <v/>
      </c>
      <c r="G129" s="25" t="str">
        <f t="shared" si="26"/>
        <v>.xlsx</v>
      </c>
      <c r="H129" s="29" t="e" cm="1">
        <f t="array" aca="1" ref="H129" ca="1">IF(AND(VALUE(E129)=INDIRECT("'["&amp;G129&amp;"]"&amp;E129&amp;"'!"&amp;$X$2),G129=INDIRECT("'["&amp;G129&amp;"]"&amp;E129&amp;"'!"&amp;$X$3)),INDIRECT("'["&amp;G129&amp;"]"&amp;E129&amp;"'!"&amp;$X$1),0)</f>
        <v>#VALUE!</v>
      </c>
      <c r="I129" s="25" t="str">
        <f t="shared" si="30"/>
        <v/>
      </c>
      <c r="J129" s="32" t="str">
        <f t="shared" si="31"/>
        <v/>
      </c>
      <c r="K129" s="25" t="str">
        <f t="shared" si="32"/>
        <v/>
      </c>
      <c r="L129" s="25" t="str">
        <f t="shared" si="33"/>
        <v/>
      </c>
      <c r="M129" s="33" t="e" cm="1">
        <f t="array" aca="1" ref="M129" ca="1">IF(AND(J129=INDIRECT("'["&amp;G129&amp;"]"&amp;E129&amp;"'!"&amp;$Y$2),G129=INDIRECT("'["&amp;G129&amp;"]"&amp;E129&amp;"'!"&amp;$AH$2)),INDIRECT("'["&amp;G129&amp;"]"&amp;E129&amp;"'!"&amp;$Y$3),0)</f>
        <v>#VALUE!</v>
      </c>
      <c r="N129" s="34" t="e" cm="1">
        <f t="array" aca="1" ref="N129" ca="1">IF(AND(G129=INDIRECT("'["&amp;G129&amp;"]"&amp;E129&amp;"'!"&amp;$AH$2),OR(K129=INDIRECT("'["&amp;G129&amp;"]"&amp;E129&amp;"'!"&amp;$Z$2))),INDIRECT("'["&amp;G129&amp;"]"&amp;E129&amp;"'!"&amp;$Z$3),0)</f>
        <v>#VALUE!</v>
      </c>
      <c r="O129" s="34" t="e" cm="1">
        <f t="array" aca="1" ref="O129" ca="1">IF(AND(G129=INDIRECT("'["&amp;G129&amp;"]"&amp;E129&amp;"'!"&amp;$AH$2),OR(L129=INDIRECT("'["&amp;G129&amp;"]"&amp;E129&amp;"'!"&amp;$AA$2))),INDIRECT("'["&amp;G129&amp;"]"&amp;E129&amp;"'!"&amp;$AA$3),0)</f>
        <v>#VALUE!</v>
      </c>
      <c r="P129" s="34" t="e" cm="1">
        <f t="array" aca="1" ref="P129" ca="1">IF(AND(G129=INDIRECT("'["&amp;G129&amp;"]"&amp;E129&amp;"'!"&amp;$AH$2),OR(VALUE(I129)=INDIRECT("'["&amp;G129&amp;"]"&amp;E129&amp;"'!"&amp;$AB$2))),INDIRECT("'["&amp;G129&amp;"]"&amp;E129&amp;"'!"&amp;$AB$3),0)</f>
        <v>#VALUE!</v>
      </c>
      <c r="Q129" s="34" t="e" cm="1">
        <f t="array" aca="1" ref="Q129" ca="1">IF(AND(G129=INDIRECT("'["&amp;G129&amp;"]"&amp;E129&amp;"'!"&amp;$AH$2),OR(VALUE(I129)=INDIRECT("'["&amp;G129&amp;"]"&amp;E129&amp;"'!"&amp;$AC$2))),INDIRECT("'["&amp;G129&amp;"]"&amp;E129&amp;"'!"&amp;$AC$3),0)</f>
        <v>#VALUE!</v>
      </c>
      <c r="R129" s="34" t="e" cm="1">
        <f t="array" aca="1" ref="R129" ca="1">IF(AND(G129=INDIRECT("'["&amp;G129&amp;"]"&amp;E129&amp;"'!"&amp;$AH$2),OR(I129=INDIRECT("'["&amp;G129&amp;"]"&amp;E129&amp;"'!"&amp;$AD$2))),INDIRECT("'["&amp;G129&amp;"]"&amp;E129&amp;"'!"&amp;$AD$3),0)</f>
        <v>#VALUE!</v>
      </c>
      <c r="S129" s="34" t="e" cm="1">
        <f t="array" aca="1" ref="S129" ca="1">IF(AND(G129=INDIRECT("'["&amp;G129&amp;"]"&amp;E129&amp;"'!"&amp;$AH$2),OR(I129=INDIRECT("'["&amp;G129&amp;"]"&amp;E129&amp;"'!"&amp;$AE$2))),INDIRECT("'["&amp;G129&amp;"]"&amp;E129&amp;"'!"&amp;$AE$3),0)</f>
        <v>#VALUE!</v>
      </c>
      <c r="T129" s="35" t="e" cm="1">
        <f t="array" aca="1" ref="T129" ca="1">IF(AND(G129=INDIRECT("'["&amp;G129&amp;"]"&amp;E129&amp;"'!"&amp;$AH$2),OR(I129=INDIRECT("'["&amp;G129&amp;"]"&amp;E129&amp;"'!"&amp;$AF$2))),INDIRECT("'["&amp;G129&amp;"]"&amp;E129&amp;"'!"&amp;$AF$3),0)</f>
        <v>#VALUE!</v>
      </c>
      <c r="U129" s="34" t="e" cm="1">
        <f t="array" aca="1" ref="U129" ca="1">IF(AND(G129=INDIRECT("'["&amp;G129&amp;"]"&amp;E129&amp;"'!"&amp;$AH$2),OR(I129=INDIRECT("'["&amp;G129&amp;"]"&amp;E129&amp;"'!"&amp;$AG$2))),INDIRECT("'["&amp;G129&amp;"]"&amp;E129&amp;"'!"&amp;$AG$3),0)</f>
        <v>#VALUE!</v>
      </c>
      <c r="V129" s="25" t="str">
        <f t="shared" si="34"/>
        <v/>
      </c>
      <c r="W129" s="36" t="e" cm="1">
        <f t="array" aca="1" ref="W129" ca="1">IF(AND(G129=INDIRECT("'["&amp;G129&amp;"]"&amp;E129&amp;"'!"&amp;$AH$2),OR(V129=INDIRECT("'["&amp;G129&amp;"]"&amp;E129&amp;"'!"&amp;$AI$2))),INDIRECT("'["&amp;G129&amp;"]"&amp;E129&amp;"'!"&amp;$AI$3),0)</f>
        <v>#VALUE!</v>
      </c>
      <c r="AJ129" s="25">
        <v>1</v>
      </c>
      <c r="AK129" s="38">
        <f t="shared" ca="1" si="35"/>
        <v>0</v>
      </c>
      <c r="AL129" s="38">
        <f t="shared" ca="1" si="36"/>
        <v>0</v>
      </c>
      <c r="AM129" s="54" t="str">
        <f t="shared" ca="1" si="27"/>
        <v/>
      </c>
      <c r="AN129" s="25" t="e">
        <f t="shared" ca="1" si="37"/>
        <v>#VALUE!</v>
      </c>
      <c r="AO129" s="25" t="e">
        <f t="shared" ca="1" si="38"/>
        <v>#VALUE!</v>
      </c>
      <c r="AP129" s="39" t="str">
        <f t="shared" ca="1" si="28"/>
        <v/>
      </c>
      <c r="AQ129" s="46" t="str">
        <f ca="1">IF(AND(C129&lt;&gt;0, C130=0), SUM($C$2:C129)-SUM($AQ$1:AQ128), "")</f>
        <v/>
      </c>
      <c r="AR129" s="46" t="str">
        <f ca="1">IF(AND(AK129&lt;&gt;0, AK130=0), SUM($AK$2:AK129)-SUM($AR$1:AR128), "")</f>
        <v/>
      </c>
    </row>
    <row r="130" spans="1:44" ht="13.15" customHeight="1">
      <c r="A130" s="31"/>
      <c r="B130" s="68" t="str">
        <f t="shared" si="41"/>
        <v/>
      </c>
      <c r="C130" s="55" cm="1">
        <f t="array" aca="1" ref="C130" ca="1">SUM(IF(ISNUMBER(M130:U130),M130:U130,""))</f>
        <v>0</v>
      </c>
      <c r="D130" s="25" t="str">
        <f t="shared" si="43"/>
        <v/>
      </c>
      <c r="E130" s="25" t="e">
        <f t="shared" si="29"/>
        <v>#VALUE!</v>
      </c>
      <c r="F130" s="25" t="str">
        <f t="shared" si="42"/>
        <v/>
      </c>
      <c r="G130" s="25" t="str">
        <f t="shared" ref="G130:G193" si="44">CONCATENATE(F130,".xlsx")</f>
        <v>.xlsx</v>
      </c>
      <c r="H130" s="29" t="e" cm="1">
        <f t="array" aca="1" ref="H130" ca="1">IF(AND(VALUE(E130)=INDIRECT("'["&amp;G130&amp;"]"&amp;E130&amp;"'!"&amp;$X$2),G130=INDIRECT("'["&amp;G130&amp;"]"&amp;E130&amp;"'!"&amp;$X$3)),INDIRECT("'["&amp;G130&amp;"]"&amp;E130&amp;"'!"&amp;$X$1),0)</f>
        <v>#VALUE!</v>
      </c>
      <c r="I130" s="25" t="str">
        <f t="shared" si="30"/>
        <v/>
      </c>
      <c r="J130" s="32" t="str">
        <f t="shared" si="31"/>
        <v/>
      </c>
      <c r="K130" s="25" t="str">
        <f t="shared" si="32"/>
        <v/>
      </c>
      <c r="L130" s="25" t="str">
        <f t="shared" si="33"/>
        <v/>
      </c>
      <c r="M130" s="33" t="e" cm="1">
        <f t="array" aca="1" ref="M130" ca="1">IF(AND(J130=INDIRECT("'["&amp;G130&amp;"]"&amp;E130&amp;"'!"&amp;$Y$2),G130=INDIRECT("'["&amp;G130&amp;"]"&amp;E130&amp;"'!"&amp;$AH$2)),INDIRECT("'["&amp;G130&amp;"]"&amp;E130&amp;"'!"&amp;$Y$3),0)</f>
        <v>#VALUE!</v>
      </c>
      <c r="N130" s="34" t="e" cm="1">
        <f t="array" aca="1" ref="N130" ca="1">IF(AND(G130=INDIRECT("'["&amp;G130&amp;"]"&amp;E130&amp;"'!"&amp;$AH$2),OR(K130=INDIRECT("'["&amp;G130&amp;"]"&amp;E130&amp;"'!"&amp;$Z$2))),INDIRECT("'["&amp;G130&amp;"]"&amp;E130&amp;"'!"&amp;$Z$3),0)</f>
        <v>#VALUE!</v>
      </c>
      <c r="O130" s="34" t="e" cm="1">
        <f t="array" aca="1" ref="O130" ca="1">IF(AND(G130=INDIRECT("'["&amp;G130&amp;"]"&amp;E130&amp;"'!"&amp;$AH$2),OR(L130=INDIRECT("'["&amp;G130&amp;"]"&amp;E130&amp;"'!"&amp;$AA$2))),INDIRECT("'["&amp;G130&amp;"]"&amp;E130&amp;"'!"&amp;$AA$3),0)</f>
        <v>#VALUE!</v>
      </c>
      <c r="P130" s="34" t="e" cm="1">
        <f t="array" aca="1" ref="P130" ca="1">IF(AND(G130=INDIRECT("'["&amp;G130&amp;"]"&amp;E130&amp;"'!"&amp;$AH$2),OR(VALUE(I130)=INDIRECT("'["&amp;G130&amp;"]"&amp;E130&amp;"'!"&amp;$AB$2))),INDIRECT("'["&amp;G130&amp;"]"&amp;E130&amp;"'!"&amp;$AB$3),0)</f>
        <v>#VALUE!</v>
      </c>
      <c r="Q130" s="34" t="e" cm="1">
        <f t="array" aca="1" ref="Q130" ca="1">IF(AND(G130=INDIRECT("'["&amp;G130&amp;"]"&amp;E130&amp;"'!"&amp;$AH$2),OR(VALUE(I130)=INDIRECT("'["&amp;G130&amp;"]"&amp;E130&amp;"'!"&amp;$AC$2))),INDIRECT("'["&amp;G130&amp;"]"&amp;E130&amp;"'!"&amp;$AC$3),0)</f>
        <v>#VALUE!</v>
      </c>
      <c r="R130" s="34" t="e" cm="1">
        <f t="array" aca="1" ref="R130" ca="1">IF(AND(G130=INDIRECT("'["&amp;G130&amp;"]"&amp;E130&amp;"'!"&amp;$AH$2),OR(I130=INDIRECT("'["&amp;G130&amp;"]"&amp;E130&amp;"'!"&amp;$AD$2))),INDIRECT("'["&amp;G130&amp;"]"&amp;E130&amp;"'!"&amp;$AD$3),0)</f>
        <v>#VALUE!</v>
      </c>
      <c r="S130" s="34" t="e" cm="1">
        <f t="array" aca="1" ref="S130" ca="1">IF(AND(G130=INDIRECT("'["&amp;G130&amp;"]"&amp;E130&amp;"'!"&amp;$AH$2),OR(I130=INDIRECT("'["&amp;G130&amp;"]"&amp;E130&amp;"'!"&amp;$AE$2))),INDIRECT("'["&amp;G130&amp;"]"&amp;E130&amp;"'!"&amp;$AE$3),0)</f>
        <v>#VALUE!</v>
      </c>
      <c r="T130" s="35" t="e" cm="1">
        <f t="array" aca="1" ref="T130" ca="1">IF(AND(G130=INDIRECT("'["&amp;G130&amp;"]"&amp;E130&amp;"'!"&amp;$AH$2),OR(I130=INDIRECT("'["&amp;G130&amp;"]"&amp;E130&amp;"'!"&amp;$AF$2))),INDIRECT("'["&amp;G130&amp;"]"&amp;E130&amp;"'!"&amp;$AF$3),0)</f>
        <v>#VALUE!</v>
      </c>
      <c r="U130" s="34" t="e" cm="1">
        <f t="array" aca="1" ref="U130" ca="1">IF(AND(G130=INDIRECT("'["&amp;G130&amp;"]"&amp;E130&amp;"'!"&amp;$AH$2),OR(I130=INDIRECT("'["&amp;G130&amp;"]"&amp;E130&amp;"'!"&amp;$AG$2))),INDIRECT("'["&amp;G130&amp;"]"&amp;E130&amp;"'!"&amp;$AG$3),0)</f>
        <v>#VALUE!</v>
      </c>
      <c r="V130" s="25" t="str">
        <f t="shared" si="34"/>
        <v/>
      </c>
      <c r="W130" s="36" t="e" cm="1">
        <f t="array" aca="1" ref="W130" ca="1">IF(AND(G130=INDIRECT("'["&amp;G130&amp;"]"&amp;E130&amp;"'!"&amp;$AH$2),OR(V130=INDIRECT("'["&amp;G130&amp;"]"&amp;E130&amp;"'!"&amp;$AI$2))),INDIRECT("'["&amp;G130&amp;"]"&amp;E130&amp;"'!"&amp;$AI$3),0)</f>
        <v>#VALUE!</v>
      </c>
      <c r="AJ130" s="25">
        <v>1</v>
      </c>
      <c r="AK130" s="38">
        <f t="shared" ca="1" si="35"/>
        <v>0</v>
      </c>
      <c r="AL130" s="38">
        <f t="shared" ca="1" si="36"/>
        <v>0</v>
      </c>
      <c r="AM130" s="54" t="str">
        <f t="shared" ref="AM130:AM193" ca="1" si="45">IF(A130&lt;&gt;"",IF(AM130="",NOW(),AM130),"")</f>
        <v/>
      </c>
      <c r="AN130" s="25" t="e">
        <f t="shared" ca="1" si="37"/>
        <v>#VALUE!</v>
      </c>
      <c r="AO130" s="25" t="e">
        <f t="shared" ca="1" si="38"/>
        <v>#VALUE!</v>
      </c>
      <c r="AP130" s="39" t="str">
        <f t="shared" ref="AP130:AP193" ca="1" si="46">IF(ISTEXT(W130),"อายัด","")</f>
        <v/>
      </c>
      <c r="AQ130" s="46" t="str">
        <f ca="1">IF(AND(C130&lt;&gt;0, C131=0), SUM($C$2:C130)-SUM($AQ$1:AQ129), "")</f>
        <v/>
      </c>
      <c r="AR130" s="46" t="str">
        <f ca="1">IF(AND(AK130&lt;&gt;0, AK131=0), SUM($AK$2:AK130)-SUM($AR$1:AR129), "")</f>
        <v/>
      </c>
    </row>
    <row r="131" spans="1:44" ht="13.15" customHeight="1">
      <c r="A131" s="31"/>
      <c r="B131" s="68" t="str">
        <f t="shared" si="41"/>
        <v/>
      </c>
      <c r="C131" s="55" cm="1">
        <f t="array" aca="1" ref="C131" ca="1">SUM(IF(ISNUMBER(M131:U131),M131:U131,""))</f>
        <v>0</v>
      </c>
      <c r="D131" s="25" t="str">
        <f t="shared" si="43"/>
        <v/>
      </c>
      <c r="E131" s="25" t="e">
        <f t="shared" ref="E131:E194" si="47">IF(ISEVEN(D131),D131-1,VALUE(D131))</f>
        <v>#VALUE!</v>
      </c>
      <c r="F131" s="25" t="str">
        <f t="shared" si="42"/>
        <v/>
      </c>
      <c r="G131" s="25" t="str">
        <f t="shared" si="44"/>
        <v>.xlsx</v>
      </c>
      <c r="H131" s="29" t="e" cm="1">
        <f t="array" aca="1" ref="H131" ca="1">IF(AND(VALUE(E131)=INDIRECT("'["&amp;G131&amp;"]"&amp;E131&amp;"'!"&amp;$X$2),G131=INDIRECT("'["&amp;G131&amp;"]"&amp;E131&amp;"'!"&amp;$X$3)),INDIRECT("'["&amp;G131&amp;"]"&amp;E131&amp;"'!"&amp;$X$1),0)</f>
        <v>#VALUE!</v>
      </c>
      <c r="I131" s="25" t="str">
        <f t="shared" ref="I131:I194" si="48">MID(A131,10,6)</f>
        <v/>
      </c>
      <c r="J131" s="32" t="str">
        <f t="shared" ref="J131:J194" si="49">RIGHT(I131,2)</f>
        <v/>
      </c>
      <c r="K131" s="25" t="str">
        <f t="shared" ref="K131:K194" si="50">LEFT(I131,3)</f>
        <v/>
      </c>
      <c r="L131" s="25" t="str">
        <f t="shared" ref="L131:L194" si="51">RIGHT(I131,3)</f>
        <v/>
      </c>
      <c r="M131" s="33" t="e" cm="1">
        <f t="array" aca="1" ref="M131" ca="1">IF(AND(J131=INDIRECT("'["&amp;G131&amp;"]"&amp;E131&amp;"'!"&amp;$Y$2),G131=INDIRECT("'["&amp;G131&amp;"]"&amp;E131&amp;"'!"&amp;$AH$2)),INDIRECT("'["&amp;G131&amp;"]"&amp;E131&amp;"'!"&amp;$Y$3),0)</f>
        <v>#VALUE!</v>
      </c>
      <c r="N131" s="34" t="e" cm="1">
        <f t="array" aca="1" ref="N131" ca="1">IF(AND(G131=INDIRECT("'["&amp;G131&amp;"]"&amp;E131&amp;"'!"&amp;$AH$2),OR(K131=INDIRECT("'["&amp;G131&amp;"]"&amp;E131&amp;"'!"&amp;$Z$2))),INDIRECT("'["&amp;G131&amp;"]"&amp;E131&amp;"'!"&amp;$Z$3),0)</f>
        <v>#VALUE!</v>
      </c>
      <c r="O131" s="34" t="e" cm="1">
        <f t="array" aca="1" ref="O131" ca="1">IF(AND(G131=INDIRECT("'["&amp;G131&amp;"]"&amp;E131&amp;"'!"&amp;$AH$2),OR(L131=INDIRECT("'["&amp;G131&amp;"]"&amp;E131&amp;"'!"&amp;$AA$2))),INDIRECT("'["&amp;G131&amp;"]"&amp;E131&amp;"'!"&amp;$AA$3),0)</f>
        <v>#VALUE!</v>
      </c>
      <c r="P131" s="34" t="e" cm="1">
        <f t="array" aca="1" ref="P131" ca="1">IF(AND(G131=INDIRECT("'["&amp;G131&amp;"]"&amp;E131&amp;"'!"&amp;$AH$2),OR(VALUE(I131)=INDIRECT("'["&amp;G131&amp;"]"&amp;E131&amp;"'!"&amp;$AB$2))),INDIRECT("'["&amp;G131&amp;"]"&amp;E131&amp;"'!"&amp;$AB$3),0)</f>
        <v>#VALUE!</v>
      </c>
      <c r="Q131" s="34" t="e" cm="1">
        <f t="array" aca="1" ref="Q131" ca="1">IF(AND(G131=INDIRECT("'["&amp;G131&amp;"]"&amp;E131&amp;"'!"&amp;$AH$2),OR(VALUE(I131)=INDIRECT("'["&amp;G131&amp;"]"&amp;E131&amp;"'!"&amp;$AC$2))),INDIRECT("'["&amp;G131&amp;"]"&amp;E131&amp;"'!"&amp;$AC$3),0)</f>
        <v>#VALUE!</v>
      </c>
      <c r="R131" s="34" t="e" cm="1">
        <f t="array" aca="1" ref="R131" ca="1">IF(AND(G131=INDIRECT("'["&amp;G131&amp;"]"&amp;E131&amp;"'!"&amp;$AH$2),OR(I131=INDIRECT("'["&amp;G131&amp;"]"&amp;E131&amp;"'!"&amp;$AD$2))),INDIRECT("'["&amp;G131&amp;"]"&amp;E131&amp;"'!"&amp;$AD$3),0)</f>
        <v>#VALUE!</v>
      </c>
      <c r="S131" s="34" t="e" cm="1">
        <f t="array" aca="1" ref="S131" ca="1">IF(AND(G131=INDIRECT("'["&amp;G131&amp;"]"&amp;E131&amp;"'!"&amp;$AH$2),OR(I131=INDIRECT("'["&amp;G131&amp;"]"&amp;E131&amp;"'!"&amp;$AE$2))),INDIRECT("'["&amp;G131&amp;"]"&amp;E131&amp;"'!"&amp;$AE$3),0)</f>
        <v>#VALUE!</v>
      </c>
      <c r="T131" s="35" t="e" cm="1">
        <f t="array" aca="1" ref="T131" ca="1">IF(AND(G131=INDIRECT("'["&amp;G131&amp;"]"&amp;E131&amp;"'!"&amp;$AH$2),OR(I131=INDIRECT("'["&amp;G131&amp;"]"&amp;E131&amp;"'!"&amp;$AF$2))),INDIRECT("'["&amp;G131&amp;"]"&amp;E131&amp;"'!"&amp;$AF$3),0)</f>
        <v>#VALUE!</v>
      </c>
      <c r="U131" s="34" t="e" cm="1">
        <f t="array" aca="1" ref="U131" ca="1">IF(AND(G131=INDIRECT("'["&amp;G131&amp;"]"&amp;E131&amp;"'!"&amp;$AH$2),OR(I131=INDIRECT("'["&amp;G131&amp;"]"&amp;E131&amp;"'!"&amp;$AG$2))),INDIRECT("'["&amp;G131&amp;"]"&amp;E131&amp;"'!"&amp;$AG$3),0)</f>
        <v>#VALUE!</v>
      </c>
      <c r="V131" s="25" t="str">
        <f t="shared" ref="V131:V194" si="52">MID(B131,7,9)</f>
        <v/>
      </c>
      <c r="W131" s="36" t="e" cm="1">
        <f t="array" aca="1" ref="W131" ca="1">IF(AND(G131=INDIRECT("'["&amp;G131&amp;"]"&amp;E131&amp;"'!"&amp;$AH$2),OR(V131=INDIRECT("'["&amp;G131&amp;"]"&amp;E131&amp;"'!"&amp;$AI$2))),INDIRECT("'["&amp;G131&amp;"]"&amp;E131&amp;"'!"&amp;$AI$3),0)</f>
        <v>#VALUE!</v>
      </c>
      <c r="AJ131" s="25">
        <v>1</v>
      </c>
      <c r="AK131" s="38">
        <f t="shared" ref="AK131:AK194" ca="1" si="53">(C131*AJ131%)</f>
        <v>0</v>
      </c>
      <c r="AL131" s="38">
        <f t="shared" ref="AL131:AL194" ca="1" si="54">C131-AK131</f>
        <v>0</v>
      </c>
      <c r="AM131" s="54" t="str">
        <f t="shared" ca="1" si="45"/>
        <v/>
      </c>
      <c r="AN131" s="25" t="e">
        <f t="shared" ref="AN131:AN194" ca="1" si="55">IF(VALUE(N131),"/","")</f>
        <v>#VALUE!</v>
      </c>
      <c r="AO131" s="25" t="e">
        <f t="shared" ref="AO131:AO194" ca="1" si="56">IF(VALUE(O131),"/","")</f>
        <v>#VALUE!</v>
      </c>
      <c r="AP131" s="39" t="str">
        <f t="shared" ca="1" si="46"/>
        <v/>
      </c>
      <c r="AQ131" s="46" t="str">
        <f ca="1">IF(AND(C131&lt;&gt;0, C132=0), SUM($C$2:C131)-SUM($AQ$1:AQ130), "")</f>
        <v/>
      </c>
      <c r="AR131" s="46" t="str">
        <f ca="1">IF(AND(AK131&lt;&gt;0, AK132=0), SUM($AK$2:AK131)-SUM($AR$1:AR130), "")</f>
        <v/>
      </c>
    </row>
    <row r="132" spans="1:44" ht="13.15" customHeight="1">
      <c r="A132" s="31"/>
      <c r="B132" s="68" t="str">
        <f t="shared" si="41"/>
        <v/>
      </c>
      <c r="C132" s="55" cm="1">
        <f t="array" aca="1" ref="C132" ca="1">SUM(IF(ISNUMBER(M132:U132),M132:U132,""))</f>
        <v>0</v>
      </c>
      <c r="D132" s="25" t="str">
        <f t="shared" si="43"/>
        <v/>
      </c>
      <c r="E132" s="25" t="e">
        <f t="shared" si="47"/>
        <v>#VALUE!</v>
      </c>
      <c r="F132" s="25" t="str">
        <f t="shared" si="42"/>
        <v/>
      </c>
      <c r="G132" s="25" t="str">
        <f t="shared" si="44"/>
        <v>.xlsx</v>
      </c>
      <c r="H132" s="29" t="e" cm="1">
        <f t="array" aca="1" ref="H132" ca="1">IF(AND(VALUE(E132)=INDIRECT("'["&amp;G132&amp;"]"&amp;E132&amp;"'!"&amp;$X$2),G132=INDIRECT("'["&amp;G132&amp;"]"&amp;E132&amp;"'!"&amp;$X$3)),INDIRECT("'["&amp;G132&amp;"]"&amp;E132&amp;"'!"&amp;$X$1),0)</f>
        <v>#VALUE!</v>
      </c>
      <c r="I132" s="25" t="str">
        <f t="shared" si="48"/>
        <v/>
      </c>
      <c r="J132" s="32" t="str">
        <f t="shared" si="49"/>
        <v/>
      </c>
      <c r="K132" s="25" t="str">
        <f t="shared" si="50"/>
        <v/>
      </c>
      <c r="L132" s="25" t="str">
        <f t="shared" si="51"/>
        <v/>
      </c>
      <c r="M132" s="33" t="e" cm="1">
        <f t="array" aca="1" ref="M132" ca="1">IF(AND(J132=INDIRECT("'["&amp;G132&amp;"]"&amp;E132&amp;"'!"&amp;$Y$2),G132=INDIRECT("'["&amp;G132&amp;"]"&amp;E132&amp;"'!"&amp;$AH$2)),INDIRECT("'["&amp;G132&amp;"]"&amp;E132&amp;"'!"&amp;$Y$3),0)</f>
        <v>#VALUE!</v>
      </c>
      <c r="N132" s="34" t="e" cm="1">
        <f t="array" aca="1" ref="N132" ca="1">IF(AND(G132=INDIRECT("'["&amp;G132&amp;"]"&amp;E132&amp;"'!"&amp;$AH$2),OR(K132=INDIRECT("'["&amp;G132&amp;"]"&amp;E132&amp;"'!"&amp;$Z$2))),INDIRECT("'["&amp;G132&amp;"]"&amp;E132&amp;"'!"&amp;$Z$3),0)</f>
        <v>#VALUE!</v>
      </c>
      <c r="O132" s="34" t="e" cm="1">
        <f t="array" aca="1" ref="O132" ca="1">IF(AND(G132=INDIRECT("'["&amp;G132&amp;"]"&amp;E132&amp;"'!"&amp;$AH$2),OR(L132=INDIRECT("'["&amp;G132&amp;"]"&amp;E132&amp;"'!"&amp;$AA$2))),INDIRECT("'["&amp;G132&amp;"]"&amp;E132&amp;"'!"&amp;$AA$3),0)</f>
        <v>#VALUE!</v>
      </c>
      <c r="P132" s="34" t="e" cm="1">
        <f t="array" aca="1" ref="P132" ca="1">IF(AND(G132=INDIRECT("'["&amp;G132&amp;"]"&amp;E132&amp;"'!"&amp;$AH$2),OR(VALUE(I132)=INDIRECT("'["&amp;G132&amp;"]"&amp;E132&amp;"'!"&amp;$AB$2))),INDIRECT("'["&amp;G132&amp;"]"&amp;E132&amp;"'!"&amp;$AB$3),0)</f>
        <v>#VALUE!</v>
      </c>
      <c r="Q132" s="34" t="e" cm="1">
        <f t="array" aca="1" ref="Q132" ca="1">IF(AND(G132=INDIRECT("'["&amp;G132&amp;"]"&amp;E132&amp;"'!"&amp;$AH$2),OR(VALUE(I132)=INDIRECT("'["&amp;G132&amp;"]"&amp;E132&amp;"'!"&amp;$AC$2))),INDIRECT("'["&amp;G132&amp;"]"&amp;E132&amp;"'!"&amp;$AC$3),0)</f>
        <v>#VALUE!</v>
      </c>
      <c r="R132" s="34" t="e" cm="1">
        <f t="array" aca="1" ref="R132" ca="1">IF(AND(G132=INDIRECT("'["&amp;G132&amp;"]"&amp;E132&amp;"'!"&amp;$AH$2),OR(I132=INDIRECT("'["&amp;G132&amp;"]"&amp;E132&amp;"'!"&amp;$AD$2))),INDIRECT("'["&amp;G132&amp;"]"&amp;E132&amp;"'!"&amp;$AD$3),0)</f>
        <v>#VALUE!</v>
      </c>
      <c r="S132" s="34" t="e" cm="1">
        <f t="array" aca="1" ref="S132" ca="1">IF(AND(G132=INDIRECT("'["&amp;G132&amp;"]"&amp;E132&amp;"'!"&amp;$AH$2),OR(I132=INDIRECT("'["&amp;G132&amp;"]"&amp;E132&amp;"'!"&amp;$AE$2))),INDIRECT("'["&amp;G132&amp;"]"&amp;E132&amp;"'!"&amp;$AE$3),0)</f>
        <v>#VALUE!</v>
      </c>
      <c r="T132" s="35" t="e" cm="1">
        <f t="array" aca="1" ref="T132" ca="1">IF(AND(G132=INDIRECT("'["&amp;G132&amp;"]"&amp;E132&amp;"'!"&amp;$AH$2),OR(I132=INDIRECT("'["&amp;G132&amp;"]"&amp;E132&amp;"'!"&amp;$AF$2))),INDIRECT("'["&amp;G132&amp;"]"&amp;E132&amp;"'!"&amp;$AF$3),0)</f>
        <v>#VALUE!</v>
      </c>
      <c r="U132" s="34" t="e" cm="1">
        <f t="array" aca="1" ref="U132" ca="1">IF(AND(G132=INDIRECT("'["&amp;G132&amp;"]"&amp;E132&amp;"'!"&amp;$AH$2),OR(I132=INDIRECT("'["&amp;G132&amp;"]"&amp;E132&amp;"'!"&amp;$AG$2))),INDIRECT("'["&amp;G132&amp;"]"&amp;E132&amp;"'!"&amp;$AG$3),0)</f>
        <v>#VALUE!</v>
      </c>
      <c r="V132" s="25" t="str">
        <f t="shared" si="52"/>
        <v/>
      </c>
      <c r="W132" s="36" t="e" cm="1">
        <f t="array" aca="1" ref="W132" ca="1">IF(AND(G132=INDIRECT("'["&amp;G132&amp;"]"&amp;E132&amp;"'!"&amp;$AH$2),OR(V132=INDIRECT("'["&amp;G132&amp;"]"&amp;E132&amp;"'!"&amp;$AI$2))),INDIRECT("'["&amp;G132&amp;"]"&amp;E132&amp;"'!"&amp;$AI$3),0)</f>
        <v>#VALUE!</v>
      </c>
      <c r="AJ132" s="25">
        <v>1</v>
      </c>
      <c r="AK132" s="38">
        <f t="shared" ca="1" si="53"/>
        <v>0</v>
      </c>
      <c r="AL132" s="38">
        <f t="shared" ca="1" si="54"/>
        <v>0</v>
      </c>
      <c r="AM132" s="54" t="str">
        <f t="shared" ca="1" si="45"/>
        <v/>
      </c>
      <c r="AN132" s="25" t="e">
        <f t="shared" ca="1" si="55"/>
        <v>#VALUE!</v>
      </c>
      <c r="AO132" s="25" t="e">
        <f t="shared" ca="1" si="56"/>
        <v>#VALUE!</v>
      </c>
      <c r="AP132" s="39" t="str">
        <f t="shared" ca="1" si="46"/>
        <v/>
      </c>
      <c r="AQ132" s="46" t="str">
        <f ca="1">IF(AND(C132&lt;&gt;0, C133=0), SUM($C$2:C132)-SUM($AQ$1:AQ131), "")</f>
        <v/>
      </c>
      <c r="AR132" s="46" t="str">
        <f ca="1">IF(AND(AK132&lt;&gt;0, AK133=0), SUM($AK$2:AK132)-SUM($AR$1:AR131), "")</f>
        <v/>
      </c>
    </row>
    <row r="133" spans="1:44" ht="13.15" customHeight="1">
      <c r="A133" s="31"/>
      <c r="B133" s="68" t="str">
        <f t="shared" si="41"/>
        <v/>
      </c>
      <c r="C133" s="55" cm="1">
        <f t="array" aca="1" ref="C133" ca="1">SUM(IF(ISNUMBER(M133:U133),M133:U133,""))</f>
        <v>0</v>
      </c>
      <c r="D133" s="25" t="str">
        <f t="shared" si="43"/>
        <v/>
      </c>
      <c r="E133" s="25" t="e">
        <f t="shared" si="47"/>
        <v>#VALUE!</v>
      </c>
      <c r="F133" s="25" t="str">
        <f t="shared" si="42"/>
        <v/>
      </c>
      <c r="G133" s="25" t="str">
        <f t="shared" si="44"/>
        <v>.xlsx</v>
      </c>
      <c r="H133" s="29" t="e" cm="1">
        <f t="array" aca="1" ref="H133" ca="1">IF(AND(VALUE(E133)=INDIRECT("'["&amp;G133&amp;"]"&amp;E133&amp;"'!"&amp;$X$2),G133=INDIRECT("'["&amp;G133&amp;"]"&amp;E133&amp;"'!"&amp;$X$3)),INDIRECT("'["&amp;G133&amp;"]"&amp;E133&amp;"'!"&amp;$X$1),0)</f>
        <v>#VALUE!</v>
      </c>
      <c r="I133" s="25" t="str">
        <f t="shared" si="48"/>
        <v/>
      </c>
      <c r="J133" s="32" t="str">
        <f t="shared" si="49"/>
        <v/>
      </c>
      <c r="K133" s="25" t="str">
        <f t="shared" si="50"/>
        <v/>
      </c>
      <c r="L133" s="25" t="str">
        <f t="shared" si="51"/>
        <v/>
      </c>
      <c r="M133" s="33" t="e" cm="1">
        <f t="array" aca="1" ref="M133" ca="1">IF(AND(J133=INDIRECT("'["&amp;G133&amp;"]"&amp;E133&amp;"'!"&amp;$Y$2),G133=INDIRECT("'["&amp;G133&amp;"]"&amp;E133&amp;"'!"&amp;$AH$2)),INDIRECT("'["&amp;G133&amp;"]"&amp;E133&amp;"'!"&amp;$Y$3),0)</f>
        <v>#VALUE!</v>
      </c>
      <c r="N133" s="34" t="e" cm="1">
        <f t="array" aca="1" ref="N133" ca="1">IF(AND(G133=INDIRECT("'["&amp;G133&amp;"]"&amp;E133&amp;"'!"&amp;$AH$2),OR(K133=INDIRECT("'["&amp;G133&amp;"]"&amp;E133&amp;"'!"&amp;$Z$2))),INDIRECT("'["&amp;G133&amp;"]"&amp;E133&amp;"'!"&amp;$Z$3),0)</f>
        <v>#VALUE!</v>
      </c>
      <c r="O133" s="34" t="e" cm="1">
        <f t="array" aca="1" ref="O133" ca="1">IF(AND(G133=INDIRECT("'["&amp;G133&amp;"]"&amp;E133&amp;"'!"&amp;$AH$2),OR(L133=INDIRECT("'["&amp;G133&amp;"]"&amp;E133&amp;"'!"&amp;$AA$2))),INDIRECT("'["&amp;G133&amp;"]"&amp;E133&amp;"'!"&amp;$AA$3),0)</f>
        <v>#VALUE!</v>
      </c>
      <c r="P133" s="34" t="e" cm="1">
        <f t="array" aca="1" ref="P133" ca="1">IF(AND(G133=INDIRECT("'["&amp;G133&amp;"]"&amp;E133&amp;"'!"&amp;$AH$2),OR(VALUE(I133)=INDIRECT("'["&amp;G133&amp;"]"&amp;E133&amp;"'!"&amp;$AB$2))),INDIRECT("'["&amp;G133&amp;"]"&amp;E133&amp;"'!"&amp;$AB$3),0)</f>
        <v>#VALUE!</v>
      </c>
      <c r="Q133" s="34" t="e" cm="1">
        <f t="array" aca="1" ref="Q133" ca="1">IF(AND(G133=INDIRECT("'["&amp;G133&amp;"]"&amp;E133&amp;"'!"&amp;$AH$2),OR(VALUE(I133)=INDIRECT("'["&amp;G133&amp;"]"&amp;E133&amp;"'!"&amp;$AC$2))),INDIRECT("'["&amp;G133&amp;"]"&amp;E133&amp;"'!"&amp;$AC$3),0)</f>
        <v>#VALUE!</v>
      </c>
      <c r="R133" s="34" t="e" cm="1">
        <f t="array" aca="1" ref="R133" ca="1">IF(AND(G133=INDIRECT("'["&amp;G133&amp;"]"&amp;E133&amp;"'!"&amp;$AH$2),OR(I133=INDIRECT("'["&amp;G133&amp;"]"&amp;E133&amp;"'!"&amp;$AD$2))),INDIRECT("'["&amp;G133&amp;"]"&amp;E133&amp;"'!"&amp;$AD$3),0)</f>
        <v>#VALUE!</v>
      </c>
      <c r="S133" s="34" t="e" cm="1">
        <f t="array" aca="1" ref="S133" ca="1">IF(AND(G133=INDIRECT("'["&amp;G133&amp;"]"&amp;E133&amp;"'!"&amp;$AH$2),OR(I133=INDIRECT("'["&amp;G133&amp;"]"&amp;E133&amp;"'!"&amp;$AE$2))),INDIRECT("'["&amp;G133&amp;"]"&amp;E133&amp;"'!"&amp;$AE$3),0)</f>
        <v>#VALUE!</v>
      </c>
      <c r="T133" s="35" t="e" cm="1">
        <f t="array" aca="1" ref="T133" ca="1">IF(AND(G133=INDIRECT("'["&amp;G133&amp;"]"&amp;E133&amp;"'!"&amp;$AH$2),OR(I133=INDIRECT("'["&amp;G133&amp;"]"&amp;E133&amp;"'!"&amp;$AF$2))),INDIRECT("'["&amp;G133&amp;"]"&amp;E133&amp;"'!"&amp;$AF$3),0)</f>
        <v>#VALUE!</v>
      </c>
      <c r="U133" s="34" t="e" cm="1">
        <f t="array" aca="1" ref="U133" ca="1">IF(AND(G133=INDIRECT("'["&amp;G133&amp;"]"&amp;E133&amp;"'!"&amp;$AH$2),OR(I133=INDIRECT("'["&amp;G133&amp;"]"&amp;E133&amp;"'!"&amp;$AG$2))),INDIRECT("'["&amp;G133&amp;"]"&amp;E133&amp;"'!"&amp;$AG$3),0)</f>
        <v>#VALUE!</v>
      </c>
      <c r="V133" s="25" t="str">
        <f t="shared" si="52"/>
        <v/>
      </c>
      <c r="W133" s="36" t="e" cm="1">
        <f t="array" aca="1" ref="W133" ca="1">IF(AND(G133=INDIRECT("'["&amp;G133&amp;"]"&amp;E133&amp;"'!"&amp;$AH$2),OR(V133=INDIRECT("'["&amp;G133&amp;"]"&amp;E133&amp;"'!"&amp;$AI$2))),INDIRECT("'["&amp;G133&amp;"]"&amp;E133&amp;"'!"&amp;$AI$3),0)</f>
        <v>#VALUE!</v>
      </c>
      <c r="AJ133" s="25">
        <v>1</v>
      </c>
      <c r="AK133" s="38">
        <f t="shared" ca="1" si="53"/>
        <v>0</v>
      </c>
      <c r="AL133" s="38">
        <f t="shared" ca="1" si="54"/>
        <v>0</v>
      </c>
      <c r="AM133" s="54" t="str">
        <f t="shared" ca="1" si="45"/>
        <v/>
      </c>
      <c r="AN133" s="25" t="e">
        <f t="shared" ca="1" si="55"/>
        <v>#VALUE!</v>
      </c>
      <c r="AO133" s="25" t="e">
        <f t="shared" ca="1" si="56"/>
        <v>#VALUE!</v>
      </c>
      <c r="AP133" s="39" t="str">
        <f t="shared" ca="1" si="46"/>
        <v/>
      </c>
      <c r="AQ133" s="46" t="str">
        <f ca="1">IF(AND(C133&lt;&gt;0, C134=0), SUM($C$2:C133)-SUM($AQ$1:AQ132), "")</f>
        <v/>
      </c>
      <c r="AR133" s="46" t="str">
        <f ca="1">IF(AND(AK133&lt;&gt;0, AK134=0), SUM($AK$2:AK133)-SUM($AR$1:AR132), "")</f>
        <v/>
      </c>
    </row>
    <row r="134" spans="1:44" ht="13.15" customHeight="1">
      <c r="A134" s="31"/>
      <c r="B134" s="68" t="str">
        <f t="shared" si="41"/>
        <v/>
      </c>
      <c r="C134" s="55" cm="1">
        <f t="array" aca="1" ref="C134" ca="1">SUM(IF(ISNUMBER(M134:U134),M134:U134,""))</f>
        <v>0</v>
      </c>
      <c r="D134" s="25" t="str">
        <f t="shared" si="43"/>
        <v/>
      </c>
      <c r="E134" s="25" t="e">
        <f t="shared" si="47"/>
        <v>#VALUE!</v>
      </c>
      <c r="F134" s="25" t="str">
        <f t="shared" si="42"/>
        <v/>
      </c>
      <c r="G134" s="25" t="str">
        <f t="shared" si="44"/>
        <v>.xlsx</v>
      </c>
      <c r="H134" s="29" t="e" cm="1">
        <f t="array" aca="1" ref="H134" ca="1">IF(AND(VALUE(E134)=INDIRECT("'["&amp;G134&amp;"]"&amp;E134&amp;"'!"&amp;$X$2),G134=INDIRECT("'["&amp;G134&amp;"]"&amp;E134&amp;"'!"&amp;$X$3)),INDIRECT("'["&amp;G134&amp;"]"&amp;E134&amp;"'!"&amp;$X$1),0)</f>
        <v>#VALUE!</v>
      </c>
      <c r="I134" s="25" t="str">
        <f t="shared" si="48"/>
        <v/>
      </c>
      <c r="J134" s="32" t="str">
        <f t="shared" si="49"/>
        <v/>
      </c>
      <c r="K134" s="25" t="str">
        <f t="shared" si="50"/>
        <v/>
      </c>
      <c r="L134" s="25" t="str">
        <f t="shared" si="51"/>
        <v/>
      </c>
      <c r="M134" s="33" t="e" cm="1">
        <f t="array" aca="1" ref="M134" ca="1">IF(AND(J134=INDIRECT("'["&amp;G134&amp;"]"&amp;E134&amp;"'!"&amp;$Y$2),G134=INDIRECT("'["&amp;G134&amp;"]"&amp;E134&amp;"'!"&amp;$AH$2)),INDIRECT("'["&amp;G134&amp;"]"&amp;E134&amp;"'!"&amp;$Y$3),0)</f>
        <v>#VALUE!</v>
      </c>
      <c r="N134" s="34" t="e" cm="1">
        <f t="array" aca="1" ref="N134" ca="1">IF(AND(G134=INDIRECT("'["&amp;G134&amp;"]"&amp;E134&amp;"'!"&amp;$AH$2),OR(K134=INDIRECT("'["&amp;G134&amp;"]"&amp;E134&amp;"'!"&amp;$Z$2))),INDIRECT("'["&amp;G134&amp;"]"&amp;E134&amp;"'!"&amp;$Z$3),0)</f>
        <v>#VALUE!</v>
      </c>
      <c r="O134" s="34" t="e" cm="1">
        <f t="array" aca="1" ref="O134" ca="1">IF(AND(G134=INDIRECT("'["&amp;G134&amp;"]"&amp;E134&amp;"'!"&amp;$AH$2),OR(L134=INDIRECT("'["&amp;G134&amp;"]"&amp;E134&amp;"'!"&amp;$AA$2))),INDIRECT("'["&amp;G134&amp;"]"&amp;E134&amp;"'!"&amp;$AA$3),0)</f>
        <v>#VALUE!</v>
      </c>
      <c r="P134" s="34" t="e" cm="1">
        <f t="array" aca="1" ref="P134" ca="1">IF(AND(G134=INDIRECT("'["&amp;G134&amp;"]"&amp;E134&amp;"'!"&amp;$AH$2),OR(VALUE(I134)=INDIRECT("'["&amp;G134&amp;"]"&amp;E134&amp;"'!"&amp;$AB$2))),INDIRECT("'["&amp;G134&amp;"]"&amp;E134&amp;"'!"&amp;$AB$3),0)</f>
        <v>#VALUE!</v>
      </c>
      <c r="Q134" s="34" t="e" cm="1">
        <f t="array" aca="1" ref="Q134" ca="1">IF(AND(G134=INDIRECT("'["&amp;G134&amp;"]"&amp;E134&amp;"'!"&amp;$AH$2),OR(VALUE(I134)=INDIRECT("'["&amp;G134&amp;"]"&amp;E134&amp;"'!"&amp;$AC$2))),INDIRECT("'["&amp;G134&amp;"]"&amp;E134&amp;"'!"&amp;$AC$3),0)</f>
        <v>#VALUE!</v>
      </c>
      <c r="R134" s="34" t="e" cm="1">
        <f t="array" aca="1" ref="R134" ca="1">IF(AND(G134=INDIRECT("'["&amp;G134&amp;"]"&amp;E134&amp;"'!"&amp;$AH$2),OR(I134=INDIRECT("'["&amp;G134&amp;"]"&amp;E134&amp;"'!"&amp;$AD$2))),INDIRECT("'["&amp;G134&amp;"]"&amp;E134&amp;"'!"&amp;$AD$3),0)</f>
        <v>#VALUE!</v>
      </c>
      <c r="S134" s="34" t="e" cm="1">
        <f t="array" aca="1" ref="S134" ca="1">IF(AND(G134=INDIRECT("'["&amp;G134&amp;"]"&amp;E134&amp;"'!"&amp;$AH$2),OR(I134=INDIRECT("'["&amp;G134&amp;"]"&amp;E134&amp;"'!"&amp;$AE$2))),INDIRECT("'["&amp;G134&amp;"]"&amp;E134&amp;"'!"&amp;$AE$3),0)</f>
        <v>#VALUE!</v>
      </c>
      <c r="T134" s="35" t="e" cm="1">
        <f t="array" aca="1" ref="T134" ca="1">IF(AND(G134=INDIRECT("'["&amp;G134&amp;"]"&amp;E134&amp;"'!"&amp;$AH$2),OR(I134=INDIRECT("'["&amp;G134&amp;"]"&amp;E134&amp;"'!"&amp;$AF$2))),INDIRECT("'["&amp;G134&amp;"]"&amp;E134&amp;"'!"&amp;$AF$3),0)</f>
        <v>#VALUE!</v>
      </c>
      <c r="U134" s="34" t="e" cm="1">
        <f t="array" aca="1" ref="U134" ca="1">IF(AND(G134=INDIRECT("'["&amp;G134&amp;"]"&amp;E134&amp;"'!"&amp;$AH$2),OR(I134=INDIRECT("'["&amp;G134&amp;"]"&amp;E134&amp;"'!"&amp;$AG$2))),INDIRECT("'["&amp;G134&amp;"]"&amp;E134&amp;"'!"&amp;$AG$3),0)</f>
        <v>#VALUE!</v>
      </c>
      <c r="V134" s="25" t="str">
        <f t="shared" si="52"/>
        <v/>
      </c>
      <c r="W134" s="36" t="e" cm="1">
        <f t="array" aca="1" ref="W134" ca="1">IF(AND(G134=INDIRECT("'["&amp;G134&amp;"]"&amp;E134&amp;"'!"&amp;$AH$2),OR(V134=INDIRECT("'["&amp;G134&amp;"]"&amp;E134&amp;"'!"&amp;$AI$2))),INDIRECT("'["&amp;G134&amp;"]"&amp;E134&amp;"'!"&amp;$AI$3),0)</f>
        <v>#VALUE!</v>
      </c>
      <c r="AJ134" s="25">
        <v>1</v>
      </c>
      <c r="AK134" s="38">
        <f t="shared" ca="1" si="53"/>
        <v>0</v>
      </c>
      <c r="AL134" s="38">
        <f t="shared" ca="1" si="54"/>
        <v>0</v>
      </c>
      <c r="AM134" s="54" t="str">
        <f t="shared" ca="1" si="45"/>
        <v/>
      </c>
      <c r="AN134" s="25" t="e">
        <f t="shared" ca="1" si="55"/>
        <v>#VALUE!</v>
      </c>
      <c r="AO134" s="25" t="e">
        <f t="shared" ca="1" si="56"/>
        <v>#VALUE!</v>
      </c>
      <c r="AP134" s="39" t="str">
        <f t="shared" ca="1" si="46"/>
        <v/>
      </c>
      <c r="AQ134" s="46" t="str">
        <f ca="1">IF(AND(C134&lt;&gt;0, C135=0), SUM($C$2:C134)-SUM($AQ$1:AQ133), "")</f>
        <v/>
      </c>
      <c r="AR134" s="46" t="str">
        <f ca="1">IF(AND(AK134&lt;&gt;0, AK135=0), SUM($AK$2:AK134)-SUM($AR$1:AR133), "")</f>
        <v/>
      </c>
    </row>
    <row r="135" spans="1:44" ht="13.15" customHeight="1">
      <c r="A135" s="31"/>
      <c r="B135" s="68" t="str">
        <f t="shared" si="41"/>
        <v/>
      </c>
      <c r="C135" s="55" cm="1">
        <f t="array" aca="1" ref="C135" ca="1">SUM(IF(ISNUMBER(M135:U135),M135:U135,""))</f>
        <v>0</v>
      </c>
      <c r="D135" s="25" t="str">
        <f t="shared" si="43"/>
        <v/>
      </c>
      <c r="E135" s="25" t="e">
        <f t="shared" si="47"/>
        <v>#VALUE!</v>
      </c>
      <c r="F135" s="25" t="str">
        <f t="shared" si="42"/>
        <v/>
      </c>
      <c r="G135" s="25" t="str">
        <f t="shared" si="44"/>
        <v>.xlsx</v>
      </c>
      <c r="H135" s="29" t="e" cm="1">
        <f t="array" aca="1" ref="H135" ca="1">IF(AND(VALUE(E135)=INDIRECT("'["&amp;G135&amp;"]"&amp;E135&amp;"'!"&amp;$X$2),G135=INDIRECT("'["&amp;G135&amp;"]"&amp;E135&amp;"'!"&amp;$X$3)),INDIRECT("'["&amp;G135&amp;"]"&amp;E135&amp;"'!"&amp;$X$1),0)</f>
        <v>#VALUE!</v>
      </c>
      <c r="I135" s="25" t="str">
        <f t="shared" si="48"/>
        <v/>
      </c>
      <c r="J135" s="32" t="str">
        <f t="shared" si="49"/>
        <v/>
      </c>
      <c r="K135" s="25" t="str">
        <f t="shared" si="50"/>
        <v/>
      </c>
      <c r="L135" s="25" t="str">
        <f t="shared" si="51"/>
        <v/>
      </c>
      <c r="M135" s="33" t="e" cm="1">
        <f t="array" aca="1" ref="M135" ca="1">IF(AND(J135=INDIRECT("'["&amp;G135&amp;"]"&amp;E135&amp;"'!"&amp;$Y$2),G135=INDIRECT("'["&amp;G135&amp;"]"&amp;E135&amp;"'!"&amp;$AH$2)),INDIRECT("'["&amp;G135&amp;"]"&amp;E135&amp;"'!"&amp;$Y$3),0)</f>
        <v>#VALUE!</v>
      </c>
      <c r="N135" s="34" t="e" cm="1">
        <f t="array" aca="1" ref="N135" ca="1">IF(AND(G135=INDIRECT("'["&amp;G135&amp;"]"&amp;E135&amp;"'!"&amp;$AH$2),OR(K135=INDIRECT("'["&amp;G135&amp;"]"&amp;E135&amp;"'!"&amp;$Z$2))),INDIRECT("'["&amp;G135&amp;"]"&amp;E135&amp;"'!"&amp;$Z$3),0)</f>
        <v>#VALUE!</v>
      </c>
      <c r="O135" s="34" t="e" cm="1">
        <f t="array" aca="1" ref="O135" ca="1">IF(AND(G135=INDIRECT("'["&amp;G135&amp;"]"&amp;E135&amp;"'!"&amp;$AH$2),OR(L135=INDIRECT("'["&amp;G135&amp;"]"&amp;E135&amp;"'!"&amp;$AA$2))),INDIRECT("'["&amp;G135&amp;"]"&amp;E135&amp;"'!"&amp;$AA$3),0)</f>
        <v>#VALUE!</v>
      </c>
      <c r="P135" s="34" t="e" cm="1">
        <f t="array" aca="1" ref="P135" ca="1">IF(AND(G135=INDIRECT("'["&amp;G135&amp;"]"&amp;E135&amp;"'!"&amp;$AH$2),OR(VALUE(I135)=INDIRECT("'["&amp;G135&amp;"]"&amp;E135&amp;"'!"&amp;$AB$2))),INDIRECT("'["&amp;G135&amp;"]"&amp;E135&amp;"'!"&amp;$AB$3),0)</f>
        <v>#VALUE!</v>
      </c>
      <c r="Q135" s="34" t="e" cm="1">
        <f t="array" aca="1" ref="Q135" ca="1">IF(AND(G135=INDIRECT("'["&amp;G135&amp;"]"&amp;E135&amp;"'!"&amp;$AH$2),OR(VALUE(I135)=INDIRECT("'["&amp;G135&amp;"]"&amp;E135&amp;"'!"&amp;$AC$2))),INDIRECT("'["&amp;G135&amp;"]"&amp;E135&amp;"'!"&amp;$AC$3),0)</f>
        <v>#VALUE!</v>
      </c>
      <c r="R135" s="34" t="e" cm="1">
        <f t="array" aca="1" ref="R135" ca="1">IF(AND(G135=INDIRECT("'["&amp;G135&amp;"]"&amp;E135&amp;"'!"&amp;$AH$2),OR(I135=INDIRECT("'["&amp;G135&amp;"]"&amp;E135&amp;"'!"&amp;$AD$2))),INDIRECT("'["&amp;G135&amp;"]"&amp;E135&amp;"'!"&amp;$AD$3),0)</f>
        <v>#VALUE!</v>
      </c>
      <c r="S135" s="34" t="e" cm="1">
        <f t="array" aca="1" ref="S135" ca="1">IF(AND(G135=INDIRECT("'["&amp;G135&amp;"]"&amp;E135&amp;"'!"&amp;$AH$2),OR(I135=INDIRECT("'["&amp;G135&amp;"]"&amp;E135&amp;"'!"&amp;$AE$2))),INDIRECT("'["&amp;G135&amp;"]"&amp;E135&amp;"'!"&amp;$AE$3),0)</f>
        <v>#VALUE!</v>
      </c>
      <c r="T135" s="35" t="e" cm="1">
        <f t="array" aca="1" ref="T135" ca="1">IF(AND(G135=INDIRECT("'["&amp;G135&amp;"]"&amp;E135&amp;"'!"&amp;$AH$2),OR(I135=INDIRECT("'["&amp;G135&amp;"]"&amp;E135&amp;"'!"&amp;$AF$2))),INDIRECT("'["&amp;G135&amp;"]"&amp;E135&amp;"'!"&amp;$AF$3),0)</f>
        <v>#VALUE!</v>
      </c>
      <c r="U135" s="34" t="e" cm="1">
        <f t="array" aca="1" ref="U135" ca="1">IF(AND(G135=INDIRECT("'["&amp;G135&amp;"]"&amp;E135&amp;"'!"&amp;$AH$2),OR(I135=INDIRECT("'["&amp;G135&amp;"]"&amp;E135&amp;"'!"&amp;$AG$2))),INDIRECT("'["&amp;G135&amp;"]"&amp;E135&amp;"'!"&amp;$AG$3),0)</f>
        <v>#VALUE!</v>
      </c>
      <c r="V135" s="25" t="str">
        <f t="shared" si="52"/>
        <v/>
      </c>
      <c r="W135" s="36" t="e" cm="1">
        <f t="array" aca="1" ref="W135" ca="1">IF(AND(G135=INDIRECT("'["&amp;G135&amp;"]"&amp;E135&amp;"'!"&amp;$AH$2),OR(V135=INDIRECT("'["&amp;G135&amp;"]"&amp;E135&amp;"'!"&amp;$AI$2))),INDIRECT("'["&amp;G135&amp;"]"&amp;E135&amp;"'!"&amp;$AI$3),0)</f>
        <v>#VALUE!</v>
      </c>
      <c r="AJ135" s="25">
        <v>1</v>
      </c>
      <c r="AK135" s="38">
        <f t="shared" ca="1" si="53"/>
        <v>0</v>
      </c>
      <c r="AL135" s="38">
        <f t="shared" ca="1" si="54"/>
        <v>0</v>
      </c>
      <c r="AM135" s="54" t="str">
        <f t="shared" ca="1" si="45"/>
        <v/>
      </c>
      <c r="AN135" s="25" t="e">
        <f t="shared" ca="1" si="55"/>
        <v>#VALUE!</v>
      </c>
      <c r="AO135" s="25" t="e">
        <f t="shared" ca="1" si="56"/>
        <v>#VALUE!</v>
      </c>
      <c r="AP135" s="39" t="str">
        <f t="shared" ca="1" si="46"/>
        <v/>
      </c>
      <c r="AQ135" s="46" t="str">
        <f ca="1">IF(AND(C135&lt;&gt;0, C136=0), SUM($C$2:C135)-SUM($AQ$1:AQ134), "")</f>
        <v/>
      </c>
      <c r="AR135" s="46" t="str">
        <f ca="1">IF(AND(AK135&lt;&gt;0, AK136=0), SUM($AK$2:AK135)-SUM($AR$1:AR134), "")</f>
        <v/>
      </c>
    </row>
    <row r="136" spans="1:44" ht="13.15" customHeight="1">
      <c r="A136" s="31"/>
      <c r="B136" s="68" t="str">
        <f t="shared" si="41"/>
        <v/>
      </c>
      <c r="C136" s="55" cm="1">
        <f t="array" aca="1" ref="C136" ca="1">SUM(IF(ISNUMBER(M136:U136),M136:U136,""))</f>
        <v>0</v>
      </c>
      <c r="D136" s="25" t="str">
        <f t="shared" si="43"/>
        <v/>
      </c>
      <c r="E136" s="25" t="e">
        <f t="shared" si="47"/>
        <v>#VALUE!</v>
      </c>
      <c r="F136" s="25" t="str">
        <f t="shared" si="42"/>
        <v/>
      </c>
      <c r="G136" s="25" t="str">
        <f t="shared" si="44"/>
        <v>.xlsx</v>
      </c>
      <c r="H136" s="29" t="e" cm="1">
        <f t="array" aca="1" ref="H136" ca="1">IF(AND(VALUE(E136)=INDIRECT("'["&amp;G136&amp;"]"&amp;E136&amp;"'!"&amp;$X$2),G136=INDIRECT("'["&amp;G136&amp;"]"&amp;E136&amp;"'!"&amp;$X$3)),INDIRECT("'["&amp;G136&amp;"]"&amp;E136&amp;"'!"&amp;$X$1),0)</f>
        <v>#VALUE!</v>
      </c>
      <c r="I136" s="25" t="str">
        <f t="shared" si="48"/>
        <v/>
      </c>
      <c r="J136" s="32" t="str">
        <f t="shared" si="49"/>
        <v/>
      </c>
      <c r="K136" s="25" t="str">
        <f t="shared" si="50"/>
        <v/>
      </c>
      <c r="L136" s="25" t="str">
        <f t="shared" si="51"/>
        <v/>
      </c>
      <c r="M136" s="33" t="e" cm="1">
        <f t="array" aca="1" ref="M136" ca="1">IF(AND(J136=INDIRECT("'["&amp;G136&amp;"]"&amp;E136&amp;"'!"&amp;$Y$2),G136=INDIRECT("'["&amp;G136&amp;"]"&amp;E136&amp;"'!"&amp;$AH$2)),INDIRECT("'["&amp;G136&amp;"]"&amp;E136&amp;"'!"&amp;$Y$3),0)</f>
        <v>#VALUE!</v>
      </c>
      <c r="N136" s="34" t="e" cm="1">
        <f t="array" aca="1" ref="N136" ca="1">IF(AND(G136=INDIRECT("'["&amp;G136&amp;"]"&amp;E136&amp;"'!"&amp;$AH$2),OR(K136=INDIRECT("'["&amp;G136&amp;"]"&amp;E136&amp;"'!"&amp;$Z$2))),INDIRECT("'["&amp;G136&amp;"]"&amp;E136&amp;"'!"&amp;$Z$3),0)</f>
        <v>#VALUE!</v>
      </c>
      <c r="O136" s="34" t="e" cm="1">
        <f t="array" aca="1" ref="O136" ca="1">IF(AND(G136=INDIRECT("'["&amp;G136&amp;"]"&amp;E136&amp;"'!"&amp;$AH$2),OR(L136=INDIRECT("'["&amp;G136&amp;"]"&amp;E136&amp;"'!"&amp;$AA$2))),INDIRECT("'["&amp;G136&amp;"]"&amp;E136&amp;"'!"&amp;$AA$3),0)</f>
        <v>#VALUE!</v>
      </c>
      <c r="P136" s="34" t="e" cm="1">
        <f t="array" aca="1" ref="P136" ca="1">IF(AND(G136=INDIRECT("'["&amp;G136&amp;"]"&amp;E136&amp;"'!"&amp;$AH$2),OR(VALUE(I136)=INDIRECT("'["&amp;G136&amp;"]"&amp;E136&amp;"'!"&amp;$AB$2))),INDIRECT("'["&amp;G136&amp;"]"&amp;E136&amp;"'!"&amp;$AB$3),0)</f>
        <v>#VALUE!</v>
      </c>
      <c r="Q136" s="34" t="e" cm="1">
        <f t="array" aca="1" ref="Q136" ca="1">IF(AND(G136=INDIRECT("'["&amp;G136&amp;"]"&amp;E136&amp;"'!"&amp;$AH$2),OR(VALUE(I136)=INDIRECT("'["&amp;G136&amp;"]"&amp;E136&amp;"'!"&amp;$AC$2))),INDIRECT("'["&amp;G136&amp;"]"&amp;E136&amp;"'!"&amp;$AC$3),0)</f>
        <v>#VALUE!</v>
      </c>
      <c r="R136" s="34" t="e" cm="1">
        <f t="array" aca="1" ref="R136" ca="1">IF(AND(G136=INDIRECT("'["&amp;G136&amp;"]"&amp;E136&amp;"'!"&amp;$AH$2),OR(I136=INDIRECT("'["&amp;G136&amp;"]"&amp;E136&amp;"'!"&amp;$AD$2))),INDIRECT("'["&amp;G136&amp;"]"&amp;E136&amp;"'!"&amp;$AD$3),0)</f>
        <v>#VALUE!</v>
      </c>
      <c r="S136" s="34" t="e" cm="1">
        <f t="array" aca="1" ref="S136" ca="1">IF(AND(G136=INDIRECT("'["&amp;G136&amp;"]"&amp;E136&amp;"'!"&amp;$AH$2),OR(I136=INDIRECT("'["&amp;G136&amp;"]"&amp;E136&amp;"'!"&amp;$AE$2))),INDIRECT("'["&amp;G136&amp;"]"&amp;E136&amp;"'!"&amp;$AE$3),0)</f>
        <v>#VALUE!</v>
      </c>
      <c r="T136" s="35" t="e" cm="1">
        <f t="array" aca="1" ref="T136" ca="1">IF(AND(G136=INDIRECT("'["&amp;G136&amp;"]"&amp;E136&amp;"'!"&amp;$AH$2),OR(I136=INDIRECT("'["&amp;G136&amp;"]"&amp;E136&amp;"'!"&amp;$AF$2))),INDIRECT("'["&amp;G136&amp;"]"&amp;E136&amp;"'!"&amp;$AF$3),0)</f>
        <v>#VALUE!</v>
      </c>
      <c r="U136" s="34" t="e" cm="1">
        <f t="array" aca="1" ref="U136" ca="1">IF(AND(G136=INDIRECT("'["&amp;G136&amp;"]"&amp;E136&amp;"'!"&amp;$AH$2),OR(I136=INDIRECT("'["&amp;G136&amp;"]"&amp;E136&amp;"'!"&amp;$AG$2))),INDIRECT("'["&amp;G136&amp;"]"&amp;E136&amp;"'!"&amp;$AG$3),0)</f>
        <v>#VALUE!</v>
      </c>
      <c r="V136" s="25" t="str">
        <f t="shared" si="52"/>
        <v/>
      </c>
      <c r="W136" s="36" t="e" cm="1">
        <f t="array" aca="1" ref="W136" ca="1">IF(AND(G136=INDIRECT("'["&amp;G136&amp;"]"&amp;E136&amp;"'!"&amp;$AH$2),OR(V136=INDIRECT("'["&amp;G136&amp;"]"&amp;E136&amp;"'!"&amp;$AI$2))),INDIRECT("'["&amp;G136&amp;"]"&amp;E136&amp;"'!"&amp;$AI$3),0)</f>
        <v>#VALUE!</v>
      </c>
      <c r="AJ136" s="25">
        <v>1</v>
      </c>
      <c r="AK136" s="38">
        <f t="shared" ca="1" si="53"/>
        <v>0</v>
      </c>
      <c r="AL136" s="38">
        <f t="shared" ca="1" si="54"/>
        <v>0</v>
      </c>
      <c r="AM136" s="54" t="str">
        <f t="shared" ca="1" si="45"/>
        <v/>
      </c>
      <c r="AN136" s="25" t="e">
        <f t="shared" ca="1" si="55"/>
        <v>#VALUE!</v>
      </c>
      <c r="AO136" s="25" t="e">
        <f t="shared" ca="1" si="56"/>
        <v>#VALUE!</v>
      </c>
      <c r="AP136" s="39" t="str">
        <f t="shared" ca="1" si="46"/>
        <v/>
      </c>
      <c r="AQ136" s="46" t="str">
        <f ca="1">IF(AND(C136&lt;&gt;0, C137=0), SUM($C$2:C136)-SUM($AQ$1:AQ135), "")</f>
        <v/>
      </c>
      <c r="AR136" s="46" t="str">
        <f ca="1">IF(AND(AK136&lt;&gt;0, AK137=0), SUM($AK$2:AK136)-SUM($AR$1:AR135), "")</f>
        <v/>
      </c>
    </row>
    <row r="137" spans="1:44" ht="13.15" customHeight="1">
      <c r="A137" s="31"/>
      <c r="B137" s="68" t="str">
        <f t="shared" si="41"/>
        <v/>
      </c>
      <c r="C137" s="55" cm="1">
        <f t="array" aca="1" ref="C137" ca="1">SUM(IF(ISNUMBER(M137:U137),M137:U137,""))</f>
        <v>0</v>
      </c>
      <c r="D137" s="25" t="str">
        <f t="shared" si="43"/>
        <v/>
      </c>
      <c r="E137" s="25" t="e">
        <f t="shared" si="47"/>
        <v>#VALUE!</v>
      </c>
      <c r="F137" s="25" t="str">
        <f t="shared" si="42"/>
        <v/>
      </c>
      <c r="G137" s="25" t="str">
        <f t="shared" si="44"/>
        <v>.xlsx</v>
      </c>
      <c r="H137" s="29" t="e" cm="1">
        <f t="array" aca="1" ref="H137" ca="1">IF(AND(VALUE(E137)=INDIRECT("'["&amp;G137&amp;"]"&amp;E137&amp;"'!"&amp;$X$2),G137=INDIRECT("'["&amp;G137&amp;"]"&amp;E137&amp;"'!"&amp;$X$3)),INDIRECT("'["&amp;G137&amp;"]"&amp;E137&amp;"'!"&amp;$X$1),0)</f>
        <v>#VALUE!</v>
      </c>
      <c r="I137" s="25" t="str">
        <f t="shared" si="48"/>
        <v/>
      </c>
      <c r="J137" s="32" t="str">
        <f t="shared" si="49"/>
        <v/>
      </c>
      <c r="K137" s="25" t="str">
        <f t="shared" si="50"/>
        <v/>
      </c>
      <c r="L137" s="25" t="str">
        <f t="shared" si="51"/>
        <v/>
      </c>
      <c r="M137" s="33" t="e" cm="1">
        <f t="array" aca="1" ref="M137" ca="1">IF(AND(J137=INDIRECT("'["&amp;G137&amp;"]"&amp;E137&amp;"'!"&amp;$Y$2),G137=INDIRECT("'["&amp;G137&amp;"]"&amp;E137&amp;"'!"&amp;$AH$2)),INDIRECT("'["&amp;G137&amp;"]"&amp;E137&amp;"'!"&amp;$Y$3),0)</f>
        <v>#VALUE!</v>
      </c>
      <c r="N137" s="34" t="e" cm="1">
        <f t="array" aca="1" ref="N137" ca="1">IF(AND(G137=INDIRECT("'["&amp;G137&amp;"]"&amp;E137&amp;"'!"&amp;$AH$2),OR(K137=INDIRECT("'["&amp;G137&amp;"]"&amp;E137&amp;"'!"&amp;$Z$2))),INDIRECT("'["&amp;G137&amp;"]"&amp;E137&amp;"'!"&amp;$Z$3),0)</f>
        <v>#VALUE!</v>
      </c>
      <c r="O137" s="34" t="e" cm="1">
        <f t="array" aca="1" ref="O137" ca="1">IF(AND(G137=INDIRECT("'["&amp;G137&amp;"]"&amp;E137&amp;"'!"&amp;$AH$2),OR(L137=INDIRECT("'["&amp;G137&amp;"]"&amp;E137&amp;"'!"&amp;$AA$2))),INDIRECT("'["&amp;G137&amp;"]"&amp;E137&amp;"'!"&amp;$AA$3),0)</f>
        <v>#VALUE!</v>
      </c>
      <c r="P137" s="34" t="e" cm="1">
        <f t="array" aca="1" ref="P137" ca="1">IF(AND(G137=INDIRECT("'["&amp;G137&amp;"]"&amp;E137&amp;"'!"&amp;$AH$2),OR(VALUE(I137)=INDIRECT("'["&amp;G137&amp;"]"&amp;E137&amp;"'!"&amp;$AB$2))),INDIRECT("'["&amp;G137&amp;"]"&amp;E137&amp;"'!"&amp;$AB$3),0)</f>
        <v>#VALUE!</v>
      </c>
      <c r="Q137" s="34" t="e" cm="1">
        <f t="array" aca="1" ref="Q137" ca="1">IF(AND(G137=INDIRECT("'["&amp;G137&amp;"]"&amp;E137&amp;"'!"&amp;$AH$2),OR(VALUE(I137)=INDIRECT("'["&amp;G137&amp;"]"&amp;E137&amp;"'!"&amp;$AC$2))),INDIRECT("'["&amp;G137&amp;"]"&amp;E137&amp;"'!"&amp;$AC$3),0)</f>
        <v>#VALUE!</v>
      </c>
      <c r="R137" s="34" t="e" cm="1">
        <f t="array" aca="1" ref="R137" ca="1">IF(AND(G137=INDIRECT("'["&amp;G137&amp;"]"&amp;E137&amp;"'!"&amp;$AH$2),OR(I137=INDIRECT("'["&amp;G137&amp;"]"&amp;E137&amp;"'!"&amp;$AD$2))),INDIRECT("'["&amp;G137&amp;"]"&amp;E137&amp;"'!"&amp;$AD$3),0)</f>
        <v>#VALUE!</v>
      </c>
      <c r="S137" s="34" t="e" cm="1">
        <f t="array" aca="1" ref="S137" ca="1">IF(AND(G137=INDIRECT("'["&amp;G137&amp;"]"&amp;E137&amp;"'!"&amp;$AH$2),OR(I137=INDIRECT("'["&amp;G137&amp;"]"&amp;E137&amp;"'!"&amp;$AE$2))),INDIRECT("'["&amp;G137&amp;"]"&amp;E137&amp;"'!"&amp;$AE$3),0)</f>
        <v>#VALUE!</v>
      </c>
      <c r="T137" s="35" t="e" cm="1">
        <f t="array" aca="1" ref="T137" ca="1">IF(AND(G137=INDIRECT("'["&amp;G137&amp;"]"&amp;E137&amp;"'!"&amp;$AH$2),OR(I137=INDIRECT("'["&amp;G137&amp;"]"&amp;E137&amp;"'!"&amp;$AF$2))),INDIRECT("'["&amp;G137&amp;"]"&amp;E137&amp;"'!"&amp;$AF$3),0)</f>
        <v>#VALUE!</v>
      </c>
      <c r="U137" s="34" t="e" cm="1">
        <f t="array" aca="1" ref="U137" ca="1">IF(AND(G137=INDIRECT("'["&amp;G137&amp;"]"&amp;E137&amp;"'!"&amp;$AH$2),OR(I137=INDIRECT("'["&amp;G137&amp;"]"&amp;E137&amp;"'!"&amp;$AG$2))),INDIRECT("'["&amp;G137&amp;"]"&amp;E137&amp;"'!"&amp;$AG$3),0)</f>
        <v>#VALUE!</v>
      </c>
      <c r="V137" s="25" t="str">
        <f t="shared" si="52"/>
        <v/>
      </c>
      <c r="W137" s="36" t="e" cm="1">
        <f t="array" aca="1" ref="W137" ca="1">IF(AND(G137=INDIRECT("'["&amp;G137&amp;"]"&amp;E137&amp;"'!"&amp;$AH$2),OR(V137=INDIRECT("'["&amp;G137&amp;"]"&amp;E137&amp;"'!"&amp;$AI$2))),INDIRECT("'["&amp;G137&amp;"]"&amp;E137&amp;"'!"&amp;$AI$3),0)</f>
        <v>#VALUE!</v>
      </c>
      <c r="AJ137" s="25">
        <v>1</v>
      </c>
      <c r="AK137" s="38">
        <f t="shared" ca="1" si="53"/>
        <v>0</v>
      </c>
      <c r="AL137" s="38">
        <f t="shared" ca="1" si="54"/>
        <v>0</v>
      </c>
      <c r="AM137" s="54" t="str">
        <f t="shared" ca="1" si="45"/>
        <v/>
      </c>
      <c r="AN137" s="25" t="e">
        <f t="shared" ca="1" si="55"/>
        <v>#VALUE!</v>
      </c>
      <c r="AO137" s="25" t="e">
        <f t="shared" ca="1" si="56"/>
        <v>#VALUE!</v>
      </c>
      <c r="AP137" s="39" t="str">
        <f t="shared" ca="1" si="46"/>
        <v/>
      </c>
      <c r="AQ137" s="46" t="str">
        <f ca="1">IF(AND(C137&lt;&gt;0, C138=0), SUM($C$2:C137)-SUM($AQ$1:AQ136), "")</f>
        <v/>
      </c>
      <c r="AR137" s="46" t="str">
        <f ca="1">IF(AND(AK137&lt;&gt;0, AK138=0), SUM($AK$2:AK137)-SUM($AR$1:AR136), "")</f>
        <v/>
      </c>
    </row>
    <row r="138" spans="1:44" ht="13.15" customHeight="1">
      <c r="A138" s="31"/>
      <c r="B138" s="68" t="str">
        <f t="shared" si="41"/>
        <v/>
      </c>
      <c r="C138" s="55" cm="1">
        <f t="array" aca="1" ref="C138" ca="1">SUM(IF(ISNUMBER(M138:U138),M138:U138,""))</f>
        <v>0</v>
      </c>
      <c r="D138" s="25" t="str">
        <f t="shared" si="43"/>
        <v/>
      </c>
      <c r="E138" s="25" t="e">
        <f t="shared" si="47"/>
        <v>#VALUE!</v>
      </c>
      <c r="F138" s="25" t="str">
        <f t="shared" si="42"/>
        <v/>
      </c>
      <c r="G138" s="25" t="str">
        <f t="shared" si="44"/>
        <v>.xlsx</v>
      </c>
      <c r="H138" s="29" t="e" cm="1">
        <f t="array" aca="1" ref="H138" ca="1">IF(AND(VALUE(E138)=INDIRECT("'["&amp;G138&amp;"]"&amp;E138&amp;"'!"&amp;$X$2),G138=INDIRECT("'["&amp;G138&amp;"]"&amp;E138&amp;"'!"&amp;$X$3)),INDIRECT("'["&amp;G138&amp;"]"&amp;E138&amp;"'!"&amp;$X$1),0)</f>
        <v>#VALUE!</v>
      </c>
      <c r="I138" s="25" t="str">
        <f t="shared" si="48"/>
        <v/>
      </c>
      <c r="J138" s="32" t="str">
        <f t="shared" si="49"/>
        <v/>
      </c>
      <c r="K138" s="25" t="str">
        <f t="shared" si="50"/>
        <v/>
      </c>
      <c r="L138" s="25" t="str">
        <f t="shared" si="51"/>
        <v/>
      </c>
      <c r="M138" s="33" t="e" cm="1">
        <f t="array" aca="1" ref="M138" ca="1">IF(AND(J138=INDIRECT("'["&amp;G138&amp;"]"&amp;E138&amp;"'!"&amp;$Y$2),G138=INDIRECT("'["&amp;G138&amp;"]"&amp;E138&amp;"'!"&amp;$AH$2)),INDIRECT("'["&amp;G138&amp;"]"&amp;E138&amp;"'!"&amp;$Y$3),0)</f>
        <v>#VALUE!</v>
      </c>
      <c r="N138" s="34" t="e" cm="1">
        <f t="array" aca="1" ref="N138" ca="1">IF(AND(G138=INDIRECT("'["&amp;G138&amp;"]"&amp;E138&amp;"'!"&amp;$AH$2),OR(K138=INDIRECT("'["&amp;G138&amp;"]"&amp;E138&amp;"'!"&amp;$Z$2))),INDIRECT("'["&amp;G138&amp;"]"&amp;E138&amp;"'!"&amp;$Z$3),0)</f>
        <v>#VALUE!</v>
      </c>
      <c r="O138" s="34" t="e" cm="1">
        <f t="array" aca="1" ref="O138" ca="1">IF(AND(G138=INDIRECT("'["&amp;G138&amp;"]"&amp;E138&amp;"'!"&amp;$AH$2),OR(L138=INDIRECT("'["&amp;G138&amp;"]"&amp;E138&amp;"'!"&amp;$AA$2))),INDIRECT("'["&amp;G138&amp;"]"&amp;E138&amp;"'!"&amp;$AA$3),0)</f>
        <v>#VALUE!</v>
      </c>
      <c r="P138" s="34" t="e" cm="1">
        <f t="array" aca="1" ref="P138" ca="1">IF(AND(G138=INDIRECT("'["&amp;G138&amp;"]"&amp;E138&amp;"'!"&amp;$AH$2),OR(VALUE(I138)=INDIRECT("'["&amp;G138&amp;"]"&amp;E138&amp;"'!"&amp;$AB$2))),INDIRECT("'["&amp;G138&amp;"]"&amp;E138&amp;"'!"&amp;$AB$3),0)</f>
        <v>#VALUE!</v>
      </c>
      <c r="Q138" s="34" t="e" cm="1">
        <f t="array" aca="1" ref="Q138" ca="1">IF(AND(G138=INDIRECT("'["&amp;G138&amp;"]"&amp;E138&amp;"'!"&amp;$AH$2),OR(VALUE(I138)=INDIRECT("'["&amp;G138&amp;"]"&amp;E138&amp;"'!"&amp;$AC$2))),INDIRECT("'["&amp;G138&amp;"]"&amp;E138&amp;"'!"&amp;$AC$3),0)</f>
        <v>#VALUE!</v>
      </c>
      <c r="R138" s="34" t="e" cm="1">
        <f t="array" aca="1" ref="R138" ca="1">IF(AND(G138=INDIRECT("'["&amp;G138&amp;"]"&amp;E138&amp;"'!"&amp;$AH$2),OR(I138=INDIRECT("'["&amp;G138&amp;"]"&amp;E138&amp;"'!"&amp;$AD$2))),INDIRECT("'["&amp;G138&amp;"]"&amp;E138&amp;"'!"&amp;$AD$3),0)</f>
        <v>#VALUE!</v>
      </c>
      <c r="S138" s="34" t="e" cm="1">
        <f t="array" aca="1" ref="S138" ca="1">IF(AND(G138=INDIRECT("'["&amp;G138&amp;"]"&amp;E138&amp;"'!"&amp;$AH$2),OR(I138=INDIRECT("'["&amp;G138&amp;"]"&amp;E138&amp;"'!"&amp;$AE$2))),INDIRECT("'["&amp;G138&amp;"]"&amp;E138&amp;"'!"&amp;$AE$3),0)</f>
        <v>#VALUE!</v>
      </c>
      <c r="T138" s="35" t="e" cm="1">
        <f t="array" aca="1" ref="T138" ca="1">IF(AND(G138=INDIRECT("'["&amp;G138&amp;"]"&amp;E138&amp;"'!"&amp;$AH$2),OR(I138=INDIRECT("'["&amp;G138&amp;"]"&amp;E138&amp;"'!"&amp;$AF$2))),INDIRECT("'["&amp;G138&amp;"]"&amp;E138&amp;"'!"&amp;$AF$3),0)</f>
        <v>#VALUE!</v>
      </c>
      <c r="U138" s="34" t="e" cm="1">
        <f t="array" aca="1" ref="U138" ca="1">IF(AND(G138=INDIRECT("'["&amp;G138&amp;"]"&amp;E138&amp;"'!"&amp;$AH$2),OR(I138=INDIRECT("'["&amp;G138&amp;"]"&amp;E138&amp;"'!"&amp;$AG$2))),INDIRECT("'["&amp;G138&amp;"]"&amp;E138&amp;"'!"&amp;$AG$3),0)</f>
        <v>#VALUE!</v>
      </c>
      <c r="V138" s="25" t="str">
        <f t="shared" si="52"/>
        <v/>
      </c>
      <c r="W138" s="36" t="e" cm="1">
        <f t="array" aca="1" ref="W138" ca="1">IF(AND(G138=INDIRECT("'["&amp;G138&amp;"]"&amp;E138&amp;"'!"&amp;$AH$2),OR(V138=INDIRECT("'["&amp;G138&amp;"]"&amp;E138&amp;"'!"&amp;$AI$2))),INDIRECT("'["&amp;G138&amp;"]"&amp;E138&amp;"'!"&amp;$AI$3),0)</f>
        <v>#VALUE!</v>
      </c>
      <c r="AJ138" s="25">
        <v>1</v>
      </c>
      <c r="AK138" s="38">
        <f t="shared" ca="1" si="53"/>
        <v>0</v>
      </c>
      <c r="AL138" s="38">
        <f t="shared" ca="1" si="54"/>
        <v>0</v>
      </c>
      <c r="AM138" s="54" t="str">
        <f t="shared" ca="1" si="45"/>
        <v/>
      </c>
      <c r="AN138" s="25" t="e">
        <f t="shared" ca="1" si="55"/>
        <v>#VALUE!</v>
      </c>
      <c r="AO138" s="25" t="e">
        <f t="shared" ca="1" si="56"/>
        <v>#VALUE!</v>
      </c>
      <c r="AP138" s="39" t="str">
        <f t="shared" ca="1" si="46"/>
        <v/>
      </c>
      <c r="AQ138" s="46" t="str">
        <f ca="1">IF(AND(C138&lt;&gt;0, C139=0), SUM($C$2:C138)-SUM($AQ$1:AQ137), "")</f>
        <v/>
      </c>
      <c r="AR138" s="46" t="str">
        <f ca="1">IF(AND(AK138&lt;&gt;0, AK139=0), SUM($AK$2:AK138)-SUM($AR$1:AR137), "")</f>
        <v/>
      </c>
    </row>
    <row r="139" spans="1:44" ht="13.15" customHeight="1">
      <c r="A139" s="31"/>
      <c r="B139" s="68" t="str">
        <f t="shared" si="41"/>
        <v/>
      </c>
      <c r="C139" s="55" cm="1">
        <f t="array" aca="1" ref="C139" ca="1">SUM(IF(ISNUMBER(M139:U139),M139:U139,""))</f>
        <v>0</v>
      </c>
      <c r="D139" s="25" t="str">
        <f t="shared" si="43"/>
        <v/>
      </c>
      <c r="E139" s="25" t="e">
        <f t="shared" si="47"/>
        <v>#VALUE!</v>
      </c>
      <c r="F139" s="25" t="str">
        <f t="shared" si="42"/>
        <v/>
      </c>
      <c r="G139" s="25" t="str">
        <f t="shared" si="44"/>
        <v>.xlsx</v>
      </c>
      <c r="H139" s="29" t="e" cm="1">
        <f t="array" aca="1" ref="H139" ca="1">IF(AND(VALUE(E139)=INDIRECT("'["&amp;G139&amp;"]"&amp;E139&amp;"'!"&amp;$X$2),G139=INDIRECT("'["&amp;G139&amp;"]"&amp;E139&amp;"'!"&amp;$X$3)),INDIRECT("'["&amp;G139&amp;"]"&amp;E139&amp;"'!"&amp;$X$1),0)</f>
        <v>#VALUE!</v>
      </c>
      <c r="I139" s="25" t="str">
        <f t="shared" si="48"/>
        <v/>
      </c>
      <c r="J139" s="32" t="str">
        <f t="shared" si="49"/>
        <v/>
      </c>
      <c r="K139" s="25" t="str">
        <f t="shared" si="50"/>
        <v/>
      </c>
      <c r="L139" s="25" t="str">
        <f t="shared" si="51"/>
        <v/>
      </c>
      <c r="M139" s="33" t="e" cm="1">
        <f t="array" aca="1" ref="M139" ca="1">IF(AND(J139=INDIRECT("'["&amp;G139&amp;"]"&amp;E139&amp;"'!"&amp;$Y$2),G139=INDIRECT("'["&amp;G139&amp;"]"&amp;E139&amp;"'!"&amp;$AH$2)),INDIRECT("'["&amp;G139&amp;"]"&amp;E139&amp;"'!"&amp;$Y$3),0)</f>
        <v>#VALUE!</v>
      </c>
      <c r="N139" s="34" t="e" cm="1">
        <f t="array" aca="1" ref="N139" ca="1">IF(AND(G139=INDIRECT("'["&amp;G139&amp;"]"&amp;E139&amp;"'!"&amp;$AH$2),OR(K139=INDIRECT("'["&amp;G139&amp;"]"&amp;E139&amp;"'!"&amp;$Z$2))),INDIRECT("'["&amp;G139&amp;"]"&amp;E139&amp;"'!"&amp;$Z$3),0)</f>
        <v>#VALUE!</v>
      </c>
      <c r="O139" s="34" t="e" cm="1">
        <f t="array" aca="1" ref="O139" ca="1">IF(AND(G139=INDIRECT("'["&amp;G139&amp;"]"&amp;E139&amp;"'!"&amp;$AH$2),OR(L139=INDIRECT("'["&amp;G139&amp;"]"&amp;E139&amp;"'!"&amp;$AA$2))),INDIRECT("'["&amp;G139&amp;"]"&amp;E139&amp;"'!"&amp;$AA$3),0)</f>
        <v>#VALUE!</v>
      </c>
      <c r="P139" s="34" t="e" cm="1">
        <f t="array" aca="1" ref="P139" ca="1">IF(AND(G139=INDIRECT("'["&amp;G139&amp;"]"&amp;E139&amp;"'!"&amp;$AH$2),OR(VALUE(I139)=INDIRECT("'["&amp;G139&amp;"]"&amp;E139&amp;"'!"&amp;$AB$2))),INDIRECT("'["&amp;G139&amp;"]"&amp;E139&amp;"'!"&amp;$AB$3),0)</f>
        <v>#VALUE!</v>
      </c>
      <c r="Q139" s="34" t="e" cm="1">
        <f t="array" aca="1" ref="Q139" ca="1">IF(AND(G139=INDIRECT("'["&amp;G139&amp;"]"&amp;E139&amp;"'!"&amp;$AH$2),OR(VALUE(I139)=INDIRECT("'["&amp;G139&amp;"]"&amp;E139&amp;"'!"&amp;$AC$2))),INDIRECT("'["&amp;G139&amp;"]"&amp;E139&amp;"'!"&amp;$AC$3),0)</f>
        <v>#VALUE!</v>
      </c>
      <c r="R139" s="34" t="e" cm="1">
        <f t="array" aca="1" ref="R139" ca="1">IF(AND(G139=INDIRECT("'["&amp;G139&amp;"]"&amp;E139&amp;"'!"&amp;$AH$2),OR(I139=INDIRECT("'["&amp;G139&amp;"]"&amp;E139&amp;"'!"&amp;$AD$2))),INDIRECT("'["&amp;G139&amp;"]"&amp;E139&amp;"'!"&amp;$AD$3),0)</f>
        <v>#VALUE!</v>
      </c>
      <c r="S139" s="34" t="e" cm="1">
        <f t="array" aca="1" ref="S139" ca="1">IF(AND(G139=INDIRECT("'["&amp;G139&amp;"]"&amp;E139&amp;"'!"&amp;$AH$2),OR(I139=INDIRECT("'["&amp;G139&amp;"]"&amp;E139&amp;"'!"&amp;$AE$2))),INDIRECT("'["&amp;G139&amp;"]"&amp;E139&amp;"'!"&amp;$AE$3),0)</f>
        <v>#VALUE!</v>
      </c>
      <c r="T139" s="35" t="e" cm="1">
        <f t="array" aca="1" ref="T139" ca="1">IF(AND(G139=INDIRECT("'["&amp;G139&amp;"]"&amp;E139&amp;"'!"&amp;$AH$2),OR(I139=INDIRECT("'["&amp;G139&amp;"]"&amp;E139&amp;"'!"&amp;$AF$2))),INDIRECT("'["&amp;G139&amp;"]"&amp;E139&amp;"'!"&amp;$AF$3),0)</f>
        <v>#VALUE!</v>
      </c>
      <c r="U139" s="34" t="e" cm="1">
        <f t="array" aca="1" ref="U139" ca="1">IF(AND(G139=INDIRECT("'["&amp;G139&amp;"]"&amp;E139&amp;"'!"&amp;$AH$2),OR(I139=INDIRECT("'["&amp;G139&amp;"]"&amp;E139&amp;"'!"&amp;$AG$2))),INDIRECT("'["&amp;G139&amp;"]"&amp;E139&amp;"'!"&amp;$AG$3),0)</f>
        <v>#VALUE!</v>
      </c>
      <c r="V139" s="25" t="str">
        <f t="shared" si="52"/>
        <v/>
      </c>
      <c r="W139" s="36" t="e" cm="1">
        <f t="array" aca="1" ref="W139" ca="1">IF(AND(G139=INDIRECT("'["&amp;G139&amp;"]"&amp;E139&amp;"'!"&amp;$AH$2),OR(V139=INDIRECT("'["&amp;G139&amp;"]"&amp;E139&amp;"'!"&amp;$AI$2))),INDIRECT("'["&amp;G139&amp;"]"&amp;E139&amp;"'!"&amp;$AI$3),0)</f>
        <v>#VALUE!</v>
      </c>
      <c r="AJ139" s="25">
        <v>1</v>
      </c>
      <c r="AK139" s="38">
        <f t="shared" ca="1" si="53"/>
        <v>0</v>
      </c>
      <c r="AL139" s="38">
        <f t="shared" ca="1" si="54"/>
        <v>0</v>
      </c>
      <c r="AM139" s="54" t="str">
        <f t="shared" ca="1" si="45"/>
        <v/>
      </c>
      <c r="AN139" s="25" t="e">
        <f t="shared" ca="1" si="55"/>
        <v>#VALUE!</v>
      </c>
      <c r="AO139" s="25" t="e">
        <f t="shared" ca="1" si="56"/>
        <v>#VALUE!</v>
      </c>
      <c r="AP139" s="39" t="str">
        <f t="shared" ca="1" si="46"/>
        <v/>
      </c>
      <c r="AQ139" s="46" t="str">
        <f ca="1">IF(AND(C139&lt;&gt;0, C140=0), SUM($C$2:C139)-SUM($AQ$1:AQ138), "")</f>
        <v/>
      </c>
      <c r="AR139" s="46" t="str">
        <f ca="1">IF(AND(AK139&lt;&gt;0, AK140=0), SUM($AK$2:AK139)-SUM($AR$1:AR138), "")</f>
        <v/>
      </c>
    </row>
    <row r="140" spans="1:44" ht="13.15" customHeight="1">
      <c r="A140" s="31"/>
      <c r="B140" s="68" t="str">
        <f>LEFT(A140,15)</f>
        <v/>
      </c>
      <c r="C140" s="55" cm="1">
        <f t="array" aca="1" ref="C140" ca="1">SUM(IF(ISNUMBER(M140:U140),M140:U140,""))</f>
        <v>0</v>
      </c>
      <c r="D140" s="25" t="str">
        <f>MID(A140,4,2)</f>
        <v/>
      </c>
      <c r="E140" s="25" t="e">
        <f t="shared" si="47"/>
        <v>#VALUE!</v>
      </c>
      <c r="F140" s="25" t="str">
        <f>LEFT(A140,2)</f>
        <v/>
      </c>
      <c r="G140" s="25" t="str">
        <f t="shared" si="44"/>
        <v>.xlsx</v>
      </c>
      <c r="H140" s="29" t="e" cm="1">
        <f t="array" aca="1" ref="H140" ca="1">IF(AND(VALUE(E140)=INDIRECT("'["&amp;G140&amp;"]"&amp;E140&amp;"'!"&amp;$X$2),G140=INDIRECT("'["&amp;G140&amp;"]"&amp;E140&amp;"'!"&amp;$X$3)),INDIRECT("'["&amp;G140&amp;"]"&amp;E140&amp;"'!"&amp;$X$1),0)</f>
        <v>#VALUE!</v>
      </c>
      <c r="I140" s="25" t="str">
        <f>MID(A140,10,6)</f>
        <v/>
      </c>
      <c r="J140" s="32" t="str">
        <f t="shared" si="49"/>
        <v/>
      </c>
      <c r="K140" s="25" t="str">
        <f t="shared" si="50"/>
        <v/>
      </c>
      <c r="L140" s="25" t="str">
        <f t="shared" si="51"/>
        <v/>
      </c>
      <c r="M140" s="33" t="e" cm="1">
        <f t="array" aca="1" ref="M140" ca="1">IF(AND(J140=INDIRECT("'["&amp;G140&amp;"]"&amp;E140&amp;"'!"&amp;$Y$2),G140=INDIRECT("'["&amp;G140&amp;"]"&amp;E140&amp;"'!"&amp;$AH$2)),INDIRECT("'["&amp;G140&amp;"]"&amp;E140&amp;"'!"&amp;$Y$3),0)</f>
        <v>#VALUE!</v>
      </c>
      <c r="N140" s="34" t="e" cm="1">
        <f t="array" aca="1" ref="N140" ca="1">IF(AND(G140=INDIRECT("'["&amp;G140&amp;"]"&amp;E140&amp;"'!"&amp;$AH$2),OR(K140=INDIRECT("'["&amp;G140&amp;"]"&amp;E140&amp;"'!"&amp;$Z$2))),INDIRECT("'["&amp;G140&amp;"]"&amp;E140&amp;"'!"&amp;$Z$3),0)</f>
        <v>#VALUE!</v>
      </c>
      <c r="O140" s="34" t="e" cm="1">
        <f t="array" aca="1" ref="O140" ca="1">IF(AND(G140=INDIRECT("'["&amp;G140&amp;"]"&amp;E140&amp;"'!"&amp;$AH$2),OR(L140=INDIRECT("'["&amp;G140&amp;"]"&amp;E140&amp;"'!"&amp;$AA$2))),INDIRECT("'["&amp;G140&amp;"]"&amp;E140&amp;"'!"&amp;$AA$3),0)</f>
        <v>#VALUE!</v>
      </c>
      <c r="P140" s="34" t="e" cm="1">
        <f t="array" aca="1" ref="P140" ca="1">IF(AND(G140=INDIRECT("'["&amp;G140&amp;"]"&amp;E140&amp;"'!"&amp;$AH$2),OR(VALUE(I140)=INDIRECT("'["&amp;G140&amp;"]"&amp;E140&amp;"'!"&amp;$AB$2))),INDIRECT("'["&amp;G140&amp;"]"&amp;E140&amp;"'!"&amp;$AB$3),0)</f>
        <v>#VALUE!</v>
      </c>
      <c r="Q140" s="34" t="e" cm="1">
        <f t="array" aca="1" ref="Q140" ca="1">IF(AND(G140=INDIRECT("'["&amp;G140&amp;"]"&amp;E140&amp;"'!"&amp;$AH$2),OR(VALUE(I140)=INDIRECT("'["&amp;G140&amp;"]"&amp;E140&amp;"'!"&amp;$AC$2))),INDIRECT("'["&amp;G140&amp;"]"&amp;E140&amp;"'!"&amp;$AC$3),0)</f>
        <v>#VALUE!</v>
      </c>
      <c r="R140" s="34" t="e" cm="1">
        <f t="array" aca="1" ref="R140" ca="1">IF(AND(G140=INDIRECT("'["&amp;G140&amp;"]"&amp;E140&amp;"'!"&amp;$AH$2),OR(I140=INDIRECT("'["&amp;G140&amp;"]"&amp;E140&amp;"'!"&amp;$AD$2))),INDIRECT("'["&amp;G140&amp;"]"&amp;E140&amp;"'!"&amp;$AD$3),0)</f>
        <v>#VALUE!</v>
      </c>
      <c r="S140" s="34" t="e" cm="1">
        <f t="array" aca="1" ref="S140" ca="1">IF(AND(G140=INDIRECT("'["&amp;G140&amp;"]"&amp;E140&amp;"'!"&amp;$AH$2),OR(I140=INDIRECT("'["&amp;G140&amp;"]"&amp;E140&amp;"'!"&amp;$AE$2))),INDIRECT("'["&amp;G140&amp;"]"&amp;E140&amp;"'!"&amp;$AE$3),0)</f>
        <v>#VALUE!</v>
      </c>
      <c r="T140" s="35" t="e" cm="1">
        <f t="array" aca="1" ref="T140" ca="1">IF(AND(G140=INDIRECT("'["&amp;G140&amp;"]"&amp;E140&amp;"'!"&amp;$AH$2),OR(I140=INDIRECT("'["&amp;G140&amp;"]"&amp;E140&amp;"'!"&amp;$AF$2))),INDIRECT("'["&amp;G140&amp;"]"&amp;E140&amp;"'!"&amp;$AF$3),0)</f>
        <v>#VALUE!</v>
      </c>
      <c r="U140" s="34" t="e" cm="1">
        <f t="array" aca="1" ref="U140" ca="1">IF(AND(G140=INDIRECT("'["&amp;G140&amp;"]"&amp;E140&amp;"'!"&amp;$AH$2),OR(I140=INDIRECT("'["&amp;G140&amp;"]"&amp;E140&amp;"'!"&amp;$AG$2))),INDIRECT("'["&amp;G140&amp;"]"&amp;E140&amp;"'!"&amp;$AG$3),0)</f>
        <v>#VALUE!</v>
      </c>
      <c r="V140" s="25" t="str">
        <f t="shared" si="52"/>
        <v/>
      </c>
      <c r="W140" s="36" t="e" cm="1">
        <f t="array" aca="1" ref="W140" ca="1">IF(AND(G140=INDIRECT("'["&amp;G140&amp;"]"&amp;E140&amp;"'!"&amp;$AH$2),OR(V140=INDIRECT("'["&amp;G140&amp;"]"&amp;E140&amp;"'!"&amp;$AI$2))),INDIRECT("'["&amp;G140&amp;"]"&amp;E140&amp;"'!"&amp;$AI$3),0)</f>
        <v>#VALUE!</v>
      </c>
      <c r="AJ140" s="25">
        <v>1</v>
      </c>
      <c r="AK140" s="38">
        <f t="shared" ca="1" si="53"/>
        <v>0</v>
      </c>
      <c r="AL140" s="38">
        <f t="shared" ca="1" si="54"/>
        <v>0</v>
      </c>
      <c r="AM140" s="54" t="str">
        <f ca="1">IF(A140&lt;&gt;"",IF(AM140="",NOW(),AM140),"")</f>
        <v/>
      </c>
      <c r="AN140" s="25" t="e">
        <f t="shared" ca="1" si="55"/>
        <v>#VALUE!</v>
      </c>
      <c r="AO140" s="25" t="e">
        <f t="shared" ca="1" si="56"/>
        <v>#VALUE!</v>
      </c>
      <c r="AP140" s="39" t="str">
        <f t="shared" ca="1" si="46"/>
        <v/>
      </c>
      <c r="AQ140" s="46" t="str">
        <f ca="1">IF(AND(C140&lt;&gt;0, C141=0), SUM($C$2:C140)-SUM($AQ$1:AQ139), "")</f>
        <v/>
      </c>
      <c r="AR140" s="46" t="str">
        <f ca="1">IF(AND(AK140&lt;&gt;0, AK141=0), SUM($AK$2:AK140)-SUM($AR$1:AR139), "")</f>
        <v/>
      </c>
    </row>
    <row r="141" spans="1:44" ht="13.15" customHeight="1">
      <c r="A141" s="31"/>
      <c r="B141" s="68" t="str">
        <f>LEFT(A141,15)</f>
        <v/>
      </c>
      <c r="C141" s="55" cm="1">
        <f t="array" aca="1" ref="C141" ca="1">SUM(IF(ISNUMBER(M141:U141),M141:U141,""))</f>
        <v>0</v>
      </c>
      <c r="D141" s="25" t="str">
        <f>MID(A141,4,2)</f>
        <v/>
      </c>
      <c r="E141" s="25" t="e">
        <f t="shared" si="47"/>
        <v>#VALUE!</v>
      </c>
      <c r="F141" s="25" t="str">
        <f>LEFT(A141,2)</f>
        <v/>
      </c>
      <c r="G141" s="25" t="str">
        <f t="shared" si="44"/>
        <v>.xlsx</v>
      </c>
      <c r="H141" s="29" t="e" cm="1">
        <f t="array" aca="1" ref="H141" ca="1">IF(AND(VALUE(E141)=INDIRECT("'["&amp;G141&amp;"]"&amp;E141&amp;"'!"&amp;$X$2),G141=INDIRECT("'["&amp;G141&amp;"]"&amp;E141&amp;"'!"&amp;$X$3)),INDIRECT("'["&amp;G141&amp;"]"&amp;E141&amp;"'!"&amp;$X$1),0)</f>
        <v>#VALUE!</v>
      </c>
      <c r="I141" s="25" t="str">
        <f>MID(A141,10,6)</f>
        <v/>
      </c>
      <c r="J141" s="32" t="str">
        <f t="shared" si="49"/>
        <v/>
      </c>
      <c r="K141" s="25" t="str">
        <f t="shared" si="50"/>
        <v/>
      </c>
      <c r="L141" s="25" t="str">
        <f t="shared" si="51"/>
        <v/>
      </c>
      <c r="M141" s="33" t="e" cm="1">
        <f t="array" aca="1" ref="M141" ca="1">IF(AND(J141=INDIRECT("'["&amp;G141&amp;"]"&amp;E141&amp;"'!"&amp;$Y$2),G141=INDIRECT("'["&amp;G141&amp;"]"&amp;E141&amp;"'!"&amp;$AH$2)),INDIRECT("'["&amp;G141&amp;"]"&amp;E141&amp;"'!"&amp;$Y$3),0)</f>
        <v>#VALUE!</v>
      </c>
      <c r="N141" s="34" t="e" cm="1">
        <f t="array" aca="1" ref="N141" ca="1">IF(AND(G141=INDIRECT("'["&amp;G141&amp;"]"&amp;E141&amp;"'!"&amp;$AH$2),OR(K141=INDIRECT("'["&amp;G141&amp;"]"&amp;E141&amp;"'!"&amp;$Z$2))),INDIRECT("'["&amp;G141&amp;"]"&amp;E141&amp;"'!"&amp;$Z$3),0)</f>
        <v>#VALUE!</v>
      </c>
      <c r="O141" s="34" t="e" cm="1">
        <f t="array" aca="1" ref="O141" ca="1">IF(AND(G141=INDIRECT("'["&amp;G141&amp;"]"&amp;E141&amp;"'!"&amp;$AH$2),OR(L141=INDIRECT("'["&amp;G141&amp;"]"&amp;E141&amp;"'!"&amp;$AA$2))),INDIRECT("'["&amp;G141&amp;"]"&amp;E141&amp;"'!"&amp;$AA$3),0)</f>
        <v>#VALUE!</v>
      </c>
      <c r="P141" s="34" t="e" cm="1">
        <f t="array" aca="1" ref="P141" ca="1">IF(AND(G141=INDIRECT("'["&amp;G141&amp;"]"&amp;E141&amp;"'!"&amp;$AH$2),OR(VALUE(I141)=INDIRECT("'["&amp;G141&amp;"]"&amp;E141&amp;"'!"&amp;$AB$2))),INDIRECT("'["&amp;G141&amp;"]"&amp;E141&amp;"'!"&amp;$AB$3),0)</f>
        <v>#VALUE!</v>
      </c>
      <c r="Q141" s="34" t="e" cm="1">
        <f t="array" aca="1" ref="Q141" ca="1">IF(AND(G141=INDIRECT("'["&amp;G141&amp;"]"&amp;E141&amp;"'!"&amp;$AH$2),OR(VALUE(I141)=INDIRECT("'["&amp;G141&amp;"]"&amp;E141&amp;"'!"&amp;$AC$2))),INDIRECT("'["&amp;G141&amp;"]"&amp;E141&amp;"'!"&amp;$AC$3),0)</f>
        <v>#VALUE!</v>
      </c>
      <c r="R141" s="34" t="e" cm="1">
        <f t="array" aca="1" ref="R141" ca="1">IF(AND(G141=INDIRECT("'["&amp;G141&amp;"]"&amp;E141&amp;"'!"&amp;$AH$2),OR(I141=INDIRECT("'["&amp;G141&amp;"]"&amp;E141&amp;"'!"&amp;$AD$2))),INDIRECT("'["&amp;G141&amp;"]"&amp;E141&amp;"'!"&amp;$AD$3),0)</f>
        <v>#VALUE!</v>
      </c>
      <c r="S141" s="34" t="e" cm="1">
        <f t="array" aca="1" ref="S141" ca="1">IF(AND(G141=INDIRECT("'["&amp;G141&amp;"]"&amp;E141&amp;"'!"&amp;$AH$2),OR(I141=INDIRECT("'["&amp;G141&amp;"]"&amp;E141&amp;"'!"&amp;$AE$2))),INDIRECT("'["&amp;G141&amp;"]"&amp;E141&amp;"'!"&amp;$AE$3),0)</f>
        <v>#VALUE!</v>
      </c>
      <c r="T141" s="35" t="e" cm="1">
        <f t="array" aca="1" ref="T141" ca="1">IF(AND(G141=INDIRECT("'["&amp;G141&amp;"]"&amp;E141&amp;"'!"&amp;$AH$2),OR(I141=INDIRECT("'["&amp;G141&amp;"]"&amp;E141&amp;"'!"&amp;$AF$2))),INDIRECT("'["&amp;G141&amp;"]"&amp;E141&amp;"'!"&amp;$AF$3),0)</f>
        <v>#VALUE!</v>
      </c>
      <c r="U141" s="34" t="e" cm="1">
        <f t="array" aca="1" ref="U141" ca="1">IF(AND(G141=INDIRECT("'["&amp;G141&amp;"]"&amp;E141&amp;"'!"&amp;$AH$2),OR(I141=INDIRECT("'["&amp;G141&amp;"]"&amp;E141&amp;"'!"&amp;$AG$2))),INDIRECT("'["&amp;G141&amp;"]"&amp;E141&amp;"'!"&amp;$AG$3),0)</f>
        <v>#VALUE!</v>
      </c>
      <c r="V141" s="25" t="str">
        <f t="shared" si="52"/>
        <v/>
      </c>
      <c r="W141" s="36" t="e" cm="1">
        <f t="array" aca="1" ref="W141" ca="1">IF(AND(G141=INDIRECT("'["&amp;G141&amp;"]"&amp;E141&amp;"'!"&amp;$AH$2),OR(V141=INDIRECT("'["&amp;G141&amp;"]"&amp;E141&amp;"'!"&amp;$AI$2))),INDIRECT("'["&amp;G141&amp;"]"&amp;E141&amp;"'!"&amp;$AI$3),0)</f>
        <v>#VALUE!</v>
      </c>
      <c r="AJ141" s="25">
        <v>1</v>
      </c>
      <c r="AK141" s="38">
        <f t="shared" ca="1" si="53"/>
        <v>0</v>
      </c>
      <c r="AL141" s="38">
        <f t="shared" ca="1" si="54"/>
        <v>0</v>
      </c>
      <c r="AM141" s="54" t="str">
        <f ca="1">IF(A141&lt;&gt;"",IF(AM141="",NOW(),AM141),"")</f>
        <v/>
      </c>
      <c r="AN141" s="25" t="e">
        <f t="shared" ca="1" si="55"/>
        <v>#VALUE!</v>
      </c>
      <c r="AO141" s="25" t="e">
        <f t="shared" ca="1" si="56"/>
        <v>#VALUE!</v>
      </c>
      <c r="AP141" s="39" t="str">
        <f t="shared" ca="1" si="46"/>
        <v/>
      </c>
      <c r="AQ141" s="46" t="str">
        <f ca="1">IF(AND(C141&lt;&gt;0, C142=0), SUM($C$2:C141)-SUM($AQ$1:AQ140), "")</f>
        <v/>
      </c>
      <c r="AR141" s="46" t="str">
        <f ca="1">IF(AND(AK141&lt;&gt;0, AK142=0), SUM($AK$2:AK141)-SUM($AR$1:AR140), "")</f>
        <v/>
      </c>
    </row>
    <row r="142" spans="1:44" ht="13.15" customHeight="1">
      <c r="A142" s="31"/>
      <c r="B142" s="68" t="str">
        <f t="shared" si="41"/>
        <v/>
      </c>
      <c r="C142" s="55" cm="1">
        <f t="array" aca="1" ref="C142" ca="1">SUM(IF(ISNUMBER(M142:U142),M142:U142,""))</f>
        <v>0</v>
      </c>
      <c r="D142" s="25" t="str">
        <f t="shared" si="43"/>
        <v/>
      </c>
      <c r="E142" s="25" t="e">
        <f t="shared" si="47"/>
        <v>#VALUE!</v>
      </c>
      <c r="F142" s="25" t="str">
        <f t="shared" si="42"/>
        <v/>
      </c>
      <c r="G142" s="25" t="str">
        <f t="shared" si="44"/>
        <v>.xlsx</v>
      </c>
      <c r="H142" s="29" t="e" cm="1">
        <f t="array" aca="1" ref="H142" ca="1">IF(AND(VALUE(E142)=INDIRECT("'["&amp;G142&amp;"]"&amp;E142&amp;"'!"&amp;$X$2),G142=INDIRECT("'["&amp;G142&amp;"]"&amp;E142&amp;"'!"&amp;$X$3)),INDIRECT("'["&amp;G142&amp;"]"&amp;E142&amp;"'!"&amp;$X$1),0)</f>
        <v>#VALUE!</v>
      </c>
      <c r="I142" s="25" t="str">
        <f t="shared" si="48"/>
        <v/>
      </c>
      <c r="J142" s="32" t="str">
        <f t="shared" si="49"/>
        <v/>
      </c>
      <c r="K142" s="25" t="str">
        <f t="shared" si="50"/>
        <v/>
      </c>
      <c r="L142" s="25" t="str">
        <f t="shared" si="51"/>
        <v/>
      </c>
      <c r="M142" s="33" t="e" cm="1">
        <f t="array" aca="1" ref="M142" ca="1">IF(AND(J142=INDIRECT("'["&amp;G142&amp;"]"&amp;E142&amp;"'!"&amp;$Y$2),G142=INDIRECT("'["&amp;G142&amp;"]"&amp;E142&amp;"'!"&amp;$AH$2)),INDIRECT("'["&amp;G142&amp;"]"&amp;E142&amp;"'!"&amp;$Y$3),0)</f>
        <v>#VALUE!</v>
      </c>
      <c r="N142" s="34" t="e" cm="1">
        <f t="array" aca="1" ref="N142" ca="1">IF(AND(G142=INDIRECT("'["&amp;G142&amp;"]"&amp;E142&amp;"'!"&amp;$AH$2),OR(K142=INDIRECT("'["&amp;G142&amp;"]"&amp;E142&amp;"'!"&amp;$Z$2))),INDIRECT("'["&amp;G142&amp;"]"&amp;E142&amp;"'!"&amp;$Z$3),0)</f>
        <v>#VALUE!</v>
      </c>
      <c r="O142" s="34" t="e" cm="1">
        <f t="array" aca="1" ref="O142" ca="1">IF(AND(G142=INDIRECT("'["&amp;G142&amp;"]"&amp;E142&amp;"'!"&amp;$AH$2),OR(L142=INDIRECT("'["&amp;G142&amp;"]"&amp;E142&amp;"'!"&amp;$AA$2))),INDIRECT("'["&amp;G142&amp;"]"&amp;E142&amp;"'!"&amp;$AA$3),0)</f>
        <v>#VALUE!</v>
      </c>
      <c r="P142" s="34" t="e" cm="1">
        <f t="array" aca="1" ref="P142" ca="1">IF(AND(G142=INDIRECT("'["&amp;G142&amp;"]"&amp;E142&amp;"'!"&amp;$AH$2),OR(VALUE(I142)=INDIRECT("'["&amp;G142&amp;"]"&amp;E142&amp;"'!"&amp;$AB$2))),INDIRECT("'["&amp;G142&amp;"]"&amp;E142&amp;"'!"&amp;$AB$3),0)</f>
        <v>#VALUE!</v>
      </c>
      <c r="Q142" s="34" t="e" cm="1">
        <f t="array" aca="1" ref="Q142" ca="1">IF(AND(G142=INDIRECT("'["&amp;G142&amp;"]"&amp;E142&amp;"'!"&amp;$AH$2),OR(VALUE(I142)=INDIRECT("'["&amp;G142&amp;"]"&amp;E142&amp;"'!"&amp;$AC$2))),INDIRECT("'["&amp;G142&amp;"]"&amp;E142&amp;"'!"&amp;$AC$3),0)</f>
        <v>#VALUE!</v>
      </c>
      <c r="R142" s="34" t="e" cm="1">
        <f t="array" aca="1" ref="R142" ca="1">IF(AND(G142=INDIRECT("'["&amp;G142&amp;"]"&amp;E142&amp;"'!"&amp;$AH$2),OR(I142=INDIRECT("'["&amp;G142&amp;"]"&amp;E142&amp;"'!"&amp;$AD$2))),INDIRECT("'["&amp;G142&amp;"]"&amp;E142&amp;"'!"&amp;$AD$3),0)</f>
        <v>#VALUE!</v>
      </c>
      <c r="S142" s="34" t="e" cm="1">
        <f t="array" aca="1" ref="S142" ca="1">IF(AND(G142=INDIRECT("'["&amp;G142&amp;"]"&amp;E142&amp;"'!"&amp;$AH$2),OR(I142=INDIRECT("'["&amp;G142&amp;"]"&amp;E142&amp;"'!"&amp;$AE$2))),INDIRECT("'["&amp;G142&amp;"]"&amp;E142&amp;"'!"&amp;$AE$3),0)</f>
        <v>#VALUE!</v>
      </c>
      <c r="T142" s="35" t="e" cm="1">
        <f t="array" aca="1" ref="T142" ca="1">IF(AND(G142=INDIRECT("'["&amp;G142&amp;"]"&amp;E142&amp;"'!"&amp;$AH$2),OR(I142=INDIRECT("'["&amp;G142&amp;"]"&amp;E142&amp;"'!"&amp;$AF$2))),INDIRECT("'["&amp;G142&amp;"]"&amp;E142&amp;"'!"&amp;$AF$3),0)</f>
        <v>#VALUE!</v>
      </c>
      <c r="U142" s="34" t="e" cm="1">
        <f t="array" aca="1" ref="U142" ca="1">IF(AND(G142=INDIRECT("'["&amp;G142&amp;"]"&amp;E142&amp;"'!"&amp;$AH$2),OR(I142=INDIRECT("'["&amp;G142&amp;"]"&amp;E142&amp;"'!"&amp;$AG$2))),INDIRECT("'["&amp;G142&amp;"]"&amp;E142&amp;"'!"&amp;$AG$3),0)</f>
        <v>#VALUE!</v>
      </c>
      <c r="V142" s="25" t="str">
        <f t="shared" si="52"/>
        <v/>
      </c>
      <c r="W142" s="36" t="e" cm="1">
        <f t="array" aca="1" ref="W142" ca="1">IF(AND(G142=INDIRECT("'["&amp;G142&amp;"]"&amp;E142&amp;"'!"&amp;$AH$2),OR(V142=INDIRECT("'["&amp;G142&amp;"]"&amp;E142&amp;"'!"&amp;$AI$2))),INDIRECT("'["&amp;G142&amp;"]"&amp;E142&amp;"'!"&amp;$AI$3),0)</f>
        <v>#VALUE!</v>
      </c>
      <c r="AJ142" s="25">
        <v>1</v>
      </c>
      <c r="AK142" s="38">
        <f t="shared" ca="1" si="53"/>
        <v>0</v>
      </c>
      <c r="AL142" s="38">
        <f t="shared" ca="1" si="54"/>
        <v>0</v>
      </c>
      <c r="AM142" s="54" t="str">
        <f t="shared" ca="1" si="45"/>
        <v/>
      </c>
      <c r="AN142" s="25" t="e">
        <f t="shared" ca="1" si="55"/>
        <v>#VALUE!</v>
      </c>
      <c r="AO142" s="25" t="e">
        <f t="shared" ca="1" si="56"/>
        <v>#VALUE!</v>
      </c>
      <c r="AP142" s="39" t="str">
        <f t="shared" ca="1" si="46"/>
        <v/>
      </c>
      <c r="AQ142" s="46" t="str">
        <f ca="1">IF(AND(C142&lt;&gt;0, C143=0), SUM($C$2:C142)-SUM($AQ$1:AQ141), "")</f>
        <v/>
      </c>
      <c r="AR142" s="46" t="str">
        <f ca="1">IF(AND(AK142&lt;&gt;0, AK143=0), SUM($AK$2:AK142)-SUM($AR$1:AR141), "")</f>
        <v/>
      </c>
    </row>
    <row r="143" spans="1:44" ht="13.15" customHeight="1">
      <c r="A143" s="31"/>
      <c r="B143" s="68" t="str">
        <f t="shared" si="41"/>
        <v/>
      </c>
      <c r="C143" s="55" cm="1">
        <f t="array" aca="1" ref="C143" ca="1">SUM(IF(ISNUMBER(M143:U143),M143:U143,""))</f>
        <v>0</v>
      </c>
      <c r="D143" s="25" t="str">
        <f t="shared" si="43"/>
        <v/>
      </c>
      <c r="E143" s="25" t="e">
        <f t="shared" si="47"/>
        <v>#VALUE!</v>
      </c>
      <c r="F143" s="25" t="str">
        <f t="shared" si="42"/>
        <v/>
      </c>
      <c r="G143" s="25" t="str">
        <f t="shared" si="44"/>
        <v>.xlsx</v>
      </c>
      <c r="H143" s="29" t="e" cm="1">
        <f t="array" aca="1" ref="H143" ca="1">IF(AND(VALUE(E143)=INDIRECT("'["&amp;G143&amp;"]"&amp;E143&amp;"'!"&amp;$X$2),G143=INDIRECT("'["&amp;G143&amp;"]"&amp;E143&amp;"'!"&amp;$X$3)),INDIRECT("'["&amp;G143&amp;"]"&amp;E143&amp;"'!"&amp;$X$1),0)</f>
        <v>#VALUE!</v>
      </c>
      <c r="I143" s="25" t="str">
        <f t="shared" si="48"/>
        <v/>
      </c>
      <c r="J143" s="32" t="str">
        <f t="shared" si="49"/>
        <v/>
      </c>
      <c r="K143" s="25" t="str">
        <f t="shared" si="50"/>
        <v/>
      </c>
      <c r="L143" s="25" t="str">
        <f t="shared" si="51"/>
        <v/>
      </c>
      <c r="M143" s="33" t="e" cm="1">
        <f t="array" aca="1" ref="M143" ca="1">IF(AND(J143=INDIRECT("'["&amp;G143&amp;"]"&amp;E143&amp;"'!"&amp;$Y$2),G143=INDIRECT("'["&amp;G143&amp;"]"&amp;E143&amp;"'!"&amp;$AH$2)),INDIRECT("'["&amp;G143&amp;"]"&amp;E143&amp;"'!"&amp;$Y$3),0)</f>
        <v>#VALUE!</v>
      </c>
      <c r="N143" s="34" t="e" cm="1">
        <f t="array" aca="1" ref="N143" ca="1">IF(AND(G143=INDIRECT("'["&amp;G143&amp;"]"&amp;E143&amp;"'!"&amp;$AH$2),OR(K143=INDIRECT("'["&amp;G143&amp;"]"&amp;E143&amp;"'!"&amp;$Z$2))),INDIRECT("'["&amp;G143&amp;"]"&amp;E143&amp;"'!"&amp;$Z$3),0)</f>
        <v>#VALUE!</v>
      </c>
      <c r="O143" s="34" t="e" cm="1">
        <f t="array" aca="1" ref="O143" ca="1">IF(AND(G143=INDIRECT("'["&amp;G143&amp;"]"&amp;E143&amp;"'!"&amp;$AH$2),OR(L143=INDIRECT("'["&amp;G143&amp;"]"&amp;E143&amp;"'!"&amp;$AA$2))),INDIRECT("'["&amp;G143&amp;"]"&amp;E143&amp;"'!"&amp;$AA$3),0)</f>
        <v>#VALUE!</v>
      </c>
      <c r="P143" s="34" t="e" cm="1">
        <f t="array" aca="1" ref="P143" ca="1">IF(AND(G143=INDIRECT("'["&amp;G143&amp;"]"&amp;E143&amp;"'!"&amp;$AH$2),OR(VALUE(I143)=INDIRECT("'["&amp;G143&amp;"]"&amp;E143&amp;"'!"&amp;$AB$2))),INDIRECT("'["&amp;G143&amp;"]"&amp;E143&amp;"'!"&amp;$AB$3),0)</f>
        <v>#VALUE!</v>
      </c>
      <c r="Q143" s="34" t="e" cm="1">
        <f t="array" aca="1" ref="Q143" ca="1">IF(AND(G143=INDIRECT("'["&amp;G143&amp;"]"&amp;E143&amp;"'!"&amp;$AH$2),OR(VALUE(I143)=INDIRECT("'["&amp;G143&amp;"]"&amp;E143&amp;"'!"&amp;$AC$2))),INDIRECT("'["&amp;G143&amp;"]"&amp;E143&amp;"'!"&amp;$AC$3),0)</f>
        <v>#VALUE!</v>
      </c>
      <c r="R143" s="34" t="e" cm="1">
        <f t="array" aca="1" ref="R143" ca="1">IF(AND(G143=INDIRECT("'["&amp;G143&amp;"]"&amp;E143&amp;"'!"&amp;$AH$2),OR(I143=INDIRECT("'["&amp;G143&amp;"]"&amp;E143&amp;"'!"&amp;$AD$2))),INDIRECT("'["&amp;G143&amp;"]"&amp;E143&amp;"'!"&amp;$AD$3),0)</f>
        <v>#VALUE!</v>
      </c>
      <c r="S143" s="34" t="e" cm="1">
        <f t="array" aca="1" ref="S143" ca="1">IF(AND(G143=INDIRECT("'["&amp;G143&amp;"]"&amp;E143&amp;"'!"&amp;$AH$2),OR(I143=INDIRECT("'["&amp;G143&amp;"]"&amp;E143&amp;"'!"&amp;$AE$2))),INDIRECT("'["&amp;G143&amp;"]"&amp;E143&amp;"'!"&amp;$AE$3),0)</f>
        <v>#VALUE!</v>
      </c>
      <c r="T143" s="35" t="e" cm="1">
        <f t="array" aca="1" ref="T143" ca="1">IF(AND(G143=INDIRECT("'["&amp;G143&amp;"]"&amp;E143&amp;"'!"&amp;$AH$2),OR(I143=INDIRECT("'["&amp;G143&amp;"]"&amp;E143&amp;"'!"&amp;$AF$2))),INDIRECT("'["&amp;G143&amp;"]"&amp;E143&amp;"'!"&amp;$AF$3),0)</f>
        <v>#VALUE!</v>
      </c>
      <c r="U143" s="34" t="e" cm="1">
        <f t="array" aca="1" ref="U143" ca="1">IF(AND(G143=INDIRECT("'["&amp;G143&amp;"]"&amp;E143&amp;"'!"&amp;$AH$2),OR(I143=INDIRECT("'["&amp;G143&amp;"]"&amp;E143&amp;"'!"&amp;$AG$2))),INDIRECT("'["&amp;G143&amp;"]"&amp;E143&amp;"'!"&amp;$AG$3),0)</f>
        <v>#VALUE!</v>
      </c>
      <c r="V143" s="25" t="str">
        <f t="shared" si="52"/>
        <v/>
      </c>
      <c r="W143" s="36" t="e" cm="1">
        <f t="array" aca="1" ref="W143" ca="1">IF(AND(G143=INDIRECT("'["&amp;G143&amp;"]"&amp;E143&amp;"'!"&amp;$AH$2),OR(V143=INDIRECT("'["&amp;G143&amp;"]"&amp;E143&amp;"'!"&amp;$AI$2))),INDIRECT("'["&amp;G143&amp;"]"&amp;E143&amp;"'!"&amp;$AI$3),0)</f>
        <v>#VALUE!</v>
      </c>
      <c r="AJ143" s="25">
        <v>1</v>
      </c>
      <c r="AK143" s="38">
        <f t="shared" ca="1" si="53"/>
        <v>0</v>
      </c>
      <c r="AL143" s="38">
        <f t="shared" ca="1" si="54"/>
        <v>0</v>
      </c>
      <c r="AM143" s="54" t="str">
        <f t="shared" ca="1" si="45"/>
        <v/>
      </c>
      <c r="AN143" s="25" t="e">
        <f t="shared" ca="1" si="55"/>
        <v>#VALUE!</v>
      </c>
      <c r="AO143" s="25" t="e">
        <f t="shared" ca="1" si="56"/>
        <v>#VALUE!</v>
      </c>
      <c r="AP143" s="39" t="str">
        <f t="shared" ca="1" si="46"/>
        <v/>
      </c>
      <c r="AQ143" s="46" t="str">
        <f ca="1">IF(AND(C143&lt;&gt;0, C144=0), SUM($C$2:C143)-SUM($AQ$1:AQ142), "")</f>
        <v/>
      </c>
      <c r="AR143" s="46" t="str">
        <f ca="1">IF(AND(AK143&lt;&gt;0, AK144=0), SUM($AK$2:AK143)-SUM($AR$1:AR142), "")</f>
        <v/>
      </c>
    </row>
    <row r="144" spans="1:44" ht="13.15" customHeight="1">
      <c r="A144" s="31"/>
      <c r="B144" s="68" t="str">
        <f t="shared" si="41"/>
        <v/>
      </c>
      <c r="C144" s="55" cm="1">
        <f t="array" aca="1" ref="C144" ca="1">SUM(IF(ISNUMBER(M144:U144),M144:U144,""))</f>
        <v>0</v>
      </c>
      <c r="D144" s="25" t="str">
        <f t="shared" si="43"/>
        <v/>
      </c>
      <c r="E144" s="25" t="e">
        <f t="shared" si="47"/>
        <v>#VALUE!</v>
      </c>
      <c r="F144" s="25" t="str">
        <f t="shared" si="42"/>
        <v/>
      </c>
      <c r="G144" s="25" t="str">
        <f t="shared" si="44"/>
        <v>.xlsx</v>
      </c>
      <c r="H144" s="29" t="e" cm="1">
        <f t="array" aca="1" ref="H144" ca="1">IF(AND(VALUE(E144)=INDIRECT("'["&amp;G144&amp;"]"&amp;E144&amp;"'!"&amp;$X$2),G144=INDIRECT("'["&amp;G144&amp;"]"&amp;E144&amp;"'!"&amp;$X$3)),INDIRECT("'["&amp;G144&amp;"]"&amp;E144&amp;"'!"&amp;$X$1),0)</f>
        <v>#VALUE!</v>
      </c>
      <c r="I144" s="25" t="str">
        <f t="shared" si="48"/>
        <v/>
      </c>
      <c r="J144" s="32" t="str">
        <f t="shared" si="49"/>
        <v/>
      </c>
      <c r="K144" s="25" t="str">
        <f t="shared" si="50"/>
        <v/>
      </c>
      <c r="L144" s="25" t="str">
        <f t="shared" si="51"/>
        <v/>
      </c>
      <c r="M144" s="33" t="e" cm="1">
        <f t="array" aca="1" ref="M144" ca="1">IF(AND(J144=INDIRECT("'["&amp;G144&amp;"]"&amp;E144&amp;"'!"&amp;$Y$2),G144=INDIRECT("'["&amp;G144&amp;"]"&amp;E144&amp;"'!"&amp;$AH$2)),INDIRECT("'["&amp;G144&amp;"]"&amp;E144&amp;"'!"&amp;$Y$3),0)</f>
        <v>#VALUE!</v>
      </c>
      <c r="N144" s="34" t="e" cm="1">
        <f t="array" aca="1" ref="N144" ca="1">IF(AND(G144=INDIRECT("'["&amp;G144&amp;"]"&amp;E144&amp;"'!"&amp;$AH$2),OR(K144=INDIRECT("'["&amp;G144&amp;"]"&amp;E144&amp;"'!"&amp;$Z$2))),INDIRECT("'["&amp;G144&amp;"]"&amp;E144&amp;"'!"&amp;$Z$3),0)</f>
        <v>#VALUE!</v>
      </c>
      <c r="O144" s="34" t="e" cm="1">
        <f t="array" aca="1" ref="O144" ca="1">IF(AND(G144=INDIRECT("'["&amp;G144&amp;"]"&amp;E144&amp;"'!"&amp;$AH$2),OR(L144=INDIRECT("'["&amp;G144&amp;"]"&amp;E144&amp;"'!"&amp;$AA$2))),INDIRECT("'["&amp;G144&amp;"]"&amp;E144&amp;"'!"&amp;$AA$3),0)</f>
        <v>#VALUE!</v>
      </c>
      <c r="P144" s="34" t="e" cm="1">
        <f t="array" aca="1" ref="P144" ca="1">IF(AND(G144=INDIRECT("'["&amp;G144&amp;"]"&amp;E144&amp;"'!"&amp;$AH$2),OR(VALUE(I144)=INDIRECT("'["&amp;G144&amp;"]"&amp;E144&amp;"'!"&amp;$AB$2))),INDIRECT("'["&amp;G144&amp;"]"&amp;E144&amp;"'!"&amp;$AB$3),0)</f>
        <v>#VALUE!</v>
      </c>
      <c r="Q144" s="34" t="e" cm="1">
        <f t="array" aca="1" ref="Q144" ca="1">IF(AND(G144=INDIRECT("'["&amp;G144&amp;"]"&amp;E144&amp;"'!"&amp;$AH$2),OR(VALUE(I144)=INDIRECT("'["&amp;G144&amp;"]"&amp;E144&amp;"'!"&amp;$AC$2))),INDIRECT("'["&amp;G144&amp;"]"&amp;E144&amp;"'!"&amp;$AC$3),0)</f>
        <v>#VALUE!</v>
      </c>
      <c r="R144" s="34" t="e" cm="1">
        <f t="array" aca="1" ref="R144" ca="1">IF(AND(G144=INDIRECT("'["&amp;G144&amp;"]"&amp;E144&amp;"'!"&amp;$AH$2),OR(I144=INDIRECT("'["&amp;G144&amp;"]"&amp;E144&amp;"'!"&amp;$AD$2))),INDIRECT("'["&amp;G144&amp;"]"&amp;E144&amp;"'!"&amp;$AD$3),0)</f>
        <v>#VALUE!</v>
      </c>
      <c r="S144" s="34" t="e" cm="1">
        <f t="array" aca="1" ref="S144" ca="1">IF(AND(G144=INDIRECT("'["&amp;G144&amp;"]"&amp;E144&amp;"'!"&amp;$AH$2),OR(I144=INDIRECT("'["&amp;G144&amp;"]"&amp;E144&amp;"'!"&amp;$AE$2))),INDIRECT("'["&amp;G144&amp;"]"&amp;E144&amp;"'!"&amp;$AE$3),0)</f>
        <v>#VALUE!</v>
      </c>
      <c r="T144" s="35" t="e" cm="1">
        <f t="array" aca="1" ref="T144" ca="1">IF(AND(G144=INDIRECT("'["&amp;G144&amp;"]"&amp;E144&amp;"'!"&amp;$AH$2),OR(I144=INDIRECT("'["&amp;G144&amp;"]"&amp;E144&amp;"'!"&amp;$AF$2))),INDIRECT("'["&amp;G144&amp;"]"&amp;E144&amp;"'!"&amp;$AF$3),0)</f>
        <v>#VALUE!</v>
      </c>
      <c r="U144" s="34" t="e" cm="1">
        <f t="array" aca="1" ref="U144" ca="1">IF(AND(G144=INDIRECT("'["&amp;G144&amp;"]"&amp;E144&amp;"'!"&amp;$AH$2),OR(I144=INDIRECT("'["&amp;G144&amp;"]"&amp;E144&amp;"'!"&amp;$AG$2))),INDIRECT("'["&amp;G144&amp;"]"&amp;E144&amp;"'!"&amp;$AG$3),0)</f>
        <v>#VALUE!</v>
      </c>
      <c r="V144" s="25" t="str">
        <f t="shared" si="52"/>
        <v/>
      </c>
      <c r="W144" s="36" t="e" cm="1">
        <f t="array" aca="1" ref="W144" ca="1">IF(AND(G144=INDIRECT("'["&amp;G144&amp;"]"&amp;E144&amp;"'!"&amp;$AH$2),OR(V144=INDIRECT("'["&amp;G144&amp;"]"&amp;E144&amp;"'!"&amp;$AI$2))),INDIRECT("'["&amp;G144&amp;"]"&amp;E144&amp;"'!"&amp;$AI$3),0)</f>
        <v>#VALUE!</v>
      </c>
      <c r="AJ144" s="25">
        <v>1</v>
      </c>
      <c r="AK144" s="38">
        <f t="shared" ca="1" si="53"/>
        <v>0</v>
      </c>
      <c r="AL144" s="38">
        <f t="shared" ca="1" si="54"/>
        <v>0</v>
      </c>
      <c r="AM144" s="54" t="str">
        <f t="shared" ca="1" si="45"/>
        <v/>
      </c>
      <c r="AN144" s="25" t="e">
        <f t="shared" ca="1" si="55"/>
        <v>#VALUE!</v>
      </c>
      <c r="AO144" s="25" t="e">
        <f t="shared" ca="1" si="56"/>
        <v>#VALUE!</v>
      </c>
      <c r="AP144" s="39" t="str">
        <f t="shared" ca="1" si="46"/>
        <v/>
      </c>
      <c r="AQ144" s="46" t="str">
        <f ca="1">IF(AND(C144&lt;&gt;0, C145=0), SUM($C$2:C144)-SUM($AQ$1:AQ143), "")</f>
        <v/>
      </c>
      <c r="AR144" s="46" t="str">
        <f ca="1">IF(AND(AK144&lt;&gt;0, AK145=0), SUM($AK$2:AK144)-SUM($AR$1:AR143), "")</f>
        <v/>
      </c>
    </row>
    <row r="145" spans="1:44" ht="13.15" customHeight="1">
      <c r="A145" s="31"/>
      <c r="B145" s="68" t="str">
        <f t="shared" si="41"/>
        <v/>
      </c>
      <c r="C145" s="55" cm="1">
        <f t="array" aca="1" ref="C145" ca="1">SUM(IF(ISNUMBER(M145:U145),M145:U145,""))</f>
        <v>0</v>
      </c>
      <c r="D145" s="25" t="str">
        <f t="shared" si="43"/>
        <v/>
      </c>
      <c r="E145" s="25" t="e">
        <f t="shared" si="47"/>
        <v>#VALUE!</v>
      </c>
      <c r="F145" s="25" t="str">
        <f t="shared" si="42"/>
        <v/>
      </c>
      <c r="G145" s="25" t="str">
        <f t="shared" si="44"/>
        <v>.xlsx</v>
      </c>
      <c r="H145" s="29" t="e" cm="1">
        <f t="array" aca="1" ref="H145" ca="1">IF(AND(VALUE(E145)=INDIRECT("'["&amp;G145&amp;"]"&amp;E145&amp;"'!"&amp;$X$2),G145=INDIRECT("'["&amp;G145&amp;"]"&amp;E145&amp;"'!"&amp;$X$3)),INDIRECT("'["&amp;G145&amp;"]"&amp;E145&amp;"'!"&amp;$X$1),0)</f>
        <v>#VALUE!</v>
      </c>
      <c r="I145" s="25" t="str">
        <f t="shared" si="48"/>
        <v/>
      </c>
      <c r="J145" s="32" t="str">
        <f t="shared" si="49"/>
        <v/>
      </c>
      <c r="K145" s="25" t="str">
        <f t="shared" si="50"/>
        <v/>
      </c>
      <c r="L145" s="25" t="str">
        <f t="shared" si="51"/>
        <v/>
      </c>
      <c r="M145" s="33" t="e" cm="1">
        <f t="array" aca="1" ref="M145" ca="1">IF(AND(J145=INDIRECT("'["&amp;G145&amp;"]"&amp;E145&amp;"'!"&amp;$Y$2),G145=INDIRECT("'["&amp;G145&amp;"]"&amp;E145&amp;"'!"&amp;$AH$2)),INDIRECT("'["&amp;G145&amp;"]"&amp;E145&amp;"'!"&amp;$Y$3),0)</f>
        <v>#VALUE!</v>
      </c>
      <c r="N145" s="34" t="e" cm="1">
        <f t="array" aca="1" ref="N145" ca="1">IF(AND(G145=INDIRECT("'["&amp;G145&amp;"]"&amp;E145&amp;"'!"&amp;$AH$2),OR(K145=INDIRECT("'["&amp;G145&amp;"]"&amp;E145&amp;"'!"&amp;$Z$2))),INDIRECT("'["&amp;G145&amp;"]"&amp;E145&amp;"'!"&amp;$Z$3),0)</f>
        <v>#VALUE!</v>
      </c>
      <c r="O145" s="34" t="e" cm="1">
        <f t="array" aca="1" ref="O145" ca="1">IF(AND(G145=INDIRECT("'["&amp;G145&amp;"]"&amp;E145&amp;"'!"&amp;$AH$2),OR(L145=INDIRECT("'["&amp;G145&amp;"]"&amp;E145&amp;"'!"&amp;$AA$2))),INDIRECT("'["&amp;G145&amp;"]"&amp;E145&amp;"'!"&amp;$AA$3),0)</f>
        <v>#VALUE!</v>
      </c>
      <c r="P145" s="34" t="e" cm="1">
        <f t="array" aca="1" ref="P145" ca="1">IF(AND(G145=INDIRECT("'["&amp;G145&amp;"]"&amp;E145&amp;"'!"&amp;$AH$2),OR(VALUE(I145)=INDIRECT("'["&amp;G145&amp;"]"&amp;E145&amp;"'!"&amp;$AB$2))),INDIRECT("'["&amp;G145&amp;"]"&amp;E145&amp;"'!"&amp;$AB$3),0)</f>
        <v>#VALUE!</v>
      </c>
      <c r="Q145" s="34" t="e" cm="1">
        <f t="array" aca="1" ref="Q145" ca="1">IF(AND(G145=INDIRECT("'["&amp;G145&amp;"]"&amp;E145&amp;"'!"&amp;$AH$2),OR(VALUE(I145)=INDIRECT("'["&amp;G145&amp;"]"&amp;E145&amp;"'!"&amp;$AC$2))),INDIRECT("'["&amp;G145&amp;"]"&amp;E145&amp;"'!"&amp;$AC$3),0)</f>
        <v>#VALUE!</v>
      </c>
      <c r="R145" s="34" t="e" cm="1">
        <f t="array" aca="1" ref="R145" ca="1">IF(AND(G145=INDIRECT("'["&amp;G145&amp;"]"&amp;E145&amp;"'!"&amp;$AH$2),OR(I145=INDIRECT("'["&amp;G145&amp;"]"&amp;E145&amp;"'!"&amp;$AD$2))),INDIRECT("'["&amp;G145&amp;"]"&amp;E145&amp;"'!"&amp;$AD$3),0)</f>
        <v>#VALUE!</v>
      </c>
      <c r="S145" s="34" t="e" cm="1">
        <f t="array" aca="1" ref="S145" ca="1">IF(AND(G145=INDIRECT("'["&amp;G145&amp;"]"&amp;E145&amp;"'!"&amp;$AH$2),OR(I145=INDIRECT("'["&amp;G145&amp;"]"&amp;E145&amp;"'!"&amp;$AE$2))),INDIRECT("'["&amp;G145&amp;"]"&amp;E145&amp;"'!"&amp;$AE$3),0)</f>
        <v>#VALUE!</v>
      </c>
      <c r="T145" s="35" t="e" cm="1">
        <f t="array" aca="1" ref="T145" ca="1">IF(AND(G145=INDIRECT("'["&amp;G145&amp;"]"&amp;E145&amp;"'!"&amp;$AH$2),OR(I145=INDIRECT("'["&amp;G145&amp;"]"&amp;E145&amp;"'!"&amp;$AF$2))),INDIRECT("'["&amp;G145&amp;"]"&amp;E145&amp;"'!"&amp;$AF$3),0)</f>
        <v>#VALUE!</v>
      </c>
      <c r="U145" s="34" t="e" cm="1">
        <f t="array" aca="1" ref="U145" ca="1">IF(AND(G145=INDIRECT("'["&amp;G145&amp;"]"&amp;E145&amp;"'!"&amp;$AH$2),OR(I145=INDIRECT("'["&amp;G145&amp;"]"&amp;E145&amp;"'!"&amp;$AG$2))),INDIRECT("'["&amp;G145&amp;"]"&amp;E145&amp;"'!"&amp;$AG$3),0)</f>
        <v>#VALUE!</v>
      </c>
      <c r="V145" s="25" t="str">
        <f t="shared" si="52"/>
        <v/>
      </c>
      <c r="W145" s="36" t="e" cm="1">
        <f t="array" aca="1" ref="W145" ca="1">IF(AND(G145=INDIRECT("'["&amp;G145&amp;"]"&amp;E145&amp;"'!"&amp;$AH$2),OR(V145=INDIRECT("'["&amp;G145&amp;"]"&amp;E145&amp;"'!"&amp;$AI$2))),INDIRECT("'["&amp;G145&amp;"]"&amp;E145&amp;"'!"&amp;$AI$3),0)</f>
        <v>#VALUE!</v>
      </c>
      <c r="AJ145" s="25">
        <v>1</v>
      </c>
      <c r="AK145" s="38">
        <f t="shared" ca="1" si="53"/>
        <v>0</v>
      </c>
      <c r="AL145" s="38">
        <f t="shared" ca="1" si="54"/>
        <v>0</v>
      </c>
      <c r="AM145" s="54" t="str">
        <f t="shared" ca="1" si="45"/>
        <v/>
      </c>
      <c r="AN145" s="25" t="e">
        <f t="shared" ca="1" si="55"/>
        <v>#VALUE!</v>
      </c>
      <c r="AO145" s="25" t="e">
        <f t="shared" ca="1" si="56"/>
        <v>#VALUE!</v>
      </c>
      <c r="AP145" s="39" t="str">
        <f t="shared" ca="1" si="46"/>
        <v/>
      </c>
      <c r="AQ145" s="46" t="str">
        <f ca="1">IF(AND(C145&lt;&gt;0, C146=0), SUM($C$2:C145)-SUM($AQ$1:AQ144), "")</f>
        <v/>
      </c>
      <c r="AR145" s="46" t="str">
        <f ca="1">IF(AND(AK145&lt;&gt;0, AK146=0), SUM($AK$2:AK145)-SUM($AR$1:AR144), "")</f>
        <v/>
      </c>
    </row>
    <row r="146" spans="1:44" ht="13.15" customHeight="1">
      <c r="A146" s="31"/>
      <c r="B146" s="68" t="str">
        <f t="shared" si="41"/>
        <v/>
      </c>
      <c r="C146" s="55" cm="1">
        <f t="array" aca="1" ref="C146" ca="1">SUM(IF(ISNUMBER(M146:U146),M146:U146,""))</f>
        <v>0</v>
      </c>
      <c r="D146" s="25" t="str">
        <f t="shared" si="43"/>
        <v/>
      </c>
      <c r="E146" s="25" t="e">
        <f t="shared" si="47"/>
        <v>#VALUE!</v>
      </c>
      <c r="F146" s="25" t="str">
        <f t="shared" si="42"/>
        <v/>
      </c>
      <c r="G146" s="25" t="str">
        <f t="shared" si="44"/>
        <v>.xlsx</v>
      </c>
      <c r="H146" s="29" t="e" cm="1">
        <f t="array" aca="1" ref="H146" ca="1">IF(AND(VALUE(E146)=INDIRECT("'["&amp;G146&amp;"]"&amp;E146&amp;"'!"&amp;$X$2),G146=INDIRECT("'["&amp;G146&amp;"]"&amp;E146&amp;"'!"&amp;$X$3)),INDIRECT("'["&amp;G146&amp;"]"&amp;E146&amp;"'!"&amp;$X$1),0)</f>
        <v>#VALUE!</v>
      </c>
      <c r="I146" s="25" t="str">
        <f t="shared" si="48"/>
        <v/>
      </c>
      <c r="J146" s="32" t="str">
        <f t="shared" si="49"/>
        <v/>
      </c>
      <c r="K146" s="25" t="str">
        <f t="shared" si="50"/>
        <v/>
      </c>
      <c r="L146" s="25" t="str">
        <f t="shared" si="51"/>
        <v/>
      </c>
      <c r="M146" s="33" t="e" cm="1">
        <f t="array" aca="1" ref="M146" ca="1">IF(AND(J146=INDIRECT("'["&amp;G146&amp;"]"&amp;E146&amp;"'!"&amp;$Y$2),G146=INDIRECT("'["&amp;G146&amp;"]"&amp;E146&amp;"'!"&amp;$AH$2)),INDIRECT("'["&amp;G146&amp;"]"&amp;E146&amp;"'!"&amp;$Y$3),0)</f>
        <v>#VALUE!</v>
      </c>
      <c r="N146" s="34" t="e" cm="1">
        <f t="array" aca="1" ref="N146" ca="1">IF(AND(G146=INDIRECT("'["&amp;G146&amp;"]"&amp;E146&amp;"'!"&amp;$AH$2),OR(K146=INDIRECT("'["&amp;G146&amp;"]"&amp;E146&amp;"'!"&amp;$Z$2))),INDIRECT("'["&amp;G146&amp;"]"&amp;E146&amp;"'!"&amp;$Z$3),0)</f>
        <v>#VALUE!</v>
      </c>
      <c r="O146" s="34" t="e" cm="1">
        <f t="array" aca="1" ref="O146" ca="1">IF(AND(G146=INDIRECT("'["&amp;G146&amp;"]"&amp;E146&amp;"'!"&amp;$AH$2),OR(L146=INDIRECT("'["&amp;G146&amp;"]"&amp;E146&amp;"'!"&amp;$AA$2))),INDIRECT("'["&amp;G146&amp;"]"&amp;E146&amp;"'!"&amp;$AA$3),0)</f>
        <v>#VALUE!</v>
      </c>
      <c r="P146" s="34" t="e" cm="1">
        <f t="array" aca="1" ref="P146" ca="1">IF(AND(G146=INDIRECT("'["&amp;G146&amp;"]"&amp;E146&amp;"'!"&amp;$AH$2),OR(VALUE(I146)=INDIRECT("'["&amp;G146&amp;"]"&amp;E146&amp;"'!"&amp;$AB$2))),INDIRECT("'["&amp;G146&amp;"]"&amp;E146&amp;"'!"&amp;$AB$3),0)</f>
        <v>#VALUE!</v>
      </c>
      <c r="Q146" s="34" t="e" cm="1">
        <f t="array" aca="1" ref="Q146" ca="1">IF(AND(G146=INDIRECT("'["&amp;G146&amp;"]"&amp;E146&amp;"'!"&amp;$AH$2),OR(VALUE(I146)=INDIRECT("'["&amp;G146&amp;"]"&amp;E146&amp;"'!"&amp;$AC$2))),INDIRECT("'["&amp;G146&amp;"]"&amp;E146&amp;"'!"&amp;$AC$3),0)</f>
        <v>#VALUE!</v>
      </c>
      <c r="R146" s="34" t="e" cm="1">
        <f t="array" aca="1" ref="R146" ca="1">IF(AND(G146=INDIRECT("'["&amp;G146&amp;"]"&amp;E146&amp;"'!"&amp;$AH$2),OR(I146=INDIRECT("'["&amp;G146&amp;"]"&amp;E146&amp;"'!"&amp;$AD$2))),INDIRECT("'["&amp;G146&amp;"]"&amp;E146&amp;"'!"&amp;$AD$3),0)</f>
        <v>#VALUE!</v>
      </c>
      <c r="S146" s="34" t="e" cm="1">
        <f t="array" aca="1" ref="S146" ca="1">IF(AND(G146=INDIRECT("'["&amp;G146&amp;"]"&amp;E146&amp;"'!"&amp;$AH$2),OR(I146=INDIRECT("'["&amp;G146&amp;"]"&amp;E146&amp;"'!"&amp;$AE$2))),INDIRECT("'["&amp;G146&amp;"]"&amp;E146&amp;"'!"&amp;$AE$3),0)</f>
        <v>#VALUE!</v>
      </c>
      <c r="T146" s="35" t="e" cm="1">
        <f t="array" aca="1" ref="T146" ca="1">IF(AND(G146=INDIRECT("'["&amp;G146&amp;"]"&amp;E146&amp;"'!"&amp;$AH$2),OR(I146=INDIRECT("'["&amp;G146&amp;"]"&amp;E146&amp;"'!"&amp;$AF$2))),INDIRECT("'["&amp;G146&amp;"]"&amp;E146&amp;"'!"&amp;$AF$3),0)</f>
        <v>#VALUE!</v>
      </c>
      <c r="U146" s="34" t="e" cm="1">
        <f t="array" aca="1" ref="U146" ca="1">IF(AND(G146=INDIRECT("'["&amp;G146&amp;"]"&amp;E146&amp;"'!"&amp;$AH$2),OR(I146=INDIRECT("'["&amp;G146&amp;"]"&amp;E146&amp;"'!"&amp;$AG$2))),INDIRECT("'["&amp;G146&amp;"]"&amp;E146&amp;"'!"&amp;$AG$3),0)</f>
        <v>#VALUE!</v>
      </c>
      <c r="V146" s="25" t="str">
        <f t="shared" si="52"/>
        <v/>
      </c>
      <c r="W146" s="36" t="e" cm="1">
        <f t="array" aca="1" ref="W146" ca="1">IF(AND(G146=INDIRECT("'["&amp;G146&amp;"]"&amp;E146&amp;"'!"&amp;$AH$2),OR(V146=INDIRECT("'["&amp;G146&amp;"]"&amp;E146&amp;"'!"&amp;$AI$2))),INDIRECT("'["&amp;G146&amp;"]"&amp;E146&amp;"'!"&amp;$AI$3),0)</f>
        <v>#VALUE!</v>
      </c>
      <c r="AJ146" s="25">
        <v>1</v>
      </c>
      <c r="AK146" s="38">
        <f t="shared" ca="1" si="53"/>
        <v>0</v>
      </c>
      <c r="AL146" s="38">
        <f t="shared" ca="1" si="54"/>
        <v>0</v>
      </c>
      <c r="AM146" s="54" t="str">
        <f t="shared" ca="1" si="45"/>
        <v/>
      </c>
      <c r="AN146" s="25" t="e">
        <f t="shared" ca="1" si="55"/>
        <v>#VALUE!</v>
      </c>
      <c r="AO146" s="25" t="e">
        <f t="shared" ca="1" si="56"/>
        <v>#VALUE!</v>
      </c>
      <c r="AP146" s="39" t="str">
        <f t="shared" ca="1" si="46"/>
        <v/>
      </c>
      <c r="AQ146" s="46" t="str">
        <f ca="1">IF(AND(C146&lt;&gt;0, C147=0), SUM($C$2:C146)-SUM($AQ$1:AQ145), "")</f>
        <v/>
      </c>
      <c r="AR146" s="46" t="str">
        <f ca="1">IF(AND(AK146&lt;&gt;0, AK147=0), SUM($AK$2:AK146)-SUM($AR$1:AR145), "")</f>
        <v/>
      </c>
    </row>
    <row r="147" spans="1:44" ht="13.15" customHeight="1">
      <c r="A147" s="31"/>
      <c r="B147" s="68" t="str">
        <f t="shared" si="41"/>
        <v/>
      </c>
      <c r="C147" s="55" cm="1">
        <f t="array" aca="1" ref="C147" ca="1">SUM(IF(ISNUMBER(M147:U147),M147:U147,""))</f>
        <v>0</v>
      </c>
      <c r="D147" s="25" t="str">
        <f t="shared" si="43"/>
        <v/>
      </c>
      <c r="E147" s="25" t="e">
        <f t="shared" si="47"/>
        <v>#VALUE!</v>
      </c>
      <c r="F147" s="25" t="str">
        <f t="shared" si="42"/>
        <v/>
      </c>
      <c r="G147" s="25" t="str">
        <f t="shared" si="44"/>
        <v>.xlsx</v>
      </c>
      <c r="H147" s="29" t="e" cm="1">
        <f t="array" aca="1" ref="H147" ca="1">IF(AND(VALUE(E147)=INDIRECT("'["&amp;G147&amp;"]"&amp;E147&amp;"'!"&amp;$X$2),G147=INDIRECT("'["&amp;G147&amp;"]"&amp;E147&amp;"'!"&amp;$X$3)),INDIRECT("'["&amp;G147&amp;"]"&amp;E147&amp;"'!"&amp;$X$1),0)</f>
        <v>#VALUE!</v>
      </c>
      <c r="I147" s="25" t="str">
        <f t="shared" si="48"/>
        <v/>
      </c>
      <c r="J147" s="32" t="str">
        <f t="shared" si="49"/>
        <v/>
      </c>
      <c r="K147" s="25" t="str">
        <f t="shared" si="50"/>
        <v/>
      </c>
      <c r="L147" s="25" t="str">
        <f t="shared" si="51"/>
        <v/>
      </c>
      <c r="M147" s="33" t="e" cm="1">
        <f t="array" aca="1" ref="M147" ca="1">IF(AND(J147=INDIRECT("'["&amp;G147&amp;"]"&amp;E147&amp;"'!"&amp;$Y$2),G147=INDIRECT("'["&amp;G147&amp;"]"&amp;E147&amp;"'!"&amp;$AH$2)),INDIRECT("'["&amp;G147&amp;"]"&amp;E147&amp;"'!"&amp;$Y$3),0)</f>
        <v>#VALUE!</v>
      </c>
      <c r="N147" s="34" t="e" cm="1">
        <f t="array" aca="1" ref="N147" ca="1">IF(AND(G147=INDIRECT("'["&amp;G147&amp;"]"&amp;E147&amp;"'!"&amp;$AH$2),OR(K147=INDIRECT("'["&amp;G147&amp;"]"&amp;E147&amp;"'!"&amp;$Z$2))),INDIRECT("'["&amp;G147&amp;"]"&amp;E147&amp;"'!"&amp;$Z$3),0)</f>
        <v>#VALUE!</v>
      </c>
      <c r="O147" s="34" t="e" cm="1">
        <f t="array" aca="1" ref="O147" ca="1">IF(AND(G147=INDIRECT("'["&amp;G147&amp;"]"&amp;E147&amp;"'!"&amp;$AH$2),OR(L147=INDIRECT("'["&amp;G147&amp;"]"&amp;E147&amp;"'!"&amp;$AA$2))),INDIRECT("'["&amp;G147&amp;"]"&amp;E147&amp;"'!"&amp;$AA$3),0)</f>
        <v>#VALUE!</v>
      </c>
      <c r="P147" s="34" t="e" cm="1">
        <f t="array" aca="1" ref="P147" ca="1">IF(AND(G147=INDIRECT("'["&amp;G147&amp;"]"&amp;E147&amp;"'!"&amp;$AH$2),OR(VALUE(I147)=INDIRECT("'["&amp;G147&amp;"]"&amp;E147&amp;"'!"&amp;$AB$2))),INDIRECT("'["&amp;G147&amp;"]"&amp;E147&amp;"'!"&amp;$AB$3),0)</f>
        <v>#VALUE!</v>
      </c>
      <c r="Q147" s="34" t="e" cm="1">
        <f t="array" aca="1" ref="Q147" ca="1">IF(AND(G147=INDIRECT("'["&amp;G147&amp;"]"&amp;E147&amp;"'!"&amp;$AH$2),OR(VALUE(I147)=INDIRECT("'["&amp;G147&amp;"]"&amp;E147&amp;"'!"&amp;$AC$2))),INDIRECT("'["&amp;G147&amp;"]"&amp;E147&amp;"'!"&amp;$AC$3),0)</f>
        <v>#VALUE!</v>
      </c>
      <c r="R147" s="34" t="e" cm="1">
        <f t="array" aca="1" ref="R147" ca="1">IF(AND(G147=INDIRECT("'["&amp;G147&amp;"]"&amp;E147&amp;"'!"&amp;$AH$2),OR(I147=INDIRECT("'["&amp;G147&amp;"]"&amp;E147&amp;"'!"&amp;$AD$2))),INDIRECT("'["&amp;G147&amp;"]"&amp;E147&amp;"'!"&amp;$AD$3),0)</f>
        <v>#VALUE!</v>
      </c>
      <c r="S147" s="34" t="e" cm="1">
        <f t="array" aca="1" ref="S147" ca="1">IF(AND(G147=INDIRECT("'["&amp;G147&amp;"]"&amp;E147&amp;"'!"&amp;$AH$2),OR(I147=INDIRECT("'["&amp;G147&amp;"]"&amp;E147&amp;"'!"&amp;$AE$2))),INDIRECT("'["&amp;G147&amp;"]"&amp;E147&amp;"'!"&amp;$AE$3),0)</f>
        <v>#VALUE!</v>
      </c>
      <c r="T147" s="35" t="e" cm="1">
        <f t="array" aca="1" ref="T147" ca="1">IF(AND(G147=INDIRECT("'["&amp;G147&amp;"]"&amp;E147&amp;"'!"&amp;$AH$2),OR(I147=INDIRECT("'["&amp;G147&amp;"]"&amp;E147&amp;"'!"&amp;$AF$2))),INDIRECT("'["&amp;G147&amp;"]"&amp;E147&amp;"'!"&amp;$AF$3),0)</f>
        <v>#VALUE!</v>
      </c>
      <c r="U147" s="34" t="e" cm="1">
        <f t="array" aca="1" ref="U147" ca="1">IF(AND(G147=INDIRECT("'["&amp;G147&amp;"]"&amp;E147&amp;"'!"&amp;$AH$2),OR(I147=INDIRECT("'["&amp;G147&amp;"]"&amp;E147&amp;"'!"&amp;$AG$2))),INDIRECT("'["&amp;G147&amp;"]"&amp;E147&amp;"'!"&amp;$AG$3),0)</f>
        <v>#VALUE!</v>
      </c>
      <c r="V147" s="25" t="str">
        <f t="shared" si="52"/>
        <v/>
      </c>
      <c r="W147" s="36" t="e" cm="1">
        <f t="array" aca="1" ref="W147" ca="1">IF(AND(G147=INDIRECT("'["&amp;G147&amp;"]"&amp;E147&amp;"'!"&amp;$AH$2),OR(V147=INDIRECT("'["&amp;G147&amp;"]"&amp;E147&amp;"'!"&amp;$AI$2))),INDIRECT("'["&amp;G147&amp;"]"&amp;E147&amp;"'!"&amp;$AI$3),0)</f>
        <v>#VALUE!</v>
      </c>
      <c r="AJ147" s="25">
        <v>1</v>
      </c>
      <c r="AK147" s="38">
        <f t="shared" ca="1" si="53"/>
        <v>0</v>
      </c>
      <c r="AL147" s="38">
        <f t="shared" ca="1" si="54"/>
        <v>0</v>
      </c>
      <c r="AM147" s="54" t="str">
        <f t="shared" ca="1" si="45"/>
        <v/>
      </c>
      <c r="AN147" s="25" t="e">
        <f t="shared" ca="1" si="55"/>
        <v>#VALUE!</v>
      </c>
      <c r="AO147" s="25" t="e">
        <f t="shared" ca="1" si="56"/>
        <v>#VALUE!</v>
      </c>
      <c r="AP147" s="39" t="str">
        <f t="shared" ca="1" si="46"/>
        <v/>
      </c>
      <c r="AQ147" s="46" t="str">
        <f ca="1">IF(AND(C147&lt;&gt;0, C148=0), SUM($C$2:C147)-SUM($AQ$1:AQ146), "")</f>
        <v/>
      </c>
      <c r="AR147" s="46" t="str">
        <f ca="1">IF(AND(AK147&lt;&gt;0, AK148=0), SUM($AK$2:AK147)-SUM($AR$1:AR146), "")</f>
        <v/>
      </c>
    </row>
    <row r="148" spans="1:44" ht="13.15" customHeight="1">
      <c r="A148" s="43"/>
      <c r="B148" s="68" t="str">
        <f t="shared" si="41"/>
        <v/>
      </c>
      <c r="C148" s="55" cm="1">
        <f t="array" aca="1" ref="C148" ca="1">SUM(IF(ISNUMBER(M148:U148),M148:U148,""))</f>
        <v>0</v>
      </c>
      <c r="D148" s="25" t="str">
        <f t="shared" si="43"/>
        <v/>
      </c>
      <c r="E148" s="25" t="e">
        <f t="shared" si="47"/>
        <v>#VALUE!</v>
      </c>
      <c r="F148" s="25" t="str">
        <f t="shared" si="42"/>
        <v/>
      </c>
      <c r="G148" s="25" t="str">
        <f t="shared" si="44"/>
        <v>.xlsx</v>
      </c>
      <c r="H148" s="29" t="e" cm="1">
        <f t="array" aca="1" ref="H148" ca="1">IF(AND(VALUE(E148)=INDIRECT("'["&amp;G148&amp;"]"&amp;E148&amp;"'!"&amp;$X$2),G148=INDIRECT("'["&amp;G148&amp;"]"&amp;E148&amp;"'!"&amp;$X$3)),INDIRECT("'["&amp;G148&amp;"]"&amp;E148&amp;"'!"&amp;$X$1),0)</f>
        <v>#VALUE!</v>
      </c>
      <c r="I148" s="25" t="str">
        <f t="shared" si="48"/>
        <v/>
      </c>
      <c r="J148" s="32" t="str">
        <f t="shared" si="49"/>
        <v/>
      </c>
      <c r="K148" s="25" t="str">
        <f t="shared" si="50"/>
        <v/>
      </c>
      <c r="L148" s="25" t="str">
        <f t="shared" si="51"/>
        <v/>
      </c>
      <c r="M148" s="33" t="e" cm="1">
        <f t="array" aca="1" ref="M148" ca="1">IF(AND(J148=INDIRECT("'["&amp;G148&amp;"]"&amp;E148&amp;"'!"&amp;$Y$2),G148=INDIRECT("'["&amp;G148&amp;"]"&amp;E148&amp;"'!"&amp;$AH$2)),INDIRECT("'["&amp;G148&amp;"]"&amp;E148&amp;"'!"&amp;$Y$3),0)</f>
        <v>#VALUE!</v>
      </c>
      <c r="N148" s="34" t="e" cm="1">
        <f t="array" aca="1" ref="N148" ca="1">IF(AND(G148=INDIRECT("'["&amp;G148&amp;"]"&amp;E148&amp;"'!"&amp;$AH$2),OR(K148=INDIRECT("'["&amp;G148&amp;"]"&amp;E148&amp;"'!"&amp;$Z$2))),INDIRECT("'["&amp;G148&amp;"]"&amp;E148&amp;"'!"&amp;$Z$3),0)</f>
        <v>#VALUE!</v>
      </c>
      <c r="O148" s="34" t="e" cm="1">
        <f t="array" aca="1" ref="O148" ca="1">IF(AND(G148=INDIRECT("'["&amp;G148&amp;"]"&amp;E148&amp;"'!"&amp;$AH$2),OR(L148=INDIRECT("'["&amp;G148&amp;"]"&amp;E148&amp;"'!"&amp;$AA$2))),INDIRECT("'["&amp;G148&amp;"]"&amp;E148&amp;"'!"&amp;$AA$3),0)</f>
        <v>#VALUE!</v>
      </c>
      <c r="P148" s="34" t="e" cm="1">
        <f t="array" aca="1" ref="P148" ca="1">IF(AND(G148=INDIRECT("'["&amp;G148&amp;"]"&amp;E148&amp;"'!"&amp;$AH$2),OR(VALUE(I148)=INDIRECT("'["&amp;G148&amp;"]"&amp;E148&amp;"'!"&amp;$AB$2))),INDIRECT("'["&amp;G148&amp;"]"&amp;E148&amp;"'!"&amp;$AB$3),0)</f>
        <v>#VALUE!</v>
      </c>
      <c r="Q148" s="34" t="e" cm="1">
        <f t="array" aca="1" ref="Q148" ca="1">IF(AND(G148=INDIRECT("'["&amp;G148&amp;"]"&amp;E148&amp;"'!"&amp;$AH$2),OR(VALUE(I148)=INDIRECT("'["&amp;G148&amp;"]"&amp;E148&amp;"'!"&amp;$AC$2))),INDIRECT("'["&amp;G148&amp;"]"&amp;E148&amp;"'!"&amp;$AC$3),0)</f>
        <v>#VALUE!</v>
      </c>
      <c r="R148" s="34" t="e" cm="1">
        <f t="array" aca="1" ref="R148" ca="1">IF(AND(G148=INDIRECT("'["&amp;G148&amp;"]"&amp;E148&amp;"'!"&amp;$AH$2),OR(I148=INDIRECT("'["&amp;G148&amp;"]"&amp;E148&amp;"'!"&amp;$AD$2))),INDIRECT("'["&amp;G148&amp;"]"&amp;E148&amp;"'!"&amp;$AD$3),0)</f>
        <v>#VALUE!</v>
      </c>
      <c r="S148" s="34" t="e" cm="1">
        <f t="array" aca="1" ref="S148" ca="1">IF(AND(G148=INDIRECT("'["&amp;G148&amp;"]"&amp;E148&amp;"'!"&amp;$AH$2),OR(I148=INDIRECT("'["&amp;G148&amp;"]"&amp;E148&amp;"'!"&amp;$AE$2))),INDIRECT("'["&amp;G148&amp;"]"&amp;E148&amp;"'!"&amp;$AE$3),0)</f>
        <v>#VALUE!</v>
      </c>
      <c r="T148" s="35" t="e" cm="1">
        <f t="array" aca="1" ref="T148" ca="1">IF(AND(G148=INDIRECT("'["&amp;G148&amp;"]"&amp;E148&amp;"'!"&amp;$AH$2),OR(I148=INDIRECT("'["&amp;G148&amp;"]"&amp;E148&amp;"'!"&amp;$AF$2))),INDIRECT("'["&amp;G148&amp;"]"&amp;E148&amp;"'!"&amp;$AF$3),0)</f>
        <v>#VALUE!</v>
      </c>
      <c r="U148" s="34" t="e" cm="1">
        <f t="array" aca="1" ref="U148" ca="1">IF(AND(G148=INDIRECT("'["&amp;G148&amp;"]"&amp;E148&amp;"'!"&amp;$AH$2),OR(I148=INDIRECT("'["&amp;G148&amp;"]"&amp;E148&amp;"'!"&amp;$AG$2))),INDIRECT("'["&amp;G148&amp;"]"&amp;E148&amp;"'!"&amp;$AG$3),0)</f>
        <v>#VALUE!</v>
      </c>
      <c r="V148" s="25" t="str">
        <f t="shared" si="52"/>
        <v/>
      </c>
      <c r="W148" s="36" t="e" cm="1">
        <f t="array" aca="1" ref="W148" ca="1">IF(AND(G148=INDIRECT("'["&amp;G148&amp;"]"&amp;E148&amp;"'!"&amp;$AH$2),OR(V148=INDIRECT("'["&amp;G148&amp;"]"&amp;E148&amp;"'!"&amp;$AI$2))),INDIRECT("'["&amp;G148&amp;"]"&amp;E148&amp;"'!"&amp;$AI$3),0)</f>
        <v>#VALUE!</v>
      </c>
      <c r="AJ148" s="25">
        <v>1</v>
      </c>
      <c r="AK148" s="38">
        <f t="shared" ca="1" si="53"/>
        <v>0</v>
      </c>
      <c r="AL148" s="38">
        <f t="shared" ca="1" si="54"/>
        <v>0</v>
      </c>
      <c r="AM148" s="54" t="str">
        <f t="shared" ca="1" si="45"/>
        <v/>
      </c>
      <c r="AN148" s="25" t="e">
        <f t="shared" ca="1" si="55"/>
        <v>#VALUE!</v>
      </c>
      <c r="AO148" s="25" t="e">
        <f t="shared" ca="1" si="56"/>
        <v>#VALUE!</v>
      </c>
      <c r="AP148" s="39" t="str">
        <f t="shared" ca="1" si="46"/>
        <v/>
      </c>
      <c r="AQ148" s="46" t="str">
        <f ca="1">IF(AND(C148&lt;&gt;0, C149=0), SUM($C$2:C148)-SUM($AQ$1:AQ147), "")</f>
        <v/>
      </c>
      <c r="AR148" s="46" t="str">
        <f ca="1">IF(AND(AK148&lt;&gt;0, AK149=0), SUM($AK$2:AK148)-SUM($AR$1:AR147), "")</f>
        <v/>
      </c>
    </row>
    <row r="149" spans="1:44" ht="13.15" customHeight="1">
      <c r="A149" s="59"/>
      <c r="B149" s="68" t="str">
        <f t="shared" si="41"/>
        <v/>
      </c>
      <c r="C149" s="55" cm="1">
        <f t="array" aca="1" ref="C149" ca="1">SUM(IF(ISNUMBER(M149:U149),M149:U149,""))</f>
        <v>0</v>
      </c>
      <c r="D149" s="25" t="str">
        <f t="shared" si="43"/>
        <v/>
      </c>
      <c r="E149" s="25" t="e">
        <f t="shared" si="47"/>
        <v>#VALUE!</v>
      </c>
      <c r="F149" s="25" t="str">
        <f t="shared" si="42"/>
        <v/>
      </c>
      <c r="G149" s="25" t="str">
        <f t="shared" si="44"/>
        <v>.xlsx</v>
      </c>
      <c r="H149" s="29" t="e" cm="1">
        <f t="array" aca="1" ref="H149" ca="1">IF(AND(VALUE(E149)=INDIRECT("'["&amp;G149&amp;"]"&amp;E149&amp;"'!"&amp;$X$2),G149=INDIRECT("'["&amp;G149&amp;"]"&amp;E149&amp;"'!"&amp;$X$3)),INDIRECT("'["&amp;G149&amp;"]"&amp;E149&amp;"'!"&amp;$X$1),0)</f>
        <v>#VALUE!</v>
      </c>
      <c r="I149" s="25" t="str">
        <f t="shared" si="48"/>
        <v/>
      </c>
      <c r="J149" s="32" t="str">
        <f t="shared" si="49"/>
        <v/>
      </c>
      <c r="K149" s="25" t="str">
        <f t="shared" si="50"/>
        <v/>
      </c>
      <c r="L149" s="25" t="str">
        <f t="shared" si="51"/>
        <v/>
      </c>
      <c r="M149" s="33" t="e" cm="1">
        <f t="array" aca="1" ref="M149" ca="1">IF(AND(J149=INDIRECT("'["&amp;G149&amp;"]"&amp;E149&amp;"'!"&amp;$Y$2),G149=INDIRECT("'["&amp;G149&amp;"]"&amp;E149&amp;"'!"&amp;$AH$2)),INDIRECT("'["&amp;G149&amp;"]"&amp;E149&amp;"'!"&amp;$Y$3),0)</f>
        <v>#VALUE!</v>
      </c>
      <c r="N149" s="34" t="e" cm="1">
        <f t="array" aca="1" ref="N149" ca="1">IF(AND(G149=INDIRECT("'["&amp;G149&amp;"]"&amp;E149&amp;"'!"&amp;$AH$2),OR(K149=INDIRECT("'["&amp;G149&amp;"]"&amp;E149&amp;"'!"&amp;$Z$2))),INDIRECT("'["&amp;G149&amp;"]"&amp;E149&amp;"'!"&amp;$Z$3),0)</f>
        <v>#VALUE!</v>
      </c>
      <c r="O149" s="34" t="e" cm="1">
        <f t="array" aca="1" ref="O149" ca="1">IF(AND(G149=INDIRECT("'["&amp;G149&amp;"]"&amp;E149&amp;"'!"&amp;$AH$2),OR(L149=INDIRECT("'["&amp;G149&amp;"]"&amp;E149&amp;"'!"&amp;$AA$2))),INDIRECT("'["&amp;G149&amp;"]"&amp;E149&amp;"'!"&amp;$AA$3),0)</f>
        <v>#VALUE!</v>
      </c>
      <c r="P149" s="34" t="e" cm="1">
        <f t="array" aca="1" ref="P149" ca="1">IF(AND(G149=INDIRECT("'["&amp;G149&amp;"]"&amp;E149&amp;"'!"&amp;$AH$2),OR(VALUE(I149)=INDIRECT("'["&amp;G149&amp;"]"&amp;E149&amp;"'!"&amp;$AB$2))),INDIRECT("'["&amp;G149&amp;"]"&amp;E149&amp;"'!"&amp;$AB$3),0)</f>
        <v>#VALUE!</v>
      </c>
      <c r="Q149" s="34" t="e" cm="1">
        <f t="array" aca="1" ref="Q149" ca="1">IF(AND(G149=INDIRECT("'["&amp;G149&amp;"]"&amp;E149&amp;"'!"&amp;$AH$2),OR(VALUE(I149)=INDIRECT("'["&amp;G149&amp;"]"&amp;E149&amp;"'!"&amp;$AC$2))),INDIRECT("'["&amp;G149&amp;"]"&amp;E149&amp;"'!"&amp;$AC$3),0)</f>
        <v>#VALUE!</v>
      </c>
      <c r="R149" s="34" t="e" cm="1">
        <f t="array" aca="1" ref="R149" ca="1">IF(AND(G149=INDIRECT("'["&amp;G149&amp;"]"&amp;E149&amp;"'!"&amp;$AH$2),OR(I149=INDIRECT("'["&amp;G149&amp;"]"&amp;E149&amp;"'!"&amp;$AD$2))),INDIRECT("'["&amp;G149&amp;"]"&amp;E149&amp;"'!"&amp;$AD$3),0)</f>
        <v>#VALUE!</v>
      </c>
      <c r="S149" s="34" t="e" cm="1">
        <f t="array" aca="1" ref="S149" ca="1">IF(AND(G149=INDIRECT("'["&amp;G149&amp;"]"&amp;E149&amp;"'!"&amp;$AH$2),OR(I149=INDIRECT("'["&amp;G149&amp;"]"&amp;E149&amp;"'!"&amp;$AE$2))),INDIRECT("'["&amp;G149&amp;"]"&amp;E149&amp;"'!"&amp;$AE$3),0)</f>
        <v>#VALUE!</v>
      </c>
      <c r="T149" s="35" t="e" cm="1">
        <f t="array" aca="1" ref="T149" ca="1">IF(AND(G149=INDIRECT("'["&amp;G149&amp;"]"&amp;E149&amp;"'!"&amp;$AH$2),OR(I149=INDIRECT("'["&amp;G149&amp;"]"&amp;E149&amp;"'!"&amp;$AF$2))),INDIRECT("'["&amp;G149&amp;"]"&amp;E149&amp;"'!"&amp;$AF$3),0)</f>
        <v>#VALUE!</v>
      </c>
      <c r="U149" s="34" t="e" cm="1">
        <f t="array" aca="1" ref="U149" ca="1">IF(AND(G149=INDIRECT("'["&amp;G149&amp;"]"&amp;E149&amp;"'!"&amp;$AH$2),OR(I149=INDIRECT("'["&amp;G149&amp;"]"&amp;E149&amp;"'!"&amp;$AG$2))),INDIRECT("'["&amp;G149&amp;"]"&amp;E149&amp;"'!"&amp;$AG$3),0)</f>
        <v>#VALUE!</v>
      </c>
      <c r="V149" s="25" t="str">
        <f t="shared" si="52"/>
        <v/>
      </c>
      <c r="W149" s="36" t="e" cm="1">
        <f t="array" aca="1" ref="W149" ca="1">IF(AND(G149=INDIRECT("'["&amp;G149&amp;"]"&amp;E149&amp;"'!"&amp;$AH$2),OR(V149=INDIRECT("'["&amp;G149&amp;"]"&amp;E149&amp;"'!"&amp;$AI$2))),INDIRECT("'["&amp;G149&amp;"]"&amp;E149&amp;"'!"&amp;$AI$3),0)</f>
        <v>#VALUE!</v>
      </c>
      <c r="AJ149" s="25">
        <v>1</v>
      </c>
      <c r="AK149" s="38">
        <f t="shared" ca="1" si="53"/>
        <v>0</v>
      </c>
      <c r="AL149" s="38">
        <f t="shared" ca="1" si="54"/>
        <v>0</v>
      </c>
      <c r="AM149" s="54" t="str">
        <f t="shared" ca="1" si="45"/>
        <v/>
      </c>
      <c r="AN149" s="25" t="e">
        <f t="shared" ca="1" si="55"/>
        <v>#VALUE!</v>
      </c>
      <c r="AO149" s="25" t="e">
        <f t="shared" ca="1" si="56"/>
        <v>#VALUE!</v>
      </c>
      <c r="AP149" s="39" t="str">
        <f t="shared" ca="1" si="46"/>
        <v/>
      </c>
      <c r="AQ149" s="46" t="str">
        <f ca="1">IF(AND(C149&lt;&gt;0, C150=0), SUM($C$2:C149)-SUM($AQ$1:AQ148), "")</f>
        <v/>
      </c>
      <c r="AR149" s="46" t="str">
        <f ca="1">IF(AND(AK149&lt;&gt;0, AK150=0), SUM($AK$2:AK149)-SUM($AR$1:AR148), "")</f>
        <v/>
      </c>
    </row>
    <row r="150" spans="1:44" ht="13.15" customHeight="1">
      <c r="A150" s="43"/>
      <c r="B150" s="68" t="str">
        <f t="shared" si="41"/>
        <v/>
      </c>
      <c r="C150" s="55" cm="1">
        <f t="array" aca="1" ref="C150" ca="1">SUM(IF(ISNUMBER(M150:U150),M150:U150,""))</f>
        <v>0</v>
      </c>
      <c r="D150" s="25" t="str">
        <f t="shared" si="43"/>
        <v/>
      </c>
      <c r="E150" s="25" t="e">
        <f t="shared" si="47"/>
        <v>#VALUE!</v>
      </c>
      <c r="F150" s="25" t="str">
        <f t="shared" si="42"/>
        <v/>
      </c>
      <c r="G150" s="25" t="str">
        <f t="shared" si="44"/>
        <v>.xlsx</v>
      </c>
      <c r="H150" s="29" t="e" cm="1">
        <f t="array" aca="1" ref="H150" ca="1">IF(AND(VALUE(E150)=INDIRECT("'["&amp;G150&amp;"]"&amp;E150&amp;"'!"&amp;$X$2),G150=INDIRECT("'["&amp;G150&amp;"]"&amp;E150&amp;"'!"&amp;$X$3)),INDIRECT("'["&amp;G150&amp;"]"&amp;E150&amp;"'!"&amp;$X$1),0)</f>
        <v>#VALUE!</v>
      </c>
      <c r="I150" s="25" t="str">
        <f t="shared" si="48"/>
        <v/>
      </c>
      <c r="J150" s="32" t="str">
        <f t="shared" si="49"/>
        <v/>
      </c>
      <c r="K150" s="25" t="str">
        <f t="shared" si="50"/>
        <v/>
      </c>
      <c r="L150" s="25" t="str">
        <f t="shared" si="51"/>
        <v/>
      </c>
      <c r="M150" s="33" t="e" cm="1">
        <f t="array" aca="1" ref="M150" ca="1">IF(AND(J150=INDIRECT("'["&amp;G150&amp;"]"&amp;E150&amp;"'!"&amp;$Y$2),G150=INDIRECT("'["&amp;G150&amp;"]"&amp;E150&amp;"'!"&amp;$AH$2)),INDIRECT("'["&amp;G150&amp;"]"&amp;E150&amp;"'!"&amp;$Y$3),0)</f>
        <v>#VALUE!</v>
      </c>
      <c r="N150" s="34" t="e" cm="1">
        <f t="array" aca="1" ref="N150" ca="1">IF(AND(G150=INDIRECT("'["&amp;G150&amp;"]"&amp;E150&amp;"'!"&amp;$AH$2),OR(K150=INDIRECT("'["&amp;G150&amp;"]"&amp;E150&amp;"'!"&amp;$Z$2))),INDIRECT("'["&amp;G150&amp;"]"&amp;E150&amp;"'!"&amp;$Z$3),0)</f>
        <v>#VALUE!</v>
      </c>
      <c r="O150" s="34" t="e" cm="1">
        <f t="array" aca="1" ref="O150" ca="1">IF(AND(G150=INDIRECT("'["&amp;G150&amp;"]"&amp;E150&amp;"'!"&amp;$AH$2),OR(L150=INDIRECT("'["&amp;G150&amp;"]"&amp;E150&amp;"'!"&amp;$AA$2))),INDIRECT("'["&amp;G150&amp;"]"&amp;E150&amp;"'!"&amp;$AA$3),0)</f>
        <v>#VALUE!</v>
      </c>
      <c r="P150" s="34" t="e" cm="1">
        <f t="array" aca="1" ref="P150" ca="1">IF(AND(G150=INDIRECT("'["&amp;G150&amp;"]"&amp;E150&amp;"'!"&amp;$AH$2),OR(VALUE(I150)=INDIRECT("'["&amp;G150&amp;"]"&amp;E150&amp;"'!"&amp;$AB$2))),INDIRECT("'["&amp;G150&amp;"]"&amp;E150&amp;"'!"&amp;$AB$3),0)</f>
        <v>#VALUE!</v>
      </c>
      <c r="Q150" s="34" t="e" cm="1">
        <f t="array" aca="1" ref="Q150" ca="1">IF(AND(G150=INDIRECT("'["&amp;G150&amp;"]"&amp;E150&amp;"'!"&amp;$AH$2),OR(VALUE(I150)=INDIRECT("'["&amp;G150&amp;"]"&amp;E150&amp;"'!"&amp;$AC$2))),INDIRECT("'["&amp;G150&amp;"]"&amp;E150&amp;"'!"&amp;$AC$3),0)</f>
        <v>#VALUE!</v>
      </c>
      <c r="R150" s="34" t="e" cm="1">
        <f t="array" aca="1" ref="R150" ca="1">IF(AND(G150=INDIRECT("'["&amp;G150&amp;"]"&amp;E150&amp;"'!"&amp;$AH$2),OR(I150=INDIRECT("'["&amp;G150&amp;"]"&amp;E150&amp;"'!"&amp;$AD$2))),INDIRECT("'["&amp;G150&amp;"]"&amp;E150&amp;"'!"&amp;$AD$3),0)</f>
        <v>#VALUE!</v>
      </c>
      <c r="S150" s="34" t="e" cm="1">
        <f t="array" aca="1" ref="S150" ca="1">IF(AND(G150=INDIRECT("'["&amp;G150&amp;"]"&amp;E150&amp;"'!"&amp;$AH$2),OR(I150=INDIRECT("'["&amp;G150&amp;"]"&amp;E150&amp;"'!"&amp;$AE$2))),INDIRECT("'["&amp;G150&amp;"]"&amp;E150&amp;"'!"&amp;$AE$3),0)</f>
        <v>#VALUE!</v>
      </c>
      <c r="T150" s="35" t="e" cm="1">
        <f t="array" aca="1" ref="T150" ca="1">IF(AND(G150=INDIRECT("'["&amp;G150&amp;"]"&amp;E150&amp;"'!"&amp;$AH$2),OR(I150=INDIRECT("'["&amp;G150&amp;"]"&amp;E150&amp;"'!"&amp;$AF$2))),INDIRECT("'["&amp;G150&amp;"]"&amp;E150&amp;"'!"&amp;$AF$3),0)</f>
        <v>#VALUE!</v>
      </c>
      <c r="U150" s="34" t="e" cm="1">
        <f t="array" aca="1" ref="U150" ca="1">IF(AND(G150=INDIRECT("'["&amp;G150&amp;"]"&amp;E150&amp;"'!"&amp;$AH$2),OR(I150=INDIRECT("'["&amp;G150&amp;"]"&amp;E150&amp;"'!"&amp;$AG$2))),INDIRECT("'["&amp;G150&amp;"]"&amp;E150&amp;"'!"&amp;$AG$3),0)</f>
        <v>#VALUE!</v>
      </c>
      <c r="V150" s="25" t="str">
        <f t="shared" si="52"/>
        <v/>
      </c>
      <c r="W150" s="36" t="e" cm="1">
        <f t="array" aca="1" ref="W150" ca="1">IF(AND(G150=INDIRECT("'["&amp;G150&amp;"]"&amp;E150&amp;"'!"&amp;$AH$2),OR(V150=INDIRECT("'["&amp;G150&amp;"]"&amp;E150&amp;"'!"&amp;$AI$2))),INDIRECT("'["&amp;G150&amp;"]"&amp;E150&amp;"'!"&amp;$AI$3),0)</f>
        <v>#VALUE!</v>
      </c>
      <c r="AJ150" s="25">
        <v>1</v>
      </c>
      <c r="AK150" s="38">
        <f t="shared" ca="1" si="53"/>
        <v>0</v>
      </c>
      <c r="AL150" s="38">
        <f t="shared" ca="1" si="54"/>
        <v>0</v>
      </c>
      <c r="AM150" s="54" t="str">
        <f t="shared" ca="1" si="45"/>
        <v/>
      </c>
      <c r="AN150" s="25" t="e">
        <f t="shared" ca="1" si="55"/>
        <v>#VALUE!</v>
      </c>
      <c r="AO150" s="25" t="e">
        <f t="shared" ca="1" si="56"/>
        <v>#VALUE!</v>
      </c>
      <c r="AP150" s="39" t="str">
        <f t="shared" ca="1" si="46"/>
        <v/>
      </c>
      <c r="AQ150" s="46" t="str">
        <f ca="1">IF(AND(C150&lt;&gt;0, C151=0), SUM($C$2:C150)-SUM($AQ$1:AQ149), "")</f>
        <v/>
      </c>
      <c r="AR150" s="46" t="str">
        <f ca="1">IF(AND(AK150&lt;&gt;0, AK151=0), SUM($AK$2:AK150)-SUM($AR$1:AR149), "")</f>
        <v/>
      </c>
    </row>
    <row r="151" spans="1:44" ht="13.15" customHeight="1">
      <c r="A151" s="59"/>
      <c r="B151" s="68" t="str">
        <f t="shared" si="41"/>
        <v/>
      </c>
      <c r="C151" s="55" cm="1">
        <f t="array" aca="1" ref="C151" ca="1">SUM(IF(ISNUMBER(M151:U151),M151:U151,""))</f>
        <v>0</v>
      </c>
      <c r="D151" s="25" t="str">
        <f t="shared" si="43"/>
        <v/>
      </c>
      <c r="E151" s="25" t="e">
        <f t="shared" si="47"/>
        <v>#VALUE!</v>
      </c>
      <c r="F151" s="25" t="str">
        <f t="shared" si="42"/>
        <v/>
      </c>
      <c r="G151" s="25" t="str">
        <f t="shared" si="44"/>
        <v>.xlsx</v>
      </c>
      <c r="H151" s="29" t="e" cm="1">
        <f t="array" aca="1" ref="H151" ca="1">IF(AND(VALUE(E151)=INDIRECT("'["&amp;G151&amp;"]"&amp;E151&amp;"'!"&amp;$X$2),G151=INDIRECT("'["&amp;G151&amp;"]"&amp;E151&amp;"'!"&amp;$X$3)),INDIRECT("'["&amp;G151&amp;"]"&amp;E151&amp;"'!"&amp;$X$1),0)</f>
        <v>#VALUE!</v>
      </c>
      <c r="I151" s="25" t="str">
        <f t="shared" si="48"/>
        <v/>
      </c>
      <c r="J151" s="32" t="str">
        <f t="shared" si="49"/>
        <v/>
      </c>
      <c r="K151" s="25" t="str">
        <f t="shared" si="50"/>
        <v/>
      </c>
      <c r="L151" s="25" t="str">
        <f t="shared" si="51"/>
        <v/>
      </c>
      <c r="M151" s="33" t="e" cm="1">
        <f t="array" aca="1" ref="M151" ca="1">IF(AND(J151=INDIRECT("'["&amp;G151&amp;"]"&amp;E151&amp;"'!"&amp;$Y$2),G151=INDIRECT("'["&amp;G151&amp;"]"&amp;E151&amp;"'!"&amp;$AH$2)),INDIRECT("'["&amp;G151&amp;"]"&amp;E151&amp;"'!"&amp;$Y$3),0)</f>
        <v>#VALUE!</v>
      </c>
      <c r="N151" s="34" t="e" cm="1">
        <f t="array" aca="1" ref="N151" ca="1">IF(AND(G151=INDIRECT("'["&amp;G151&amp;"]"&amp;E151&amp;"'!"&amp;$AH$2),OR(K151=INDIRECT("'["&amp;G151&amp;"]"&amp;E151&amp;"'!"&amp;$Z$2))),INDIRECT("'["&amp;G151&amp;"]"&amp;E151&amp;"'!"&amp;$Z$3),0)</f>
        <v>#VALUE!</v>
      </c>
      <c r="O151" s="34" t="e" cm="1">
        <f t="array" aca="1" ref="O151" ca="1">IF(AND(G151=INDIRECT("'["&amp;G151&amp;"]"&amp;E151&amp;"'!"&amp;$AH$2),OR(L151=INDIRECT("'["&amp;G151&amp;"]"&amp;E151&amp;"'!"&amp;$AA$2))),INDIRECT("'["&amp;G151&amp;"]"&amp;E151&amp;"'!"&amp;$AA$3),0)</f>
        <v>#VALUE!</v>
      </c>
      <c r="P151" s="34" t="e" cm="1">
        <f t="array" aca="1" ref="P151" ca="1">IF(AND(G151=INDIRECT("'["&amp;G151&amp;"]"&amp;E151&amp;"'!"&amp;$AH$2),OR(VALUE(I151)=INDIRECT("'["&amp;G151&amp;"]"&amp;E151&amp;"'!"&amp;$AB$2))),INDIRECT("'["&amp;G151&amp;"]"&amp;E151&amp;"'!"&amp;$AB$3),0)</f>
        <v>#VALUE!</v>
      </c>
      <c r="Q151" s="34" t="e" cm="1">
        <f t="array" aca="1" ref="Q151" ca="1">IF(AND(G151=INDIRECT("'["&amp;G151&amp;"]"&amp;E151&amp;"'!"&amp;$AH$2),OR(VALUE(I151)=INDIRECT("'["&amp;G151&amp;"]"&amp;E151&amp;"'!"&amp;$AC$2))),INDIRECT("'["&amp;G151&amp;"]"&amp;E151&amp;"'!"&amp;$AC$3),0)</f>
        <v>#VALUE!</v>
      </c>
      <c r="R151" s="34" t="e" cm="1">
        <f t="array" aca="1" ref="R151" ca="1">IF(AND(G151=INDIRECT("'["&amp;G151&amp;"]"&amp;E151&amp;"'!"&amp;$AH$2),OR(I151=INDIRECT("'["&amp;G151&amp;"]"&amp;E151&amp;"'!"&amp;$AD$2))),INDIRECT("'["&amp;G151&amp;"]"&amp;E151&amp;"'!"&amp;$AD$3),0)</f>
        <v>#VALUE!</v>
      </c>
      <c r="S151" s="34" t="e" cm="1">
        <f t="array" aca="1" ref="S151" ca="1">IF(AND(G151=INDIRECT("'["&amp;G151&amp;"]"&amp;E151&amp;"'!"&amp;$AH$2),OR(I151=INDIRECT("'["&amp;G151&amp;"]"&amp;E151&amp;"'!"&amp;$AE$2))),INDIRECT("'["&amp;G151&amp;"]"&amp;E151&amp;"'!"&amp;$AE$3),0)</f>
        <v>#VALUE!</v>
      </c>
      <c r="T151" s="35" t="e" cm="1">
        <f t="array" aca="1" ref="T151" ca="1">IF(AND(G151=INDIRECT("'["&amp;G151&amp;"]"&amp;E151&amp;"'!"&amp;$AH$2),OR(I151=INDIRECT("'["&amp;G151&amp;"]"&amp;E151&amp;"'!"&amp;$AF$2))),INDIRECT("'["&amp;G151&amp;"]"&amp;E151&amp;"'!"&amp;$AF$3),0)</f>
        <v>#VALUE!</v>
      </c>
      <c r="U151" s="34" t="e" cm="1">
        <f t="array" aca="1" ref="U151" ca="1">IF(AND(G151=INDIRECT("'["&amp;G151&amp;"]"&amp;E151&amp;"'!"&amp;$AH$2),OR(I151=INDIRECT("'["&amp;G151&amp;"]"&amp;E151&amp;"'!"&amp;$AG$2))),INDIRECT("'["&amp;G151&amp;"]"&amp;E151&amp;"'!"&amp;$AG$3),0)</f>
        <v>#VALUE!</v>
      </c>
      <c r="V151" s="25" t="str">
        <f t="shared" si="52"/>
        <v/>
      </c>
      <c r="W151" s="36" t="e" cm="1">
        <f t="array" aca="1" ref="W151" ca="1">IF(AND(G151=INDIRECT("'["&amp;G151&amp;"]"&amp;E151&amp;"'!"&amp;$AH$2),OR(V151=INDIRECT("'["&amp;G151&amp;"]"&amp;E151&amp;"'!"&amp;$AI$2))),INDIRECT("'["&amp;G151&amp;"]"&amp;E151&amp;"'!"&amp;$AI$3),0)</f>
        <v>#VALUE!</v>
      </c>
      <c r="AJ151" s="25">
        <v>1</v>
      </c>
      <c r="AK151" s="38">
        <f t="shared" ca="1" si="53"/>
        <v>0</v>
      </c>
      <c r="AL151" s="38">
        <f t="shared" ca="1" si="54"/>
        <v>0</v>
      </c>
      <c r="AM151" s="54" t="str">
        <f t="shared" ca="1" si="45"/>
        <v/>
      </c>
      <c r="AN151" s="25" t="e">
        <f t="shared" ca="1" si="55"/>
        <v>#VALUE!</v>
      </c>
      <c r="AO151" s="25" t="e">
        <f t="shared" ca="1" si="56"/>
        <v>#VALUE!</v>
      </c>
      <c r="AP151" s="39" t="str">
        <f t="shared" ca="1" si="46"/>
        <v/>
      </c>
      <c r="AQ151" s="46" t="str">
        <f ca="1">IF(AND(C151&lt;&gt;0, C152=0), SUM($C$2:C151)-SUM($AQ$1:AQ150), "")</f>
        <v/>
      </c>
      <c r="AR151" s="46" t="str">
        <f ca="1">IF(AND(AK151&lt;&gt;0, AK152=0), SUM($AK$2:AK151)-SUM($AR$1:AR150), "")</f>
        <v/>
      </c>
    </row>
    <row r="152" spans="1:44" ht="13.15" customHeight="1">
      <c r="A152" s="59"/>
      <c r="B152" s="68" t="str">
        <f t="shared" si="41"/>
        <v/>
      </c>
      <c r="C152" s="55" cm="1">
        <f t="array" aca="1" ref="C152" ca="1">SUM(IF(ISNUMBER(M152:U152),M152:U152,""))</f>
        <v>0</v>
      </c>
      <c r="D152" s="25" t="str">
        <f t="shared" si="43"/>
        <v/>
      </c>
      <c r="E152" s="25" t="e">
        <f t="shared" si="47"/>
        <v>#VALUE!</v>
      </c>
      <c r="F152" s="25" t="str">
        <f t="shared" si="42"/>
        <v/>
      </c>
      <c r="G152" s="25" t="str">
        <f t="shared" si="44"/>
        <v>.xlsx</v>
      </c>
      <c r="H152" s="29" t="e" cm="1">
        <f t="array" aca="1" ref="H152" ca="1">IF(AND(VALUE(E152)=INDIRECT("'["&amp;G152&amp;"]"&amp;E152&amp;"'!"&amp;$X$2),G152=INDIRECT("'["&amp;G152&amp;"]"&amp;E152&amp;"'!"&amp;$X$3)),INDIRECT("'["&amp;G152&amp;"]"&amp;E152&amp;"'!"&amp;$X$1),0)</f>
        <v>#VALUE!</v>
      </c>
      <c r="I152" s="25" t="str">
        <f t="shared" si="48"/>
        <v/>
      </c>
      <c r="J152" s="32" t="str">
        <f t="shared" si="49"/>
        <v/>
      </c>
      <c r="K152" s="25" t="str">
        <f t="shared" si="50"/>
        <v/>
      </c>
      <c r="L152" s="25" t="str">
        <f t="shared" si="51"/>
        <v/>
      </c>
      <c r="M152" s="33" t="e" cm="1">
        <f t="array" aca="1" ref="M152" ca="1">IF(AND(J152=INDIRECT("'["&amp;G152&amp;"]"&amp;E152&amp;"'!"&amp;$Y$2),G152=INDIRECT("'["&amp;G152&amp;"]"&amp;E152&amp;"'!"&amp;$AH$2)),INDIRECT("'["&amp;G152&amp;"]"&amp;E152&amp;"'!"&amp;$Y$3),0)</f>
        <v>#VALUE!</v>
      </c>
      <c r="N152" s="34" t="e" cm="1">
        <f t="array" aca="1" ref="N152" ca="1">IF(AND(G152=INDIRECT("'["&amp;G152&amp;"]"&amp;E152&amp;"'!"&amp;$AH$2),OR(K152=INDIRECT("'["&amp;G152&amp;"]"&amp;E152&amp;"'!"&amp;$Z$2))),INDIRECT("'["&amp;G152&amp;"]"&amp;E152&amp;"'!"&amp;$Z$3),0)</f>
        <v>#VALUE!</v>
      </c>
      <c r="O152" s="34" t="e" cm="1">
        <f t="array" aca="1" ref="O152" ca="1">IF(AND(G152=INDIRECT("'["&amp;G152&amp;"]"&amp;E152&amp;"'!"&amp;$AH$2),OR(L152=INDIRECT("'["&amp;G152&amp;"]"&amp;E152&amp;"'!"&amp;$AA$2))),INDIRECT("'["&amp;G152&amp;"]"&amp;E152&amp;"'!"&amp;$AA$3),0)</f>
        <v>#VALUE!</v>
      </c>
      <c r="P152" s="34" t="e" cm="1">
        <f t="array" aca="1" ref="P152" ca="1">IF(AND(G152=INDIRECT("'["&amp;G152&amp;"]"&amp;E152&amp;"'!"&amp;$AH$2),OR(VALUE(I152)=INDIRECT("'["&amp;G152&amp;"]"&amp;E152&amp;"'!"&amp;$AB$2))),INDIRECT("'["&amp;G152&amp;"]"&amp;E152&amp;"'!"&amp;$AB$3),0)</f>
        <v>#VALUE!</v>
      </c>
      <c r="Q152" s="34" t="e" cm="1">
        <f t="array" aca="1" ref="Q152" ca="1">IF(AND(G152=INDIRECT("'["&amp;G152&amp;"]"&amp;E152&amp;"'!"&amp;$AH$2),OR(VALUE(I152)=INDIRECT("'["&amp;G152&amp;"]"&amp;E152&amp;"'!"&amp;$AC$2))),INDIRECT("'["&amp;G152&amp;"]"&amp;E152&amp;"'!"&amp;$AC$3),0)</f>
        <v>#VALUE!</v>
      </c>
      <c r="R152" s="34" t="e" cm="1">
        <f t="array" aca="1" ref="R152" ca="1">IF(AND(G152=INDIRECT("'["&amp;G152&amp;"]"&amp;E152&amp;"'!"&amp;$AH$2),OR(I152=INDIRECT("'["&amp;G152&amp;"]"&amp;E152&amp;"'!"&amp;$AD$2))),INDIRECT("'["&amp;G152&amp;"]"&amp;E152&amp;"'!"&amp;$AD$3),0)</f>
        <v>#VALUE!</v>
      </c>
      <c r="S152" s="34" t="e" cm="1">
        <f t="array" aca="1" ref="S152" ca="1">IF(AND(G152=INDIRECT("'["&amp;G152&amp;"]"&amp;E152&amp;"'!"&amp;$AH$2),OR(I152=INDIRECT("'["&amp;G152&amp;"]"&amp;E152&amp;"'!"&amp;$AE$2))),INDIRECT("'["&amp;G152&amp;"]"&amp;E152&amp;"'!"&amp;$AE$3),0)</f>
        <v>#VALUE!</v>
      </c>
      <c r="T152" s="35" t="e" cm="1">
        <f t="array" aca="1" ref="T152" ca="1">IF(AND(G152=INDIRECT("'["&amp;G152&amp;"]"&amp;E152&amp;"'!"&amp;$AH$2),OR(I152=INDIRECT("'["&amp;G152&amp;"]"&amp;E152&amp;"'!"&amp;$AF$2))),INDIRECT("'["&amp;G152&amp;"]"&amp;E152&amp;"'!"&amp;$AF$3),0)</f>
        <v>#VALUE!</v>
      </c>
      <c r="U152" s="34" t="e" cm="1">
        <f t="array" aca="1" ref="U152" ca="1">IF(AND(G152=INDIRECT("'["&amp;G152&amp;"]"&amp;E152&amp;"'!"&amp;$AH$2),OR(I152=INDIRECT("'["&amp;G152&amp;"]"&amp;E152&amp;"'!"&amp;$AG$2))),INDIRECT("'["&amp;G152&amp;"]"&amp;E152&amp;"'!"&amp;$AG$3),0)</f>
        <v>#VALUE!</v>
      </c>
      <c r="V152" s="25" t="str">
        <f t="shared" si="52"/>
        <v/>
      </c>
      <c r="W152" s="36" t="e" cm="1">
        <f t="array" aca="1" ref="W152" ca="1">IF(AND(G152=INDIRECT("'["&amp;G152&amp;"]"&amp;E152&amp;"'!"&amp;$AH$2),OR(V152=INDIRECT("'["&amp;G152&amp;"]"&amp;E152&amp;"'!"&amp;$AI$2))),INDIRECT("'["&amp;G152&amp;"]"&amp;E152&amp;"'!"&amp;$AI$3),0)</f>
        <v>#VALUE!</v>
      </c>
      <c r="AJ152" s="25">
        <v>1</v>
      </c>
      <c r="AK152" s="38">
        <f t="shared" ca="1" si="53"/>
        <v>0</v>
      </c>
      <c r="AL152" s="38">
        <f t="shared" ca="1" si="54"/>
        <v>0</v>
      </c>
      <c r="AM152" s="54" t="str">
        <f t="shared" ca="1" si="45"/>
        <v/>
      </c>
      <c r="AN152" s="25" t="e">
        <f t="shared" ca="1" si="55"/>
        <v>#VALUE!</v>
      </c>
      <c r="AO152" s="25" t="e">
        <f t="shared" ca="1" si="56"/>
        <v>#VALUE!</v>
      </c>
      <c r="AP152" s="39" t="str">
        <f t="shared" ca="1" si="46"/>
        <v/>
      </c>
      <c r="AQ152" s="46" t="str">
        <f ca="1">IF(AND(C152&lt;&gt;0, C153=0), SUM($C$2:C152)-SUM($AQ$1:AQ151), "")</f>
        <v/>
      </c>
      <c r="AR152" s="46" t="str">
        <f ca="1">IF(AND(AK152&lt;&gt;0, AK153=0), SUM($AK$2:AK152)-SUM($AR$1:AR151), "")</f>
        <v/>
      </c>
    </row>
    <row r="153" spans="1:44" ht="13.15" customHeight="1">
      <c r="A153" s="59"/>
      <c r="B153" s="68" t="str">
        <f t="shared" si="41"/>
        <v/>
      </c>
      <c r="C153" s="55" cm="1">
        <f t="array" aca="1" ref="C153" ca="1">SUM(IF(ISNUMBER(M153:U153),M153:U153,""))</f>
        <v>0</v>
      </c>
      <c r="D153" s="25" t="str">
        <f t="shared" si="43"/>
        <v/>
      </c>
      <c r="E153" s="25" t="e">
        <f t="shared" si="47"/>
        <v>#VALUE!</v>
      </c>
      <c r="F153" s="25" t="str">
        <f t="shared" si="42"/>
        <v/>
      </c>
      <c r="G153" s="25" t="str">
        <f t="shared" si="44"/>
        <v>.xlsx</v>
      </c>
      <c r="H153" s="29" t="e" cm="1">
        <f t="array" aca="1" ref="H153" ca="1">IF(AND(VALUE(E153)=INDIRECT("'["&amp;G153&amp;"]"&amp;E153&amp;"'!"&amp;$X$2),G153=INDIRECT("'["&amp;G153&amp;"]"&amp;E153&amp;"'!"&amp;$X$3)),INDIRECT("'["&amp;G153&amp;"]"&amp;E153&amp;"'!"&amp;$X$1),0)</f>
        <v>#VALUE!</v>
      </c>
      <c r="I153" s="25" t="str">
        <f t="shared" si="48"/>
        <v/>
      </c>
      <c r="J153" s="32" t="str">
        <f t="shared" si="49"/>
        <v/>
      </c>
      <c r="K153" s="25" t="str">
        <f t="shared" si="50"/>
        <v/>
      </c>
      <c r="L153" s="25" t="str">
        <f t="shared" si="51"/>
        <v/>
      </c>
      <c r="M153" s="33" t="e" cm="1">
        <f t="array" aca="1" ref="M153" ca="1">IF(AND(J153=INDIRECT("'["&amp;G153&amp;"]"&amp;E153&amp;"'!"&amp;$Y$2),G153=INDIRECT("'["&amp;G153&amp;"]"&amp;E153&amp;"'!"&amp;$AH$2)),INDIRECT("'["&amp;G153&amp;"]"&amp;E153&amp;"'!"&amp;$Y$3),0)</f>
        <v>#VALUE!</v>
      </c>
      <c r="N153" s="34" t="e" cm="1">
        <f t="array" aca="1" ref="N153" ca="1">IF(AND(G153=INDIRECT("'["&amp;G153&amp;"]"&amp;E153&amp;"'!"&amp;$AH$2),OR(K153=INDIRECT("'["&amp;G153&amp;"]"&amp;E153&amp;"'!"&amp;$Z$2))),INDIRECT("'["&amp;G153&amp;"]"&amp;E153&amp;"'!"&amp;$Z$3),0)</f>
        <v>#VALUE!</v>
      </c>
      <c r="O153" s="34" t="e" cm="1">
        <f t="array" aca="1" ref="O153" ca="1">IF(AND(G153=INDIRECT("'["&amp;G153&amp;"]"&amp;E153&amp;"'!"&amp;$AH$2),OR(L153=INDIRECT("'["&amp;G153&amp;"]"&amp;E153&amp;"'!"&amp;$AA$2))),INDIRECT("'["&amp;G153&amp;"]"&amp;E153&amp;"'!"&amp;$AA$3),0)</f>
        <v>#VALUE!</v>
      </c>
      <c r="P153" s="34" t="e" cm="1">
        <f t="array" aca="1" ref="P153" ca="1">IF(AND(G153=INDIRECT("'["&amp;G153&amp;"]"&amp;E153&amp;"'!"&amp;$AH$2),OR(VALUE(I153)=INDIRECT("'["&amp;G153&amp;"]"&amp;E153&amp;"'!"&amp;$AB$2))),INDIRECT("'["&amp;G153&amp;"]"&amp;E153&amp;"'!"&amp;$AB$3),0)</f>
        <v>#VALUE!</v>
      </c>
      <c r="Q153" s="34" t="e" cm="1">
        <f t="array" aca="1" ref="Q153" ca="1">IF(AND(G153=INDIRECT("'["&amp;G153&amp;"]"&amp;E153&amp;"'!"&amp;$AH$2),OR(VALUE(I153)=INDIRECT("'["&amp;G153&amp;"]"&amp;E153&amp;"'!"&amp;$AC$2))),INDIRECT("'["&amp;G153&amp;"]"&amp;E153&amp;"'!"&amp;$AC$3),0)</f>
        <v>#VALUE!</v>
      </c>
      <c r="R153" s="34" t="e" cm="1">
        <f t="array" aca="1" ref="R153" ca="1">IF(AND(G153=INDIRECT("'["&amp;G153&amp;"]"&amp;E153&amp;"'!"&amp;$AH$2),OR(I153=INDIRECT("'["&amp;G153&amp;"]"&amp;E153&amp;"'!"&amp;$AD$2))),INDIRECT("'["&amp;G153&amp;"]"&amp;E153&amp;"'!"&amp;$AD$3),0)</f>
        <v>#VALUE!</v>
      </c>
      <c r="S153" s="34" t="e" cm="1">
        <f t="array" aca="1" ref="S153" ca="1">IF(AND(G153=INDIRECT("'["&amp;G153&amp;"]"&amp;E153&amp;"'!"&amp;$AH$2),OR(I153=INDIRECT("'["&amp;G153&amp;"]"&amp;E153&amp;"'!"&amp;$AE$2))),INDIRECT("'["&amp;G153&amp;"]"&amp;E153&amp;"'!"&amp;$AE$3),0)</f>
        <v>#VALUE!</v>
      </c>
      <c r="T153" s="35" t="e" cm="1">
        <f t="array" aca="1" ref="T153" ca="1">IF(AND(G153=INDIRECT("'["&amp;G153&amp;"]"&amp;E153&amp;"'!"&amp;$AH$2),OR(I153=INDIRECT("'["&amp;G153&amp;"]"&amp;E153&amp;"'!"&amp;$AF$2))),INDIRECT("'["&amp;G153&amp;"]"&amp;E153&amp;"'!"&amp;$AF$3),0)</f>
        <v>#VALUE!</v>
      </c>
      <c r="U153" s="34" t="e" cm="1">
        <f t="array" aca="1" ref="U153" ca="1">IF(AND(G153=INDIRECT("'["&amp;G153&amp;"]"&amp;E153&amp;"'!"&amp;$AH$2),OR(I153=INDIRECT("'["&amp;G153&amp;"]"&amp;E153&amp;"'!"&amp;$AG$2))),INDIRECT("'["&amp;G153&amp;"]"&amp;E153&amp;"'!"&amp;$AG$3),0)</f>
        <v>#VALUE!</v>
      </c>
      <c r="V153" s="25" t="str">
        <f t="shared" si="52"/>
        <v/>
      </c>
      <c r="W153" s="36" t="e" cm="1">
        <f t="array" aca="1" ref="W153" ca="1">IF(AND(G153=INDIRECT("'["&amp;G153&amp;"]"&amp;E153&amp;"'!"&amp;$AH$2),OR(V153=INDIRECT("'["&amp;G153&amp;"]"&amp;E153&amp;"'!"&amp;$AI$2))),INDIRECT("'["&amp;G153&amp;"]"&amp;E153&amp;"'!"&amp;$AI$3),0)</f>
        <v>#VALUE!</v>
      </c>
      <c r="AJ153" s="25">
        <v>1</v>
      </c>
      <c r="AK153" s="38">
        <f t="shared" ca="1" si="53"/>
        <v>0</v>
      </c>
      <c r="AL153" s="38">
        <f t="shared" ca="1" si="54"/>
        <v>0</v>
      </c>
      <c r="AM153" s="54" t="str">
        <f t="shared" ca="1" si="45"/>
        <v/>
      </c>
      <c r="AN153" s="25" t="e">
        <f t="shared" ca="1" si="55"/>
        <v>#VALUE!</v>
      </c>
      <c r="AO153" s="25" t="e">
        <f t="shared" ca="1" si="56"/>
        <v>#VALUE!</v>
      </c>
      <c r="AP153" s="39" t="str">
        <f t="shared" ca="1" si="46"/>
        <v/>
      </c>
      <c r="AQ153" s="46" t="str">
        <f ca="1">IF(AND(C153&lt;&gt;0, C154=0), SUM($C$2:C153)-SUM($AQ$1:AQ152), "")</f>
        <v/>
      </c>
      <c r="AR153" s="46" t="str">
        <f ca="1">IF(AND(AK153&lt;&gt;0, AK154=0), SUM($AK$2:AK153)-SUM($AR$1:AR152), "")</f>
        <v/>
      </c>
    </row>
    <row r="154" spans="1:44" ht="13.15" customHeight="1">
      <c r="A154" s="59"/>
      <c r="B154" s="68" t="str">
        <f t="shared" ref="B154:B161" si="57">LEFT(A154,15)</f>
        <v/>
      </c>
      <c r="C154" s="55" cm="1">
        <f t="array" aca="1" ref="C154" ca="1">SUM(IF(ISNUMBER(M154:U154),M154:U154,""))</f>
        <v>0</v>
      </c>
      <c r="D154" s="25" t="str">
        <f t="shared" si="43"/>
        <v/>
      </c>
      <c r="E154" s="25" t="e">
        <f t="shared" si="47"/>
        <v>#VALUE!</v>
      </c>
      <c r="F154" s="25" t="str">
        <f t="shared" si="42"/>
        <v/>
      </c>
      <c r="G154" s="25" t="str">
        <f t="shared" si="44"/>
        <v>.xlsx</v>
      </c>
      <c r="H154" s="29" t="e" cm="1">
        <f t="array" aca="1" ref="H154" ca="1">IF(AND(VALUE(E154)=INDIRECT("'["&amp;G154&amp;"]"&amp;E154&amp;"'!"&amp;$X$2),G154=INDIRECT("'["&amp;G154&amp;"]"&amp;E154&amp;"'!"&amp;$X$3)),INDIRECT("'["&amp;G154&amp;"]"&amp;E154&amp;"'!"&amp;$X$1),0)</f>
        <v>#VALUE!</v>
      </c>
      <c r="I154" s="25" t="str">
        <f t="shared" si="48"/>
        <v/>
      </c>
      <c r="J154" s="32" t="str">
        <f t="shared" si="49"/>
        <v/>
      </c>
      <c r="K154" s="25" t="str">
        <f t="shared" si="50"/>
        <v/>
      </c>
      <c r="L154" s="25" t="str">
        <f t="shared" si="51"/>
        <v/>
      </c>
      <c r="M154" s="33" t="e" cm="1">
        <f t="array" aca="1" ref="M154" ca="1">IF(AND(J154=INDIRECT("'["&amp;G154&amp;"]"&amp;E154&amp;"'!"&amp;$Y$2),G154=INDIRECT("'["&amp;G154&amp;"]"&amp;E154&amp;"'!"&amp;$AH$2)),INDIRECT("'["&amp;G154&amp;"]"&amp;E154&amp;"'!"&amp;$Y$3),0)</f>
        <v>#VALUE!</v>
      </c>
      <c r="N154" s="34" t="e" cm="1">
        <f t="array" aca="1" ref="N154" ca="1">IF(AND(G154=INDIRECT("'["&amp;G154&amp;"]"&amp;E154&amp;"'!"&amp;$AH$2),OR(K154=INDIRECT("'["&amp;G154&amp;"]"&amp;E154&amp;"'!"&amp;$Z$2))),INDIRECT("'["&amp;G154&amp;"]"&amp;E154&amp;"'!"&amp;$Z$3),0)</f>
        <v>#VALUE!</v>
      </c>
      <c r="O154" s="34" t="e" cm="1">
        <f t="array" aca="1" ref="O154" ca="1">IF(AND(G154=INDIRECT("'["&amp;G154&amp;"]"&amp;E154&amp;"'!"&amp;$AH$2),OR(L154=INDIRECT("'["&amp;G154&amp;"]"&amp;E154&amp;"'!"&amp;$AA$2))),INDIRECT("'["&amp;G154&amp;"]"&amp;E154&amp;"'!"&amp;$AA$3),0)</f>
        <v>#VALUE!</v>
      </c>
      <c r="P154" s="34" t="e" cm="1">
        <f t="array" aca="1" ref="P154" ca="1">IF(AND(G154=INDIRECT("'["&amp;G154&amp;"]"&amp;E154&amp;"'!"&amp;$AH$2),OR(VALUE(I154)=INDIRECT("'["&amp;G154&amp;"]"&amp;E154&amp;"'!"&amp;$AB$2))),INDIRECT("'["&amp;G154&amp;"]"&amp;E154&amp;"'!"&amp;$AB$3),0)</f>
        <v>#VALUE!</v>
      </c>
      <c r="Q154" s="34" t="e" cm="1">
        <f t="array" aca="1" ref="Q154" ca="1">IF(AND(G154=INDIRECT("'["&amp;G154&amp;"]"&amp;E154&amp;"'!"&amp;$AH$2),OR(VALUE(I154)=INDIRECT("'["&amp;G154&amp;"]"&amp;E154&amp;"'!"&amp;$AC$2))),INDIRECT("'["&amp;G154&amp;"]"&amp;E154&amp;"'!"&amp;$AC$3),0)</f>
        <v>#VALUE!</v>
      </c>
      <c r="R154" s="34" t="e" cm="1">
        <f t="array" aca="1" ref="R154" ca="1">IF(AND(G154=INDIRECT("'["&amp;G154&amp;"]"&amp;E154&amp;"'!"&amp;$AH$2),OR(I154=INDIRECT("'["&amp;G154&amp;"]"&amp;E154&amp;"'!"&amp;$AD$2))),INDIRECT("'["&amp;G154&amp;"]"&amp;E154&amp;"'!"&amp;$AD$3),0)</f>
        <v>#VALUE!</v>
      </c>
      <c r="S154" s="34" t="e" cm="1">
        <f t="array" aca="1" ref="S154" ca="1">IF(AND(G154=INDIRECT("'["&amp;G154&amp;"]"&amp;E154&amp;"'!"&amp;$AH$2),OR(I154=INDIRECT("'["&amp;G154&amp;"]"&amp;E154&amp;"'!"&amp;$AE$2))),INDIRECT("'["&amp;G154&amp;"]"&amp;E154&amp;"'!"&amp;$AE$3),0)</f>
        <v>#VALUE!</v>
      </c>
      <c r="T154" s="35" t="e" cm="1">
        <f t="array" aca="1" ref="T154" ca="1">IF(AND(G154=INDIRECT("'["&amp;G154&amp;"]"&amp;E154&amp;"'!"&amp;$AH$2),OR(I154=INDIRECT("'["&amp;G154&amp;"]"&amp;E154&amp;"'!"&amp;$AF$2))),INDIRECT("'["&amp;G154&amp;"]"&amp;E154&amp;"'!"&amp;$AF$3),0)</f>
        <v>#VALUE!</v>
      </c>
      <c r="U154" s="34" t="e" cm="1">
        <f t="array" aca="1" ref="U154" ca="1">IF(AND(G154=INDIRECT("'["&amp;G154&amp;"]"&amp;E154&amp;"'!"&amp;$AH$2),OR(I154=INDIRECT("'["&amp;G154&amp;"]"&amp;E154&amp;"'!"&amp;$AG$2))),INDIRECT("'["&amp;G154&amp;"]"&amp;E154&amp;"'!"&amp;$AG$3),0)</f>
        <v>#VALUE!</v>
      </c>
      <c r="V154" s="25" t="str">
        <f t="shared" si="52"/>
        <v/>
      </c>
      <c r="W154" s="36" t="e" cm="1">
        <f t="array" aca="1" ref="W154" ca="1">IF(AND(G154=INDIRECT("'["&amp;G154&amp;"]"&amp;E154&amp;"'!"&amp;$AH$2),OR(V154=INDIRECT("'["&amp;G154&amp;"]"&amp;E154&amp;"'!"&amp;$AI$2))),INDIRECT("'["&amp;G154&amp;"]"&amp;E154&amp;"'!"&amp;$AI$3),0)</f>
        <v>#VALUE!</v>
      </c>
      <c r="AJ154" s="25">
        <v>1</v>
      </c>
      <c r="AK154" s="38">
        <f t="shared" ca="1" si="53"/>
        <v>0</v>
      </c>
      <c r="AL154" s="38">
        <f t="shared" ca="1" si="54"/>
        <v>0</v>
      </c>
      <c r="AM154" s="54" t="str">
        <f t="shared" ca="1" si="45"/>
        <v/>
      </c>
      <c r="AN154" s="25" t="e">
        <f t="shared" ca="1" si="55"/>
        <v>#VALUE!</v>
      </c>
      <c r="AO154" s="25" t="e">
        <f t="shared" ca="1" si="56"/>
        <v>#VALUE!</v>
      </c>
      <c r="AP154" s="39" t="str">
        <f t="shared" ca="1" si="46"/>
        <v/>
      </c>
      <c r="AQ154" s="46" t="str">
        <f ca="1">IF(AND(C154&lt;&gt;0, C155=0), SUM($C$2:C154)-SUM($AQ$1:AQ153), "")</f>
        <v/>
      </c>
      <c r="AR154" s="46" t="str">
        <f ca="1">IF(AND(AK154&lt;&gt;0, AK155=0), SUM($AK$2:AK154)-SUM($AR$1:AR153), "")</f>
        <v/>
      </c>
    </row>
    <row r="155" spans="1:44" ht="13.15" customHeight="1">
      <c r="A155" s="59"/>
      <c r="B155" s="68" t="str">
        <f t="shared" si="57"/>
        <v/>
      </c>
      <c r="C155" s="55" cm="1">
        <f t="array" aca="1" ref="C155" ca="1">SUM(IF(ISNUMBER(M155:U155),M155:U155,""))</f>
        <v>0</v>
      </c>
      <c r="D155" s="25" t="str">
        <f t="shared" si="43"/>
        <v/>
      </c>
      <c r="E155" s="25" t="e">
        <f t="shared" si="47"/>
        <v>#VALUE!</v>
      </c>
      <c r="F155" s="25" t="str">
        <f t="shared" si="42"/>
        <v/>
      </c>
      <c r="G155" s="25" t="str">
        <f t="shared" si="44"/>
        <v>.xlsx</v>
      </c>
      <c r="H155" s="29" t="e" cm="1">
        <f t="array" aca="1" ref="H155" ca="1">IF(AND(VALUE(E155)=INDIRECT("'["&amp;G155&amp;"]"&amp;E155&amp;"'!"&amp;$X$2),G155=INDIRECT("'["&amp;G155&amp;"]"&amp;E155&amp;"'!"&amp;$X$3)),INDIRECT("'["&amp;G155&amp;"]"&amp;E155&amp;"'!"&amp;$X$1),0)</f>
        <v>#VALUE!</v>
      </c>
      <c r="I155" s="25" t="str">
        <f t="shared" si="48"/>
        <v/>
      </c>
      <c r="J155" s="32" t="str">
        <f t="shared" si="49"/>
        <v/>
      </c>
      <c r="K155" s="25" t="str">
        <f t="shared" si="50"/>
        <v/>
      </c>
      <c r="L155" s="25" t="str">
        <f t="shared" si="51"/>
        <v/>
      </c>
      <c r="M155" s="33" t="e" cm="1">
        <f t="array" aca="1" ref="M155" ca="1">IF(AND(J155=INDIRECT("'["&amp;G155&amp;"]"&amp;E155&amp;"'!"&amp;$Y$2),G155=INDIRECT("'["&amp;G155&amp;"]"&amp;E155&amp;"'!"&amp;$AH$2)),INDIRECT("'["&amp;G155&amp;"]"&amp;E155&amp;"'!"&amp;$Y$3),0)</f>
        <v>#VALUE!</v>
      </c>
      <c r="N155" s="34" t="e" cm="1">
        <f t="array" aca="1" ref="N155" ca="1">IF(AND(G155=INDIRECT("'["&amp;G155&amp;"]"&amp;E155&amp;"'!"&amp;$AH$2),OR(K155=INDIRECT("'["&amp;G155&amp;"]"&amp;E155&amp;"'!"&amp;$Z$2))),INDIRECT("'["&amp;G155&amp;"]"&amp;E155&amp;"'!"&amp;$Z$3),0)</f>
        <v>#VALUE!</v>
      </c>
      <c r="O155" s="34" t="e" cm="1">
        <f t="array" aca="1" ref="O155" ca="1">IF(AND(G155=INDIRECT("'["&amp;G155&amp;"]"&amp;E155&amp;"'!"&amp;$AH$2),OR(L155=INDIRECT("'["&amp;G155&amp;"]"&amp;E155&amp;"'!"&amp;$AA$2))),INDIRECT("'["&amp;G155&amp;"]"&amp;E155&amp;"'!"&amp;$AA$3),0)</f>
        <v>#VALUE!</v>
      </c>
      <c r="P155" s="34" t="e" cm="1">
        <f t="array" aca="1" ref="P155" ca="1">IF(AND(G155=INDIRECT("'["&amp;G155&amp;"]"&amp;E155&amp;"'!"&amp;$AH$2),OR(VALUE(I155)=INDIRECT("'["&amp;G155&amp;"]"&amp;E155&amp;"'!"&amp;$AB$2))),INDIRECT("'["&amp;G155&amp;"]"&amp;E155&amp;"'!"&amp;$AB$3),0)</f>
        <v>#VALUE!</v>
      </c>
      <c r="Q155" s="34" t="e" cm="1">
        <f t="array" aca="1" ref="Q155" ca="1">IF(AND(G155=INDIRECT("'["&amp;G155&amp;"]"&amp;E155&amp;"'!"&amp;$AH$2),OR(VALUE(I155)=INDIRECT("'["&amp;G155&amp;"]"&amp;E155&amp;"'!"&amp;$AC$2))),INDIRECT("'["&amp;G155&amp;"]"&amp;E155&amp;"'!"&amp;$AC$3),0)</f>
        <v>#VALUE!</v>
      </c>
      <c r="R155" s="34" t="e" cm="1">
        <f t="array" aca="1" ref="R155" ca="1">IF(AND(G155=INDIRECT("'["&amp;G155&amp;"]"&amp;E155&amp;"'!"&amp;$AH$2),OR(I155=INDIRECT("'["&amp;G155&amp;"]"&amp;E155&amp;"'!"&amp;$AD$2))),INDIRECT("'["&amp;G155&amp;"]"&amp;E155&amp;"'!"&amp;$AD$3),0)</f>
        <v>#VALUE!</v>
      </c>
      <c r="S155" s="34" t="e" cm="1">
        <f t="array" aca="1" ref="S155" ca="1">IF(AND(G155=INDIRECT("'["&amp;G155&amp;"]"&amp;E155&amp;"'!"&amp;$AH$2),OR(I155=INDIRECT("'["&amp;G155&amp;"]"&amp;E155&amp;"'!"&amp;$AE$2))),INDIRECT("'["&amp;G155&amp;"]"&amp;E155&amp;"'!"&amp;$AE$3),0)</f>
        <v>#VALUE!</v>
      </c>
      <c r="T155" s="35" t="e" cm="1">
        <f t="array" aca="1" ref="T155" ca="1">IF(AND(G155=INDIRECT("'["&amp;G155&amp;"]"&amp;E155&amp;"'!"&amp;$AH$2),OR(I155=INDIRECT("'["&amp;G155&amp;"]"&amp;E155&amp;"'!"&amp;$AF$2))),INDIRECT("'["&amp;G155&amp;"]"&amp;E155&amp;"'!"&amp;$AF$3),0)</f>
        <v>#VALUE!</v>
      </c>
      <c r="U155" s="34" t="e" cm="1">
        <f t="array" aca="1" ref="U155" ca="1">IF(AND(G155=INDIRECT("'["&amp;G155&amp;"]"&amp;E155&amp;"'!"&amp;$AH$2),OR(I155=INDIRECT("'["&amp;G155&amp;"]"&amp;E155&amp;"'!"&amp;$AG$2))),INDIRECT("'["&amp;G155&amp;"]"&amp;E155&amp;"'!"&amp;$AG$3),0)</f>
        <v>#VALUE!</v>
      </c>
      <c r="V155" s="25" t="str">
        <f t="shared" si="52"/>
        <v/>
      </c>
      <c r="W155" s="36" t="e" cm="1">
        <f t="array" aca="1" ref="W155" ca="1">IF(AND(G155=INDIRECT("'["&amp;G155&amp;"]"&amp;E155&amp;"'!"&amp;$AH$2),OR(V155=INDIRECT("'["&amp;G155&amp;"]"&amp;E155&amp;"'!"&amp;$AI$2))),INDIRECT("'["&amp;G155&amp;"]"&amp;E155&amp;"'!"&amp;$AI$3),0)</f>
        <v>#VALUE!</v>
      </c>
      <c r="AJ155" s="25">
        <v>1</v>
      </c>
      <c r="AK155" s="38">
        <f t="shared" ca="1" si="53"/>
        <v>0</v>
      </c>
      <c r="AL155" s="38">
        <f t="shared" ca="1" si="54"/>
        <v>0</v>
      </c>
      <c r="AM155" s="54" t="str">
        <f t="shared" ca="1" si="45"/>
        <v/>
      </c>
      <c r="AN155" s="25" t="e">
        <f t="shared" ca="1" si="55"/>
        <v>#VALUE!</v>
      </c>
      <c r="AO155" s="25" t="e">
        <f t="shared" ca="1" si="56"/>
        <v>#VALUE!</v>
      </c>
      <c r="AP155" s="39" t="str">
        <f t="shared" ca="1" si="46"/>
        <v/>
      </c>
      <c r="AQ155" s="46" t="str">
        <f ca="1">IF(AND(C155&lt;&gt;0, C156=0), SUM($C$2:C155)-SUM($AQ$1:AQ154), "")</f>
        <v/>
      </c>
      <c r="AR155" s="46" t="str">
        <f ca="1">IF(AND(AK155&lt;&gt;0, AK156=0), SUM($AK$2:AK155)-SUM($AR$1:AR154), "")</f>
        <v/>
      </c>
    </row>
    <row r="156" spans="1:44" ht="13.15" customHeight="1">
      <c r="A156" s="59"/>
      <c r="B156" s="68" t="str">
        <f t="shared" si="57"/>
        <v/>
      </c>
      <c r="C156" s="55" cm="1">
        <f t="array" aca="1" ref="C156" ca="1">SUM(IF(ISNUMBER(M156:U156),M156:U156,""))</f>
        <v>0</v>
      </c>
      <c r="D156" s="25" t="str">
        <f t="shared" si="43"/>
        <v/>
      </c>
      <c r="E156" s="25" t="e">
        <f t="shared" si="47"/>
        <v>#VALUE!</v>
      </c>
      <c r="F156" s="25" t="str">
        <f t="shared" si="42"/>
        <v/>
      </c>
      <c r="G156" s="25" t="str">
        <f t="shared" si="44"/>
        <v>.xlsx</v>
      </c>
      <c r="H156" s="29" t="e" cm="1">
        <f t="array" aca="1" ref="H156" ca="1">IF(AND(VALUE(E156)=INDIRECT("'["&amp;G156&amp;"]"&amp;E156&amp;"'!"&amp;$X$2),G156=INDIRECT("'["&amp;G156&amp;"]"&amp;E156&amp;"'!"&amp;$X$3)),INDIRECT("'["&amp;G156&amp;"]"&amp;E156&amp;"'!"&amp;$X$1),0)</f>
        <v>#VALUE!</v>
      </c>
      <c r="I156" s="25" t="str">
        <f t="shared" si="48"/>
        <v/>
      </c>
      <c r="J156" s="32" t="str">
        <f t="shared" si="49"/>
        <v/>
      </c>
      <c r="K156" s="25" t="str">
        <f t="shared" si="50"/>
        <v/>
      </c>
      <c r="L156" s="25" t="str">
        <f t="shared" si="51"/>
        <v/>
      </c>
      <c r="M156" s="33" t="e" cm="1">
        <f t="array" aca="1" ref="M156" ca="1">IF(AND(J156=INDIRECT("'["&amp;G156&amp;"]"&amp;E156&amp;"'!"&amp;$Y$2),G156=INDIRECT("'["&amp;G156&amp;"]"&amp;E156&amp;"'!"&amp;$AH$2)),INDIRECT("'["&amp;G156&amp;"]"&amp;E156&amp;"'!"&amp;$Y$3),0)</f>
        <v>#VALUE!</v>
      </c>
      <c r="N156" s="34" t="e" cm="1">
        <f t="array" aca="1" ref="N156" ca="1">IF(AND(G156=INDIRECT("'["&amp;G156&amp;"]"&amp;E156&amp;"'!"&amp;$AH$2),OR(K156=INDIRECT("'["&amp;G156&amp;"]"&amp;E156&amp;"'!"&amp;$Z$2))),INDIRECT("'["&amp;G156&amp;"]"&amp;E156&amp;"'!"&amp;$Z$3),0)</f>
        <v>#VALUE!</v>
      </c>
      <c r="O156" s="34" t="e" cm="1">
        <f t="array" aca="1" ref="O156" ca="1">IF(AND(G156=INDIRECT("'["&amp;G156&amp;"]"&amp;E156&amp;"'!"&amp;$AH$2),OR(L156=INDIRECT("'["&amp;G156&amp;"]"&amp;E156&amp;"'!"&amp;$AA$2))),INDIRECT("'["&amp;G156&amp;"]"&amp;E156&amp;"'!"&amp;$AA$3),0)</f>
        <v>#VALUE!</v>
      </c>
      <c r="P156" s="34" t="e" cm="1">
        <f t="array" aca="1" ref="P156" ca="1">IF(AND(G156=INDIRECT("'["&amp;G156&amp;"]"&amp;E156&amp;"'!"&amp;$AH$2),OR(VALUE(I156)=INDIRECT("'["&amp;G156&amp;"]"&amp;E156&amp;"'!"&amp;$AB$2))),INDIRECT("'["&amp;G156&amp;"]"&amp;E156&amp;"'!"&amp;$AB$3),0)</f>
        <v>#VALUE!</v>
      </c>
      <c r="Q156" s="34" t="e" cm="1">
        <f t="array" aca="1" ref="Q156" ca="1">IF(AND(G156=INDIRECT("'["&amp;G156&amp;"]"&amp;E156&amp;"'!"&amp;$AH$2),OR(VALUE(I156)=INDIRECT("'["&amp;G156&amp;"]"&amp;E156&amp;"'!"&amp;$AC$2))),INDIRECT("'["&amp;G156&amp;"]"&amp;E156&amp;"'!"&amp;$AC$3),0)</f>
        <v>#VALUE!</v>
      </c>
      <c r="R156" s="34" t="e" cm="1">
        <f t="array" aca="1" ref="R156" ca="1">IF(AND(G156=INDIRECT("'["&amp;G156&amp;"]"&amp;E156&amp;"'!"&amp;$AH$2),OR(I156=INDIRECT("'["&amp;G156&amp;"]"&amp;E156&amp;"'!"&amp;$AD$2))),INDIRECT("'["&amp;G156&amp;"]"&amp;E156&amp;"'!"&amp;$AD$3),0)</f>
        <v>#VALUE!</v>
      </c>
      <c r="S156" s="34" t="e" cm="1">
        <f t="array" aca="1" ref="S156" ca="1">IF(AND(G156=INDIRECT("'["&amp;G156&amp;"]"&amp;E156&amp;"'!"&amp;$AH$2),OR(I156=INDIRECT("'["&amp;G156&amp;"]"&amp;E156&amp;"'!"&amp;$AE$2))),INDIRECT("'["&amp;G156&amp;"]"&amp;E156&amp;"'!"&amp;$AE$3),0)</f>
        <v>#VALUE!</v>
      </c>
      <c r="T156" s="35" t="e" cm="1">
        <f t="array" aca="1" ref="T156" ca="1">IF(AND(G156=INDIRECT("'["&amp;G156&amp;"]"&amp;E156&amp;"'!"&amp;$AH$2),OR(I156=INDIRECT("'["&amp;G156&amp;"]"&amp;E156&amp;"'!"&amp;$AF$2))),INDIRECT("'["&amp;G156&amp;"]"&amp;E156&amp;"'!"&amp;$AF$3),0)</f>
        <v>#VALUE!</v>
      </c>
      <c r="U156" s="34" t="e" cm="1">
        <f t="array" aca="1" ref="U156" ca="1">IF(AND(G156=INDIRECT("'["&amp;G156&amp;"]"&amp;E156&amp;"'!"&amp;$AH$2),OR(I156=INDIRECT("'["&amp;G156&amp;"]"&amp;E156&amp;"'!"&amp;$AG$2))),INDIRECT("'["&amp;G156&amp;"]"&amp;E156&amp;"'!"&amp;$AG$3),0)</f>
        <v>#VALUE!</v>
      </c>
      <c r="V156" s="25" t="str">
        <f t="shared" si="52"/>
        <v/>
      </c>
      <c r="W156" s="36" t="e" cm="1">
        <f t="array" aca="1" ref="W156" ca="1">IF(AND(G156=INDIRECT("'["&amp;G156&amp;"]"&amp;E156&amp;"'!"&amp;$AH$2),OR(V156=INDIRECT("'["&amp;G156&amp;"]"&amp;E156&amp;"'!"&amp;$AI$2))),INDIRECT("'["&amp;G156&amp;"]"&amp;E156&amp;"'!"&amp;$AI$3),0)</f>
        <v>#VALUE!</v>
      </c>
      <c r="AJ156" s="25">
        <v>1</v>
      </c>
      <c r="AK156" s="38">
        <f t="shared" ca="1" si="53"/>
        <v>0</v>
      </c>
      <c r="AL156" s="38">
        <f t="shared" ca="1" si="54"/>
        <v>0</v>
      </c>
      <c r="AM156" s="54" t="str">
        <f ca="1">IF(A156&lt;&gt;"",IF(AM156="",NOW(),AM156),"")</f>
        <v/>
      </c>
      <c r="AN156" s="25" t="e">
        <f t="shared" ca="1" si="55"/>
        <v>#VALUE!</v>
      </c>
      <c r="AO156" s="25" t="e">
        <f t="shared" ca="1" si="56"/>
        <v>#VALUE!</v>
      </c>
      <c r="AP156" s="39" t="str">
        <f t="shared" ca="1" si="46"/>
        <v/>
      </c>
      <c r="AQ156" s="46" t="str">
        <f ca="1">IF(AND(C156&lt;&gt;0, C157=0), SUM($C$2:C156)-SUM($AQ$1:AQ155), "")</f>
        <v/>
      </c>
      <c r="AR156" s="46" t="str">
        <f ca="1">IF(AND(AK156&lt;&gt;0, AK157=0), SUM($AK$2:AK156)-SUM($AR$1:AR155), "")</f>
        <v/>
      </c>
    </row>
    <row r="157" spans="1:44" ht="13.15" customHeight="1">
      <c r="A157" s="60"/>
      <c r="B157" s="68" t="str">
        <f t="shared" si="57"/>
        <v/>
      </c>
      <c r="C157" s="55" cm="1">
        <f t="array" aca="1" ref="C157" ca="1">SUM(IF(ISNUMBER(M157:U157),M157:U157,""))</f>
        <v>0</v>
      </c>
      <c r="D157" s="25" t="str">
        <f t="shared" si="43"/>
        <v/>
      </c>
      <c r="E157" s="25" t="e">
        <f t="shared" si="47"/>
        <v>#VALUE!</v>
      </c>
      <c r="F157" s="25" t="str">
        <f t="shared" si="42"/>
        <v/>
      </c>
      <c r="G157" s="25" t="str">
        <f t="shared" si="44"/>
        <v>.xlsx</v>
      </c>
      <c r="H157" s="29" t="e" cm="1">
        <f t="array" aca="1" ref="H157" ca="1">IF(AND(VALUE(E157)=INDIRECT("'["&amp;G157&amp;"]"&amp;E157&amp;"'!"&amp;$X$2),G157=INDIRECT("'["&amp;G157&amp;"]"&amp;E157&amp;"'!"&amp;$X$3)),INDIRECT("'["&amp;G157&amp;"]"&amp;E157&amp;"'!"&amp;$X$1),0)</f>
        <v>#VALUE!</v>
      </c>
      <c r="I157" s="25" t="str">
        <f t="shared" si="48"/>
        <v/>
      </c>
      <c r="J157" s="32" t="str">
        <f t="shared" si="49"/>
        <v/>
      </c>
      <c r="K157" s="25" t="str">
        <f t="shared" si="50"/>
        <v/>
      </c>
      <c r="L157" s="25" t="str">
        <f t="shared" si="51"/>
        <v/>
      </c>
      <c r="M157" s="33" t="e" cm="1">
        <f t="array" aca="1" ref="M157" ca="1">IF(AND(J157=INDIRECT("'["&amp;G157&amp;"]"&amp;E157&amp;"'!"&amp;$Y$2),G157=INDIRECT("'["&amp;G157&amp;"]"&amp;E157&amp;"'!"&amp;$AH$2)),INDIRECT("'["&amp;G157&amp;"]"&amp;E157&amp;"'!"&amp;$Y$3),0)</f>
        <v>#VALUE!</v>
      </c>
      <c r="N157" s="34" t="e" cm="1">
        <f t="array" aca="1" ref="N157" ca="1">IF(AND(G157=INDIRECT("'["&amp;G157&amp;"]"&amp;E157&amp;"'!"&amp;$AH$2),OR(K157=INDIRECT("'["&amp;G157&amp;"]"&amp;E157&amp;"'!"&amp;$Z$2))),INDIRECT("'["&amp;G157&amp;"]"&amp;E157&amp;"'!"&amp;$Z$3),0)</f>
        <v>#VALUE!</v>
      </c>
      <c r="O157" s="34" t="e" cm="1">
        <f t="array" aca="1" ref="O157" ca="1">IF(AND(G157=INDIRECT("'["&amp;G157&amp;"]"&amp;E157&amp;"'!"&amp;$AH$2),OR(L157=INDIRECT("'["&amp;G157&amp;"]"&amp;E157&amp;"'!"&amp;$AA$2))),INDIRECT("'["&amp;G157&amp;"]"&amp;E157&amp;"'!"&amp;$AA$3),0)</f>
        <v>#VALUE!</v>
      </c>
      <c r="P157" s="34" t="e" cm="1">
        <f t="array" aca="1" ref="P157" ca="1">IF(AND(G157=INDIRECT("'["&amp;G157&amp;"]"&amp;E157&amp;"'!"&amp;$AH$2),OR(VALUE(I157)=INDIRECT("'["&amp;G157&amp;"]"&amp;E157&amp;"'!"&amp;$AB$2))),INDIRECT("'["&amp;G157&amp;"]"&amp;E157&amp;"'!"&amp;$AB$3),0)</f>
        <v>#VALUE!</v>
      </c>
      <c r="Q157" s="34" t="e" cm="1">
        <f t="array" aca="1" ref="Q157" ca="1">IF(AND(G157=INDIRECT("'["&amp;G157&amp;"]"&amp;E157&amp;"'!"&amp;$AH$2),OR(VALUE(I157)=INDIRECT("'["&amp;G157&amp;"]"&amp;E157&amp;"'!"&amp;$AC$2))),INDIRECT("'["&amp;G157&amp;"]"&amp;E157&amp;"'!"&amp;$AC$3),0)</f>
        <v>#VALUE!</v>
      </c>
      <c r="R157" s="34" t="e" cm="1">
        <f t="array" aca="1" ref="R157" ca="1">IF(AND(G157=INDIRECT("'["&amp;G157&amp;"]"&amp;E157&amp;"'!"&amp;$AH$2),OR(I157=INDIRECT("'["&amp;G157&amp;"]"&amp;E157&amp;"'!"&amp;$AD$2))),INDIRECT("'["&amp;G157&amp;"]"&amp;E157&amp;"'!"&amp;$AD$3),0)</f>
        <v>#VALUE!</v>
      </c>
      <c r="S157" s="34" t="e" cm="1">
        <f t="array" aca="1" ref="S157" ca="1">IF(AND(G157=INDIRECT("'["&amp;G157&amp;"]"&amp;E157&amp;"'!"&amp;$AH$2),OR(I157=INDIRECT("'["&amp;G157&amp;"]"&amp;E157&amp;"'!"&amp;$AE$2))),INDIRECT("'["&amp;G157&amp;"]"&amp;E157&amp;"'!"&amp;$AE$3),0)</f>
        <v>#VALUE!</v>
      </c>
      <c r="T157" s="35" t="e" cm="1">
        <f t="array" aca="1" ref="T157" ca="1">IF(AND(G157=INDIRECT("'["&amp;G157&amp;"]"&amp;E157&amp;"'!"&amp;$AH$2),OR(I157=INDIRECT("'["&amp;G157&amp;"]"&amp;E157&amp;"'!"&amp;$AF$2))),INDIRECT("'["&amp;G157&amp;"]"&amp;E157&amp;"'!"&amp;$AF$3),0)</f>
        <v>#VALUE!</v>
      </c>
      <c r="U157" s="34" t="e" cm="1">
        <f t="array" aca="1" ref="U157" ca="1">IF(AND(G157=INDIRECT("'["&amp;G157&amp;"]"&amp;E157&amp;"'!"&amp;$AH$2),OR(I157=INDIRECT("'["&amp;G157&amp;"]"&amp;E157&amp;"'!"&amp;$AG$2))),INDIRECT("'["&amp;G157&amp;"]"&amp;E157&amp;"'!"&amp;$AG$3),0)</f>
        <v>#VALUE!</v>
      </c>
      <c r="V157" s="25" t="str">
        <f t="shared" si="52"/>
        <v/>
      </c>
      <c r="W157" s="36" t="e" cm="1">
        <f t="array" aca="1" ref="W157" ca="1">IF(AND(G157=INDIRECT("'["&amp;G157&amp;"]"&amp;E157&amp;"'!"&amp;$AH$2),OR(V157=INDIRECT("'["&amp;G157&amp;"]"&amp;E157&amp;"'!"&amp;$AI$2))),INDIRECT("'["&amp;G157&amp;"]"&amp;E157&amp;"'!"&amp;$AI$3),0)</f>
        <v>#VALUE!</v>
      </c>
      <c r="AJ157" s="25">
        <v>1</v>
      </c>
      <c r="AK157" s="38">
        <f t="shared" ca="1" si="53"/>
        <v>0</v>
      </c>
      <c r="AL157" s="38">
        <f t="shared" ca="1" si="54"/>
        <v>0</v>
      </c>
      <c r="AM157" s="54" t="str">
        <f t="shared" ca="1" si="45"/>
        <v/>
      </c>
      <c r="AN157" s="25" t="e">
        <f t="shared" ca="1" si="55"/>
        <v>#VALUE!</v>
      </c>
      <c r="AO157" s="25" t="e">
        <f t="shared" ca="1" si="56"/>
        <v>#VALUE!</v>
      </c>
      <c r="AP157" s="39" t="str">
        <f t="shared" ca="1" si="46"/>
        <v/>
      </c>
      <c r="AQ157" s="46" t="str">
        <f ca="1">IF(AND(C157&lt;&gt;0, C158=0), SUM($C$2:C157)-SUM($AQ$1:AQ156), "")</f>
        <v/>
      </c>
      <c r="AR157" s="46" t="str">
        <f ca="1">IF(AND(AK157&lt;&gt;0, AK158=0), SUM($AK$2:AK157)-SUM($AR$1:AR156), "")</f>
        <v/>
      </c>
    </row>
    <row r="158" spans="1:44" ht="13.15" customHeight="1">
      <c r="A158" s="60"/>
      <c r="B158" s="68" t="str">
        <f t="shared" si="57"/>
        <v/>
      </c>
      <c r="C158" s="55" cm="1">
        <f t="array" aca="1" ref="C158" ca="1">SUM(IF(ISNUMBER(M158:U158),M158:U158,""))</f>
        <v>0</v>
      </c>
      <c r="D158" s="25" t="str">
        <f t="shared" si="43"/>
        <v/>
      </c>
      <c r="E158" s="25" t="e">
        <f t="shared" si="47"/>
        <v>#VALUE!</v>
      </c>
      <c r="F158" s="25" t="str">
        <f t="shared" si="42"/>
        <v/>
      </c>
      <c r="G158" s="25" t="str">
        <f t="shared" si="44"/>
        <v>.xlsx</v>
      </c>
      <c r="H158" s="29" t="e" cm="1">
        <f t="array" aca="1" ref="H158" ca="1">IF(AND(VALUE(E158)=INDIRECT("'["&amp;G158&amp;"]"&amp;E158&amp;"'!"&amp;$X$2),G158=INDIRECT("'["&amp;G158&amp;"]"&amp;E158&amp;"'!"&amp;$X$3)),INDIRECT("'["&amp;G158&amp;"]"&amp;E158&amp;"'!"&amp;$X$1),0)</f>
        <v>#VALUE!</v>
      </c>
      <c r="I158" s="25" t="str">
        <f t="shared" si="48"/>
        <v/>
      </c>
      <c r="J158" s="32" t="str">
        <f t="shared" si="49"/>
        <v/>
      </c>
      <c r="K158" s="25" t="str">
        <f t="shared" si="50"/>
        <v/>
      </c>
      <c r="L158" s="25" t="str">
        <f t="shared" si="51"/>
        <v/>
      </c>
      <c r="M158" s="33" t="e" cm="1">
        <f t="array" aca="1" ref="M158" ca="1">IF(AND(J158=INDIRECT("'["&amp;G158&amp;"]"&amp;E158&amp;"'!"&amp;$Y$2),G158=INDIRECT("'["&amp;G158&amp;"]"&amp;E158&amp;"'!"&amp;$AH$2)),INDIRECT("'["&amp;G158&amp;"]"&amp;E158&amp;"'!"&amp;$Y$3),0)</f>
        <v>#VALUE!</v>
      </c>
      <c r="N158" s="34" t="e" cm="1">
        <f t="array" aca="1" ref="N158" ca="1">IF(AND(G158=INDIRECT("'["&amp;G158&amp;"]"&amp;E158&amp;"'!"&amp;$AH$2),OR(K158=INDIRECT("'["&amp;G158&amp;"]"&amp;E158&amp;"'!"&amp;$Z$2))),INDIRECT("'["&amp;G158&amp;"]"&amp;E158&amp;"'!"&amp;$Z$3),0)</f>
        <v>#VALUE!</v>
      </c>
      <c r="O158" s="34" t="e" cm="1">
        <f t="array" aca="1" ref="O158" ca="1">IF(AND(G158=INDIRECT("'["&amp;G158&amp;"]"&amp;E158&amp;"'!"&amp;$AH$2),OR(L158=INDIRECT("'["&amp;G158&amp;"]"&amp;E158&amp;"'!"&amp;$AA$2))),INDIRECT("'["&amp;G158&amp;"]"&amp;E158&amp;"'!"&amp;$AA$3),0)</f>
        <v>#VALUE!</v>
      </c>
      <c r="P158" s="34" t="e" cm="1">
        <f t="array" aca="1" ref="P158" ca="1">IF(AND(G158=INDIRECT("'["&amp;G158&amp;"]"&amp;E158&amp;"'!"&amp;$AH$2),OR(VALUE(I158)=INDIRECT("'["&amp;G158&amp;"]"&amp;E158&amp;"'!"&amp;$AB$2))),INDIRECT("'["&amp;G158&amp;"]"&amp;E158&amp;"'!"&amp;$AB$3),0)</f>
        <v>#VALUE!</v>
      </c>
      <c r="Q158" s="34" t="e" cm="1">
        <f t="array" aca="1" ref="Q158" ca="1">IF(AND(G158=INDIRECT("'["&amp;G158&amp;"]"&amp;E158&amp;"'!"&amp;$AH$2),OR(VALUE(I158)=INDIRECT("'["&amp;G158&amp;"]"&amp;E158&amp;"'!"&amp;$AC$2))),INDIRECT("'["&amp;G158&amp;"]"&amp;E158&amp;"'!"&amp;$AC$3),0)</f>
        <v>#VALUE!</v>
      </c>
      <c r="R158" s="34" t="e" cm="1">
        <f t="array" aca="1" ref="R158" ca="1">IF(AND(G158=INDIRECT("'["&amp;G158&amp;"]"&amp;E158&amp;"'!"&amp;$AH$2),OR(I158=INDIRECT("'["&amp;G158&amp;"]"&amp;E158&amp;"'!"&amp;$AD$2))),INDIRECT("'["&amp;G158&amp;"]"&amp;E158&amp;"'!"&amp;$AD$3),0)</f>
        <v>#VALUE!</v>
      </c>
      <c r="S158" s="34" t="e" cm="1">
        <f t="array" aca="1" ref="S158" ca="1">IF(AND(G158=INDIRECT("'["&amp;G158&amp;"]"&amp;E158&amp;"'!"&amp;$AH$2),OR(I158=INDIRECT("'["&amp;G158&amp;"]"&amp;E158&amp;"'!"&amp;$AE$2))),INDIRECT("'["&amp;G158&amp;"]"&amp;E158&amp;"'!"&amp;$AE$3),0)</f>
        <v>#VALUE!</v>
      </c>
      <c r="T158" s="35" t="e" cm="1">
        <f t="array" aca="1" ref="T158" ca="1">IF(AND(G158=INDIRECT("'["&amp;G158&amp;"]"&amp;E158&amp;"'!"&amp;$AH$2),OR(I158=INDIRECT("'["&amp;G158&amp;"]"&amp;E158&amp;"'!"&amp;$AF$2))),INDIRECT("'["&amp;G158&amp;"]"&amp;E158&amp;"'!"&amp;$AF$3),0)</f>
        <v>#VALUE!</v>
      </c>
      <c r="U158" s="34" t="e" cm="1">
        <f t="array" aca="1" ref="U158" ca="1">IF(AND(G158=INDIRECT("'["&amp;G158&amp;"]"&amp;E158&amp;"'!"&amp;$AH$2),OR(I158=INDIRECT("'["&amp;G158&amp;"]"&amp;E158&amp;"'!"&amp;$AG$2))),INDIRECT("'["&amp;G158&amp;"]"&amp;E158&amp;"'!"&amp;$AG$3),0)</f>
        <v>#VALUE!</v>
      </c>
      <c r="V158" s="25" t="str">
        <f t="shared" si="52"/>
        <v/>
      </c>
      <c r="W158" s="36" t="e" cm="1">
        <f t="array" aca="1" ref="W158" ca="1">IF(AND(G158=INDIRECT("'["&amp;G158&amp;"]"&amp;E158&amp;"'!"&amp;$AH$2),OR(V158=INDIRECT("'["&amp;G158&amp;"]"&amp;E158&amp;"'!"&amp;$AI$2))),INDIRECT("'["&amp;G158&amp;"]"&amp;E158&amp;"'!"&amp;$AI$3),0)</f>
        <v>#VALUE!</v>
      </c>
      <c r="AJ158" s="25">
        <v>1</v>
      </c>
      <c r="AK158" s="38">
        <f t="shared" ca="1" si="53"/>
        <v>0</v>
      </c>
      <c r="AL158" s="38">
        <f t="shared" ca="1" si="54"/>
        <v>0</v>
      </c>
      <c r="AM158" s="54" t="str">
        <f t="shared" ca="1" si="45"/>
        <v/>
      </c>
      <c r="AN158" s="25" t="e">
        <f t="shared" ca="1" si="55"/>
        <v>#VALUE!</v>
      </c>
      <c r="AO158" s="25" t="e">
        <f t="shared" ca="1" si="56"/>
        <v>#VALUE!</v>
      </c>
      <c r="AP158" s="39" t="str">
        <f t="shared" ca="1" si="46"/>
        <v/>
      </c>
      <c r="AQ158" s="46" t="str">
        <f ca="1">IF(AND(C158&lt;&gt;0, C159=0), SUM($C$2:C158)-SUM($AQ$1:AQ157), "")</f>
        <v/>
      </c>
      <c r="AR158" s="46" t="str">
        <f ca="1">IF(AND(AK158&lt;&gt;0, AK159=0), SUM($AK$2:AK158)-SUM($AR$1:AR157), "")</f>
        <v/>
      </c>
    </row>
    <row r="159" spans="1:44" ht="13.15" customHeight="1">
      <c r="A159" s="59"/>
      <c r="B159" s="68" t="str">
        <f t="shared" si="57"/>
        <v/>
      </c>
      <c r="C159" s="55" cm="1">
        <f t="array" aca="1" ref="C159" ca="1">SUM(IF(ISNUMBER(M159:U159),M159:U159,""))</f>
        <v>0</v>
      </c>
      <c r="D159" s="25" t="str">
        <f t="shared" si="43"/>
        <v/>
      </c>
      <c r="E159" s="25" t="e">
        <f t="shared" si="47"/>
        <v>#VALUE!</v>
      </c>
      <c r="F159" s="25" t="str">
        <f t="shared" si="42"/>
        <v/>
      </c>
      <c r="G159" s="25" t="str">
        <f t="shared" si="44"/>
        <v>.xlsx</v>
      </c>
      <c r="H159" s="29" t="e" cm="1">
        <f t="array" aca="1" ref="H159" ca="1">IF(AND(VALUE(E159)=INDIRECT("'["&amp;G159&amp;"]"&amp;E159&amp;"'!"&amp;$X$2),G159=INDIRECT("'["&amp;G159&amp;"]"&amp;E159&amp;"'!"&amp;$X$3)),INDIRECT("'["&amp;G159&amp;"]"&amp;E159&amp;"'!"&amp;$X$1),0)</f>
        <v>#VALUE!</v>
      </c>
      <c r="I159" s="25" t="str">
        <f t="shared" si="48"/>
        <v/>
      </c>
      <c r="J159" s="32" t="str">
        <f t="shared" si="49"/>
        <v/>
      </c>
      <c r="K159" s="25" t="str">
        <f t="shared" si="50"/>
        <v/>
      </c>
      <c r="L159" s="25" t="str">
        <f t="shared" si="51"/>
        <v/>
      </c>
      <c r="M159" s="33" t="e" cm="1">
        <f t="array" aca="1" ref="M159" ca="1">IF(AND(J159=INDIRECT("'["&amp;G159&amp;"]"&amp;E159&amp;"'!"&amp;$Y$2),G159=INDIRECT("'["&amp;G159&amp;"]"&amp;E159&amp;"'!"&amp;$AH$2)),INDIRECT("'["&amp;G159&amp;"]"&amp;E159&amp;"'!"&amp;$Y$3),0)</f>
        <v>#VALUE!</v>
      </c>
      <c r="N159" s="34" t="e" cm="1">
        <f t="array" aca="1" ref="N159" ca="1">IF(AND(G159=INDIRECT("'["&amp;G159&amp;"]"&amp;E159&amp;"'!"&amp;$AH$2),OR(K159=INDIRECT("'["&amp;G159&amp;"]"&amp;E159&amp;"'!"&amp;$Z$2))),INDIRECT("'["&amp;G159&amp;"]"&amp;E159&amp;"'!"&amp;$Z$3),0)</f>
        <v>#VALUE!</v>
      </c>
      <c r="O159" s="34" t="e" cm="1">
        <f t="array" aca="1" ref="O159" ca="1">IF(AND(G159=INDIRECT("'["&amp;G159&amp;"]"&amp;E159&amp;"'!"&amp;$AH$2),OR(L159=INDIRECT("'["&amp;G159&amp;"]"&amp;E159&amp;"'!"&amp;$AA$2))),INDIRECT("'["&amp;G159&amp;"]"&amp;E159&amp;"'!"&amp;$AA$3),0)</f>
        <v>#VALUE!</v>
      </c>
      <c r="P159" s="34" t="e" cm="1">
        <f t="array" aca="1" ref="P159" ca="1">IF(AND(G159=INDIRECT("'["&amp;G159&amp;"]"&amp;E159&amp;"'!"&amp;$AH$2),OR(VALUE(I159)=INDIRECT("'["&amp;G159&amp;"]"&amp;E159&amp;"'!"&amp;$AB$2))),INDIRECT("'["&amp;G159&amp;"]"&amp;E159&amp;"'!"&amp;$AB$3),0)</f>
        <v>#VALUE!</v>
      </c>
      <c r="Q159" s="34" t="e" cm="1">
        <f t="array" aca="1" ref="Q159" ca="1">IF(AND(G159=INDIRECT("'["&amp;G159&amp;"]"&amp;E159&amp;"'!"&amp;$AH$2),OR(VALUE(I159)=INDIRECT("'["&amp;G159&amp;"]"&amp;E159&amp;"'!"&amp;$AC$2))),INDIRECT("'["&amp;G159&amp;"]"&amp;E159&amp;"'!"&amp;$AC$3),0)</f>
        <v>#VALUE!</v>
      </c>
      <c r="R159" s="34" t="e" cm="1">
        <f t="array" aca="1" ref="R159" ca="1">IF(AND(G159=INDIRECT("'["&amp;G159&amp;"]"&amp;E159&amp;"'!"&amp;$AH$2),OR(I159=INDIRECT("'["&amp;G159&amp;"]"&amp;E159&amp;"'!"&amp;$AD$2))),INDIRECT("'["&amp;G159&amp;"]"&amp;E159&amp;"'!"&amp;$AD$3),0)</f>
        <v>#VALUE!</v>
      </c>
      <c r="S159" s="34" t="e" cm="1">
        <f t="array" aca="1" ref="S159" ca="1">IF(AND(G159=INDIRECT("'["&amp;G159&amp;"]"&amp;E159&amp;"'!"&amp;$AH$2),OR(I159=INDIRECT("'["&amp;G159&amp;"]"&amp;E159&amp;"'!"&amp;$AE$2))),INDIRECT("'["&amp;G159&amp;"]"&amp;E159&amp;"'!"&amp;$AE$3),0)</f>
        <v>#VALUE!</v>
      </c>
      <c r="T159" s="35" t="e" cm="1">
        <f t="array" aca="1" ref="T159" ca="1">IF(AND(G159=INDIRECT("'["&amp;G159&amp;"]"&amp;E159&amp;"'!"&amp;$AH$2),OR(I159=INDIRECT("'["&amp;G159&amp;"]"&amp;E159&amp;"'!"&amp;$AF$2))),INDIRECT("'["&amp;G159&amp;"]"&amp;E159&amp;"'!"&amp;$AF$3),0)</f>
        <v>#VALUE!</v>
      </c>
      <c r="U159" s="34" t="e" cm="1">
        <f t="array" aca="1" ref="U159" ca="1">IF(AND(G159=INDIRECT("'["&amp;G159&amp;"]"&amp;E159&amp;"'!"&amp;$AH$2),OR(I159=INDIRECT("'["&amp;G159&amp;"]"&amp;E159&amp;"'!"&amp;$AG$2))),INDIRECT("'["&amp;G159&amp;"]"&amp;E159&amp;"'!"&amp;$AG$3),0)</f>
        <v>#VALUE!</v>
      </c>
      <c r="V159" s="25" t="str">
        <f t="shared" si="52"/>
        <v/>
      </c>
      <c r="W159" s="36" t="e" cm="1">
        <f t="array" aca="1" ref="W159" ca="1">IF(AND(G159=INDIRECT("'["&amp;G159&amp;"]"&amp;E159&amp;"'!"&amp;$AH$2),OR(V159=INDIRECT("'["&amp;G159&amp;"]"&amp;E159&amp;"'!"&amp;$AI$2))),INDIRECT("'["&amp;G159&amp;"]"&amp;E159&amp;"'!"&amp;$AI$3),0)</f>
        <v>#VALUE!</v>
      </c>
      <c r="AJ159" s="25">
        <v>1</v>
      </c>
      <c r="AK159" s="38">
        <f t="shared" ca="1" si="53"/>
        <v>0</v>
      </c>
      <c r="AL159" s="38">
        <f t="shared" ca="1" si="54"/>
        <v>0</v>
      </c>
      <c r="AM159" s="54" t="str">
        <f t="shared" ca="1" si="45"/>
        <v/>
      </c>
      <c r="AN159" s="25" t="e">
        <f t="shared" ca="1" si="55"/>
        <v>#VALUE!</v>
      </c>
      <c r="AO159" s="25" t="e">
        <f t="shared" ca="1" si="56"/>
        <v>#VALUE!</v>
      </c>
      <c r="AP159" s="39" t="str">
        <f t="shared" ca="1" si="46"/>
        <v/>
      </c>
      <c r="AQ159" s="46" t="str">
        <f ca="1">IF(AND(C159&lt;&gt;0, C160=0), SUM($C$2:C159)-SUM($AQ$1:AQ158), "")</f>
        <v/>
      </c>
      <c r="AR159" s="46" t="str">
        <f ca="1">IF(AND(AK159&lt;&gt;0, AK160=0), SUM($AK$2:AK159)-SUM($AR$1:AR158), "")</f>
        <v/>
      </c>
    </row>
    <row r="160" spans="1:44" ht="13.15" customHeight="1">
      <c r="A160" s="59"/>
      <c r="B160" s="68" t="str">
        <f t="shared" si="57"/>
        <v/>
      </c>
      <c r="C160" s="55" cm="1">
        <f t="array" aca="1" ref="C160" ca="1">SUM(IF(ISNUMBER(M160:U160),M160:U160,""))</f>
        <v>0</v>
      </c>
      <c r="D160" s="25" t="str">
        <f t="shared" si="43"/>
        <v/>
      </c>
      <c r="E160" s="25" t="e">
        <f t="shared" si="47"/>
        <v>#VALUE!</v>
      </c>
      <c r="F160" s="25" t="str">
        <f t="shared" si="42"/>
        <v/>
      </c>
      <c r="G160" s="25" t="str">
        <f t="shared" si="44"/>
        <v>.xlsx</v>
      </c>
      <c r="H160" s="29" t="e" cm="1">
        <f t="array" aca="1" ref="H160" ca="1">IF(AND(VALUE(E160)=INDIRECT("'["&amp;G160&amp;"]"&amp;E160&amp;"'!"&amp;$X$2),G160=INDIRECT("'["&amp;G160&amp;"]"&amp;E160&amp;"'!"&amp;$X$3)),INDIRECT("'["&amp;G160&amp;"]"&amp;E160&amp;"'!"&amp;$X$1),0)</f>
        <v>#VALUE!</v>
      </c>
      <c r="I160" s="44" t="str">
        <f t="shared" si="48"/>
        <v/>
      </c>
      <c r="J160" s="32" t="str">
        <f t="shared" si="49"/>
        <v/>
      </c>
      <c r="K160" s="25" t="str">
        <f t="shared" si="50"/>
        <v/>
      </c>
      <c r="L160" s="25" t="str">
        <f t="shared" si="51"/>
        <v/>
      </c>
      <c r="M160" s="33" t="e" cm="1">
        <f t="array" aca="1" ref="M160" ca="1">IF(AND(J160=INDIRECT("'["&amp;G160&amp;"]"&amp;E160&amp;"'!"&amp;$Y$2),G160=INDIRECT("'["&amp;G160&amp;"]"&amp;E160&amp;"'!"&amp;$AH$2)),INDIRECT("'["&amp;G160&amp;"]"&amp;E160&amp;"'!"&amp;$Y$3),0)</f>
        <v>#VALUE!</v>
      </c>
      <c r="N160" s="34" t="e" cm="1">
        <f t="array" aca="1" ref="N160" ca="1">IF(AND(G160=INDIRECT("'["&amp;G160&amp;"]"&amp;E160&amp;"'!"&amp;$AH$2),OR(K160=INDIRECT("'["&amp;G160&amp;"]"&amp;E160&amp;"'!"&amp;$Z$2))),INDIRECT("'["&amp;G160&amp;"]"&amp;E160&amp;"'!"&amp;$Z$3),0)</f>
        <v>#VALUE!</v>
      </c>
      <c r="O160" s="34" t="e" cm="1">
        <f t="array" aca="1" ref="O160" ca="1">IF(AND(G160=INDIRECT("'["&amp;G160&amp;"]"&amp;E160&amp;"'!"&amp;$AH$2),OR(L160=INDIRECT("'["&amp;G160&amp;"]"&amp;E160&amp;"'!"&amp;$AA$2))),INDIRECT("'["&amp;G160&amp;"]"&amp;E160&amp;"'!"&amp;$AA$3),0)</f>
        <v>#VALUE!</v>
      </c>
      <c r="P160" s="34" t="e" cm="1">
        <f t="array" aca="1" ref="P160" ca="1">IF(AND(G160=INDIRECT("'["&amp;G160&amp;"]"&amp;E160&amp;"'!"&amp;$AH$2),OR(VALUE(I160)=INDIRECT("'["&amp;G160&amp;"]"&amp;E160&amp;"'!"&amp;$AB$2))),INDIRECT("'["&amp;G160&amp;"]"&amp;E160&amp;"'!"&amp;$AB$3),0)</f>
        <v>#VALUE!</v>
      </c>
      <c r="Q160" s="34" t="e" cm="1">
        <f t="array" aca="1" ref="Q160" ca="1">IF(AND(G160=INDIRECT("'["&amp;G160&amp;"]"&amp;E160&amp;"'!"&amp;$AH$2),OR(VALUE(I160)=INDIRECT("'["&amp;G160&amp;"]"&amp;E160&amp;"'!"&amp;$AC$2))),INDIRECT("'["&amp;G160&amp;"]"&amp;E160&amp;"'!"&amp;$AC$3),0)</f>
        <v>#VALUE!</v>
      </c>
      <c r="R160" s="34" t="e" cm="1">
        <f t="array" aca="1" ref="R160" ca="1">IF(AND(G160=INDIRECT("'["&amp;G160&amp;"]"&amp;E160&amp;"'!"&amp;$AH$2),OR(I160=INDIRECT("'["&amp;G160&amp;"]"&amp;E160&amp;"'!"&amp;$AD$2))),INDIRECT("'["&amp;G160&amp;"]"&amp;E160&amp;"'!"&amp;$AD$3),0)</f>
        <v>#VALUE!</v>
      </c>
      <c r="S160" s="34" t="e" cm="1">
        <f t="array" aca="1" ref="S160" ca="1">IF(AND(G160=INDIRECT("'["&amp;G160&amp;"]"&amp;E160&amp;"'!"&amp;$AH$2),OR(I160=INDIRECT("'["&amp;G160&amp;"]"&amp;E160&amp;"'!"&amp;$AE$2))),INDIRECT("'["&amp;G160&amp;"]"&amp;E160&amp;"'!"&amp;$AE$3),0)</f>
        <v>#VALUE!</v>
      </c>
      <c r="T160" s="35" t="e" cm="1">
        <f t="array" aca="1" ref="T160" ca="1">IF(AND(G160=INDIRECT("'["&amp;G160&amp;"]"&amp;E160&amp;"'!"&amp;$AH$2),OR(I160=INDIRECT("'["&amp;G160&amp;"]"&amp;E160&amp;"'!"&amp;$AF$2))),INDIRECT("'["&amp;G160&amp;"]"&amp;E160&amp;"'!"&amp;$AF$3),0)</f>
        <v>#VALUE!</v>
      </c>
      <c r="U160" s="34" t="e" cm="1">
        <f t="array" aca="1" ref="U160" ca="1">IF(AND(G160=INDIRECT("'["&amp;G160&amp;"]"&amp;E160&amp;"'!"&amp;$AH$2),OR(I160=INDIRECT("'["&amp;G160&amp;"]"&amp;E160&amp;"'!"&amp;$AG$2))),INDIRECT("'["&amp;G160&amp;"]"&amp;E160&amp;"'!"&amp;$AG$3),0)</f>
        <v>#VALUE!</v>
      </c>
      <c r="V160" s="25" t="str">
        <f t="shared" si="52"/>
        <v/>
      </c>
      <c r="W160" s="36" t="e" cm="1">
        <f t="array" aca="1" ref="W160" ca="1">IF(AND(G160=INDIRECT("'["&amp;G160&amp;"]"&amp;E160&amp;"'!"&amp;$AH$2),OR(V160=INDIRECT("'["&amp;G160&amp;"]"&amp;E160&amp;"'!"&amp;$AI$2))),INDIRECT("'["&amp;G160&amp;"]"&amp;E160&amp;"'!"&amp;$AI$3),0)</f>
        <v>#VALUE!</v>
      </c>
      <c r="AJ160" s="25">
        <v>1</v>
      </c>
      <c r="AK160" s="38">
        <f t="shared" ca="1" si="53"/>
        <v>0</v>
      </c>
      <c r="AL160" s="38">
        <f t="shared" ca="1" si="54"/>
        <v>0</v>
      </c>
      <c r="AM160" s="54" t="str">
        <f t="shared" ca="1" si="45"/>
        <v/>
      </c>
      <c r="AN160" s="25" t="e">
        <f t="shared" ca="1" si="55"/>
        <v>#VALUE!</v>
      </c>
      <c r="AO160" s="25" t="e">
        <f t="shared" ca="1" si="56"/>
        <v>#VALUE!</v>
      </c>
      <c r="AP160" s="39" t="str">
        <f t="shared" ca="1" si="46"/>
        <v/>
      </c>
      <c r="AQ160" s="46" t="str">
        <f ca="1">IF(AND(C160&lt;&gt;0, C161=0), SUM($C$2:C160)-SUM($AQ$1:AQ159), "")</f>
        <v/>
      </c>
      <c r="AR160" s="46" t="str">
        <f ca="1">IF(AND(AK160&lt;&gt;0, AK161=0), SUM($AK$2:AK160)-SUM($AR$1:AR159), "")</f>
        <v/>
      </c>
    </row>
    <row r="161" spans="1:44" ht="13.15" customHeight="1" thickBot="1">
      <c r="A161" s="31"/>
      <c r="B161" s="68" t="str">
        <f t="shared" si="57"/>
        <v/>
      </c>
      <c r="C161" s="55" cm="1">
        <f t="array" aca="1" ref="C161" ca="1">SUM(IF(ISNUMBER(M161:U161),M161:U161,""))</f>
        <v>0</v>
      </c>
      <c r="D161" s="26" t="str">
        <f t="shared" si="43"/>
        <v/>
      </c>
      <c r="E161" s="26" t="e">
        <f t="shared" si="47"/>
        <v>#VALUE!</v>
      </c>
      <c r="F161" s="26" t="str">
        <f t="shared" si="42"/>
        <v/>
      </c>
      <c r="G161" s="26" t="str">
        <f t="shared" si="44"/>
        <v>.xlsx</v>
      </c>
      <c r="H161" s="28" t="e" cm="1">
        <f t="array" aca="1" ref="H161" ca="1">IF(AND(VALUE(E161)=INDIRECT("'["&amp;G161&amp;"]"&amp;E161&amp;"'!"&amp;$X$2),G161=INDIRECT("'["&amp;G161&amp;"]"&amp;E161&amp;"'!"&amp;$X$3)),INDIRECT("'["&amp;G161&amp;"]"&amp;E161&amp;"'!"&amp;$X$1),0)</f>
        <v>#VALUE!</v>
      </c>
      <c r="I161" s="30" t="str">
        <f t="shared" si="48"/>
        <v/>
      </c>
      <c r="J161" s="45" t="str">
        <f t="shared" si="49"/>
        <v/>
      </c>
      <c r="K161" s="26" t="str">
        <f t="shared" si="50"/>
        <v/>
      </c>
      <c r="L161" s="26" t="str">
        <f t="shared" si="51"/>
        <v/>
      </c>
      <c r="M161" s="33" t="e" cm="1">
        <f t="array" aca="1" ref="M161" ca="1">IF(AND(J161=INDIRECT("'["&amp;G161&amp;"]"&amp;E161&amp;"'!"&amp;$Y$2),G161=INDIRECT("'["&amp;G161&amp;"]"&amp;E161&amp;"'!"&amp;$AH$2)),INDIRECT("'["&amp;G161&amp;"]"&amp;E161&amp;"'!"&amp;$Y$3),0)</f>
        <v>#VALUE!</v>
      </c>
      <c r="N161" s="34" t="e" cm="1">
        <f t="array" aca="1" ref="N161" ca="1">IF(AND(G161=INDIRECT("'["&amp;G161&amp;"]"&amp;E161&amp;"'!"&amp;$AH$2),OR(K161=INDIRECT("'["&amp;G161&amp;"]"&amp;E161&amp;"'!"&amp;$Z$2))),INDIRECT("'["&amp;G161&amp;"]"&amp;E161&amp;"'!"&amp;$Z$3),0)</f>
        <v>#VALUE!</v>
      </c>
      <c r="O161" s="34" t="e" cm="1">
        <f t="array" aca="1" ref="O161" ca="1">IF(AND(G161=INDIRECT("'["&amp;G161&amp;"]"&amp;E161&amp;"'!"&amp;$AH$2),OR(L161=INDIRECT("'["&amp;G161&amp;"]"&amp;E161&amp;"'!"&amp;$AA$2))),INDIRECT("'["&amp;G161&amp;"]"&amp;E161&amp;"'!"&amp;$AA$3),0)</f>
        <v>#VALUE!</v>
      </c>
      <c r="P161" s="34" t="e" cm="1">
        <f t="array" aca="1" ref="P161" ca="1">IF(AND(G161=INDIRECT("'["&amp;G161&amp;"]"&amp;E161&amp;"'!"&amp;$AH$2),OR(VALUE(I161)=INDIRECT("'["&amp;G161&amp;"]"&amp;E161&amp;"'!"&amp;$AB$2))),INDIRECT("'["&amp;G161&amp;"]"&amp;E161&amp;"'!"&amp;$AB$3),0)</f>
        <v>#VALUE!</v>
      </c>
      <c r="Q161" s="34" t="e" cm="1">
        <f t="array" aca="1" ref="Q161" ca="1">IF(AND(G161=INDIRECT("'["&amp;G161&amp;"]"&amp;E161&amp;"'!"&amp;$AH$2),OR(VALUE(I161)=INDIRECT("'["&amp;G161&amp;"]"&amp;E161&amp;"'!"&amp;$AC$2))),INDIRECT("'["&amp;G161&amp;"]"&amp;E161&amp;"'!"&amp;$AC$3),0)</f>
        <v>#VALUE!</v>
      </c>
      <c r="R161" s="34" t="e" cm="1">
        <f t="array" aca="1" ref="R161" ca="1">IF(AND(G161=INDIRECT("'["&amp;G161&amp;"]"&amp;E161&amp;"'!"&amp;$AH$2),OR(I161=INDIRECT("'["&amp;G161&amp;"]"&amp;E161&amp;"'!"&amp;$AD$2))),INDIRECT("'["&amp;G161&amp;"]"&amp;E161&amp;"'!"&amp;$AD$3),0)</f>
        <v>#VALUE!</v>
      </c>
      <c r="S161" s="34" t="e" cm="1">
        <f t="array" aca="1" ref="S161" ca="1">IF(AND(G161=INDIRECT("'["&amp;G161&amp;"]"&amp;E161&amp;"'!"&amp;$AH$2),OR(I161=INDIRECT("'["&amp;G161&amp;"]"&amp;E161&amp;"'!"&amp;$AE$2))),INDIRECT("'["&amp;G161&amp;"]"&amp;E161&amp;"'!"&amp;$AE$3),0)</f>
        <v>#VALUE!</v>
      </c>
      <c r="T161" s="35" t="e" cm="1">
        <f t="array" aca="1" ref="T161" ca="1">IF(AND(G161=INDIRECT("'["&amp;G161&amp;"]"&amp;E161&amp;"'!"&amp;$AH$2),OR(I161=INDIRECT("'["&amp;G161&amp;"]"&amp;E161&amp;"'!"&amp;$AF$2))),INDIRECT("'["&amp;G161&amp;"]"&amp;E161&amp;"'!"&amp;$AF$3),0)</f>
        <v>#VALUE!</v>
      </c>
      <c r="U161" s="34" t="e" cm="1">
        <f t="array" aca="1" ref="U161" ca="1">IF(AND(G161=INDIRECT("'["&amp;G161&amp;"]"&amp;E161&amp;"'!"&amp;$AH$2),OR(I161=INDIRECT("'["&amp;G161&amp;"]"&amp;E161&amp;"'!"&amp;$AG$2))),INDIRECT("'["&amp;G161&amp;"]"&amp;E161&amp;"'!"&amp;$AG$3),0)</f>
        <v>#VALUE!</v>
      </c>
      <c r="V161" s="25" t="str">
        <f t="shared" si="52"/>
        <v/>
      </c>
      <c r="W161" s="36" t="e" cm="1">
        <f t="array" aca="1" ref="W161" ca="1">IF(AND(G161=INDIRECT("'["&amp;G161&amp;"]"&amp;E161&amp;"'!"&amp;$AH$2),OR(V161=INDIRECT("'["&amp;G161&amp;"]"&amp;E161&amp;"'!"&amp;$AI$2))),INDIRECT("'["&amp;G161&amp;"]"&amp;E161&amp;"'!"&amp;$AI$3),0)</f>
        <v>#VALUE!</v>
      </c>
      <c r="AI161" s="38"/>
      <c r="AJ161" s="25">
        <v>1</v>
      </c>
      <c r="AK161" s="38">
        <f t="shared" ca="1" si="53"/>
        <v>0</v>
      </c>
      <c r="AL161" s="38">
        <f t="shared" ca="1" si="54"/>
        <v>0</v>
      </c>
      <c r="AM161" s="54" t="str">
        <f t="shared" ca="1" si="45"/>
        <v/>
      </c>
      <c r="AN161" s="25" t="e">
        <f t="shared" ca="1" si="55"/>
        <v>#VALUE!</v>
      </c>
      <c r="AO161" s="25" t="e">
        <f t="shared" ca="1" si="56"/>
        <v>#VALUE!</v>
      </c>
      <c r="AP161" s="39" t="str">
        <f t="shared" ca="1" si="46"/>
        <v/>
      </c>
      <c r="AQ161" s="46" t="str">
        <f ca="1">IF(AND(C161&lt;&gt;0, C162=0), SUM($C$2:C161)-SUM($AQ$1:AQ160), "")</f>
        <v/>
      </c>
      <c r="AR161" s="46" t="str">
        <f ca="1">IF(AND(AK161&lt;&gt;0, AK162=0), SUM($AK$2:AK161)-SUM($AR$1:AR160), "")</f>
        <v/>
      </c>
    </row>
    <row r="162" spans="1:44" ht="13.15" customHeight="1">
      <c r="A162" s="31"/>
      <c r="B162" s="68" t="str">
        <f>LEFT(A162,15)</f>
        <v/>
      </c>
      <c r="C162" s="55" cm="1">
        <f t="array" aca="1" ref="C162" ca="1">SUM(IF(ISNUMBER(M162:U162),M162:U162,""))</f>
        <v>0</v>
      </c>
      <c r="D162" s="25" t="str">
        <f>MID(A162,4,2)</f>
        <v/>
      </c>
      <c r="E162" s="25" t="e">
        <f t="shared" si="47"/>
        <v>#VALUE!</v>
      </c>
      <c r="F162" s="25" t="str">
        <f>LEFT(A162,2)</f>
        <v/>
      </c>
      <c r="G162" s="25" t="str">
        <f t="shared" si="44"/>
        <v>.xlsx</v>
      </c>
      <c r="H162" s="29" t="e" cm="1">
        <f t="array" aca="1" ref="H162" ca="1">IF(AND(VALUE(E162)=INDIRECT("'["&amp;G162&amp;"]"&amp;E162&amp;"'!"&amp;$X$2),G162=INDIRECT("'["&amp;G162&amp;"]"&amp;E162&amp;"'!"&amp;$X$3)),INDIRECT("'["&amp;G162&amp;"]"&amp;E162&amp;"'!"&amp;$X$1),0)</f>
        <v>#VALUE!</v>
      </c>
      <c r="I162" s="25" t="str">
        <f>MID(A162,10,6)</f>
        <v/>
      </c>
      <c r="J162" s="32" t="str">
        <f t="shared" si="49"/>
        <v/>
      </c>
      <c r="K162" s="25" t="str">
        <f t="shared" si="50"/>
        <v/>
      </c>
      <c r="L162" s="25" t="str">
        <f t="shared" si="51"/>
        <v/>
      </c>
      <c r="M162" s="33" t="e" cm="1">
        <f t="array" aca="1" ref="M162" ca="1">IF(AND(J162=INDIRECT("'["&amp;G162&amp;"]"&amp;E162&amp;"'!"&amp;$Y$2),G162=INDIRECT("'["&amp;G162&amp;"]"&amp;E162&amp;"'!"&amp;$AH$2)),INDIRECT("'["&amp;G162&amp;"]"&amp;E162&amp;"'!"&amp;$Y$3),0)</f>
        <v>#VALUE!</v>
      </c>
      <c r="N162" s="34" t="e" cm="1">
        <f t="array" aca="1" ref="N162" ca="1">IF(AND(G162=INDIRECT("'["&amp;G162&amp;"]"&amp;E162&amp;"'!"&amp;$AH$2),OR(K162=INDIRECT("'["&amp;G162&amp;"]"&amp;E162&amp;"'!"&amp;$Z$2))),INDIRECT("'["&amp;G162&amp;"]"&amp;E162&amp;"'!"&amp;$Z$3),0)</f>
        <v>#VALUE!</v>
      </c>
      <c r="O162" s="34" t="e" cm="1">
        <f t="array" aca="1" ref="O162" ca="1">IF(AND(G162=INDIRECT("'["&amp;G162&amp;"]"&amp;E162&amp;"'!"&amp;$AH$2),OR(L162=INDIRECT("'["&amp;G162&amp;"]"&amp;E162&amp;"'!"&amp;$AA$2))),INDIRECT("'["&amp;G162&amp;"]"&amp;E162&amp;"'!"&amp;$AA$3),0)</f>
        <v>#VALUE!</v>
      </c>
      <c r="P162" s="34" t="e" cm="1">
        <f t="array" aca="1" ref="P162" ca="1">IF(AND(G162=INDIRECT("'["&amp;G162&amp;"]"&amp;E162&amp;"'!"&amp;$AH$2),OR(VALUE(I162)=INDIRECT("'["&amp;G162&amp;"]"&amp;E162&amp;"'!"&amp;$AB$2))),INDIRECT("'["&amp;G162&amp;"]"&amp;E162&amp;"'!"&amp;$AB$3),0)</f>
        <v>#VALUE!</v>
      </c>
      <c r="Q162" s="34" t="e" cm="1">
        <f t="array" aca="1" ref="Q162" ca="1">IF(AND(G162=INDIRECT("'["&amp;G162&amp;"]"&amp;E162&amp;"'!"&amp;$AH$2),OR(VALUE(I162)=INDIRECT("'["&amp;G162&amp;"]"&amp;E162&amp;"'!"&amp;$AC$2))),INDIRECT("'["&amp;G162&amp;"]"&amp;E162&amp;"'!"&amp;$AC$3),0)</f>
        <v>#VALUE!</v>
      </c>
      <c r="R162" s="34" t="e" cm="1">
        <f t="array" aca="1" ref="R162" ca="1">IF(AND(G162=INDIRECT("'["&amp;G162&amp;"]"&amp;E162&amp;"'!"&amp;$AH$2),OR(I162=INDIRECT("'["&amp;G162&amp;"]"&amp;E162&amp;"'!"&amp;$AD$2))),INDIRECT("'["&amp;G162&amp;"]"&amp;E162&amp;"'!"&amp;$AD$3),0)</f>
        <v>#VALUE!</v>
      </c>
      <c r="S162" s="34" t="e" cm="1">
        <f t="array" aca="1" ref="S162" ca="1">IF(AND(G162=INDIRECT("'["&amp;G162&amp;"]"&amp;E162&amp;"'!"&amp;$AH$2),OR(I162=INDIRECT("'["&amp;G162&amp;"]"&amp;E162&amp;"'!"&amp;$AE$2))),INDIRECT("'["&amp;G162&amp;"]"&amp;E162&amp;"'!"&amp;$AE$3),0)</f>
        <v>#VALUE!</v>
      </c>
      <c r="T162" s="35" t="e" cm="1">
        <f t="array" aca="1" ref="T162" ca="1">IF(AND(G162=INDIRECT("'["&amp;G162&amp;"]"&amp;E162&amp;"'!"&amp;$AH$2),OR(I162=INDIRECT("'["&amp;G162&amp;"]"&amp;E162&amp;"'!"&amp;$AF$2))),INDIRECT("'["&amp;G162&amp;"]"&amp;E162&amp;"'!"&amp;$AF$3),0)</f>
        <v>#VALUE!</v>
      </c>
      <c r="U162" s="34" t="e" cm="1">
        <f t="array" aca="1" ref="U162" ca="1">IF(AND(G162=INDIRECT("'["&amp;G162&amp;"]"&amp;E162&amp;"'!"&amp;$AH$2),OR(I162=INDIRECT("'["&amp;G162&amp;"]"&amp;E162&amp;"'!"&amp;$AG$2))),INDIRECT("'["&amp;G162&amp;"]"&amp;E162&amp;"'!"&amp;$AG$3),0)</f>
        <v>#VALUE!</v>
      </c>
      <c r="V162" s="25" t="str">
        <f>MID(B162,7,9)</f>
        <v/>
      </c>
      <c r="W162" s="36" t="e" cm="1">
        <f t="array" aca="1" ref="W162" ca="1">IF(AND(G162=INDIRECT("'["&amp;G162&amp;"]"&amp;E162&amp;"'!"&amp;$AH$2),OR(V162=INDIRECT("'["&amp;G162&amp;"]"&amp;E162&amp;"'!"&amp;$AI$2))),INDIRECT("'["&amp;G162&amp;"]"&amp;E162&amp;"'!"&amp;$AI$3),0)</f>
        <v>#VALUE!</v>
      </c>
      <c r="X162" s="27"/>
      <c r="Y162" s="27"/>
      <c r="Z162" s="27"/>
      <c r="AJ162" s="25">
        <v>1</v>
      </c>
      <c r="AK162" s="38">
        <f t="shared" ca="1" si="53"/>
        <v>0</v>
      </c>
      <c r="AL162" s="38">
        <f t="shared" ca="1" si="54"/>
        <v>0</v>
      </c>
      <c r="AM162" s="54" t="str">
        <f t="shared" ca="1" si="45"/>
        <v/>
      </c>
      <c r="AN162" s="25" t="e">
        <f t="shared" ca="1" si="55"/>
        <v>#VALUE!</v>
      </c>
      <c r="AO162" s="25" t="e">
        <f t="shared" ca="1" si="56"/>
        <v>#VALUE!</v>
      </c>
      <c r="AP162" s="39" t="str">
        <f t="shared" ca="1" si="46"/>
        <v/>
      </c>
      <c r="AQ162" s="46" t="str">
        <f ca="1">IF(AND(C162&lt;&gt;0, C163=0), SUM($C$2:C162)-SUM($AQ$1:AQ161), "")</f>
        <v/>
      </c>
      <c r="AR162" s="46" t="str">
        <f ca="1">IF(AND(AK162&lt;&gt;0, AK163=0), SUM($AK$2:AK162)-SUM($AR$1:AR161), "")</f>
        <v/>
      </c>
    </row>
    <row r="163" spans="1:44" ht="13.15" customHeight="1">
      <c r="A163" s="31"/>
      <c r="B163" s="68" t="str">
        <f>LEFT(A163,15)</f>
        <v/>
      </c>
      <c r="C163" s="55" cm="1">
        <f t="array" aca="1" ref="C163" ca="1">SUM(IF(ISNUMBER(M163:U163),M163:U163,""))</f>
        <v>0</v>
      </c>
      <c r="D163" s="25" t="str">
        <f t="shared" ref="D163:D193" si="58">MID(A163,4,2)</f>
        <v/>
      </c>
      <c r="E163" s="25" t="e">
        <f t="shared" si="47"/>
        <v>#VALUE!</v>
      </c>
      <c r="F163" s="25" t="str">
        <f t="shared" ref="F163:F193" si="59">LEFT(A163,2)</f>
        <v/>
      </c>
      <c r="G163" s="25" t="str">
        <f t="shared" si="44"/>
        <v>.xlsx</v>
      </c>
      <c r="H163" s="29" t="e" cm="1">
        <f t="array" aca="1" ref="H163" ca="1">IF(AND(VALUE(E163)=INDIRECT("'["&amp;G163&amp;"]"&amp;E163&amp;"'!"&amp;$X$2),G163=INDIRECT("'["&amp;G163&amp;"]"&amp;E163&amp;"'!"&amp;$X$3)),INDIRECT("'["&amp;G163&amp;"]"&amp;E163&amp;"'!"&amp;$X$1),0)</f>
        <v>#VALUE!</v>
      </c>
      <c r="I163" s="25" t="str">
        <f t="shared" si="48"/>
        <v/>
      </c>
      <c r="J163" s="32" t="str">
        <f t="shared" si="49"/>
        <v/>
      </c>
      <c r="K163" s="25" t="str">
        <f t="shared" si="50"/>
        <v/>
      </c>
      <c r="L163" s="25" t="str">
        <f t="shared" si="51"/>
        <v/>
      </c>
      <c r="M163" s="33" t="e" cm="1">
        <f t="array" aca="1" ref="M163" ca="1">IF(AND(J163=INDIRECT("'["&amp;G163&amp;"]"&amp;E163&amp;"'!"&amp;$Y$2),G163=INDIRECT("'["&amp;G163&amp;"]"&amp;E163&amp;"'!"&amp;$AH$2)),INDIRECT("'["&amp;G163&amp;"]"&amp;E163&amp;"'!"&amp;$Y$3),0)</f>
        <v>#VALUE!</v>
      </c>
      <c r="N163" s="34" t="e" cm="1">
        <f t="array" aca="1" ref="N163" ca="1">IF(AND(G163=INDIRECT("'["&amp;G163&amp;"]"&amp;E163&amp;"'!"&amp;$AH$2),OR(K163=INDIRECT("'["&amp;G163&amp;"]"&amp;E163&amp;"'!"&amp;$Z$2))),INDIRECT("'["&amp;G163&amp;"]"&amp;E163&amp;"'!"&amp;$Z$3),0)</f>
        <v>#VALUE!</v>
      </c>
      <c r="O163" s="34" t="e" cm="1">
        <f t="array" aca="1" ref="O163" ca="1">IF(AND(G163=INDIRECT("'["&amp;G163&amp;"]"&amp;E163&amp;"'!"&amp;$AH$2),OR(L163=INDIRECT("'["&amp;G163&amp;"]"&amp;E163&amp;"'!"&amp;$AA$2))),INDIRECT("'["&amp;G163&amp;"]"&amp;E163&amp;"'!"&amp;$AA$3),0)</f>
        <v>#VALUE!</v>
      </c>
      <c r="P163" s="34" t="e" cm="1">
        <f t="array" aca="1" ref="P163" ca="1">IF(AND(G163=INDIRECT("'["&amp;G163&amp;"]"&amp;E163&amp;"'!"&amp;$AH$2),OR(VALUE(I163)=INDIRECT("'["&amp;G163&amp;"]"&amp;E163&amp;"'!"&amp;$AB$2))),INDIRECT("'["&amp;G163&amp;"]"&amp;E163&amp;"'!"&amp;$AB$3),0)</f>
        <v>#VALUE!</v>
      </c>
      <c r="Q163" s="34" t="e" cm="1">
        <f t="array" aca="1" ref="Q163" ca="1">IF(AND(G163=INDIRECT("'["&amp;G163&amp;"]"&amp;E163&amp;"'!"&amp;$AH$2),OR(VALUE(I163)=INDIRECT("'["&amp;G163&amp;"]"&amp;E163&amp;"'!"&amp;$AC$2))),INDIRECT("'["&amp;G163&amp;"]"&amp;E163&amp;"'!"&amp;$AC$3),0)</f>
        <v>#VALUE!</v>
      </c>
      <c r="R163" s="34" t="e" cm="1">
        <f t="array" aca="1" ref="R163" ca="1">IF(AND(G163=INDIRECT("'["&amp;G163&amp;"]"&amp;E163&amp;"'!"&amp;$AH$2),OR(I163=INDIRECT("'["&amp;G163&amp;"]"&amp;E163&amp;"'!"&amp;$AD$2))),INDIRECT("'["&amp;G163&amp;"]"&amp;E163&amp;"'!"&amp;$AD$3),0)</f>
        <v>#VALUE!</v>
      </c>
      <c r="S163" s="34" t="e" cm="1">
        <f t="array" aca="1" ref="S163" ca="1">IF(AND(G163=INDIRECT("'["&amp;G163&amp;"]"&amp;E163&amp;"'!"&amp;$AH$2),OR(I163=INDIRECT("'["&amp;G163&amp;"]"&amp;E163&amp;"'!"&amp;$AE$2))),INDIRECT("'["&amp;G163&amp;"]"&amp;E163&amp;"'!"&amp;$AE$3),0)</f>
        <v>#VALUE!</v>
      </c>
      <c r="T163" s="35" t="e" cm="1">
        <f t="array" aca="1" ref="T163" ca="1">IF(AND(G163=INDIRECT("'["&amp;G163&amp;"]"&amp;E163&amp;"'!"&amp;$AH$2),OR(I163=INDIRECT("'["&amp;G163&amp;"]"&amp;E163&amp;"'!"&amp;$AF$2))),INDIRECT("'["&amp;G163&amp;"]"&amp;E163&amp;"'!"&amp;$AF$3),0)</f>
        <v>#VALUE!</v>
      </c>
      <c r="U163" s="34" t="e" cm="1">
        <f t="array" aca="1" ref="U163" ca="1">IF(AND(G163=INDIRECT("'["&amp;G163&amp;"]"&amp;E163&amp;"'!"&amp;$AH$2),OR(I163=INDIRECT("'["&amp;G163&amp;"]"&amp;E163&amp;"'!"&amp;$AG$2))),INDIRECT("'["&amp;G163&amp;"]"&amp;E163&amp;"'!"&amp;$AG$3),0)</f>
        <v>#VALUE!</v>
      </c>
      <c r="V163" s="25" t="str">
        <f t="shared" si="52"/>
        <v/>
      </c>
      <c r="W163" s="36" t="e" cm="1">
        <f t="array" aca="1" ref="W163" ca="1">IF(AND(G163=INDIRECT("'["&amp;G163&amp;"]"&amp;E163&amp;"'!"&amp;$AH$2),OR(V163=INDIRECT("'["&amp;G163&amp;"]"&amp;E163&amp;"'!"&amp;$AI$2))),INDIRECT("'["&amp;G163&amp;"]"&amp;E163&amp;"'!"&amp;$AI$3),0)</f>
        <v>#VALUE!</v>
      </c>
      <c r="AI163" s="47"/>
      <c r="AJ163" s="25">
        <v>1</v>
      </c>
      <c r="AK163" s="38">
        <f t="shared" ca="1" si="53"/>
        <v>0</v>
      </c>
      <c r="AL163" s="38">
        <f t="shared" ca="1" si="54"/>
        <v>0</v>
      </c>
      <c r="AM163" s="54" t="str">
        <f t="shared" ca="1" si="45"/>
        <v/>
      </c>
      <c r="AN163" s="25" t="e">
        <f t="shared" ca="1" si="55"/>
        <v>#VALUE!</v>
      </c>
      <c r="AO163" s="25" t="e">
        <f t="shared" ca="1" si="56"/>
        <v>#VALUE!</v>
      </c>
      <c r="AP163" s="39" t="str">
        <f t="shared" ca="1" si="46"/>
        <v/>
      </c>
      <c r="AQ163" s="46" t="str">
        <f ca="1">IF(AND(C163&lt;&gt;0, C164=0), SUM($C$2:C163)-SUM($AQ$1:AQ162), "")</f>
        <v/>
      </c>
      <c r="AR163" s="46" t="str">
        <f ca="1">IF(AND(AK163&lt;&gt;0, AK164=0), SUM($AK$2:AK163)-SUM($AR$1:AR162), "")</f>
        <v/>
      </c>
    </row>
    <row r="164" spans="1:44" ht="13.15" customHeight="1">
      <c r="A164" s="63"/>
      <c r="B164" s="68" t="str">
        <f>LEFT(A164,15)</f>
        <v/>
      </c>
      <c r="C164" s="55" cm="1">
        <f t="array" aca="1" ref="C164" ca="1">SUM(IF(ISNUMBER(M164:U164),M164:U164,""))</f>
        <v>0</v>
      </c>
      <c r="D164" s="25" t="str">
        <f t="shared" si="58"/>
        <v/>
      </c>
      <c r="E164" s="25" t="e">
        <f t="shared" si="47"/>
        <v>#VALUE!</v>
      </c>
      <c r="F164" s="25" t="str">
        <f t="shared" si="59"/>
        <v/>
      </c>
      <c r="G164" s="25" t="str">
        <f t="shared" si="44"/>
        <v>.xlsx</v>
      </c>
      <c r="H164" s="29" t="e" cm="1">
        <f t="array" aca="1" ref="H164" ca="1">IF(AND(VALUE(E164)=INDIRECT("'["&amp;G164&amp;"]"&amp;E164&amp;"'!"&amp;$X$2),G164=INDIRECT("'["&amp;G164&amp;"]"&amp;E164&amp;"'!"&amp;$X$3)),INDIRECT("'["&amp;G164&amp;"]"&amp;E164&amp;"'!"&amp;$X$1),0)</f>
        <v>#VALUE!</v>
      </c>
      <c r="I164" s="25" t="str">
        <f t="shared" si="48"/>
        <v/>
      </c>
      <c r="J164" s="32" t="str">
        <f t="shared" si="49"/>
        <v/>
      </c>
      <c r="K164" s="25" t="str">
        <f t="shared" si="50"/>
        <v/>
      </c>
      <c r="L164" s="25" t="str">
        <f t="shared" si="51"/>
        <v/>
      </c>
      <c r="M164" s="33" t="e" cm="1">
        <f t="array" aca="1" ref="M164" ca="1">IF(AND(J164=INDIRECT("'["&amp;G164&amp;"]"&amp;E164&amp;"'!"&amp;$Y$2),G164=INDIRECT("'["&amp;G164&amp;"]"&amp;E164&amp;"'!"&amp;$AH$2)),INDIRECT("'["&amp;G164&amp;"]"&amp;E164&amp;"'!"&amp;$Y$3),0)</f>
        <v>#VALUE!</v>
      </c>
      <c r="N164" s="34" t="e" cm="1">
        <f t="array" aca="1" ref="N164" ca="1">IF(AND(G164=INDIRECT("'["&amp;G164&amp;"]"&amp;E164&amp;"'!"&amp;$AH$2),OR(K164=INDIRECT("'["&amp;G164&amp;"]"&amp;E164&amp;"'!"&amp;$Z$2))),INDIRECT("'["&amp;G164&amp;"]"&amp;E164&amp;"'!"&amp;$Z$3),0)</f>
        <v>#VALUE!</v>
      </c>
      <c r="O164" s="34" t="e" cm="1">
        <f t="array" aca="1" ref="O164" ca="1">IF(AND(G164=INDIRECT("'["&amp;G164&amp;"]"&amp;E164&amp;"'!"&amp;$AH$2),OR(L164=INDIRECT("'["&amp;G164&amp;"]"&amp;E164&amp;"'!"&amp;$AA$2))),INDIRECT("'["&amp;G164&amp;"]"&amp;E164&amp;"'!"&amp;$AA$3),0)</f>
        <v>#VALUE!</v>
      </c>
      <c r="P164" s="34" t="e" cm="1">
        <f t="array" aca="1" ref="P164" ca="1">IF(AND(G164=INDIRECT("'["&amp;G164&amp;"]"&amp;E164&amp;"'!"&amp;$AH$2),OR(VALUE(I164)=INDIRECT("'["&amp;G164&amp;"]"&amp;E164&amp;"'!"&amp;$AB$2))),INDIRECT("'["&amp;G164&amp;"]"&amp;E164&amp;"'!"&amp;$AB$3),0)</f>
        <v>#VALUE!</v>
      </c>
      <c r="Q164" s="34" t="e" cm="1">
        <f t="array" aca="1" ref="Q164" ca="1">IF(AND(G164=INDIRECT("'["&amp;G164&amp;"]"&amp;E164&amp;"'!"&amp;$AH$2),OR(VALUE(I164)=INDIRECT("'["&amp;G164&amp;"]"&amp;E164&amp;"'!"&amp;$AC$2))),INDIRECT("'["&amp;G164&amp;"]"&amp;E164&amp;"'!"&amp;$AC$3),0)</f>
        <v>#VALUE!</v>
      </c>
      <c r="R164" s="34" t="e" cm="1">
        <f t="array" aca="1" ref="R164" ca="1">IF(AND(G164=INDIRECT("'["&amp;G164&amp;"]"&amp;E164&amp;"'!"&amp;$AH$2),OR(I164=INDIRECT("'["&amp;G164&amp;"]"&amp;E164&amp;"'!"&amp;$AD$2))),INDIRECT("'["&amp;G164&amp;"]"&amp;E164&amp;"'!"&amp;$AD$3),0)</f>
        <v>#VALUE!</v>
      </c>
      <c r="S164" s="34" t="e" cm="1">
        <f t="array" aca="1" ref="S164" ca="1">IF(AND(G164=INDIRECT("'["&amp;G164&amp;"]"&amp;E164&amp;"'!"&amp;$AH$2),OR(I164=INDIRECT("'["&amp;G164&amp;"]"&amp;E164&amp;"'!"&amp;$AE$2))),INDIRECT("'["&amp;G164&amp;"]"&amp;E164&amp;"'!"&amp;$AE$3),0)</f>
        <v>#VALUE!</v>
      </c>
      <c r="T164" s="35" t="e" cm="1">
        <f t="array" aca="1" ref="T164" ca="1">IF(AND(G164=INDIRECT("'["&amp;G164&amp;"]"&amp;E164&amp;"'!"&amp;$AH$2),OR(I164=INDIRECT("'["&amp;G164&amp;"]"&amp;E164&amp;"'!"&amp;$AF$2))),INDIRECT("'["&amp;G164&amp;"]"&amp;E164&amp;"'!"&amp;$AF$3),0)</f>
        <v>#VALUE!</v>
      </c>
      <c r="U164" s="34" t="e" cm="1">
        <f t="array" aca="1" ref="U164" ca="1">IF(AND(G164=INDIRECT("'["&amp;G164&amp;"]"&amp;E164&amp;"'!"&amp;$AH$2),OR(I164=INDIRECT("'["&amp;G164&amp;"]"&amp;E164&amp;"'!"&amp;$AG$2))),INDIRECT("'["&amp;G164&amp;"]"&amp;E164&amp;"'!"&amp;$AG$3),0)</f>
        <v>#VALUE!</v>
      </c>
      <c r="V164" s="25" t="str">
        <f t="shared" si="52"/>
        <v/>
      </c>
      <c r="W164" s="36" t="e" cm="1">
        <f t="array" aca="1" ref="W164" ca="1">IF(AND(G164=INDIRECT("'["&amp;G164&amp;"]"&amp;E164&amp;"'!"&amp;$AH$2),OR(V164=INDIRECT("'["&amp;G164&amp;"]"&amp;E164&amp;"'!"&amp;$AI$2))),INDIRECT("'["&amp;G164&amp;"]"&amp;E164&amp;"'!"&amp;$AI$3),0)</f>
        <v>#VALUE!</v>
      </c>
      <c r="AJ164" s="25">
        <v>1</v>
      </c>
      <c r="AK164" s="38">
        <f t="shared" ca="1" si="53"/>
        <v>0</v>
      </c>
      <c r="AL164" s="38">
        <f t="shared" ca="1" si="54"/>
        <v>0</v>
      </c>
      <c r="AM164" s="54" t="str">
        <f t="shared" ca="1" si="45"/>
        <v/>
      </c>
      <c r="AN164" s="25" t="e">
        <f t="shared" ca="1" si="55"/>
        <v>#VALUE!</v>
      </c>
      <c r="AO164" s="25" t="e">
        <f t="shared" ca="1" si="56"/>
        <v>#VALUE!</v>
      </c>
      <c r="AP164" s="39" t="str">
        <f t="shared" ca="1" si="46"/>
        <v/>
      </c>
      <c r="AQ164" s="46" t="str">
        <f ca="1">IF(AND(C164&lt;&gt;0, C165=0), SUM($C$2:C164)-SUM($AQ$1:AQ163), "")</f>
        <v/>
      </c>
      <c r="AR164" s="46" t="str">
        <f ca="1">IF(AND(AK164&lt;&gt;0, AK165=0), SUM($AK$2:AK164)-SUM($AR$1:AR163), "")</f>
        <v/>
      </c>
    </row>
    <row r="165" spans="1:44" ht="13.15" customHeight="1">
      <c r="A165" s="63"/>
      <c r="B165" s="68" t="str">
        <f t="shared" ref="B165:B228" si="60">LEFT(A165,15)</f>
        <v/>
      </c>
      <c r="C165" s="55" cm="1">
        <f t="array" aca="1" ref="C165" ca="1">SUM(IF(ISNUMBER(M165:U165),M165:U165,""))</f>
        <v>0</v>
      </c>
      <c r="D165" s="25" t="str">
        <f t="shared" si="58"/>
        <v/>
      </c>
      <c r="E165" s="25" t="e">
        <f t="shared" si="47"/>
        <v>#VALUE!</v>
      </c>
      <c r="F165" s="25" t="str">
        <f t="shared" si="59"/>
        <v/>
      </c>
      <c r="G165" s="25" t="str">
        <f t="shared" si="44"/>
        <v>.xlsx</v>
      </c>
      <c r="H165" s="29" t="e" cm="1">
        <f t="array" aca="1" ref="H165" ca="1">IF(AND(VALUE(E165)=INDIRECT("'["&amp;G165&amp;"]"&amp;E165&amp;"'!"&amp;$X$2),G165=INDIRECT("'["&amp;G165&amp;"]"&amp;E165&amp;"'!"&amp;$X$3)),INDIRECT("'["&amp;G165&amp;"]"&amp;E165&amp;"'!"&amp;$X$1),0)</f>
        <v>#VALUE!</v>
      </c>
      <c r="I165" s="25" t="str">
        <f t="shared" si="48"/>
        <v/>
      </c>
      <c r="J165" s="32" t="str">
        <f t="shared" si="49"/>
        <v/>
      </c>
      <c r="K165" s="25" t="str">
        <f t="shared" si="50"/>
        <v/>
      </c>
      <c r="L165" s="25" t="str">
        <f t="shared" si="51"/>
        <v/>
      </c>
      <c r="M165" s="33" t="e" cm="1">
        <f t="array" aca="1" ref="M165" ca="1">IF(AND(J165=INDIRECT("'["&amp;G165&amp;"]"&amp;E165&amp;"'!"&amp;$Y$2),G165=INDIRECT("'["&amp;G165&amp;"]"&amp;E165&amp;"'!"&amp;$AH$2)),INDIRECT("'["&amp;G165&amp;"]"&amp;E165&amp;"'!"&amp;$Y$3),0)</f>
        <v>#VALUE!</v>
      </c>
      <c r="N165" s="34" t="e" cm="1">
        <f t="array" aca="1" ref="N165" ca="1">IF(AND(G165=INDIRECT("'["&amp;G165&amp;"]"&amp;E165&amp;"'!"&amp;$AH$2),OR(K165=INDIRECT("'["&amp;G165&amp;"]"&amp;E165&amp;"'!"&amp;$Z$2))),INDIRECT("'["&amp;G165&amp;"]"&amp;E165&amp;"'!"&amp;$Z$3),0)</f>
        <v>#VALUE!</v>
      </c>
      <c r="O165" s="34" t="e" cm="1">
        <f t="array" aca="1" ref="O165" ca="1">IF(AND(G165=INDIRECT("'["&amp;G165&amp;"]"&amp;E165&amp;"'!"&amp;$AH$2),OR(L165=INDIRECT("'["&amp;G165&amp;"]"&amp;E165&amp;"'!"&amp;$AA$2))),INDIRECT("'["&amp;G165&amp;"]"&amp;E165&amp;"'!"&amp;$AA$3),0)</f>
        <v>#VALUE!</v>
      </c>
      <c r="P165" s="34" t="e" cm="1">
        <f t="array" aca="1" ref="P165" ca="1">IF(AND(G165=INDIRECT("'["&amp;G165&amp;"]"&amp;E165&amp;"'!"&amp;$AH$2),OR(VALUE(I165)=INDIRECT("'["&amp;G165&amp;"]"&amp;E165&amp;"'!"&amp;$AB$2))),INDIRECT("'["&amp;G165&amp;"]"&amp;E165&amp;"'!"&amp;$AB$3),0)</f>
        <v>#VALUE!</v>
      </c>
      <c r="Q165" s="34" t="e" cm="1">
        <f t="array" aca="1" ref="Q165" ca="1">IF(AND(G165=INDIRECT("'["&amp;G165&amp;"]"&amp;E165&amp;"'!"&amp;$AH$2),OR(VALUE(I165)=INDIRECT("'["&amp;G165&amp;"]"&amp;E165&amp;"'!"&amp;$AC$2))),INDIRECT("'["&amp;G165&amp;"]"&amp;E165&amp;"'!"&amp;$AC$3),0)</f>
        <v>#VALUE!</v>
      </c>
      <c r="R165" s="34" t="e" cm="1">
        <f t="array" aca="1" ref="R165" ca="1">IF(AND(G165=INDIRECT("'["&amp;G165&amp;"]"&amp;E165&amp;"'!"&amp;$AH$2),OR(I165=INDIRECT("'["&amp;G165&amp;"]"&amp;E165&amp;"'!"&amp;$AD$2))),INDIRECT("'["&amp;G165&amp;"]"&amp;E165&amp;"'!"&amp;$AD$3),0)</f>
        <v>#VALUE!</v>
      </c>
      <c r="S165" s="34" t="e" cm="1">
        <f t="array" aca="1" ref="S165" ca="1">IF(AND(G165=INDIRECT("'["&amp;G165&amp;"]"&amp;E165&amp;"'!"&amp;$AH$2),OR(I165=INDIRECT("'["&amp;G165&amp;"]"&amp;E165&amp;"'!"&amp;$AE$2))),INDIRECT("'["&amp;G165&amp;"]"&amp;E165&amp;"'!"&amp;$AE$3),0)</f>
        <v>#VALUE!</v>
      </c>
      <c r="T165" s="35" t="e" cm="1">
        <f t="array" aca="1" ref="T165" ca="1">IF(AND(G165=INDIRECT("'["&amp;G165&amp;"]"&amp;E165&amp;"'!"&amp;$AH$2),OR(I165=INDIRECT("'["&amp;G165&amp;"]"&amp;E165&amp;"'!"&amp;$AF$2))),INDIRECT("'["&amp;G165&amp;"]"&amp;E165&amp;"'!"&amp;$AF$3),0)</f>
        <v>#VALUE!</v>
      </c>
      <c r="U165" s="34" t="e" cm="1">
        <f t="array" aca="1" ref="U165" ca="1">IF(AND(G165=INDIRECT("'["&amp;G165&amp;"]"&amp;E165&amp;"'!"&amp;$AH$2),OR(I165=INDIRECT("'["&amp;G165&amp;"]"&amp;E165&amp;"'!"&amp;$AG$2))),INDIRECT("'["&amp;G165&amp;"]"&amp;E165&amp;"'!"&amp;$AG$3),0)</f>
        <v>#VALUE!</v>
      </c>
      <c r="V165" s="25" t="str">
        <f t="shared" si="52"/>
        <v/>
      </c>
      <c r="W165" s="36" t="e" cm="1">
        <f t="array" aca="1" ref="W165" ca="1">IF(AND(G165=INDIRECT("'["&amp;G165&amp;"]"&amp;E165&amp;"'!"&amp;$AH$2),OR(V165=INDIRECT("'["&amp;G165&amp;"]"&amp;E165&amp;"'!"&amp;$AI$2))),INDIRECT("'["&amp;G165&amp;"]"&amp;E165&amp;"'!"&amp;$AI$3),0)</f>
        <v>#VALUE!</v>
      </c>
      <c r="AJ165" s="25">
        <v>1</v>
      </c>
      <c r="AK165" s="38">
        <f t="shared" ca="1" si="53"/>
        <v>0</v>
      </c>
      <c r="AL165" s="38">
        <f t="shared" ca="1" si="54"/>
        <v>0</v>
      </c>
      <c r="AM165" s="54" t="str">
        <f t="shared" ca="1" si="45"/>
        <v/>
      </c>
      <c r="AN165" s="25" t="e">
        <f t="shared" ca="1" si="55"/>
        <v>#VALUE!</v>
      </c>
      <c r="AO165" s="25" t="e">
        <f t="shared" ca="1" si="56"/>
        <v>#VALUE!</v>
      </c>
      <c r="AP165" s="39" t="str">
        <f t="shared" ca="1" si="46"/>
        <v/>
      </c>
      <c r="AQ165" s="46" t="str">
        <f ca="1">IF(AND(C165&lt;&gt;0, C166=0), SUM($C$2:C165)-SUM($AQ$1:AQ164), "")</f>
        <v/>
      </c>
      <c r="AR165" s="46" t="str">
        <f ca="1">IF(AND(AK165&lt;&gt;0, AK166=0), SUM($AK$2:AK165)-SUM($AR$1:AR164), "")</f>
        <v/>
      </c>
    </row>
    <row r="166" spans="1:44" ht="13.15" customHeight="1">
      <c r="A166" s="63"/>
      <c r="B166" s="68" t="str">
        <f t="shared" si="60"/>
        <v/>
      </c>
      <c r="C166" s="55" cm="1">
        <f t="array" aca="1" ref="C166" ca="1">SUM(IF(ISNUMBER(M166:U166),M166:U166,""))</f>
        <v>0</v>
      </c>
      <c r="D166" s="25" t="str">
        <f t="shared" si="58"/>
        <v/>
      </c>
      <c r="E166" s="25" t="e">
        <f t="shared" si="47"/>
        <v>#VALUE!</v>
      </c>
      <c r="F166" s="25" t="str">
        <f t="shared" si="59"/>
        <v/>
      </c>
      <c r="G166" s="25" t="str">
        <f t="shared" si="44"/>
        <v>.xlsx</v>
      </c>
      <c r="H166" s="29" t="e" cm="1">
        <f t="array" aca="1" ref="H166" ca="1">IF(AND(VALUE(E166)=INDIRECT("'["&amp;G166&amp;"]"&amp;E166&amp;"'!"&amp;$X$2),G166=INDIRECT("'["&amp;G166&amp;"]"&amp;E166&amp;"'!"&amp;$X$3)),INDIRECT("'["&amp;G166&amp;"]"&amp;E166&amp;"'!"&amp;$X$1),0)</f>
        <v>#VALUE!</v>
      </c>
      <c r="I166" s="25" t="str">
        <f t="shared" si="48"/>
        <v/>
      </c>
      <c r="J166" s="32" t="str">
        <f t="shared" si="49"/>
        <v/>
      </c>
      <c r="K166" s="25" t="str">
        <f t="shared" si="50"/>
        <v/>
      </c>
      <c r="L166" s="25" t="str">
        <f t="shared" si="51"/>
        <v/>
      </c>
      <c r="M166" s="33" t="e" cm="1">
        <f t="array" aca="1" ref="M166" ca="1">IF(AND(J166=INDIRECT("'["&amp;G166&amp;"]"&amp;E166&amp;"'!"&amp;$Y$2),G166=INDIRECT("'["&amp;G166&amp;"]"&amp;E166&amp;"'!"&amp;$AH$2)),INDIRECT("'["&amp;G166&amp;"]"&amp;E166&amp;"'!"&amp;$Y$3),0)</f>
        <v>#VALUE!</v>
      </c>
      <c r="N166" s="34" t="e" cm="1">
        <f t="array" aca="1" ref="N166" ca="1">IF(AND(G166=INDIRECT("'["&amp;G166&amp;"]"&amp;E166&amp;"'!"&amp;$AH$2),OR(K166=INDIRECT("'["&amp;G166&amp;"]"&amp;E166&amp;"'!"&amp;$Z$2))),INDIRECT("'["&amp;G166&amp;"]"&amp;E166&amp;"'!"&amp;$Z$3),0)</f>
        <v>#VALUE!</v>
      </c>
      <c r="O166" s="34" t="e" cm="1">
        <f t="array" aca="1" ref="O166" ca="1">IF(AND(G166=INDIRECT("'["&amp;G166&amp;"]"&amp;E166&amp;"'!"&amp;$AH$2),OR(L166=INDIRECT("'["&amp;G166&amp;"]"&amp;E166&amp;"'!"&amp;$AA$2))),INDIRECT("'["&amp;G166&amp;"]"&amp;E166&amp;"'!"&amp;$AA$3),0)</f>
        <v>#VALUE!</v>
      </c>
      <c r="P166" s="34" t="e" cm="1">
        <f t="array" aca="1" ref="P166" ca="1">IF(AND(G166=INDIRECT("'["&amp;G166&amp;"]"&amp;E166&amp;"'!"&amp;$AH$2),OR(VALUE(I166)=INDIRECT("'["&amp;G166&amp;"]"&amp;E166&amp;"'!"&amp;$AB$2))),INDIRECT("'["&amp;G166&amp;"]"&amp;E166&amp;"'!"&amp;$AB$3),0)</f>
        <v>#VALUE!</v>
      </c>
      <c r="Q166" s="34" t="e" cm="1">
        <f t="array" aca="1" ref="Q166" ca="1">IF(AND(G166=INDIRECT("'["&amp;G166&amp;"]"&amp;E166&amp;"'!"&amp;$AH$2),OR(VALUE(I166)=INDIRECT("'["&amp;G166&amp;"]"&amp;E166&amp;"'!"&amp;$AC$2))),INDIRECT("'["&amp;G166&amp;"]"&amp;E166&amp;"'!"&amp;$AC$3),0)</f>
        <v>#VALUE!</v>
      </c>
      <c r="R166" s="34" t="e" cm="1">
        <f t="array" aca="1" ref="R166" ca="1">IF(AND(G166=INDIRECT("'["&amp;G166&amp;"]"&amp;E166&amp;"'!"&amp;$AH$2),OR(I166=INDIRECT("'["&amp;G166&amp;"]"&amp;E166&amp;"'!"&amp;$AD$2))),INDIRECT("'["&amp;G166&amp;"]"&amp;E166&amp;"'!"&amp;$AD$3),0)</f>
        <v>#VALUE!</v>
      </c>
      <c r="S166" s="34" t="e" cm="1">
        <f t="array" aca="1" ref="S166" ca="1">IF(AND(G166=INDIRECT("'["&amp;G166&amp;"]"&amp;E166&amp;"'!"&amp;$AH$2),OR(I166=INDIRECT("'["&amp;G166&amp;"]"&amp;E166&amp;"'!"&amp;$AE$2))),INDIRECT("'["&amp;G166&amp;"]"&amp;E166&amp;"'!"&amp;$AE$3),0)</f>
        <v>#VALUE!</v>
      </c>
      <c r="T166" s="35" t="e" cm="1">
        <f t="array" aca="1" ref="T166" ca="1">IF(AND(G166=INDIRECT("'["&amp;G166&amp;"]"&amp;E166&amp;"'!"&amp;$AH$2),OR(I166=INDIRECT("'["&amp;G166&amp;"]"&amp;E166&amp;"'!"&amp;$AF$2))),INDIRECT("'["&amp;G166&amp;"]"&amp;E166&amp;"'!"&amp;$AF$3),0)</f>
        <v>#VALUE!</v>
      </c>
      <c r="U166" s="34" t="e" cm="1">
        <f t="array" aca="1" ref="U166" ca="1">IF(AND(G166=INDIRECT("'["&amp;G166&amp;"]"&amp;E166&amp;"'!"&amp;$AH$2),OR(I166=INDIRECT("'["&amp;G166&amp;"]"&amp;E166&amp;"'!"&amp;$AG$2))),INDIRECT("'["&amp;G166&amp;"]"&amp;E166&amp;"'!"&amp;$AG$3),0)</f>
        <v>#VALUE!</v>
      </c>
      <c r="V166" s="25" t="str">
        <f t="shared" si="52"/>
        <v/>
      </c>
      <c r="W166" s="36" t="e" cm="1">
        <f t="array" aca="1" ref="W166" ca="1">IF(AND(G166=INDIRECT("'["&amp;G166&amp;"]"&amp;E166&amp;"'!"&amp;$AH$2),OR(V166=INDIRECT("'["&amp;G166&amp;"]"&amp;E166&amp;"'!"&amp;$AI$2))),INDIRECT("'["&amp;G166&amp;"]"&amp;E166&amp;"'!"&amp;$AI$3),0)</f>
        <v>#VALUE!</v>
      </c>
      <c r="AJ166" s="25">
        <v>1</v>
      </c>
      <c r="AK166" s="38">
        <f t="shared" ca="1" si="53"/>
        <v>0</v>
      </c>
      <c r="AL166" s="38">
        <f t="shared" ca="1" si="54"/>
        <v>0</v>
      </c>
      <c r="AM166" s="54" t="str">
        <f t="shared" ca="1" si="45"/>
        <v/>
      </c>
      <c r="AN166" s="25" t="e">
        <f t="shared" ca="1" si="55"/>
        <v>#VALUE!</v>
      </c>
      <c r="AO166" s="25" t="e">
        <f t="shared" ca="1" si="56"/>
        <v>#VALUE!</v>
      </c>
      <c r="AP166" s="39" t="str">
        <f t="shared" ca="1" si="46"/>
        <v/>
      </c>
      <c r="AQ166" s="46" t="str">
        <f ca="1">IF(AND(C166&lt;&gt;0, C167=0), SUM($C$2:C166)-SUM($AQ$1:AQ165), "")</f>
        <v/>
      </c>
      <c r="AR166" s="46" t="str">
        <f ca="1">IF(AND(AK166&lt;&gt;0, AK167=0), SUM($AK$2:AK166)-SUM($AR$1:AR165), "")</f>
        <v/>
      </c>
    </row>
    <row r="167" spans="1:44" ht="13.15" customHeight="1">
      <c r="A167" s="63"/>
      <c r="B167" s="68" t="str">
        <f t="shared" si="60"/>
        <v/>
      </c>
      <c r="C167" s="55" cm="1">
        <f t="array" aca="1" ref="C167" ca="1">SUM(IF(ISNUMBER(M167:U167),M167:U167,""))</f>
        <v>0</v>
      </c>
      <c r="D167" s="25" t="str">
        <f t="shared" si="58"/>
        <v/>
      </c>
      <c r="E167" s="25" t="e">
        <f t="shared" si="47"/>
        <v>#VALUE!</v>
      </c>
      <c r="F167" s="25" t="str">
        <f t="shared" si="59"/>
        <v/>
      </c>
      <c r="G167" s="25" t="str">
        <f t="shared" si="44"/>
        <v>.xlsx</v>
      </c>
      <c r="H167" s="29" t="e" cm="1">
        <f t="array" aca="1" ref="H167" ca="1">IF(AND(VALUE(E167)=INDIRECT("'["&amp;G167&amp;"]"&amp;E167&amp;"'!"&amp;$X$2),G167=INDIRECT("'["&amp;G167&amp;"]"&amp;E167&amp;"'!"&amp;$X$3)),INDIRECT("'["&amp;G167&amp;"]"&amp;E167&amp;"'!"&amp;$X$1),0)</f>
        <v>#VALUE!</v>
      </c>
      <c r="I167" s="25" t="str">
        <f t="shared" si="48"/>
        <v/>
      </c>
      <c r="J167" s="32" t="str">
        <f t="shared" si="49"/>
        <v/>
      </c>
      <c r="K167" s="25" t="str">
        <f t="shared" si="50"/>
        <v/>
      </c>
      <c r="L167" s="25" t="str">
        <f t="shared" si="51"/>
        <v/>
      </c>
      <c r="M167" s="33" t="e" cm="1">
        <f t="array" aca="1" ref="M167" ca="1">IF(AND(J167=INDIRECT("'["&amp;G167&amp;"]"&amp;E167&amp;"'!"&amp;$Y$2),G167=INDIRECT("'["&amp;G167&amp;"]"&amp;E167&amp;"'!"&amp;$AH$2)),INDIRECT("'["&amp;G167&amp;"]"&amp;E167&amp;"'!"&amp;$Y$3),0)</f>
        <v>#VALUE!</v>
      </c>
      <c r="N167" s="34" t="e" cm="1">
        <f t="array" aca="1" ref="N167" ca="1">IF(AND(G167=INDIRECT("'["&amp;G167&amp;"]"&amp;E167&amp;"'!"&amp;$AH$2),OR(K167=INDIRECT("'["&amp;G167&amp;"]"&amp;E167&amp;"'!"&amp;$Z$2))),INDIRECT("'["&amp;G167&amp;"]"&amp;E167&amp;"'!"&amp;$Z$3),0)</f>
        <v>#VALUE!</v>
      </c>
      <c r="O167" s="34" t="e" cm="1">
        <f t="array" aca="1" ref="O167" ca="1">IF(AND(G167=INDIRECT("'["&amp;G167&amp;"]"&amp;E167&amp;"'!"&amp;$AH$2),OR(L167=INDIRECT("'["&amp;G167&amp;"]"&amp;E167&amp;"'!"&amp;$AA$2))),INDIRECT("'["&amp;G167&amp;"]"&amp;E167&amp;"'!"&amp;$AA$3),0)</f>
        <v>#VALUE!</v>
      </c>
      <c r="P167" s="34" t="e" cm="1">
        <f t="array" aca="1" ref="P167" ca="1">IF(AND(G167=INDIRECT("'["&amp;G167&amp;"]"&amp;E167&amp;"'!"&amp;$AH$2),OR(VALUE(I167)=INDIRECT("'["&amp;G167&amp;"]"&amp;E167&amp;"'!"&amp;$AB$2))),INDIRECT("'["&amp;G167&amp;"]"&amp;E167&amp;"'!"&amp;$AB$3),0)</f>
        <v>#VALUE!</v>
      </c>
      <c r="Q167" s="34" t="e" cm="1">
        <f t="array" aca="1" ref="Q167" ca="1">IF(AND(G167=INDIRECT("'["&amp;G167&amp;"]"&amp;E167&amp;"'!"&amp;$AH$2),OR(VALUE(I167)=INDIRECT("'["&amp;G167&amp;"]"&amp;E167&amp;"'!"&amp;$AC$2))),INDIRECT("'["&amp;G167&amp;"]"&amp;E167&amp;"'!"&amp;$AC$3),0)</f>
        <v>#VALUE!</v>
      </c>
      <c r="R167" s="34" t="e" cm="1">
        <f t="array" aca="1" ref="R167" ca="1">IF(AND(G167=INDIRECT("'["&amp;G167&amp;"]"&amp;E167&amp;"'!"&amp;$AH$2),OR(I167=INDIRECT("'["&amp;G167&amp;"]"&amp;E167&amp;"'!"&amp;$AD$2))),INDIRECT("'["&amp;G167&amp;"]"&amp;E167&amp;"'!"&amp;$AD$3),0)</f>
        <v>#VALUE!</v>
      </c>
      <c r="S167" s="34" t="e" cm="1">
        <f t="array" aca="1" ref="S167" ca="1">IF(AND(G167=INDIRECT("'["&amp;G167&amp;"]"&amp;E167&amp;"'!"&amp;$AH$2),OR(I167=INDIRECT("'["&amp;G167&amp;"]"&amp;E167&amp;"'!"&amp;$AE$2))),INDIRECT("'["&amp;G167&amp;"]"&amp;E167&amp;"'!"&amp;$AE$3),0)</f>
        <v>#VALUE!</v>
      </c>
      <c r="T167" s="35" t="e" cm="1">
        <f t="array" aca="1" ref="T167" ca="1">IF(AND(G167=INDIRECT("'["&amp;G167&amp;"]"&amp;E167&amp;"'!"&amp;$AH$2),OR(I167=INDIRECT("'["&amp;G167&amp;"]"&amp;E167&amp;"'!"&amp;$AF$2))),INDIRECT("'["&amp;G167&amp;"]"&amp;E167&amp;"'!"&amp;$AF$3),0)</f>
        <v>#VALUE!</v>
      </c>
      <c r="U167" s="34" t="e" cm="1">
        <f t="array" aca="1" ref="U167" ca="1">IF(AND(G167=INDIRECT("'["&amp;G167&amp;"]"&amp;E167&amp;"'!"&amp;$AH$2),OR(I167=INDIRECT("'["&amp;G167&amp;"]"&amp;E167&amp;"'!"&amp;$AG$2))),INDIRECT("'["&amp;G167&amp;"]"&amp;E167&amp;"'!"&amp;$AG$3),0)</f>
        <v>#VALUE!</v>
      </c>
      <c r="V167" s="25" t="str">
        <f t="shared" si="52"/>
        <v/>
      </c>
      <c r="W167" s="36" t="e" cm="1">
        <f t="array" aca="1" ref="W167" ca="1">IF(AND(G167=INDIRECT("'["&amp;G167&amp;"]"&amp;E167&amp;"'!"&amp;$AH$2),OR(V167=INDIRECT("'["&amp;G167&amp;"]"&amp;E167&amp;"'!"&amp;$AI$2))),INDIRECT("'["&amp;G167&amp;"]"&amp;E167&amp;"'!"&amp;$AI$3),0)</f>
        <v>#VALUE!</v>
      </c>
      <c r="AJ167" s="25">
        <v>1</v>
      </c>
      <c r="AK167" s="38">
        <f t="shared" ca="1" si="53"/>
        <v>0</v>
      </c>
      <c r="AL167" s="38">
        <f t="shared" ca="1" si="54"/>
        <v>0</v>
      </c>
      <c r="AM167" s="54" t="str">
        <f t="shared" ca="1" si="45"/>
        <v/>
      </c>
      <c r="AN167" s="25" t="e">
        <f t="shared" ca="1" si="55"/>
        <v>#VALUE!</v>
      </c>
      <c r="AO167" s="25" t="e">
        <f t="shared" ca="1" si="56"/>
        <v>#VALUE!</v>
      </c>
      <c r="AP167" s="39" t="str">
        <f t="shared" ca="1" si="46"/>
        <v/>
      </c>
      <c r="AQ167" s="46" t="str">
        <f ca="1">IF(AND(C167&lt;&gt;0, C168=0), SUM($C$2:C167)-SUM($AQ$1:AQ166), "")</f>
        <v/>
      </c>
      <c r="AR167" s="46" t="str">
        <f ca="1">IF(AND(AK167&lt;&gt;0, AK168=0), SUM($AK$2:AK167)-SUM($AR$1:AR166), "")</f>
        <v/>
      </c>
    </row>
    <row r="168" spans="1:44" ht="13.15" customHeight="1">
      <c r="A168" s="63"/>
      <c r="B168" s="68" t="str">
        <f t="shared" si="60"/>
        <v/>
      </c>
      <c r="C168" s="55" cm="1">
        <f t="array" aca="1" ref="C168" ca="1">SUM(IF(ISNUMBER(M168:U168),M168:U168,""))</f>
        <v>0</v>
      </c>
      <c r="D168" s="25" t="str">
        <f t="shared" si="58"/>
        <v/>
      </c>
      <c r="E168" s="25" t="e">
        <f t="shared" si="47"/>
        <v>#VALUE!</v>
      </c>
      <c r="F168" s="25" t="str">
        <f t="shared" si="59"/>
        <v/>
      </c>
      <c r="G168" s="25" t="str">
        <f t="shared" si="44"/>
        <v>.xlsx</v>
      </c>
      <c r="H168" s="29" t="e" cm="1">
        <f t="array" aca="1" ref="H168" ca="1">IF(AND(VALUE(E168)=INDIRECT("'["&amp;G168&amp;"]"&amp;E168&amp;"'!"&amp;$X$2),G168=INDIRECT("'["&amp;G168&amp;"]"&amp;E168&amp;"'!"&amp;$X$3)),INDIRECT("'["&amp;G168&amp;"]"&amp;E168&amp;"'!"&amp;$X$1),0)</f>
        <v>#VALUE!</v>
      </c>
      <c r="I168" s="25" t="str">
        <f t="shared" si="48"/>
        <v/>
      </c>
      <c r="J168" s="32" t="str">
        <f t="shared" si="49"/>
        <v/>
      </c>
      <c r="K168" s="25" t="str">
        <f t="shared" si="50"/>
        <v/>
      </c>
      <c r="L168" s="25" t="str">
        <f t="shared" si="51"/>
        <v/>
      </c>
      <c r="M168" s="33" t="e" cm="1">
        <f t="array" aca="1" ref="M168" ca="1">IF(AND(J168=INDIRECT("'["&amp;G168&amp;"]"&amp;E168&amp;"'!"&amp;$Y$2),G168=INDIRECT("'["&amp;G168&amp;"]"&amp;E168&amp;"'!"&amp;$AH$2)),INDIRECT("'["&amp;G168&amp;"]"&amp;E168&amp;"'!"&amp;$Y$3),0)</f>
        <v>#VALUE!</v>
      </c>
      <c r="N168" s="34" t="e" cm="1">
        <f t="array" aca="1" ref="N168" ca="1">IF(AND(G168=INDIRECT("'["&amp;G168&amp;"]"&amp;E168&amp;"'!"&amp;$AH$2),OR(K168=INDIRECT("'["&amp;G168&amp;"]"&amp;E168&amp;"'!"&amp;$Z$2))),INDIRECT("'["&amp;G168&amp;"]"&amp;E168&amp;"'!"&amp;$Z$3),0)</f>
        <v>#VALUE!</v>
      </c>
      <c r="O168" s="34" t="e" cm="1">
        <f t="array" aca="1" ref="O168" ca="1">IF(AND(G168=INDIRECT("'["&amp;G168&amp;"]"&amp;E168&amp;"'!"&amp;$AH$2),OR(L168=INDIRECT("'["&amp;G168&amp;"]"&amp;E168&amp;"'!"&amp;$AA$2))),INDIRECT("'["&amp;G168&amp;"]"&amp;E168&amp;"'!"&amp;$AA$3),0)</f>
        <v>#VALUE!</v>
      </c>
      <c r="P168" s="34" t="e" cm="1">
        <f t="array" aca="1" ref="P168" ca="1">IF(AND(G168=INDIRECT("'["&amp;G168&amp;"]"&amp;E168&amp;"'!"&amp;$AH$2),OR(VALUE(I168)=INDIRECT("'["&amp;G168&amp;"]"&amp;E168&amp;"'!"&amp;$AB$2))),INDIRECT("'["&amp;G168&amp;"]"&amp;E168&amp;"'!"&amp;$AB$3),0)</f>
        <v>#VALUE!</v>
      </c>
      <c r="Q168" s="34" t="e" cm="1">
        <f t="array" aca="1" ref="Q168" ca="1">IF(AND(G168=INDIRECT("'["&amp;G168&amp;"]"&amp;E168&amp;"'!"&amp;$AH$2),OR(VALUE(I168)=INDIRECT("'["&amp;G168&amp;"]"&amp;E168&amp;"'!"&amp;$AC$2))),INDIRECT("'["&amp;G168&amp;"]"&amp;E168&amp;"'!"&amp;$AC$3),0)</f>
        <v>#VALUE!</v>
      </c>
      <c r="R168" s="34" t="e" cm="1">
        <f t="array" aca="1" ref="R168" ca="1">IF(AND(G168=INDIRECT("'["&amp;G168&amp;"]"&amp;E168&amp;"'!"&amp;$AH$2),OR(I168=INDIRECT("'["&amp;G168&amp;"]"&amp;E168&amp;"'!"&amp;$AD$2))),INDIRECT("'["&amp;G168&amp;"]"&amp;E168&amp;"'!"&amp;$AD$3),0)</f>
        <v>#VALUE!</v>
      </c>
      <c r="S168" s="34" t="e" cm="1">
        <f t="array" aca="1" ref="S168" ca="1">IF(AND(G168=INDIRECT("'["&amp;G168&amp;"]"&amp;E168&amp;"'!"&amp;$AH$2),OR(I168=INDIRECT("'["&amp;G168&amp;"]"&amp;E168&amp;"'!"&amp;$AE$2))),INDIRECT("'["&amp;G168&amp;"]"&amp;E168&amp;"'!"&amp;$AE$3),0)</f>
        <v>#VALUE!</v>
      </c>
      <c r="T168" s="35" t="e" cm="1">
        <f t="array" aca="1" ref="T168" ca="1">IF(AND(G168=INDIRECT("'["&amp;G168&amp;"]"&amp;E168&amp;"'!"&amp;$AH$2),OR(I168=INDIRECT("'["&amp;G168&amp;"]"&amp;E168&amp;"'!"&amp;$AF$2))),INDIRECT("'["&amp;G168&amp;"]"&amp;E168&amp;"'!"&amp;$AF$3),0)</f>
        <v>#VALUE!</v>
      </c>
      <c r="U168" s="34" t="e" cm="1">
        <f t="array" aca="1" ref="U168" ca="1">IF(AND(G168=INDIRECT("'["&amp;G168&amp;"]"&amp;E168&amp;"'!"&amp;$AH$2),OR(I168=INDIRECT("'["&amp;G168&amp;"]"&amp;E168&amp;"'!"&amp;$AG$2))),INDIRECT("'["&amp;G168&amp;"]"&amp;E168&amp;"'!"&amp;$AG$3),0)</f>
        <v>#VALUE!</v>
      </c>
      <c r="V168" s="25" t="str">
        <f t="shared" si="52"/>
        <v/>
      </c>
      <c r="W168" s="36" t="e" cm="1">
        <f t="array" aca="1" ref="W168" ca="1">IF(AND(G168=INDIRECT("'["&amp;G168&amp;"]"&amp;E168&amp;"'!"&amp;$AH$2),OR(V168=INDIRECT("'["&amp;G168&amp;"]"&amp;E168&amp;"'!"&amp;$AI$2))),INDIRECT("'["&amp;G168&amp;"]"&amp;E168&amp;"'!"&amp;$AI$3),0)</f>
        <v>#VALUE!</v>
      </c>
      <c r="AJ168" s="25">
        <v>1</v>
      </c>
      <c r="AK168" s="38">
        <f t="shared" ca="1" si="53"/>
        <v>0</v>
      </c>
      <c r="AL168" s="38">
        <f t="shared" ca="1" si="54"/>
        <v>0</v>
      </c>
      <c r="AM168" s="54" t="str">
        <f t="shared" ca="1" si="45"/>
        <v/>
      </c>
      <c r="AN168" s="25" t="e">
        <f t="shared" ca="1" si="55"/>
        <v>#VALUE!</v>
      </c>
      <c r="AO168" s="25" t="e">
        <f t="shared" ca="1" si="56"/>
        <v>#VALUE!</v>
      </c>
      <c r="AP168" s="39" t="str">
        <f t="shared" ca="1" si="46"/>
        <v/>
      </c>
      <c r="AQ168" s="46" t="str">
        <f ca="1">IF(AND(C168&lt;&gt;0, C169=0), SUM($C$2:C168)-SUM($AQ$1:AQ167), "")</f>
        <v/>
      </c>
      <c r="AR168" s="46" t="str">
        <f ca="1">IF(AND(AK168&lt;&gt;0, AK169=0), SUM($AK$2:AK168)-SUM($AR$1:AR167), "")</f>
        <v/>
      </c>
    </row>
    <row r="169" spans="1:44" ht="13.15" customHeight="1">
      <c r="B169" s="68" t="str">
        <f t="shared" si="60"/>
        <v/>
      </c>
      <c r="C169" s="55" cm="1">
        <f t="array" aca="1" ref="C169" ca="1">SUM(IF(ISNUMBER(M169:U169),M169:U169,""))</f>
        <v>0</v>
      </c>
      <c r="D169" s="25" t="str">
        <f t="shared" si="58"/>
        <v/>
      </c>
      <c r="E169" s="25" t="e">
        <f t="shared" si="47"/>
        <v>#VALUE!</v>
      </c>
      <c r="F169" s="25" t="str">
        <f t="shared" si="59"/>
        <v/>
      </c>
      <c r="G169" s="25" t="str">
        <f t="shared" si="44"/>
        <v>.xlsx</v>
      </c>
      <c r="H169" s="29" t="e" cm="1">
        <f t="array" aca="1" ref="H169" ca="1">IF(AND(VALUE(E169)=INDIRECT("'["&amp;G169&amp;"]"&amp;E169&amp;"'!"&amp;$X$2),G169=INDIRECT("'["&amp;G169&amp;"]"&amp;E169&amp;"'!"&amp;$X$3)),INDIRECT("'["&amp;G169&amp;"]"&amp;E169&amp;"'!"&amp;$X$1),0)</f>
        <v>#VALUE!</v>
      </c>
      <c r="I169" s="25" t="str">
        <f t="shared" si="48"/>
        <v/>
      </c>
      <c r="J169" s="32" t="str">
        <f t="shared" si="49"/>
        <v/>
      </c>
      <c r="K169" s="25" t="str">
        <f t="shared" si="50"/>
        <v/>
      </c>
      <c r="L169" s="25" t="str">
        <f t="shared" si="51"/>
        <v/>
      </c>
      <c r="M169" s="33" t="e" cm="1">
        <f t="array" aca="1" ref="M169" ca="1">IF(AND(J169=INDIRECT("'["&amp;G169&amp;"]"&amp;E169&amp;"'!"&amp;$Y$2),G169=INDIRECT("'["&amp;G169&amp;"]"&amp;E169&amp;"'!"&amp;$AH$2)),INDIRECT("'["&amp;G169&amp;"]"&amp;E169&amp;"'!"&amp;$Y$3),0)</f>
        <v>#VALUE!</v>
      </c>
      <c r="N169" s="34" t="e" cm="1">
        <f t="array" aca="1" ref="N169" ca="1">IF(AND(G169=INDIRECT("'["&amp;G169&amp;"]"&amp;E169&amp;"'!"&amp;$AH$2),OR(K169=INDIRECT("'["&amp;G169&amp;"]"&amp;E169&amp;"'!"&amp;$Z$2))),INDIRECT("'["&amp;G169&amp;"]"&amp;E169&amp;"'!"&amp;$Z$3),0)</f>
        <v>#VALUE!</v>
      </c>
      <c r="O169" s="34" t="e" cm="1">
        <f t="array" aca="1" ref="O169" ca="1">IF(AND(G169=INDIRECT("'["&amp;G169&amp;"]"&amp;E169&amp;"'!"&amp;$AH$2),OR(L169=INDIRECT("'["&amp;G169&amp;"]"&amp;E169&amp;"'!"&amp;$AA$2))),INDIRECT("'["&amp;G169&amp;"]"&amp;E169&amp;"'!"&amp;$AA$3),0)</f>
        <v>#VALUE!</v>
      </c>
      <c r="P169" s="34" t="e" cm="1">
        <f t="array" aca="1" ref="P169" ca="1">IF(AND(G169=INDIRECT("'["&amp;G169&amp;"]"&amp;E169&amp;"'!"&amp;$AH$2),OR(VALUE(I169)=INDIRECT("'["&amp;G169&amp;"]"&amp;E169&amp;"'!"&amp;$AB$2))),INDIRECT("'["&amp;G169&amp;"]"&amp;E169&amp;"'!"&amp;$AB$3),0)</f>
        <v>#VALUE!</v>
      </c>
      <c r="Q169" s="34" t="e" cm="1">
        <f t="array" aca="1" ref="Q169" ca="1">IF(AND(G169=INDIRECT("'["&amp;G169&amp;"]"&amp;E169&amp;"'!"&amp;$AH$2),OR(VALUE(I169)=INDIRECT("'["&amp;G169&amp;"]"&amp;E169&amp;"'!"&amp;$AC$2))),INDIRECT("'["&amp;G169&amp;"]"&amp;E169&amp;"'!"&amp;$AC$3),0)</f>
        <v>#VALUE!</v>
      </c>
      <c r="R169" s="34" t="e" cm="1">
        <f t="array" aca="1" ref="R169" ca="1">IF(AND(G169=INDIRECT("'["&amp;G169&amp;"]"&amp;E169&amp;"'!"&amp;$AH$2),OR(I169=INDIRECT("'["&amp;G169&amp;"]"&amp;E169&amp;"'!"&amp;$AD$2))),INDIRECT("'["&amp;G169&amp;"]"&amp;E169&amp;"'!"&amp;$AD$3),0)</f>
        <v>#VALUE!</v>
      </c>
      <c r="S169" s="34" t="e" cm="1">
        <f t="array" aca="1" ref="S169" ca="1">IF(AND(G169=INDIRECT("'["&amp;G169&amp;"]"&amp;E169&amp;"'!"&amp;$AH$2),OR(I169=INDIRECT("'["&amp;G169&amp;"]"&amp;E169&amp;"'!"&amp;$AE$2))),INDIRECT("'["&amp;G169&amp;"]"&amp;E169&amp;"'!"&amp;$AE$3),0)</f>
        <v>#VALUE!</v>
      </c>
      <c r="T169" s="35" t="e" cm="1">
        <f t="array" aca="1" ref="T169" ca="1">IF(AND(G169=INDIRECT("'["&amp;G169&amp;"]"&amp;E169&amp;"'!"&amp;$AH$2),OR(I169=INDIRECT("'["&amp;G169&amp;"]"&amp;E169&amp;"'!"&amp;$AF$2))),INDIRECT("'["&amp;G169&amp;"]"&amp;E169&amp;"'!"&amp;$AF$3),0)</f>
        <v>#VALUE!</v>
      </c>
      <c r="U169" s="34" t="e" cm="1">
        <f t="array" aca="1" ref="U169" ca="1">IF(AND(G169=INDIRECT("'["&amp;G169&amp;"]"&amp;E169&amp;"'!"&amp;$AH$2),OR(I169=INDIRECT("'["&amp;G169&amp;"]"&amp;E169&amp;"'!"&amp;$AG$2))),INDIRECT("'["&amp;G169&amp;"]"&amp;E169&amp;"'!"&amp;$AG$3),0)</f>
        <v>#VALUE!</v>
      </c>
      <c r="V169" s="25" t="str">
        <f t="shared" si="52"/>
        <v/>
      </c>
      <c r="W169" s="36" t="e" cm="1">
        <f t="array" aca="1" ref="W169" ca="1">IF(AND(G169=INDIRECT("'["&amp;G169&amp;"]"&amp;E169&amp;"'!"&amp;$AH$2),OR(V169=INDIRECT("'["&amp;G169&amp;"]"&amp;E169&amp;"'!"&amp;$AI$2))),INDIRECT("'["&amp;G169&amp;"]"&amp;E169&amp;"'!"&amp;$AI$3),0)</f>
        <v>#VALUE!</v>
      </c>
      <c r="AJ169" s="25">
        <v>1</v>
      </c>
      <c r="AK169" s="38">
        <f t="shared" ca="1" si="53"/>
        <v>0</v>
      </c>
      <c r="AL169" s="38">
        <f t="shared" ca="1" si="54"/>
        <v>0</v>
      </c>
      <c r="AM169" s="54" t="str">
        <f t="shared" ca="1" si="45"/>
        <v/>
      </c>
      <c r="AN169" s="25" t="e">
        <f t="shared" ca="1" si="55"/>
        <v>#VALUE!</v>
      </c>
      <c r="AO169" s="25" t="e">
        <f t="shared" ca="1" si="56"/>
        <v>#VALUE!</v>
      </c>
      <c r="AP169" s="39" t="str">
        <f t="shared" ca="1" si="46"/>
        <v/>
      </c>
      <c r="AQ169" s="46" t="str">
        <f ca="1">IF(AND(C169&lt;&gt;0, C170=0), SUM($C$2:C169)-SUM($AQ$1:AQ168), "")</f>
        <v/>
      </c>
      <c r="AR169" s="46" t="str">
        <f ca="1">IF(AND(AK169&lt;&gt;0, AK170=0), SUM($AK$2:AK169)-SUM($AR$1:AR168), "")</f>
        <v/>
      </c>
    </row>
    <row r="170" spans="1:44" ht="13.15" customHeight="1">
      <c r="A170" s="63"/>
      <c r="B170" s="68" t="str">
        <f t="shared" si="60"/>
        <v/>
      </c>
      <c r="C170" s="55" cm="1">
        <f t="array" aca="1" ref="C170" ca="1">SUM(IF(ISNUMBER(M170:U170),M170:U170,""))</f>
        <v>0</v>
      </c>
      <c r="D170" s="25" t="str">
        <f t="shared" si="58"/>
        <v/>
      </c>
      <c r="E170" s="25" t="e">
        <f t="shared" si="47"/>
        <v>#VALUE!</v>
      </c>
      <c r="F170" s="25" t="str">
        <f t="shared" si="59"/>
        <v/>
      </c>
      <c r="G170" s="25" t="str">
        <f t="shared" si="44"/>
        <v>.xlsx</v>
      </c>
      <c r="H170" s="29" t="e" cm="1">
        <f t="array" aca="1" ref="H170" ca="1">IF(AND(VALUE(E170)=INDIRECT("'["&amp;G170&amp;"]"&amp;E170&amp;"'!"&amp;$X$2),G170=INDIRECT("'["&amp;G170&amp;"]"&amp;E170&amp;"'!"&amp;$X$3)),INDIRECT("'["&amp;G170&amp;"]"&amp;E170&amp;"'!"&amp;$X$1),0)</f>
        <v>#VALUE!</v>
      </c>
      <c r="I170" s="25" t="str">
        <f t="shared" si="48"/>
        <v/>
      </c>
      <c r="J170" s="32" t="str">
        <f t="shared" si="49"/>
        <v/>
      </c>
      <c r="K170" s="25" t="str">
        <f t="shared" si="50"/>
        <v/>
      </c>
      <c r="L170" s="25" t="str">
        <f t="shared" si="51"/>
        <v/>
      </c>
      <c r="M170" s="33" t="e" cm="1">
        <f t="array" aca="1" ref="M170" ca="1">IF(AND(J170=INDIRECT("'["&amp;G170&amp;"]"&amp;E170&amp;"'!"&amp;$Y$2),G170=INDIRECT("'["&amp;G170&amp;"]"&amp;E170&amp;"'!"&amp;$AH$2)),INDIRECT("'["&amp;G170&amp;"]"&amp;E170&amp;"'!"&amp;$Y$3),0)</f>
        <v>#VALUE!</v>
      </c>
      <c r="N170" s="34" t="e" cm="1">
        <f t="array" aca="1" ref="N170" ca="1">IF(AND(G170=INDIRECT("'["&amp;G170&amp;"]"&amp;E170&amp;"'!"&amp;$AH$2),OR(K170=INDIRECT("'["&amp;G170&amp;"]"&amp;E170&amp;"'!"&amp;$Z$2))),INDIRECT("'["&amp;G170&amp;"]"&amp;E170&amp;"'!"&amp;$Z$3),0)</f>
        <v>#VALUE!</v>
      </c>
      <c r="O170" s="34" t="e" cm="1">
        <f t="array" aca="1" ref="O170" ca="1">IF(AND(G170=INDIRECT("'["&amp;G170&amp;"]"&amp;E170&amp;"'!"&amp;$AH$2),OR(L170=INDIRECT("'["&amp;G170&amp;"]"&amp;E170&amp;"'!"&amp;$AA$2))),INDIRECT("'["&amp;G170&amp;"]"&amp;E170&amp;"'!"&amp;$AA$3),0)</f>
        <v>#VALUE!</v>
      </c>
      <c r="P170" s="34" t="e" cm="1">
        <f t="array" aca="1" ref="P170" ca="1">IF(AND(G170=INDIRECT("'["&amp;G170&amp;"]"&amp;E170&amp;"'!"&amp;$AH$2),OR(VALUE(I170)=INDIRECT("'["&amp;G170&amp;"]"&amp;E170&amp;"'!"&amp;$AB$2))),INDIRECT("'["&amp;G170&amp;"]"&amp;E170&amp;"'!"&amp;$AB$3),0)</f>
        <v>#VALUE!</v>
      </c>
      <c r="Q170" s="34" t="e" cm="1">
        <f t="array" aca="1" ref="Q170" ca="1">IF(AND(G170=INDIRECT("'["&amp;G170&amp;"]"&amp;E170&amp;"'!"&amp;$AH$2),OR(VALUE(I170)=INDIRECT("'["&amp;G170&amp;"]"&amp;E170&amp;"'!"&amp;$AC$2))),INDIRECT("'["&amp;G170&amp;"]"&amp;E170&amp;"'!"&amp;$AC$3),0)</f>
        <v>#VALUE!</v>
      </c>
      <c r="R170" s="34" t="e" cm="1">
        <f t="array" aca="1" ref="R170" ca="1">IF(AND(G170=INDIRECT("'["&amp;G170&amp;"]"&amp;E170&amp;"'!"&amp;$AH$2),OR(I170=INDIRECT("'["&amp;G170&amp;"]"&amp;E170&amp;"'!"&amp;$AD$2))),INDIRECT("'["&amp;G170&amp;"]"&amp;E170&amp;"'!"&amp;$AD$3),0)</f>
        <v>#VALUE!</v>
      </c>
      <c r="S170" s="34" t="e" cm="1">
        <f t="array" aca="1" ref="S170" ca="1">IF(AND(G170=INDIRECT("'["&amp;G170&amp;"]"&amp;E170&amp;"'!"&amp;$AH$2),OR(I170=INDIRECT("'["&amp;G170&amp;"]"&amp;E170&amp;"'!"&amp;$AE$2))),INDIRECT("'["&amp;G170&amp;"]"&amp;E170&amp;"'!"&amp;$AE$3),0)</f>
        <v>#VALUE!</v>
      </c>
      <c r="T170" s="35" t="e" cm="1">
        <f t="array" aca="1" ref="T170" ca="1">IF(AND(G170=INDIRECT("'["&amp;G170&amp;"]"&amp;E170&amp;"'!"&amp;$AH$2),OR(I170=INDIRECT("'["&amp;G170&amp;"]"&amp;E170&amp;"'!"&amp;$AF$2))),INDIRECT("'["&amp;G170&amp;"]"&amp;E170&amp;"'!"&amp;$AF$3),0)</f>
        <v>#VALUE!</v>
      </c>
      <c r="U170" s="34" t="e" cm="1">
        <f t="array" aca="1" ref="U170" ca="1">IF(AND(G170=INDIRECT("'["&amp;G170&amp;"]"&amp;E170&amp;"'!"&amp;$AH$2),OR(I170=INDIRECT("'["&amp;G170&amp;"]"&amp;E170&amp;"'!"&amp;$AG$2))),INDIRECT("'["&amp;G170&amp;"]"&amp;E170&amp;"'!"&amp;$AG$3),0)</f>
        <v>#VALUE!</v>
      </c>
      <c r="V170" s="25" t="str">
        <f t="shared" si="52"/>
        <v/>
      </c>
      <c r="W170" s="36" t="e" cm="1">
        <f t="array" aca="1" ref="W170" ca="1">IF(AND(G170=INDIRECT("'["&amp;G170&amp;"]"&amp;E170&amp;"'!"&amp;$AH$2),OR(V170=INDIRECT("'["&amp;G170&amp;"]"&amp;E170&amp;"'!"&amp;$AI$2))),INDIRECT("'["&amp;G170&amp;"]"&amp;E170&amp;"'!"&amp;$AI$3),0)</f>
        <v>#VALUE!</v>
      </c>
      <c r="AJ170" s="25">
        <v>1</v>
      </c>
      <c r="AK170" s="38">
        <f t="shared" ca="1" si="53"/>
        <v>0</v>
      </c>
      <c r="AL170" s="38">
        <f t="shared" ca="1" si="54"/>
        <v>0</v>
      </c>
      <c r="AM170" s="54" t="str">
        <f t="shared" ca="1" si="45"/>
        <v/>
      </c>
      <c r="AN170" s="25" t="e">
        <f t="shared" ca="1" si="55"/>
        <v>#VALUE!</v>
      </c>
      <c r="AO170" s="25" t="e">
        <f t="shared" ca="1" si="56"/>
        <v>#VALUE!</v>
      </c>
      <c r="AP170" s="39" t="str">
        <f t="shared" ca="1" si="46"/>
        <v/>
      </c>
      <c r="AQ170" s="46" t="str">
        <f ca="1">IF(AND(C170&lt;&gt;0, C171=0), SUM($C$2:C170)-SUM($AQ$1:AQ169), "")</f>
        <v/>
      </c>
      <c r="AR170" s="46" t="str">
        <f ca="1">IF(AND(AK170&lt;&gt;0, AK171=0), SUM($AK$2:AK170)-SUM($AR$1:AR169), "")</f>
        <v/>
      </c>
    </row>
    <row r="171" spans="1:44" ht="13.15" customHeight="1">
      <c r="A171" s="63"/>
      <c r="B171" s="68" t="str">
        <f t="shared" si="60"/>
        <v/>
      </c>
      <c r="C171" s="55" cm="1">
        <f t="array" aca="1" ref="C171" ca="1">SUM(IF(ISNUMBER(M171:U171),M171:U171,""))</f>
        <v>0</v>
      </c>
      <c r="D171" s="25" t="str">
        <f t="shared" si="58"/>
        <v/>
      </c>
      <c r="E171" s="25" t="e">
        <f t="shared" si="47"/>
        <v>#VALUE!</v>
      </c>
      <c r="F171" s="25" t="str">
        <f t="shared" si="59"/>
        <v/>
      </c>
      <c r="G171" s="25" t="str">
        <f t="shared" si="44"/>
        <v>.xlsx</v>
      </c>
      <c r="H171" s="29" t="e" cm="1">
        <f t="array" aca="1" ref="H171" ca="1">IF(AND(VALUE(E171)=INDIRECT("'["&amp;G171&amp;"]"&amp;E171&amp;"'!"&amp;$X$2),G171=INDIRECT("'["&amp;G171&amp;"]"&amp;E171&amp;"'!"&amp;$X$3)),INDIRECT("'["&amp;G171&amp;"]"&amp;E171&amp;"'!"&amp;$X$1),0)</f>
        <v>#VALUE!</v>
      </c>
      <c r="I171" s="25" t="str">
        <f t="shared" si="48"/>
        <v/>
      </c>
      <c r="J171" s="32" t="str">
        <f t="shared" si="49"/>
        <v/>
      </c>
      <c r="K171" s="25" t="str">
        <f t="shared" si="50"/>
        <v/>
      </c>
      <c r="L171" s="25" t="str">
        <f t="shared" si="51"/>
        <v/>
      </c>
      <c r="M171" s="33" t="e" cm="1">
        <f t="array" aca="1" ref="M171" ca="1">IF(AND(J171=INDIRECT("'["&amp;G171&amp;"]"&amp;E171&amp;"'!"&amp;$Y$2),G171=INDIRECT("'["&amp;G171&amp;"]"&amp;E171&amp;"'!"&amp;$AH$2)),INDIRECT("'["&amp;G171&amp;"]"&amp;E171&amp;"'!"&amp;$Y$3),0)</f>
        <v>#VALUE!</v>
      </c>
      <c r="N171" s="34" t="e" cm="1">
        <f t="array" aca="1" ref="N171" ca="1">IF(AND(G171=INDIRECT("'["&amp;G171&amp;"]"&amp;E171&amp;"'!"&amp;$AH$2),OR(K171=INDIRECT("'["&amp;G171&amp;"]"&amp;E171&amp;"'!"&amp;$Z$2))),INDIRECT("'["&amp;G171&amp;"]"&amp;E171&amp;"'!"&amp;$Z$3),0)</f>
        <v>#VALUE!</v>
      </c>
      <c r="O171" s="34" t="e" cm="1">
        <f t="array" aca="1" ref="O171" ca="1">IF(AND(G171=INDIRECT("'["&amp;G171&amp;"]"&amp;E171&amp;"'!"&amp;$AH$2),OR(L171=INDIRECT("'["&amp;G171&amp;"]"&amp;E171&amp;"'!"&amp;$AA$2))),INDIRECT("'["&amp;G171&amp;"]"&amp;E171&amp;"'!"&amp;$AA$3),0)</f>
        <v>#VALUE!</v>
      </c>
      <c r="P171" s="34" t="e" cm="1">
        <f t="array" aca="1" ref="P171" ca="1">IF(AND(G171=INDIRECT("'["&amp;G171&amp;"]"&amp;E171&amp;"'!"&amp;$AH$2),OR(VALUE(I171)=INDIRECT("'["&amp;G171&amp;"]"&amp;E171&amp;"'!"&amp;$AB$2))),INDIRECT("'["&amp;G171&amp;"]"&amp;E171&amp;"'!"&amp;$AB$3),0)</f>
        <v>#VALUE!</v>
      </c>
      <c r="Q171" s="34" t="e" cm="1">
        <f t="array" aca="1" ref="Q171" ca="1">IF(AND(G171=INDIRECT("'["&amp;G171&amp;"]"&amp;E171&amp;"'!"&amp;$AH$2),OR(VALUE(I171)=INDIRECT("'["&amp;G171&amp;"]"&amp;E171&amp;"'!"&amp;$AC$2))),INDIRECT("'["&amp;G171&amp;"]"&amp;E171&amp;"'!"&amp;$AC$3),0)</f>
        <v>#VALUE!</v>
      </c>
      <c r="R171" s="34" t="e" cm="1">
        <f t="array" aca="1" ref="R171" ca="1">IF(AND(G171=INDIRECT("'["&amp;G171&amp;"]"&amp;E171&amp;"'!"&amp;$AH$2),OR(I171=INDIRECT("'["&amp;G171&amp;"]"&amp;E171&amp;"'!"&amp;$AD$2))),INDIRECT("'["&amp;G171&amp;"]"&amp;E171&amp;"'!"&amp;$AD$3),0)</f>
        <v>#VALUE!</v>
      </c>
      <c r="S171" s="34" t="e" cm="1">
        <f t="array" aca="1" ref="S171" ca="1">IF(AND(G171=INDIRECT("'["&amp;G171&amp;"]"&amp;E171&amp;"'!"&amp;$AH$2),OR(I171=INDIRECT("'["&amp;G171&amp;"]"&amp;E171&amp;"'!"&amp;$AE$2))),INDIRECT("'["&amp;G171&amp;"]"&amp;E171&amp;"'!"&amp;$AE$3),0)</f>
        <v>#VALUE!</v>
      </c>
      <c r="T171" s="35" t="e" cm="1">
        <f t="array" aca="1" ref="T171" ca="1">IF(AND(G171=INDIRECT("'["&amp;G171&amp;"]"&amp;E171&amp;"'!"&amp;$AH$2),OR(I171=INDIRECT("'["&amp;G171&amp;"]"&amp;E171&amp;"'!"&amp;$AF$2))),INDIRECT("'["&amp;G171&amp;"]"&amp;E171&amp;"'!"&amp;$AF$3),0)</f>
        <v>#VALUE!</v>
      </c>
      <c r="U171" s="34" t="e" cm="1">
        <f t="array" aca="1" ref="U171" ca="1">IF(AND(G171=INDIRECT("'["&amp;G171&amp;"]"&amp;E171&amp;"'!"&amp;$AH$2),OR(I171=INDIRECT("'["&amp;G171&amp;"]"&amp;E171&amp;"'!"&amp;$AG$2))),INDIRECT("'["&amp;G171&amp;"]"&amp;E171&amp;"'!"&amp;$AG$3),0)</f>
        <v>#VALUE!</v>
      </c>
      <c r="V171" s="25" t="str">
        <f t="shared" si="52"/>
        <v/>
      </c>
      <c r="W171" s="36" t="e" cm="1">
        <f t="array" aca="1" ref="W171" ca="1">IF(AND(G171=INDIRECT("'["&amp;G171&amp;"]"&amp;E171&amp;"'!"&amp;$AH$2),OR(V171=INDIRECT("'["&amp;G171&amp;"]"&amp;E171&amp;"'!"&amp;$AI$2))),INDIRECT("'["&amp;G171&amp;"]"&amp;E171&amp;"'!"&amp;$AI$3),0)</f>
        <v>#VALUE!</v>
      </c>
      <c r="AJ171" s="25">
        <v>1</v>
      </c>
      <c r="AK171" s="38">
        <f t="shared" ca="1" si="53"/>
        <v>0</v>
      </c>
      <c r="AL171" s="38">
        <f t="shared" ca="1" si="54"/>
        <v>0</v>
      </c>
      <c r="AM171" s="54" t="str">
        <f t="shared" ca="1" si="45"/>
        <v/>
      </c>
      <c r="AN171" s="25" t="e">
        <f t="shared" ca="1" si="55"/>
        <v>#VALUE!</v>
      </c>
      <c r="AO171" s="25" t="e">
        <f t="shared" ca="1" si="56"/>
        <v>#VALUE!</v>
      </c>
      <c r="AP171" s="39" t="str">
        <f t="shared" ca="1" si="46"/>
        <v/>
      </c>
      <c r="AQ171" s="46" t="str">
        <f ca="1">IF(AND(C171&lt;&gt;0, C172=0), SUM($C$2:C171)-SUM($AQ$1:AQ170), "")</f>
        <v/>
      </c>
      <c r="AR171" s="46" t="str">
        <f ca="1">IF(AND(AK171&lt;&gt;0, AK172=0), SUM($AK$2:AK171)-SUM($AR$1:AR170), "")</f>
        <v/>
      </c>
    </row>
    <row r="172" spans="1:44" ht="13.15" customHeight="1">
      <c r="A172" s="63"/>
      <c r="B172" s="68" t="str">
        <f t="shared" si="60"/>
        <v/>
      </c>
      <c r="C172" s="55" cm="1">
        <f t="array" aca="1" ref="C172" ca="1">SUM(IF(ISNUMBER(M172:U172),M172:U172,""))</f>
        <v>0</v>
      </c>
      <c r="D172" s="25" t="str">
        <f t="shared" si="58"/>
        <v/>
      </c>
      <c r="E172" s="25" t="e">
        <f t="shared" si="47"/>
        <v>#VALUE!</v>
      </c>
      <c r="F172" s="25" t="str">
        <f t="shared" si="59"/>
        <v/>
      </c>
      <c r="G172" s="25" t="str">
        <f t="shared" si="44"/>
        <v>.xlsx</v>
      </c>
      <c r="H172" s="29" t="e" cm="1">
        <f t="array" aca="1" ref="H172" ca="1">IF(AND(VALUE(E172)=INDIRECT("'["&amp;G172&amp;"]"&amp;E172&amp;"'!"&amp;$X$2),G172=INDIRECT("'["&amp;G172&amp;"]"&amp;E172&amp;"'!"&amp;$X$3)),INDIRECT("'["&amp;G172&amp;"]"&amp;E172&amp;"'!"&amp;$X$1),0)</f>
        <v>#VALUE!</v>
      </c>
      <c r="I172" s="25" t="str">
        <f t="shared" si="48"/>
        <v/>
      </c>
      <c r="J172" s="32" t="str">
        <f t="shared" si="49"/>
        <v/>
      </c>
      <c r="K172" s="25" t="str">
        <f t="shared" si="50"/>
        <v/>
      </c>
      <c r="L172" s="25" t="str">
        <f t="shared" si="51"/>
        <v/>
      </c>
      <c r="M172" s="33" t="e" cm="1">
        <f t="array" aca="1" ref="M172" ca="1">IF(AND(J172=INDIRECT("'["&amp;G172&amp;"]"&amp;E172&amp;"'!"&amp;$Y$2),G172=INDIRECT("'["&amp;G172&amp;"]"&amp;E172&amp;"'!"&amp;$AH$2)),INDIRECT("'["&amp;G172&amp;"]"&amp;E172&amp;"'!"&amp;$Y$3),0)</f>
        <v>#VALUE!</v>
      </c>
      <c r="N172" s="34" t="e" cm="1">
        <f t="array" aca="1" ref="N172" ca="1">IF(AND(G172=INDIRECT("'["&amp;G172&amp;"]"&amp;E172&amp;"'!"&amp;$AH$2),OR(K172=INDIRECT("'["&amp;G172&amp;"]"&amp;E172&amp;"'!"&amp;$Z$2))),INDIRECT("'["&amp;G172&amp;"]"&amp;E172&amp;"'!"&amp;$Z$3),0)</f>
        <v>#VALUE!</v>
      </c>
      <c r="O172" s="34" t="e" cm="1">
        <f t="array" aca="1" ref="O172" ca="1">IF(AND(G172=INDIRECT("'["&amp;G172&amp;"]"&amp;E172&amp;"'!"&amp;$AH$2),OR(L172=INDIRECT("'["&amp;G172&amp;"]"&amp;E172&amp;"'!"&amp;$AA$2))),INDIRECT("'["&amp;G172&amp;"]"&amp;E172&amp;"'!"&amp;$AA$3),0)</f>
        <v>#VALUE!</v>
      </c>
      <c r="P172" s="34" t="e" cm="1">
        <f t="array" aca="1" ref="P172" ca="1">IF(AND(G172=INDIRECT("'["&amp;G172&amp;"]"&amp;E172&amp;"'!"&amp;$AH$2),OR(VALUE(I172)=INDIRECT("'["&amp;G172&amp;"]"&amp;E172&amp;"'!"&amp;$AB$2))),INDIRECT("'["&amp;G172&amp;"]"&amp;E172&amp;"'!"&amp;$AB$3),0)</f>
        <v>#VALUE!</v>
      </c>
      <c r="Q172" s="34" t="e" cm="1">
        <f t="array" aca="1" ref="Q172" ca="1">IF(AND(G172=INDIRECT("'["&amp;G172&amp;"]"&amp;E172&amp;"'!"&amp;$AH$2),OR(VALUE(I172)=INDIRECT("'["&amp;G172&amp;"]"&amp;E172&amp;"'!"&amp;$AC$2))),INDIRECT("'["&amp;G172&amp;"]"&amp;E172&amp;"'!"&amp;$AC$3),0)</f>
        <v>#VALUE!</v>
      </c>
      <c r="R172" s="34" t="e" cm="1">
        <f t="array" aca="1" ref="R172" ca="1">IF(AND(G172=INDIRECT("'["&amp;G172&amp;"]"&amp;E172&amp;"'!"&amp;$AH$2),OR(I172=INDIRECT("'["&amp;G172&amp;"]"&amp;E172&amp;"'!"&amp;$AD$2))),INDIRECT("'["&amp;G172&amp;"]"&amp;E172&amp;"'!"&amp;$AD$3),0)</f>
        <v>#VALUE!</v>
      </c>
      <c r="S172" s="34" t="e" cm="1">
        <f t="array" aca="1" ref="S172" ca="1">IF(AND(G172=INDIRECT("'["&amp;G172&amp;"]"&amp;E172&amp;"'!"&amp;$AH$2),OR(I172=INDIRECT("'["&amp;G172&amp;"]"&amp;E172&amp;"'!"&amp;$AE$2))),INDIRECT("'["&amp;G172&amp;"]"&amp;E172&amp;"'!"&amp;$AE$3),0)</f>
        <v>#VALUE!</v>
      </c>
      <c r="T172" s="35" t="e" cm="1">
        <f t="array" aca="1" ref="T172" ca="1">IF(AND(G172=INDIRECT("'["&amp;G172&amp;"]"&amp;E172&amp;"'!"&amp;$AH$2),OR(I172=INDIRECT("'["&amp;G172&amp;"]"&amp;E172&amp;"'!"&amp;$AF$2))),INDIRECT("'["&amp;G172&amp;"]"&amp;E172&amp;"'!"&amp;$AF$3),0)</f>
        <v>#VALUE!</v>
      </c>
      <c r="U172" s="34" t="e" cm="1">
        <f t="array" aca="1" ref="U172" ca="1">IF(AND(G172=INDIRECT("'["&amp;G172&amp;"]"&amp;E172&amp;"'!"&amp;$AH$2),OR(I172=INDIRECT("'["&amp;G172&amp;"]"&amp;E172&amp;"'!"&amp;$AG$2))),INDIRECT("'["&amp;G172&amp;"]"&amp;E172&amp;"'!"&amp;$AG$3),0)</f>
        <v>#VALUE!</v>
      </c>
      <c r="V172" s="25" t="str">
        <f t="shared" si="52"/>
        <v/>
      </c>
      <c r="W172" s="36" t="e" cm="1">
        <f t="array" aca="1" ref="W172" ca="1">IF(AND(G172=INDIRECT("'["&amp;G172&amp;"]"&amp;E172&amp;"'!"&amp;$AH$2),OR(V172=INDIRECT("'["&amp;G172&amp;"]"&amp;E172&amp;"'!"&amp;$AI$2))),INDIRECT("'["&amp;G172&amp;"]"&amp;E172&amp;"'!"&amp;$AI$3),0)</f>
        <v>#VALUE!</v>
      </c>
      <c r="AJ172" s="25">
        <v>1</v>
      </c>
      <c r="AK172" s="38">
        <f t="shared" ca="1" si="53"/>
        <v>0</v>
      </c>
      <c r="AL172" s="38">
        <f t="shared" ca="1" si="54"/>
        <v>0</v>
      </c>
      <c r="AM172" s="54" t="str">
        <f t="shared" ca="1" si="45"/>
        <v/>
      </c>
      <c r="AN172" s="25" t="e">
        <f t="shared" ca="1" si="55"/>
        <v>#VALUE!</v>
      </c>
      <c r="AO172" s="25" t="e">
        <f t="shared" ca="1" si="56"/>
        <v>#VALUE!</v>
      </c>
      <c r="AP172" s="39" t="str">
        <f t="shared" ca="1" si="46"/>
        <v/>
      </c>
      <c r="AQ172" s="46" t="str">
        <f ca="1">IF(AND(C172&lt;&gt;0, C173=0), SUM($C$2:C172)-SUM($AQ$1:AQ171), "")</f>
        <v/>
      </c>
      <c r="AR172" s="46" t="str">
        <f ca="1">IF(AND(AK172&lt;&gt;0, AK173=0), SUM($AK$2:AK172)-SUM($AR$1:AR171), "")</f>
        <v/>
      </c>
    </row>
    <row r="173" spans="1:44" ht="13.15" customHeight="1">
      <c r="A173" s="63"/>
      <c r="B173" s="68" t="str">
        <f t="shared" si="60"/>
        <v/>
      </c>
      <c r="C173" s="55" cm="1">
        <f t="array" aca="1" ref="C173" ca="1">SUM(IF(ISNUMBER(M173:U173),M173:U173,""))</f>
        <v>0</v>
      </c>
      <c r="D173" s="25" t="str">
        <f t="shared" si="58"/>
        <v/>
      </c>
      <c r="E173" s="25" t="e">
        <f t="shared" si="47"/>
        <v>#VALUE!</v>
      </c>
      <c r="F173" s="25" t="str">
        <f t="shared" si="59"/>
        <v/>
      </c>
      <c r="G173" s="25" t="str">
        <f t="shared" si="44"/>
        <v>.xlsx</v>
      </c>
      <c r="H173" s="29" t="e" cm="1">
        <f t="array" aca="1" ref="H173" ca="1">IF(AND(VALUE(E173)=INDIRECT("'["&amp;G173&amp;"]"&amp;E173&amp;"'!"&amp;$X$2),G173=INDIRECT("'["&amp;G173&amp;"]"&amp;E173&amp;"'!"&amp;$X$3)),INDIRECT("'["&amp;G173&amp;"]"&amp;E173&amp;"'!"&amp;$X$1),0)</f>
        <v>#VALUE!</v>
      </c>
      <c r="I173" s="25" t="str">
        <f t="shared" si="48"/>
        <v/>
      </c>
      <c r="J173" s="32" t="str">
        <f t="shared" si="49"/>
        <v/>
      </c>
      <c r="K173" s="25" t="str">
        <f t="shared" si="50"/>
        <v/>
      </c>
      <c r="L173" s="25" t="str">
        <f t="shared" si="51"/>
        <v/>
      </c>
      <c r="M173" s="33" t="e" cm="1">
        <f t="array" aca="1" ref="M173" ca="1">IF(AND(J173=INDIRECT("'["&amp;G173&amp;"]"&amp;E173&amp;"'!"&amp;$Y$2),G173=INDIRECT("'["&amp;G173&amp;"]"&amp;E173&amp;"'!"&amp;$AH$2)),INDIRECT("'["&amp;G173&amp;"]"&amp;E173&amp;"'!"&amp;$Y$3),0)</f>
        <v>#VALUE!</v>
      </c>
      <c r="N173" s="34" t="e" cm="1">
        <f t="array" aca="1" ref="N173" ca="1">IF(AND(G173=INDIRECT("'["&amp;G173&amp;"]"&amp;E173&amp;"'!"&amp;$AH$2),OR(K173=INDIRECT("'["&amp;G173&amp;"]"&amp;E173&amp;"'!"&amp;$Z$2))),INDIRECT("'["&amp;G173&amp;"]"&amp;E173&amp;"'!"&amp;$Z$3),0)</f>
        <v>#VALUE!</v>
      </c>
      <c r="O173" s="34" t="e" cm="1">
        <f t="array" aca="1" ref="O173" ca="1">IF(AND(G173=INDIRECT("'["&amp;G173&amp;"]"&amp;E173&amp;"'!"&amp;$AH$2),OR(L173=INDIRECT("'["&amp;G173&amp;"]"&amp;E173&amp;"'!"&amp;$AA$2))),INDIRECT("'["&amp;G173&amp;"]"&amp;E173&amp;"'!"&amp;$AA$3),0)</f>
        <v>#VALUE!</v>
      </c>
      <c r="P173" s="34" t="e" cm="1">
        <f t="array" aca="1" ref="P173" ca="1">IF(AND(G173=INDIRECT("'["&amp;G173&amp;"]"&amp;E173&amp;"'!"&amp;$AH$2),OR(VALUE(I173)=INDIRECT("'["&amp;G173&amp;"]"&amp;E173&amp;"'!"&amp;$AB$2))),INDIRECT("'["&amp;G173&amp;"]"&amp;E173&amp;"'!"&amp;$AB$3),0)</f>
        <v>#VALUE!</v>
      </c>
      <c r="Q173" s="34" t="e" cm="1">
        <f t="array" aca="1" ref="Q173" ca="1">IF(AND(G173=INDIRECT("'["&amp;G173&amp;"]"&amp;E173&amp;"'!"&amp;$AH$2),OR(VALUE(I173)=INDIRECT("'["&amp;G173&amp;"]"&amp;E173&amp;"'!"&amp;$AC$2))),INDIRECT("'["&amp;G173&amp;"]"&amp;E173&amp;"'!"&amp;$AC$3),0)</f>
        <v>#VALUE!</v>
      </c>
      <c r="R173" s="34" t="e" cm="1">
        <f t="array" aca="1" ref="R173" ca="1">IF(AND(G173=INDIRECT("'["&amp;G173&amp;"]"&amp;E173&amp;"'!"&amp;$AH$2),OR(I173=INDIRECT("'["&amp;G173&amp;"]"&amp;E173&amp;"'!"&amp;$AD$2))),INDIRECT("'["&amp;G173&amp;"]"&amp;E173&amp;"'!"&amp;$AD$3),0)</f>
        <v>#VALUE!</v>
      </c>
      <c r="S173" s="34" t="e" cm="1">
        <f t="array" aca="1" ref="S173" ca="1">IF(AND(G173=INDIRECT("'["&amp;G173&amp;"]"&amp;E173&amp;"'!"&amp;$AH$2),OR(I173=INDIRECT("'["&amp;G173&amp;"]"&amp;E173&amp;"'!"&amp;$AE$2))),INDIRECT("'["&amp;G173&amp;"]"&amp;E173&amp;"'!"&amp;$AE$3),0)</f>
        <v>#VALUE!</v>
      </c>
      <c r="T173" s="35" t="e" cm="1">
        <f t="array" aca="1" ref="T173" ca="1">IF(AND(G173=INDIRECT("'["&amp;G173&amp;"]"&amp;E173&amp;"'!"&amp;$AH$2),OR(I173=INDIRECT("'["&amp;G173&amp;"]"&amp;E173&amp;"'!"&amp;$AF$2))),INDIRECT("'["&amp;G173&amp;"]"&amp;E173&amp;"'!"&amp;$AF$3),0)</f>
        <v>#VALUE!</v>
      </c>
      <c r="U173" s="34" t="e" cm="1">
        <f t="array" aca="1" ref="U173" ca="1">IF(AND(G173=INDIRECT("'["&amp;G173&amp;"]"&amp;E173&amp;"'!"&amp;$AH$2),OR(I173=INDIRECT("'["&amp;G173&amp;"]"&amp;E173&amp;"'!"&amp;$AG$2))),INDIRECT("'["&amp;G173&amp;"]"&amp;E173&amp;"'!"&amp;$AG$3),0)</f>
        <v>#VALUE!</v>
      </c>
      <c r="V173" s="25" t="str">
        <f t="shared" si="52"/>
        <v/>
      </c>
      <c r="W173" s="36" t="e" cm="1">
        <f t="array" aca="1" ref="W173" ca="1">IF(AND(G173=INDIRECT("'["&amp;G173&amp;"]"&amp;E173&amp;"'!"&amp;$AH$2),OR(V173=INDIRECT("'["&amp;G173&amp;"]"&amp;E173&amp;"'!"&amp;$AI$2))),INDIRECT("'["&amp;G173&amp;"]"&amp;E173&amp;"'!"&amp;$AI$3),0)</f>
        <v>#VALUE!</v>
      </c>
      <c r="AJ173" s="25">
        <v>1</v>
      </c>
      <c r="AK173" s="38">
        <f t="shared" ca="1" si="53"/>
        <v>0</v>
      </c>
      <c r="AL173" s="38">
        <f t="shared" ca="1" si="54"/>
        <v>0</v>
      </c>
      <c r="AM173" s="54" t="str">
        <f t="shared" ca="1" si="45"/>
        <v/>
      </c>
      <c r="AN173" s="25" t="e">
        <f t="shared" ca="1" si="55"/>
        <v>#VALUE!</v>
      </c>
      <c r="AO173" s="25" t="e">
        <f t="shared" ca="1" si="56"/>
        <v>#VALUE!</v>
      </c>
      <c r="AP173" s="39" t="str">
        <f t="shared" ca="1" si="46"/>
        <v/>
      </c>
      <c r="AQ173" s="46" t="str">
        <f ca="1">IF(AND(C173&lt;&gt;0, C174=0), SUM($C$2:C173)-SUM($AQ$1:AQ172), "")</f>
        <v/>
      </c>
      <c r="AR173" s="46" t="str">
        <f ca="1">IF(AND(AK173&lt;&gt;0, AK174=0), SUM($AK$2:AK173)-SUM($AR$1:AR172), "")</f>
        <v/>
      </c>
    </row>
    <row r="174" spans="1:44" ht="13.15" customHeight="1">
      <c r="A174" s="63"/>
      <c r="B174" s="68" t="str">
        <f t="shared" si="60"/>
        <v/>
      </c>
      <c r="C174" s="55" cm="1">
        <f t="array" aca="1" ref="C174" ca="1">SUM(IF(ISNUMBER(M174:U174),M174:U174,""))</f>
        <v>0</v>
      </c>
      <c r="D174" s="25" t="str">
        <f t="shared" si="58"/>
        <v/>
      </c>
      <c r="E174" s="25" t="e">
        <f t="shared" si="47"/>
        <v>#VALUE!</v>
      </c>
      <c r="F174" s="25" t="str">
        <f t="shared" si="59"/>
        <v/>
      </c>
      <c r="G174" s="25" t="str">
        <f t="shared" si="44"/>
        <v>.xlsx</v>
      </c>
      <c r="H174" s="29" t="e" cm="1">
        <f t="array" aca="1" ref="H174" ca="1">IF(AND(VALUE(E174)=INDIRECT("'["&amp;G174&amp;"]"&amp;E174&amp;"'!"&amp;$X$2),G174=INDIRECT("'["&amp;G174&amp;"]"&amp;E174&amp;"'!"&amp;$X$3)),INDIRECT("'["&amp;G174&amp;"]"&amp;E174&amp;"'!"&amp;$X$1),0)</f>
        <v>#VALUE!</v>
      </c>
      <c r="I174" s="25" t="str">
        <f t="shared" si="48"/>
        <v/>
      </c>
      <c r="J174" s="32" t="str">
        <f t="shared" si="49"/>
        <v/>
      </c>
      <c r="K174" s="25" t="str">
        <f t="shared" si="50"/>
        <v/>
      </c>
      <c r="L174" s="25" t="str">
        <f t="shared" si="51"/>
        <v/>
      </c>
      <c r="M174" s="33" t="e" cm="1">
        <f t="array" aca="1" ref="M174" ca="1">IF(AND(J174=INDIRECT("'["&amp;G174&amp;"]"&amp;E174&amp;"'!"&amp;$Y$2),G174=INDIRECT("'["&amp;G174&amp;"]"&amp;E174&amp;"'!"&amp;$AH$2)),INDIRECT("'["&amp;G174&amp;"]"&amp;E174&amp;"'!"&amp;$Y$3),0)</f>
        <v>#VALUE!</v>
      </c>
      <c r="N174" s="34" t="e" cm="1">
        <f t="array" aca="1" ref="N174" ca="1">IF(AND(G174=INDIRECT("'["&amp;G174&amp;"]"&amp;E174&amp;"'!"&amp;$AH$2),OR(K174=INDIRECT("'["&amp;G174&amp;"]"&amp;E174&amp;"'!"&amp;$Z$2))),INDIRECT("'["&amp;G174&amp;"]"&amp;E174&amp;"'!"&amp;$Z$3),0)</f>
        <v>#VALUE!</v>
      </c>
      <c r="O174" s="34" t="e" cm="1">
        <f t="array" aca="1" ref="O174" ca="1">IF(AND(G174=INDIRECT("'["&amp;G174&amp;"]"&amp;E174&amp;"'!"&amp;$AH$2),OR(L174=INDIRECT("'["&amp;G174&amp;"]"&amp;E174&amp;"'!"&amp;$AA$2))),INDIRECT("'["&amp;G174&amp;"]"&amp;E174&amp;"'!"&amp;$AA$3),0)</f>
        <v>#VALUE!</v>
      </c>
      <c r="P174" s="34" t="e" cm="1">
        <f t="array" aca="1" ref="P174" ca="1">IF(AND(G174=INDIRECT("'["&amp;G174&amp;"]"&amp;E174&amp;"'!"&amp;$AH$2),OR(VALUE(I174)=INDIRECT("'["&amp;G174&amp;"]"&amp;E174&amp;"'!"&amp;$AB$2))),INDIRECT("'["&amp;G174&amp;"]"&amp;E174&amp;"'!"&amp;$AB$3),0)</f>
        <v>#VALUE!</v>
      </c>
      <c r="Q174" s="34" t="e" cm="1">
        <f t="array" aca="1" ref="Q174" ca="1">IF(AND(G174=INDIRECT("'["&amp;G174&amp;"]"&amp;E174&amp;"'!"&amp;$AH$2),OR(VALUE(I174)=INDIRECT("'["&amp;G174&amp;"]"&amp;E174&amp;"'!"&amp;$AC$2))),INDIRECT("'["&amp;G174&amp;"]"&amp;E174&amp;"'!"&amp;$AC$3),0)</f>
        <v>#VALUE!</v>
      </c>
      <c r="R174" s="34" t="e" cm="1">
        <f t="array" aca="1" ref="R174" ca="1">IF(AND(G174=INDIRECT("'["&amp;G174&amp;"]"&amp;E174&amp;"'!"&amp;$AH$2),OR(I174=INDIRECT("'["&amp;G174&amp;"]"&amp;E174&amp;"'!"&amp;$AD$2))),INDIRECT("'["&amp;G174&amp;"]"&amp;E174&amp;"'!"&amp;$AD$3),0)</f>
        <v>#VALUE!</v>
      </c>
      <c r="S174" s="34" t="e" cm="1">
        <f t="array" aca="1" ref="S174" ca="1">IF(AND(G174=INDIRECT("'["&amp;G174&amp;"]"&amp;E174&amp;"'!"&amp;$AH$2),OR(I174=INDIRECT("'["&amp;G174&amp;"]"&amp;E174&amp;"'!"&amp;$AE$2))),INDIRECT("'["&amp;G174&amp;"]"&amp;E174&amp;"'!"&amp;$AE$3),0)</f>
        <v>#VALUE!</v>
      </c>
      <c r="T174" s="35" t="e" cm="1">
        <f t="array" aca="1" ref="T174" ca="1">IF(AND(G174=INDIRECT("'["&amp;G174&amp;"]"&amp;E174&amp;"'!"&amp;$AH$2),OR(I174=INDIRECT("'["&amp;G174&amp;"]"&amp;E174&amp;"'!"&amp;$AF$2))),INDIRECT("'["&amp;G174&amp;"]"&amp;E174&amp;"'!"&amp;$AF$3),0)</f>
        <v>#VALUE!</v>
      </c>
      <c r="U174" s="34" t="e" cm="1">
        <f t="array" aca="1" ref="U174" ca="1">IF(AND(G174=INDIRECT("'["&amp;G174&amp;"]"&amp;E174&amp;"'!"&amp;$AH$2),OR(I174=INDIRECT("'["&amp;G174&amp;"]"&amp;E174&amp;"'!"&amp;$AG$2))),INDIRECT("'["&amp;G174&amp;"]"&amp;E174&amp;"'!"&amp;$AG$3),0)</f>
        <v>#VALUE!</v>
      </c>
      <c r="V174" s="25" t="str">
        <f t="shared" si="52"/>
        <v/>
      </c>
      <c r="W174" s="36" t="e" cm="1">
        <f t="array" aca="1" ref="W174" ca="1">IF(AND(G174=INDIRECT("'["&amp;G174&amp;"]"&amp;E174&amp;"'!"&amp;$AH$2),OR(V174=INDIRECT("'["&amp;G174&amp;"]"&amp;E174&amp;"'!"&amp;$AI$2))),INDIRECT("'["&amp;G174&amp;"]"&amp;E174&amp;"'!"&amp;$AI$3),0)</f>
        <v>#VALUE!</v>
      </c>
      <c r="AJ174" s="25">
        <v>1</v>
      </c>
      <c r="AK174" s="38">
        <f t="shared" ca="1" si="53"/>
        <v>0</v>
      </c>
      <c r="AL174" s="38">
        <f t="shared" ca="1" si="54"/>
        <v>0</v>
      </c>
      <c r="AM174" s="54" t="str">
        <f t="shared" ca="1" si="45"/>
        <v/>
      </c>
      <c r="AN174" s="25" t="e">
        <f t="shared" ca="1" si="55"/>
        <v>#VALUE!</v>
      </c>
      <c r="AO174" s="25" t="e">
        <f t="shared" ca="1" si="56"/>
        <v>#VALUE!</v>
      </c>
      <c r="AP174" s="39" t="str">
        <f t="shared" ca="1" si="46"/>
        <v/>
      </c>
      <c r="AQ174" s="46" t="str">
        <f ca="1">IF(AND(C174&lt;&gt;0, C175=0), SUM($C$2:C174)-SUM($AQ$1:AQ173), "")</f>
        <v/>
      </c>
      <c r="AR174" s="46" t="str">
        <f ca="1">IF(AND(AK174&lt;&gt;0, AK175=0), SUM($AK$2:AK174)-SUM($AR$1:AR173), "")</f>
        <v/>
      </c>
    </row>
    <row r="175" spans="1:44" ht="13.15" customHeight="1">
      <c r="A175" s="63"/>
      <c r="B175" s="68" t="str">
        <f t="shared" si="60"/>
        <v/>
      </c>
      <c r="C175" s="55" cm="1">
        <f t="array" aca="1" ref="C175" ca="1">SUM(IF(ISNUMBER(M175:U175),M175:U175,""))</f>
        <v>0</v>
      </c>
      <c r="D175" s="25" t="str">
        <f t="shared" si="58"/>
        <v/>
      </c>
      <c r="E175" s="25" t="e">
        <f t="shared" si="47"/>
        <v>#VALUE!</v>
      </c>
      <c r="F175" s="25" t="str">
        <f t="shared" si="59"/>
        <v/>
      </c>
      <c r="G175" s="25" t="str">
        <f t="shared" si="44"/>
        <v>.xlsx</v>
      </c>
      <c r="H175" s="29" t="e" cm="1">
        <f t="array" aca="1" ref="H175" ca="1">IF(AND(VALUE(E175)=INDIRECT("'["&amp;G175&amp;"]"&amp;E175&amp;"'!"&amp;$X$2),G175=INDIRECT("'["&amp;G175&amp;"]"&amp;E175&amp;"'!"&amp;$X$3)),INDIRECT("'["&amp;G175&amp;"]"&amp;E175&amp;"'!"&amp;$X$1),0)</f>
        <v>#VALUE!</v>
      </c>
      <c r="I175" s="25" t="str">
        <f t="shared" si="48"/>
        <v/>
      </c>
      <c r="J175" s="32" t="str">
        <f t="shared" si="49"/>
        <v/>
      </c>
      <c r="K175" s="25" t="str">
        <f t="shared" si="50"/>
        <v/>
      </c>
      <c r="L175" s="25" t="str">
        <f t="shared" si="51"/>
        <v/>
      </c>
      <c r="M175" s="33" t="e" cm="1">
        <f t="array" aca="1" ref="M175" ca="1">IF(AND(J175=INDIRECT("'["&amp;G175&amp;"]"&amp;E175&amp;"'!"&amp;$Y$2),G175=INDIRECT("'["&amp;G175&amp;"]"&amp;E175&amp;"'!"&amp;$AH$2)),INDIRECT("'["&amp;G175&amp;"]"&amp;E175&amp;"'!"&amp;$Y$3),0)</f>
        <v>#VALUE!</v>
      </c>
      <c r="N175" s="34" t="e" cm="1">
        <f t="array" aca="1" ref="N175" ca="1">IF(AND(G175=INDIRECT("'["&amp;G175&amp;"]"&amp;E175&amp;"'!"&amp;$AH$2),OR(K175=INDIRECT("'["&amp;G175&amp;"]"&amp;E175&amp;"'!"&amp;$Z$2))),INDIRECT("'["&amp;G175&amp;"]"&amp;E175&amp;"'!"&amp;$Z$3),0)</f>
        <v>#VALUE!</v>
      </c>
      <c r="O175" s="34" t="e" cm="1">
        <f t="array" aca="1" ref="O175" ca="1">IF(AND(G175=INDIRECT("'["&amp;G175&amp;"]"&amp;E175&amp;"'!"&amp;$AH$2),OR(L175=INDIRECT("'["&amp;G175&amp;"]"&amp;E175&amp;"'!"&amp;$AA$2))),INDIRECT("'["&amp;G175&amp;"]"&amp;E175&amp;"'!"&amp;$AA$3),0)</f>
        <v>#VALUE!</v>
      </c>
      <c r="P175" s="34" t="e" cm="1">
        <f t="array" aca="1" ref="P175" ca="1">IF(AND(G175=INDIRECT("'["&amp;G175&amp;"]"&amp;E175&amp;"'!"&amp;$AH$2),OR(VALUE(I175)=INDIRECT("'["&amp;G175&amp;"]"&amp;E175&amp;"'!"&amp;$AB$2))),INDIRECT("'["&amp;G175&amp;"]"&amp;E175&amp;"'!"&amp;$AB$3),0)</f>
        <v>#VALUE!</v>
      </c>
      <c r="Q175" s="34" t="e" cm="1">
        <f t="array" aca="1" ref="Q175" ca="1">IF(AND(G175=INDIRECT("'["&amp;G175&amp;"]"&amp;E175&amp;"'!"&amp;$AH$2),OR(VALUE(I175)=INDIRECT("'["&amp;G175&amp;"]"&amp;E175&amp;"'!"&amp;$AC$2))),INDIRECT("'["&amp;G175&amp;"]"&amp;E175&amp;"'!"&amp;$AC$3),0)</f>
        <v>#VALUE!</v>
      </c>
      <c r="R175" s="34" t="e" cm="1">
        <f t="array" aca="1" ref="R175" ca="1">IF(AND(G175=INDIRECT("'["&amp;G175&amp;"]"&amp;E175&amp;"'!"&amp;$AH$2),OR(I175=INDIRECT("'["&amp;G175&amp;"]"&amp;E175&amp;"'!"&amp;$AD$2))),INDIRECT("'["&amp;G175&amp;"]"&amp;E175&amp;"'!"&amp;$AD$3),0)</f>
        <v>#VALUE!</v>
      </c>
      <c r="S175" s="34" t="e" cm="1">
        <f t="array" aca="1" ref="S175" ca="1">IF(AND(G175=INDIRECT("'["&amp;G175&amp;"]"&amp;E175&amp;"'!"&amp;$AH$2),OR(I175=INDIRECT("'["&amp;G175&amp;"]"&amp;E175&amp;"'!"&amp;$AE$2))),INDIRECT("'["&amp;G175&amp;"]"&amp;E175&amp;"'!"&amp;$AE$3),0)</f>
        <v>#VALUE!</v>
      </c>
      <c r="T175" s="35" t="e" cm="1">
        <f t="array" aca="1" ref="T175" ca="1">IF(AND(G175=INDIRECT("'["&amp;G175&amp;"]"&amp;E175&amp;"'!"&amp;$AH$2),OR(I175=INDIRECT("'["&amp;G175&amp;"]"&amp;E175&amp;"'!"&amp;$AF$2))),INDIRECT("'["&amp;G175&amp;"]"&amp;E175&amp;"'!"&amp;$AF$3),0)</f>
        <v>#VALUE!</v>
      </c>
      <c r="U175" s="34" t="e" cm="1">
        <f t="array" aca="1" ref="U175" ca="1">IF(AND(G175=INDIRECT("'["&amp;G175&amp;"]"&amp;E175&amp;"'!"&amp;$AH$2),OR(I175=INDIRECT("'["&amp;G175&amp;"]"&amp;E175&amp;"'!"&amp;$AG$2))),INDIRECT("'["&amp;G175&amp;"]"&amp;E175&amp;"'!"&amp;$AG$3),0)</f>
        <v>#VALUE!</v>
      </c>
      <c r="V175" s="25" t="str">
        <f t="shared" si="52"/>
        <v/>
      </c>
      <c r="W175" s="36" t="e" cm="1">
        <f t="array" aca="1" ref="W175" ca="1">IF(AND(G175=INDIRECT("'["&amp;G175&amp;"]"&amp;E175&amp;"'!"&amp;$AH$2),OR(V175=INDIRECT("'["&amp;G175&amp;"]"&amp;E175&amp;"'!"&amp;$AI$2))),INDIRECT("'["&amp;G175&amp;"]"&amp;E175&amp;"'!"&amp;$AI$3),0)</f>
        <v>#VALUE!</v>
      </c>
      <c r="AJ175" s="25">
        <v>1</v>
      </c>
      <c r="AK175" s="38">
        <f t="shared" ca="1" si="53"/>
        <v>0</v>
      </c>
      <c r="AL175" s="38">
        <f t="shared" ca="1" si="54"/>
        <v>0</v>
      </c>
      <c r="AM175" s="54" t="str">
        <f t="shared" ca="1" si="45"/>
        <v/>
      </c>
      <c r="AN175" s="25" t="e">
        <f t="shared" ca="1" si="55"/>
        <v>#VALUE!</v>
      </c>
      <c r="AO175" s="25" t="e">
        <f t="shared" ca="1" si="56"/>
        <v>#VALUE!</v>
      </c>
      <c r="AP175" s="39" t="str">
        <f t="shared" ca="1" si="46"/>
        <v/>
      </c>
      <c r="AQ175" s="46" t="str">
        <f ca="1">IF(AND(C175&lt;&gt;0, C176=0), SUM($C$2:C175)-SUM($AQ$1:AQ174), "")</f>
        <v/>
      </c>
      <c r="AR175" s="46" t="str">
        <f ca="1">IF(AND(AK175&lt;&gt;0, AK176=0), SUM($AK$2:AK175)-SUM($AR$1:AR174), "")</f>
        <v/>
      </c>
    </row>
    <row r="176" spans="1:44" ht="13.15" customHeight="1">
      <c r="A176" s="64"/>
      <c r="B176" s="68" t="str">
        <f t="shared" si="60"/>
        <v/>
      </c>
      <c r="C176" s="55" cm="1">
        <f t="array" aca="1" ref="C176" ca="1">SUM(IF(ISNUMBER(M176:U176),M176:U176,""))</f>
        <v>0</v>
      </c>
      <c r="D176" s="25" t="str">
        <f t="shared" si="58"/>
        <v/>
      </c>
      <c r="E176" s="25" t="e">
        <f t="shared" si="47"/>
        <v>#VALUE!</v>
      </c>
      <c r="F176" s="25" t="str">
        <f t="shared" si="59"/>
        <v/>
      </c>
      <c r="G176" s="25" t="str">
        <f t="shared" si="44"/>
        <v>.xlsx</v>
      </c>
      <c r="H176" s="29" t="e" cm="1">
        <f t="array" aca="1" ref="H176" ca="1">IF(AND(VALUE(E176)=INDIRECT("'["&amp;G176&amp;"]"&amp;E176&amp;"'!"&amp;$X$2),G176=INDIRECT("'["&amp;G176&amp;"]"&amp;E176&amp;"'!"&amp;$X$3)),INDIRECT("'["&amp;G176&amp;"]"&amp;E176&amp;"'!"&amp;$X$1),0)</f>
        <v>#VALUE!</v>
      </c>
      <c r="I176" s="25" t="str">
        <f t="shared" si="48"/>
        <v/>
      </c>
      <c r="J176" s="32" t="str">
        <f t="shared" si="49"/>
        <v/>
      </c>
      <c r="K176" s="25" t="str">
        <f t="shared" si="50"/>
        <v/>
      </c>
      <c r="L176" s="25" t="str">
        <f t="shared" si="51"/>
        <v/>
      </c>
      <c r="M176" s="33" t="e" cm="1">
        <f t="array" aca="1" ref="M176" ca="1">IF(AND(J176=INDIRECT("'["&amp;G176&amp;"]"&amp;E176&amp;"'!"&amp;$Y$2),G176=INDIRECT("'["&amp;G176&amp;"]"&amp;E176&amp;"'!"&amp;$AH$2)),INDIRECT("'["&amp;G176&amp;"]"&amp;E176&amp;"'!"&amp;$Y$3),0)</f>
        <v>#VALUE!</v>
      </c>
      <c r="N176" s="34" t="e" cm="1">
        <f t="array" aca="1" ref="N176" ca="1">IF(AND(G176=INDIRECT("'["&amp;G176&amp;"]"&amp;E176&amp;"'!"&amp;$AH$2),OR(K176=INDIRECT("'["&amp;G176&amp;"]"&amp;E176&amp;"'!"&amp;$Z$2))),INDIRECT("'["&amp;G176&amp;"]"&amp;E176&amp;"'!"&amp;$Z$3),0)</f>
        <v>#VALUE!</v>
      </c>
      <c r="O176" s="34" t="e" cm="1">
        <f t="array" aca="1" ref="O176" ca="1">IF(AND(G176=INDIRECT("'["&amp;G176&amp;"]"&amp;E176&amp;"'!"&amp;$AH$2),OR(L176=INDIRECT("'["&amp;G176&amp;"]"&amp;E176&amp;"'!"&amp;$AA$2))),INDIRECT("'["&amp;G176&amp;"]"&amp;E176&amp;"'!"&amp;$AA$3),0)</f>
        <v>#VALUE!</v>
      </c>
      <c r="P176" s="34" t="e" cm="1">
        <f t="array" aca="1" ref="P176" ca="1">IF(AND(G176=INDIRECT("'["&amp;G176&amp;"]"&amp;E176&amp;"'!"&amp;$AH$2),OR(VALUE(I176)=INDIRECT("'["&amp;G176&amp;"]"&amp;E176&amp;"'!"&amp;$AB$2))),INDIRECT("'["&amp;G176&amp;"]"&amp;E176&amp;"'!"&amp;$AB$3),0)</f>
        <v>#VALUE!</v>
      </c>
      <c r="Q176" s="34" t="e" cm="1">
        <f t="array" aca="1" ref="Q176" ca="1">IF(AND(G176=INDIRECT("'["&amp;G176&amp;"]"&amp;E176&amp;"'!"&amp;$AH$2),OR(VALUE(I176)=INDIRECT("'["&amp;G176&amp;"]"&amp;E176&amp;"'!"&amp;$AC$2))),INDIRECT("'["&amp;G176&amp;"]"&amp;E176&amp;"'!"&amp;$AC$3),0)</f>
        <v>#VALUE!</v>
      </c>
      <c r="R176" s="34" t="e" cm="1">
        <f t="array" aca="1" ref="R176" ca="1">IF(AND(G176=INDIRECT("'["&amp;G176&amp;"]"&amp;E176&amp;"'!"&amp;$AH$2),OR(I176=INDIRECT("'["&amp;G176&amp;"]"&amp;E176&amp;"'!"&amp;$AD$2))),INDIRECT("'["&amp;G176&amp;"]"&amp;E176&amp;"'!"&amp;$AD$3),0)</f>
        <v>#VALUE!</v>
      </c>
      <c r="S176" s="34" t="e" cm="1">
        <f t="array" aca="1" ref="S176" ca="1">IF(AND(G176=INDIRECT("'["&amp;G176&amp;"]"&amp;E176&amp;"'!"&amp;$AH$2),OR(I176=INDIRECT("'["&amp;G176&amp;"]"&amp;E176&amp;"'!"&amp;$AE$2))),INDIRECT("'["&amp;G176&amp;"]"&amp;E176&amp;"'!"&amp;$AE$3),0)</f>
        <v>#VALUE!</v>
      </c>
      <c r="T176" s="35" t="e" cm="1">
        <f t="array" aca="1" ref="T176" ca="1">IF(AND(G176=INDIRECT("'["&amp;G176&amp;"]"&amp;E176&amp;"'!"&amp;$AH$2),OR(I176=INDIRECT("'["&amp;G176&amp;"]"&amp;E176&amp;"'!"&amp;$AF$2))),INDIRECT("'["&amp;G176&amp;"]"&amp;E176&amp;"'!"&amp;$AF$3),0)</f>
        <v>#VALUE!</v>
      </c>
      <c r="U176" s="34" t="e" cm="1">
        <f t="array" aca="1" ref="U176" ca="1">IF(AND(G176=INDIRECT("'["&amp;G176&amp;"]"&amp;E176&amp;"'!"&amp;$AH$2),OR(I176=INDIRECT("'["&amp;G176&amp;"]"&amp;E176&amp;"'!"&amp;$AG$2))),INDIRECT("'["&amp;G176&amp;"]"&amp;E176&amp;"'!"&amp;$AG$3),0)</f>
        <v>#VALUE!</v>
      </c>
      <c r="V176" s="25" t="str">
        <f t="shared" si="52"/>
        <v/>
      </c>
      <c r="W176" s="36" t="e" cm="1">
        <f t="array" aca="1" ref="W176" ca="1">IF(AND(G176=INDIRECT("'["&amp;G176&amp;"]"&amp;E176&amp;"'!"&amp;$AH$2),OR(V176=INDIRECT("'["&amp;G176&amp;"]"&amp;E176&amp;"'!"&amp;$AI$2))),INDIRECT("'["&amp;G176&amp;"]"&amp;E176&amp;"'!"&amp;$AI$3),0)</f>
        <v>#VALUE!</v>
      </c>
      <c r="AJ176" s="25">
        <v>1</v>
      </c>
      <c r="AK176" s="38">
        <f t="shared" ca="1" si="53"/>
        <v>0</v>
      </c>
      <c r="AL176" s="38">
        <f t="shared" ca="1" si="54"/>
        <v>0</v>
      </c>
      <c r="AM176" s="54" t="str">
        <f t="shared" ca="1" si="45"/>
        <v/>
      </c>
      <c r="AN176" s="25" t="e">
        <f t="shared" ca="1" si="55"/>
        <v>#VALUE!</v>
      </c>
      <c r="AO176" s="25" t="e">
        <f t="shared" ca="1" si="56"/>
        <v>#VALUE!</v>
      </c>
      <c r="AP176" s="39" t="str">
        <f t="shared" ca="1" si="46"/>
        <v/>
      </c>
      <c r="AQ176" s="46" t="str">
        <f ca="1">IF(AND(C176&lt;&gt;0, C177=0), SUM($C$2:C176)-SUM($AQ$1:AQ175), "")</f>
        <v/>
      </c>
      <c r="AR176" s="46" t="str">
        <f ca="1">IF(AND(AK176&lt;&gt;0, AK177=0), SUM($AK$2:AK176)-SUM($AR$1:AR175), "")</f>
        <v/>
      </c>
    </row>
    <row r="177" spans="1:44" ht="13.15" customHeight="1">
      <c r="A177" s="65"/>
      <c r="B177" s="68" t="str">
        <f t="shared" si="60"/>
        <v/>
      </c>
      <c r="C177" s="55" cm="1">
        <f t="array" aca="1" ref="C177" ca="1">SUM(IF(ISNUMBER(M177:U177),M177:U177,""))</f>
        <v>0</v>
      </c>
      <c r="D177" s="25" t="str">
        <f t="shared" si="58"/>
        <v/>
      </c>
      <c r="E177" s="25" t="e">
        <f t="shared" si="47"/>
        <v>#VALUE!</v>
      </c>
      <c r="F177" s="25" t="str">
        <f t="shared" si="59"/>
        <v/>
      </c>
      <c r="G177" s="25" t="str">
        <f t="shared" si="44"/>
        <v>.xlsx</v>
      </c>
      <c r="H177" s="29" t="e" cm="1">
        <f t="array" aca="1" ref="H177" ca="1">IF(AND(VALUE(E177)=INDIRECT("'["&amp;G177&amp;"]"&amp;E177&amp;"'!"&amp;$X$2),G177=INDIRECT("'["&amp;G177&amp;"]"&amp;E177&amp;"'!"&amp;$X$3)),INDIRECT("'["&amp;G177&amp;"]"&amp;E177&amp;"'!"&amp;$X$1),0)</f>
        <v>#VALUE!</v>
      </c>
      <c r="I177" s="25" t="str">
        <f t="shared" si="48"/>
        <v/>
      </c>
      <c r="J177" s="32" t="str">
        <f t="shared" si="49"/>
        <v/>
      </c>
      <c r="K177" s="25" t="str">
        <f t="shared" si="50"/>
        <v/>
      </c>
      <c r="L177" s="25" t="str">
        <f t="shared" si="51"/>
        <v/>
      </c>
      <c r="M177" s="33" t="e" cm="1">
        <f t="array" aca="1" ref="M177" ca="1">IF(AND(J177=INDIRECT("'["&amp;G177&amp;"]"&amp;E177&amp;"'!"&amp;$Y$2),G177=INDIRECT("'["&amp;G177&amp;"]"&amp;E177&amp;"'!"&amp;$AH$2)),INDIRECT("'["&amp;G177&amp;"]"&amp;E177&amp;"'!"&amp;$Y$3),0)</f>
        <v>#VALUE!</v>
      </c>
      <c r="N177" s="34" t="e" cm="1">
        <f t="array" aca="1" ref="N177" ca="1">IF(AND(G177=INDIRECT("'["&amp;G177&amp;"]"&amp;E177&amp;"'!"&amp;$AH$2),OR(K177=INDIRECT("'["&amp;G177&amp;"]"&amp;E177&amp;"'!"&amp;$Z$2))),INDIRECT("'["&amp;G177&amp;"]"&amp;E177&amp;"'!"&amp;$Z$3),0)</f>
        <v>#VALUE!</v>
      </c>
      <c r="O177" s="34" t="e" cm="1">
        <f t="array" aca="1" ref="O177" ca="1">IF(AND(G177=INDIRECT("'["&amp;G177&amp;"]"&amp;E177&amp;"'!"&amp;$AH$2),OR(L177=INDIRECT("'["&amp;G177&amp;"]"&amp;E177&amp;"'!"&amp;$AA$2))),INDIRECT("'["&amp;G177&amp;"]"&amp;E177&amp;"'!"&amp;$AA$3),0)</f>
        <v>#VALUE!</v>
      </c>
      <c r="P177" s="34" t="e" cm="1">
        <f t="array" aca="1" ref="P177" ca="1">IF(AND(G177=INDIRECT("'["&amp;G177&amp;"]"&amp;E177&amp;"'!"&amp;$AH$2),OR(VALUE(I177)=INDIRECT("'["&amp;G177&amp;"]"&amp;E177&amp;"'!"&amp;$AB$2))),INDIRECT("'["&amp;G177&amp;"]"&amp;E177&amp;"'!"&amp;$AB$3),0)</f>
        <v>#VALUE!</v>
      </c>
      <c r="Q177" s="34" t="e" cm="1">
        <f t="array" aca="1" ref="Q177" ca="1">IF(AND(G177=INDIRECT("'["&amp;G177&amp;"]"&amp;E177&amp;"'!"&amp;$AH$2),OR(VALUE(I177)=INDIRECT("'["&amp;G177&amp;"]"&amp;E177&amp;"'!"&amp;$AC$2))),INDIRECT("'["&amp;G177&amp;"]"&amp;E177&amp;"'!"&amp;$AC$3),0)</f>
        <v>#VALUE!</v>
      </c>
      <c r="R177" s="34" t="e" cm="1">
        <f t="array" aca="1" ref="R177" ca="1">IF(AND(G177=INDIRECT("'["&amp;G177&amp;"]"&amp;E177&amp;"'!"&amp;$AH$2),OR(I177=INDIRECT("'["&amp;G177&amp;"]"&amp;E177&amp;"'!"&amp;$AD$2))),INDIRECT("'["&amp;G177&amp;"]"&amp;E177&amp;"'!"&amp;$AD$3),0)</f>
        <v>#VALUE!</v>
      </c>
      <c r="S177" s="34" t="e" cm="1">
        <f t="array" aca="1" ref="S177" ca="1">IF(AND(G177=INDIRECT("'["&amp;G177&amp;"]"&amp;E177&amp;"'!"&amp;$AH$2),OR(I177=INDIRECT("'["&amp;G177&amp;"]"&amp;E177&amp;"'!"&amp;$AE$2))),INDIRECT("'["&amp;G177&amp;"]"&amp;E177&amp;"'!"&amp;$AE$3),0)</f>
        <v>#VALUE!</v>
      </c>
      <c r="T177" s="35" t="e" cm="1">
        <f t="array" aca="1" ref="T177" ca="1">IF(AND(G177=INDIRECT("'["&amp;G177&amp;"]"&amp;E177&amp;"'!"&amp;$AH$2),OR(I177=INDIRECT("'["&amp;G177&amp;"]"&amp;E177&amp;"'!"&amp;$AF$2))),INDIRECT("'["&amp;G177&amp;"]"&amp;E177&amp;"'!"&amp;$AF$3),0)</f>
        <v>#VALUE!</v>
      </c>
      <c r="U177" s="34" t="e" cm="1">
        <f t="array" aca="1" ref="U177" ca="1">IF(AND(G177=INDIRECT("'["&amp;G177&amp;"]"&amp;E177&amp;"'!"&amp;$AH$2),OR(I177=INDIRECT("'["&amp;G177&amp;"]"&amp;E177&amp;"'!"&amp;$AG$2))),INDIRECT("'["&amp;G177&amp;"]"&amp;E177&amp;"'!"&amp;$AG$3),0)</f>
        <v>#VALUE!</v>
      </c>
      <c r="V177" s="25" t="str">
        <f t="shared" si="52"/>
        <v/>
      </c>
      <c r="W177" s="36" t="e" cm="1">
        <f t="array" aca="1" ref="W177" ca="1">IF(AND(G177=INDIRECT("'["&amp;G177&amp;"]"&amp;E177&amp;"'!"&amp;$AH$2),OR(V177=INDIRECT("'["&amp;G177&amp;"]"&amp;E177&amp;"'!"&amp;$AI$2))),INDIRECT("'["&amp;G177&amp;"]"&amp;E177&amp;"'!"&amp;$AI$3),0)</f>
        <v>#VALUE!</v>
      </c>
      <c r="AJ177" s="25">
        <v>1</v>
      </c>
      <c r="AK177" s="38">
        <f t="shared" ca="1" si="53"/>
        <v>0</v>
      </c>
      <c r="AL177" s="38">
        <f t="shared" ca="1" si="54"/>
        <v>0</v>
      </c>
      <c r="AM177" s="54" t="str">
        <f t="shared" ca="1" si="45"/>
        <v/>
      </c>
      <c r="AN177" s="25" t="e">
        <f t="shared" ca="1" si="55"/>
        <v>#VALUE!</v>
      </c>
      <c r="AO177" s="25" t="e">
        <f t="shared" ca="1" si="56"/>
        <v>#VALUE!</v>
      </c>
      <c r="AP177" s="39" t="str">
        <f t="shared" ca="1" si="46"/>
        <v/>
      </c>
      <c r="AQ177" s="46" t="str">
        <f ca="1">IF(AND(C177&lt;&gt;0, C178=0), SUM($C$2:C177)-SUM($AQ$1:AQ176), "")</f>
        <v/>
      </c>
      <c r="AR177" s="46" t="str">
        <f ca="1">IF(AND(AK177&lt;&gt;0, AK178=0), SUM($AK$2:AK177)-SUM($AR$1:AR176), "")</f>
        <v/>
      </c>
    </row>
    <row r="178" spans="1:44" ht="13.15" customHeight="1">
      <c r="A178" s="31"/>
      <c r="B178" s="68" t="str">
        <f t="shared" si="60"/>
        <v/>
      </c>
      <c r="C178" s="55" cm="1">
        <f t="array" aca="1" ref="C178" ca="1">SUM(IF(ISNUMBER(M178:U178),M178:U178,""))</f>
        <v>0</v>
      </c>
      <c r="D178" s="25" t="str">
        <f t="shared" si="58"/>
        <v/>
      </c>
      <c r="E178" s="25" t="e">
        <f t="shared" si="47"/>
        <v>#VALUE!</v>
      </c>
      <c r="F178" s="25" t="str">
        <f t="shared" si="59"/>
        <v/>
      </c>
      <c r="G178" s="25" t="str">
        <f t="shared" si="44"/>
        <v>.xlsx</v>
      </c>
      <c r="H178" s="29" t="e" cm="1">
        <f t="array" aca="1" ref="H178" ca="1">IF(AND(VALUE(E178)=INDIRECT("'["&amp;G178&amp;"]"&amp;E178&amp;"'!"&amp;$X$2),G178=INDIRECT("'["&amp;G178&amp;"]"&amp;E178&amp;"'!"&amp;$X$3)),INDIRECT("'["&amp;G178&amp;"]"&amp;E178&amp;"'!"&amp;$X$1),0)</f>
        <v>#VALUE!</v>
      </c>
      <c r="I178" s="25" t="str">
        <f t="shared" si="48"/>
        <v/>
      </c>
      <c r="J178" s="32" t="str">
        <f t="shared" si="49"/>
        <v/>
      </c>
      <c r="K178" s="25" t="str">
        <f t="shared" si="50"/>
        <v/>
      </c>
      <c r="L178" s="25" t="str">
        <f t="shared" si="51"/>
        <v/>
      </c>
      <c r="M178" s="33" t="e" cm="1">
        <f t="array" aca="1" ref="M178" ca="1">IF(AND(J178=INDIRECT("'["&amp;G178&amp;"]"&amp;E178&amp;"'!"&amp;$Y$2),G178=INDIRECT("'["&amp;G178&amp;"]"&amp;E178&amp;"'!"&amp;$AH$2)),INDIRECT("'["&amp;G178&amp;"]"&amp;E178&amp;"'!"&amp;$Y$3),0)</f>
        <v>#VALUE!</v>
      </c>
      <c r="N178" s="34" t="e" cm="1">
        <f t="array" aca="1" ref="N178" ca="1">IF(AND(G178=INDIRECT("'["&amp;G178&amp;"]"&amp;E178&amp;"'!"&amp;$AH$2),OR(K178=INDIRECT("'["&amp;G178&amp;"]"&amp;E178&amp;"'!"&amp;$Z$2))),INDIRECT("'["&amp;G178&amp;"]"&amp;E178&amp;"'!"&amp;$Z$3),0)</f>
        <v>#VALUE!</v>
      </c>
      <c r="O178" s="34" t="e" cm="1">
        <f t="array" aca="1" ref="O178" ca="1">IF(AND(G178=INDIRECT("'["&amp;G178&amp;"]"&amp;E178&amp;"'!"&amp;$AH$2),OR(L178=INDIRECT("'["&amp;G178&amp;"]"&amp;E178&amp;"'!"&amp;$AA$2))),INDIRECT("'["&amp;G178&amp;"]"&amp;E178&amp;"'!"&amp;$AA$3),0)</f>
        <v>#VALUE!</v>
      </c>
      <c r="P178" s="34" t="e" cm="1">
        <f t="array" aca="1" ref="P178" ca="1">IF(AND(G178=INDIRECT("'["&amp;G178&amp;"]"&amp;E178&amp;"'!"&amp;$AH$2),OR(VALUE(I178)=INDIRECT("'["&amp;G178&amp;"]"&amp;E178&amp;"'!"&amp;$AB$2))),INDIRECT("'["&amp;G178&amp;"]"&amp;E178&amp;"'!"&amp;$AB$3),0)</f>
        <v>#VALUE!</v>
      </c>
      <c r="Q178" s="34" t="e" cm="1">
        <f t="array" aca="1" ref="Q178" ca="1">IF(AND(G178=INDIRECT("'["&amp;G178&amp;"]"&amp;E178&amp;"'!"&amp;$AH$2),OR(VALUE(I178)=INDIRECT("'["&amp;G178&amp;"]"&amp;E178&amp;"'!"&amp;$AC$2))),INDIRECT("'["&amp;G178&amp;"]"&amp;E178&amp;"'!"&amp;$AC$3),0)</f>
        <v>#VALUE!</v>
      </c>
      <c r="R178" s="34" t="e" cm="1">
        <f t="array" aca="1" ref="R178" ca="1">IF(AND(G178=INDIRECT("'["&amp;G178&amp;"]"&amp;E178&amp;"'!"&amp;$AH$2),OR(I178=INDIRECT("'["&amp;G178&amp;"]"&amp;E178&amp;"'!"&amp;$AD$2))),INDIRECT("'["&amp;G178&amp;"]"&amp;E178&amp;"'!"&amp;$AD$3),0)</f>
        <v>#VALUE!</v>
      </c>
      <c r="S178" s="34" t="e" cm="1">
        <f t="array" aca="1" ref="S178" ca="1">IF(AND(G178=INDIRECT("'["&amp;G178&amp;"]"&amp;E178&amp;"'!"&amp;$AH$2),OR(I178=INDIRECT("'["&amp;G178&amp;"]"&amp;E178&amp;"'!"&amp;$AE$2))),INDIRECT("'["&amp;G178&amp;"]"&amp;E178&amp;"'!"&amp;$AE$3),0)</f>
        <v>#VALUE!</v>
      </c>
      <c r="T178" s="35" t="e" cm="1">
        <f t="array" aca="1" ref="T178" ca="1">IF(AND(G178=INDIRECT("'["&amp;G178&amp;"]"&amp;E178&amp;"'!"&amp;$AH$2),OR(I178=INDIRECT("'["&amp;G178&amp;"]"&amp;E178&amp;"'!"&amp;$AF$2))),INDIRECT("'["&amp;G178&amp;"]"&amp;E178&amp;"'!"&amp;$AF$3),0)</f>
        <v>#VALUE!</v>
      </c>
      <c r="U178" s="34" t="e" cm="1">
        <f t="array" aca="1" ref="U178" ca="1">IF(AND(G178=INDIRECT("'["&amp;G178&amp;"]"&amp;E178&amp;"'!"&amp;$AH$2),OR(I178=INDIRECT("'["&amp;G178&amp;"]"&amp;E178&amp;"'!"&amp;$AG$2))),INDIRECT("'["&amp;G178&amp;"]"&amp;E178&amp;"'!"&amp;$AG$3),0)</f>
        <v>#VALUE!</v>
      </c>
      <c r="V178" s="25" t="str">
        <f t="shared" si="52"/>
        <v/>
      </c>
      <c r="W178" s="36" t="e" cm="1">
        <f t="array" aca="1" ref="W178" ca="1">IF(AND(G178=INDIRECT("'["&amp;G178&amp;"]"&amp;E178&amp;"'!"&amp;$AH$2),OR(V178=INDIRECT("'["&amp;G178&amp;"]"&amp;E178&amp;"'!"&amp;$AI$2))),INDIRECT("'["&amp;G178&amp;"]"&amp;E178&amp;"'!"&amp;$AI$3),0)</f>
        <v>#VALUE!</v>
      </c>
      <c r="AJ178" s="25">
        <v>1</v>
      </c>
      <c r="AK178" s="38">
        <f t="shared" ca="1" si="53"/>
        <v>0</v>
      </c>
      <c r="AL178" s="38">
        <f t="shared" ca="1" si="54"/>
        <v>0</v>
      </c>
      <c r="AM178" s="54" t="str">
        <f t="shared" ca="1" si="45"/>
        <v/>
      </c>
      <c r="AN178" s="25" t="e">
        <f t="shared" ca="1" si="55"/>
        <v>#VALUE!</v>
      </c>
      <c r="AO178" s="25" t="e">
        <f t="shared" ca="1" si="56"/>
        <v>#VALUE!</v>
      </c>
      <c r="AP178" s="39" t="str">
        <f t="shared" ca="1" si="46"/>
        <v/>
      </c>
      <c r="AQ178" s="46" t="str">
        <f ca="1">IF(AND(C178&lt;&gt;0, C179=0), SUM($C$2:C178)-SUM($AQ$1:AQ177), "")</f>
        <v/>
      </c>
      <c r="AR178" s="46" t="str">
        <f ca="1">IF(AND(AK178&lt;&gt;0, AK179=0), SUM($AK$2:AK178)-SUM($AR$1:AR177), "")</f>
        <v/>
      </c>
    </row>
    <row r="179" spans="1:44" ht="13.15" customHeight="1">
      <c r="A179" s="31"/>
      <c r="B179" s="68" t="str">
        <f t="shared" si="60"/>
        <v/>
      </c>
      <c r="C179" s="55" cm="1">
        <f t="array" aca="1" ref="C179" ca="1">SUM(IF(ISNUMBER(M179:U179),M179:U179,""))</f>
        <v>0</v>
      </c>
      <c r="D179" s="25" t="str">
        <f t="shared" si="58"/>
        <v/>
      </c>
      <c r="E179" s="25" t="e">
        <f t="shared" si="47"/>
        <v>#VALUE!</v>
      </c>
      <c r="F179" s="25" t="str">
        <f t="shared" si="59"/>
        <v/>
      </c>
      <c r="G179" s="25" t="str">
        <f t="shared" si="44"/>
        <v>.xlsx</v>
      </c>
      <c r="H179" s="29" t="e" cm="1">
        <f t="array" aca="1" ref="H179" ca="1">IF(AND(VALUE(E179)=INDIRECT("'["&amp;G179&amp;"]"&amp;E179&amp;"'!"&amp;$X$2),G179=INDIRECT("'["&amp;G179&amp;"]"&amp;E179&amp;"'!"&amp;$X$3)),INDIRECT("'["&amp;G179&amp;"]"&amp;E179&amp;"'!"&amp;$X$1),0)</f>
        <v>#VALUE!</v>
      </c>
      <c r="I179" s="25" t="str">
        <f t="shared" si="48"/>
        <v/>
      </c>
      <c r="J179" s="32" t="str">
        <f t="shared" si="49"/>
        <v/>
      </c>
      <c r="K179" s="25" t="str">
        <f t="shared" si="50"/>
        <v/>
      </c>
      <c r="L179" s="25" t="str">
        <f t="shared" si="51"/>
        <v/>
      </c>
      <c r="M179" s="33" t="e" cm="1">
        <f t="array" aca="1" ref="M179" ca="1">IF(AND(J179=INDIRECT("'["&amp;G179&amp;"]"&amp;E179&amp;"'!"&amp;$Y$2),G179=INDIRECT("'["&amp;G179&amp;"]"&amp;E179&amp;"'!"&amp;$AH$2)),INDIRECT("'["&amp;G179&amp;"]"&amp;E179&amp;"'!"&amp;$Y$3),0)</f>
        <v>#VALUE!</v>
      </c>
      <c r="N179" s="34" t="e" cm="1">
        <f t="array" aca="1" ref="N179" ca="1">IF(AND(G179=INDIRECT("'["&amp;G179&amp;"]"&amp;E179&amp;"'!"&amp;$AH$2),OR(K179=INDIRECT("'["&amp;G179&amp;"]"&amp;E179&amp;"'!"&amp;$Z$2))),INDIRECT("'["&amp;G179&amp;"]"&amp;E179&amp;"'!"&amp;$Z$3),0)</f>
        <v>#VALUE!</v>
      </c>
      <c r="O179" s="34" t="e" cm="1">
        <f t="array" aca="1" ref="O179" ca="1">IF(AND(G179=INDIRECT("'["&amp;G179&amp;"]"&amp;E179&amp;"'!"&amp;$AH$2),OR(L179=INDIRECT("'["&amp;G179&amp;"]"&amp;E179&amp;"'!"&amp;$AA$2))),INDIRECT("'["&amp;G179&amp;"]"&amp;E179&amp;"'!"&amp;$AA$3),0)</f>
        <v>#VALUE!</v>
      </c>
      <c r="P179" s="34" t="e" cm="1">
        <f t="array" aca="1" ref="P179" ca="1">IF(AND(G179=INDIRECT("'["&amp;G179&amp;"]"&amp;E179&amp;"'!"&amp;$AH$2),OR(VALUE(I179)=INDIRECT("'["&amp;G179&amp;"]"&amp;E179&amp;"'!"&amp;$AB$2))),INDIRECT("'["&amp;G179&amp;"]"&amp;E179&amp;"'!"&amp;$AB$3),0)</f>
        <v>#VALUE!</v>
      </c>
      <c r="Q179" s="34" t="e" cm="1">
        <f t="array" aca="1" ref="Q179" ca="1">IF(AND(G179=INDIRECT("'["&amp;G179&amp;"]"&amp;E179&amp;"'!"&amp;$AH$2),OR(VALUE(I179)=INDIRECT("'["&amp;G179&amp;"]"&amp;E179&amp;"'!"&amp;$AC$2))),INDIRECT("'["&amp;G179&amp;"]"&amp;E179&amp;"'!"&amp;$AC$3),0)</f>
        <v>#VALUE!</v>
      </c>
      <c r="R179" s="34" t="e" cm="1">
        <f t="array" aca="1" ref="R179" ca="1">IF(AND(G179=INDIRECT("'["&amp;G179&amp;"]"&amp;E179&amp;"'!"&amp;$AH$2),OR(I179=INDIRECT("'["&amp;G179&amp;"]"&amp;E179&amp;"'!"&amp;$AD$2))),INDIRECT("'["&amp;G179&amp;"]"&amp;E179&amp;"'!"&amp;$AD$3),0)</f>
        <v>#VALUE!</v>
      </c>
      <c r="S179" s="34" t="e" cm="1">
        <f t="array" aca="1" ref="S179" ca="1">IF(AND(G179=INDIRECT("'["&amp;G179&amp;"]"&amp;E179&amp;"'!"&amp;$AH$2),OR(I179=INDIRECT("'["&amp;G179&amp;"]"&amp;E179&amp;"'!"&amp;$AE$2))),INDIRECT("'["&amp;G179&amp;"]"&amp;E179&amp;"'!"&amp;$AE$3),0)</f>
        <v>#VALUE!</v>
      </c>
      <c r="T179" s="35" t="e" cm="1">
        <f t="array" aca="1" ref="T179" ca="1">IF(AND(G179=INDIRECT("'["&amp;G179&amp;"]"&amp;E179&amp;"'!"&amp;$AH$2),OR(I179=INDIRECT("'["&amp;G179&amp;"]"&amp;E179&amp;"'!"&amp;$AF$2))),INDIRECT("'["&amp;G179&amp;"]"&amp;E179&amp;"'!"&amp;$AF$3),0)</f>
        <v>#VALUE!</v>
      </c>
      <c r="U179" s="34" t="e" cm="1">
        <f t="array" aca="1" ref="U179" ca="1">IF(AND(G179=INDIRECT("'["&amp;G179&amp;"]"&amp;E179&amp;"'!"&amp;$AH$2),OR(I179=INDIRECT("'["&amp;G179&amp;"]"&amp;E179&amp;"'!"&amp;$AG$2))),INDIRECT("'["&amp;G179&amp;"]"&amp;E179&amp;"'!"&amp;$AG$3),0)</f>
        <v>#VALUE!</v>
      </c>
      <c r="V179" s="25" t="str">
        <f t="shared" si="52"/>
        <v/>
      </c>
      <c r="W179" s="36" t="e" cm="1">
        <f t="array" aca="1" ref="W179" ca="1">IF(AND(G179=INDIRECT("'["&amp;G179&amp;"]"&amp;E179&amp;"'!"&amp;$AH$2),OR(V179=INDIRECT("'["&amp;G179&amp;"]"&amp;E179&amp;"'!"&amp;$AI$2))),INDIRECT("'["&amp;G179&amp;"]"&amp;E179&amp;"'!"&amp;$AI$3),0)</f>
        <v>#VALUE!</v>
      </c>
      <c r="AJ179" s="25">
        <v>1</v>
      </c>
      <c r="AK179" s="38">
        <f t="shared" ca="1" si="53"/>
        <v>0</v>
      </c>
      <c r="AL179" s="38">
        <f t="shared" ca="1" si="54"/>
        <v>0</v>
      </c>
      <c r="AM179" s="54" t="str">
        <f t="shared" ca="1" si="45"/>
        <v/>
      </c>
      <c r="AN179" s="25" t="e">
        <f t="shared" ca="1" si="55"/>
        <v>#VALUE!</v>
      </c>
      <c r="AO179" s="25" t="e">
        <f t="shared" ca="1" si="56"/>
        <v>#VALUE!</v>
      </c>
      <c r="AP179" s="39" t="str">
        <f t="shared" ca="1" si="46"/>
        <v/>
      </c>
      <c r="AQ179" s="46" t="str">
        <f ca="1">IF(AND(C179&lt;&gt;0, C180=0), SUM($C$2:C179)-SUM($AQ$1:AQ178), "")</f>
        <v/>
      </c>
      <c r="AR179" s="46" t="str">
        <f ca="1">IF(AND(AK179&lt;&gt;0, AK180=0), SUM($AK$2:AK179)-SUM($AR$1:AR178), "")</f>
        <v/>
      </c>
    </row>
    <row r="180" spans="1:44" ht="13.15" customHeight="1">
      <c r="A180" s="31"/>
      <c r="B180" s="68" t="str">
        <f t="shared" si="60"/>
        <v/>
      </c>
      <c r="C180" s="55" cm="1">
        <f t="array" aca="1" ref="C180" ca="1">SUM(IF(ISNUMBER(M180:U180),M180:U180,""))</f>
        <v>0</v>
      </c>
      <c r="D180" s="25" t="str">
        <f t="shared" si="58"/>
        <v/>
      </c>
      <c r="E180" s="25" t="e">
        <f t="shared" si="47"/>
        <v>#VALUE!</v>
      </c>
      <c r="F180" s="25" t="str">
        <f t="shared" si="59"/>
        <v/>
      </c>
      <c r="G180" s="25" t="str">
        <f t="shared" si="44"/>
        <v>.xlsx</v>
      </c>
      <c r="H180" s="29" t="e" cm="1">
        <f t="array" aca="1" ref="H180" ca="1">IF(AND(VALUE(E180)=INDIRECT("'["&amp;G180&amp;"]"&amp;E180&amp;"'!"&amp;$X$2),G180=INDIRECT("'["&amp;G180&amp;"]"&amp;E180&amp;"'!"&amp;$X$3)),INDIRECT("'["&amp;G180&amp;"]"&amp;E180&amp;"'!"&amp;$X$1),0)</f>
        <v>#VALUE!</v>
      </c>
      <c r="I180" s="25" t="str">
        <f t="shared" si="48"/>
        <v/>
      </c>
      <c r="J180" s="32" t="str">
        <f t="shared" si="49"/>
        <v/>
      </c>
      <c r="K180" s="25" t="str">
        <f t="shared" si="50"/>
        <v/>
      </c>
      <c r="L180" s="25" t="str">
        <f t="shared" si="51"/>
        <v/>
      </c>
      <c r="M180" s="33" t="e" cm="1">
        <f t="array" aca="1" ref="M180" ca="1">IF(AND(J180=INDIRECT("'["&amp;G180&amp;"]"&amp;E180&amp;"'!"&amp;$Y$2),G180=INDIRECT("'["&amp;G180&amp;"]"&amp;E180&amp;"'!"&amp;$AH$2)),INDIRECT("'["&amp;G180&amp;"]"&amp;E180&amp;"'!"&amp;$Y$3),0)</f>
        <v>#VALUE!</v>
      </c>
      <c r="N180" s="34" t="e" cm="1">
        <f t="array" aca="1" ref="N180" ca="1">IF(AND(G180=INDIRECT("'["&amp;G180&amp;"]"&amp;E180&amp;"'!"&amp;$AH$2),OR(K180=INDIRECT("'["&amp;G180&amp;"]"&amp;E180&amp;"'!"&amp;$Z$2))),INDIRECT("'["&amp;G180&amp;"]"&amp;E180&amp;"'!"&amp;$Z$3),0)</f>
        <v>#VALUE!</v>
      </c>
      <c r="O180" s="34" t="e" cm="1">
        <f t="array" aca="1" ref="O180" ca="1">IF(AND(G180=INDIRECT("'["&amp;G180&amp;"]"&amp;E180&amp;"'!"&amp;$AH$2),OR(L180=INDIRECT("'["&amp;G180&amp;"]"&amp;E180&amp;"'!"&amp;$AA$2))),INDIRECT("'["&amp;G180&amp;"]"&amp;E180&amp;"'!"&amp;$AA$3),0)</f>
        <v>#VALUE!</v>
      </c>
      <c r="P180" s="34" t="e" cm="1">
        <f t="array" aca="1" ref="P180" ca="1">IF(AND(G180=INDIRECT("'["&amp;G180&amp;"]"&amp;E180&amp;"'!"&amp;$AH$2),OR(VALUE(I180)=INDIRECT("'["&amp;G180&amp;"]"&amp;E180&amp;"'!"&amp;$AB$2))),INDIRECT("'["&amp;G180&amp;"]"&amp;E180&amp;"'!"&amp;$AB$3),0)</f>
        <v>#VALUE!</v>
      </c>
      <c r="Q180" s="34" t="e" cm="1">
        <f t="array" aca="1" ref="Q180" ca="1">IF(AND(G180=INDIRECT("'["&amp;G180&amp;"]"&amp;E180&amp;"'!"&amp;$AH$2),OR(VALUE(I180)=INDIRECT("'["&amp;G180&amp;"]"&amp;E180&amp;"'!"&amp;$AC$2))),INDIRECT("'["&amp;G180&amp;"]"&amp;E180&amp;"'!"&amp;$AC$3),0)</f>
        <v>#VALUE!</v>
      </c>
      <c r="R180" s="34" t="e" cm="1">
        <f t="array" aca="1" ref="R180" ca="1">IF(AND(G180=INDIRECT("'["&amp;G180&amp;"]"&amp;E180&amp;"'!"&amp;$AH$2),OR(I180=INDIRECT("'["&amp;G180&amp;"]"&amp;E180&amp;"'!"&amp;$AD$2))),INDIRECT("'["&amp;G180&amp;"]"&amp;E180&amp;"'!"&amp;$AD$3),0)</f>
        <v>#VALUE!</v>
      </c>
      <c r="S180" s="34" t="e" cm="1">
        <f t="array" aca="1" ref="S180" ca="1">IF(AND(G180=INDIRECT("'["&amp;G180&amp;"]"&amp;E180&amp;"'!"&amp;$AH$2),OR(I180=INDIRECT("'["&amp;G180&amp;"]"&amp;E180&amp;"'!"&amp;$AE$2))),INDIRECT("'["&amp;G180&amp;"]"&amp;E180&amp;"'!"&amp;$AE$3),0)</f>
        <v>#VALUE!</v>
      </c>
      <c r="T180" s="35" t="e" cm="1">
        <f t="array" aca="1" ref="T180" ca="1">IF(AND(G180=INDIRECT("'["&amp;G180&amp;"]"&amp;E180&amp;"'!"&amp;$AH$2),OR(I180=INDIRECT("'["&amp;G180&amp;"]"&amp;E180&amp;"'!"&amp;$AF$2))),INDIRECT("'["&amp;G180&amp;"]"&amp;E180&amp;"'!"&amp;$AF$3),0)</f>
        <v>#VALUE!</v>
      </c>
      <c r="U180" s="34" t="e" cm="1">
        <f t="array" aca="1" ref="U180" ca="1">IF(AND(G180=INDIRECT("'["&amp;G180&amp;"]"&amp;E180&amp;"'!"&amp;$AH$2),OR(I180=INDIRECT("'["&amp;G180&amp;"]"&amp;E180&amp;"'!"&amp;$AG$2))),INDIRECT("'["&amp;G180&amp;"]"&amp;E180&amp;"'!"&amp;$AG$3),0)</f>
        <v>#VALUE!</v>
      </c>
      <c r="V180" s="25" t="str">
        <f t="shared" si="52"/>
        <v/>
      </c>
      <c r="W180" s="36" t="e" cm="1">
        <f t="array" aca="1" ref="W180" ca="1">IF(AND(G180=INDIRECT("'["&amp;G180&amp;"]"&amp;E180&amp;"'!"&amp;$AH$2),OR(V180=INDIRECT("'["&amp;G180&amp;"]"&amp;E180&amp;"'!"&amp;$AI$2))),INDIRECT("'["&amp;G180&amp;"]"&amp;E180&amp;"'!"&amp;$AI$3),0)</f>
        <v>#VALUE!</v>
      </c>
      <c r="AJ180" s="25">
        <v>1</v>
      </c>
      <c r="AK180" s="38">
        <f t="shared" ca="1" si="53"/>
        <v>0</v>
      </c>
      <c r="AL180" s="38">
        <f t="shared" ca="1" si="54"/>
        <v>0</v>
      </c>
      <c r="AM180" s="54" t="str">
        <f t="shared" ca="1" si="45"/>
        <v/>
      </c>
      <c r="AN180" s="25" t="e">
        <f t="shared" ca="1" si="55"/>
        <v>#VALUE!</v>
      </c>
      <c r="AO180" s="25" t="e">
        <f t="shared" ca="1" si="56"/>
        <v>#VALUE!</v>
      </c>
      <c r="AP180" s="39" t="str">
        <f t="shared" ca="1" si="46"/>
        <v/>
      </c>
      <c r="AQ180" s="46" t="str">
        <f ca="1">IF(AND(C180&lt;&gt;0, C181=0), SUM($C$2:C180)-SUM($AQ$1:AQ179), "")</f>
        <v/>
      </c>
      <c r="AR180" s="46" t="str">
        <f ca="1">IF(AND(AK180&lt;&gt;0, AK181=0), SUM($AK$2:AK180)-SUM($AR$1:AR179), "")</f>
        <v/>
      </c>
    </row>
    <row r="181" spans="1:44" ht="13.15" customHeight="1">
      <c r="A181" s="31"/>
      <c r="B181" s="68" t="str">
        <f t="shared" si="60"/>
        <v/>
      </c>
      <c r="C181" s="55" cm="1">
        <f t="array" aca="1" ref="C181" ca="1">SUM(IF(ISNUMBER(M181:U181),M181:U181,""))</f>
        <v>0</v>
      </c>
      <c r="D181" s="25" t="str">
        <f t="shared" si="58"/>
        <v/>
      </c>
      <c r="E181" s="25" t="e">
        <f t="shared" si="47"/>
        <v>#VALUE!</v>
      </c>
      <c r="F181" s="25" t="str">
        <f t="shared" si="59"/>
        <v/>
      </c>
      <c r="G181" s="25" t="str">
        <f t="shared" si="44"/>
        <v>.xlsx</v>
      </c>
      <c r="H181" s="29" t="e" cm="1">
        <f t="array" aca="1" ref="H181" ca="1">IF(AND(VALUE(E181)=INDIRECT("'["&amp;G181&amp;"]"&amp;E181&amp;"'!"&amp;$X$2),G181=INDIRECT("'["&amp;G181&amp;"]"&amp;E181&amp;"'!"&amp;$X$3)),INDIRECT("'["&amp;G181&amp;"]"&amp;E181&amp;"'!"&amp;$X$1),0)</f>
        <v>#VALUE!</v>
      </c>
      <c r="I181" s="25" t="str">
        <f t="shared" si="48"/>
        <v/>
      </c>
      <c r="J181" s="32" t="str">
        <f t="shared" si="49"/>
        <v/>
      </c>
      <c r="K181" s="25" t="str">
        <f t="shared" si="50"/>
        <v/>
      </c>
      <c r="L181" s="25" t="str">
        <f t="shared" si="51"/>
        <v/>
      </c>
      <c r="M181" s="33" t="e" cm="1">
        <f t="array" aca="1" ref="M181" ca="1">IF(AND(J181=INDIRECT("'["&amp;G181&amp;"]"&amp;E181&amp;"'!"&amp;$Y$2),G181=INDIRECT("'["&amp;G181&amp;"]"&amp;E181&amp;"'!"&amp;$AH$2)),INDIRECT("'["&amp;G181&amp;"]"&amp;E181&amp;"'!"&amp;$Y$3),0)</f>
        <v>#VALUE!</v>
      </c>
      <c r="N181" s="34" t="e" cm="1">
        <f t="array" aca="1" ref="N181" ca="1">IF(AND(G181=INDIRECT("'["&amp;G181&amp;"]"&amp;E181&amp;"'!"&amp;$AH$2),OR(K181=INDIRECT("'["&amp;G181&amp;"]"&amp;E181&amp;"'!"&amp;$Z$2))),INDIRECT("'["&amp;G181&amp;"]"&amp;E181&amp;"'!"&amp;$Z$3),0)</f>
        <v>#VALUE!</v>
      </c>
      <c r="O181" s="34" t="e" cm="1">
        <f t="array" aca="1" ref="O181" ca="1">IF(AND(G181=INDIRECT("'["&amp;G181&amp;"]"&amp;E181&amp;"'!"&amp;$AH$2),OR(L181=INDIRECT("'["&amp;G181&amp;"]"&amp;E181&amp;"'!"&amp;$AA$2))),INDIRECT("'["&amp;G181&amp;"]"&amp;E181&amp;"'!"&amp;$AA$3),0)</f>
        <v>#VALUE!</v>
      </c>
      <c r="P181" s="34" t="e" cm="1">
        <f t="array" aca="1" ref="P181" ca="1">IF(AND(G181=INDIRECT("'["&amp;G181&amp;"]"&amp;E181&amp;"'!"&amp;$AH$2),OR(VALUE(I181)=INDIRECT("'["&amp;G181&amp;"]"&amp;E181&amp;"'!"&amp;$AB$2))),INDIRECT("'["&amp;G181&amp;"]"&amp;E181&amp;"'!"&amp;$AB$3),0)</f>
        <v>#VALUE!</v>
      </c>
      <c r="Q181" s="34" t="e" cm="1">
        <f t="array" aca="1" ref="Q181" ca="1">IF(AND(G181=INDIRECT("'["&amp;G181&amp;"]"&amp;E181&amp;"'!"&amp;$AH$2),OR(VALUE(I181)=INDIRECT("'["&amp;G181&amp;"]"&amp;E181&amp;"'!"&amp;$AC$2))),INDIRECT("'["&amp;G181&amp;"]"&amp;E181&amp;"'!"&amp;$AC$3),0)</f>
        <v>#VALUE!</v>
      </c>
      <c r="R181" s="34" t="e" cm="1">
        <f t="array" aca="1" ref="R181" ca="1">IF(AND(G181=INDIRECT("'["&amp;G181&amp;"]"&amp;E181&amp;"'!"&amp;$AH$2),OR(I181=INDIRECT("'["&amp;G181&amp;"]"&amp;E181&amp;"'!"&amp;$AD$2))),INDIRECT("'["&amp;G181&amp;"]"&amp;E181&amp;"'!"&amp;$AD$3),0)</f>
        <v>#VALUE!</v>
      </c>
      <c r="S181" s="34" t="e" cm="1">
        <f t="array" aca="1" ref="S181" ca="1">IF(AND(G181=INDIRECT("'["&amp;G181&amp;"]"&amp;E181&amp;"'!"&amp;$AH$2),OR(I181=INDIRECT("'["&amp;G181&amp;"]"&amp;E181&amp;"'!"&amp;$AE$2))),INDIRECT("'["&amp;G181&amp;"]"&amp;E181&amp;"'!"&amp;$AE$3),0)</f>
        <v>#VALUE!</v>
      </c>
      <c r="T181" s="35" t="e" cm="1">
        <f t="array" aca="1" ref="T181" ca="1">IF(AND(G181=INDIRECT("'["&amp;G181&amp;"]"&amp;E181&amp;"'!"&amp;$AH$2),OR(I181=INDIRECT("'["&amp;G181&amp;"]"&amp;E181&amp;"'!"&amp;$AF$2))),INDIRECT("'["&amp;G181&amp;"]"&amp;E181&amp;"'!"&amp;$AF$3),0)</f>
        <v>#VALUE!</v>
      </c>
      <c r="U181" s="34" t="e" cm="1">
        <f t="array" aca="1" ref="U181" ca="1">IF(AND(G181=INDIRECT("'["&amp;G181&amp;"]"&amp;E181&amp;"'!"&amp;$AH$2),OR(I181=INDIRECT("'["&amp;G181&amp;"]"&amp;E181&amp;"'!"&amp;$AG$2))),INDIRECT("'["&amp;G181&amp;"]"&amp;E181&amp;"'!"&amp;$AG$3),0)</f>
        <v>#VALUE!</v>
      </c>
      <c r="V181" s="25" t="str">
        <f t="shared" si="52"/>
        <v/>
      </c>
      <c r="W181" s="36" t="e" cm="1">
        <f t="array" aca="1" ref="W181" ca="1">IF(AND(G181=INDIRECT("'["&amp;G181&amp;"]"&amp;E181&amp;"'!"&amp;$AH$2),OR(V181=INDIRECT("'["&amp;G181&amp;"]"&amp;E181&amp;"'!"&amp;$AI$2))),INDIRECT("'["&amp;G181&amp;"]"&amp;E181&amp;"'!"&amp;$AI$3),0)</f>
        <v>#VALUE!</v>
      </c>
      <c r="AJ181" s="25">
        <v>1</v>
      </c>
      <c r="AK181" s="38">
        <f t="shared" ca="1" si="53"/>
        <v>0</v>
      </c>
      <c r="AL181" s="38">
        <f t="shared" ca="1" si="54"/>
        <v>0</v>
      </c>
      <c r="AM181" s="54" t="str">
        <f t="shared" ca="1" si="45"/>
        <v/>
      </c>
      <c r="AN181" s="25" t="e">
        <f t="shared" ca="1" si="55"/>
        <v>#VALUE!</v>
      </c>
      <c r="AO181" s="25" t="e">
        <f t="shared" ca="1" si="56"/>
        <v>#VALUE!</v>
      </c>
      <c r="AP181" s="39" t="str">
        <f t="shared" ca="1" si="46"/>
        <v/>
      </c>
      <c r="AQ181" s="46" t="str">
        <f ca="1">IF(AND(C181&lt;&gt;0, C182=0), SUM($C$2:C181)-SUM($AQ$1:AQ180), "")</f>
        <v/>
      </c>
      <c r="AR181" s="46" t="str">
        <f ca="1">IF(AND(AK181&lt;&gt;0, AK182=0), SUM($AK$2:AK181)-SUM($AR$1:AR180), "")</f>
        <v/>
      </c>
    </row>
    <row r="182" spans="1:44" ht="13.15" customHeight="1">
      <c r="A182" s="31"/>
      <c r="B182" s="68" t="str">
        <f t="shared" si="60"/>
        <v/>
      </c>
      <c r="C182" s="55" cm="1">
        <f t="array" aca="1" ref="C182" ca="1">SUM(IF(ISNUMBER(M182:U182),M182:U182,""))</f>
        <v>0</v>
      </c>
      <c r="D182" s="25" t="str">
        <f t="shared" si="58"/>
        <v/>
      </c>
      <c r="E182" s="25" t="e">
        <f t="shared" si="47"/>
        <v>#VALUE!</v>
      </c>
      <c r="F182" s="25" t="str">
        <f t="shared" si="59"/>
        <v/>
      </c>
      <c r="G182" s="25" t="str">
        <f t="shared" si="44"/>
        <v>.xlsx</v>
      </c>
      <c r="H182" s="29" t="e" cm="1">
        <f t="array" aca="1" ref="H182" ca="1">IF(AND(VALUE(E182)=INDIRECT("'["&amp;G182&amp;"]"&amp;E182&amp;"'!"&amp;$X$2),G182=INDIRECT("'["&amp;G182&amp;"]"&amp;E182&amp;"'!"&amp;$X$3)),INDIRECT("'["&amp;G182&amp;"]"&amp;E182&amp;"'!"&amp;$X$1),0)</f>
        <v>#VALUE!</v>
      </c>
      <c r="I182" s="25" t="str">
        <f t="shared" si="48"/>
        <v/>
      </c>
      <c r="J182" s="32" t="str">
        <f t="shared" si="49"/>
        <v/>
      </c>
      <c r="K182" s="25" t="str">
        <f t="shared" si="50"/>
        <v/>
      </c>
      <c r="L182" s="25" t="str">
        <f t="shared" si="51"/>
        <v/>
      </c>
      <c r="M182" s="33" t="e" cm="1">
        <f t="array" aca="1" ref="M182" ca="1">IF(AND(J182=INDIRECT("'["&amp;G182&amp;"]"&amp;E182&amp;"'!"&amp;$Y$2),G182=INDIRECT("'["&amp;G182&amp;"]"&amp;E182&amp;"'!"&amp;$AH$2)),INDIRECT("'["&amp;G182&amp;"]"&amp;E182&amp;"'!"&amp;$Y$3),0)</f>
        <v>#VALUE!</v>
      </c>
      <c r="N182" s="34" t="e" cm="1">
        <f t="array" aca="1" ref="N182" ca="1">IF(AND(G182=INDIRECT("'["&amp;G182&amp;"]"&amp;E182&amp;"'!"&amp;$AH$2),OR(K182=INDIRECT("'["&amp;G182&amp;"]"&amp;E182&amp;"'!"&amp;$Z$2))),INDIRECT("'["&amp;G182&amp;"]"&amp;E182&amp;"'!"&amp;$Z$3),0)</f>
        <v>#VALUE!</v>
      </c>
      <c r="O182" s="34" t="e" cm="1">
        <f t="array" aca="1" ref="O182" ca="1">IF(AND(G182=INDIRECT("'["&amp;G182&amp;"]"&amp;E182&amp;"'!"&amp;$AH$2),OR(L182=INDIRECT("'["&amp;G182&amp;"]"&amp;E182&amp;"'!"&amp;$AA$2))),INDIRECT("'["&amp;G182&amp;"]"&amp;E182&amp;"'!"&amp;$AA$3),0)</f>
        <v>#VALUE!</v>
      </c>
      <c r="P182" s="34" t="e" cm="1">
        <f t="array" aca="1" ref="P182" ca="1">IF(AND(G182=INDIRECT("'["&amp;G182&amp;"]"&amp;E182&amp;"'!"&amp;$AH$2),OR(VALUE(I182)=INDIRECT("'["&amp;G182&amp;"]"&amp;E182&amp;"'!"&amp;$AB$2))),INDIRECT("'["&amp;G182&amp;"]"&amp;E182&amp;"'!"&amp;$AB$3),0)</f>
        <v>#VALUE!</v>
      </c>
      <c r="Q182" s="34" t="e" cm="1">
        <f t="array" aca="1" ref="Q182" ca="1">IF(AND(G182=INDIRECT("'["&amp;G182&amp;"]"&amp;E182&amp;"'!"&amp;$AH$2),OR(VALUE(I182)=INDIRECT("'["&amp;G182&amp;"]"&amp;E182&amp;"'!"&amp;$AC$2))),INDIRECT("'["&amp;G182&amp;"]"&amp;E182&amp;"'!"&amp;$AC$3),0)</f>
        <v>#VALUE!</v>
      </c>
      <c r="R182" s="34" t="e" cm="1">
        <f t="array" aca="1" ref="R182" ca="1">IF(AND(G182=INDIRECT("'["&amp;G182&amp;"]"&amp;E182&amp;"'!"&amp;$AH$2),OR(I182=INDIRECT("'["&amp;G182&amp;"]"&amp;E182&amp;"'!"&amp;$AD$2))),INDIRECT("'["&amp;G182&amp;"]"&amp;E182&amp;"'!"&amp;$AD$3),0)</f>
        <v>#VALUE!</v>
      </c>
      <c r="S182" s="34" t="e" cm="1">
        <f t="array" aca="1" ref="S182" ca="1">IF(AND(G182=INDIRECT("'["&amp;G182&amp;"]"&amp;E182&amp;"'!"&amp;$AH$2),OR(I182=INDIRECT("'["&amp;G182&amp;"]"&amp;E182&amp;"'!"&amp;$AE$2))),INDIRECT("'["&amp;G182&amp;"]"&amp;E182&amp;"'!"&amp;$AE$3),0)</f>
        <v>#VALUE!</v>
      </c>
      <c r="T182" s="35" t="e" cm="1">
        <f t="array" aca="1" ref="T182" ca="1">IF(AND(G182=INDIRECT("'["&amp;G182&amp;"]"&amp;E182&amp;"'!"&amp;$AH$2),OR(I182=INDIRECT("'["&amp;G182&amp;"]"&amp;E182&amp;"'!"&amp;$AF$2))),INDIRECT("'["&amp;G182&amp;"]"&amp;E182&amp;"'!"&amp;$AF$3),0)</f>
        <v>#VALUE!</v>
      </c>
      <c r="U182" s="34" t="e" cm="1">
        <f t="array" aca="1" ref="U182" ca="1">IF(AND(G182=INDIRECT("'["&amp;G182&amp;"]"&amp;E182&amp;"'!"&amp;$AH$2),OR(I182=INDIRECT("'["&amp;G182&amp;"]"&amp;E182&amp;"'!"&amp;$AG$2))),INDIRECT("'["&amp;G182&amp;"]"&amp;E182&amp;"'!"&amp;$AG$3),0)</f>
        <v>#VALUE!</v>
      </c>
      <c r="V182" s="25" t="str">
        <f t="shared" si="52"/>
        <v/>
      </c>
      <c r="W182" s="36" t="e" cm="1">
        <f t="array" aca="1" ref="W182" ca="1">IF(AND(G182=INDIRECT("'["&amp;G182&amp;"]"&amp;E182&amp;"'!"&amp;$AH$2),OR(V182=INDIRECT("'["&amp;G182&amp;"]"&amp;E182&amp;"'!"&amp;$AI$2))),INDIRECT("'["&amp;G182&amp;"]"&amp;E182&amp;"'!"&amp;$AI$3),0)</f>
        <v>#VALUE!</v>
      </c>
      <c r="AJ182" s="25">
        <v>1</v>
      </c>
      <c r="AK182" s="38">
        <f t="shared" ca="1" si="53"/>
        <v>0</v>
      </c>
      <c r="AL182" s="38">
        <f t="shared" ca="1" si="54"/>
        <v>0</v>
      </c>
      <c r="AM182" s="54" t="str">
        <f t="shared" ca="1" si="45"/>
        <v/>
      </c>
      <c r="AN182" s="25" t="e">
        <f t="shared" ca="1" si="55"/>
        <v>#VALUE!</v>
      </c>
      <c r="AO182" s="25" t="e">
        <f t="shared" ca="1" si="56"/>
        <v>#VALUE!</v>
      </c>
      <c r="AP182" s="39" t="str">
        <f t="shared" ca="1" si="46"/>
        <v/>
      </c>
      <c r="AQ182" s="46" t="str">
        <f ca="1">IF(AND(C182&lt;&gt;0, C183=0), SUM($C$2:C182)-SUM($AQ$1:AQ181), "")</f>
        <v/>
      </c>
      <c r="AR182" s="46" t="str">
        <f ca="1">IF(AND(AK182&lt;&gt;0, AK183=0), SUM($AK$2:AK182)-SUM($AR$1:AR181), "")</f>
        <v/>
      </c>
    </row>
    <row r="183" spans="1:44" ht="13.15" customHeight="1">
      <c r="A183" s="31"/>
      <c r="B183" s="68" t="str">
        <f t="shared" si="60"/>
        <v/>
      </c>
      <c r="C183" s="55" cm="1">
        <f t="array" aca="1" ref="C183" ca="1">SUM(IF(ISNUMBER(M183:U183),M183:U183,""))</f>
        <v>0</v>
      </c>
      <c r="D183" s="25" t="str">
        <f t="shared" si="58"/>
        <v/>
      </c>
      <c r="E183" s="25" t="e">
        <f t="shared" si="47"/>
        <v>#VALUE!</v>
      </c>
      <c r="F183" s="25" t="str">
        <f t="shared" si="59"/>
        <v/>
      </c>
      <c r="G183" s="25" t="str">
        <f t="shared" si="44"/>
        <v>.xlsx</v>
      </c>
      <c r="H183" s="29" t="e" cm="1">
        <f t="array" aca="1" ref="H183" ca="1">IF(AND(VALUE(E183)=INDIRECT("'["&amp;G183&amp;"]"&amp;E183&amp;"'!"&amp;$X$2),G183=INDIRECT("'["&amp;G183&amp;"]"&amp;E183&amp;"'!"&amp;$X$3)),INDIRECT("'["&amp;G183&amp;"]"&amp;E183&amp;"'!"&amp;$X$1),0)</f>
        <v>#VALUE!</v>
      </c>
      <c r="I183" s="25" t="str">
        <f t="shared" si="48"/>
        <v/>
      </c>
      <c r="J183" s="32" t="str">
        <f t="shared" si="49"/>
        <v/>
      </c>
      <c r="K183" s="25" t="str">
        <f t="shared" si="50"/>
        <v/>
      </c>
      <c r="L183" s="25" t="str">
        <f t="shared" si="51"/>
        <v/>
      </c>
      <c r="M183" s="33" t="e" cm="1">
        <f t="array" aca="1" ref="M183" ca="1">IF(AND(J183=INDIRECT("'["&amp;G183&amp;"]"&amp;E183&amp;"'!"&amp;$Y$2),G183=INDIRECT("'["&amp;G183&amp;"]"&amp;E183&amp;"'!"&amp;$AH$2)),INDIRECT("'["&amp;G183&amp;"]"&amp;E183&amp;"'!"&amp;$Y$3),0)</f>
        <v>#VALUE!</v>
      </c>
      <c r="N183" s="34" t="e" cm="1">
        <f t="array" aca="1" ref="N183" ca="1">IF(AND(G183=INDIRECT("'["&amp;G183&amp;"]"&amp;E183&amp;"'!"&amp;$AH$2),OR(K183=INDIRECT("'["&amp;G183&amp;"]"&amp;E183&amp;"'!"&amp;$Z$2))),INDIRECT("'["&amp;G183&amp;"]"&amp;E183&amp;"'!"&amp;$Z$3),0)</f>
        <v>#VALUE!</v>
      </c>
      <c r="O183" s="34" t="e" cm="1">
        <f t="array" aca="1" ref="O183" ca="1">IF(AND(G183=INDIRECT("'["&amp;G183&amp;"]"&amp;E183&amp;"'!"&amp;$AH$2),OR(L183=INDIRECT("'["&amp;G183&amp;"]"&amp;E183&amp;"'!"&amp;$AA$2))),INDIRECT("'["&amp;G183&amp;"]"&amp;E183&amp;"'!"&amp;$AA$3),0)</f>
        <v>#VALUE!</v>
      </c>
      <c r="P183" s="34" t="e" cm="1">
        <f t="array" aca="1" ref="P183" ca="1">IF(AND(G183=INDIRECT("'["&amp;G183&amp;"]"&amp;E183&amp;"'!"&amp;$AH$2),OR(VALUE(I183)=INDIRECT("'["&amp;G183&amp;"]"&amp;E183&amp;"'!"&amp;$AB$2))),INDIRECT("'["&amp;G183&amp;"]"&amp;E183&amp;"'!"&amp;$AB$3),0)</f>
        <v>#VALUE!</v>
      </c>
      <c r="Q183" s="34" t="e" cm="1">
        <f t="array" aca="1" ref="Q183" ca="1">IF(AND(G183=INDIRECT("'["&amp;G183&amp;"]"&amp;E183&amp;"'!"&amp;$AH$2),OR(VALUE(I183)=INDIRECT("'["&amp;G183&amp;"]"&amp;E183&amp;"'!"&amp;$AC$2))),INDIRECT("'["&amp;G183&amp;"]"&amp;E183&amp;"'!"&amp;$AC$3),0)</f>
        <v>#VALUE!</v>
      </c>
      <c r="R183" s="34" t="e" cm="1">
        <f t="array" aca="1" ref="R183" ca="1">IF(AND(G183=INDIRECT("'["&amp;G183&amp;"]"&amp;E183&amp;"'!"&amp;$AH$2),OR(I183=INDIRECT("'["&amp;G183&amp;"]"&amp;E183&amp;"'!"&amp;$AD$2))),INDIRECT("'["&amp;G183&amp;"]"&amp;E183&amp;"'!"&amp;$AD$3),0)</f>
        <v>#VALUE!</v>
      </c>
      <c r="S183" s="34" t="e" cm="1">
        <f t="array" aca="1" ref="S183" ca="1">IF(AND(G183=INDIRECT("'["&amp;G183&amp;"]"&amp;E183&amp;"'!"&amp;$AH$2),OR(I183=INDIRECT("'["&amp;G183&amp;"]"&amp;E183&amp;"'!"&amp;$AE$2))),INDIRECT("'["&amp;G183&amp;"]"&amp;E183&amp;"'!"&amp;$AE$3),0)</f>
        <v>#VALUE!</v>
      </c>
      <c r="T183" s="35" t="e" cm="1">
        <f t="array" aca="1" ref="T183" ca="1">IF(AND(G183=INDIRECT("'["&amp;G183&amp;"]"&amp;E183&amp;"'!"&amp;$AH$2),OR(I183=INDIRECT("'["&amp;G183&amp;"]"&amp;E183&amp;"'!"&amp;$AF$2))),INDIRECT("'["&amp;G183&amp;"]"&amp;E183&amp;"'!"&amp;$AF$3),0)</f>
        <v>#VALUE!</v>
      </c>
      <c r="U183" s="34" t="e" cm="1">
        <f t="array" aca="1" ref="U183" ca="1">IF(AND(G183=INDIRECT("'["&amp;G183&amp;"]"&amp;E183&amp;"'!"&amp;$AH$2),OR(I183=INDIRECT("'["&amp;G183&amp;"]"&amp;E183&amp;"'!"&amp;$AG$2))),INDIRECT("'["&amp;G183&amp;"]"&amp;E183&amp;"'!"&amp;$AG$3),0)</f>
        <v>#VALUE!</v>
      </c>
      <c r="V183" s="25" t="str">
        <f t="shared" si="52"/>
        <v/>
      </c>
      <c r="W183" s="36" t="e" cm="1">
        <f t="array" aca="1" ref="W183" ca="1">IF(AND(G183=INDIRECT("'["&amp;G183&amp;"]"&amp;E183&amp;"'!"&amp;$AH$2),OR(V183=INDIRECT("'["&amp;G183&amp;"]"&amp;E183&amp;"'!"&amp;$AI$2))),INDIRECT("'["&amp;G183&amp;"]"&amp;E183&amp;"'!"&amp;$AI$3),0)</f>
        <v>#VALUE!</v>
      </c>
      <c r="AJ183" s="25">
        <v>1</v>
      </c>
      <c r="AK183" s="38">
        <f t="shared" ca="1" si="53"/>
        <v>0</v>
      </c>
      <c r="AL183" s="38">
        <f t="shared" ca="1" si="54"/>
        <v>0</v>
      </c>
      <c r="AM183" s="54" t="str">
        <f t="shared" ca="1" si="45"/>
        <v/>
      </c>
      <c r="AN183" s="25" t="e">
        <f t="shared" ca="1" si="55"/>
        <v>#VALUE!</v>
      </c>
      <c r="AO183" s="25" t="e">
        <f t="shared" ca="1" si="56"/>
        <v>#VALUE!</v>
      </c>
      <c r="AP183" s="39" t="str">
        <f t="shared" ca="1" si="46"/>
        <v/>
      </c>
      <c r="AQ183" s="46" t="str">
        <f ca="1">IF(AND(C183&lt;&gt;0, C184=0), SUM($C$2:C183)-SUM($AQ$1:AQ182), "")</f>
        <v/>
      </c>
      <c r="AR183" s="46" t="str">
        <f ca="1">IF(AND(AK183&lt;&gt;0, AK184=0), SUM($AK$2:AK183)-SUM($AR$1:AR182), "")</f>
        <v/>
      </c>
    </row>
    <row r="184" spans="1:44" ht="13.15" customHeight="1">
      <c r="A184" s="31"/>
      <c r="B184" s="68" t="str">
        <f t="shared" si="60"/>
        <v/>
      </c>
      <c r="C184" s="55" cm="1">
        <f t="array" aca="1" ref="C184" ca="1">SUM(IF(ISNUMBER(M184:U184),M184:U184,""))</f>
        <v>0</v>
      </c>
      <c r="D184" s="25" t="str">
        <f t="shared" si="58"/>
        <v/>
      </c>
      <c r="E184" s="25" t="e">
        <f t="shared" si="47"/>
        <v>#VALUE!</v>
      </c>
      <c r="F184" s="25" t="str">
        <f t="shared" si="59"/>
        <v/>
      </c>
      <c r="G184" s="25" t="str">
        <f t="shared" si="44"/>
        <v>.xlsx</v>
      </c>
      <c r="H184" s="29" t="e" cm="1">
        <f t="array" aca="1" ref="H184" ca="1">IF(AND(VALUE(E184)=INDIRECT("'["&amp;G184&amp;"]"&amp;E184&amp;"'!"&amp;$X$2),G184=INDIRECT("'["&amp;G184&amp;"]"&amp;E184&amp;"'!"&amp;$X$3)),INDIRECT("'["&amp;G184&amp;"]"&amp;E184&amp;"'!"&amp;$X$1),0)</f>
        <v>#VALUE!</v>
      </c>
      <c r="I184" s="25" t="str">
        <f t="shared" si="48"/>
        <v/>
      </c>
      <c r="J184" s="32" t="str">
        <f t="shared" si="49"/>
        <v/>
      </c>
      <c r="K184" s="25" t="str">
        <f t="shared" si="50"/>
        <v/>
      </c>
      <c r="L184" s="25" t="str">
        <f t="shared" si="51"/>
        <v/>
      </c>
      <c r="M184" s="33" t="e" cm="1">
        <f t="array" aca="1" ref="M184" ca="1">IF(AND(J184=INDIRECT("'["&amp;G184&amp;"]"&amp;E184&amp;"'!"&amp;$Y$2),G184=INDIRECT("'["&amp;G184&amp;"]"&amp;E184&amp;"'!"&amp;$AH$2)),INDIRECT("'["&amp;G184&amp;"]"&amp;E184&amp;"'!"&amp;$Y$3),0)</f>
        <v>#VALUE!</v>
      </c>
      <c r="N184" s="34" t="e" cm="1">
        <f t="array" aca="1" ref="N184" ca="1">IF(AND(G184=INDIRECT("'["&amp;G184&amp;"]"&amp;E184&amp;"'!"&amp;$AH$2),OR(K184=INDIRECT("'["&amp;G184&amp;"]"&amp;E184&amp;"'!"&amp;$Z$2))),INDIRECT("'["&amp;G184&amp;"]"&amp;E184&amp;"'!"&amp;$Z$3),0)</f>
        <v>#VALUE!</v>
      </c>
      <c r="O184" s="34" t="e" cm="1">
        <f t="array" aca="1" ref="O184" ca="1">IF(AND(G184=INDIRECT("'["&amp;G184&amp;"]"&amp;E184&amp;"'!"&amp;$AH$2),OR(L184=INDIRECT("'["&amp;G184&amp;"]"&amp;E184&amp;"'!"&amp;$AA$2))),INDIRECT("'["&amp;G184&amp;"]"&amp;E184&amp;"'!"&amp;$AA$3),0)</f>
        <v>#VALUE!</v>
      </c>
      <c r="P184" s="34" t="e" cm="1">
        <f t="array" aca="1" ref="P184" ca="1">IF(AND(G184=INDIRECT("'["&amp;G184&amp;"]"&amp;E184&amp;"'!"&amp;$AH$2),OR(VALUE(I184)=INDIRECT("'["&amp;G184&amp;"]"&amp;E184&amp;"'!"&amp;$AB$2))),INDIRECT("'["&amp;G184&amp;"]"&amp;E184&amp;"'!"&amp;$AB$3),0)</f>
        <v>#VALUE!</v>
      </c>
      <c r="Q184" s="34" t="e" cm="1">
        <f t="array" aca="1" ref="Q184" ca="1">IF(AND(G184=INDIRECT("'["&amp;G184&amp;"]"&amp;E184&amp;"'!"&amp;$AH$2),OR(VALUE(I184)=INDIRECT("'["&amp;G184&amp;"]"&amp;E184&amp;"'!"&amp;$AC$2))),INDIRECT("'["&amp;G184&amp;"]"&amp;E184&amp;"'!"&amp;$AC$3),0)</f>
        <v>#VALUE!</v>
      </c>
      <c r="R184" s="34" t="e" cm="1">
        <f t="array" aca="1" ref="R184" ca="1">IF(AND(G184=INDIRECT("'["&amp;G184&amp;"]"&amp;E184&amp;"'!"&amp;$AH$2),OR(I184=INDIRECT("'["&amp;G184&amp;"]"&amp;E184&amp;"'!"&amp;$AD$2))),INDIRECT("'["&amp;G184&amp;"]"&amp;E184&amp;"'!"&amp;$AD$3),0)</f>
        <v>#VALUE!</v>
      </c>
      <c r="S184" s="34" t="e" cm="1">
        <f t="array" aca="1" ref="S184" ca="1">IF(AND(G184=INDIRECT("'["&amp;G184&amp;"]"&amp;E184&amp;"'!"&amp;$AH$2),OR(I184=INDIRECT("'["&amp;G184&amp;"]"&amp;E184&amp;"'!"&amp;$AE$2))),INDIRECT("'["&amp;G184&amp;"]"&amp;E184&amp;"'!"&amp;$AE$3),0)</f>
        <v>#VALUE!</v>
      </c>
      <c r="T184" s="35" t="e" cm="1">
        <f t="array" aca="1" ref="T184" ca="1">IF(AND(G184=INDIRECT("'["&amp;G184&amp;"]"&amp;E184&amp;"'!"&amp;$AH$2),OR(I184=INDIRECT("'["&amp;G184&amp;"]"&amp;E184&amp;"'!"&amp;$AF$2))),INDIRECT("'["&amp;G184&amp;"]"&amp;E184&amp;"'!"&amp;$AF$3),0)</f>
        <v>#VALUE!</v>
      </c>
      <c r="U184" s="34" t="e" cm="1">
        <f t="array" aca="1" ref="U184" ca="1">IF(AND(G184=INDIRECT("'["&amp;G184&amp;"]"&amp;E184&amp;"'!"&amp;$AH$2),OR(I184=INDIRECT("'["&amp;G184&amp;"]"&amp;E184&amp;"'!"&amp;$AG$2))),INDIRECT("'["&amp;G184&amp;"]"&amp;E184&amp;"'!"&amp;$AG$3),0)</f>
        <v>#VALUE!</v>
      </c>
      <c r="V184" s="25" t="str">
        <f t="shared" si="52"/>
        <v/>
      </c>
      <c r="W184" s="36" t="e" cm="1">
        <f t="array" aca="1" ref="W184" ca="1">IF(AND(G184=INDIRECT("'["&amp;G184&amp;"]"&amp;E184&amp;"'!"&amp;$AH$2),OR(V184=INDIRECT("'["&amp;G184&amp;"]"&amp;E184&amp;"'!"&amp;$AI$2))),INDIRECT("'["&amp;G184&amp;"]"&amp;E184&amp;"'!"&amp;$AI$3),0)</f>
        <v>#VALUE!</v>
      </c>
      <c r="AJ184" s="25">
        <v>1</v>
      </c>
      <c r="AK184" s="38">
        <f t="shared" ca="1" si="53"/>
        <v>0</v>
      </c>
      <c r="AL184" s="38">
        <f t="shared" ca="1" si="54"/>
        <v>0</v>
      </c>
      <c r="AM184" s="54" t="str">
        <f t="shared" ca="1" si="45"/>
        <v/>
      </c>
      <c r="AN184" s="25" t="e">
        <f t="shared" ca="1" si="55"/>
        <v>#VALUE!</v>
      </c>
      <c r="AO184" s="25" t="e">
        <f t="shared" ca="1" si="56"/>
        <v>#VALUE!</v>
      </c>
      <c r="AP184" s="39" t="str">
        <f t="shared" ca="1" si="46"/>
        <v/>
      </c>
      <c r="AQ184" s="46" t="str">
        <f ca="1">IF(AND(C184&lt;&gt;0, C185=0), SUM($C$2:C184)-SUM($AQ$1:AQ183), "")</f>
        <v/>
      </c>
      <c r="AR184" s="46" t="str">
        <f ca="1">IF(AND(AK184&lt;&gt;0, AK185=0), SUM($AK$2:AK184)-SUM($AR$1:AR183), "")</f>
        <v/>
      </c>
    </row>
    <row r="185" spans="1:44" ht="13.15" customHeight="1">
      <c r="A185" s="31"/>
      <c r="B185" s="68" t="str">
        <f t="shared" si="60"/>
        <v/>
      </c>
      <c r="C185" s="55" cm="1">
        <f t="array" aca="1" ref="C185" ca="1">SUM(IF(ISNUMBER(M185:U185),M185:U185,""))</f>
        <v>0</v>
      </c>
      <c r="D185" s="25" t="str">
        <f t="shared" si="58"/>
        <v/>
      </c>
      <c r="E185" s="25" t="e">
        <f t="shared" si="47"/>
        <v>#VALUE!</v>
      </c>
      <c r="F185" s="25" t="str">
        <f t="shared" si="59"/>
        <v/>
      </c>
      <c r="G185" s="25" t="str">
        <f t="shared" si="44"/>
        <v>.xlsx</v>
      </c>
      <c r="H185" s="29" t="e" cm="1">
        <f t="array" aca="1" ref="H185" ca="1">IF(AND(VALUE(E185)=INDIRECT("'["&amp;G185&amp;"]"&amp;E185&amp;"'!"&amp;$X$2),G185=INDIRECT("'["&amp;G185&amp;"]"&amp;E185&amp;"'!"&amp;$X$3)),INDIRECT("'["&amp;G185&amp;"]"&amp;E185&amp;"'!"&amp;$X$1),0)</f>
        <v>#VALUE!</v>
      </c>
      <c r="I185" s="25" t="str">
        <f t="shared" si="48"/>
        <v/>
      </c>
      <c r="J185" s="32" t="str">
        <f t="shared" si="49"/>
        <v/>
      </c>
      <c r="K185" s="25" t="str">
        <f t="shared" si="50"/>
        <v/>
      </c>
      <c r="L185" s="25" t="str">
        <f t="shared" si="51"/>
        <v/>
      </c>
      <c r="M185" s="33" t="e" cm="1">
        <f t="array" aca="1" ref="M185" ca="1">IF(AND(J185=INDIRECT("'["&amp;G185&amp;"]"&amp;E185&amp;"'!"&amp;$Y$2),G185=INDIRECT("'["&amp;G185&amp;"]"&amp;E185&amp;"'!"&amp;$AH$2)),INDIRECT("'["&amp;G185&amp;"]"&amp;E185&amp;"'!"&amp;$Y$3),0)</f>
        <v>#VALUE!</v>
      </c>
      <c r="N185" s="34" t="e" cm="1">
        <f t="array" aca="1" ref="N185" ca="1">IF(AND(G185=INDIRECT("'["&amp;G185&amp;"]"&amp;E185&amp;"'!"&amp;$AH$2),OR(K185=INDIRECT("'["&amp;G185&amp;"]"&amp;E185&amp;"'!"&amp;$Z$2))),INDIRECT("'["&amp;G185&amp;"]"&amp;E185&amp;"'!"&amp;$Z$3),0)</f>
        <v>#VALUE!</v>
      </c>
      <c r="O185" s="34" t="e" cm="1">
        <f t="array" aca="1" ref="O185" ca="1">IF(AND(G185=INDIRECT("'["&amp;G185&amp;"]"&amp;E185&amp;"'!"&amp;$AH$2),OR(L185=INDIRECT("'["&amp;G185&amp;"]"&amp;E185&amp;"'!"&amp;$AA$2))),INDIRECT("'["&amp;G185&amp;"]"&amp;E185&amp;"'!"&amp;$AA$3),0)</f>
        <v>#VALUE!</v>
      </c>
      <c r="P185" s="34" t="e" cm="1">
        <f t="array" aca="1" ref="P185" ca="1">IF(AND(G185=INDIRECT("'["&amp;G185&amp;"]"&amp;E185&amp;"'!"&amp;$AH$2),OR(VALUE(I185)=INDIRECT("'["&amp;G185&amp;"]"&amp;E185&amp;"'!"&amp;$AB$2))),INDIRECT("'["&amp;G185&amp;"]"&amp;E185&amp;"'!"&amp;$AB$3),0)</f>
        <v>#VALUE!</v>
      </c>
      <c r="Q185" s="34" t="e" cm="1">
        <f t="array" aca="1" ref="Q185" ca="1">IF(AND(G185=INDIRECT("'["&amp;G185&amp;"]"&amp;E185&amp;"'!"&amp;$AH$2),OR(VALUE(I185)=INDIRECT("'["&amp;G185&amp;"]"&amp;E185&amp;"'!"&amp;$AC$2))),INDIRECT("'["&amp;G185&amp;"]"&amp;E185&amp;"'!"&amp;$AC$3),0)</f>
        <v>#VALUE!</v>
      </c>
      <c r="R185" s="34" t="e" cm="1">
        <f t="array" aca="1" ref="R185" ca="1">IF(AND(G185=INDIRECT("'["&amp;G185&amp;"]"&amp;E185&amp;"'!"&amp;$AH$2),OR(I185=INDIRECT("'["&amp;G185&amp;"]"&amp;E185&amp;"'!"&amp;$AD$2))),INDIRECT("'["&amp;G185&amp;"]"&amp;E185&amp;"'!"&amp;$AD$3),0)</f>
        <v>#VALUE!</v>
      </c>
      <c r="S185" s="34" t="e" cm="1">
        <f t="array" aca="1" ref="S185" ca="1">IF(AND(G185=INDIRECT("'["&amp;G185&amp;"]"&amp;E185&amp;"'!"&amp;$AH$2),OR(I185=INDIRECT("'["&amp;G185&amp;"]"&amp;E185&amp;"'!"&amp;$AE$2))),INDIRECT("'["&amp;G185&amp;"]"&amp;E185&amp;"'!"&amp;$AE$3),0)</f>
        <v>#VALUE!</v>
      </c>
      <c r="T185" s="35" t="e" cm="1">
        <f t="array" aca="1" ref="T185" ca="1">IF(AND(G185=INDIRECT("'["&amp;G185&amp;"]"&amp;E185&amp;"'!"&amp;$AH$2),OR(I185=INDIRECT("'["&amp;G185&amp;"]"&amp;E185&amp;"'!"&amp;$AF$2))),INDIRECT("'["&amp;G185&amp;"]"&amp;E185&amp;"'!"&amp;$AF$3),0)</f>
        <v>#VALUE!</v>
      </c>
      <c r="U185" s="34" t="e" cm="1">
        <f t="array" aca="1" ref="U185" ca="1">IF(AND(G185=INDIRECT("'["&amp;G185&amp;"]"&amp;E185&amp;"'!"&amp;$AH$2),OR(I185=INDIRECT("'["&amp;G185&amp;"]"&amp;E185&amp;"'!"&amp;$AG$2))),INDIRECT("'["&amp;G185&amp;"]"&amp;E185&amp;"'!"&amp;$AG$3),0)</f>
        <v>#VALUE!</v>
      </c>
      <c r="V185" s="25" t="str">
        <f t="shared" si="52"/>
        <v/>
      </c>
      <c r="W185" s="36" t="e" cm="1">
        <f t="array" aca="1" ref="W185" ca="1">IF(AND(G185=INDIRECT("'["&amp;G185&amp;"]"&amp;E185&amp;"'!"&amp;$AH$2),OR(V185=INDIRECT("'["&amp;G185&amp;"]"&amp;E185&amp;"'!"&amp;$AI$2))),INDIRECT("'["&amp;G185&amp;"]"&amp;E185&amp;"'!"&amp;$AI$3),0)</f>
        <v>#VALUE!</v>
      </c>
      <c r="AJ185" s="25">
        <v>1</v>
      </c>
      <c r="AK185" s="38">
        <f t="shared" ca="1" si="53"/>
        <v>0</v>
      </c>
      <c r="AL185" s="38">
        <f t="shared" ca="1" si="54"/>
        <v>0</v>
      </c>
      <c r="AM185" s="54" t="str">
        <f t="shared" ca="1" si="45"/>
        <v/>
      </c>
      <c r="AN185" s="25" t="e">
        <f t="shared" ca="1" si="55"/>
        <v>#VALUE!</v>
      </c>
      <c r="AO185" s="25" t="e">
        <f t="shared" ca="1" si="56"/>
        <v>#VALUE!</v>
      </c>
      <c r="AP185" s="39" t="str">
        <f t="shared" ca="1" si="46"/>
        <v/>
      </c>
      <c r="AQ185" s="46" t="str">
        <f ca="1">IF(AND(C185&lt;&gt;0, C186=0), SUM($C$2:C185)-SUM($AQ$1:AQ184), "")</f>
        <v/>
      </c>
      <c r="AR185" s="46" t="str">
        <f ca="1">IF(AND(AK185&lt;&gt;0, AK186=0), SUM($AK$2:AK185)-SUM($AR$1:AR184), "")</f>
        <v/>
      </c>
    </row>
    <row r="186" spans="1:44" ht="13.15" customHeight="1">
      <c r="A186" s="31"/>
      <c r="B186" s="68" t="str">
        <f t="shared" si="60"/>
        <v/>
      </c>
      <c r="C186" s="55" cm="1">
        <f t="array" aca="1" ref="C186" ca="1">SUM(IF(ISNUMBER(M186:U186),M186:U186,""))</f>
        <v>0</v>
      </c>
      <c r="D186" s="25" t="str">
        <f t="shared" si="58"/>
        <v/>
      </c>
      <c r="E186" s="25" t="e">
        <f t="shared" si="47"/>
        <v>#VALUE!</v>
      </c>
      <c r="F186" s="25" t="str">
        <f t="shared" si="59"/>
        <v/>
      </c>
      <c r="G186" s="25" t="str">
        <f t="shared" si="44"/>
        <v>.xlsx</v>
      </c>
      <c r="H186" s="29" t="e" cm="1">
        <f t="array" aca="1" ref="H186" ca="1">IF(AND(VALUE(E186)=INDIRECT("'["&amp;G186&amp;"]"&amp;E186&amp;"'!"&amp;$X$2),G186=INDIRECT("'["&amp;G186&amp;"]"&amp;E186&amp;"'!"&amp;$X$3)),INDIRECT("'["&amp;G186&amp;"]"&amp;E186&amp;"'!"&amp;$X$1),0)</f>
        <v>#VALUE!</v>
      </c>
      <c r="I186" s="25" t="str">
        <f t="shared" si="48"/>
        <v/>
      </c>
      <c r="J186" s="32" t="str">
        <f t="shared" si="49"/>
        <v/>
      </c>
      <c r="K186" s="25" t="str">
        <f t="shared" si="50"/>
        <v/>
      </c>
      <c r="L186" s="25" t="str">
        <f t="shared" si="51"/>
        <v/>
      </c>
      <c r="M186" s="33" t="e" cm="1">
        <f t="array" aca="1" ref="M186" ca="1">IF(AND(J186=INDIRECT("'["&amp;G186&amp;"]"&amp;E186&amp;"'!"&amp;$Y$2),G186=INDIRECT("'["&amp;G186&amp;"]"&amp;E186&amp;"'!"&amp;$AH$2)),INDIRECT("'["&amp;G186&amp;"]"&amp;E186&amp;"'!"&amp;$Y$3),0)</f>
        <v>#VALUE!</v>
      </c>
      <c r="N186" s="34" t="e" cm="1">
        <f t="array" aca="1" ref="N186" ca="1">IF(AND(G186=INDIRECT("'["&amp;G186&amp;"]"&amp;E186&amp;"'!"&amp;$AH$2),OR(K186=INDIRECT("'["&amp;G186&amp;"]"&amp;E186&amp;"'!"&amp;$Z$2))),INDIRECT("'["&amp;G186&amp;"]"&amp;E186&amp;"'!"&amp;$Z$3),0)</f>
        <v>#VALUE!</v>
      </c>
      <c r="O186" s="34" t="e" cm="1">
        <f t="array" aca="1" ref="O186" ca="1">IF(AND(G186=INDIRECT("'["&amp;G186&amp;"]"&amp;E186&amp;"'!"&amp;$AH$2),OR(L186=INDIRECT("'["&amp;G186&amp;"]"&amp;E186&amp;"'!"&amp;$AA$2))),INDIRECT("'["&amp;G186&amp;"]"&amp;E186&amp;"'!"&amp;$AA$3),0)</f>
        <v>#VALUE!</v>
      </c>
      <c r="P186" s="34" t="e" cm="1">
        <f t="array" aca="1" ref="P186" ca="1">IF(AND(G186=INDIRECT("'["&amp;G186&amp;"]"&amp;E186&amp;"'!"&amp;$AH$2),OR(VALUE(I186)=INDIRECT("'["&amp;G186&amp;"]"&amp;E186&amp;"'!"&amp;$AB$2))),INDIRECT("'["&amp;G186&amp;"]"&amp;E186&amp;"'!"&amp;$AB$3),0)</f>
        <v>#VALUE!</v>
      </c>
      <c r="Q186" s="34" t="e" cm="1">
        <f t="array" aca="1" ref="Q186" ca="1">IF(AND(G186=INDIRECT("'["&amp;G186&amp;"]"&amp;E186&amp;"'!"&amp;$AH$2),OR(VALUE(I186)=INDIRECT("'["&amp;G186&amp;"]"&amp;E186&amp;"'!"&amp;$AC$2))),INDIRECT("'["&amp;G186&amp;"]"&amp;E186&amp;"'!"&amp;$AC$3),0)</f>
        <v>#VALUE!</v>
      </c>
      <c r="R186" s="34" t="e" cm="1">
        <f t="array" aca="1" ref="R186" ca="1">IF(AND(G186=INDIRECT("'["&amp;G186&amp;"]"&amp;E186&amp;"'!"&amp;$AH$2),OR(I186=INDIRECT("'["&amp;G186&amp;"]"&amp;E186&amp;"'!"&amp;$AD$2))),INDIRECT("'["&amp;G186&amp;"]"&amp;E186&amp;"'!"&amp;$AD$3),0)</f>
        <v>#VALUE!</v>
      </c>
      <c r="S186" s="34" t="e" cm="1">
        <f t="array" aca="1" ref="S186" ca="1">IF(AND(G186=INDIRECT("'["&amp;G186&amp;"]"&amp;E186&amp;"'!"&amp;$AH$2),OR(I186=INDIRECT("'["&amp;G186&amp;"]"&amp;E186&amp;"'!"&amp;$AE$2))),INDIRECT("'["&amp;G186&amp;"]"&amp;E186&amp;"'!"&amp;$AE$3),0)</f>
        <v>#VALUE!</v>
      </c>
      <c r="T186" s="35" t="e" cm="1">
        <f t="array" aca="1" ref="T186" ca="1">IF(AND(G186=INDIRECT("'["&amp;G186&amp;"]"&amp;E186&amp;"'!"&amp;$AH$2),OR(I186=INDIRECT("'["&amp;G186&amp;"]"&amp;E186&amp;"'!"&amp;$AF$2))),INDIRECT("'["&amp;G186&amp;"]"&amp;E186&amp;"'!"&amp;$AF$3),0)</f>
        <v>#VALUE!</v>
      </c>
      <c r="U186" s="34" t="e" cm="1">
        <f t="array" aca="1" ref="U186" ca="1">IF(AND(G186=INDIRECT("'["&amp;G186&amp;"]"&amp;E186&amp;"'!"&amp;$AH$2),OR(I186=INDIRECT("'["&amp;G186&amp;"]"&amp;E186&amp;"'!"&amp;$AG$2))),INDIRECT("'["&amp;G186&amp;"]"&amp;E186&amp;"'!"&amp;$AG$3),0)</f>
        <v>#VALUE!</v>
      </c>
      <c r="V186" s="25" t="str">
        <f t="shared" si="52"/>
        <v/>
      </c>
      <c r="W186" s="36" t="e" cm="1">
        <f t="array" aca="1" ref="W186" ca="1">IF(AND(G186=INDIRECT("'["&amp;G186&amp;"]"&amp;E186&amp;"'!"&amp;$AH$2),OR(V186=INDIRECT("'["&amp;G186&amp;"]"&amp;E186&amp;"'!"&amp;$AI$2))),INDIRECT("'["&amp;G186&amp;"]"&amp;E186&amp;"'!"&amp;$AI$3),0)</f>
        <v>#VALUE!</v>
      </c>
      <c r="AJ186" s="25">
        <v>1</v>
      </c>
      <c r="AK186" s="38">
        <f t="shared" ca="1" si="53"/>
        <v>0</v>
      </c>
      <c r="AL186" s="38">
        <f t="shared" ca="1" si="54"/>
        <v>0</v>
      </c>
      <c r="AM186" s="54" t="str">
        <f t="shared" ca="1" si="45"/>
        <v/>
      </c>
      <c r="AN186" s="25" t="e">
        <f t="shared" ca="1" si="55"/>
        <v>#VALUE!</v>
      </c>
      <c r="AO186" s="25" t="e">
        <f t="shared" ca="1" si="56"/>
        <v>#VALUE!</v>
      </c>
      <c r="AP186" s="39" t="str">
        <f t="shared" ca="1" si="46"/>
        <v/>
      </c>
      <c r="AQ186" s="46" t="str">
        <f ca="1">IF(AND(C186&lt;&gt;0, C187=0), SUM($C$2:C186)-SUM($AQ$1:AQ185), "")</f>
        <v/>
      </c>
      <c r="AR186" s="46" t="str">
        <f ca="1">IF(AND(AK186&lt;&gt;0, AK187=0), SUM($AK$2:AK186)-SUM($AR$1:AR185), "")</f>
        <v/>
      </c>
    </row>
    <row r="187" spans="1:44" ht="13.15" customHeight="1">
      <c r="A187" s="31"/>
      <c r="B187" s="68" t="str">
        <f t="shared" si="60"/>
        <v/>
      </c>
      <c r="C187" s="55" cm="1">
        <f t="array" aca="1" ref="C187" ca="1">SUM(IF(ISNUMBER(M187:U187),M187:U187,""))</f>
        <v>0</v>
      </c>
      <c r="D187" s="25" t="str">
        <f t="shared" si="58"/>
        <v/>
      </c>
      <c r="E187" s="25" t="e">
        <f t="shared" si="47"/>
        <v>#VALUE!</v>
      </c>
      <c r="F187" s="25" t="str">
        <f t="shared" si="59"/>
        <v/>
      </c>
      <c r="G187" s="25" t="str">
        <f t="shared" si="44"/>
        <v>.xlsx</v>
      </c>
      <c r="H187" s="29" t="e" cm="1">
        <f t="array" aca="1" ref="H187" ca="1">IF(AND(VALUE(E187)=INDIRECT("'["&amp;G187&amp;"]"&amp;E187&amp;"'!"&amp;$X$2),G187=INDIRECT("'["&amp;G187&amp;"]"&amp;E187&amp;"'!"&amp;$X$3)),INDIRECT("'["&amp;G187&amp;"]"&amp;E187&amp;"'!"&amp;$X$1),0)</f>
        <v>#VALUE!</v>
      </c>
      <c r="I187" s="25" t="str">
        <f t="shared" si="48"/>
        <v/>
      </c>
      <c r="J187" s="32" t="str">
        <f t="shared" si="49"/>
        <v/>
      </c>
      <c r="K187" s="25" t="str">
        <f t="shared" si="50"/>
        <v/>
      </c>
      <c r="L187" s="25" t="str">
        <f t="shared" si="51"/>
        <v/>
      </c>
      <c r="M187" s="33" t="e" cm="1">
        <f t="array" aca="1" ref="M187" ca="1">IF(AND(J187=INDIRECT("'["&amp;G187&amp;"]"&amp;E187&amp;"'!"&amp;$Y$2),G187=INDIRECT("'["&amp;G187&amp;"]"&amp;E187&amp;"'!"&amp;$AH$2)),INDIRECT("'["&amp;G187&amp;"]"&amp;E187&amp;"'!"&amp;$Y$3),0)</f>
        <v>#VALUE!</v>
      </c>
      <c r="N187" s="34" t="e" cm="1">
        <f t="array" aca="1" ref="N187" ca="1">IF(AND(G187=INDIRECT("'["&amp;G187&amp;"]"&amp;E187&amp;"'!"&amp;$AH$2),OR(K187=INDIRECT("'["&amp;G187&amp;"]"&amp;E187&amp;"'!"&amp;$Z$2))),INDIRECT("'["&amp;G187&amp;"]"&amp;E187&amp;"'!"&amp;$Z$3),0)</f>
        <v>#VALUE!</v>
      </c>
      <c r="O187" s="34" t="e" cm="1">
        <f t="array" aca="1" ref="O187" ca="1">IF(AND(G187=INDIRECT("'["&amp;G187&amp;"]"&amp;E187&amp;"'!"&amp;$AH$2),OR(L187=INDIRECT("'["&amp;G187&amp;"]"&amp;E187&amp;"'!"&amp;$AA$2))),INDIRECT("'["&amp;G187&amp;"]"&amp;E187&amp;"'!"&amp;$AA$3),0)</f>
        <v>#VALUE!</v>
      </c>
      <c r="P187" s="34" t="e" cm="1">
        <f t="array" aca="1" ref="P187" ca="1">IF(AND(G187=INDIRECT("'["&amp;G187&amp;"]"&amp;E187&amp;"'!"&amp;$AH$2),OR(VALUE(I187)=INDIRECT("'["&amp;G187&amp;"]"&amp;E187&amp;"'!"&amp;$AB$2))),INDIRECT("'["&amp;G187&amp;"]"&amp;E187&amp;"'!"&amp;$AB$3),0)</f>
        <v>#VALUE!</v>
      </c>
      <c r="Q187" s="34" t="e" cm="1">
        <f t="array" aca="1" ref="Q187" ca="1">IF(AND(G187=INDIRECT("'["&amp;G187&amp;"]"&amp;E187&amp;"'!"&amp;$AH$2),OR(VALUE(I187)=INDIRECT("'["&amp;G187&amp;"]"&amp;E187&amp;"'!"&amp;$AC$2))),INDIRECT("'["&amp;G187&amp;"]"&amp;E187&amp;"'!"&amp;$AC$3),0)</f>
        <v>#VALUE!</v>
      </c>
      <c r="R187" s="34" t="e" cm="1">
        <f t="array" aca="1" ref="R187" ca="1">IF(AND(G187=INDIRECT("'["&amp;G187&amp;"]"&amp;E187&amp;"'!"&amp;$AH$2),OR(I187=INDIRECT("'["&amp;G187&amp;"]"&amp;E187&amp;"'!"&amp;$AD$2))),INDIRECT("'["&amp;G187&amp;"]"&amp;E187&amp;"'!"&amp;$AD$3),0)</f>
        <v>#VALUE!</v>
      </c>
      <c r="S187" s="34" t="e" cm="1">
        <f t="array" aca="1" ref="S187" ca="1">IF(AND(G187=INDIRECT("'["&amp;G187&amp;"]"&amp;E187&amp;"'!"&amp;$AH$2),OR(I187=INDIRECT("'["&amp;G187&amp;"]"&amp;E187&amp;"'!"&amp;$AE$2))),INDIRECT("'["&amp;G187&amp;"]"&amp;E187&amp;"'!"&amp;$AE$3),0)</f>
        <v>#VALUE!</v>
      </c>
      <c r="T187" s="35" t="e" cm="1">
        <f t="array" aca="1" ref="T187" ca="1">IF(AND(G187=INDIRECT("'["&amp;G187&amp;"]"&amp;E187&amp;"'!"&amp;$AH$2),OR(I187=INDIRECT("'["&amp;G187&amp;"]"&amp;E187&amp;"'!"&amp;$AF$2))),INDIRECT("'["&amp;G187&amp;"]"&amp;E187&amp;"'!"&amp;$AF$3),0)</f>
        <v>#VALUE!</v>
      </c>
      <c r="U187" s="34" t="e" cm="1">
        <f t="array" aca="1" ref="U187" ca="1">IF(AND(G187=INDIRECT("'["&amp;G187&amp;"]"&amp;E187&amp;"'!"&amp;$AH$2),OR(I187=INDIRECT("'["&amp;G187&amp;"]"&amp;E187&amp;"'!"&amp;$AG$2))),INDIRECT("'["&amp;G187&amp;"]"&amp;E187&amp;"'!"&amp;$AG$3),0)</f>
        <v>#VALUE!</v>
      </c>
      <c r="V187" s="25" t="str">
        <f t="shared" si="52"/>
        <v/>
      </c>
      <c r="W187" s="36" t="e" cm="1">
        <f t="array" aca="1" ref="W187" ca="1">IF(AND(G187=INDIRECT("'["&amp;G187&amp;"]"&amp;E187&amp;"'!"&amp;$AH$2),OR(V187=INDIRECT("'["&amp;G187&amp;"]"&amp;E187&amp;"'!"&amp;$AI$2))),INDIRECT("'["&amp;G187&amp;"]"&amp;E187&amp;"'!"&amp;$AI$3),0)</f>
        <v>#VALUE!</v>
      </c>
      <c r="AJ187" s="25">
        <v>1</v>
      </c>
      <c r="AK187" s="38">
        <f t="shared" ca="1" si="53"/>
        <v>0</v>
      </c>
      <c r="AL187" s="38">
        <f t="shared" ca="1" si="54"/>
        <v>0</v>
      </c>
      <c r="AM187" s="54" t="str">
        <f t="shared" ca="1" si="45"/>
        <v/>
      </c>
      <c r="AN187" s="25" t="e">
        <f t="shared" ca="1" si="55"/>
        <v>#VALUE!</v>
      </c>
      <c r="AO187" s="25" t="e">
        <f t="shared" ca="1" si="56"/>
        <v>#VALUE!</v>
      </c>
      <c r="AP187" s="39" t="str">
        <f t="shared" ca="1" si="46"/>
        <v/>
      </c>
      <c r="AQ187" s="46" t="str">
        <f ca="1">IF(AND(C187&lt;&gt;0, C188=0), SUM($C$2:C187)-SUM($AQ$1:AQ186), "")</f>
        <v/>
      </c>
      <c r="AR187" s="46" t="str">
        <f ca="1">IF(AND(AK187&lt;&gt;0, AK188=0), SUM($AK$2:AK187)-SUM($AR$1:AR186), "")</f>
        <v/>
      </c>
    </row>
    <row r="188" spans="1:44" ht="13.15" customHeight="1">
      <c r="A188" s="31"/>
      <c r="B188" s="68" t="str">
        <f t="shared" si="60"/>
        <v/>
      </c>
      <c r="C188" s="55" cm="1">
        <f t="array" aca="1" ref="C188" ca="1">SUM(IF(ISNUMBER(M188:U188),M188:U188,""))</f>
        <v>0</v>
      </c>
      <c r="D188" s="25" t="str">
        <f t="shared" si="58"/>
        <v/>
      </c>
      <c r="E188" s="25" t="e">
        <f t="shared" si="47"/>
        <v>#VALUE!</v>
      </c>
      <c r="F188" s="25" t="str">
        <f t="shared" si="59"/>
        <v/>
      </c>
      <c r="G188" s="25" t="str">
        <f t="shared" si="44"/>
        <v>.xlsx</v>
      </c>
      <c r="H188" s="29" t="e" cm="1">
        <f t="array" aca="1" ref="H188" ca="1">IF(AND(VALUE(E188)=INDIRECT("'["&amp;G188&amp;"]"&amp;E188&amp;"'!"&amp;$X$2),G188=INDIRECT("'["&amp;G188&amp;"]"&amp;E188&amp;"'!"&amp;$X$3)),INDIRECT("'["&amp;G188&amp;"]"&amp;E188&amp;"'!"&amp;$X$1),0)</f>
        <v>#VALUE!</v>
      </c>
      <c r="I188" s="25" t="str">
        <f t="shared" si="48"/>
        <v/>
      </c>
      <c r="J188" s="32" t="str">
        <f t="shared" si="49"/>
        <v/>
      </c>
      <c r="K188" s="25" t="str">
        <f t="shared" si="50"/>
        <v/>
      </c>
      <c r="L188" s="25" t="str">
        <f t="shared" si="51"/>
        <v/>
      </c>
      <c r="M188" s="33" t="e" cm="1">
        <f t="array" aca="1" ref="M188" ca="1">IF(AND(J188=INDIRECT("'["&amp;G188&amp;"]"&amp;E188&amp;"'!"&amp;$Y$2),G188=INDIRECT("'["&amp;G188&amp;"]"&amp;E188&amp;"'!"&amp;$AH$2)),INDIRECT("'["&amp;G188&amp;"]"&amp;E188&amp;"'!"&amp;$Y$3),0)</f>
        <v>#VALUE!</v>
      </c>
      <c r="N188" s="34" t="e" cm="1">
        <f t="array" aca="1" ref="N188" ca="1">IF(AND(G188=INDIRECT("'["&amp;G188&amp;"]"&amp;E188&amp;"'!"&amp;$AH$2),OR(K188=INDIRECT("'["&amp;G188&amp;"]"&amp;E188&amp;"'!"&amp;$Z$2))),INDIRECT("'["&amp;G188&amp;"]"&amp;E188&amp;"'!"&amp;$Z$3),0)</f>
        <v>#VALUE!</v>
      </c>
      <c r="O188" s="34" t="e" cm="1">
        <f t="array" aca="1" ref="O188" ca="1">IF(AND(G188=INDIRECT("'["&amp;G188&amp;"]"&amp;E188&amp;"'!"&amp;$AH$2),OR(L188=INDIRECT("'["&amp;G188&amp;"]"&amp;E188&amp;"'!"&amp;$AA$2))),INDIRECT("'["&amp;G188&amp;"]"&amp;E188&amp;"'!"&amp;$AA$3),0)</f>
        <v>#VALUE!</v>
      </c>
      <c r="P188" s="34" t="e" cm="1">
        <f t="array" aca="1" ref="P188" ca="1">IF(AND(G188=INDIRECT("'["&amp;G188&amp;"]"&amp;E188&amp;"'!"&amp;$AH$2),OR(VALUE(I188)=INDIRECT("'["&amp;G188&amp;"]"&amp;E188&amp;"'!"&amp;$AB$2))),INDIRECT("'["&amp;G188&amp;"]"&amp;E188&amp;"'!"&amp;$AB$3),0)</f>
        <v>#VALUE!</v>
      </c>
      <c r="Q188" s="34" t="e" cm="1">
        <f t="array" aca="1" ref="Q188" ca="1">IF(AND(G188=INDIRECT("'["&amp;G188&amp;"]"&amp;E188&amp;"'!"&amp;$AH$2),OR(VALUE(I188)=INDIRECT("'["&amp;G188&amp;"]"&amp;E188&amp;"'!"&amp;$AC$2))),INDIRECT("'["&amp;G188&amp;"]"&amp;E188&amp;"'!"&amp;$AC$3),0)</f>
        <v>#VALUE!</v>
      </c>
      <c r="R188" s="34" t="e" cm="1">
        <f t="array" aca="1" ref="R188" ca="1">IF(AND(G188=INDIRECT("'["&amp;G188&amp;"]"&amp;E188&amp;"'!"&amp;$AH$2),OR(I188=INDIRECT("'["&amp;G188&amp;"]"&amp;E188&amp;"'!"&amp;$AD$2))),INDIRECT("'["&amp;G188&amp;"]"&amp;E188&amp;"'!"&amp;$AD$3),0)</f>
        <v>#VALUE!</v>
      </c>
      <c r="S188" s="34" t="e" cm="1">
        <f t="array" aca="1" ref="S188" ca="1">IF(AND(G188=INDIRECT("'["&amp;G188&amp;"]"&amp;E188&amp;"'!"&amp;$AH$2),OR(I188=INDIRECT("'["&amp;G188&amp;"]"&amp;E188&amp;"'!"&amp;$AE$2))),INDIRECT("'["&amp;G188&amp;"]"&amp;E188&amp;"'!"&amp;$AE$3),0)</f>
        <v>#VALUE!</v>
      </c>
      <c r="T188" s="35" t="e" cm="1">
        <f t="array" aca="1" ref="T188" ca="1">IF(AND(G188=INDIRECT("'["&amp;G188&amp;"]"&amp;E188&amp;"'!"&amp;$AH$2),OR(I188=INDIRECT("'["&amp;G188&amp;"]"&amp;E188&amp;"'!"&amp;$AF$2))),INDIRECT("'["&amp;G188&amp;"]"&amp;E188&amp;"'!"&amp;$AF$3),0)</f>
        <v>#VALUE!</v>
      </c>
      <c r="U188" s="34" t="e" cm="1">
        <f t="array" aca="1" ref="U188" ca="1">IF(AND(G188=INDIRECT("'["&amp;G188&amp;"]"&amp;E188&amp;"'!"&amp;$AH$2),OR(I188=INDIRECT("'["&amp;G188&amp;"]"&amp;E188&amp;"'!"&amp;$AG$2))),INDIRECT("'["&amp;G188&amp;"]"&amp;E188&amp;"'!"&amp;$AG$3),0)</f>
        <v>#VALUE!</v>
      </c>
      <c r="V188" s="25" t="str">
        <f t="shared" si="52"/>
        <v/>
      </c>
      <c r="W188" s="36" t="e" cm="1">
        <f t="array" aca="1" ref="W188" ca="1">IF(AND(G188=INDIRECT("'["&amp;G188&amp;"]"&amp;E188&amp;"'!"&amp;$AH$2),OR(V188=INDIRECT("'["&amp;G188&amp;"]"&amp;E188&amp;"'!"&amp;$AI$2))),INDIRECT("'["&amp;G188&amp;"]"&amp;E188&amp;"'!"&amp;$AI$3),0)</f>
        <v>#VALUE!</v>
      </c>
      <c r="AJ188" s="25">
        <v>1</v>
      </c>
      <c r="AK188" s="38">
        <f t="shared" ca="1" si="53"/>
        <v>0</v>
      </c>
      <c r="AL188" s="38">
        <f t="shared" ca="1" si="54"/>
        <v>0</v>
      </c>
      <c r="AM188" s="54" t="str">
        <f t="shared" ca="1" si="45"/>
        <v/>
      </c>
      <c r="AN188" s="25" t="e">
        <f t="shared" ca="1" si="55"/>
        <v>#VALUE!</v>
      </c>
      <c r="AO188" s="25" t="e">
        <f t="shared" ca="1" si="56"/>
        <v>#VALUE!</v>
      </c>
      <c r="AP188" s="39" t="str">
        <f t="shared" ca="1" si="46"/>
        <v/>
      </c>
      <c r="AQ188" s="46" t="str">
        <f ca="1">IF(AND(C188&lt;&gt;0, C189=0), SUM($C$2:C188)-SUM($AQ$1:AQ187), "")</f>
        <v/>
      </c>
      <c r="AR188" s="46" t="str">
        <f ca="1">IF(AND(AK188&lt;&gt;0, AK189=0), SUM($AK$2:AK188)-SUM($AR$1:AR187), "")</f>
        <v/>
      </c>
    </row>
    <row r="189" spans="1:44" ht="13.15" customHeight="1">
      <c r="A189" s="31"/>
      <c r="B189" s="68" t="str">
        <f t="shared" si="60"/>
        <v/>
      </c>
      <c r="C189" s="55" cm="1">
        <f t="array" aca="1" ref="C189" ca="1">SUM(IF(ISNUMBER(M189:U189),M189:U189,""))</f>
        <v>0</v>
      </c>
      <c r="D189" s="25" t="str">
        <f t="shared" si="58"/>
        <v/>
      </c>
      <c r="E189" s="25" t="e">
        <f t="shared" si="47"/>
        <v>#VALUE!</v>
      </c>
      <c r="F189" s="25" t="str">
        <f t="shared" si="59"/>
        <v/>
      </c>
      <c r="G189" s="25" t="str">
        <f t="shared" si="44"/>
        <v>.xlsx</v>
      </c>
      <c r="H189" s="29" t="e" cm="1">
        <f t="array" aca="1" ref="H189" ca="1">IF(AND(VALUE(E189)=INDIRECT("'["&amp;G189&amp;"]"&amp;E189&amp;"'!"&amp;$X$2),G189=INDIRECT("'["&amp;G189&amp;"]"&amp;E189&amp;"'!"&amp;$X$3)),INDIRECT("'["&amp;G189&amp;"]"&amp;E189&amp;"'!"&amp;$X$1),0)</f>
        <v>#VALUE!</v>
      </c>
      <c r="I189" s="25" t="str">
        <f t="shared" si="48"/>
        <v/>
      </c>
      <c r="J189" s="32" t="str">
        <f t="shared" si="49"/>
        <v/>
      </c>
      <c r="K189" s="25" t="str">
        <f t="shared" si="50"/>
        <v/>
      </c>
      <c r="L189" s="25" t="str">
        <f t="shared" si="51"/>
        <v/>
      </c>
      <c r="M189" s="33" t="e" cm="1">
        <f t="array" aca="1" ref="M189" ca="1">IF(AND(J189=INDIRECT("'["&amp;G189&amp;"]"&amp;E189&amp;"'!"&amp;$Y$2),G189=INDIRECT("'["&amp;G189&amp;"]"&amp;E189&amp;"'!"&amp;$AH$2)),INDIRECT("'["&amp;G189&amp;"]"&amp;E189&amp;"'!"&amp;$Y$3),0)</f>
        <v>#VALUE!</v>
      </c>
      <c r="N189" s="34" t="e" cm="1">
        <f t="array" aca="1" ref="N189" ca="1">IF(AND(G189=INDIRECT("'["&amp;G189&amp;"]"&amp;E189&amp;"'!"&amp;$AH$2),OR(K189=INDIRECT("'["&amp;G189&amp;"]"&amp;E189&amp;"'!"&amp;$Z$2))),INDIRECT("'["&amp;G189&amp;"]"&amp;E189&amp;"'!"&amp;$Z$3),0)</f>
        <v>#VALUE!</v>
      </c>
      <c r="O189" s="34" t="e" cm="1">
        <f t="array" aca="1" ref="O189" ca="1">IF(AND(G189=INDIRECT("'["&amp;G189&amp;"]"&amp;E189&amp;"'!"&amp;$AH$2),OR(L189=INDIRECT("'["&amp;G189&amp;"]"&amp;E189&amp;"'!"&amp;$AA$2))),INDIRECT("'["&amp;G189&amp;"]"&amp;E189&amp;"'!"&amp;$AA$3),0)</f>
        <v>#VALUE!</v>
      </c>
      <c r="P189" s="34" t="e" cm="1">
        <f t="array" aca="1" ref="P189" ca="1">IF(AND(G189=INDIRECT("'["&amp;G189&amp;"]"&amp;E189&amp;"'!"&amp;$AH$2),OR(VALUE(I189)=INDIRECT("'["&amp;G189&amp;"]"&amp;E189&amp;"'!"&amp;$AB$2))),INDIRECT("'["&amp;G189&amp;"]"&amp;E189&amp;"'!"&amp;$AB$3),0)</f>
        <v>#VALUE!</v>
      </c>
      <c r="Q189" s="34" t="e" cm="1">
        <f t="array" aca="1" ref="Q189" ca="1">IF(AND(G189=INDIRECT("'["&amp;G189&amp;"]"&amp;E189&amp;"'!"&amp;$AH$2),OR(VALUE(I189)=INDIRECT("'["&amp;G189&amp;"]"&amp;E189&amp;"'!"&amp;$AC$2))),INDIRECT("'["&amp;G189&amp;"]"&amp;E189&amp;"'!"&amp;$AC$3),0)</f>
        <v>#VALUE!</v>
      </c>
      <c r="R189" s="34" t="e" cm="1">
        <f t="array" aca="1" ref="R189" ca="1">IF(AND(G189=INDIRECT("'["&amp;G189&amp;"]"&amp;E189&amp;"'!"&amp;$AH$2),OR(I189=INDIRECT("'["&amp;G189&amp;"]"&amp;E189&amp;"'!"&amp;$AD$2))),INDIRECT("'["&amp;G189&amp;"]"&amp;E189&amp;"'!"&amp;$AD$3),0)</f>
        <v>#VALUE!</v>
      </c>
      <c r="S189" s="34" t="e" cm="1">
        <f t="array" aca="1" ref="S189" ca="1">IF(AND(G189=INDIRECT("'["&amp;G189&amp;"]"&amp;E189&amp;"'!"&amp;$AH$2),OR(I189=INDIRECT("'["&amp;G189&amp;"]"&amp;E189&amp;"'!"&amp;$AE$2))),INDIRECT("'["&amp;G189&amp;"]"&amp;E189&amp;"'!"&amp;$AE$3),0)</f>
        <v>#VALUE!</v>
      </c>
      <c r="T189" s="35" t="e" cm="1">
        <f t="array" aca="1" ref="T189" ca="1">IF(AND(G189=INDIRECT("'["&amp;G189&amp;"]"&amp;E189&amp;"'!"&amp;$AH$2),OR(I189=INDIRECT("'["&amp;G189&amp;"]"&amp;E189&amp;"'!"&amp;$AF$2))),INDIRECT("'["&amp;G189&amp;"]"&amp;E189&amp;"'!"&amp;$AF$3),0)</f>
        <v>#VALUE!</v>
      </c>
      <c r="U189" s="34" t="e" cm="1">
        <f t="array" aca="1" ref="U189" ca="1">IF(AND(G189=INDIRECT("'["&amp;G189&amp;"]"&amp;E189&amp;"'!"&amp;$AH$2),OR(I189=INDIRECT("'["&amp;G189&amp;"]"&amp;E189&amp;"'!"&amp;$AG$2))),INDIRECT("'["&amp;G189&amp;"]"&amp;E189&amp;"'!"&amp;$AG$3),0)</f>
        <v>#VALUE!</v>
      </c>
      <c r="V189" s="25" t="str">
        <f t="shared" si="52"/>
        <v/>
      </c>
      <c r="W189" s="36" t="e" cm="1">
        <f t="array" aca="1" ref="W189" ca="1">IF(AND(G189=INDIRECT("'["&amp;G189&amp;"]"&amp;E189&amp;"'!"&amp;$AH$2),OR(V189=INDIRECT("'["&amp;G189&amp;"]"&amp;E189&amp;"'!"&amp;$AI$2))),INDIRECT("'["&amp;G189&amp;"]"&amp;E189&amp;"'!"&amp;$AI$3),0)</f>
        <v>#VALUE!</v>
      </c>
      <c r="AJ189" s="25">
        <v>1</v>
      </c>
      <c r="AK189" s="38">
        <f t="shared" ca="1" si="53"/>
        <v>0</v>
      </c>
      <c r="AL189" s="38">
        <f t="shared" ca="1" si="54"/>
        <v>0</v>
      </c>
      <c r="AM189" s="54" t="str">
        <f t="shared" ca="1" si="45"/>
        <v/>
      </c>
      <c r="AN189" s="25" t="e">
        <f t="shared" ca="1" si="55"/>
        <v>#VALUE!</v>
      </c>
      <c r="AO189" s="25" t="e">
        <f t="shared" ca="1" si="56"/>
        <v>#VALUE!</v>
      </c>
      <c r="AP189" s="39" t="str">
        <f t="shared" ca="1" si="46"/>
        <v/>
      </c>
      <c r="AQ189" s="46" t="str">
        <f ca="1">IF(AND(C189&lt;&gt;0, C190=0), SUM($C$2:C189)-SUM($AQ$1:AQ188), "")</f>
        <v/>
      </c>
      <c r="AR189" s="46" t="str">
        <f ca="1">IF(AND(AK189&lt;&gt;0, AK190=0), SUM($AK$2:AK189)-SUM($AR$1:AR188), "")</f>
        <v/>
      </c>
    </row>
    <row r="190" spans="1:44" ht="13.15" customHeight="1">
      <c r="A190" s="31"/>
      <c r="B190" s="68" t="str">
        <f t="shared" si="60"/>
        <v/>
      </c>
      <c r="C190" s="55" cm="1">
        <f t="array" aca="1" ref="C190" ca="1">SUM(IF(ISNUMBER(M190:U190),M190:U190,""))</f>
        <v>0</v>
      </c>
      <c r="D190" s="25" t="str">
        <f t="shared" si="58"/>
        <v/>
      </c>
      <c r="E190" s="25" t="e">
        <f t="shared" si="47"/>
        <v>#VALUE!</v>
      </c>
      <c r="F190" s="25" t="str">
        <f t="shared" si="59"/>
        <v/>
      </c>
      <c r="G190" s="25" t="str">
        <f t="shared" si="44"/>
        <v>.xlsx</v>
      </c>
      <c r="H190" s="29" t="e" cm="1">
        <f t="array" aca="1" ref="H190" ca="1">IF(AND(VALUE(E190)=INDIRECT("'["&amp;G190&amp;"]"&amp;E190&amp;"'!"&amp;$X$2),G190=INDIRECT("'["&amp;G190&amp;"]"&amp;E190&amp;"'!"&amp;$X$3)),INDIRECT("'["&amp;G190&amp;"]"&amp;E190&amp;"'!"&amp;$X$1),0)</f>
        <v>#VALUE!</v>
      </c>
      <c r="I190" s="25" t="str">
        <f t="shared" si="48"/>
        <v/>
      </c>
      <c r="J190" s="32" t="str">
        <f t="shared" si="49"/>
        <v/>
      </c>
      <c r="K190" s="25" t="str">
        <f t="shared" si="50"/>
        <v/>
      </c>
      <c r="L190" s="25" t="str">
        <f t="shared" si="51"/>
        <v/>
      </c>
      <c r="M190" s="33" t="e" cm="1">
        <f t="array" aca="1" ref="M190" ca="1">IF(AND(J190=INDIRECT("'["&amp;G190&amp;"]"&amp;E190&amp;"'!"&amp;$Y$2),G190=INDIRECT("'["&amp;G190&amp;"]"&amp;E190&amp;"'!"&amp;$AH$2)),INDIRECT("'["&amp;G190&amp;"]"&amp;E190&amp;"'!"&amp;$Y$3),0)</f>
        <v>#VALUE!</v>
      </c>
      <c r="N190" s="34" t="e" cm="1">
        <f t="array" aca="1" ref="N190" ca="1">IF(AND(G190=INDIRECT("'["&amp;G190&amp;"]"&amp;E190&amp;"'!"&amp;$AH$2),OR(K190=INDIRECT("'["&amp;G190&amp;"]"&amp;E190&amp;"'!"&amp;$Z$2))),INDIRECT("'["&amp;G190&amp;"]"&amp;E190&amp;"'!"&amp;$Z$3),0)</f>
        <v>#VALUE!</v>
      </c>
      <c r="O190" s="34" t="e" cm="1">
        <f t="array" aca="1" ref="O190" ca="1">IF(AND(G190=INDIRECT("'["&amp;G190&amp;"]"&amp;E190&amp;"'!"&amp;$AH$2),OR(L190=INDIRECT("'["&amp;G190&amp;"]"&amp;E190&amp;"'!"&amp;$AA$2))),INDIRECT("'["&amp;G190&amp;"]"&amp;E190&amp;"'!"&amp;$AA$3),0)</f>
        <v>#VALUE!</v>
      </c>
      <c r="P190" s="34" t="e" cm="1">
        <f t="array" aca="1" ref="P190" ca="1">IF(AND(G190=INDIRECT("'["&amp;G190&amp;"]"&amp;E190&amp;"'!"&amp;$AH$2),OR(VALUE(I190)=INDIRECT("'["&amp;G190&amp;"]"&amp;E190&amp;"'!"&amp;$AB$2))),INDIRECT("'["&amp;G190&amp;"]"&amp;E190&amp;"'!"&amp;$AB$3),0)</f>
        <v>#VALUE!</v>
      </c>
      <c r="Q190" s="34" t="e" cm="1">
        <f t="array" aca="1" ref="Q190" ca="1">IF(AND(G190=INDIRECT("'["&amp;G190&amp;"]"&amp;E190&amp;"'!"&amp;$AH$2),OR(VALUE(I190)=INDIRECT("'["&amp;G190&amp;"]"&amp;E190&amp;"'!"&amp;$AC$2))),INDIRECT("'["&amp;G190&amp;"]"&amp;E190&amp;"'!"&amp;$AC$3),0)</f>
        <v>#VALUE!</v>
      </c>
      <c r="R190" s="34" t="e" cm="1">
        <f t="array" aca="1" ref="R190" ca="1">IF(AND(G190=INDIRECT("'["&amp;G190&amp;"]"&amp;E190&amp;"'!"&amp;$AH$2),OR(I190=INDIRECT("'["&amp;G190&amp;"]"&amp;E190&amp;"'!"&amp;$AD$2))),INDIRECT("'["&amp;G190&amp;"]"&amp;E190&amp;"'!"&amp;$AD$3),0)</f>
        <v>#VALUE!</v>
      </c>
      <c r="S190" s="34" t="e" cm="1">
        <f t="array" aca="1" ref="S190" ca="1">IF(AND(G190=INDIRECT("'["&amp;G190&amp;"]"&amp;E190&amp;"'!"&amp;$AH$2),OR(I190=INDIRECT("'["&amp;G190&amp;"]"&amp;E190&amp;"'!"&amp;$AE$2))),INDIRECT("'["&amp;G190&amp;"]"&amp;E190&amp;"'!"&amp;$AE$3),0)</f>
        <v>#VALUE!</v>
      </c>
      <c r="T190" s="35" t="e" cm="1">
        <f t="array" aca="1" ref="T190" ca="1">IF(AND(G190=INDIRECT("'["&amp;G190&amp;"]"&amp;E190&amp;"'!"&amp;$AH$2),OR(I190=INDIRECT("'["&amp;G190&amp;"]"&amp;E190&amp;"'!"&amp;$AF$2))),INDIRECT("'["&amp;G190&amp;"]"&amp;E190&amp;"'!"&amp;$AF$3),0)</f>
        <v>#VALUE!</v>
      </c>
      <c r="U190" s="34" t="e" cm="1">
        <f t="array" aca="1" ref="U190" ca="1">IF(AND(G190=INDIRECT("'["&amp;G190&amp;"]"&amp;E190&amp;"'!"&amp;$AH$2),OR(I190=INDIRECT("'["&amp;G190&amp;"]"&amp;E190&amp;"'!"&amp;$AG$2))),INDIRECT("'["&amp;G190&amp;"]"&amp;E190&amp;"'!"&amp;$AG$3),0)</f>
        <v>#VALUE!</v>
      </c>
      <c r="V190" s="25" t="str">
        <f t="shared" si="52"/>
        <v/>
      </c>
      <c r="W190" s="36" t="e" cm="1">
        <f t="array" aca="1" ref="W190" ca="1">IF(AND(G190=INDIRECT("'["&amp;G190&amp;"]"&amp;E190&amp;"'!"&amp;$AH$2),OR(V190=INDIRECT("'["&amp;G190&amp;"]"&amp;E190&amp;"'!"&amp;$AI$2))),INDIRECT("'["&amp;G190&amp;"]"&amp;E190&amp;"'!"&amp;$AI$3),0)</f>
        <v>#VALUE!</v>
      </c>
      <c r="AJ190" s="25">
        <v>1</v>
      </c>
      <c r="AK190" s="38">
        <f t="shared" ca="1" si="53"/>
        <v>0</v>
      </c>
      <c r="AL190" s="38">
        <f t="shared" ca="1" si="54"/>
        <v>0</v>
      </c>
      <c r="AM190" s="54" t="str">
        <f t="shared" ca="1" si="45"/>
        <v/>
      </c>
      <c r="AN190" s="25" t="e">
        <f t="shared" ca="1" si="55"/>
        <v>#VALUE!</v>
      </c>
      <c r="AO190" s="25" t="e">
        <f t="shared" ca="1" si="56"/>
        <v>#VALUE!</v>
      </c>
      <c r="AP190" s="39" t="str">
        <f t="shared" ca="1" si="46"/>
        <v/>
      </c>
      <c r="AQ190" s="46" t="str">
        <f ca="1">IF(AND(C190&lt;&gt;0, C191=0), SUM($C$2:C190)-SUM($AQ$1:AQ189), "")</f>
        <v/>
      </c>
      <c r="AR190" s="46" t="str">
        <f ca="1">IF(AND(AK190&lt;&gt;0, AK191=0), SUM($AK$2:AK190)-SUM($AR$1:AR189), "")</f>
        <v/>
      </c>
    </row>
    <row r="191" spans="1:44" ht="13.15" customHeight="1">
      <c r="A191" s="31"/>
      <c r="B191" s="68" t="str">
        <f t="shared" si="60"/>
        <v/>
      </c>
      <c r="C191" s="55" cm="1">
        <f t="array" aca="1" ref="C191" ca="1">SUM(IF(ISNUMBER(M191:U191),M191:U191,""))</f>
        <v>0</v>
      </c>
      <c r="D191" s="25" t="str">
        <f t="shared" si="58"/>
        <v/>
      </c>
      <c r="E191" s="25" t="e">
        <f t="shared" si="47"/>
        <v>#VALUE!</v>
      </c>
      <c r="F191" s="25" t="str">
        <f t="shared" si="59"/>
        <v/>
      </c>
      <c r="G191" s="25" t="str">
        <f t="shared" si="44"/>
        <v>.xlsx</v>
      </c>
      <c r="H191" s="29" t="e" cm="1">
        <f t="array" aca="1" ref="H191" ca="1">IF(AND(VALUE(E191)=INDIRECT("'["&amp;G191&amp;"]"&amp;E191&amp;"'!"&amp;$X$2),G191=INDIRECT("'["&amp;G191&amp;"]"&amp;E191&amp;"'!"&amp;$X$3)),INDIRECT("'["&amp;G191&amp;"]"&amp;E191&amp;"'!"&amp;$X$1),0)</f>
        <v>#VALUE!</v>
      </c>
      <c r="I191" s="25" t="str">
        <f t="shared" si="48"/>
        <v/>
      </c>
      <c r="J191" s="32" t="str">
        <f t="shared" si="49"/>
        <v/>
      </c>
      <c r="K191" s="25" t="str">
        <f t="shared" si="50"/>
        <v/>
      </c>
      <c r="L191" s="25" t="str">
        <f t="shared" si="51"/>
        <v/>
      </c>
      <c r="M191" s="33" t="e" cm="1">
        <f t="array" aca="1" ref="M191" ca="1">IF(AND(J191=INDIRECT("'["&amp;G191&amp;"]"&amp;E191&amp;"'!"&amp;$Y$2),G191=INDIRECT("'["&amp;G191&amp;"]"&amp;E191&amp;"'!"&amp;$AH$2)),INDIRECT("'["&amp;G191&amp;"]"&amp;E191&amp;"'!"&amp;$Y$3),0)</f>
        <v>#VALUE!</v>
      </c>
      <c r="N191" s="34" t="e" cm="1">
        <f t="array" aca="1" ref="N191" ca="1">IF(AND(G191=INDIRECT("'["&amp;G191&amp;"]"&amp;E191&amp;"'!"&amp;$AH$2),OR(K191=INDIRECT("'["&amp;G191&amp;"]"&amp;E191&amp;"'!"&amp;$Z$2))),INDIRECT("'["&amp;G191&amp;"]"&amp;E191&amp;"'!"&amp;$Z$3),0)</f>
        <v>#VALUE!</v>
      </c>
      <c r="O191" s="34" t="e" cm="1">
        <f t="array" aca="1" ref="O191" ca="1">IF(AND(G191=INDIRECT("'["&amp;G191&amp;"]"&amp;E191&amp;"'!"&amp;$AH$2),OR(L191=INDIRECT("'["&amp;G191&amp;"]"&amp;E191&amp;"'!"&amp;$AA$2))),INDIRECT("'["&amp;G191&amp;"]"&amp;E191&amp;"'!"&amp;$AA$3),0)</f>
        <v>#VALUE!</v>
      </c>
      <c r="P191" s="34" t="e" cm="1">
        <f t="array" aca="1" ref="P191" ca="1">IF(AND(G191=INDIRECT("'["&amp;G191&amp;"]"&amp;E191&amp;"'!"&amp;$AH$2),OR(VALUE(I191)=INDIRECT("'["&amp;G191&amp;"]"&amp;E191&amp;"'!"&amp;$AB$2))),INDIRECT("'["&amp;G191&amp;"]"&amp;E191&amp;"'!"&amp;$AB$3),0)</f>
        <v>#VALUE!</v>
      </c>
      <c r="Q191" s="34" t="e" cm="1">
        <f t="array" aca="1" ref="Q191" ca="1">IF(AND(G191=INDIRECT("'["&amp;G191&amp;"]"&amp;E191&amp;"'!"&amp;$AH$2),OR(VALUE(I191)=INDIRECT("'["&amp;G191&amp;"]"&amp;E191&amp;"'!"&amp;$AC$2))),INDIRECT("'["&amp;G191&amp;"]"&amp;E191&amp;"'!"&amp;$AC$3),0)</f>
        <v>#VALUE!</v>
      </c>
      <c r="R191" s="34" t="e" cm="1">
        <f t="array" aca="1" ref="R191" ca="1">IF(AND(G191=INDIRECT("'["&amp;G191&amp;"]"&amp;E191&amp;"'!"&amp;$AH$2),OR(I191=INDIRECT("'["&amp;G191&amp;"]"&amp;E191&amp;"'!"&amp;$AD$2))),INDIRECT("'["&amp;G191&amp;"]"&amp;E191&amp;"'!"&amp;$AD$3),0)</f>
        <v>#VALUE!</v>
      </c>
      <c r="S191" s="34" t="e" cm="1">
        <f t="array" aca="1" ref="S191" ca="1">IF(AND(G191=INDIRECT("'["&amp;G191&amp;"]"&amp;E191&amp;"'!"&amp;$AH$2),OR(I191=INDIRECT("'["&amp;G191&amp;"]"&amp;E191&amp;"'!"&amp;$AE$2))),INDIRECT("'["&amp;G191&amp;"]"&amp;E191&amp;"'!"&amp;$AE$3),0)</f>
        <v>#VALUE!</v>
      </c>
      <c r="T191" s="35" t="e" cm="1">
        <f t="array" aca="1" ref="T191" ca="1">IF(AND(G191=INDIRECT("'["&amp;G191&amp;"]"&amp;E191&amp;"'!"&amp;$AH$2),OR(I191=INDIRECT("'["&amp;G191&amp;"]"&amp;E191&amp;"'!"&amp;$AF$2))),INDIRECT("'["&amp;G191&amp;"]"&amp;E191&amp;"'!"&amp;$AF$3),0)</f>
        <v>#VALUE!</v>
      </c>
      <c r="U191" s="34" t="e" cm="1">
        <f t="array" aca="1" ref="U191" ca="1">IF(AND(G191=INDIRECT("'["&amp;G191&amp;"]"&amp;E191&amp;"'!"&amp;$AH$2),OR(I191=INDIRECT("'["&amp;G191&amp;"]"&amp;E191&amp;"'!"&amp;$AG$2))),INDIRECT("'["&amp;G191&amp;"]"&amp;E191&amp;"'!"&amp;$AG$3),0)</f>
        <v>#VALUE!</v>
      </c>
      <c r="V191" s="25" t="str">
        <f t="shared" si="52"/>
        <v/>
      </c>
      <c r="W191" s="36" t="e" cm="1">
        <f t="array" aca="1" ref="W191" ca="1">IF(AND(G191=INDIRECT("'["&amp;G191&amp;"]"&amp;E191&amp;"'!"&amp;$AH$2),OR(V191=INDIRECT("'["&amp;G191&amp;"]"&amp;E191&amp;"'!"&amp;$AI$2))),INDIRECT("'["&amp;G191&amp;"]"&amp;E191&amp;"'!"&amp;$AI$3),0)</f>
        <v>#VALUE!</v>
      </c>
      <c r="AJ191" s="25">
        <v>1</v>
      </c>
      <c r="AK191" s="38">
        <f t="shared" ca="1" si="53"/>
        <v>0</v>
      </c>
      <c r="AL191" s="38">
        <f t="shared" ca="1" si="54"/>
        <v>0</v>
      </c>
      <c r="AM191" s="54" t="str">
        <f t="shared" ca="1" si="45"/>
        <v/>
      </c>
      <c r="AN191" s="25" t="e">
        <f t="shared" ca="1" si="55"/>
        <v>#VALUE!</v>
      </c>
      <c r="AO191" s="25" t="e">
        <f t="shared" ca="1" si="56"/>
        <v>#VALUE!</v>
      </c>
      <c r="AP191" s="39" t="str">
        <f t="shared" ca="1" si="46"/>
        <v/>
      </c>
      <c r="AQ191" s="46" t="str">
        <f ca="1">IF(AND(C191&lt;&gt;0, C192=0), SUM($C$2:C191)-SUM($AQ$1:AQ190), "")</f>
        <v/>
      </c>
      <c r="AR191" s="46" t="str">
        <f ca="1">IF(AND(AK191&lt;&gt;0, AK192=0), SUM($AK$2:AK191)-SUM($AR$1:AR190), "")</f>
        <v/>
      </c>
    </row>
    <row r="192" spans="1:44" ht="13.15" customHeight="1">
      <c r="A192" s="31"/>
      <c r="B192" s="68" t="str">
        <f t="shared" si="60"/>
        <v/>
      </c>
      <c r="C192" s="55" cm="1">
        <f t="array" aca="1" ref="C192" ca="1">SUM(IF(ISNUMBER(M192:U192),M192:U192,""))</f>
        <v>0</v>
      </c>
      <c r="D192" s="25" t="str">
        <f t="shared" si="58"/>
        <v/>
      </c>
      <c r="E192" s="25" t="e">
        <f t="shared" si="47"/>
        <v>#VALUE!</v>
      </c>
      <c r="F192" s="25" t="str">
        <f t="shared" si="59"/>
        <v/>
      </c>
      <c r="G192" s="25" t="str">
        <f t="shared" si="44"/>
        <v>.xlsx</v>
      </c>
      <c r="H192" s="29" t="e" cm="1">
        <f t="array" aca="1" ref="H192" ca="1">IF(AND(VALUE(E192)=INDIRECT("'["&amp;G192&amp;"]"&amp;E192&amp;"'!"&amp;$X$2),G192=INDIRECT("'["&amp;G192&amp;"]"&amp;E192&amp;"'!"&amp;$X$3)),INDIRECT("'["&amp;G192&amp;"]"&amp;E192&amp;"'!"&amp;$X$1),0)</f>
        <v>#VALUE!</v>
      </c>
      <c r="I192" s="25" t="str">
        <f t="shared" si="48"/>
        <v/>
      </c>
      <c r="J192" s="32" t="str">
        <f t="shared" si="49"/>
        <v/>
      </c>
      <c r="K192" s="25" t="str">
        <f t="shared" si="50"/>
        <v/>
      </c>
      <c r="L192" s="25" t="str">
        <f t="shared" si="51"/>
        <v/>
      </c>
      <c r="M192" s="33" t="e" cm="1">
        <f t="array" aca="1" ref="M192" ca="1">IF(AND(J192=INDIRECT("'["&amp;G192&amp;"]"&amp;E192&amp;"'!"&amp;$Y$2),G192=INDIRECT("'["&amp;G192&amp;"]"&amp;E192&amp;"'!"&amp;$AH$2)),INDIRECT("'["&amp;G192&amp;"]"&amp;E192&amp;"'!"&amp;$Y$3),0)</f>
        <v>#VALUE!</v>
      </c>
      <c r="N192" s="34" t="e" cm="1">
        <f t="array" aca="1" ref="N192" ca="1">IF(AND(G192=INDIRECT("'["&amp;G192&amp;"]"&amp;E192&amp;"'!"&amp;$AH$2),OR(K192=INDIRECT("'["&amp;G192&amp;"]"&amp;E192&amp;"'!"&amp;$Z$2))),INDIRECT("'["&amp;G192&amp;"]"&amp;E192&amp;"'!"&amp;$Z$3),0)</f>
        <v>#VALUE!</v>
      </c>
      <c r="O192" s="34" t="e" cm="1">
        <f t="array" aca="1" ref="O192" ca="1">IF(AND(G192=INDIRECT("'["&amp;G192&amp;"]"&amp;E192&amp;"'!"&amp;$AH$2),OR(L192=INDIRECT("'["&amp;G192&amp;"]"&amp;E192&amp;"'!"&amp;$AA$2))),INDIRECT("'["&amp;G192&amp;"]"&amp;E192&amp;"'!"&amp;$AA$3),0)</f>
        <v>#VALUE!</v>
      </c>
      <c r="P192" s="34" t="e" cm="1">
        <f t="array" aca="1" ref="P192" ca="1">IF(AND(G192=INDIRECT("'["&amp;G192&amp;"]"&amp;E192&amp;"'!"&amp;$AH$2),OR(VALUE(I192)=INDIRECT("'["&amp;G192&amp;"]"&amp;E192&amp;"'!"&amp;$AB$2))),INDIRECT("'["&amp;G192&amp;"]"&amp;E192&amp;"'!"&amp;$AB$3),0)</f>
        <v>#VALUE!</v>
      </c>
      <c r="Q192" s="34" t="e" cm="1">
        <f t="array" aca="1" ref="Q192" ca="1">IF(AND(G192=INDIRECT("'["&amp;G192&amp;"]"&amp;E192&amp;"'!"&amp;$AH$2),OR(VALUE(I192)=INDIRECT("'["&amp;G192&amp;"]"&amp;E192&amp;"'!"&amp;$AC$2))),INDIRECT("'["&amp;G192&amp;"]"&amp;E192&amp;"'!"&amp;$AC$3),0)</f>
        <v>#VALUE!</v>
      </c>
      <c r="R192" s="34" t="e" cm="1">
        <f t="array" aca="1" ref="R192" ca="1">IF(AND(G192=INDIRECT("'["&amp;G192&amp;"]"&amp;E192&amp;"'!"&amp;$AH$2),OR(I192=INDIRECT("'["&amp;G192&amp;"]"&amp;E192&amp;"'!"&amp;$AD$2))),INDIRECT("'["&amp;G192&amp;"]"&amp;E192&amp;"'!"&amp;$AD$3),0)</f>
        <v>#VALUE!</v>
      </c>
      <c r="S192" s="34" t="e" cm="1">
        <f t="array" aca="1" ref="S192" ca="1">IF(AND(G192=INDIRECT("'["&amp;G192&amp;"]"&amp;E192&amp;"'!"&amp;$AH$2),OR(I192=INDIRECT("'["&amp;G192&amp;"]"&amp;E192&amp;"'!"&amp;$AE$2))),INDIRECT("'["&amp;G192&amp;"]"&amp;E192&amp;"'!"&amp;$AE$3),0)</f>
        <v>#VALUE!</v>
      </c>
      <c r="T192" s="35" t="e" cm="1">
        <f t="array" aca="1" ref="T192" ca="1">IF(AND(G192=INDIRECT("'["&amp;G192&amp;"]"&amp;E192&amp;"'!"&amp;$AH$2),OR(I192=INDIRECT("'["&amp;G192&amp;"]"&amp;E192&amp;"'!"&amp;$AF$2))),INDIRECT("'["&amp;G192&amp;"]"&amp;E192&amp;"'!"&amp;$AF$3),0)</f>
        <v>#VALUE!</v>
      </c>
      <c r="U192" s="34" t="e" cm="1">
        <f t="array" aca="1" ref="U192" ca="1">IF(AND(G192=INDIRECT("'["&amp;G192&amp;"]"&amp;E192&amp;"'!"&amp;$AH$2),OR(I192=INDIRECT("'["&amp;G192&amp;"]"&amp;E192&amp;"'!"&amp;$AG$2))),INDIRECT("'["&amp;G192&amp;"]"&amp;E192&amp;"'!"&amp;$AG$3),0)</f>
        <v>#VALUE!</v>
      </c>
      <c r="V192" s="25" t="str">
        <f t="shared" si="52"/>
        <v/>
      </c>
      <c r="W192" s="36" t="e" cm="1">
        <f t="array" aca="1" ref="W192" ca="1">IF(AND(G192=INDIRECT("'["&amp;G192&amp;"]"&amp;E192&amp;"'!"&amp;$AH$2),OR(V192=INDIRECT("'["&amp;G192&amp;"]"&amp;E192&amp;"'!"&amp;$AI$2))),INDIRECT("'["&amp;G192&amp;"]"&amp;E192&amp;"'!"&amp;$AI$3),0)</f>
        <v>#VALUE!</v>
      </c>
      <c r="AJ192" s="25">
        <v>1</v>
      </c>
      <c r="AK192" s="38">
        <f t="shared" ca="1" si="53"/>
        <v>0</v>
      </c>
      <c r="AL192" s="38">
        <f t="shared" ca="1" si="54"/>
        <v>0</v>
      </c>
      <c r="AM192" s="54" t="str">
        <f t="shared" ca="1" si="45"/>
        <v/>
      </c>
      <c r="AN192" s="25" t="e">
        <f t="shared" ca="1" si="55"/>
        <v>#VALUE!</v>
      </c>
      <c r="AO192" s="25" t="e">
        <f t="shared" ca="1" si="56"/>
        <v>#VALUE!</v>
      </c>
      <c r="AP192" s="39" t="str">
        <f t="shared" ca="1" si="46"/>
        <v/>
      </c>
      <c r="AQ192" s="46" t="str">
        <f ca="1">IF(AND(C192&lt;&gt;0, C193=0), SUM($C$2:C192)-SUM($AQ$1:AQ191), "")</f>
        <v/>
      </c>
      <c r="AR192" s="46" t="str">
        <f ca="1">IF(AND(AK192&lt;&gt;0, AK193=0), SUM($AK$2:AK192)-SUM($AR$1:AR191), "")</f>
        <v/>
      </c>
    </row>
    <row r="193" spans="1:44" ht="13.15" customHeight="1">
      <c r="A193" s="31"/>
      <c r="B193" s="68" t="str">
        <f t="shared" si="60"/>
        <v/>
      </c>
      <c r="C193" s="55" cm="1">
        <f t="array" aca="1" ref="C193" ca="1">SUM(IF(ISNUMBER(M193:U193),M193:U193,""))</f>
        <v>0</v>
      </c>
      <c r="D193" s="25" t="str">
        <f t="shared" si="58"/>
        <v/>
      </c>
      <c r="E193" s="25" t="e">
        <f t="shared" si="47"/>
        <v>#VALUE!</v>
      </c>
      <c r="F193" s="25" t="str">
        <f t="shared" si="59"/>
        <v/>
      </c>
      <c r="G193" s="25" t="str">
        <f t="shared" si="44"/>
        <v>.xlsx</v>
      </c>
      <c r="H193" s="29" t="e" cm="1">
        <f t="array" aca="1" ref="H193" ca="1">IF(AND(VALUE(E193)=INDIRECT("'["&amp;G193&amp;"]"&amp;E193&amp;"'!"&amp;$X$2),G193=INDIRECT("'["&amp;G193&amp;"]"&amp;E193&amp;"'!"&amp;$X$3)),INDIRECT("'["&amp;G193&amp;"]"&amp;E193&amp;"'!"&amp;$X$1),0)</f>
        <v>#VALUE!</v>
      </c>
      <c r="I193" s="25" t="str">
        <f t="shared" si="48"/>
        <v/>
      </c>
      <c r="J193" s="32" t="str">
        <f t="shared" si="49"/>
        <v/>
      </c>
      <c r="K193" s="25" t="str">
        <f t="shared" si="50"/>
        <v/>
      </c>
      <c r="L193" s="25" t="str">
        <f t="shared" si="51"/>
        <v/>
      </c>
      <c r="M193" s="33" t="e" cm="1">
        <f t="array" aca="1" ref="M193" ca="1">IF(AND(J193=INDIRECT("'["&amp;G193&amp;"]"&amp;E193&amp;"'!"&amp;$Y$2),G193=INDIRECT("'["&amp;G193&amp;"]"&amp;E193&amp;"'!"&amp;$AH$2)),INDIRECT("'["&amp;G193&amp;"]"&amp;E193&amp;"'!"&amp;$Y$3),0)</f>
        <v>#VALUE!</v>
      </c>
      <c r="N193" s="34" t="e" cm="1">
        <f t="array" aca="1" ref="N193" ca="1">IF(AND(G193=INDIRECT("'["&amp;G193&amp;"]"&amp;E193&amp;"'!"&amp;$AH$2),OR(K193=INDIRECT("'["&amp;G193&amp;"]"&amp;E193&amp;"'!"&amp;$Z$2))),INDIRECT("'["&amp;G193&amp;"]"&amp;E193&amp;"'!"&amp;$Z$3),0)</f>
        <v>#VALUE!</v>
      </c>
      <c r="O193" s="34" t="e" cm="1">
        <f t="array" aca="1" ref="O193" ca="1">IF(AND(G193=INDIRECT("'["&amp;G193&amp;"]"&amp;E193&amp;"'!"&amp;$AH$2),OR(L193=INDIRECT("'["&amp;G193&amp;"]"&amp;E193&amp;"'!"&amp;$AA$2))),INDIRECT("'["&amp;G193&amp;"]"&amp;E193&amp;"'!"&amp;$AA$3),0)</f>
        <v>#VALUE!</v>
      </c>
      <c r="P193" s="34" t="e" cm="1">
        <f t="array" aca="1" ref="P193" ca="1">IF(AND(G193=INDIRECT("'["&amp;G193&amp;"]"&amp;E193&amp;"'!"&amp;$AH$2),OR(VALUE(I193)=INDIRECT("'["&amp;G193&amp;"]"&amp;E193&amp;"'!"&amp;$AB$2))),INDIRECT("'["&amp;G193&amp;"]"&amp;E193&amp;"'!"&amp;$AB$3),0)</f>
        <v>#VALUE!</v>
      </c>
      <c r="Q193" s="34" t="e" cm="1">
        <f t="array" aca="1" ref="Q193" ca="1">IF(AND(G193=INDIRECT("'["&amp;G193&amp;"]"&amp;E193&amp;"'!"&amp;$AH$2),OR(VALUE(I193)=INDIRECT("'["&amp;G193&amp;"]"&amp;E193&amp;"'!"&amp;$AC$2))),INDIRECT("'["&amp;G193&amp;"]"&amp;E193&amp;"'!"&amp;$AC$3),0)</f>
        <v>#VALUE!</v>
      </c>
      <c r="R193" s="34" t="e" cm="1">
        <f t="array" aca="1" ref="R193" ca="1">IF(AND(G193=INDIRECT("'["&amp;G193&amp;"]"&amp;E193&amp;"'!"&amp;$AH$2),OR(I193=INDIRECT("'["&amp;G193&amp;"]"&amp;E193&amp;"'!"&amp;$AD$2))),INDIRECT("'["&amp;G193&amp;"]"&amp;E193&amp;"'!"&amp;$AD$3),0)</f>
        <v>#VALUE!</v>
      </c>
      <c r="S193" s="34" t="e" cm="1">
        <f t="array" aca="1" ref="S193" ca="1">IF(AND(G193=INDIRECT("'["&amp;G193&amp;"]"&amp;E193&amp;"'!"&amp;$AH$2),OR(I193=INDIRECT("'["&amp;G193&amp;"]"&amp;E193&amp;"'!"&amp;$AE$2))),INDIRECT("'["&amp;G193&amp;"]"&amp;E193&amp;"'!"&amp;$AE$3),0)</f>
        <v>#VALUE!</v>
      </c>
      <c r="T193" s="35" t="e" cm="1">
        <f t="array" aca="1" ref="T193" ca="1">IF(AND(G193=INDIRECT("'["&amp;G193&amp;"]"&amp;E193&amp;"'!"&amp;$AH$2),OR(I193=INDIRECT("'["&amp;G193&amp;"]"&amp;E193&amp;"'!"&amp;$AF$2))),INDIRECT("'["&amp;G193&amp;"]"&amp;E193&amp;"'!"&amp;$AF$3),0)</f>
        <v>#VALUE!</v>
      </c>
      <c r="U193" s="34" t="e" cm="1">
        <f t="array" aca="1" ref="U193" ca="1">IF(AND(G193=INDIRECT("'["&amp;G193&amp;"]"&amp;E193&amp;"'!"&amp;$AH$2),OR(I193=INDIRECT("'["&amp;G193&amp;"]"&amp;E193&amp;"'!"&amp;$AG$2))),INDIRECT("'["&amp;G193&amp;"]"&amp;E193&amp;"'!"&amp;$AG$3),0)</f>
        <v>#VALUE!</v>
      </c>
      <c r="V193" s="25" t="str">
        <f t="shared" si="52"/>
        <v/>
      </c>
      <c r="W193" s="36" t="e" cm="1">
        <f t="array" aca="1" ref="W193" ca="1">IF(AND(G193=INDIRECT("'["&amp;G193&amp;"]"&amp;E193&amp;"'!"&amp;$AH$2),OR(V193=INDIRECT("'["&amp;G193&amp;"]"&amp;E193&amp;"'!"&amp;$AI$2))),INDIRECT("'["&amp;G193&amp;"]"&amp;E193&amp;"'!"&amp;$AI$3),0)</f>
        <v>#VALUE!</v>
      </c>
      <c r="AJ193" s="25">
        <v>1</v>
      </c>
      <c r="AK193" s="38">
        <f t="shared" ca="1" si="53"/>
        <v>0</v>
      </c>
      <c r="AL193" s="38">
        <f t="shared" ca="1" si="54"/>
        <v>0</v>
      </c>
      <c r="AM193" s="54" t="str">
        <f t="shared" ca="1" si="45"/>
        <v/>
      </c>
      <c r="AN193" s="25" t="e">
        <f t="shared" ca="1" si="55"/>
        <v>#VALUE!</v>
      </c>
      <c r="AO193" s="25" t="e">
        <f t="shared" ca="1" si="56"/>
        <v>#VALUE!</v>
      </c>
      <c r="AP193" s="39" t="str">
        <f t="shared" ca="1" si="46"/>
        <v/>
      </c>
      <c r="AQ193" s="46" t="str">
        <f ca="1">IF(AND(C193&lt;&gt;0, C194=0), SUM($C$2:C193)-SUM($AQ$1:AQ192), "")</f>
        <v/>
      </c>
      <c r="AR193" s="46" t="str">
        <f ca="1">IF(AND(AK193&lt;&gt;0, AK194=0), SUM($AK$2:AK193)-SUM($AR$1:AR192), "")</f>
        <v/>
      </c>
    </row>
    <row r="194" spans="1:44" ht="13.15" customHeight="1">
      <c r="A194" s="31"/>
      <c r="B194" s="68" t="str">
        <f t="shared" si="60"/>
        <v/>
      </c>
      <c r="C194" s="55" cm="1">
        <f t="array" aca="1" ref="C194" ca="1">SUM(IF(ISNUMBER(M194:U194),M194:U194,""))</f>
        <v>0</v>
      </c>
      <c r="D194" s="25" t="str">
        <f t="shared" ref="D194:D215" si="61">MID(A194,4,2)</f>
        <v/>
      </c>
      <c r="E194" s="25" t="e">
        <f t="shared" si="47"/>
        <v>#VALUE!</v>
      </c>
      <c r="F194" s="25" t="str">
        <f t="shared" ref="F194:F215" si="62">LEFT(A194,2)</f>
        <v/>
      </c>
      <c r="G194" s="25" t="str">
        <f t="shared" ref="G194:G257" si="63">CONCATENATE(F194,".xlsx")</f>
        <v>.xlsx</v>
      </c>
      <c r="H194" s="29" t="e" cm="1">
        <f t="array" aca="1" ref="H194" ca="1">IF(AND(VALUE(E194)=INDIRECT("'["&amp;G194&amp;"]"&amp;E194&amp;"'!"&amp;$X$2),G194=INDIRECT("'["&amp;G194&amp;"]"&amp;E194&amp;"'!"&amp;$X$3)),INDIRECT("'["&amp;G194&amp;"]"&amp;E194&amp;"'!"&amp;$X$1),0)</f>
        <v>#VALUE!</v>
      </c>
      <c r="I194" s="25" t="str">
        <f t="shared" si="48"/>
        <v/>
      </c>
      <c r="J194" s="32" t="str">
        <f t="shared" si="49"/>
        <v/>
      </c>
      <c r="K194" s="25" t="str">
        <f t="shared" si="50"/>
        <v/>
      </c>
      <c r="L194" s="25" t="str">
        <f t="shared" si="51"/>
        <v/>
      </c>
      <c r="M194" s="33" t="e" cm="1">
        <f t="array" aca="1" ref="M194" ca="1">IF(AND(J194=INDIRECT("'["&amp;G194&amp;"]"&amp;E194&amp;"'!"&amp;$Y$2),G194=INDIRECT("'["&amp;G194&amp;"]"&amp;E194&amp;"'!"&amp;$AH$2)),INDIRECT("'["&amp;G194&amp;"]"&amp;E194&amp;"'!"&amp;$Y$3),0)</f>
        <v>#VALUE!</v>
      </c>
      <c r="N194" s="34" t="e" cm="1">
        <f t="array" aca="1" ref="N194" ca="1">IF(AND(G194=INDIRECT("'["&amp;G194&amp;"]"&amp;E194&amp;"'!"&amp;$AH$2),OR(K194=INDIRECT("'["&amp;G194&amp;"]"&amp;E194&amp;"'!"&amp;$Z$2))),INDIRECT("'["&amp;G194&amp;"]"&amp;E194&amp;"'!"&amp;$Z$3),0)</f>
        <v>#VALUE!</v>
      </c>
      <c r="O194" s="34" t="e" cm="1">
        <f t="array" aca="1" ref="O194" ca="1">IF(AND(G194=INDIRECT("'["&amp;G194&amp;"]"&amp;E194&amp;"'!"&amp;$AH$2),OR(L194=INDIRECT("'["&amp;G194&amp;"]"&amp;E194&amp;"'!"&amp;$AA$2))),INDIRECT("'["&amp;G194&amp;"]"&amp;E194&amp;"'!"&amp;$AA$3),0)</f>
        <v>#VALUE!</v>
      </c>
      <c r="P194" s="34" t="e" cm="1">
        <f t="array" aca="1" ref="P194" ca="1">IF(AND(G194=INDIRECT("'["&amp;G194&amp;"]"&amp;E194&amp;"'!"&amp;$AH$2),OR(VALUE(I194)=INDIRECT("'["&amp;G194&amp;"]"&amp;E194&amp;"'!"&amp;$AB$2))),INDIRECT("'["&amp;G194&amp;"]"&amp;E194&amp;"'!"&amp;$AB$3),0)</f>
        <v>#VALUE!</v>
      </c>
      <c r="Q194" s="34" t="e" cm="1">
        <f t="array" aca="1" ref="Q194" ca="1">IF(AND(G194=INDIRECT("'["&amp;G194&amp;"]"&amp;E194&amp;"'!"&amp;$AH$2),OR(VALUE(I194)=INDIRECT("'["&amp;G194&amp;"]"&amp;E194&amp;"'!"&amp;$AC$2))),INDIRECT("'["&amp;G194&amp;"]"&amp;E194&amp;"'!"&amp;$AC$3),0)</f>
        <v>#VALUE!</v>
      </c>
      <c r="R194" s="34" t="e" cm="1">
        <f t="array" aca="1" ref="R194" ca="1">IF(AND(G194=INDIRECT("'["&amp;G194&amp;"]"&amp;E194&amp;"'!"&amp;$AH$2),OR(I194=INDIRECT("'["&amp;G194&amp;"]"&amp;E194&amp;"'!"&amp;$AD$2))),INDIRECT("'["&amp;G194&amp;"]"&amp;E194&amp;"'!"&amp;$AD$3),0)</f>
        <v>#VALUE!</v>
      </c>
      <c r="S194" s="34" t="e" cm="1">
        <f t="array" aca="1" ref="S194" ca="1">IF(AND(G194=INDIRECT("'["&amp;G194&amp;"]"&amp;E194&amp;"'!"&amp;$AH$2),OR(I194=INDIRECT("'["&amp;G194&amp;"]"&amp;E194&amp;"'!"&amp;$AE$2))),INDIRECT("'["&amp;G194&amp;"]"&amp;E194&amp;"'!"&amp;$AE$3),0)</f>
        <v>#VALUE!</v>
      </c>
      <c r="T194" s="35" t="e" cm="1">
        <f t="array" aca="1" ref="T194" ca="1">IF(AND(G194=INDIRECT("'["&amp;G194&amp;"]"&amp;E194&amp;"'!"&amp;$AH$2),OR(I194=INDIRECT("'["&amp;G194&amp;"]"&amp;E194&amp;"'!"&amp;$AF$2))),INDIRECT("'["&amp;G194&amp;"]"&amp;E194&amp;"'!"&amp;$AF$3),0)</f>
        <v>#VALUE!</v>
      </c>
      <c r="U194" s="34" t="e" cm="1">
        <f t="array" aca="1" ref="U194" ca="1">IF(AND(G194=INDIRECT("'["&amp;G194&amp;"]"&amp;E194&amp;"'!"&amp;$AH$2),OR(I194=INDIRECT("'["&amp;G194&amp;"]"&amp;E194&amp;"'!"&amp;$AG$2))),INDIRECT("'["&amp;G194&amp;"]"&amp;E194&amp;"'!"&amp;$AG$3),0)</f>
        <v>#VALUE!</v>
      </c>
      <c r="V194" s="25" t="str">
        <f t="shared" si="52"/>
        <v/>
      </c>
      <c r="W194" s="36" t="e" cm="1">
        <f t="array" aca="1" ref="W194" ca="1">IF(AND(G194=INDIRECT("'["&amp;G194&amp;"]"&amp;E194&amp;"'!"&amp;$AH$2),OR(V194=INDIRECT("'["&amp;G194&amp;"]"&amp;E194&amp;"'!"&amp;$AI$2))),INDIRECT("'["&amp;G194&amp;"]"&amp;E194&amp;"'!"&amp;$AI$3),0)</f>
        <v>#VALUE!</v>
      </c>
      <c r="AJ194" s="25">
        <v>1</v>
      </c>
      <c r="AK194" s="38">
        <f t="shared" ca="1" si="53"/>
        <v>0</v>
      </c>
      <c r="AL194" s="38">
        <f t="shared" ca="1" si="54"/>
        <v>0</v>
      </c>
      <c r="AM194" s="54" t="str">
        <f t="shared" ref="AM194:AM257" ca="1" si="64">IF(A194&lt;&gt;"",IF(AM194="",NOW(),AM194),"")</f>
        <v/>
      </c>
      <c r="AN194" s="25" t="e">
        <f t="shared" ca="1" si="55"/>
        <v>#VALUE!</v>
      </c>
      <c r="AO194" s="25" t="e">
        <f t="shared" ca="1" si="56"/>
        <v>#VALUE!</v>
      </c>
      <c r="AP194" s="39" t="str">
        <f t="shared" ref="AP194:AP257" ca="1" si="65">IF(ISTEXT(W194),"อายัด","")</f>
        <v/>
      </c>
      <c r="AQ194" s="46" t="str">
        <f ca="1">IF(AND(C194&lt;&gt;0, C195=0), SUM($C$2:C194)-SUM($AQ$1:AQ193), "")</f>
        <v/>
      </c>
      <c r="AR194" s="46" t="str">
        <f ca="1">IF(AND(AK194&lt;&gt;0, AK195=0), SUM($AK$2:AK194)-SUM($AR$1:AR193), "")</f>
        <v/>
      </c>
    </row>
    <row r="195" spans="1:44" ht="13.15" customHeight="1">
      <c r="A195" s="31"/>
      <c r="B195" s="68" t="str">
        <f t="shared" si="60"/>
        <v/>
      </c>
      <c r="C195" s="55" cm="1">
        <f t="array" aca="1" ref="C195" ca="1">SUM(IF(ISNUMBER(M195:U195),M195:U195,""))</f>
        <v>0</v>
      </c>
      <c r="D195" s="25" t="str">
        <f t="shared" si="61"/>
        <v/>
      </c>
      <c r="E195" s="25" t="e">
        <f t="shared" ref="E195:E258" si="66">IF(ISEVEN(D195),D195-1,VALUE(D195))</f>
        <v>#VALUE!</v>
      </c>
      <c r="F195" s="25" t="str">
        <f t="shared" si="62"/>
        <v/>
      </c>
      <c r="G195" s="25" t="str">
        <f t="shared" si="63"/>
        <v>.xlsx</v>
      </c>
      <c r="H195" s="29" t="e" cm="1">
        <f t="array" aca="1" ref="H195" ca="1">IF(AND(VALUE(E195)=INDIRECT("'["&amp;G195&amp;"]"&amp;E195&amp;"'!"&amp;$X$2),G195=INDIRECT("'["&amp;G195&amp;"]"&amp;E195&amp;"'!"&amp;$X$3)),INDIRECT("'["&amp;G195&amp;"]"&amp;E195&amp;"'!"&amp;$X$1),0)</f>
        <v>#VALUE!</v>
      </c>
      <c r="I195" s="25" t="str">
        <f t="shared" ref="I195:I258" si="67">MID(A195,10,6)</f>
        <v/>
      </c>
      <c r="J195" s="32" t="str">
        <f t="shared" ref="J195:J258" si="68">RIGHT(I195,2)</f>
        <v/>
      </c>
      <c r="K195" s="25" t="str">
        <f t="shared" ref="K195:K258" si="69">LEFT(I195,3)</f>
        <v/>
      </c>
      <c r="L195" s="25" t="str">
        <f t="shared" ref="L195:L258" si="70">RIGHT(I195,3)</f>
        <v/>
      </c>
      <c r="M195" s="33" t="e" cm="1">
        <f t="array" aca="1" ref="M195" ca="1">IF(AND(J195=INDIRECT("'["&amp;G195&amp;"]"&amp;E195&amp;"'!"&amp;$Y$2),G195=INDIRECT("'["&amp;G195&amp;"]"&amp;E195&amp;"'!"&amp;$AH$2)),INDIRECT("'["&amp;G195&amp;"]"&amp;E195&amp;"'!"&amp;$Y$3),0)</f>
        <v>#VALUE!</v>
      </c>
      <c r="N195" s="34" t="e" cm="1">
        <f t="array" aca="1" ref="N195" ca="1">IF(AND(G195=INDIRECT("'["&amp;G195&amp;"]"&amp;E195&amp;"'!"&amp;$AH$2),OR(K195=INDIRECT("'["&amp;G195&amp;"]"&amp;E195&amp;"'!"&amp;$Z$2))),INDIRECT("'["&amp;G195&amp;"]"&amp;E195&amp;"'!"&amp;$Z$3),0)</f>
        <v>#VALUE!</v>
      </c>
      <c r="O195" s="34" t="e" cm="1">
        <f t="array" aca="1" ref="O195" ca="1">IF(AND(G195=INDIRECT("'["&amp;G195&amp;"]"&amp;E195&amp;"'!"&amp;$AH$2),OR(L195=INDIRECT("'["&amp;G195&amp;"]"&amp;E195&amp;"'!"&amp;$AA$2))),INDIRECT("'["&amp;G195&amp;"]"&amp;E195&amp;"'!"&amp;$AA$3),0)</f>
        <v>#VALUE!</v>
      </c>
      <c r="P195" s="34" t="e" cm="1">
        <f t="array" aca="1" ref="P195" ca="1">IF(AND(G195=INDIRECT("'["&amp;G195&amp;"]"&amp;E195&amp;"'!"&amp;$AH$2),OR(VALUE(I195)=INDIRECT("'["&amp;G195&amp;"]"&amp;E195&amp;"'!"&amp;$AB$2))),INDIRECT("'["&amp;G195&amp;"]"&amp;E195&amp;"'!"&amp;$AB$3),0)</f>
        <v>#VALUE!</v>
      </c>
      <c r="Q195" s="34" t="e" cm="1">
        <f t="array" aca="1" ref="Q195" ca="1">IF(AND(G195=INDIRECT("'["&amp;G195&amp;"]"&amp;E195&amp;"'!"&amp;$AH$2),OR(VALUE(I195)=INDIRECT("'["&amp;G195&amp;"]"&amp;E195&amp;"'!"&amp;$AC$2))),INDIRECT("'["&amp;G195&amp;"]"&amp;E195&amp;"'!"&amp;$AC$3),0)</f>
        <v>#VALUE!</v>
      </c>
      <c r="R195" s="34" t="e" cm="1">
        <f t="array" aca="1" ref="R195" ca="1">IF(AND(G195=INDIRECT("'["&amp;G195&amp;"]"&amp;E195&amp;"'!"&amp;$AH$2),OR(I195=INDIRECT("'["&amp;G195&amp;"]"&amp;E195&amp;"'!"&amp;$AD$2))),INDIRECT("'["&amp;G195&amp;"]"&amp;E195&amp;"'!"&amp;$AD$3),0)</f>
        <v>#VALUE!</v>
      </c>
      <c r="S195" s="34" t="e" cm="1">
        <f t="array" aca="1" ref="S195" ca="1">IF(AND(G195=INDIRECT("'["&amp;G195&amp;"]"&amp;E195&amp;"'!"&amp;$AH$2),OR(I195=INDIRECT("'["&amp;G195&amp;"]"&amp;E195&amp;"'!"&amp;$AE$2))),INDIRECT("'["&amp;G195&amp;"]"&amp;E195&amp;"'!"&amp;$AE$3),0)</f>
        <v>#VALUE!</v>
      </c>
      <c r="T195" s="35" t="e" cm="1">
        <f t="array" aca="1" ref="T195" ca="1">IF(AND(G195=INDIRECT("'["&amp;G195&amp;"]"&amp;E195&amp;"'!"&amp;$AH$2),OR(I195=INDIRECT("'["&amp;G195&amp;"]"&amp;E195&amp;"'!"&amp;$AF$2))),INDIRECT("'["&amp;G195&amp;"]"&amp;E195&amp;"'!"&amp;$AF$3),0)</f>
        <v>#VALUE!</v>
      </c>
      <c r="U195" s="34" t="e" cm="1">
        <f t="array" aca="1" ref="U195" ca="1">IF(AND(G195=INDIRECT("'["&amp;G195&amp;"]"&amp;E195&amp;"'!"&amp;$AH$2),OR(I195=INDIRECT("'["&amp;G195&amp;"]"&amp;E195&amp;"'!"&amp;$AG$2))),INDIRECT("'["&amp;G195&amp;"]"&amp;E195&amp;"'!"&amp;$AG$3),0)</f>
        <v>#VALUE!</v>
      </c>
      <c r="V195" s="25" t="str">
        <f t="shared" ref="V195:V258" si="71">MID(B195,7,9)</f>
        <v/>
      </c>
      <c r="W195" s="36" t="e" cm="1">
        <f t="array" aca="1" ref="W195" ca="1">IF(AND(G195=INDIRECT("'["&amp;G195&amp;"]"&amp;E195&amp;"'!"&amp;$AH$2),OR(V195=INDIRECT("'["&amp;G195&amp;"]"&amp;E195&amp;"'!"&amp;$AI$2))),INDIRECT("'["&amp;G195&amp;"]"&amp;E195&amp;"'!"&amp;$AI$3),0)</f>
        <v>#VALUE!</v>
      </c>
      <c r="AJ195" s="25">
        <v>1</v>
      </c>
      <c r="AK195" s="38">
        <f t="shared" ref="AK195:AK258" ca="1" si="72">(C195*AJ195%)</f>
        <v>0</v>
      </c>
      <c r="AL195" s="38">
        <f t="shared" ref="AL195:AL258" ca="1" si="73">C195-AK195</f>
        <v>0</v>
      </c>
      <c r="AM195" s="54" t="str">
        <f t="shared" ca="1" si="64"/>
        <v/>
      </c>
      <c r="AN195" s="25" t="e">
        <f t="shared" ref="AN195:AN258" ca="1" si="74">IF(VALUE(N195),"/","")</f>
        <v>#VALUE!</v>
      </c>
      <c r="AO195" s="25" t="e">
        <f t="shared" ref="AO195:AO258" ca="1" si="75">IF(VALUE(O195),"/","")</f>
        <v>#VALUE!</v>
      </c>
      <c r="AP195" s="39" t="str">
        <f t="shared" ca="1" si="65"/>
        <v/>
      </c>
      <c r="AQ195" s="46" t="str">
        <f ca="1">IF(AND(C195&lt;&gt;0, C196=0), SUM($C$2:C195)-SUM($AQ$1:AQ194), "")</f>
        <v/>
      </c>
      <c r="AR195" s="46" t="str">
        <f ca="1">IF(AND(AK195&lt;&gt;0, AK196=0), SUM($AK$2:AK195)-SUM($AR$1:AR194), "")</f>
        <v/>
      </c>
    </row>
    <row r="196" spans="1:44" ht="13.15" customHeight="1">
      <c r="A196" s="31"/>
      <c r="B196" s="68" t="str">
        <f t="shared" si="60"/>
        <v/>
      </c>
      <c r="C196" s="55" cm="1">
        <f t="array" aca="1" ref="C196" ca="1">SUM(IF(ISNUMBER(M196:U196),M196:U196,""))</f>
        <v>0</v>
      </c>
      <c r="D196" s="25" t="str">
        <f t="shared" si="61"/>
        <v/>
      </c>
      <c r="E196" s="25" t="e">
        <f t="shared" si="66"/>
        <v>#VALUE!</v>
      </c>
      <c r="F196" s="25" t="str">
        <f t="shared" si="62"/>
        <v/>
      </c>
      <c r="G196" s="25" t="str">
        <f t="shared" si="63"/>
        <v>.xlsx</v>
      </c>
      <c r="H196" s="29" t="e" cm="1">
        <f t="array" aca="1" ref="H196" ca="1">IF(AND(VALUE(E196)=INDIRECT("'["&amp;G196&amp;"]"&amp;E196&amp;"'!"&amp;$X$2),G196=INDIRECT("'["&amp;G196&amp;"]"&amp;E196&amp;"'!"&amp;$X$3)),INDIRECT("'["&amp;G196&amp;"]"&amp;E196&amp;"'!"&amp;$X$1),0)</f>
        <v>#VALUE!</v>
      </c>
      <c r="I196" s="25" t="str">
        <f t="shared" si="67"/>
        <v/>
      </c>
      <c r="J196" s="32" t="str">
        <f t="shared" si="68"/>
        <v/>
      </c>
      <c r="K196" s="25" t="str">
        <f t="shared" si="69"/>
        <v/>
      </c>
      <c r="L196" s="25" t="str">
        <f t="shared" si="70"/>
        <v/>
      </c>
      <c r="M196" s="33" t="e" cm="1">
        <f t="array" aca="1" ref="M196" ca="1">IF(AND(J196=INDIRECT("'["&amp;G196&amp;"]"&amp;E196&amp;"'!"&amp;$Y$2),G196=INDIRECT("'["&amp;G196&amp;"]"&amp;E196&amp;"'!"&amp;$AH$2)),INDIRECT("'["&amp;G196&amp;"]"&amp;E196&amp;"'!"&amp;$Y$3),0)</f>
        <v>#VALUE!</v>
      </c>
      <c r="N196" s="34" t="e" cm="1">
        <f t="array" aca="1" ref="N196" ca="1">IF(AND(G196=INDIRECT("'["&amp;G196&amp;"]"&amp;E196&amp;"'!"&amp;$AH$2),OR(K196=INDIRECT("'["&amp;G196&amp;"]"&amp;E196&amp;"'!"&amp;$Z$2))),INDIRECT("'["&amp;G196&amp;"]"&amp;E196&amp;"'!"&amp;$Z$3),0)</f>
        <v>#VALUE!</v>
      </c>
      <c r="O196" s="34" t="e" cm="1">
        <f t="array" aca="1" ref="O196" ca="1">IF(AND(G196=INDIRECT("'["&amp;G196&amp;"]"&amp;E196&amp;"'!"&amp;$AH$2),OR(L196=INDIRECT("'["&amp;G196&amp;"]"&amp;E196&amp;"'!"&amp;$AA$2))),INDIRECT("'["&amp;G196&amp;"]"&amp;E196&amp;"'!"&amp;$AA$3),0)</f>
        <v>#VALUE!</v>
      </c>
      <c r="P196" s="34" t="e" cm="1">
        <f t="array" aca="1" ref="P196" ca="1">IF(AND(G196=INDIRECT("'["&amp;G196&amp;"]"&amp;E196&amp;"'!"&amp;$AH$2),OR(VALUE(I196)=INDIRECT("'["&amp;G196&amp;"]"&amp;E196&amp;"'!"&amp;$AB$2))),INDIRECT("'["&amp;G196&amp;"]"&amp;E196&amp;"'!"&amp;$AB$3),0)</f>
        <v>#VALUE!</v>
      </c>
      <c r="Q196" s="34" t="e" cm="1">
        <f t="array" aca="1" ref="Q196" ca="1">IF(AND(G196=INDIRECT("'["&amp;G196&amp;"]"&amp;E196&amp;"'!"&amp;$AH$2),OR(VALUE(I196)=INDIRECT("'["&amp;G196&amp;"]"&amp;E196&amp;"'!"&amp;$AC$2))),INDIRECT("'["&amp;G196&amp;"]"&amp;E196&amp;"'!"&amp;$AC$3),0)</f>
        <v>#VALUE!</v>
      </c>
      <c r="R196" s="34" t="e" cm="1">
        <f t="array" aca="1" ref="R196" ca="1">IF(AND(G196=INDIRECT("'["&amp;G196&amp;"]"&amp;E196&amp;"'!"&amp;$AH$2),OR(I196=INDIRECT("'["&amp;G196&amp;"]"&amp;E196&amp;"'!"&amp;$AD$2))),INDIRECT("'["&amp;G196&amp;"]"&amp;E196&amp;"'!"&amp;$AD$3),0)</f>
        <v>#VALUE!</v>
      </c>
      <c r="S196" s="34" t="e" cm="1">
        <f t="array" aca="1" ref="S196" ca="1">IF(AND(G196=INDIRECT("'["&amp;G196&amp;"]"&amp;E196&amp;"'!"&amp;$AH$2),OR(I196=INDIRECT("'["&amp;G196&amp;"]"&amp;E196&amp;"'!"&amp;$AE$2))),INDIRECT("'["&amp;G196&amp;"]"&amp;E196&amp;"'!"&amp;$AE$3),0)</f>
        <v>#VALUE!</v>
      </c>
      <c r="T196" s="35" t="e" cm="1">
        <f t="array" aca="1" ref="T196" ca="1">IF(AND(G196=INDIRECT("'["&amp;G196&amp;"]"&amp;E196&amp;"'!"&amp;$AH$2),OR(I196=INDIRECT("'["&amp;G196&amp;"]"&amp;E196&amp;"'!"&amp;$AF$2))),INDIRECT("'["&amp;G196&amp;"]"&amp;E196&amp;"'!"&amp;$AF$3),0)</f>
        <v>#VALUE!</v>
      </c>
      <c r="U196" s="34" t="e" cm="1">
        <f t="array" aca="1" ref="U196" ca="1">IF(AND(G196=INDIRECT("'["&amp;G196&amp;"]"&amp;E196&amp;"'!"&amp;$AH$2),OR(I196=INDIRECT("'["&amp;G196&amp;"]"&amp;E196&amp;"'!"&amp;$AG$2))),INDIRECT("'["&amp;G196&amp;"]"&amp;E196&amp;"'!"&amp;$AG$3),0)</f>
        <v>#VALUE!</v>
      </c>
      <c r="V196" s="25" t="str">
        <f t="shared" si="71"/>
        <v/>
      </c>
      <c r="W196" s="36" t="e" cm="1">
        <f t="array" aca="1" ref="W196" ca="1">IF(AND(G196=INDIRECT("'["&amp;G196&amp;"]"&amp;E196&amp;"'!"&amp;$AH$2),OR(V196=INDIRECT("'["&amp;G196&amp;"]"&amp;E196&amp;"'!"&amp;$AI$2))),INDIRECT("'["&amp;G196&amp;"]"&amp;E196&amp;"'!"&amp;$AI$3),0)</f>
        <v>#VALUE!</v>
      </c>
      <c r="AJ196" s="25">
        <v>1</v>
      </c>
      <c r="AK196" s="38">
        <f t="shared" ca="1" si="72"/>
        <v>0</v>
      </c>
      <c r="AL196" s="38">
        <f t="shared" ca="1" si="73"/>
        <v>0</v>
      </c>
      <c r="AM196" s="54" t="str">
        <f t="shared" ca="1" si="64"/>
        <v/>
      </c>
      <c r="AN196" s="25" t="e">
        <f t="shared" ca="1" si="74"/>
        <v>#VALUE!</v>
      </c>
      <c r="AO196" s="25" t="e">
        <f t="shared" ca="1" si="75"/>
        <v>#VALUE!</v>
      </c>
      <c r="AP196" s="39" t="str">
        <f t="shared" ca="1" si="65"/>
        <v/>
      </c>
      <c r="AQ196" s="46" t="str">
        <f ca="1">IF(AND(C196&lt;&gt;0, C197=0), SUM($C$2:C196)-SUM($AQ$1:AQ195), "")</f>
        <v/>
      </c>
      <c r="AR196" s="46" t="str">
        <f ca="1">IF(AND(AK196&lt;&gt;0, AK197=0), SUM($AK$2:AK196)-SUM($AR$1:AR195), "")</f>
        <v/>
      </c>
    </row>
    <row r="197" spans="1:44" ht="13.15" customHeight="1">
      <c r="A197" s="31"/>
      <c r="B197" s="68" t="str">
        <f t="shared" si="60"/>
        <v/>
      </c>
      <c r="C197" s="55" cm="1">
        <f t="array" aca="1" ref="C197" ca="1">SUM(IF(ISNUMBER(M197:U197),M197:U197,""))</f>
        <v>0</v>
      </c>
      <c r="D197" s="25" t="str">
        <f t="shared" si="61"/>
        <v/>
      </c>
      <c r="E197" s="25" t="e">
        <f t="shared" si="66"/>
        <v>#VALUE!</v>
      </c>
      <c r="F197" s="25" t="str">
        <f t="shared" si="62"/>
        <v/>
      </c>
      <c r="G197" s="25" t="str">
        <f t="shared" si="63"/>
        <v>.xlsx</v>
      </c>
      <c r="H197" s="29" t="e" cm="1">
        <f t="array" aca="1" ref="H197" ca="1">IF(AND(VALUE(E197)=INDIRECT("'["&amp;G197&amp;"]"&amp;E197&amp;"'!"&amp;$X$2),G197=INDIRECT("'["&amp;G197&amp;"]"&amp;E197&amp;"'!"&amp;$X$3)),INDIRECT("'["&amp;G197&amp;"]"&amp;E197&amp;"'!"&amp;$X$1),0)</f>
        <v>#VALUE!</v>
      </c>
      <c r="I197" s="25" t="str">
        <f t="shared" si="67"/>
        <v/>
      </c>
      <c r="J197" s="32" t="str">
        <f t="shared" si="68"/>
        <v/>
      </c>
      <c r="K197" s="25" t="str">
        <f t="shared" si="69"/>
        <v/>
      </c>
      <c r="L197" s="25" t="str">
        <f t="shared" si="70"/>
        <v/>
      </c>
      <c r="M197" s="33" t="e" cm="1">
        <f t="array" aca="1" ref="M197" ca="1">IF(AND(J197=INDIRECT("'["&amp;G197&amp;"]"&amp;E197&amp;"'!"&amp;$Y$2),G197=INDIRECT("'["&amp;G197&amp;"]"&amp;E197&amp;"'!"&amp;$AH$2)),INDIRECT("'["&amp;G197&amp;"]"&amp;E197&amp;"'!"&amp;$Y$3),0)</f>
        <v>#VALUE!</v>
      </c>
      <c r="N197" s="34" t="e" cm="1">
        <f t="array" aca="1" ref="N197" ca="1">IF(AND(G197=INDIRECT("'["&amp;G197&amp;"]"&amp;E197&amp;"'!"&amp;$AH$2),OR(K197=INDIRECT("'["&amp;G197&amp;"]"&amp;E197&amp;"'!"&amp;$Z$2))),INDIRECT("'["&amp;G197&amp;"]"&amp;E197&amp;"'!"&amp;$Z$3),0)</f>
        <v>#VALUE!</v>
      </c>
      <c r="O197" s="34" t="e" cm="1">
        <f t="array" aca="1" ref="O197" ca="1">IF(AND(G197=INDIRECT("'["&amp;G197&amp;"]"&amp;E197&amp;"'!"&amp;$AH$2),OR(L197=INDIRECT("'["&amp;G197&amp;"]"&amp;E197&amp;"'!"&amp;$AA$2))),INDIRECT("'["&amp;G197&amp;"]"&amp;E197&amp;"'!"&amp;$AA$3),0)</f>
        <v>#VALUE!</v>
      </c>
      <c r="P197" s="34" t="e" cm="1">
        <f t="array" aca="1" ref="P197" ca="1">IF(AND(G197=INDIRECT("'["&amp;G197&amp;"]"&amp;E197&amp;"'!"&amp;$AH$2),OR(VALUE(I197)=INDIRECT("'["&amp;G197&amp;"]"&amp;E197&amp;"'!"&amp;$AB$2))),INDIRECT("'["&amp;G197&amp;"]"&amp;E197&amp;"'!"&amp;$AB$3),0)</f>
        <v>#VALUE!</v>
      </c>
      <c r="Q197" s="34" t="e" cm="1">
        <f t="array" aca="1" ref="Q197" ca="1">IF(AND(G197=INDIRECT("'["&amp;G197&amp;"]"&amp;E197&amp;"'!"&amp;$AH$2),OR(VALUE(I197)=INDIRECT("'["&amp;G197&amp;"]"&amp;E197&amp;"'!"&amp;$AC$2))),INDIRECT("'["&amp;G197&amp;"]"&amp;E197&amp;"'!"&amp;$AC$3),0)</f>
        <v>#VALUE!</v>
      </c>
      <c r="R197" s="34" t="e" cm="1">
        <f t="array" aca="1" ref="R197" ca="1">IF(AND(G197=INDIRECT("'["&amp;G197&amp;"]"&amp;E197&amp;"'!"&amp;$AH$2),OR(I197=INDIRECT("'["&amp;G197&amp;"]"&amp;E197&amp;"'!"&amp;$AD$2))),INDIRECT("'["&amp;G197&amp;"]"&amp;E197&amp;"'!"&amp;$AD$3),0)</f>
        <v>#VALUE!</v>
      </c>
      <c r="S197" s="34" t="e" cm="1">
        <f t="array" aca="1" ref="S197" ca="1">IF(AND(G197=INDIRECT("'["&amp;G197&amp;"]"&amp;E197&amp;"'!"&amp;$AH$2),OR(I197=INDIRECT("'["&amp;G197&amp;"]"&amp;E197&amp;"'!"&amp;$AE$2))),INDIRECT("'["&amp;G197&amp;"]"&amp;E197&amp;"'!"&amp;$AE$3),0)</f>
        <v>#VALUE!</v>
      </c>
      <c r="T197" s="35" t="e" cm="1">
        <f t="array" aca="1" ref="T197" ca="1">IF(AND(G197=INDIRECT("'["&amp;G197&amp;"]"&amp;E197&amp;"'!"&amp;$AH$2),OR(I197=INDIRECT("'["&amp;G197&amp;"]"&amp;E197&amp;"'!"&amp;$AF$2))),INDIRECT("'["&amp;G197&amp;"]"&amp;E197&amp;"'!"&amp;$AF$3),0)</f>
        <v>#VALUE!</v>
      </c>
      <c r="U197" s="34" t="e" cm="1">
        <f t="array" aca="1" ref="U197" ca="1">IF(AND(G197=INDIRECT("'["&amp;G197&amp;"]"&amp;E197&amp;"'!"&amp;$AH$2),OR(I197=INDIRECT("'["&amp;G197&amp;"]"&amp;E197&amp;"'!"&amp;$AG$2))),INDIRECT("'["&amp;G197&amp;"]"&amp;E197&amp;"'!"&amp;$AG$3),0)</f>
        <v>#VALUE!</v>
      </c>
      <c r="V197" s="25" t="str">
        <f t="shared" si="71"/>
        <v/>
      </c>
      <c r="W197" s="36" t="e" cm="1">
        <f t="array" aca="1" ref="W197" ca="1">IF(AND(G197=INDIRECT("'["&amp;G197&amp;"]"&amp;E197&amp;"'!"&amp;$AH$2),OR(V197=INDIRECT("'["&amp;G197&amp;"]"&amp;E197&amp;"'!"&amp;$AI$2))),INDIRECT("'["&amp;G197&amp;"]"&amp;E197&amp;"'!"&amp;$AI$3),0)</f>
        <v>#VALUE!</v>
      </c>
      <c r="AJ197" s="25">
        <v>1</v>
      </c>
      <c r="AK197" s="38">
        <f t="shared" ca="1" si="72"/>
        <v>0</v>
      </c>
      <c r="AL197" s="38">
        <f t="shared" ca="1" si="73"/>
        <v>0</v>
      </c>
      <c r="AM197" s="54" t="str">
        <f t="shared" ca="1" si="64"/>
        <v/>
      </c>
      <c r="AN197" s="25" t="e">
        <f t="shared" ca="1" si="74"/>
        <v>#VALUE!</v>
      </c>
      <c r="AO197" s="25" t="e">
        <f t="shared" ca="1" si="75"/>
        <v>#VALUE!</v>
      </c>
      <c r="AP197" s="39" t="str">
        <f t="shared" ca="1" si="65"/>
        <v/>
      </c>
      <c r="AQ197" s="46" t="str">
        <f ca="1">IF(AND(C197&lt;&gt;0, C198=0), SUM($C$2:C197)-SUM($AQ$1:AQ196), "")</f>
        <v/>
      </c>
      <c r="AR197" s="46" t="str">
        <f ca="1">IF(AND(AK197&lt;&gt;0, AK198=0), SUM($AK$2:AK197)-SUM($AR$1:AR196), "")</f>
        <v/>
      </c>
    </row>
    <row r="198" spans="1:44" ht="13.15" customHeight="1">
      <c r="A198" s="31"/>
      <c r="B198" s="68" t="str">
        <f t="shared" si="60"/>
        <v/>
      </c>
      <c r="C198" s="55" cm="1">
        <f t="array" aca="1" ref="C198" ca="1">SUM(IF(ISNUMBER(M198:U198),M198:U198,""))</f>
        <v>0</v>
      </c>
      <c r="D198" s="25" t="str">
        <f t="shared" si="61"/>
        <v/>
      </c>
      <c r="E198" s="25" t="e">
        <f t="shared" si="66"/>
        <v>#VALUE!</v>
      </c>
      <c r="F198" s="25" t="str">
        <f t="shared" si="62"/>
        <v/>
      </c>
      <c r="G198" s="25" t="str">
        <f t="shared" si="63"/>
        <v>.xlsx</v>
      </c>
      <c r="H198" s="29" t="e" cm="1">
        <f t="array" aca="1" ref="H198" ca="1">IF(AND(VALUE(E198)=INDIRECT("'["&amp;G198&amp;"]"&amp;E198&amp;"'!"&amp;$X$2),G198=INDIRECT("'["&amp;G198&amp;"]"&amp;E198&amp;"'!"&amp;$X$3)),INDIRECT("'["&amp;G198&amp;"]"&amp;E198&amp;"'!"&amp;$X$1),0)</f>
        <v>#VALUE!</v>
      </c>
      <c r="I198" s="25" t="str">
        <f t="shared" si="67"/>
        <v/>
      </c>
      <c r="J198" s="32" t="str">
        <f t="shared" si="68"/>
        <v/>
      </c>
      <c r="K198" s="25" t="str">
        <f t="shared" si="69"/>
        <v/>
      </c>
      <c r="L198" s="25" t="str">
        <f t="shared" si="70"/>
        <v/>
      </c>
      <c r="M198" s="33" t="e" cm="1">
        <f t="array" aca="1" ref="M198" ca="1">IF(AND(J198=INDIRECT("'["&amp;G198&amp;"]"&amp;E198&amp;"'!"&amp;$Y$2),G198=INDIRECT("'["&amp;G198&amp;"]"&amp;E198&amp;"'!"&amp;$AH$2)),INDIRECT("'["&amp;G198&amp;"]"&amp;E198&amp;"'!"&amp;$Y$3),0)</f>
        <v>#VALUE!</v>
      </c>
      <c r="N198" s="34" t="e" cm="1">
        <f t="array" aca="1" ref="N198" ca="1">IF(AND(G198=INDIRECT("'["&amp;G198&amp;"]"&amp;E198&amp;"'!"&amp;$AH$2),OR(K198=INDIRECT("'["&amp;G198&amp;"]"&amp;E198&amp;"'!"&amp;$Z$2))),INDIRECT("'["&amp;G198&amp;"]"&amp;E198&amp;"'!"&amp;$Z$3),0)</f>
        <v>#VALUE!</v>
      </c>
      <c r="O198" s="34" t="e" cm="1">
        <f t="array" aca="1" ref="O198" ca="1">IF(AND(G198=INDIRECT("'["&amp;G198&amp;"]"&amp;E198&amp;"'!"&amp;$AH$2),OR(L198=INDIRECT("'["&amp;G198&amp;"]"&amp;E198&amp;"'!"&amp;$AA$2))),INDIRECT("'["&amp;G198&amp;"]"&amp;E198&amp;"'!"&amp;$AA$3),0)</f>
        <v>#VALUE!</v>
      </c>
      <c r="P198" s="34" t="e" cm="1">
        <f t="array" aca="1" ref="P198" ca="1">IF(AND(G198=INDIRECT("'["&amp;G198&amp;"]"&amp;E198&amp;"'!"&amp;$AH$2),OR(VALUE(I198)=INDIRECT("'["&amp;G198&amp;"]"&amp;E198&amp;"'!"&amp;$AB$2))),INDIRECT("'["&amp;G198&amp;"]"&amp;E198&amp;"'!"&amp;$AB$3),0)</f>
        <v>#VALUE!</v>
      </c>
      <c r="Q198" s="34" t="e" cm="1">
        <f t="array" aca="1" ref="Q198" ca="1">IF(AND(G198=INDIRECT("'["&amp;G198&amp;"]"&amp;E198&amp;"'!"&amp;$AH$2),OR(VALUE(I198)=INDIRECT("'["&amp;G198&amp;"]"&amp;E198&amp;"'!"&amp;$AC$2))),INDIRECT("'["&amp;G198&amp;"]"&amp;E198&amp;"'!"&amp;$AC$3),0)</f>
        <v>#VALUE!</v>
      </c>
      <c r="R198" s="34" t="e" cm="1">
        <f t="array" aca="1" ref="R198" ca="1">IF(AND(G198=INDIRECT("'["&amp;G198&amp;"]"&amp;E198&amp;"'!"&amp;$AH$2),OR(I198=INDIRECT("'["&amp;G198&amp;"]"&amp;E198&amp;"'!"&amp;$AD$2))),INDIRECT("'["&amp;G198&amp;"]"&amp;E198&amp;"'!"&amp;$AD$3),0)</f>
        <v>#VALUE!</v>
      </c>
      <c r="S198" s="34" t="e" cm="1">
        <f t="array" aca="1" ref="S198" ca="1">IF(AND(G198=INDIRECT("'["&amp;G198&amp;"]"&amp;E198&amp;"'!"&amp;$AH$2),OR(I198=INDIRECT("'["&amp;G198&amp;"]"&amp;E198&amp;"'!"&amp;$AE$2))),INDIRECT("'["&amp;G198&amp;"]"&amp;E198&amp;"'!"&amp;$AE$3),0)</f>
        <v>#VALUE!</v>
      </c>
      <c r="T198" s="35" t="e" cm="1">
        <f t="array" aca="1" ref="T198" ca="1">IF(AND(G198=INDIRECT("'["&amp;G198&amp;"]"&amp;E198&amp;"'!"&amp;$AH$2),OR(I198=INDIRECT("'["&amp;G198&amp;"]"&amp;E198&amp;"'!"&amp;$AF$2))),INDIRECT("'["&amp;G198&amp;"]"&amp;E198&amp;"'!"&amp;$AF$3),0)</f>
        <v>#VALUE!</v>
      </c>
      <c r="U198" s="34" t="e" cm="1">
        <f t="array" aca="1" ref="U198" ca="1">IF(AND(G198=INDIRECT("'["&amp;G198&amp;"]"&amp;E198&amp;"'!"&amp;$AH$2),OR(I198=INDIRECT("'["&amp;G198&amp;"]"&amp;E198&amp;"'!"&amp;$AG$2))),INDIRECT("'["&amp;G198&amp;"]"&amp;E198&amp;"'!"&amp;$AG$3),0)</f>
        <v>#VALUE!</v>
      </c>
      <c r="V198" s="25" t="str">
        <f t="shared" si="71"/>
        <v/>
      </c>
      <c r="W198" s="36" t="e" cm="1">
        <f t="array" aca="1" ref="W198" ca="1">IF(AND(G198=INDIRECT("'["&amp;G198&amp;"]"&amp;E198&amp;"'!"&amp;$AH$2),OR(V198=INDIRECT("'["&amp;G198&amp;"]"&amp;E198&amp;"'!"&amp;$AI$2))),INDIRECT("'["&amp;G198&amp;"]"&amp;E198&amp;"'!"&amp;$AI$3),0)</f>
        <v>#VALUE!</v>
      </c>
      <c r="AJ198" s="25">
        <v>1</v>
      </c>
      <c r="AK198" s="38">
        <f t="shared" ca="1" si="72"/>
        <v>0</v>
      </c>
      <c r="AL198" s="38">
        <f t="shared" ca="1" si="73"/>
        <v>0</v>
      </c>
      <c r="AM198" s="54" t="str">
        <f t="shared" ca="1" si="64"/>
        <v/>
      </c>
      <c r="AN198" s="25" t="e">
        <f t="shared" ca="1" si="74"/>
        <v>#VALUE!</v>
      </c>
      <c r="AO198" s="25" t="e">
        <f t="shared" ca="1" si="75"/>
        <v>#VALUE!</v>
      </c>
      <c r="AP198" s="39" t="str">
        <f t="shared" ca="1" si="65"/>
        <v/>
      </c>
      <c r="AQ198" s="46" t="str">
        <f ca="1">IF(AND(C198&lt;&gt;0, C199=0), SUM($C$2:C198)-SUM($AQ$1:AQ197), "")</f>
        <v/>
      </c>
      <c r="AR198" s="46" t="str">
        <f ca="1">IF(AND(AK198&lt;&gt;0, AK199=0), SUM($AK$2:AK198)-SUM($AR$1:AR197), "")</f>
        <v/>
      </c>
    </row>
    <row r="199" spans="1:44" ht="13.15" customHeight="1">
      <c r="A199" s="31"/>
      <c r="B199" s="68" t="str">
        <f t="shared" si="60"/>
        <v/>
      </c>
      <c r="C199" s="55" cm="1">
        <f t="array" aca="1" ref="C199" ca="1">SUM(IF(ISNUMBER(M199:U199),M199:U199,""))</f>
        <v>0</v>
      </c>
      <c r="D199" s="25" t="str">
        <f t="shared" si="61"/>
        <v/>
      </c>
      <c r="E199" s="25" t="e">
        <f t="shared" si="66"/>
        <v>#VALUE!</v>
      </c>
      <c r="F199" s="25" t="str">
        <f t="shared" si="62"/>
        <v/>
      </c>
      <c r="G199" s="25" t="str">
        <f t="shared" si="63"/>
        <v>.xlsx</v>
      </c>
      <c r="H199" s="29" t="e" cm="1">
        <f t="array" aca="1" ref="H199" ca="1">IF(AND(VALUE(E199)=INDIRECT("'["&amp;G199&amp;"]"&amp;E199&amp;"'!"&amp;$X$2),G199=INDIRECT("'["&amp;G199&amp;"]"&amp;E199&amp;"'!"&amp;$X$3)),INDIRECT("'["&amp;G199&amp;"]"&amp;E199&amp;"'!"&amp;$X$1),0)</f>
        <v>#VALUE!</v>
      </c>
      <c r="I199" s="25" t="str">
        <f t="shared" si="67"/>
        <v/>
      </c>
      <c r="J199" s="32" t="str">
        <f t="shared" si="68"/>
        <v/>
      </c>
      <c r="K199" s="25" t="str">
        <f t="shared" si="69"/>
        <v/>
      </c>
      <c r="L199" s="25" t="str">
        <f t="shared" si="70"/>
        <v/>
      </c>
      <c r="M199" s="33" t="e" cm="1">
        <f t="array" aca="1" ref="M199" ca="1">IF(AND(J199=INDIRECT("'["&amp;G199&amp;"]"&amp;E199&amp;"'!"&amp;$Y$2),G199=INDIRECT("'["&amp;G199&amp;"]"&amp;E199&amp;"'!"&amp;$AH$2)),INDIRECT("'["&amp;G199&amp;"]"&amp;E199&amp;"'!"&amp;$Y$3),0)</f>
        <v>#VALUE!</v>
      </c>
      <c r="N199" s="34" t="e" cm="1">
        <f t="array" aca="1" ref="N199" ca="1">IF(AND(G199=INDIRECT("'["&amp;G199&amp;"]"&amp;E199&amp;"'!"&amp;$AH$2),OR(K199=INDIRECT("'["&amp;G199&amp;"]"&amp;E199&amp;"'!"&amp;$Z$2))),INDIRECT("'["&amp;G199&amp;"]"&amp;E199&amp;"'!"&amp;$Z$3),0)</f>
        <v>#VALUE!</v>
      </c>
      <c r="O199" s="34" t="e" cm="1">
        <f t="array" aca="1" ref="O199" ca="1">IF(AND(G199=INDIRECT("'["&amp;G199&amp;"]"&amp;E199&amp;"'!"&amp;$AH$2),OR(L199=INDIRECT("'["&amp;G199&amp;"]"&amp;E199&amp;"'!"&amp;$AA$2))),INDIRECT("'["&amp;G199&amp;"]"&amp;E199&amp;"'!"&amp;$AA$3),0)</f>
        <v>#VALUE!</v>
      </c>
      <c r="P199" s="34" t="e" cm="1">
        <f t="array" aca="1" ref="P199" ca="1">IF(AND(G199=INDIRECT("'["&amp;G199&amp;"]"&amp;E199&amp;"'!"&amp;$AH$2),OR(VALUE(I199)=INDIRECT("'["&amp;G199&amp;"]"&amp;E199&amp;"'!"&amp;$AB$2))),INDIRECT("'["&amp;G199&amp;"]"&amp;E199&amp;"'!"&amp;$AB$3),0)</f>
        <v>#VALUE!</v>
      </c>
      <c r="Q199" s="34" t="e" cm="1">
        <f t="array" aca="1" ref="Q199" ca="1">IF(AND(G199=INDIRECT("'["&amp;G199&amp;"]"&amp;E199&amp;"'!"&amp;$AH$2),OR(VALUE(I199)=INDIRECT("'["&amp;G199&amp;"]"&amp;E199&amp;"'!"&amp;$AC$2))),INDIRECT("'["&amp;G199&amp;"]"&amp;E199&amp;"'!"&amp;$AC$3),0)</f>
        <v>#VALUE!</v>
      </c>
      <c r="R199" s="34" t="e" cm="1">
        <f t="array" aca="1" ref="R199" ca="1">IF(AND(G199=INDIRECT("'["&amp;G199&amp;"]"&amp;E199&amp;"'!"&amp;$AH$2),OR(I199=INDIRECT("'["&amp;G199&amp;"]"&amp;E199&amp;"'!"&amp;$AD$2))),INDIRECT("'["&amp;G199&amp;"]"&amp;E199&amp;"'!"&amp;$AD$3),0)</f>
        <v>#VALUE!</v>
      </c>
      <c r="S199" s="34" t="e" cm="1">
        <f t="array" aca="1" ref="S199" ca="1">IF(AND(G199=INDIRECT("'["&amp;G199&amp;"]"&amp;E199&amp;"'!"&amp;$AH$2),OR(I199=INDIRECT("'["&amp;G199&amp;"]"&amp;E199&amp;"'!"&amp;$AE$2))),INDIRECT("'["&amp;G199&amp;"]"&amp;E199&amp;"'!"&amp;$AE$3),0)</f>
        <v>#VALUE!</v>
      </c>
      <c r="T199" s="35" t="e" cm="1">
        <f t="array" aca="1" ref="T199" ca="1">IF(AND(G199=INDIRECT("'["&amp;G199&amp;"]"&amp;E199&amp;"'!"&amp;$AH$2),OR(I199=INDIRECT("'["&amp;G199&amp;"]"&amp;E199&amp;"'!"&amp;$AF$2))),INDIRECT("'["&amp;G199&amp;"]"&amp;E199&amp;"'!"&amp;$AF$3),0)</f>
        <v>#VALUE!</v>
      </c>
      <c r="U199" s="34" t="e" cm="1">
        <f t="array" aca="1" ref="U199" ca="1">IF(AND(G199=INDIRECT("'["&amp;G199&amp;"]"&amp;E199&amp;"'!"&amp;$AH$2),OR(I199=INDIRECT("'["&amp;G199&amp;"]"&amp;E199&amp;"'!"&amp;$AG$2))),INDIRECT("'["&amp;G199&amp;"]"&amp;E199&amp;"'!"&amp;$AG$3),0)</f>
        <v>#VALUE!</v>
      </c>
      <c r="V199" s="25" t="str">
        <f t="shared" si="71"/>
        <v/>
      </c>
      <c r="W199" s="36" t="e" cm="1">
        <f t="array" aca="1" ref="W199" ca="1">IF(AND(G199=INDIRECT("'["&amp;G199&amp;"]"&amp;E199&amp;"'!"&amp;$AH$2),OR(V199=INDIRECT("'["&amp;G199&amp;"]"&amp;E199&amp;"'!"&amp;$AI$2))),INDIRECT("'["&amp;G199&amp;"]"&amp;E199&amp;"'!"&amp;$AI$3),0)</f>
        <v>#VALUE!</v>
      </c>
      <c r="AJ199" s="25">
        <v>1</v>
      </c>
      <c r="AK199" s="38">
        <f t="shared" ca="1" si="72"/>
        <v>0</v>
      </c>
      <c r="AL199" s="38">
        <f t="shared" ca="1" si="73"/>
        <v>0</v>
      </c>
      <c r="AM199" s="54" t="str">
        <f t="shared" ca="1" si="64"/>
        <v/>
      </c>
      <c r="AN199" s="25" t="e">
        <f t="shared" ca="1" si="74"/>
        <v>#VALUE!</v>
      </c>
      <c r="AO199" s="25" t="e">
        <f t="shared" ca="1" si="75"/>
        <v>#VALUE!</v>
      </c>
      <c r="AP199" s="39" t="str">
        <f t="shared" ca="1" si="65"/>
        <v/>
      </c>
      <c r="AQ199" s="46" t="str">
        <f ca="1">IF(AND(C199&lt;&gt;0, C200=0), SUM($C$2:C199)-SUM($AQ$1:AQ198), "")</f>
        <v/>
      </c>
      <c r="AR199" s="46" t="str">
        <f ca="1">IF(AND(AK199&lt;&gt;0, AK200=0), SUM($AK$2:AK199)-SUM($AR$1:AR198), "")</f>
        <v/>
      </c>
    </row>
    <row r="200" spans="1:44" ht="13.15" customHeight="1">
      <c r="A200" s="31"/>
      <c r="B200" s="68" t="str">
        <f t="shared" si="60"/>
        <v/>
      </c>
      <c r="C200" s="55" cm="1">
        <f t="array" aca="1" ref="C200" ca="1">SUM(IF(ISNUMBER(M200:U200),M200:U200,""))</f>
        <v>0</v>
      </c>
      <c r="D200" s="25" t="str">
        <f t="shared" si="61"/>
        <v/>
      </c>
      <c r="E200" s="25" t="e">
        <f t="shared" si="66"/>
        <v>#VALUE!</v>
      </c>
      <c r="F200" s="25" t="str">
        <f t="shared" si="62"/>
        <v/>
      </c>
      <c r="G200" s="25" t="str">
        <f t="shared" si="63"/>
        <v>.xlsx</v>
      </c>
      <c r="H200" s="29" t="e" cm="1">
        <f t="array" aca="1" ref="H200" ca="1">IF(AND(VALUE(E200)=INDIRECT("'["&amp;G200&amp;"]"&amp;E200&amp;"'!"&amp;$X$2),G200=INDIRECT("'["&amp;G200&amp;"]"&amp;E200&amp;"'!"&amp;$X$3)),INDIRECT("'["&amp;G200&amp;"]"&amp;E200&amp;"'!"&amp;$X$1),0)</f>
        <v>#VALUE!</v>
      </c>
      <c r="I200" s="25" t="str">
        <f t="shared" si="67"/>
        <v/>
      </c>
      <c r="J200" s="32" t="str">
        <f t="shared" si="68"/>
        <v/>
      </c>
      <c r="K200" s="25" t="str">
        <f t="shared" si="69"/>
        <v/>
      </c>
      <c r="L200" s="25" t="str">
        <f t="shared" si="70"/>
        <v/>
      </c>
      <c r="M200" s="33" t="e" cm="1">
        <f t="array" aca="1" ref="M200" ca="1">IF(AND(J200=INDIRECT("'["&amp;G200&amp;"]"&amp;E200&amp;"'!"&amp;$Y$2),G200=INDIRECT("'["&amp;G200&amp;"]"&amp;E200&amp;"'!"&amp;$AH$2)),INDIRECT("'["&amp;G200&amp;"]"&amp;E200&amp;"'!"&amp;$Y$3),0)</f>
        <v>#VALUE!</v>
      </c>
      <c r="N200" s="34" t="e" cm="1">
        <f t="array" aca="1" ref="N200" ca="1">IF(AND(G200=INDIRECT("'["&amp;G200&amp;"]"&amp;E200&amp;"'!"&amp;$AH$2),OR(K200=INDIRECT("'["&amp;G200&amp;"]"&amp;E200&amp;"'!"&amp;$Z$2))),INDIRECT("'["&amp;G200&amp;"]"&amp;E200&amp;"'!"&amp;$Z$3),0)</f>
        <v>#VALUE!</v>
      </c>
      <c r="O200" s="34" t="e" cm="1">
        <f t="array" aca="1" ref="O200" ca="1">IF(AND(G200=INDIRECT("'["&amp;G200&amp;"]"&amp;E200&amp;"'!"&amp;$AH$2),OR(L200=INDIRECT("'["&amp;G200&amp;"]"&amp;E200&amp;"'!"&amp;$AA$2))),INDIRECT("'["&amp;G200&amp;"]"&amp;E200&amp;"'!"&amp;$AA$3),0)</f>
        <v>#VALUE!</v>
      </c>
      <c r="P200" s="34" t="e" cm="1">
        <f t="array" aca="1" ref="P200" ca="1">IF(AND(G200=INDIRECT("'["&amp;G200&amp;"]"&amp;E200&amp;"'!"&amp;$AH$2),OR(VALUE(I200)=INDIRECT("'["&amp;G200&amp;"]"&amp;E200&amp;"'!"&amp;$AB$2))),INDIRECT("'["&amp;G200&amp;"]"&amp;E200&amp;"'!"&amp;$AB$3),0)</f>
        <v>#VALUE!</v>
      </c>
      <c r="Q200" s="34" t="e" cm="1">
        <f t="array" aca="1" ref="Q200" ca="1">IF(AND(G200=INDIRECT("'["&amp;G200&amp;"]"&amp;E200&amp;"'!"&amp;$AH$2),OR(VALUE(I200)=INDIRECT("'["&amp;G200&amp;"]"&amp;E200&amp;"'!"&amp;$AC$2))),INDIRECT("'["&amp;G200&amp;"]"&amp;E200&amp;"'!"&amp;$AC$3),0)</f>
        <v>#VALUE!</v>
      </c>
      <c r="R200" s="34" t="e" cm="1">
        <f t="array" aca="1" ref="R200" ca="1">IF(AND(G200=INDIRECT("'["&amp;G200&amp;"]"&amp;E200&amp;"'!"&amp;$AH$2),OR(I200=INDIRECT("'["&amp;G200&amp;"]"&amp;E200&amp;"'!"&amp;$AD$2))),INDIRECT("'["&amp;G200&amp;"]"&amp;E200&amp;"'!"&amp;$AD$3),0)</f>
        <v>#VALUE!</v>
      </c>
      <c r="S200" s="34" t="e" cm="1">
        <f t="array" aca="1" ref="S200" ca="1">IF(AND(G200=INDIRECT("'["&amp;G200&amp;"]"&amp;E200&amp;"'!"&amp;$AH$2),OR(I200=INDIRECT("'["&amp;G200&amp;"]"&amp;E200&amp;"'!"&amp;$AE$2))),INDIRECT("'["&amp;G200&amp;"]"&amp;E200&amp;"'!"&amp;$AE$3),0)</f>
        <v>#VALUE!</v>
      </c>
      <c r="T200" s="35" t="e" cm="1">
        <f t="array" aca="1" ref="T200" ca="1">IF(AND(G200=INDIRECT("'["&amp;G200&amp;"]"&amp;E200&amp;"'!"&amp;$AH$2),OR(I200=INDIRECT("'["&amp;G200&amp;"]"&amp;E200&amp;"'!"&amp;$AF$2))),INDIRECT("'["&amp;G200&amp;"]"&amp;E200&amp;"'!"&amp;$AF$3),0)</f>
        <v>#VALUE!</v>
      </c>
      <c r="U200" s="34" t="e" cm="1">
        <f t="array" aca="1" ref="U200" ca="1">IF(AND(G200=INDIRECT("'["&amp;G200&amp;"]"&amp;E200&amp;"'!"&amp;$AH$2),OR(I200=INDIRECT("'["&amp;G200&amp;"]"&amp;E200&amp;"'!"&amp;$AG$2))),INDIRECT("'["&amp;G200&amp;"]"&amp;E200&amp;"'!"&amp;$AG$3),0)</f>
        <v>#VALUE!</v>
      </c>
      <c r="V200" s="25" t="str">
        <f t="shared" si="71"/>
        <v/>
      </c>
      <c r="W200" s="36" t="e" cm="1">
        <f t="array" aca="1" ref="W200" ca="1">IF(AND(G200=INDIRECT("'["&amp;G200&amp;"]"&amp;E200&amp;"'!"&amp;$AH$2),OR(V200=INDIRECT("'["&amp;G200&amp;"]"&amp;E200&amp;"'!"&amp;$AI$2))),INDIRECT("'["&amp;G200&amp;"]"&amp;E200&amp;"'!"&amp;$AI$3),0)</f>
        <v>#VALUE!</v>
      </c>
      <c r="AJ200" s="25">
        <v>1</v>
      </c>
      <c r="AK200" s="38">
        <f t="shared" ca="1" si="72"/>
        <v>0</v>
      </c>
      <c r="AL200" s="38">
        <f t="shared" ca="1" si="73"/>
        <v>0</v>
      </c>
      <c r="AM200" s="54" t="str">
        <f t="shared" ca="1" si="64"/>
        <v/>
      </c>
      <c r="AN200" s="25" t="e">
        <f t="shared" ca="1" si="74"/>
        <v>#VALUE!</v>
      </c>
      <c r="AO200" s="25" t="e">
        <f t="shared" ca="1" si="75"/>
        <v>#VALUE!</v>
      </c>
      <c r="AP200" s="39" t="str">
        <f t="shared" ca="1" si="65"/>
        <v/>
      </c>
      <c r="AQ200" s="46" t="str">
        <f ca="1">IF(AND(C200&lt;&gt;0, C201=0), SUM($C$2:C200)-SUM($AQ$1:AQ199), "")</f>
        <v/>
      </c>
      <c r="AR200" s="46" t="str">
        <f ca="1">IF(AND(AK200&lt;&gt;0, AK201=0), SUM($AK$2:AK200)-SUM($AR$1:AR199), "")</f>
        <v/>
      </c>
    </row>
    <row r="201" spans="1:44" ht="13.15" customHeight="1">
      <c r="A201" s="31"/>
      <c r="B201" s="68" t="str">
        <f t="shared" si="60"/>
        <v/>
      </c>
      <c r="C201" s="55" cm="1">
        <f t="array" aca="1" ref="C201" ca="1">SUM(IF(ISNUMBER(M201:U201),M201:U201,""))</f>
        <v>0</v>
      </c>
      <c r="D201" s="25" t="str">
        <f t="shared" si="61"/>
        <v/>
      </c>
      <c r="E201" s="25" t="e">
        <f t="shared" si="66"/>
        <v>#VALUE!</v>
      </c>
      <c r="F201" s="25" t="str">
        <f t="shared" si="62"/>
        <v/>
      </c>
      <c r="G201" s="25" t="str">
        <f t="shared" si="63"/>
        <v>.xlsx</v>
      </c>
      <c r="H201" s="29" t="e" cm="1">
        <f t="array" aca="1" ref="H201" ca="1">IF(AND(VALUE(E201)=INDIRECT("'["&amp;G201&amp;"]"&amp;E201&amp;"'!"&amp;$X$2),G201=INDIRECT("'["&amp;G201&amp;"]"&amp;E201&amp;"'!"&amp;$X$3)),INDIRECT("'["&amp;G201&amp;"]"&amp;E201&amp;"'!"&amp;$X$1),0)</f>
        <v>#VALUE!</v>
      </c>
      <c r="I201" s="25" t="str">
        <f t="shared" si="67"/>
        <v/>
      </c>
      <c r="J201" s="32" t="str">
        <f t="shared" si="68"/>
        <v/>
      </c>
      <c r="K201" s="25" t="str">
        <f t="shared" si="69"/>
        <v/>
      </c>
      <c r="L201" s="25" t="str">
        <f t="shared" si="70"/>
        <v/>
      </c>
      <c r="M201" s="33" t="e" cm="1">
        <f t="array" aca="1" ref="M201" ca="1">IF(AND(J201=INDIRECT("'["&amp;G201&amp;"]"&amp;E201&amp;"'!"&amp;$Y$2),G201=INDIRECT("'["&amp;G201&amp;"]"&amp;E201&amp;"'!"&amp;$AH$2)),INDIRECT("'["&amp;G201&amp;"]"&amp;E201&amp;"'!"&amp;$Y$3),0)</f>
        <v>#VALUE!</v>
      </c>
      <c r="N201" s="34" t="e" cm="1">
        <f t="array" aca="1" ref="N201" ca="1">IF(AND(G201=INDIRECT("'["&amp;G201&amp;"]"&amp;E201&amp;"'!"&amp;$AH$2),OR(K201=INDIRECT("'["&amp;G201&amp;"]"&amp;E201&amp;"'!"&amp;$Z$2))),INDIRECT("'["&amp;G201&amp;"]"&amp;E201&amp;"'!"&amp;$Z$3),0)</f>
        <v>#VALUE!</v>
      </c>
      <c r="O201" s="34" t="e" cm="1">
        <f t="array" aca="1" ref="O201" ca="1">IF(AND(G201=INDIRECT("'["&amp;G201&amp;"]"&amp;E201&amp;"'!"&amp;$AH$2),OR(L201=INDIRECT("'["&amp;G201&amp;"]"&amp;E201&amp;"'!"&amp;$AA$2))),INDIRECT("'["&amp;G201&amp;"]"&amp;E201&amp;"'!"&amp;$AA$3),0)</f>
        <v>#VALUE!</v>
      </c>
      <c r="P201" s="34" t="e" cm="1">
        <f t="array" aca="1" ref="P201" ca="1">IF(AND(G201=INDIRECT("'["&amp;G201&amp;"]"&amp;E201&amp;"'!"&amp;$AH$2),OR(VALUE(I201)=INDIRECT("'["&amp;G201&amp;"]"&amp;E201&amp;"'!"&amp;$AB$2))),INDIRECT("'["&amp;G201&amp;"]"&amp;E201&amp;"'!"&amp;$AB$3),0)</f>
        <v>#VALUE!</v>
      </c>
      <c r="Q201" s="34" t="e" cm="1">
        <f t="array" aca="1" ref="Q201" ca="1">IF(AND(G201=INDIRECT("'["&amp;G201&amp;"]"&amp;E201&amp;"'!"&amp;$AH$2),OR(VALUE(I201)=INDIRECT("'["&amp;G201&amp;"]"&amp;E201&amp;"'!"&amp;$AC$2))),INDIRECT("'["&amp;G201&amp;"]"&amp;E201&amp;"'!"&amp;$AC$3),0)</f>
        <v>#VALUE!</v>
      </c>
      <c r="R201" s="34" t="e" cm="1">
        <f t="array" aca="1" ref="R201" ca="1">IF(AND(G201=INDIRECT("'["&amp;G201&amp;"]"&amp;E201&amp;"'!"&amp;$AH$2),OR(I201=INDIRECT("'["&amp;G201&amp;"]"&amp;E201&amp;"'!"&amp;$AD$2))),INDIRECT("'["&amp;G201&amp;"]"&amp;E201&amp;"'!"&amp;$AD$3),0)</f>
        <v>#VALUE!</v>
      </c>
      <c r="S201" s="34" t="e" cm="1">
        <f t="array" aca="1" ref="S201" ca="1">IF(AND(G201=INDIRECT("'["&amp;G201&amp;"]"&amp;E201&amp;"'!"&amp;$AH$2),OR(I201=INDIRECT("'["&amp;G201&amp;"]"&amp;E201&amp;"'!"&amp;$AE$2))),INDIRECT("'["&amp;G201&amp;"]"&amp;E201&amp;"'!"&amp;$AE$3),0)</f>
        <v>#VALUE!</v>
      </c>
      <c r="T201" s="35" t="e" cm="1">
        <f t="array" aca="1" ref="T201" ca="1">IF(AND(G201=INDIRECT("'["&amp;G201&amp;"]"&amp;E201&amp;"'!"&amp;$AH$2),OR(I201=INDIRECT("'["&amp;G201&amp;"]"&amp;E201&amp;"'!"&amp;$AF$2))),INDIRECT("'["&amp;G201&amp;"]"&amp;E201&amp;"'!"&amp;$AF$3),0)</f>
        <v>#VALUE!</v>
      </c>
      <c r="U201" s="34" t="e" cm="1">
        <f t="array" aca="1" ref="U201" ca="1">IF(AND(G201=INDIRECT("'["&amp;G201&amp;"]"&amp;E201&amp;"'!"&amp;$AH$2),OR(I201=INDIRECT("'["&amp;G201&amp;"]"&amp;E201&amp;"'!"&amp;$AG$2))),INDIRECT("'["&amp;G201&amp;"]"&amp;E201&amp;"'!"&amp;$AG$3),0)</f>
        <v>#VALUE!</v>
      </c>
      <c r="V201" s="25" t="str">
        <f t="shared" si="71"/>
        <v/>
      </c>
      <c r="W201" s="36" t="e" cm="1">
        <f t="array" aca="1" ref="W201" ca="1">IF(AND(G201=INDIRECT("'["&amp;G201&amp;"]"&amp;E201&amp;"'!"&amp;$AH$2),OR(V201=INDIRECT("'["&amp;G201&amp;"]"&amp;E201&amp;"'!"&amp;$AI$2))),INDIRECT("'["&amp;G201&amp;"]"&amp;E201&amp;"'!"&amp;$AI$3),0)</f>
        <v>#VALUE!</v>
      </c>
      <c r="AJ201" s="25">
        <v>1</v>
      </c>
      <c r="AK201" s="38">
        <f t="shared" ca="1" si="72"/>
        <v>0</v>
      </c>
      <c r="AL201" s="38">
        <f t="shared" ca="1" si="73"/>
        <v>0</v>
      </c>
      <c r="AM201" s="54" t="str">
        <f t="shared" ca="1" si="64"/>
        <v/>
      </c>
      <c r="AN201" s="25" t="e">
        <f t="shared" ca="1" si="74"/>
        <v>#VALUE!</v>
      </c>
      <c r="AO201" s="25" t="e">
        <f t="shared" ca="1" si="75"/>
        <v>#VALUE!</v>
      </c>
      <c r="AP201" s="39" t="str">
        <f t="shared" ca="1" si="65"/>
        <v/>
      </c>
      <c r="AQ201" s="46" t="str">
        <f ca="1">IF(AND(C201&lt;&gt;0, C202=0), SUM($C$2:C201)-SUM($AQ$1:AQ200), "")</f>
        <v/>
      </c>
      <c r="AR201" s="46" t="str">
        <f ca="1">IF(AND(AK201&lt;&gt;0, AK202=0), SUM($AK$2:AK201)-SUM($AR$1:AR200), "")</f>
        <v/>
      </c>
    </row>
    <row r="202" spans="1:44" ht="13.15" customHeight="1">
      <c r="A202" s="31"/>
      <c r="B202" s="68" t="str">
        <f t="shared" si="60"/>
        <v/>
      </c>
      <c r="C202" s="55" cm="1">
        <f t="array" aca="1" ref="C202" ca="1">SUM(IF(ISNUMBER(M202:U202),M202:U202,""))</f>
        <v>0</v>
      </c>
      <c r="D202" s="25" t="str">
        <f t="shared" si="61"/>
        <v/>
      </c>
      <c r="E202" s="25" t="e">
        <f t="shared" si="66"/>
        <v>#VALUE!</v>
      </c>
      <c r="F202" s="25" t="str">
        <f t="shared" si="62"/>
        <v/>
      </c>
      <c r="G202" s="25" t="str">
        <f t="shared" si="63"/>
        <v>.xlsx</v>
      </c>
      <c r="H202" s="29" t="e" cm="1">
        <f t="array" aca="1" ref="H202" ca="1">IF(AND(VALUE(E202)=INDIRECT("'["&amp;G202&amp;"]"&amp;E202&amp;"'!"&amp;$X$2),G202=INDIRECT("'["&amp;G202&amp;"]"&amp;E202&amp;"'!"&amp;$X$3)),INDIRECT("'["&amp;G202&amp;"]"&amp;E202&amp;"'!"&amp;$X$1),0)</f>
        <v>#VALUE!</v>
      </c>
      <c r="I202" s="25" t="str">
        <f t="shared" si="67"/>
        <v/>
      </c>
      <c r="J202" s="32" t="str">
        <f t="shared" si="68"/>
        <v/>
      </c>
      <c r="K202" s="25" t="str">
        <f t="shared" si="69"/>
        <v/>
      </c>
      <c r="L202" s="25" t="str">
        <f t="shared" si="70"/>
        <v/>
      </c>
      <c r="M202" s="33" t="e" cm="1">
        <f t="array" aca="1" ref="M202" ca="1">IF(AND(J202=INDIRECT("'["&amp;G202&amp;"]"&amp;E202&amp;"'!"&amp;$Y$2),G202=INDIRECT("'["&amp;G202&amp;"]"&amp;E202&amp;"'!"&amp;$AH$2)),INDIRECT("'["&amp;G202&amp;"]"&amp;E202&amp;"'!"&amp;$Y$3),0)</f>
        <v>#VALUE!</v>
      </c>
      <c r="N202" s="34" t="e" cm="1">
        <f t="array" aca="1" ref="N202" ca="1">IF(AND(G202=INDIRECT("'["&amp;G202&amp;"]"&amp;E202&amp;"'!"&amp;$AH$2),OR(K202=INDIRECT("'["&amp;G202&amp;"]"&amp;E202&amp;"'!"&amp;$Z$2))),INDIRECT("'["&amp;G202&amp;"]"&amp;E202&amp;"'!"&amp;$Z$3),0)</f>
        <v>#VALUE!</v>
      </c>
      <c r="O202" s="34" t="e" cm="1">
        <f t="array" aca="1" ref="O202" ca="1">IF(AND(G202=INDIRECT("'["&amp;G202&amp;"]"&amp;E202&amp;"'!"&amp;$AH$2),OR(L202=INDIRECT("'["&amp;G202&amp;"]"&amp;E202&amp;"'!"&amp;$AA$2))),INDIRECT("'["&amp;G202&amp;"]"&amp;E202&amp;"'!"&amp;$AA$3),0)</f>
        <v>#VALUE!</v>
      </c>
      <c r="P202" s="34" t="e" cm="1">
        <f t="array" aca="1" ref="P202" ca="1">IF(AND(G202=INDIRECT("'["&amp;G202&amp;"]"&amp;E202&amp;"'!"&amp;$AH$2),OR(VALUE(I202)=INDIRECT("'["&amp;G202&amp;"]"&amp;E202&amp;"'!"&amp;$AB$2))),INDIRECT("'["&amp;G202&amp;"]"&amp;E202&amp;"'!"&amp;$AB$3),0)</f>
        <v>#VALUE!</v>
      </c>
      <c r="Q202" s="34" t="e" cm="1">
        <f t="array" aca="1" ref="Q202" ca="1">IF(AND(G202=INDIRECT("'["&amp;G202&amp;"]"&amp;E202&amp;"'!"&amp;$AH$2),OR(VALUE(I202)=INDIRECT("'["&amp;G202&amp;"]"&amp;E202&amp;"'!"&amp;$AC$2))),INDIRECT("'["&amp;G202&amp;"]"&amp;E202&amp;"'!"&amp;$AC$3),0)</f>
        <v>#VALUE!</v>
      </c>
      <c r="R202" s="34" t="e" cm="1">
        <f t="array" aca="1" ref="R202" ca="1">IF(AND(G202=INDIRECT("'["&amp;G202&amp;"]"&amp;E202&amp;"'!"&amp;$AH$2),OR(I202=INDIRECT("'["&amp;G202&amp;"]"&amp;E202&amp;"'!"&amp;$AD$2))),INDIRECT("'["&amp;G202&amp;"]"&amp;E202&amp;"'!"&amp;$AD$3),0)</f>
        <v>#VALUE!</v>
      </c>
      <c r="S202" s="34" t="e" cm="1">
        <f t="array" aca="1" ref="S202" ca="1">IF(AND(G202=INDIRECT("'["&amp;G202&amp;"]"&amp;E202&amp;"'!"&amp;$AH$2),OR(I202=INDIRECT("'["&amp;G202&amp;"]"&amp;E202&amp;"'!"&amp;$AE$2))),INDIRECT("'["&amp;G202&amp;"]"&amp;E202&amp;"'!"&amp;$AE$3),0)</f>
        <v>#VALUE!</v>
      </c>
      <c r="T202" s="35" t="e" cm="1">
        <f t="array" aca="1" ref="T202" ca="1">IF(AND(G202=INDIRECT("'["&amp;G202&amp;"]"&amp;E202&amp;"'!"&amp;$AH$2),OR(I202=INDIRECT("'["&amp;G202&amp;"]"&amp;E202&amp;"'!"&amp;$AF$2))),INDIRECT("'["&amp;G202&amp;"]"&amp;E202&amp;"'!"&amp;$AF$3),0)</f>
        <v>#VALUE!</v>
      </c>
      <c r="U202" s="34" t="e" cm="1">
        <f t="array" aca="1" ref="U202" ca="1">IF(AND(G202=INDIRECT("'["&amp;G202&amp;"]"&amp;E202&amp;"'!"&amp;$AH$2),OR(I202=INDIRECT("'["&amp;G202&amp;"]"&amp;E202&amp;"'!"&amp;$AG$2))),INDIRECT("'["&amp;G202&amp;"]"&amp;E202&amp;"'!"&amp;$AG$3),0)</f>
        <v>#VALUE!</v>
      </c>
      <c r="V202" s="25" t="str">
        <f t="shared" si="71"/>
        <v/>
      </c>
      <c r="W202" s="36" t="e" cm="1">
        <f t="array" aca="1" ref="W202" ca="1">IF(AND(G202=INDIRECT("'["&amp;G202&amp;"]"&amp;E202&amp;"'!"&amp;$AH$2),OR(V202=INDIRECT("'["&amp;G202&amp;"]"&amp;E202&amp;"'!"&amp;$AI$2))),INDIRECT("'["&amp;G202&amp;"]"&amp;E202&amp;"'!"&amp;$AI$3),0)</f>
        <v>#VALUE!</v>
      </c>
      <c r="AJ202" s="25">
        <v>1</v>
      </c>
      <c r="AK202" s="38">
        <f t="shared" ca="1" si="72"/>
        <v>0</v>
      </c>
      <c r="AL202" s="38">
        <f t="shared" ca="1" si="73"/>
        <v>0</v>
      </c>
      <c r="AM202" s="54" t="str">
        <f t="shared" ca="1" si="64"/>
        <v/>
      </c>
      <c r="AN202" s="25" t="e">
        <f t="shared" ca="1" si="74"/>
        <v>#VALUE!</v>
      </c>
      <c r="AO202" s="25" t="e">
        <f t="shared" ca="1" si="75"/>
        <v>#VALUE!</v>
      </c>
      <c r="AP202" s="39" t="str">
        <f t="shared" ca="1" si="65"/>
        <v/>
      </c>
      <c r="AQ202" s="46" t="str">
        <f ca="1">IF(AND(C202&lt;&gt;0, C203=0), SUM($C$2:C202)-SUM($AQ$1:AQ201), "")</f>
        <v/>
      </c>
      <c r="AR202" s="46" t="str">
        <f ca="1">IF(AND(AK202&lt;&gt;0, AK203=0), SUM($AK$2:AK202)-SUM($AR$1:AR201), "")</f>
        <v/>
      </c>
    </row>
    <row r="203" spans="1:44" ht="13.15" customHeight="1">
      <c r="A203" s="31"/>
      <c r="B203" s="68" t="str">
        <f t="shared" si="60"/>
        <v/>
      </c>
      <c r="C203" s="55" cm="1">
        <f t="array" aca="1" ref="C203" ca="1">SUM(IF(ISNUMBER(M203:U203),M203:U203,""))</f>
        <v>0</v>
      </c>
      <c r="D203" s="25" t="str">
        <f t="shared" si="61"/>
        <v/>
      </c>
      <c r="E203" s="25" t="e">
        <f t="shared" si="66"/>
        <v>#VALUE!</v>
      </c>
      <c r="F203" s="25" t="str">
        <f t="shared" si="62"/>
        <v/>
      </c>
      <c r="G203" s="25" t="str">
        <f t="shared" si="63"/>
        <v>.xlsx</v>
      </c>
      <c r="H203" s="29" t="e" cm="1">
        <f t="array" aca="1" ref="H203" ca="1">IF(AND(VALUE(E203)=INDIRECT("'["&amp;G203&amp;"]"&amp;E203&amp;"'!"&amp;$X$2),G203=INDIRECT("'["&amp;G203&amp;"]"&amp;E203&amp;"'!"&amp;$X$3)),INDIRECT("'["&amp;G203&amp;"]"&amp;E203&amp;"'!"&amp;$X$1),0)</f>
        <v>#VALUE!</v>
      </c>
      <c r="I203" s="25" t="str">
        <f t="shared" si="67"/>
        <v/>
      </c>
      <c r="J203" s="32" t="str">
        <f t="shared" si="68"/>
        <v/>
      </c>
      <c r="K203" s="25" t="str">
        <f t="shared" si="69"/>
        <v/>
      </c>
      <c r="L203" s="25" t="str">
        <f t="shared" si="70"/>
        <v/>
      </c>
      <c r="M203" s="33" t="e" cm="1">
        <f t="array" aca="1" ref="M203" ca="1">IF(AND(J203=INDIRECT("'["&amp;G203&amp;"]"&amp;E203&amp;"'!"&amp;$Y$2),G203=INDIRECT("'["&amp;G203&amp;"]"&amp;E203&amp;"'!"&amp;$AH$2)),INDIRECT("'["&amp;G203&amp;"]"&amp;E203&amp;"'!"&amp;$Y$3),0)</f>
        <v>#VALUE!</v>
      </c>
      <c r="N203" s="34" t="e" cm="1">
        <f t="array" aca="1" ref="N203" ca="1">IF(AND(G203=INDIRECT("'["&amp;G203&amp;"]"&amp;E203&amp;"'!"&amp;$AH$2),OR(K203=INDIRECT("'["&amp;G203&amp;"]"&amp;E203&amp;"'!"&amp;$Z$2))),INDIRECT("'["&amp;G203&amp;"]"&amp;E203&amp;"'!"&amp;$Z$3),0)</f>
        <v>#VALUE!</v>
      </c>
      <c r="O203" s="34" t="e" cm="1">
        <f t="array" aca="1" ref="O203" ca="1">IF(AND(G203=INDIRECT("'["&amp;G203&amp;"]"&amp;E203&amp;"'!"&amp;$AH$2),OR(L203=INDIRECT("'["&amp;G203&amp;"]"&amp;E203&amp;"'!"&amp;$AA$2))),INDIRECT("'["&amp;G203&amp;"]"&amp;E203&amp;"'!"&amp;$AA$3),0)</f>
        <v>#VALUE!</v>
      </c>
      <c r="P203" s="34" t="e" cm="1">
        <f t="array" aca="1" ref="P203" ca="1">IF(AND(G203=INDIRECT("'["&amp;G203&amp;"]"&amp;E203&amp;"'!"&amp;$AH$2),OR(VALUE(I203)=INDIRECT("'["&amp;G203&amp;"]"&amp;E203&amp;"'!"&amp;$AB$2))),INDIRECT("'["&amp;G203&amp;"]"&amp;E203&amp;"'!"&amp;$AB$3),0)</f>
        <v>#VALUE!</v>
      </c>
      <c r="Q203" s="34" t="e" cm="1">
        <f t="array" aca="1" ref="Q203" ca="1">IF(AND(G203=INDIRECT("'["&amp;G203&amp;"]"&amp;E203&amp;"'!"&amp;$AH$2),OR(VALUE(I203)=INDIRECT("'["&amp;G203&amp;"]"&amp;E203&amp;"'!"&amp;$AC$2))),INDIRECT("'["&amp;G203&amp;"]"&amp;E203&amp;"'!"&amp;$AC$3),0)</f>
        <v>#VALUE!</v>
      </c>
      <c r="R203" s="34" t="e" cm="1">
        <f t="array" aca="1" ref="R203" ca="1">IF(AND(G203=INDIRECT("'["&amp;G203&amp;"]"&amp;E203&amp;"'!"&amp;$AH$2),OR(I203=INDIRECT("'["&amp;G203&amp;"]"&amp;E203&amp;"'!"&amp;$AD$2))),INDIRECT("'["&amp;G203&amp;"]"&amp;E203&amp;"'!"&amp;$AD$3),0)</f>
        <v>#VALUE!</v>
      </c>
      <c r="S203" s="34" t="e" cm="1">
        <f t="array" aca="1" ref="S203" ca="1">IF(AND(G203=INDIRECT("'["&amp;G203&amp;"]"&amp;E203&amp;"'!"&amp;$AH$2),OR(I203=INDIRECT("'["&amp;G203&amp;"]"&amp;E203&amp;"'!"&amp;$AE$2))),INDIRECT("'["&amp;G203&amp;"]"&amp;E203&amp;"'!"&amp;$AE$3),0)</f>
        <v>#VALUE!</v>
      </c>
      <c r="T203" s="35" t="e" cm="1">
        <f t="array" aca="1" ref="T203" ca="1">IF(AND(G203=INDIRECT("'["&amp;G203&amp;"]"&amp;E203&amp;"'!"&amp;$AH$2),OR(I203=INDIRECT("'["&amp;G203&amp;"]"&amp;E203&amp;"'!"&amp;$AF$2))),INDIRECT("'["&amp;G203&amp;"]"&amp;E203&amp;"'!"&amp;$AF$3),0)</f>
        <v>#VALUE!</v>
      </c>
      <c r="U203" s="34" t="e" cm="1">
        <f t="array" aca="1" ref="U203" ca="1">IF(AND(G203=INDIRECT("'["&amp;G203&amp;"]"&amp;E203&amp;"'!"&amp;$AH$2),OR(I203=INDIRECT("'["&amp;G203&amp;"]"&amp;E203&amp;"'!"&amp;$AG$2))),INDIRECT("'["&amp;G203&amp;"]"&amp;E203&amp;"'!"&amp;$AG$3),0)</f>
        <v>#VALUE!</v>
      </c>
      <c r="V203" s="25" t="str">
        <f t="shared" si="71"/>
        <v/>
      </c>
      <c r="W203" s="36" t="e" cm="1">
        <f t="array" aca="1" ref="W203" ca="1">IF(AND(G203=INDIRECT("'["&amp;G203&amp;"]"&amp;E203&amp;"'!"&amp;$AH$2),OR(V203=INDIRECT("'["&amp;G203&amp;"]"&amp;E203&amp;"'!"&amp;$AI$2))),INDIRECT("'["&amp;G203&amp;"]"&amp;E203&amp;"'!"&amp;$AI$3),0)</f>
        <v>#VALUE!</v>
      </c>
      <c r="AJ203" s="25">
        <v>1</v>
      </c>
      <c r="AK203" s="38">
        <f t="shared" ca="1" si="72"/>
        <v>0</v>
      </c>
      <c r="AL203" s="38">
        <f t="shared" ca="1" si="73"/>
        <v>0</v>
      </c>
      <c r="AM203" s="54" t="str">
        <f t="shared" ca="1" si="64"/>
        <v/>
      </c>
      <c r="AN203" s="25" t="e">
        <f t="shared" ca="1" si="74"/>
        <v>#VALUE!</v>
      </c>
      <c r="AO203" s="25" t="e">
        <f t="shared" ca="1" si="75"/>
        <v>#VALUE!</v>
      </c>
      <c r="AP203" s="39" t="str">
        <f t="shared" ca="1" si="65"/>
        <v/>
      </c>
      <c r="AQ203" s="46" t="str">
        <f ca="1">IF(AND(C203&lt;&gt;0, C204=0), SUM($C$2:C203)-SUM($AQ$1:AQ202), "")</f>
        <v/>
      </c>
      <c r="AR203" s="46" t="str">
        <f ca="1">IF(AND(AK203&lt;&gt;0, AK204=0), SUM($AK$2:AK203)-SUM($AR$1:AR202), "")</f>
        <v/>
      </c>
    </row>
    <row r="204" spans="1:44" ht="13.15" customHeight="1">
      <c r="A204" s="31"/>
      <c r="B204" s="68" t="str">
        <f t="shared" si="60"/>
        <v/>
      </c>
      <c r="C204" s="55" cm="1">
        <f t="array" aca="1" ref="C204" ca="1">SUM(IF(ISNUMBER(M204:U204),M204:U204,""))</f>
        <v>0</v>
      </c>
      <c r="D204" s="25" t="str">
        <f t="shared" si="61"/>
        <v/>
      </c>
      <c r="E204" s="25" t="e">
        <f t="shared" si="66"/>
        <v>#VALUE!</v>
      </c>
      <c r="F204" s="25" t="str">
        <f t="shared" si="62"/>
        <v/>
      </c>
      <c r="G204" s="25" t="str">
        <f t="shared" si="63"/>
        <v>.xlsx</v>
      </c>
      <c r="H204" s="29" t="e" cm="1">
        <f t="array" aca="1" ref="H204" ca="1">IF(AND(VALUE(E204)=INDIRECT("'["&amp;G204&amp;"]"&amp;E204&amp;"'!"&amp;$X$2),G204=INDIRECT("'["&amp;G204&amp;"]"&amp;E204&amp;"'!"&amp;$X$3)),INDIRECT("'["&amp;G204&amp;"]"&amp;E204&amp;"'!"&amp;$X$1),0)</f>
        <v>#VALUE!</v>
      </c>
      <c r="I204" s="25" t="str">
        <f t="shared" si="67"/>
        <v/>
      </c>
      <c r="J204" s="32" t="str">
        <f t="shared" si="68"/>
        <v/>
      </c>
      <c r="K204" s="25" t="str">
        <f t="shared" si="69"/>
        <v/>
      </c>
      <c r="L204" s="25" t="str">
        <f t="shared" si="70"/>
        <v/>
      </c>
      <c r="M204" s="33" t="e" cm="1">
        <f t="array" aca="1" ref="M204" ca="1">IF(AND(J204=INDIRECT("'["&amp;G204&amp;"]"&amp;E204&amp;"'!"&amp;$Y$2),G204=INDIRECT("'["&amp;G204&amp;"]"&amp;E204&amp;"'!"&amp;$AH$2)),INDIRECT("'["&amp;G204&amp;"]"&amp;E204&amp;"'!"&amp;$Y$3),0)</f>
        <v>#VALUE!</v>
      </c>
      <c r="N204" s="34" t="e" cm="1">
        <f t="array" aca="1" ref="N204" ca="1">IF(AND(G204=INDIRECT("'["&amp;G204&amp;"]"&amp;E204&amp;"'!"&amp;$AH$2),OR(K204=INDIRECT("'["&amp;G204&amp;"]"&amp;E204&amp;"'!"&amp;$Z$2))),INDIRECT("'["&amp;G204&amp;"]"&amp;E204&amp;"'!"&amp;$Z$3),0)</f>
        <v>#VALUE!</v>
      </c>
      <c r="O204" s="34" t="e" cm="1">
        <f t="array" aca="1" ref="O204" ca="1">IF(AND(G204=INDIRECT("'["&amp;G204&amp;"]"&amp;E204&amp;"'!"&amp;$AH$2),OR(L204=INDIRECT("'["&amp;G204&amp;"]"&amp;E204&amp;"'!"&amp;$AA$2))),INDIRECT("'["&amp;G204&amp;"]"&amp;E204&amp;"'!"&amp;$AA$3),0)</f>
        <v>#VALUE!</v>
      </c>
      <c r="P204" s="34" t="e" cm="1">
        <f t="array" aca="1" ref="P204" ca="1">IF(AND(G204=INDIRECT("'["&amp;G204&amp;"]"&amp;E204&amp;"'!"&amp;$AH$2),OR(VALUE(I204)=INDIRECT("'["&amp;G204&amp;"]"&amp;E204&amp;"'!"&amp;$AB$2))),INDIRECT("'["&amp;G204&amp;"]"&amp;E204&amp;"'!"&amp;$AB$3),0)</f>
        <v>#VALUE!</v>
      </c>
      <c r="Q204" s="34" t="e" cm="1">
        <f t="array" aca="1" ref="Q204" ca="1">IF(AND(G204=INDIRECT("'["&amp;G204&amp;"]"&amp;E204&amp;"'!"&amp;$AH$2),OR(VALUE(I204)=INDIRECT("'["&amp;G204&amp;"]"&amp;E204&amp;"'!"&amp;$AC$2))),INDIRECT("'["&amp;G204&amp;"]"&amp;E204&amp;"'!"&amp;$AC$3),0)</f>
        <v>#VALUE!</v>
      </c>
      <c r="R204" s="34" t="e" cm="1">
        <f t="array" aca="1" ref="R204" ca="1">IF(AND(G204=INDIRECT("'["&amp;G204&amp;"]"&amp;E204&amp;"'!"&amp;$AH$2),OR(I204=INDIRECT("'["&amp;G204&amp;"]"&amp;E204&amp;"'!"&amp;$AD$2))),INDIRECT("'["&amp;G204&amp;"]"&amp;E204&amp;"'!"&amp;$AD$3),0)</f>
        <v>#VALUE!</v>
      </c>
      <c r="S204" s="34" t="e" cm="1">
        <f t="array" aca="1" ref="S204" ca="1">IF(AND(G204=INDIRECT("'["&amp;G204&amp;"]"&amp;E204&amp;"'!"&amp;$AH$2),OR(I204=INDIRECT("'["&amp;G204&amp;"]"&amp;E204&amp;"'!"&amp;$AE$2))),INDIRECT("'["&amp;G204&amp;"]"&amp;E204&amp;"'!"&amp;$AE$3),0)</f>
        <v>#VALUE!</v>
      </c>
      <c r="T204" s="35" t="e" cm="1">
        <f t="array" aca="1" ref="T204" ca="1">IF(AND(G204=INDIRECT("'["&amp;G204&amp;"]"&amp;E204&amp;"'!"&amp;$AH$2),OR(I204=INDIRECT("'["&amp;G204&amp;"]"&amp;E204&amp;"'!"&amp;$AF$2))),INDIRECT("'["&amp;G204&amp;"]"&amp;E204&amp;"'!"&amp;$AF$3),0)</f>
        <v>#VALUE!</v>
      </c>
      <c r="U204" s="34" t="e" cm="1">
        <f t="array" aca="1" ref="U204" ca="1">IF(AND(G204=INDIRECT("'["&amp;G204&amp;"]"&amp;E204&amp;"'!"&amp;$AH$2),OR(I204=INDIRECT("'["&amp;G204&amp;"]"&amp;E204&amp;"'!"&amp;$AG$2))),INDIRECT("'["&amp;G204&amp;"]"&amp;E204&amp;"'!"&amp;$AG$3),0)</f>
        <v>#VALUE!</v>
      </c>
      <c r="V204" s="25" t="str">
        <f t="shared" si="71"/>
        <v/>
      </c>
      <c r="W204" s="36" t="e" cm="1">
        <f t="array" aca="1" ref="W204" ca="1">IF(AND(G204=INDIRECT("'["&amp;G204&amp;"]"&amp;E204&amp;"'!"&amp;$AH$2),OR(V204=INDIRECT("'["&amp;G204&amp;"]"&amp;E204&amp;"'!"&amp;$AI$2))),INDIRECT("'["&amp;G204&amp;"]"&amp;E204&amp;"'!"&amp;$AI$3),0)</f>
        <v>#VALUE!</v>
      </c>
      <c r="AJ204" s="25">
        <v>1</v>
      </c>
      <c r="AK204" s="38">
        <f t="shared" ca="1" si="72"/>
        <v>0</v>
      </c>
      <c r="AL204" s="38">
        <f t="shared" ca="1" si="73"/>
        <v>0</v>
      </c>
      <c r="AM204" s="54" t="str">
        <f t="shared" ca="1" si="64"/>
        <v/>
      </c>
      <c r="AN204" s="25" t="e">
        <f t="shared" ca="1" si="74"/>
        <v>#VALUE!</v>
      </c>
      <c r="AO204" s="25" t="e">
        <f t="shared" ca="1" si="75"/>
        <v>#VALUE!</v>
      </c>
      <c r="AP204" s="39" t="str">
        <f t="shared" ca="1" si="65"/>
        <v/>
      </c>
      <c r="AQ204" s="46" t="str">
        <f ca="1">IF(AND(C204&lt;&gt;0, C205=0), SUM($C$2:C204)-SUM($AQ$1:AQ203), "")</f>
        <v/>
      </c>
      <c r="AR204" s="46" t="str">
        <f ca="1">IF(AND(AK204&lt;&gt;0, AK205=0), SUM($AK$2:AK204)-SUM($AR$1:AR203), "")</f>
        <v/>
      </c>
    </row>
    <row r="205" spans="1:44" ht="13.15" customHeight="1">
      <c r="A205" s="59"/>
      <c r="B205" s="68" t="str">
        <f t="shared" si="60"/>
        <v/>
      </c>
      <c r="C205" s="55" cm="1">
        <f t="array" aca="1" ref="C205" ca="1">SUM(IF(ISNUMBER(M205:U205),M205:U205,""))</f>
        <v>0</v>
      </c>
      <c r="D205" s="25" t="str">
        <f t="shared" si="61"/>
        <v/>
      </c>
      <c r="E205" s="25" t="e">
        <f t="shared" si="66"/>
        <v>#VALUE!</v>
      </c>
      <c r="F205" s="25" t="str">
        <f t="shared" si="62"/>
        <v/>
      </c>
      <c r="G205" s="25" t="str">
        <f t="shared" si="63"/>
        <v>.xlsx</v>
      </c>
      <c r="H205" s="29" t="e" cm="1">
        <f t="array" aca="1" ref="H205" ca="1">IF(AND(VALUE(E205)=INDIRECT("'["&amp;G205&amp;"]"&amp;E205&amp;"'!"&amp;$X$2),G205=INDIRECT("'["&amp;G205&amp;"]"&amp;E205&amp;"'!"&amp;$X$3)),INDIRECT("'["&amp;G205&amp;"]"&amp;E205&amp;"'!"&amp;$X$1),0)</f>
        <v>#VALUE!</v>
      </c>
      <c r="I205" s="25" t="str">
        <f t="shared" si="67"/>
        <v/>
      </c>
      <c r="J205" s="32" t="str">
        <f t="shared" si="68"/>
        <v/>
      </c>
      <c r="K205" s="25" t="str">
        <f t="shared" si="69"/>
        <v/>
      </c>
      <c r="L205" s="25" t="str">
        <f t="shared" si="70"/>
        <v/>
      </c>
      <c r="M205" s="33" t="e" cm="1">
        <f t="array" aca="1" ref="M205" ca="1">IF(AND(J205=INDIRECT("'["&amp;G205&amp;"]"&amp;E205&amp;"'!"&amp;$Y$2),G205=INDIRECT("'["&amp;G205&amp;"]"&amp;E205&amp;"'!"&amp;$AH$2)),INDIRECT("'["&amp;G205&amp;"]"&amp;E205&amp;"'!"&amp;$Y$3),0)</f>
        <v>#VALUE!</v>
      </c>
      <c r="N205" s="34" t="e" cm="1">
        <f t="array" aca="1" ref="N205" ca="1">IF(AND(G205=INDIRECT("'["&amp;G205&amp;"]"&amp;E205&amp;"'!"&amp;$AH$2),OR(K205=INDIRECT("'["&amp;G205&amp;"]"&amp;E205&amp;"'!"&amp;$Z$2))),INDIRECT("'["&amp;G205&amp;"]"&amp;E205&amp;"'!"&amp;$Z$3),0)</f>
        <v>#VALUE!</v>
      </c>
      <c r="O205" s="34" t="e" cm="1">
        <f t="array" aca="1" ref="O205" ca="1">IF(AND(G205=INDIRECT("'["&amp;G205&amp;"]"&amp;E205&amp;"'!"&amp;$AH$2),OR(L205=INDIRECT("'["&amp;G205&amp;"]"&amp;E205&amp;"'!"&amp;$AA$2))),INDIRECT("'["&amp;G205&amp;"]"&amp;E205&amp;"'!"&amp;$AA$3),0)</f>
        <v>#VALUE!</v>
      </c>
      <c r="P205" s="34" t="e" cm="1">
        <f t="array" aca="1" ref="P205" ca="1">IF(AND(G205=INDIRECT("'["&amp;G205&amp;"]"&amp;E205&amp;"'!"&amp;$AH$2),OR(VALUE(I205)=INDIRECT("'["&amp;G205&amp;"]"&amp;E205&amp;"'!"&amp;$AB$2))),INDIRECT("'["&amp;G205&amp;"]"&amp;E205&amp;"'!"&amp;$AB$3),0)</f>
        <v>#VALUE!</v>
      </c>
      <c r="Q205" s="34" t="e" cm="1">
        <f t="array" aca="1" ref="Q205" ca="1">IF(AND(G205=INDIRECT("'["&amp;G205&amp;"]"&amp;E205&amp;"'!"&amp;$AH$2),OR(VALUE(I205)=INDIRECT("'["&amp;G205&amp;"]"&amp;E205&amp;"'!"&amp;$AC$2))),INDIRECT("'["&amp;G205&amp;"]"&amp;E205&amp;"'!"&amp;$AC$3),0)</f>
        <v>#VALUE!</v>
      </c>
      <c r="R205" s="34" t="e" cm="1">
        <f t="array" aca="1" ref="R205" ca="1">IF(AND(G205=INDIRECT("'["&amp;G205&amp;"]"&amp;E205&amp;"'!"&amp;$AH$2),OR(I205=INDIRECT("'["&amp;G205&amp;"]"&amp;E205&amp;"'!"&amp;$AD$2))),INDIRECT("'["&amp;G205&amp;"]"&amp;E205&amp;"'!"&amp;$AD$3),0)</f>
        <v>#VALUE!</v>
      </c>
      <c r="S205" s="34" t="e" cm="1">
        <f t="array" aca="1" ref="S205" ca="1">IF(AND(G205=INDIRECT("'["&amp;G205&amp;"]"&amp;E205&amp;"'!"&amp;$AH$2),OR(I205=INDIRECT("'["&amp;G205&amp;"]"&amp;E205&amp;"'!"&amp;$AE$2))),INDIRECT("'["&amp;G205&amp;"]"&amp;E205&amp;"'!"&amp;$AE$3),0)</f>
        <v>#VALUE!</v>
      </c>
      <c r="T205" s="35" t="e" cm="1">
        <f t="array" aca="1" ref="T205" ca="1">IF(AND(G205=INDIRECT("'["&amp;G205&amp;"]"&amp;E205&amp;"'!"&amp;$AH$2),OR(I205=INDIRECT("'["&amp;G205&amp;"]"&amp;E205&amp;"'!"&amp;$AF$2))),INDIRECT("'["&amp;G205&amp;"]"&amp;E205&amp;"'!"&amp;$AF$3),0)</f>
        <v>#VALUE!</v>
      </c>
      <c r="U205" s="34" t="e" cm="1">
        <f t="array" aca="1" ref="U205" ca="1">IF(AND(G205=INDIRECT("'["&amp;G205&amp;"]"&amp;E205&amp;"'!"&amp;$AH$2),OR(I205=INDIRECT("'["&amp;G205&amp;"]"&amp;E205&amp;"'!"&amp;$AG$2))),INDIRECT("'["&amp;G205&amp;"]"&amp;E205&amp;"'!"&amp;$AG$3),0)</f>
        <v>#VALUE!</v>
      </c>
      <c r="V205" s="25" t="str">
        <f t="shared" si="71"/>
        <v/>
      </c>
      <c r="W205" s="36" t="e" cm="1">
        <f t="array" aca="1" ref="W205" ca="1">IF(AND(G205=INDIRECT("'["&amp;G205&amp;"]"&amp;E205&amp;"'!"&amp;$AH$2),OR(V205=INDIRECT("'["&amp;G205&amp;"]"&amp;E205&amp;"'!"&amp;$AI$2))),INDIRECT("'["&amp;G205&amp;"]"&amp;E205&amp;"'!"&amp;$AI$3),0)</f>
        <v>#VALUE!</v>
      </c>
      <c r="AJ205" s="25">
        <v>1</v>
      </c>
      <c r="AK205" s="38">
        <f t="shared" ca="1" si="72"/>
        <v>0</v>
      </c>
      <c r="AL205" s="38">
        <f t="shared" ca="1" si="73"/>
        <v>0</v>
      </c>
      <c r="AM205" s="54" t="str">
        <f t="shared" ca="1" si="64"/>
        <v/>
      </c>
      <c r="AN205" s="25" t="e">
        <f t="shared" ca="1" si="74"/>
        <v>#VALUE!</v>
      </c>
      <c r="AO205" s="25" t="e">
        <f t="shared" ca="1" si="75"/>
        <v>#VALUE!</v>
      </c>
      <c r="AP205" s="39" t="str">
        <f t="shared" ca="1" si="65"/>
        <v/>
      </c>
      <c r="AQ205" s="46" t="str">
        <f ca="1">IF(AND(C205&lt;&gt;0, C206=0), SUM($C$2:C205)-SUM($AQ$1:AQ204), "")</f>
        <v/>
      </c>
      <c r="AR205" s="46" t="str">
        <f ca="1">IF(AND(AK205&lt;&gt;0, AK206=0), SUM($AK$2:AK205)-SUM($AR$1:AR204), "")</f>
        <v/>
      </c>
    </row>
    <row r="206" spans="1:44" ht="13.15" customHeight="1">
      <c r="A206" s="59"/>
      <c r="B206" s="68" t="str">
        <f t="shared" si="60"/>
        <v/>
      </c>
      <c r="C206" s="55" cm="1">
        <f t="array" aca="1" ref="C206" ca="1">SUM(IF(ISNUMBER(M206:U206),M206:U206,""))</f>
        <v>0</v>
      </c>
      <c r="D206" s="25" t="str">
        <f t="shared" si="61"/>
        <v/>
      </c>
      <c r="E206" s="25" t="e">
        <f t="shared" si="66"/>
        <v>#VALUE!</v>
      </c>
      <c r="F206" s="25" t="str">
        <f t="shared" si="62"/>
        <v/>
      </c>
      <c r="G206" s="25" t="str">
        <f t="shared" si="63"/>
        <v>.xlsx</v>
      </c>
      <c r="H206" s="29" t="e" cm="1">
        <f t="array" aca="1" ref="H206" ca="1">IF(AND(VALUE(E206)=INDIRECT("'["&amp;G206&amp;"]"&amp;E206&amp;"'!"&amp;$X$2),G206=INDIRECT("'["&amp;G206&amp;"]"&amp;E206&amp;"'!"&amp;$X$3)),INDIRECT("'["&amp;G206&amp;"]"&amp;E206&amp;"'!"&amp;$X$1),0)</f>
        <v>#VALUE!</v>
      </c>
      <c r="I206" s="25" t="str">
        <f t="shared" si="67"/>
        <v/>
      </c>
      <c r="J206" s="32" t="str">
        <f t="shared" si="68"/>
        <v/>
      </c>
      <c r="K206" s="25" t="str">
        <f t="shared" si="69"/>
        <v/>
      </c>
      <c r="L206" s="25" t="str">
        <f t="shared" si="70"/>
        <v/>
      </c>
      <c r="M206" s="33" t="e" cm="1">
        <f t="array" aca="1" ref="M206" ca="1">IF(AND(J206=INDIRECT("'["&amp;G206&amp;"]"&amp;E206&amp;"'!"&amp;$Y$2),G206=INDIRECT("'["&amp;G206&amp;"]"&amp;E206&amp;"'!"&amp;$AH$2)),INDIRECT("'["&amp;G206&amp;"]"&amp;E206&amp;"'!"&amp;$Y$3),0)</f>
        <v>#VALUE!</v>
      </c>
      <c r="N206" s="34" t="e" cm="1">
        <f t="array" aca="1" ref="N206" ca="1">IF(AND(G206=INDIRECT("'["&amp;G206&amp;"]"&amp;E206&amp;"'!"&amp;$AH$2),OR(K206=INDIRECT("'["&amp;G206&amp;"]"&amp;E206&amp;"'!"&amp;$Z$2))),INDIRECT("'["&amp;G206&amp;"]"&amp;E206&amp;"'!"&amp;$Z$3),0)</f>
        <v>#VALUE!</v>
      </c>
      <c r="O206" s="34" t="e" cm="1">
        <f t="array" aca="1" ref="O206" ca="1">IF(AND(G206=INDIRECT("'["&amp;G206&amp;"]"&amp;E206&amp;"'!"&amp;$AH$2),OR(L206=INDIRECT("'["&amp;G206&amp;"]"&amp;E206&amp;"'!"&amp;$AA$2))),INDIRECT("'["&amp;G206&amp;"]"&amp;E206&amp;"'!"&amp;$AA$3),0)</f>
        <v>#VALUE!</v>
      </c>
      <c r="P206" s="34" t="e" cm="1">
        <f t="array" aca="1" ref="P206" ca="1">IF(AND(G206=INDIRECT("'["&amp;G206&amp;"]"&amp;E206&amp;"'!"&amp;$AH$2),OR(VALUE(I206)=INDIRECT("'["&amp;G206&amp;"]"&amp;E206&amp;"'!"&amp;$AB$2))),INDIRECT("'["&amp;G206&amp;"]"&amp;E206&amp;"'!"&amp;$AB$3),0)</f>
        <v>#VALUE!</v>
      </c>
      <c r="Q206" s="34" t="e" cm="1">
        <f t="array" aca="1" ref="Q206" ca="1">IF(AND(G206=INDIRECT("'["&amp;G206&amp;"]"&amp;E206&amp;"'!"&amp;$AH$2),OR(VALUE(I206)=INDIRECT("'["&amp;G206&amp;"]"&amp;E206&amp;"'!"&amp;$AC$2))),INDIRECT("'["&amp;G206&amp;"]"&amp;E206&amp;"'!"&amp;$AC$3),0)</f>
        <v>#VALUE!</v>
      </c>
      <c r="R206" s="34" t="e" cm="1">
        <f t="array" aca="1" ref="R206" ca="1">IF(AND(G206=INDIRECT("'["&amp;G206&amp;"]"&amp;E206&amp;"'!"&amp;$AH$2),OR(I206=INDIRECT("'["&amp;G206&amp;"]"&amp;E206&amp;"'!"&amp;$AD$2))),INDIRECT("'["&amp;G206&amp;"]"&amp;E206&amp;"'!"&amp;$AD$3),0)</f>
        <v>#VALUE!</v>
      </c>
      <c r="S206" s="34" t="e" cm="1">
        <f t="array" aca="1" ref="S206" ca="1">IF(AND(G206=INDIRECT("'["&amp;G206&amp;"]"&amp;E206&amp;"'!"&amp;$AH$2),OR(I206=INDIRECT("'["&amp;G206&amp;"]"&amp;E206&amp;"'!"&amp;$AE$2))),INDIRECT("'["&amp;G206&amp;"]"&amp;E206&amp;"'!"&amp;$AE$3),0)</f>
        <v>#VALUE!</v>
      </c>
      <c r="T206" s="35" t="e" cm="1">
        <f t="array" aca="1" ref="T206" ca="1">IF(AND(G206=INDIRECT("'["&amp;G206&amp;"]"&amp;E206&amp;"'!"&amp;$AH$2),OR(I206=INDIRECT("'["&amp;G206&amp;"]"&amp;E206&amp;"'!"&amp;$AF$2))),INDIRECT("'["&amp;G206&amp;"]"&amp;E206&amp;"'!"&amp;$AF$3),0)</f>
        <v>#VALUE!</v>
      </c>
      <c r="U206" s="34" t="e" cm="1">
        <f t="array" aca="1" ref="U206" ca="1">IF(AND(G206=INDIRECT("'["&amp;G206&amp;"]"&amp;E206&amp;"'!"&amp;$AH$2),OR(I206=INDIRECT("'["&amp;G206&amp;"]"&amp;E206&amp;"'!"&amp;$AG$2))),INDIRECT("'["&amp;G206&amp;"]"&amp;E206&amp;"'!"&amp;$AG$3),0)</f>
        <v>#VALUE!</v>
      </c>
      <c r="V206" s="25" t="str">
        <f t="shared" si="71"/>
        <v/>
      </c>
      <c r="W206" s="36" t="e" cm="1">
        <f t="array" aca="1" ref="W206" ca="1">IF(AND(G206=INDIRECT("'["&amp;G206&amp;"]"&amp;E206&amp;"'!"&amp;$AH$2),OR(V206=INDIRECT("'["&amp;G206&amp;"]"&amp;E206&amp;"'!"&amp;$AI$2))),INDIRECT("'["&amp;G206&amp;"]"&amp;E206&amp;"'!"&amp;$AI$3),0)</f>
        <v>#VALUE!</v>
      </c>
      <c r="AJ206" s="25">
        <v>1</v>
      </c>
      <c r="AK206" s="38">
        <f t="shared" ca="1" si="72"/>
        <v>0</v>
      </c>
      <c r="AL206" s="38">
        <f t="shared" ca="1" si="73"/>
        <v>0</v>
      </c>
      <c r="AM206" s="54" t="str">
        <f t="shared" ca="1" si="64"/>
        <v/>
      </c>
      <c r="AN206" s="25" t="e">
        <f t="shared" ca="1" si="74"/>
        <v>#VALUE!</v>
      </c>
      <c r="AO206" s="25" t="e">
        <f t="shared" ca="1" si="75"/>
        <v>#VALUE!</v>
      </c>
      <c r="AP206" s="39" t="str">
        <f t="shared" ca="1" si="65"/>
        <v/>
      </c>
      <c r="AQ206" s="46" t="str">
        <f ca="1">IF(AND(C206&lt;&gt;0, C207=0), SUM($C$2:C206)-SUM($AQ$1:AQ205), "")</f>
        <v/>
      </c>
      <c r="AR206" s="46" t="str">
        <f ca="1">IF(AND(AK206&lt;&gt;0, AK207=0), SUM($AK$2:AK206)-SUM($AR$1:AR205), "")</f>
        <v/>
      </c>
    </row>
    <row r="207" spans="1:44" ht="13.15" customHeight="1">
      <c r="A207" s="59"/>
      <c r="B207" s="68" t="str">
        <f t="shared" si="60"/>
        <v/>
      </c>
      <c r="C207" s="55" cm="1">
        <f t="array" aca="1" ref="C207" ca="1">SUM(IF(ISNUMBER(M207:U207),M207:U207,""))</f>
        <v>0</v>
      </c>
      <c r="D207" s="25" t="str">
        <f t="shared" si="61"/>
        <v/>
      </c>
      <c r="E207" s="25" t="e">
        <f t="shared" si="66"/>
        <v>#VALUE!</v>
      </c>
      <c r="F207" s="25" t="str">
        <f t="shared" si="62"/>
        <v/>
      </c>
      <c r="G207" s="25" t="str">
        <f t="shared" si="63"/>
        <v>.xlsx</v>
      </c>
      <c r="H207" s="29" t="e" cm="1">
        <f t="array" aca="1" ref="H207" ca="1">IF(AND(VALUE(E207)=INDIRECT("'["&amp;G207&amp;"]"&amp;E207&amp;"'!"&amp;$X$2),G207=INDIRECT("'["&amp;G207&amp;"]"&amp;E207&amp;"'!"&amp;$X$3)),INDIRECT("'["&amp;G207&amp;"]"&amp;E207&amp;"'!"&amp;$X$1),0)</f>
        <v>#VALUE!</v>
      </c>
      <c r="I207" s="25" t="str">
        <f t="shared" si="67"/>
        <v/>
      </c>
      <c r="J207" s="32" t="str">
        <f t="shared" si="68"/>
        <v/>
      </c>
      <c r="K207" s="25" t="str">
        <f t="shared" si="69"/>
        <v/>
      </c>
      <c r="L207" s="25" t="str">
        <f t="shared" si="70"/>
        <v/>
      </c>
      <c r="M207" s="33" t="e" cm="1">
        <f t="array" aca="1" ref="M207" ca="1">IF(AND(J207=INDIRECT("'["&amp;G207&amp;"]"&amp;E207&amp;"'!"&amp;$Y$2),G207=INDIRECT("'["&amp;G207&amp;"]"&amp;E207&amp;"'!"&amp;$AH$2)),INDIRECT("'["&amp;G207&amp;"]"&amp;E207&amp;"'!"&amp;$Y$3),0)</f>
        <v>#VALUE!</v>
      </c>
      <c r="N207" s="34" t="e" cm="1">
        <f t="array" aca="1" ref="N207" ca="1">IF(AND(G207=INDIRECT("'["&amp;G207&amp;"]"&amp;E207&amp;"'!"&amp;$AH$2),OR(K207=INDIRECT("'["&amp;G207&amp;"]"&amp;E207&amp;"'!"&amp;$Z$2))),INDIRECT("'["&amp;G207&amp;"]"&amp;E207&amp;"'!"&amp;$Z$3),0)</f>
        <v>#VALUE!</v>
      </c>
      <c r="O207" s="34" t="e" cm="1">
        <f t="array" aca="1" ref="O207" ca="1">IF(AND(G207=INDIRECT("'["&amp;G207&amp;"]"&amp;E207&amp;"'!"&amp;$AH$2),OR(L207=INDIRECT("'["&amp;G207&amp;"]"&amp;E207&amp;"'!"&amp;$AA$2))),INDIRECT("'["&amp;G207&amp;"]"&amp;E207&amp;"'!"&amp;$AA$3),0)</f>
        <v>#VALUE!</v>
      </c>
      <c r="P207" s="34" t="e" cm="1">
        <f t="array" aca="1" ref="P207" ca="1">IF(AND(G207=INDIRECT("'["&amp;G207&amp;"]"&amp;E207&amp;"'!"&amp;$AH$2),OR(VALUE(I207)=INDIRECT("'["&amp;G207&amp;"]"&amp;E207&amp;"'!"&amp;$AB$2))),INDIRECT("'["&amp;G207&amp;"]"&amp;E207&amp;"'!"&amp;$AB$3),0)</f>
        <v>#VALUE!</v>
      </c>
      <c r="Q207" s="34" t="e" cm="1">
        <f t="array" aca="1" ref="Q207" ca="1">IF(AND(G207=INDIRECT("'["&amp;G207&amp;"]"&amp;E207&amp;"'!"&amp;$AH$2),OR(VALUE(I207)=INDIRECT("'["&amp;G207&amp;"]"&amp;E207&amp;"'!"&amp;$AC$2))),INDIRECT("'["&amp;G207&amp;"]"&amp;E207&amp;"'!"&amp;$AC$3),0)</f>
        <v>#VALUE!</v>
      </c>
      <c r="R207" s="34" t="e" cm="1">
        <f t="array" aca="1" ref="R207" ca="1">IF(AND(G207=INDIRECT("'["&amp;G207&amp;"]"&amp;E207&amp;"'!"&amp;$AH$2),OR(I207=INDIRECT("'["&amp;G207&amp;"]"&amp;E207&amp;"'!"&amp;$AD$2))),INDIRECT("'["&amp;G207&amp;"]"&amp;E207&amp;"'!"&amp;$AD$3),0)</f>
        <v>#VALUE!</v>
      </c>
      <c r="S207" s="34" t="e" cm="1">
        <f t="array" aca="1" ref="S207" ca="1">IF(AND(G207=INDIRECT("'["&amp;G207&amp;"]"&amp;E207&amp;"'!"&amp;$AH$2),OR(I207=INDIRECT("'["&amp;G207&amp;"]"&amp;E207&amp;"'!"&amp;$AE$2))),INDIRECT("'["&amp;G207&amp;"]"&amp;E207&amp;"'!"&amp;$AE$3),0)</f>
        <v>#VALUE!</v>
      </c>
      <c r="T207" s="35" t="e" cm="1">
        <f t="array" aca="1" ref="T207" ca="1">IF(AND(G207=INDIRECT("'["&amp;G207&amp;"]"&amp;E207&amp;"'!"&amp;$AH$2),OR(I207=INDIRECT("'["&amp;G207&amp;"]"&amp;E207&amp;"'!"&amp;$AF$2))),INDIRECT("'["&amp;G207&amp;"]"&amp;E207&amp;"'!"&amp;$AF$3),0)</f>
        <v>#VALUE!</v>
      </c>
      <c r="U207" s="34" t="e" cm="1">
        <f t="array" aca="1" ref="U207" ca="1">IF(AND(G207=INDIRECT("'["&amp;G207&amp;"]"&amp;E207&amp;"'!"&amp;$AH$2),OR(I207=INDIRECT("'["&amp;G207&amp;"]"&amp;E207&amp;"'!"&amp;$AG$2))),INDIRECT("'["&amp;G207&amp;"]"&amp;E207&amp;"'!"&amp;$AG$3),0)</f>
        <v>#VALUE!</v>
      </c>
      <c r="V207" s="25" t="str">
        <f t="shared" si="71"/>
        <v/>
      </c>
      <c r="W207" s="36" t="e" cm="1">
        <f t="array" aca="1" ref="W207" ca="1">IF(AND(G207=INDIRECT("'["&amp;G207&amp;"]"&amp;E207&amp;"'!"&amp;$AH$2),OR(V207=INDIRECT("'["&amp;G207&amp;"]"&amp;E207&amp;"'!"&amp;$AI$2))),INDIRECT("'["&amp;G207&amp;"]"&amp;E207&amp;"'!"&amp;$AI$3),0)</f>
        <v>#VALUE!</v>
      </c>
      <c r="AJ207" s="25">
        <v>1</v>
      </c>
      <c r="AK207" s="38">
        <f t="shared" ca="1" si="72"/>
        <v>0</v>
      </c>
      <c r="AL207" s="38">
        <f t="shared" ca="1" si="73"/>
        <v>0</v>
      </c>
      <c r="AM207" s="54" t="str">
        <f t="shared" ca="1" si="64"/>
        <v/>
      </c>
      <c r="AN207" s="25" t="e">
        <f t="shared" ca="1" si="74"/>
        <v>#VALUE!</v>
      </c>
      <c r="AO207" s="25" t="e">
        <f t="shared" ca="1" si="75"/>
        <v>#VALUE!</v>
      </c>
      <c r="AP207" s="39" t="str">
        <f t="shared" ca="1" si="65"/>
        <v/>
      </c>
      <c r="AQ207" s="46" t="str">
        <f ca="1">IF(AND(C207&lt;&gt;0, C208=0), SUM($C$2:C207)-SUM($AQ$1:AQ206), "")</f>
        <v/>
      </c>
      <c r="AR207" s="46" t="str">
        <f ca="1">IF(AND(AK207&lt;&gt;0, AK208=0), SUM($AK$2:AK207)-SUM($AR$1:AR206), "")</f>
        <v/>
      </c>
    </row>
    <row r="208" spans="1:44" ht="13.15" customHeight="1">
      <c r="A208" s="59"/>
      <c r="B208" s="68" t="str">
        <f t="shared" si="60"/>
        <v/>
      </c>
      <c r="C208" s="55" cm="1">
        <f t="array" aca="1" ref="C208" ca="1">SUM(IF(ISNUMBER(M208:U208),M208:U208,""))</f>
        <v>0</v>
      </c>
      <c r="D208" s="25" t="str">
        <f t="shared" si="61"/>
        <v/>
      </c>
      <c r="E208" s="25" t="e">
        <f t="shared" si="66"/>
        <v>#VALUE!</v>
      </c>
      <c r="F208" s="25" t="str">
        <f t="shared" si="62"/>
        <v/>
      </c>
      <c r="G208" s="25" t="str">
        <f t="shared" si="63"/>
        <v>.xlsx</v>
      </c>
      <c r="H208" s="29" t="e" cm="1">
        <f t="array" aca="1" ref="H208" ca="1">IF(AND(VALUE(E208)=INDIRECT("'["&amp;G208&amp;"]"&amp;E208&amp;"'!"&amp;$X$2),G208=INDIRECT("'["&amp;G208&amp;"]"&amp;E208&amp;"'!"&amp;$X$3)),INDIRECT("'["&amp;G208&amp;"]"&amp;E208&amp;"'!"&amp;$X$1),0)</f>
        <v>#VALUE!</v>
      </c>
      <c r="I208" s="25" t="str">
        <f t="shared" si="67"/>
        <v/>
      </c>
      <c r="J208" s="32" t="str">
        <f t="shared" si="68"/>
        <v/>
      </c>
      <c r="K208" s="25" t="str">
        <f t="shared" si="69"/>
        <v/>
      </c>
      <c r="L208" s="25" t="str">
        <f t="shared" si="70"/>
        <v/>
      </c>
      <c r="M208" s="33" t="e" cm="1">
        <f t="array" aca="1" ref="M208" ca="1">IF(AND(J208=INDIRECT("'["&amp;G208&amp;"]"&amp;E208&amp;"'!"&amp;$Y$2),G208=INDIRECT("'["&amp;G208&amp;"]"&amp;E208&amp;"'!"&amp;$AH$2)),INDIRECT("'["&amp;G208&amp;"]"&amp;E208&amp;"'!"&amp;$Y$3),0)</f>
        <v>#VALUE!</v>
      </c>
      <c r="N208" s="34" t="e" cm="1">
        <f t="array" aca="1" ref="N208" ca="1">IF(AND(G208=INDIRECT("'["&amp;G208&amp;"]"&amp;E208&amp;"'!"&amp;$AH$2),OR(K208=INDIRECT("'["&amp;G208&amp;"]"&amp;E208&amp;"'!"&amp;$Z$2))),INDIRECT("'["&amp;G208&amp;"]"&amp;E208&amp;"'!"&amp;$Z$3),0)</f>
        <v>#VALUE!</v>
      </c>
      <c r="O208" s="34" t="e" cm="1">
        <f t="array" aca="1" ref="O208" ca="1">IF(AND(G208=INDIRECT("'["&amp;G208&amp;"]"&amp;E208&amp;"'!"&amp;$AH$2),OR(L208=INDIRECT("'["&amp;G208&amp;"]"&amp;E208&amp;"'!"&amp;$AA$2))),INDIRECT("'["&amp;G208&amp;"]"&amp;E208&amp;"'!"&amp;$AA$3),0)</f>
        <v>#VALUE!</v>
      </c>
      <c r="P208" s="34" t="e" cm="1">
        <f t="array" aca="1" ref="P208" ca="1">IF(AND(G208=INDIRECT("'["&amp;G208&amp;"]"&amp;E208&amp;"'!"&amp;$AH$2),OR(VALUE(I208)=INDIRECT("'["&amp;G208&amp;"]"&amp;E208&amp;"'!"&amp;$AB$2))),INDIRECT("'["&amp;G208&amp;"]"&amp;E208&amp;"'!"&amp;$AB$3),0)</f>
        <v>#VALUE!</v>
      </c>
      <c r="Q208" s="34" t="e" cm="1">
        <f t="array" aca="1" ref="Q208" ca="1">IF(AND(G208=INDIRECT("'["&amp;G208&amp;"]"&amp;E208&amp;"'!"&amp;$AH$2),OR(VALUE(I208)=INDIRECT("'["&amp;G208&amp;"]"&amp;E208&amp;"'!"&amp;$AC$2))),INDIRECT("'["&amp;G208&amp;"]"&amp;E208&amp;"'!"&amp;$AC$3),0)</f>
        <v>#VALUE!</v>
      </c>
      <c r="R208" s="34" t="e" cm="1">
        <f t="array" aca="1" ref="R208" ca="1">IF(AND(G208=INDIRECT("'["&amp;G208&amp;"]"&amp;E208&amp;"'!"&amp;$AH$2),OR(I208=INDIRECT("'["&amp;G208&amp;"]"&amp;E208&amp;"'!"&amp;$AD$2))),INDIRECT("'["&amp;G208&amp;"]"&amp;E208&amp;"'!"&amp;$AD$3),0)</f>
        <v>#VALUE!</v>
      </c>
      <c r="S208" s="34" t="e" cm="1">
        <f t="array" aca="1" ref="S208" ca="1">IF(AND(G208=INDIRECT("'["&amp;G208&amp;"]"&amp;E208&amp;"'!"&amp;$AH$2),OR(I208=INDIRECT("'["&amp;G208&amp;"]"&amp;E208&amp;"'!"&amp;$AE$2))),INDIRECT("'["&amp;G208&amp;"]"&amp;E208&amp;"'!"&amp;$AE$3),0)</f>
        <v>#VALUE!</v>
      </c>
      <c r="T208" s="35" t="e" cm="1">
        <f t="array" aca="1" ref="T208" ca="1">IF(AND(G208=INDIRECT("'["&amp;G208&amp;"]"&amp;E208&amp;"'!"&amp;$AH$2),OR(I208=INDIRECT("'["&amp;G208&amp;"]"&amp;E208&amp;"'!"&amp;$AF$2))),INDIRECT("'["&amp;G208&amp;"]"&amp;E208&amp;"'!"&amp;$AF$3),0)</f>
        <v>#VALUE!</v>
      </c>
      <c r="U208" s="34" t="e" cm="1">
        <f t="array" aca="1" ref="U208" ca="1">IF(AND(G208=INDIRECT("'["&amp;G208&amp;"]"&amp;E208&amp;"'!"&amp;$AH$2),OR(I208=INDIRECT("'["&amp;G208&amp;"]"&amp;E208&amp;"'!"&amp;$AG$2))),INDIRECT("'["&amp;G208&amp;"]"&amp;E208&amp;"'!"&amp;$AG$3),0)</f>
        <v>#VALUE!</v>
      </c>
      <c r="V208" s="25" t="str">
        <f t="shared" si="71"/>
        <v/>
      </c>
      <c r="W208" s="36" t="e" cm="1">
        <f t="array" aca="1" ref="W208" ca="1">IF(AND(G208=INDIRECT("'["&amp;G208&amp;"]"&amp;E208&amp;"'!"&amp;$AH$2),OR(V208=INDIRECT("'["&amp;G208&amp;"]"&amp;E208&amp;"'!"&amp;$AI$2))),INDIRECT("'["&amp;G208&amp;"]"&amp;E208&amp;"'!"&amp;$AI$3),0)</f>
        <v>#VALUE!</v>
      </c>
      <c r="AJ208" s="25">
        <v>1</v>
      </c>
      <c r="AK208" s="38">
        <f t="shared" ca="1" si="72"/>
        <v>0</v>
      </c>
      <c r="AL208" s="38">
        <f t="shared" ca="1" si="73"/>
        <v>0</v>
      </c>
      <c r="AM208" s="54" t="str">
        <f t="shared" ca="1" si="64"/>
        <v/>
      </c>
      <c r="AN208" s="25" t="e">
        <f t="shared" ca="1" si="74"/>
        <v>#VALUE!</v>
      </c>
      <c r="AO208" s="25" t="e">
        <f t="shared" ca="1" si="75"/>
        <v>#VALUE!</v>
      </c>
      <c r="AP208" s="39" t="str">
        <f t="shared" ca="1" si="65"/>
        <v/>
      </c>
      <c r="AQ208" s="46" t="str">
        <f ca="1">IF(AND(C208&lt;&gt;0, C209=0), SUM($C$2:C208)-SUM($AQ$1:AQ207), "")</f>
        <v/>
      </c>
      <c r="AR208" s="46" t="str">
        <f ca="1">IF(AND(AK208&lt;&gt;0, AK209=0), SUM($AK$2:AK208)-SUM($AR$1:AR207), "")</f>
        <v/>
      </c>
    </row>
    <row r="209" spans="1:44" ht="13.15" customHeight="1">
      <c r="A209" s="59"/>
      <c r="B209" s="68" t="str">
        <f t="shared" si="60"/>
        <v/>
      </c>
      <c r="C209" s="55" cm="1">
        <f t="array" aca="1" ref="C209" ca="1">SUM(IF(ISNUMBER(M209:U209),M209:U209,""))</f>
        <v>0</v>
      </c>
      <c r="D209" s="25" t="str">
        <f t="shared" si="61"/>
        <v/>
      </c>
      <c r="E209" s="25" t="e">
        <f t="shared" si="66"/>
        <v>#VALUE!</v>
      </c>
      <c r="F209" s="25" t="str">
        <f t="shared" si="62"/>
        <v/>
      </c>
      <c r="G209" s="25" t="str">
        <f t="shared" si="63"/>
        <v>.xlsx</v>
      </c>
      <c r="H209" s="29" t="e" cm="1">
        <f t="array" aca="1" ref="H209" ca="1">IF(AND(VALUE(E209)=INDIRECT("'["&amp;G209&amp;"]"&amp;E209&amp;"'!"&amp;$X$2),G209=INDIRECT("'["&amp;G209&amp;"]"&amp;E209&amp;"'!"&amp;$X$3)),INDIRECT("'["&amp;G209&amp;"]"&amp;E209&amp;"'!"&amp;$X$1),0)</f>
        <v>#VALUE!</v>
      </c>
      <c r="I209" s="25" t="str">
        <f t="shared" si="67"/>
        <v/>
      </c>
      <c r="J209" s="32" t="str">
        <f t="shared" si="68"/>
        <v/>
      </c>
      <c r="K209" s="25" t="str">
        <f t="shared" si="69"/>
        <v/>
      </c>
      <c r="L209" s="25" t="str">
        <f t="shared" si="70"/>
        <v/>
      </c>
      <c r="M209" s="33" t="e" cm="1">
        <f t="array" aca="1" ref="M209" ca="1">IF(AND(J209=INDIRECT("'["&amp;G209&amp;"]"&amp;E209&amp;"'!"&amp;$Y$2),G209=INDIRECT("'["&amp;G209&amp;"]"&amp;E209&amp;"'!"&amp;$AH$2)),INDIRECT("'["&amp;G209&amp;"]"&amp;E209&amp;"'!"&amp;$Y$3),0)</f>
        <v>#VALUE!</v>
      </c>
      <c r="N209" s="34" t="e" cm="1">
        <f t="array" aca="1" ref="N209" ca="1">IF(AND(G209=INDIRECT("'["&amp;G209&amp;"]"&amp;E209&amp;"'!"&amp;$AH$2),OR(K209=INDIRECT("'["&amp;G209&amp;"]"&amp;E209&amp;"'!"&amp;$Z$2))),INDIRECT("'["&amp;G209&amp;"]"&amp;E209&amp;"'!"&amp;$Z$3),0)</f>
        <v>#VALUE!</v>
      </c>
      <c r="O209" s="34" t="e" cm="1">
        <f t="array" aca="1" ref="O209" ca="1">IF(AND(G209=INDIRECT("'["&amp;G209&amp;"]"&amp;E209&amp;"'!"&amp;$AH$2),OR(L209=INDIRECT("'["&amp;G209&amp;"]"&amp;E209&amp;"'!"&amp;$AA$2))),INDIRECT("'["&amp;G209&amp;"]"&amp;E209&amp;"'!"&amp;$AA$3),0)</f>
        <v>#VALUE!</v>
      </c>
      <c r="P209" s="34" t="e" cm="1">
        <f t="array" aca="1" ref="P209" ca="1">IF(AND(G209=INDIRECT("'["&amp;G209&amp;"]"&amp;E209&amp;"'!"&amp;$AH$2),OR(VALUE(I209)=INDIRECT("'["&amp;G209&amp;"]"&amp;E209&amp;"'!"&amp;$AB$2))),INDIRECT("'["&amp;G209&amp;"]"&amp;E209&amp;"'!"&amp;$AB$3),0)</f>
        <v>#VALUE!</v>
      </c>
      <c r="Q209" s="34" t="e" cm="1">
        <f t="array" aca="1" ref="Q209" ca="1">IF(AND(G209=INDIRECT("'["&amp;G209&amp;"]"&amp;E209&amp;"'!"&amp;$AH$2),OR(VALUE(I209)=INDIRECT("'["&amp;G209&amp;"]"&amp;E209&amp;"'!"&amp;$AC$2))),INDIRECT("'["&amp;G209&amp;"]"&amp;E209&amp;"'!"&amp;$AC$3),0)</f>
        <v>#VALUE!</v>
      </c>
      <c r="R209" s="34" t="e" cm="1">
        <f t="array" aca="1" ref="R209" ca="1">IF(AND(G209=INDIRECT("'["&amp;G209&amp;"]"&amp;E209&amp;"'!"&amp;$AH$2),OR(I209=INDIRECT("'["&amp;G209&amp;"]"&amp;E209&amp;"'!"&amp;$AD$2))),INDIRECT("'["&amp;G209&amp;"]"&amp;E209&amp;"'!"&amp;$AD$3),0)</f>
        <v>#VALUE!</v>
      </c>
      <c r="S209" s="34" t="e" cm="1">
        <f t="array" aca="1" ref="S209" ca="1">IF(AND(G209=INDIRECT("'["&amp;G209&amp;"]"&amp;E209&amp;"'!"&amp;$AH$2),OR(I209=INDIRECT("'["&amp;G209&amp;"]"&amp;E209&amp;"'!"&amp;$AE$2))),INDIRECT("'["&amp;G209&amp;"]"&amp;E209&amp;"'!"&amp;$AE$3),0)</f>
        <v>#VALUE!</v>
      </c>
      <c r="T209" s="35" t="e" cm="1">
        <f t="array" aca="1" ref="T209" ca="1">IF(AND(G209=INDIRECT("'["&amp;G209&amp;"]"&amp;E209&amp;"'!"&amp;$AH$2),OR(I209=INDIRECT("'["&amp;G209&amp;"]"&amp;E209&amp;"'!"&amp;$AF$2))),INDIRECT("'["&amp;G209&amp;"]"&amp;E209&amp;"'!"&amp;$AF$3),0)</f>
        <v>#VALUE!</v>
      </c>
      <c r="U209" s="34" t="e" cm="1">
        <f t="array" aca="1" ref="U209" ca="1">IF(AND(G209=INDIRECT("'["&amp;G209&amp;"]"&amp;E209&amp;"'!"&amp;$AH$2),OR(I209=INDIRECT("'["&amp;G209&amp;"]"&amp;E209&amp;"'!"&amp;$AG$2))),INDIRECT("'["&amp;G209&amp;"]"&amp;E209&amp;"'!"&amp;$AG$3),0)</f>
        <v>#VALUE!</v>
      </c>
      <c r="V209" s="25" t="str">
        <f t="shared" si="71"/>
        <v/>
      </c>
      <c r="W209" s="36" t="e" cm="1">
        <f t="array" aca="1" ref="W209" ca="1">IF(AND(G209=INDIRECT("'["&amp;G209&amp;"]"&amp;E209&amp;"'!"&amp;$AH$2),OR(V209=INDIRECT("'["&amp;G209&amp;"]"&amp;E209&amp;"'!"&amp;$AI$2))),INDIRECT("'["&amp;G209&amp;"]"&amp;E209&amp;"'!"&amp;$AI$3),0)</f>
        <v>#VALUE!</v>
      </c>
      <c r="AJ209" s="25">
        <v>1</v>
      </c>
      <c r="AK209" s="38">
        <f t="shared" ca="1" si="72"/>
        <v>0</v>
      </c>
      <c r="AL209" s="38">
        <f t="shared" ca="1" si="73"/>
        <v>0</v>
      </c>
      <c r="AM209" s="54" t="str">
        <f t="shared" ca="1" si="64"/>
        <v/>
      </c>
      <c r="AN209" s="25" t="e">
        <f t="shared" ca="1" si="74"/>
        <v>#VALUE!</v>
      </c>
      <c r="AO209" s="25" t="e">
        <f t="shared" ca="1" si="75"/>
        <v>#VALUE!</v>
      </c>
      <c r="AP209" s="39" t="str">
        <f t="shared" ca="1" si="65"/>
        <v/>
      </c>
      <c r="AQ209" s="46" t="str">
        <f ca="1">IF(AND(C209&lt;&gt;0, C210=0), SUM($C$2:C209)-SUM($AQ$1:AQ208), "")</f>
        <v/>
      </c>
      <c r="AR209" s="46" t="str">
        <f ca="1">IF(AND(AK209&lt;&gt;0, AK210=0), SUM($AK$2:AK209)-SUM($AR$1:AR208), "")</f>
        <v/>
      </c>
    </row>
    <row r="210" spans="1:44" ht="13.15" customHeight="1">
      <c r="A210" s="59"/>
      <c r="B210" s="68" t="str">
        <f t="shared" si="60"/>
        <v/>
      </c>
      <c r="C210" s="55" cm="1">
        <f t="array" aca="1" ref="C210" ca="1">SUM(IF(ISNUMBER(M210:U210),M210:U210,""))</f>
        <v>0</v>
      </c>
      <c r="D210" s="25" t="str">
        <f t="shared" si="61"/>
        <v/>
      </c>
      <c r="E210" s="25" t="e">
        <f t="shared" si="66"/>
        <v>#VALUE!</v>
      </c>
      <c r="F210" s="25" t="str">
        <f t="shared" si="62"/>
        <v/>
      </c>
      <c r="G210" s="25" t="str">
        <f t="shared" si="63"/>
        <v>.xlsx</v>
      </c>
      <c r="H210" s="29" t="e" cm="1">
        <f t="array" aca="1" ref="H210" ca="1">IF(AND(VALUE(E210)=INDIRECT("'["&amp;G210&amp;"]"&amp;E210&amp;"'!"&amp;$X$2),G210=INDIRECT("'["&amp;G210&amp;"]"&amp;E210&amp;"'!"&amp;$X$3)),INDIRECT("'["&amp;G210&amp;"]"&amp;E210&amp;"'!"&amp;$X$1),0)</f>
        <v>#VALUE!</v>
      </c>
      <c r="I210" s="25" t="str">
        <f t="shared" si="67"/>
        <v/>
      </c>
      <c r="J210" s="32" t="str">
        <f t="shared" si="68"/>
        <v/>
      </c>
      <c r="K210" s="25" t="str">
        <f t="shared" si="69"/>
        <v/>
      </c>
      <c r="L210" s="25" t="str">
        <f t="shared" si="70"/>
        <v/>
      </c>
      <c r="M210" s="33" t="e" cm="1">
        <f t="array" aca="1" ref="M210" ca="1">IF(AND(J210=INDIRECT("'["&amp;G210&amp;"]"&amp;E210&amp;"'!"&amp;$Y$2),G210=INDIRECT("'["&amp;G210&amp;"]"&amp;E210&amp;"'!"&amp;$AH$2)),INDIRECT("'["&amp;G210&amp;"]"&amp;E210&amp;"'!"&amp;$Y$3),0)</f>
        <v>#VALUE!</v>
      </c>
      <c r="N210" s="34" t="e" cm="1">
        <f t="array" aca="1" ref="N210" ca="1">IF(AND(G210=INDIRECT("'["&amp;G210&amp;"]"&amp;E210&amp;"'!"&amp;$AH$2),OR(K210=INDIRECT("'["&amp;G210&amp;"]"&amp;E210&amp;"'!"&amp;$Z$2))),INDIRECT("'["&amp;G210&amp;"]"&amp;E210&amp;"'!"&amp;$Z$3),0)</f>
        <v>#VALUE!</v>
      </c>
      <c r="O210" s="34" t="e" cm="1">
        <f t="array" aca="1" ref="O210" ca="1">IF(AND(G210=INDIRECT("'["&amp;G210&amp;"]"&amp;E210&amp;"'!"&amp;$AH$2),OR(L210=INDIRECT("'["&amp;G210&amp;"]"&amp;E210&amp;"'!"&amp;$AA$2))),INDIRECT("'["&amp;G210&amp;"]"&amp;E210&amp;"'!"&amp;$AA$3),0)</f>
        <v>#VALUE!</v>
      </c>
      <c r="P210" s="34" t="e" cm="1">
        <f t="array" aca="1" ref="P210" ca="1">IF(AND(G210=INDIRECT("'["&amp;G210&amp;"]"&amp;E210&amp;"'!"&amp;$AH$2),OR(VALUE(I210)=INDIRECT("'["&amp;G210&amp;"]"&amp;E210&amp;"'!"&amp;$AB$2))),INDIRECT("'["&amp;G210&amp;"]"&amp;E210&amp;"'!"&amp;$AB$3),0)</f>
        <v>#VALUE!</v>
      </c>
      <c r="Q210" s="34" t="e" cm="1">
        <f t="array" aca="1" ref="Q210" ca="1">IF(AND(G210=INDIRECT("'["&amp;G210&amp;"]"&amp;E210&amp;"'!"&amp;$AH$2),OR(VALUE(I210)=INDIRECT("'["&amp;G210&amp;"]"&amp;E210&amp;"'!"&amp;$AC$2))),INDIRECT("'["&amp;G210&amp;"]"&amp;E210&amp;"'!"&amp;$AC$3),0)</f>
        <v>#VALUE!</v>
      </c>
      <c r="R210" s="34" t="e" cm="1">
        <f t="array" aca="1" ref="R210" ca="1">IF(AND(G210=INDIRECT("'["&amp;G210&amp;"]"&amp;E210&amp;"'!"&amp;$AH$2),OR(I210=INDIRECT("'["&amp;G210&amp;"]"&amp;E210&amp;"'!"&amp;$AD$2))),INDIRECT("'["&amp;G210&amp;"]"&amp;E210&amp;"'!"&amp;$AD$3),0)</f>
        <v>#VALUE!</v>
      </c>
      <c r="S210" s="34" t="e" cm="1">
        <f t="array" aca="1" ref="S210" ca="1">IF(AND(G210=INDIRECT("'["&amp;G210&amp;"]"&amp;E210&amp;"'!"&amp;$AH$2),OR(I210=INDIRECT("'["&amp;G210&amp;"]"&amp;E210&amp;"'!"&amp;$AE$2))),INDIRECT("'["&amp;G210&amp;"]"&amp;E210&amp;"'!"&amp;$AE$3),0)</f>
        <v>#VALUE!</v>
      </c>
      <c r="T210" s="35" t="e" cm="1">
        <f t="array" aca="1" ref="T210" ca="1">IF(AND(G210=INDIRECT("'["&amp;G210&amp;"]"&amp;E210&amp;"'!"&amp;$AH$2),OR(I210=INDIRECT("'["&amp;G210&amp;"]"&amp;E210&amp;"'!"&amp;$AF$2))),INDIRECT("'["&amp;G210&amp;"]"&amp;E210&amp;"'!"&amp;$AF$3),0)</f>
        <v>#VALUE!</v>
      </c>
      <c r="U210" s="34" t="e" cm="1">
        <f t="array" aca="1" ref="U210" ca="1">IF(AND(G210=INDIRECT("'["&amp;G210&amp;"]"&amp;E210&amp;"'!"&amp;$AH$2),OR(I210=INDIRECT("'["&amp;G210&amp;"]"&amp;E210&amp;"'!"&amp;$AG$2))),INDIRECT("'["&amp;G210&amp;"]"&amp;E210&amp;"'!"&amp;$AG$3),0)</f>
        <v>#VALUE!</v>
      </c>
      <c r="V210" s="25" t="str">
        <f t="shared" si="71"/>
        <v/>
      </c>
      <c r="W210" s="36" t="e" cm="1">
        <f t="array" aca="1" ref="W210" ca="1">IF(AND(G210=INDIRECT("'["&amp;G210&amp;"]"&amp;E210&amp;"'!"&amp;$AH$2),OR(V210=INDIRECT("'["&amp;G210&amp;"]"&amp;E210&amp;"'!"&amp;$AI$2))),INDIRECT("'["&amp;G210&amp;"]"&amp;E210&amp;"'!"&amp;$AI$3),0)</f>
        <v>#VALUE!</v>
      </c>
      <c r="AJ210" s="25">
        <v>1</v>
      </c>
      <c r="AK210" s="38">
        <f t="shared" ca="1" si="72"/>
        <v>0</v>
      </c>
      <c r="AL210" s="38">
        <f t="shared" ca="1" si="73"/>
        <v>0</v>
      </c>
      <c r="AM210" s="54" t="str">
        <f t="shared" ca="1" si="64"/>
        <v/>
      </c>
      <c r="AN210" s="25" t="e">
        <f t="shared" ca="1" si="74"/>
        <v>#VALUE!</v>
      </c>
      <c r="AO210" s="25" t="e">
        <f t="shared" ca="1" si="75"/>
        <v>#VALUE!</v>
      </c>
      <c r="AP210" s="39" t="str">
        <f t="shared" ca="1" si="65"/>
        <v/>
      </c>
      <c r="AQ210" s="46" t="str">
        <f ca="1">IF(AND(C210&lt;&gt;0, C211=0), SUM($C$2:C210)-SUM($AQ$1:AQ209), "")</f>
        <v/>
      </c>
      <c r="AR210" s="46" t="str">
        <f ca="1">IF(AND(AK210&lt;&gt;0, AK211=0), SUM($AK$2:AK210)-SUM($AR$1:AR209), "")</f>
        <v/>
      </c>
    </row>
    <row r="211" spans="1:44" ht="13.15" customHeight="1">
      <c r="A211" s="59"/>
      <c r="B211" s="68" t="str">
        <f t="shared" si="60"/>
        <v/>
      </c>
      <c r="C211" s="55" cm="1">
        <f t="array" aca="1" ref="C211" ca="1">SUM(IF(ISNUMBER(M211:U211),M211:U211,""))</f>
        <v>0</v>
      </c>
      <c r="D211" s="25" t="str">
        <f t="shared" si="61"/>
        <v/>
      </c>
      <c r="E211" s="25" t="e">
        <f t="shared" si="66"/>
        <v>#VALUE!</v>
      </c>
      <c r="F211" s="25" t="str">
        <f t="shared" si="62"/>
        <v/>
      </c>
      <c r="G211" s="25" t="str">
        <f t="shared" si="63"/>
        <v>.xlsx</v>
      </c>
      <c r="H211" s="29" t="e" cm="1">
        <f t="array" aca="1" ref="H211" ca="1">IF(AND(VALUE(E211)=INDIRECT("'["&amp;G211&amp;"]"&amp;E211&amp;"'!"&amp;$X$2),G211=INDIRECT("'["&amp;G211&amp;"]"&amp;E211&amp;"'!"&amp;$X$3)),INDIRECT("'["&amp;G211&amp;"]"&amp;E211&amp;"'!"&amp;$X$1),0)</f>
        <v>#VALUE!</v>
      </c>
      <c r="I211" s="25" t="str">
        <f t="shared" si="67"/>
        <v/>
      </c>
      <c r="J211" s="32" t="str">
        <f t="shared" si="68"/>
        <v/>
      </c>
      <c r="K211" s="25" t="str">
        <f t="shared" si="69"/>
        <v/>
      </c>
      <c r="L211" s="25" t="str">
        <f t="shared" si="70"/>
        <v/>
      </c>
      <c r="M211" s="33" t="e" cm="1">
        <f t="array" aca="1" ref="M211" ca="1">IF(AND(J211=INDIRECT("'["&amp;G211&amp;"]"&amp;E211&amp;"'!"&amp;$Y$2),G211=INDIRECT("'["&amp;G211&amp;"]"&amp;E211&amp;"'!"&amp;$AH$2)),INDIRECT("'["&amp;G211&amp;"]"&amp;E211&amp;"'!"&amp;$Y$3),0)</f>
        <v>#VALUE!</v>
      </c>
      <c r="N211" s="34" t="e" cm="1">
        <f t="array" aca="1" ref="N211" ca="1">IF(AND(G211=INDIRECT("'["&amp;G211&amp;"]"&amp;E211&amp;"'!"&amp;$AH$2),OR(K211=INDIRECT("'["&amp;G211&amp;"]"&amp;E211&amp;"'!"&amp;$Z$2))),INDIRECT("'["&amp;G211&amp;"]"&amp;E211&amp;"'!"&amp;$Z$3),0)</f>
        <v>#VALUE!</v>
      </c>
      <c r="O211" s="34" t="e" cm="1">
        <f t="array" aca="1" ref="O211" ca="1">IF(AND(G211=INDIRECT("'["&amp;G211&amp;"]"&amp;E211&amp;"'!"&amp;$AH$2),OR(L211=INDIRECT("'["&amp;G211&amp;"]"&amp;E211&amp;"'!"&amp;$AA$2))),INDIRECT("'["&amp;G211&amp;"]"&amp;E211&amp;"'!"&amp;$AA$3),0)</f>
        <v>#VALUE!</v>
      </c>
      <c r="P211" s="34" t="e" cm="1">
        <f t="array" aca="1" ref="P211" ca="1">IF(AND(G211=INDIRECT("'["&amp;G211&amp;"]"&amp;E211&amp;"'!"&amp;$AH$2),OR(VALUE(I211)=INDIRECT("'["&amp;G211&amp;"]"&amp;E211&amp;"'!"&amp;$AB$2))),INDIRECT("'["&amp;G211&amp;"]"&amp;E211&amp;"'!"&amp;$AB$3),0)</f>
        <v>#VALUE!</v>
      </c>
      <c r="Q211" s="34" t="e" cm="1">
        <f t="array" aca="1" ref="Q211" ca="1">IF(AND(G211=INDIRECT("'["&amp;G211&amp;"]"&amp;E211&amp;"'!"&amp;$AH$2),OR(VALUE(I211)=INDIRECT("'["&amp;G211&amp;"]"&amp;E211&amp;"'!"&amp;$AC$2))),INDIRECT("'["&amp;G211&amp;"]"&amp;E211&amp;"'!"&amp;$AC$3),0)</f>
        <v>#VALUE!</v>
      </c>
      <c r="R211" s="34" t="e" cm="1">
        <f t="array" aca="1" ref="R211" ca="1">IF(AND(G211=INDIRECT("'["&amp;G211&amp;"]"&amp;E211&amp;"'!"&amp;$AH$2),OR(I211=INDIRECT("'["&amp;G211&amp;"]"&amp;E211&amp;"'!"&amp;$AD$2))),INDIRECT("'["&amp;G211&amp;"]"&amp;E211&amp;"'!"&amp;$AD$3),0)</f>
        <v>#VALUE!</v>
      </c>
      <c r="S211" s="34" t="e" cm="1">
        <f t="array" aca="1" ref="S211" ca="1">IF(AND(G211=INDIRECT("'["&amp;G211&amp;"]"&amp;E211&amp;"'!"&amp;$AH$2),OR(I211=INDIRECT("'["&amp;G211&amp;"]"&amp;E211&amp;"'!"&amp;$AE$2))),INDIRECT("'["&amp;G211&amp;"]"&amp;E211&amp;"'!"&amp;$AE$3),0)</f>
        <v>#VALUE!</v>
      </c>
      <c r="T211" s="35" t="e" cm="1">
        <f t="array" aca="1" ref="T211" ca="1">IF(AND(G211=INDIRECT("'["&amp;G211&amp;"]"&amp;E211&amp;"'!"&amp;$AH$2),OR(I211=INDIRECT("'["&amp;G211&amp;"]"&amp;E211&amp;"'!"&amp;$AF$2))),INDIRECT("'["&amp;G211&amp;"]"&amp;E211&amp;"'!"&amp;$AF$3),0)</f>
        <v>#VALUE!</v>
      </c>
      <c r="U211" s="34" t="e" cm="1">
        <f t="array" aca="1" ref="U211" ca="1">IF(AND(G211=INDIRECT("'["&amp;G211&amp;"]"&amp;E211&amp;"'!"&amp;$AH$2),OR(I211=INDIRECT("'["&amp;G211&amp;"]"&amp;E211&amp;"'!"&amp;$AG$2))),INDIRECT("'["&amp;G211&amp;"]"&amp;E211&amp;"'!"&amp;$AG$3),0)</f>
        <v>#VALUE!</v>
      </c>
      <c r="V211" s="25" t="str">
        <f t="shared" si="71"/>
        <v/>
      </c>
      <c r="W211" s="36" t="e" cm="1">
        <f t="array" aca="1" ref="W211" ca="1">IF(AND(G211=INDIRECT("'["&amp;G211&amp;"]"&amp;E211&amp;"'!"&amp;$AH$2),OR(V211=INDIRECT("'["&amp;G211&amp;"]"&amp;E211&amp;"'!"&amp;$AI$2))),INDIRECT("'["&amp;G211&amp;"]"&amp;E211&amp;"'!"&amp;$AI$3),0)</f>
        <v>#VALUE!</v>
      </c>
      <c r="AJ211" s="25">
        <v>1</v>
      </c>
      <c r="AK211" s="38">
        <f t="shared" ca="1" si="72"/>
        <v>0</v>
      </c>
      <c r="AL211" s="38">
        <f t="shared" ca="1" si="73"/>
        <v>0</v>
      </c>
      <c r="AM211" s="54" t="str">
        <f t="shared" ca="1" si="64"/>
        <v/>
      </c>
      <c r="AN211" s="25" t="e">
        <f t="shared" ca="1" si="74"/>
        <v>#VALUE!</v>
      </c>
      <c r="AO211" s="25" t="e">
        <f t="shared" ca="1" si="75"/>
        <v>#VALUE!</v>
      </c>
      <c r="AP211" s="39" t="str">
        <f t="shared" ca="1" si="65"/>
        <v/>
      </c>
      <c r="AQ211" s="46" t="str">
        <f ca="1">IF(AND(C211&lt;&gt;0, C212=0), SUM($C$2:C211)-SUM($AQ$1:AQ210), "")</f>
        <v/>
      </c>
      <c r="AR211" s="46" t="str">
        <f ca="1">IF(AND(AK211&lt;&gt;0, AK212=0), SUM($AK$2:AK211)-SUM($AR$1:AR210), "")</f>
        <v/>
      </c>
    </row>
    <row r="212" spans="1:44" ht="13.15" customHeight="1">
      <c r="A212" s="59"/>
      <c r="B212" s="68" t="str">
        <f t="shared" si="60"/>
        <v/>
      </c>
      <c r="C212" s="55" cm="1">
        <f t="array" aca="1" ref="C212" ca="1">SUM(IF(ISNUMBER(M212:U212),M212:U212,""))</f>
        <v>0</v>
      </c>
      <c r="D212" s="25" t="str">
        <f t="shared" si="61"/>
        <v/>
      </c>
      <c r="E212" s="25" t="e">
        <f t="shared" si="66"/>
        <v>#VALUE!</v>
      </c>
      <c r="F212" s="25" t="str">
        <f t="shared" si="62"/>
        <v/>
      </c>
      <c r="G212" s="25" t="str">
        <f t="shared" si="63"/>
        <v>.xlsx</v>
      </c>
      <c r="H212" s="29" t="e" cm="1">
        <f t="array" aca="1" ref="H212" ca="1">IF(AND(VALUE(E212)=INDIRECT("'["&amp;G212&amp;"]"&amp;E212&amp;"'!"&amp;$X$2),G212=INDIRECT("'["&amp;G212&amp;"]"&amp;E212&amp;"'!"&amp;$X$3)),INDIRECT("'["&amp;G212&amp;"]"&amp;E212&amp;"'!"&amp;$X$1),0)</f>
        <v>#VALUE!</v>
      </c>
      <c r="I212" s="25" t="str">
        <f t="shared" si="67"/>
        <v/>
      </c>
      <c r="J212" s="32" t="str">
        <f t="shared" si="68"/>
        <v/>
      </c>
      <c r="K212" s="25" t="str">
        <f t="shared" si="69"/>
        <v/>
      </c>
      <c r="L212" s="25" t="str">
        <f t="shared" si="70"/>
        <v/>
      </c>
      <c r="M212" s="33" t="e" cm="1">
        <f t="array" aca="1" ref="M212" ca="1">IF(AND(J212=INDIRECT("'["&amp;G212&amp;"]"&amp;E212&amp;"'!"&amp;$Y$2),G212=INDIRECT("'["&amp;G212&amp;"]"&amp;E212&amp;"'!"&amp;$AH$2)),INDIRECT("'["&amp;G212&amp;"]"&amp;E212&amp;"'!"&amp;$Y$3),0)</f>
        <v>#VALUE!</v>
      </c>
      <c r="N212" s="34" t="e" cm="1">
        <f t="array" aca="1" ref="N212" ca="1">IF(AND(G212=INDIRECT("'["&amp;G212&amp;"]"&amp;E212&amp;"'!"&amp;$AH$2),OR(K212=INDIRECT("'["&amp;G212&amp;"]"&amp;E212&amp;"'!"&amp;$Z$2))),INDIRECT("'["&amp;G212&amp;"]"&amp;E212&amp;"'!"&amp;$Z$3),0)</f>
        <v>#VALUE!</v>
      </c>
      <c r="O212" s="34" t="e" cm="1">
        <f t="array" aca="1" ref="O212" ca="1">IF(AND(G212=INDIRECT("'["&amp;G212&amp;"]"&amp;E212&amp;"'!"&amp;$AH$2),OR(L212=INDIRECT("'["&amp;G212&amp;"]"&amp;E212&amp;"'!"&amp;$AA$2))),INDIRECT("'["&amp;G212&amp;"]"&amp;E212&amp;"'!"&amp;$AA$3),0)</f>
        <v>#VALUE!</v>
      </c>
      <c r="P212" s="34" t="e" cm="1">
        <f t="array" aca="1" ref="P212" ca="1">IF(AND(G212=INDIRECT("'["&amp;G212&amp;"]"&amp;E212&amp;"'!"&amp;$AH$2),OR(VALUE(I212)=INDIRECT("'["&amp;G212&amp;"]"&amp;E212&amp;"'!"&amp;$AB$2))),INDIRECT("'["&amp;G212&amp;"]"&amp;E212&amp;"'!"&amp;$AB$3),0)</f>
        <v>#VALUE!</v>
      </c>
      <c r="Q212" s="34" t="e" cm="1">
        <f t="array" aca="1" ref="Q212" ca="1">IF(AND(G212=INDIRECT("'["&amp;G212&amp;"]"&amp;E212&amp;"'!"&amp;$AH$2),OR(VALUE(I212)=INDIRECT("'["&amp;G212&amp;"]"&amp;E212&amp;"'!"&amp;$AC$2))),INDIRECT("'["&amp;G212&amp;"]"&amp;E212&amp;"'!"&amp;$AC$3),0)</f>
        <v>#VALUE!</v>
      </c>
      <c r="R212" s="34" t="e" cm="1">
        <f t="array" aca="1" ref="R212" ca="1">IF(AND(G212=INDIRECT("'["&amp;G212&amp;"]"&amp;E212&amp;"'!"&amp;$AH$2),OR(I212=INDIRECT("'["&amp;G212&amp;"]"&amp;E212&amp;"'!"&amp;$AD$2))),INDIRECT("'["&amp;G212&amp;"]"&amp;E212&amp;"'!"&amp;$AD$3),0)</f>
        <v>#VALUE!</v>
      </c>
      <c r="S212" s="34" t="e" cm="1">
        <f t="array" aca="1" ref="S212" ca="1">IF(AND(G212=INDIRECT("'["&amp;G212&amp;"]"&amp;E212&amp;"'!"&amp;$AH$2),OR(I212=INDIRECT("'["&amp;G212&amp;"]"&amp;E212&amp;"'!"&amp;$AE$2))),INDIRECT("'["&amp;G212&amp;"]"&amp;E212&amp;"'!"&amp;$AE$3),0)</f>
        <v>#VALUE!</v>
      </c>
      <c r="T212" s="35" t="e" cm="1">
        <f t="array" aca="1" ref="T212" ca="1">IF(AND(G212=INDIRECT("'["&amp;G212&amp;"]"&amp;E212&amp;"'!"&amp;$AH$2),OR(I212=INDIRECT("'["&amp;G212&amp;"]"&amp;E212&amp;"'!"&amp;$AF$2))),INDIRECT("'["&amp;G212&amp;"]"&amp;E212&amp;"'!"&amp;$AF$3),0)</f>
        <v>#VALUE!</v>
      </c>
      <c r="U212" s="34" t="e" cm="1">
        <f t="array" aca="1" ref="U212" ca="1">IF(AND(G212=INDIRECT("'["&amp;G212&amp;"]"&amp;E212&amp;"'!"&amp;$AH$2),OR(I212=INDIRECT("'["&amp;G212&amp;"]"&amp;E212&amp;"'!"&amp;$AG$2))),INDIRECT("'["&amp;G212&amp;"]"&amp;E212&amp;"'!"&amp;$AG$3),0)</f>
        <v>#VALUE!</v>
      </c>
      <c r="V212" s="25" t="str">
        <f t="shared" si="71"/>
        <v/>
      </c>
      <c r="W212" s="36" t="e" cm="1">
        <f t="array" aca="1" ref="W212" ca="1">IF(AND(G212=INDIRECT("'["&amp;G212&amp;"]"&amp;E212&amp;"'!"&amp;$AH$2),OR(V212=INDIRECT("'["&amp;G212&amp;"]"&amp;E212&amp;"'!"&amp;$AI$2))),INDIRECT("'["&amp;G212&amp;"]"&amp;E212&amp;"'!"&amp;$AI$3),0)</f>
        <v>#VALUE!</v>
      </c>
      <c r="AJ212" s="25">
        <v>1</v>
      </c>
      <c r="AK212" s="38">
        <f t="shared" ca="1" si="72"/>
        <v>0</v>
      </c>
      <c r="AL212" s="38">
        <f t="shared" ca="1" si="73"/>
        <v>0</v>
      </c>
      <c r="AM212" s="54" t="str">
        <f t="shared" ca="1" si="64"/>
        <v/>
      </c>
      <c r="AN212" s="25" t="e">
        <f t="shared" ca="1" si="74"/>
        <v>#VALUE!</v>
      </c>
      <c r="AO212" s="25" t="e">
        <f t="shared" ca="1" si="75"/>
        <v>#VALUE!</v>
      </c>
      <c r="AP212" s="39" t="str">
        <f t="shared" ca="1" si="65"/>
        <v/>
      </c>
      <c r="AQ212" s="46" t="str">
        <f ca="1">IF(AND(C212&lt;&gt;0, C213=0), SUM($C$2:C212)-SUM($AQ$1:AQ211), "")</f>
        <v/>
      </c>
      <c r="AR212" s="46" t="str">
        <f ca="1">IF(AND(AK212&lt;&gt;0, AK213=0), SUM($AK$2:AK212)-SUM($AR$1:AR211), "")</f>
        <v/>
      </c>
    </row>
    <row r="213" spans="1:44" ht="13.15" customHeight="1">
      <c r="A213" s="31"/>
      <c r="B213" s="68" t="str">
        <f t="shared" si="60"/>
        <v/>
      </c>
      <c r="C213" s="55" cm="1">
        <f t="array" aca="1" ref="C213" ca="1">SUM(IF(ISNUMBER(M213:U213),M213:U213,""))</f>
        <v>0</v>
      </c>
      <c r="D213" s="25" t="str">
        <f t="shared" si="61"/>
        <v/>
      </c>
      <c r="E213" s="25" t="e">
        <f t="shared" si="66"/>
        <v>#VALUE!</v>
      </c>
      <c r="F213" s="25" t="str">
        <f t="shared" si="62"/>
        <v/>
      </c>
      <c r="G213" s="25" t="str">
        <f t="shared" si="63"/>
        <v>.xlsx</v>
      </c>
      <c r="H213" s="29" t="e" cm="1">
        <f t="array" aca="1" ref="H213" ca="1">IF(AND(VALUE(E213)=INDIRECT("'["&amp;G213&amp;"]"&amp;E213&amp;"'!"&amp;$X$2),G213=INDIRECT("'["&amp;G213&amp;"]"&amp;E213&amp;"'!"&amp;$X$3)),INDIRECT("'["&amp;G213&amp;"]"&amp;E213&amp;"'!"&amp;$X$1),0)</f>
        <v>#VALUE!</v>
      </c>
      <c r="I213" s="25" t="str">
        <f t="shared" si="67"/>
        <v/>
      </c>
      <c r="J213" s="32" t="str">
        <f t="shared" si="68"/>
        <v/>
      </c>
      <c r="K213" s="25" t="str">
        <f t="shared" si="69"/>
        <v/>
      </c>
      <c r="L213" s="25" t="str">
        <f t="shared" si="70"/>
        <v/>
      </c>
      <c r="M213" s="33" t="e" cm="1">
        <f t="array" aca="1" ref="M213" ca="1">IF(AND(J213=INDIRECT("'["&amp;G213&amp;"]"&amp;E213&amp;"'!"&amp;$Y$2),G213=INDIRECT("'["&amp;G213&amp;"]"&amp;E213&amp;"'!"&amp;$AH$2)),INDIRECT("'["&amp;G213&amp;"]"&amp;E213&amp;"'!"&amp;$Y$3),0)</f>
        <v>#VALUE!</v>
      </c>
      <c r="N213" s="34" t="e" cm="1">
        <f t="array" aca="1" ref="N213" ca="1">IF(AND(G213=INDIRECT("'["&amp;G213&amp;"]"&amp;E213&amp;"'!"&amp;$AH$2),OR(K213=INDIRECT("'["&amp;G213&amp;"]"&amp;E213&amp;"'!"&amp;$Z$2))),INDIRECT("'["&amp;G213&amp;"]"&amp;E213&amp;"'!"&amp;$Z$3),0)</f>
        <v>#VALUE!</v>
      </c>
      <c r="O213" s="34" t="e" cm="1">
        <f t="array" aca="1" ref="O213" ca="1">IF(AND(G213=INDIRECT("'["&amp;G213&amp;"]"&amp;E213&amp;"'!"&amp;$AH$2),OR(L213=INDIRECT("'["&amp;G213&amp;"]"&amp;E213&amp;"'!"&amp;$AA$2))),INDIRECT("'["&amp;G213&amp;"]"&amp;E213&amp;"'!"&amp;$AA$3),0)</f>
        <v>#VALUE!</v>
      </c>
      <c r="P213" s="34" t="e" cm="1">
        <f t="array" aca="1" ref="P213" ca="1">IF(AND(G213=INDIRECT("'["&amp;G213&amp;"]"&amp;E213&amp;"'!"&amp;$AH$2),OR(VALUE(I213)=INDIRECT("'["&amp;G213&amp;"]"&amp;E213&amp;"'!"&amp;$AB$2))),INDIRECT("'["&amp;G213&amp;"]"&amp;E213&amp;"'!"&amp;$AB$3),0)</f>
        <v>#VALUE!</v>
      </c>
      <c r="Q213" s="34" t="e" cm="1">
        <f t="array" aca="1" ref="Q213" ca="1">IF(AND(G213=INDIRECT("'["&amp;G213&amp;"]"&amp;E213&amp;"'!"&amp;$AH$2),OR(VALUE(I213)=INDIRECT("'["&amp;G213&amp;"]"&amp;E213&amp;"'!"&amp;$AC$2))),INDIRECT("'["&amp;G213&amp;"]"&amp;E213&amp;"'!"&amp;$AC$3),0)</f>
        <v>#VALUE!</v>
      </c>
      <c r="R213" s="34" t="e" cm="1">
        <f t="array" aca="1" ref="R213" ca="1">IF(AND(G213=INDIRECT("'["&amp;G213&amp;"]"&amp;E213&amp;"'!"&amp;$AH$2),OR(I213=INDIRECT("'["&amp;G213&amp;"]"&amp;E213&amp;"'!"&amp;$AD$2))),INDIRECT("'["&amp;G213&amp;"]"&amp;E213&amp;"'!"&amp;$AD$3),0)</f>
        <v>#VALUE!</v>
      </c>
      <c r="S213" s="34" t="e" cm="1">
        <f t="array" aca="1" ref="S213" ca="1">IF(AND(G213=INDIRECT("'["&amp;G213&amp;"]"&amp;E213&amp;"'!"&amp;$AH$2),OR(I213=INDIRECT("'["&amp;G213&amp;"]"&amp;E213&amp;"'!"&amp;$AE$2))),INDIRECT("'["&amp;G213&amp;"]"&amp;E213&amp;"'!"&amp;$AE$3),0)</f>
        <v>#VALUE!</v>
      </c>
      <c r="T213" s="35" t="e" cm="1">
        <f t="array" aca="1" ref="T213" ca="1">IF(AND(G213=INDIRECT("'["&amp;G213&amp;"]"&amp;E213&amp;"'!"&amp;$AH$2),OR(I213=INDIRECT("'["&amp;G213&amp;"]"&amp;E213&amp;"'!"&amp;$AF$2))),INDIRECT("'["&amp;G213&amp;"]"&amp;E213&amp;"'!"&amp;$AF$3),0)</f>
        <v>#VALUE!</v>
      </c>
      <c r="U213" s="34" t="e" cm="1">
        <f t="array" aca="1" ref="U213" ca="1">IF(AND(G213=INDIRECT("'["&amp;G213&amp;"]"&amp;E213&amp;"'!"&amp;$AH$2),OR(I213=INDIRECT("'["&amp;G213&amp;"]"&amp;E213&amp;"'!"&amp;$AG$2))),INDIRECT("'["&amp;G213&amp;"]"&amp;E213&amp;"'!"&amp;$AG$3),0)</f>
        <v>#VALUE!</v>
      </c>
      <c r="V213" s="25" t="str">
        <f t="shared" si="71"/>
        <v/>
      </c>
      <c r="W213" s="36" t="e" cm="1">
        <f t="array" aca="1" ref="W213" ca="1">IF(AND(G213=INDIRECT("'["&amp;G213&amp;"]"&amp;E213&amp;"'!"&amp;$AH$2),OR(V213=INDIRECT("'["&amp;G213&amp;"]"&amp;E213&amp;"'!"&amp;$AI$2))),INDIRECT("'["&amp;G213&amp;"]"&amp;E213&amp;"'!"&amp;$AI$3),0)</f>
        <v>#VALUE!</v>
      </c>
      <c r="AJ213" s="25">
        <v>1</v>
      </c>
      <c r="AK213" s="38">
        <f t="shared" ca="1" si="72"/>
        <v>0</v>
      </c>
      <c r="AL213" s="38">
        <f t="shared" ca="1" si="73"/>
        <v>0</v>
      </c>
      <c r="AM213" s="54" t="str">
        <f t="shared" ca="1" si="64"/>
        <v/>
      </c>
      <c r="AN213" s="25" t="e">
        <f t="shared" ca="1" si="74"/>
        <v>#VALUE!</v>
      </c>
      <c r="AO213" s="25" t="e">
        <f t="shared" ca="1" si="75"/>
        <v>#VALUE!</v>
      </c>
      <c r="AP213" s="39" t="str">
        <f t="shared" ca="1" si="65"/>
        <v/>
      </c>
      <c r="AQ213" s="46" t="str">
        <f ca="1">IF(AND(C213&lt;&gt;0, C214=0), SUM($C$2:C213)-SUM($AQ$1:AQ212), "")</f>
        <v/>
      </c>
      <c r="AR213" s="46" t="str">
        <f ca="1">IF(AND(AK213&lt;&gt;0, AK214=0), SUM($AK$2:AK213)-SUM($AR$1:AR212), "")</f>
        <v/>
      </c>
    </row>
    <row r="214" spans="1:44" ht="13.15" customHeight="1">
      <c r="A214" s="31"/>
      <c r="B214" s="68" t="str">
        <f t="shared" si="60"/>
        <v/>
      </c>
      <c r="C214" s="55" cm="1">
        <f t="array" aca="1" ref="C214" ca="1">SUM(IF(ISNUMBER(M214:U214),M214:U214,""))</f>
        <v>0</v>
      </c>
      <c r="D214" s="25" t="str">
        <f t="shared" si="61"/>
        <v/>
      </c>
      <c r="E214" s="25" t="e">
        <f t="shared" si="66"/>
        <v>#VALUE!</v>
      </c>
      <c r="F214" s="25" t="str">
        <f t="shared" si="62"/>
        <v/>
      </c>
      <c r="G214" s="25" t="str">
        <f t="shared" si="63"/>
        <v>.xlsx</v>
      </c>
      <c r="H214" s="29" t="e" cm="1">
        <f t="array" aca="1" ref="H214" ca="1">IF(AND(VALUE(E214)=INDIRECT("'["&amp;G214&amp;"]"&amp;E214&amp;"'!"&amp;$X$2),G214=INDIRECT("'["&amp;G214&amp;"]"&amp;E214&amp;"'!"&amp;$X$3)),INDIRECT("'["&amp;G214&amp;"]"&amp;E214&amp;"'!"&amp;$X$1),0)</f>
        <v>#VALUE!</v>
      </c>
      <c r="I214" s="25" t="str">
        <f t="shared" si="67"/>
        <v/>
      </c>
      <c r="J214" s="32" t="str">
        <f t="shared" si="68"/>
        <v/>
      </c>
      <c r="K214" s="25" t="str">
        <f t="shared" si="69"/>
        <v/>
      </c>
      <c r="L214" s="25" t="str">
        <f t="shared" si="70"/>
        <v/>
      </c>
      <c r="M214" s="33" t="e" cm="1">
        <f t="array" aca="1" ref="M214" ca="1">IF(AND(J214=INDIRECT("'["&amp;G214&amp;"]"&amp;E214&amp;"'!"&amp;$Y$2),G214=INDIRECT("'["&amp;G214&amp;"]"&amp;E214&amp;"'!"&amp;$AH$2)),INDIRECT("'["&amp;G214&amp;"]"&amp;E214&amp;"'!"&amp;$Y$3),0)</f>
        <v>#VALUE!</v>
      </c>
      <c r="N214" s="34" t="e" cm="1">
        <f t="array" aca="1" ref="N214" ca="1">IF(AND(G214=INDIRECT("'["&amp;G214&amp;"]"&amp;E214&amp;"'!"&amp;$AH$2),OR(K214=INDIRECT("'["&amp;G214&amp;"]"&amp;E214&amp;"'!"&amp;$Z$2))),INDIRECT("'["&amp;G214&amp;"]"&amp;E214&amp;"'!"&amp;$Z$3),0)</f>
        <v>#VALUE!</v>
      </c>
      <c r="O214" s="34" t="e" cm="1">
        <f t="array" aca="1" ref="O214" ca="1">IF(AND(G214=INDIRECT("'["&amp;G214&amp;"]"&amp;E214&amp;"'!"&amp;$AH$2),OR(L214=INDIRECT("'["&amp;G214&amp;"]"&amp;E214&amp;"'!"&amp;$AA$2))),INDIRECT("'["&amp;G214&amp;"]"&amp;E214&amp;"'!"&amp;$AA$3),0)</f>
        <v>#VALUE!</v>
      </c>
      <c r="P214" s="34" t="e" cm="1">
        <f t="array" aca="1" ref="P214" ca="1">IF(AND(G214=INDIRECT("'["&amp;G214&amp;"]"&amp;E214&amp;"'!"&amp;$AH$2),OR(VALUE(I214)=INDIRECT("'["&amp;G214&amp;"]"&amp;E214&amp;"'!"&amp;$AB$2))),INDIRECT("'["&amp;G214&amp;"]"&amp;E214&amp;"'!"&amp;$AB$3),0)</f>
        <v>#VALUE!</v>
      </c>
      <c r="Q214" s="34" t="e" cm="1">
        <f t="array" aca="1" ref="Q214" ca="1">IF(AND(G214=INDIRECT("'["&amp;G214&amp;"]"&amp;E214&amp;"'!"&amp;$AH$2),OR(VALUE(I214)=INDIRECT("'["&amp;G214&amp;"]"&amp;E214&amp;"'!"&amp;$AC$2))),INDIRECT("'["&amp;G214&amp;"]"&amp;E214&amp;"'!"&amp;$AC$3),0)</f>
        <v>#VALUE!</v>
      </c>
      <c r="R214" s="34" t="e" cm="1">
        <f t="array" aca="1" ref="R214" ca="1">IF(AND(G214=INDIRECT("'["&amp;G214&amp;"]"&amp;E214&amp;"'!"&amp;$AH$2),OR(I214=INDIRECT("'["&amp;G214&amp;"]"&amp;E214&amp;"'!"&amp;$AD$2))),INDIRECT("'["&amp;G214&amp;"]"&amp;E214&amp;"'!"&amp;$AD$3),0)</f>
        <v>#VALUE!</v>
      </c>
      <c r="S214" s="34" t="e" cm="1">
        <f t="array" aca="1" ref="S214" ca="1">IF(AND(G214=INDIRECT("'["&amp;G214&amp;"]"&amp;E214&amp;"'!"&amp;$AH$2),OR(I214=INDIRECT("'["&amp;G214&amp;"]"&amp;E214&amp;"'!"&amp;$AE$2))),INDIRECT("'["&amp;G214&amp;"]"&amp;E214&amp;"'!"&amp;$AE$3),0)</f>
        <v>#VALUE!</v>
      </c>
      <c r="T214" s="35" t="e" cm="1">
        <f t="array" aca="1" ref="T214" ca="1">IF(AND(G214=INDIRECT("'["&amp;G214&amp;"]"&amp;E214&amp;"'!"&amp;$AH$2),OR(I214=INDIRECT("'["&amp;G214&amp;"]"&amp;E214&amp;"'!"&amp;$AF$2))),INDIRECT("'["&amp;G214&amp;"]"&amp;E214&amp;"'!"&amp;$AF$3),0)</f>
        <v>#VALUE!</v>
      </c>
      <c r="U214" s="34" t="e" cm="1">
        <f t="array" aca="1" ref="U214" ca="1">IF(AND(G214=INDIRECT("'["&amp;G214&amp;"]"&amp;E214&amp;"'!"&amp;$AH$2),OR(I214=INDIRECT("'["&amp;G214&amp;"]"&amp;E214&amp;"'!"&amp;$AG$2))),INDIRECT("'["&amp;G214&amp;"]"&amp;E214&amp;"'!"&amp;$AG$3),0)</f>
        <v>#VALUE!</v>
      </c>
      <c r="V214" s="25" t="str">
        <f t="shared" si="71"/>
        <v/>
      </c>
      <c r="W214" s="36" t="e" cm="1">
        <f t="array" aca="1" ref="W214" ca="1">IF(AND(G214=INDIRECT("'["&amp;G214&amp;"]"&amp;E214&amp;"'!"&amp;$AH$2),OR(V214=INDIRECT("'["&amp;G214&amp;"]"&amp;E214&amp;"'!"&amp;$AI$2))),INDIRECT("'["&amp;G214&amp;"]"&amp;E214&amp;"'!"&amp;$AI$3),0)</f>
        <v>#VALUE!</v>
      </c>
      <c r="AJ214" s="25">
        <v>1</v>
      </c>
      <c r="AK214" s="38">
        <f t="shared" ca="1" si="72"/>
        <v>0</v>
      </c>
      <c r="AL214" s="38">
        <f t="shared" ca="1" si="73"/>
        <v>0</v>
      </c>
      <c r="AM214" s="54" t="str">
        <f t="shared" ca="1" si="64"/>
        <v/>
      </c>
      <c r="AN214" s="25" t="e">
        <f t="shared" ca="1" si="74"/>
        <v>#VALUE!</v>
      </c>
      <c r="AO214" s="25" t="e">
        <f t="shared" ca="1" si="75"/>
        <v>#VALUE!</v>
      </c>
      <c r="AP214" s="39" t="str">
        <f t="shared" ca="1" si="65"/>
        <v/>
      </c>
      <c r="AQ214" s="46" t="str">
        <f ca="1">IF(AND(C214&lt;&gt;0, C215=0), SUM($C$2:C214)-SUM($AQ$1:AQ213), "")</f>
        <v/>
      </c>
      <c r="AR214" s="46" t="str">
        <f ca="1">IF(AND(AK214&lt;&gt;0, AK215=0), SUM($AK$2:AK214)-SUM($AR$1:AR213), "")</f>
        <v/>
      </c>
    </row>
    <row r="215" spans="1:44" ht="13.15" customHeight="1">
      <c r="A215" s="31"/>
      <c r="B215" s="68" t="str">
        <f t="shared" si="60"/>
        <v/>
      </c>
      <c r="C215" s="55" cm="1">
        <f t="array" aca="1" ref="C215" ca="1">SUM(IF(ISNUMBER(M215:U215),M215:U215,""))</f>
        <v>0</v>
      </c>
      <c r="D215" s="25" t="str">
        <f t="shared" si="61"/>
        <v/>
      </c>
      <c r="E215" s="25" t="e">
        <f t="shared" si="66"/>
        <v>#VALUE!</v>
      </c>
      <c r="F215" s="25" t="str">
        <f t="shared" si="62"/>
        <v/>
      </c>
      <c r="G215" s="25" t="str">
        <f t="shared" si="63"/>
        <v>.xlsx</v>
      </c>
      <c r="H215" s="29" t="e" cm="1">
        <f t="array" aca="1" ref="H215" ca="1">IF(AND(VALUE(E215)=INDIRECT("'["&amp;G215&amp;"]"&amp;E215&amp;"'!"&amp;$X$2),G215=INDIRECT("'["&amp;G215&amp;"]"&amp;E215&amp;"'!"&amp;$X$3)),INDIRECT("'["&amp;G215&amp;"]"&amp;E215&amp;"'!"&amp;$X$1),0)</f>
        <v>#VALUE!</v>
      </c>
      <c r="I215" s="25" t="str">
        <f t="shared" si="67"/>
        <v/>
      </c>
      <c r="J215" s="32" t="str">
        <f t="shared" si="68"/>
        <v/>
      </c>
      <c r="K215" s="25" t="str">
        <f t="shared" si="69"/>
        <v/>
      </c>
      <c r="L215" s="25" t="str">
        <f t="shared" si="70"/>
        <v/>
      </c>
      <c r="M215" s="33" t="e" cm="1">
        <f t="array" aca="1" ref="M215" ca="1">IF(AND(J215=INDIRECT("'["&amp;G215&amp;"]"&amp;E215&amp;"'!"&amp;$Y$2),G215=INDIRECT("'["&amp;G215&amp;"]"&amp;E215&amp;"'!"&amp;$AH$2)),INDIRECT("'["&amp;G215&amp;"]"&amp;E215&amp;"'!"&amp;$Y$3),0)</f>
        <v>#VALUE!</v>
      </c>
      <c r="N215" s="34" t="e" cm="1">
        <f t="array" aca="1" ref="N215" ca="1">IF(AND(G215=INDIRECT("'["&amp;G215&amp;"]"&amp;E215&amp;"'!"&amp;$AH$2),OR(K215=INDIRECT("'["&amp;G215&amp;"]"&amp;E215&amp;"'!"&amp;$Z$2))),INDIRECT("'["&amp;G215&amp;"]"&amp;E215&amp;"'!"&amp;$Z$3),0)</f>
        <v>#VALUE!</v>
      </c>
      <c r="O215" s="34" t="e" cm="1">
        <f t="array" aca="1" ref="O215" ca="1">IF(AND(G215=INDIRECT("'["&amp;G215&amp;"]"&amp;E215&amp;"'!"&amp;$AH$2),OR(L215=INDIRECT("'["&amp;G215&amp;"]"&amp;E215&amp;"'!"&amp;$AA$2))),INDIRECT("'["&amp;G215&amp;"]"&amp;E215&amp;"'!"&amp;$AA$3),0)</f>
        <v>#VALUE!</v>
      </c>
      <c r="P215" s="34" t="e" cm="1">
        <f t="array" aca="1" ref="P215" ca="1">IF(AND(G215=INDIRECT("'["&amp;G215&amp;"]"&amp;E215&amp;"'!"&amp;$AH$2),OR(VALUE(I215)=INDIRECT("'["&amp;G215&amp;"]"&amp;E215&amp;"'!"&amp;$AB$2))),INDIRECT("'["&amp;G215&amp;"]"&amp;E215&amp;"'!"&amp;$AB$3),0)</f>
        <v>#VALUE!</v>
      </c>
      <c r="Q215" s="34" t="e" cm="1">
        <f t="array" aca="1" ref="Q215" ca="1">IF(AND(G215=INDIRECT("'["&amp;G215&amp;"]"&amp;E215&amp;"'!"&amp;$AH$2),OR(VALUE(I215)=INDIRECT("'["&amp;G215&amp;"]"&amp;E215&amp;"'!"&amp;$AC$2))),INDIRECT("'["&amp;G215&amp;"]"&amp;E215&amp;"'!"&amp;$AC$3),0)</f>
        <v>#VALUE!</v>
      </c>
      <c r="R215" s="34" t="e" cm="1">
        <f t="array" aca="1" ref="R215" ca="1">IF(AND(G215=INDIRECT("'["&amp;G215&amp;"]"&amp;E215&amp;"'!"&amp;$AH$2),OR(I215=INDIRECT("'["&amp;G215&amp;"]"&amp;E215&amp;"'!"&amp;$AD$2))),INDIRECT("'["&amp;G215&amp;"]"&amp;E215&amp;"'!"&amp;$AD$3),0)</f>
        <v>#VALUE!</v>
      </c>
      <c r="S215" s="34" t="e" cm="1">
        <f t="array" aca="1" ref="S215" ca="1">IF(AND(G215=INDIRECT("'["&amp;G215&amp;"]"&amp;E215&amp;"'!"&amp;$AH$2),OR(I215=INDIRECT("'["&amp;G215&amp;"]"&amp;E215&amp;"'!"&amp;$AE$2))),INDIRECT("'["&amp;G215&amp;"]"&amp;E215&amp;"'!"&amp;$AE$3),0)</f>
        <v>#VALUE!</v>
      </c>
      <c r="T215" s="35" t="e" cm="1">
        <f t="array" aca="1" ref="T215" ca="1">IF(AND(G215=INDIRECT("'["&amp;G215&amp;"]"&amp;E215&amp;"'!"&amp;$AH$2),OR(I215=INDIRECT("'["&amp;G215&amp;"]"&amp;E215&amp;"'!"&amp;$AF$2))),INDIRECT("'["&amp;G215&amp;"]"&amp;E215&amp;"'!"&amp;$AF$3),0)</f>
        <v>#VALUE!</v>
      </c>
      <c r="U215" s="34" t="e" cm="1">
        <f t="array" aca="1" ref="U215" ca="1">IF(AND(G215=INDIRECT("'["&amp;G215&amp;"]"&amp;E215&amp;"'!"&amp;$AH$2),OR(I215=INDIRECT("'["&amp;G215&amp;"]"&amp;E215&amp;"'!"&amp;$AG$2))),INDIRECT("'["&amp;G215&amp;"]"&amp;E215&amp;"'!"&amp;$AG$3),0)</f>
        <v>#VALUE!</v>
      </c>
      <c r="V215" s="25" t="str">
        <f t="shared" si="71"/>
        <v/>
      </c>
      <c r="W215" s="36" t="e" cm="1">
        <f t="array" aca="1" ref="W215" ca="1">IF(AND(G215=INDIRECT("'["&amp;G215&amp;"]"&amp;E215&amp;"'!"&amp;$AH$2),OR(V215=INDIRECT("'["&amp;G215&amp;"]"&amp;E215&amp;"'!"&amp;$AI$2))),INDIRECT("'["&amp;G215&amp;"]"&amp;E215&amp;"'!"&amp;$AI$3),0)</f>
        <v>#VALUE!</v>
      </c>
      <c r="AJ215" s="25">
        <v>1</v>
      </c>
      <c r="AK215" s="38">
        <f t="shared" ca="1" si="72"/>
        <v>0</v>
      </c>
      <c r="AL215" s="38">
        <f t="shared" ca="1" si="73"/>
        <v>0</v>
      </c>
      <c r="AM215" s="54" t="str">
        <f t="shared" ca="1" si="64"/>
        <v/>
      </c>
      <c r="AN215" s="25" t="e">
        <f t="shared" ca="1" si="74"/>
        <v>#VALUE!</v>
      </c>
      <c r="AO215" s="25" t="e">
        <f t="shared" ca="1" si="75"/>
        <v>#VALUE!</v>
      </c>
      <c r="AP215" s="39" t="str">
        <f t="shared" ca="1" si="65"/>
        <v/>
      </c>
      <c r="AQ215" s="46" t="str">
        <f ca="1">IF(AND(C215&lt;&gt;0, C216=0), SUM($C$2:C215)-SUM($AQ$1:AQ214), "")</f>
        <v/>
      </c>
      <c r="AR215" s="46" t="str">
        <f ca="1">IF(AND(AK215&lt;&gt;0, AK216=0), SUM($AK$2:AK215)-SUM($AR$1:AR214), "")</f>
        <v/>
      </c>
    </row>
    <row r="216" spans="1:44" ht="13.15" customHeight="1">
      <c r="A216" s="59"/>
      <c r="B216" s="68" t="str">
        <f t="shared" si="60"/>
        <v/>
      </c>
      <c r="C216" s="55" cm="1">
        <f t="array" aca="1" ref="C216" ca="1">SUM(IF(ISNUMBER(M216:U216),M216:U216,""))</f>
        <v>0</v>
      </c>
      <c r="D216" s="25" t="str">
        <f t="shared" ref="D216:D279" si="76">MID(A216,4,2)</f>
        <v/>
      </c>
      <c r="E216" s="25" t="e">
        <f t="shared" si="66"/>
        <v>#VALUE!</v>
      </c>
      <c r="F216" s="25" t="str">
        <f t="shared" ref="F216:F279" si="77">LEFT(A216,2)</f>
        <v/>
      </c>
      <c r="G216" s="25" t="str">
        <f t="shared" si="63"/>
        <v>.xlsx</v>
      </c>
      <c r="H216" s="29" t="e" cm="1">
        <f t="array" aca="1" ref="H216" ca="1">IF(AND(VALUE(E216)=INDIRECT("'["&amp;G216&amp;"]"&amp;E216&amp;"'!"&amp;$X$2),G216=INDIRECT("'["&amp;G216&amp;"]"&amp;E216&amp;"'!"&amp;$X$3)),INDIRECT("'["&amp;G216&amp;"]"&amp;E216&amp;"'!"&amp;$X$1),0)</f>
        <v>#VALUE!</v>
      </c>
      <c r="I216" s="25" t="str">
        <f t="shared" si="67"/>
        <v/>
      </c>
      <c r="J216" s="32" t="str">
        <f t="shared" si="68"/>
        <v/>
      </c>
      <c r="K216" s="25" t="str">
        <f t="shared" si="69"/>
        <v/>
      </c>
      <c r="L216" s="25" t="str">
        <f t="shared" si="70"/>
        <v/>
      </c>
      <c r="M216" s="33" t="e" cm="1">
        <f t="array" aca="1" ref="M216" ca="1">IF(AND(J216=INDIRECT("'["&amp;G216&amp;"]"&amp;E216&amp;"'!"&amp;$Y$2),G216=INDIRECT("'["&amp;G216&amp;"]"&amp;E216&amp;"'!"&amp;$AH$2)),INDIRECT("'["&amp;G216&amp;"]"&amp;E216&amp;"'!"&amp;$Y$3),0)</f>
        <v>#VALUE!</v>
      </c>
      <c r="N216" s="34" t="e" cm="1">
        <f t="array" aca="1" ref="N216" ca="1">IF(AND(G216=INDIRECT("'["&amp;G216&amp;"]"&amp;E216&amp;"'!"&amp;$AH$2),OR(K216=INDIRECT("'["&amp;G216&amp;"]"&amp;E216&amp;"'!"&amp;$Z$2))),INDIRECT("'["&amp;G216&amp;"]"&amp;E216&amp;"'!"&amp;$Z$3),0)</f>
        <v>#VALUE!</v>
      </c>
      <c r="O216" s="34" t="e" cm="1">
        <f t="array" aca="1" ref="O216" ca="1">IF(AND(G216=INDIRECT("'["&amp;G216&amp;"]"&amp;E216&amp;"'!"&amp;$AH$2),OR(L216=INDIRECT("'["&amp;G216&amp;"]"&amp;E216&amp;"'!"&amp;$AA$2))),INDIRECT("'["&amp;G216&amp;"]"&amp;E216&amp;"'!"&amp;$AA$3),0)</f>
        <v>#VALUE!</v>
      </c>
      <c r="P216" s="34" t="e" cm="1">
        <f t="array" aca="1" ref="P216" ca="1">IF(AND(G216=INDIRECT("'["&amp;G216&amp;"]"&amp;E216&amp;"'!"&amp;$AH$2),OR(VALUE(I216)=INDIRECT("'["&amp;G216&amp;"]"&amp;E216&amp;"'!"&amp;$AB$2))),INDIRECT("'["&amp;G216&amp;"]"&amp;E216&amp;"'!"&amp;$AB$3),0)</f>
        <v>#VALUE!</v>
      </c>
      <c r="Q216" s="34" t="e" cm="1">
        <f t="array" aca="1" ref="Q216" ca="1">IF(AND(G216=INDIRECT("'["&amp;G216&amp;"]"&amp;E216&amp;"'!"&amp;$AH$2),OR(VALUE(I216)=INDIRECT("'["&amp;G216&amp;"]"&amp;E216&amp;"'!"&amp;$AC$2))),INDIRECT("'["&amp;G216&amp;"]"&amp;E216&amp;"'!"&amp;$AC$3),0)</f>
        <v>#VALUE!</v>
      </c>
      <c r="R216" s="34" t="e" cm="1">
        <f t="array" aca="1" ref="R216" ca="1">IF(AND(G216=INDIRECT("'["&amp;G216&amp;"]"&amp;E216&amp;"'!"&amp;$AH$2),OR(I216=INDIRECT("'["&amp;G216&amp;"]"&amp;E216&amp;"'!"&amp;$AD$2))),INDIRECT("'["&amp;G216&amp;"]"&amp;E216&amp;"'!"&amp;$AD$3),0)</f>
        <v>#VALUE!</v>
      </c>
      <c r="S216" s="34" t="e" cm="1">
        <f t="array" aca="1" ref="S216" ca="1">IF(AND(G216=INDIRECT("'["&amp;G216&amp;"]"&amp;E216&amp;"'!"&amp;$AH$2),OR(I216=INDIRECT("'["&amp;G216&amp;"]"&amp;E216&amp;"'!"&amp;$AE$2))),INDIRECT("'["&amp;G216&amp;"]"&amp;E216&amp;"'!"&amp;$AE$3),0)</f>
        <v>#VALUE!</v>
      </c>
      <c r="T216" s="35" t="e" cm="1">
        <f t="array" aca="1" ref="T216" ca="1">IF(AND(G216=INDIRECT("'["&amp;G216&amp;"]"&amp;E216&amp;"'!"&amp;$AH$2),OR(I216=INDIRECT("'["&amp;G216&amp;"]"&amp;E216&amp;"'!"&amp;$AF$2))),INDIRECT("'["&amp;G216&amp;"]"&amp;E216&amp;"'!"&amp;$AF$3),0)</f>
        <v>#VALUE!</v>
      </c>
      <c r="U216" s="34" t="e" cm="1">
        <f t="array" aca="1" ref="U216" ca="1">IF(AND(G216=INDIRECT("'["&amp;G216&amp;"]"&amp;E216&amp;"'!"&amp;$AH$2),OR(I216=INDIRECT("'["&amp;G216&amp;"]"&amp;E216&amp;"'!"&amp;$AG$2))),INDIRECT("'["&amp;G216&amp;"]"&amp;E216&amp;"'!"&amp;$AG$3),0)</f>
        <v>#VALUE!</v>
      </c>
      <c r="V216" s="25" t="str">
        <f t="shared" si="71"/>
        <v/>
      </c>
      <c r="W216" s="36" t="e" cm="1">
        <f t="array" aca="1" ref="W216" ca="1">IF(AND(G216=INDIRECT("'["&amp;G216&amp;"]"&amp;E216&amp;"'!"&amp;$AH$2),OR(V216=INDIRECT("'["&amp;G216&amp;"]"&amp;E216&amp;"'!"&amp;$AI$2))),INDIRECT("'["&amp;G216&amp;"]"&amp;E216&amp;"'!"&amp;$AI$3),0)</f>
        <v>#VALUE!</v>
      </c>
      <c r="AJ216" s="25">
        <v>1</v>
      </c>
      <c r="AK216" s="38">
        <f t="shared" ca="1" si="72"/>
        <v>0</v>
      </c>
      <c r="AL216" s="38">
        <f t="shared" ca="1" si="73"/>
        <v>0</v>
      </c>
      <c r="AM216" s="54" t="str">
        <f t="shared" ca="1" si="64"/>
        <v/>
      </c>
      <c r="AN216" s="25" t="e">
        <f t="shared" ca="1" si="74"/>
        <v>#VALUE!</v>
      </c>
      <c r="AO216" s="25" t="e">
        <f t="shared" ca="1" si="75"/>
        <v>#VALUE!</v>
      </c>
      <c r="AP216" s="39" t="str">
        <f t="shared" ca="1" si="65"/>
        <v/>
      </c>
      <c r="AQ216" s="46" t="str">
        <f ca="1">IF(AND(C216&lt;&gt;0, C217=0), SUM($C$2:C216)-SUM($AQ$1:AQ215), "")</f>
        <v/>
      </c>
      <c r="AR216" s="46" t="str">
        <f ca="1">IF(AND(AK216&lt;&gt;0, AK217=0), SUM($AK$2:AK216)-SUM($AR$1:AR215), "")</f>
        <v/>
      </c>
    </row>
    <row r="217" spans="1:44" ht="13.15" customHeight="1">
      <c r="A217" s="59"/>
      <c r="B217" s="68" t="str">
        <f t="shared" si="60"/>
        <v/>
      </c>
      <c r="C217" s="55" cm="1">
        <f t="array" aca="1" ref="C217" ca="1">SUM(IF(ISNUMBER(M217:U217),M217:U217,""))</f>
        <v>0</v>
      </c>
      <c r="D217" s="25" t="str">
        <f t="shared" si="76"/>
        <v/>
      </c>
      <c r="E217" s="25" t="e">
        <f t="shared" si="66"/>
        <v>#VALUE!</v>
      </c>
      <c r="F217" s="25" t="str">
        <f t="shared" si="77"/>
        <v/>
      </c>
      <c r="G217" s="25" t="str">
        <f t="shared" si="63"/>
        <v>.xlsx</v>
      </c>
      <c r="H217" s="29" t="e" cm="1">
        <f t="array" aca="1" ref="H217" ca="1">IF(AND(VALUE(E217)=INDIRECT("'["&amp;G217&amp;"]"&amp;E217&amp;"'!"&amp;$X$2),G217=INDIRECT("'["&amp;G217&amp;"]"&amp;E217&amp;"'!"&amp;$X$3)),INDIRECT("'["&amp;G217&amp;"]"&amp;E217&amp;"'!"&amp;$X$1),0)</f>
        <v>#VALUE!</v>
      </c>
      <c r="I217" s="25" t="str">
        <f t="shared" si="67"/>
        <v/>
      </c>
      <c r="J217" s="32" t="str">
        <f t="shared" si="68"/>
        <v/>
      </c>
      <c r="K217" s="25" t="str">
        <f t="shared" si="69"/>
        <v/>
      </c>
      <c r="L217" s="25" t="str">
        <f t="shared" si="70"/>
        <v/>
      </c>
      <c r="M217" s="33" t="e" cm="1">
        <f t="array" aca="1" ref="M217" ca="1">IF(AND(J217=INDIRECT("'["&amp;G217&amp;"]"&amp;E217&amp;"'!"&amp;$Y$2),G217=INDIRECT("'["&amp;G217&amp;"]"&amp;E217&amp;"'!"&amp;$AH$2)),INDIRECT("'["&amp;G217&amp;"]"&amp;E217&amp;"'!"&amp;$Y$3),0)</f>
        <v>#VALUE!</v>
      </c>
      <c r="N217" s="34" t="e" cm="1">
        <f t="array" aca="1" ref="N217" ca="1">IF(AND(G217=INDIRECT("'["&amp;G217&amp;"]"&amp;E217&amp;"'!"&amp;$AH$2),OR(K217=INDIRECT("'["&amp;G217&amp;"]"&amp;E217&amp;"'!"&amp;$Z$2))),INDIRECT("'["&amp;G217&amp;"]"&amp;E217&amp;"'!"&amp;$Z$3),0)</f>
        <v>#VALUE!</v>
      </c>
      <c r="O217" s="34" t="e" cm="1">
        <f t="array" aca="1" ref="O217" ca="1">IF(AND(G217=INDIRECT("'["&amp;G217&amp;"]"&amp;E217&amp;"'!"&amp;$AH$2),OR(L217=INDIRECT("'["&amp;G217&amp;"]"&amp;E217&amp;"'!"&amp;$AA$2))),INDIRECT("'["&amp;G217&amp;"]"&amp;E217&amp;"'!"&amp;$AA$3),0)</f>
        <v>#VALUE!</v>
      </c>
      <c r="P217" s="34" t="e" cm="1">
        <f t="array" aca="1" ref="P217" ca="1">IF(AND(G217=INDIRECT("'["&amp;G217&amp;"]"&amp;E217&amp;"'!"&amp;$AH$2),OR(VALUE(I217)=INDIRECT("'["&amp;G217&amp;"]"&amp;E217&amp;"'!"&amp;$AB$2))),INDIRECT("'["&amp;G217&amp;"]"&amp;E217&amp;"'!"&amp;$AB$3),0)</f>
        <v>#VALUE!</v>
      </c>
      <c r="Q217" s="34" t="e" cm="1">
        <f t="array" aca="1" ref="Q217" ca="1">IF(AND(G217=INDIRECT("'["&amp;G217&amp;"]"&amp;E217&amp;"'!"&amp;$AH$2),OR(VALUE(I217)=INDIRECT("'["&amp;G217&amp;"]"&amp;E217&amp;"'!"&amp;$AC$2))),INDIRECT("'["&amp;G217&amp;"]"&amp;E217&amp;"'!"&amp;$AC$3),0)</f>
        <v>#VALUE!</v>
      </c>
      <c r="R217" s="34" t="e" cm="1">
        <f t="array" aca="1" ref="R217" ca="1">IF(AND(G217=INDIRECT("'["&amp;G217&amp;"]"&amp;E217&amp;"'!"&amp;$AH$2),OR(I217=INDIRECT("'["&amp;G217&amp;"]"&amp;E217&amp;"'!"&amp;$AD$2))),INDIRECT("'["&amp;G217&amp;"]"&amp;E217&amp;"'!"&amp;$AD$3),0)</f>
        <v>#VALUE!</v>
      </c>
      <c r="S217" s="34" t="e" cm="1">
        <f t="array" aca="1" ref="S217" ca="1">IF(AND(G217=INDIRECT("'["&amp;G217&amp;"]"&amp;E217&amp;"'!"&amp;$AH$2),OR(I217=INDIRECT("'["&amp;G217&amp;"]"&amp;E217&amp;"'!"&amp;$AE$2))),INDIRECT("'["&amp;G217&amp;"]"&amp;E217&amp;"'!"&amp;$AE$3),0)</f>
        <v>#VALUE!</v>
      </c>
      <c r="T217" s="35" t="e" cm="1">
        <f t="array" aca="1" ref="T217" ca="1">IF(AND(G217=INDIRECT("'["&amp;G217&amp;"]"&amp;E217&amp;"'!"&amp;$AH$2),OR(I217=INDIRECT("'["&amp;G217&amp;"]"&amp;E217&amp;"'!"&amp;$AF$2))),INDIRECT("'["&amp;G217&amp;"]"&amp;E217&amp;"'!"&amp;$AF$3),0)</f>
        <v>#VALUE!</v>
      </c>
      <c r="U217" s="34" t="e" cm="1">
        <f t="array" aca="1" ref="U217" ca="1">IF(AND(G217=INDIRECT("'["&amp;G217&amp;"]"&amp;E217&amp;"'!"&amp;$AH$2),OR(I217=INDIRECT("'["&amp;G217&amp;"]"&amp;E217&amp;"'!"&amp;$AG$2))),INDIRECT("'["&amp;G217&amp;"]"&amp;E217&amp;"'!"&amp;$AG$3),0)</f>
        <v>#VALUE!</v>
      </c>
      <c r="V217" s="25" t="str">
        <f t="shared" si="71"/>
        <v/>
      </c>
      <c r="W217" s="36" t="e" cm="1">
        <f t="array" aca="1" ref="W217" ca="1">IF(AND(G217=INDIRECT("'["&amp;G217&amp;"]"&amp;E217&amp;"'!"&amp;$AH$2),OR(V217=INDIRECT("'["&amp;G217&amp;"]"&amp;E217&amp;"'!"&amp;$AI$2))),INDIRECT("'["&amp;G217&amp;"]"&amp;E217&amp;"'!"&amp;$AI$3),0)</f>
        <v>#VALUE!</v>
      </c>
      <c r="AJ217" s="25">
        <v>1</v>
      </c>
      <c r="AK217" s="38">
        <f t="shared" ca="1" si="72"/>
        <v>0</v>
      </c>
      <c r="AL217" s="38">
        <f t="shared" ca="1" si="73"/>
        <v>0</v>
      </c>
      <c r="AM217" s="54" t="str">
        <f t="shared" ca="1" si="64"/>
        <v/>
      </c>
      <c r="AN217" s="25" t="e">
        <f t="shared" ca="1" si="74"/>
        <v>#VALUE!</v>
      </c>
      <c r="AO217" s="25" t="e">
        <f t="shared" ca="1" si="75"/>
        <v>#VALUE!</v>
      </c>
      <c r="AP217" s="39" t="str">
        <f t="shared" ca="1" si="65"/>
        <v/>
      </c>
      <c r="AQ217" s="46" t="str">
        <f ca="1">IF(AND(C217&lt;&gt;0, C218=0), SUM($C$2:C217)-SUM($AQ$1:AQ216), "")</f>
        <v/>
      </c>
      <c r="AR217" s="46" t="str">
        <f ca="1">IF(AND(AK217&lt;&gt;0, AK218=0), SUM($AK$2:AK217)-SUM($AR$1:AR216), "")</f>
        <v/>
      </c>
    </row>
    <row r="218" spans="1:44" ht="13.15" customHeight="1">
      <c r="A218" s="59"/>
      <c r="B218" s="68" t="str">
        <f t="shared" si="60"/>
        <v/>
      </c>
      <c r="C218" s="55" cm="1">
        <f t="array" aca="1" ref="C218" ca="1">SUM(IF(ISNUMBER(M218:U218),M218:U218,""))</f>
        <v>0</v>
      </c>
      <c r="D218" s="25" t="str">
        <f t="shared" si="76"/>
        <v/>
      </c>
      <c r="E218" s="25" t="e">
        <f t="shared" si="66"/>
        <v>#VALUE!</v>
      </c>
      <c r="F218" s="25" t="str">
        <f t="shared" si="77"/>
        <v/>
      </c>
      <c r="G218" s="25" t="str">
        <f t="shared" si="63"/>
        <v>.xlsx</v>
      </c>
      <c r="H218" s="29" t="e" cm="1">
        <f t="array" aca="1" ref="H218" ca="1">IF(AND(VALUE(E218)=INDIRECT("'["&amp;G218&amp;"]"&amp;E218&amp;"'!"&amp;$X$2),G218=INDIRECT("'["&amp;G218&amp;"]"&amp;E218&amp;"'!"&amp;$X$3)),INDIRECT("'["&amp;G218&amp;"]"&amp;E218&amp;"'!"&amp;$X$1),0)</f>
        <v>#VALUE!</v>
      </c>
      <c r="I218" s="25" t="str">
        <f t="shared" si="67"/>
        <v/>
      </c>
      <c r="J218" s="32" t="str">
        <f t="shared" si="68"/>
        <v/>
      </c>
      <c r="K218" s="25" t="str">
        <f t="shared" si="69"/>
        <v/>
      </c>
      <c r="L218" s="25" t="str">
        <f t="shared" si="70"/>
        <v/>
      </c>
      <c r="M218" s="33" t="e" cm="1">
        <f t="array" aca="1" ref="M218" ca="1">IF(AND(J218=INDIRECT("'["&amp;G218&amp;"]"&amp;E218&amp;"'!"&amp;$Y$2),G218=INDIRECT("'["&amp;G218&amp;"]"&amp;E218&amp;"'!"&amp;$AH$2)),INDIRECT("'["&amp;G218&amp;"]"&amp;E218&amp;"'!"&amp;$Y$3),0)</f>
        <v>#VALUE!</v>
      </c>
      <c r="N218" s="34" t="e" cm="1">
        <f t="array" aca="1" ref="N218" ca="1">IF(AND(G218=INDIRECT("'["&amp;G218&amp;"]"&amp;E218&amp;"'!"&amp;$AH$2),OR(K218=INDIRECT("'["&amp;G218&amp;"]"&amp;E218&amp;"'!"&amp;$Z$2))),INDIRECT("'["&amp;G218&amp;"]"&amp;E218&amp;"'!"&amp;$Z$3),0)</f>
        <v>#VALUE!</v>
      </c>
      <c r="O218" s="34" t="e" cm="1">
        <f t="array" aca="1" ref="O218" ca="1">IF(AND(G218=INDIRECT("'["&amp;G218&amp;"]"&amp;E218&amp;"'!"&amp;$AH$2),OR(L218=INDIRECT("'["&amp;G218&amp;"]"&amp;E218&amp;"'!"&amp;$AA$2))),INDIRECT("'["&amp;G218&amp;"]"&amp;E218&amp;"'!"&amp;$AA$3),0)</f>
        <v>#VALUE!</v>
      </c>
      <c r="P218" s="34" t="e" cm="1">
        <f t="array" aca="1" ref="P218" ca="1">IF(AND(G218=INDIRECT("'["&amp;G218&amp;"]"&amp;E218&amp;"'!"&amp;$AH$2),OR(VALUE(I218)=INDIRECT("'["&amp;G218&amp;"]"&amp;E218&amp;"'!"&amp;$AB$2))),INDIRECT("'["&amp;G218&amp;"]"&amp;E218&amp;"'!"&amp;$AB$3),0)</f>
        <v>#VALUE!</v>
      </c>
      <c r="Q218" s="34" t="e" cm="1">
        <f t="array" aca="1" ref="Q218" ca="1">IF(AND(G218=INDIRECT("'["&amp;G218&amp;"]"&amp;E218&amp;"'!"&amp;$AH$2),OR(VALUE(I218)=INDIRECT("'["&amp;G218&amp;"]"&amp;E218&amp;"'!"&amp;$AC$2))),INDIRECT("'["&amp;G218&amp;"]"&amp;E218&amp;"'!"&amp;$AC$3),0)</f>
        <v>#VALUE!</v>
      </c>
      <c r="R218" s="34" t="e" cm="1">
        <f t="array" aca="1" ref="R218" ca="1">IF(AND(G218=INDIRECT("'["&amp;G218&amp;"]"&amp;E218&amp;"'!"&amp;$AH$2),OR(I218=INDIRECT("'["&amp;G218&amp;"]"&amp;E218&amp;"'!"&amp;$AD$2))),INDIRECT("'["&amp;G218&amp;"]"&amp;E218&amp;"'!"&amp;$AD$3),0)</f>
        <v>#VALUE!</v>
      </c>
      <c r="S218" s="34" t="e" cm="1">
        <f t="array" aca="1" ref="S218" ca="1">IF(AND(G218=INDIRECT("'["&amp;G218&amp;"]"&amp;E218&amp;"'!"&amp;$AH$2),OR(I218=INDIRECT("'["&amp;G218&amp;"]"&amp;E218&amp;"'!"&amp;$AE$2))),INDIRECT("'["&amp;G218&amp;"]"&amp;E218&amp;"'!"&amp;$AE$3),0)</f>
        <v>#VALUE!</v>
      </c>
      <c r="T218" s="35" t="e" cm="1">
        <f t="array" aca="1" ref="T218" ca="1">IF(AND(G218=INDIRECT("'["&amp;G218&amp;"]"&amp;E218&amp;"'!"&amp;$AH$2),OR(I218=INDIRECT("'["&amp;G218&amp;"]"&amp;E218&amp;"'!"&amp;$AF$2))),INDIRECT("'["&amp;G218&amp;"]"&amp;E218&amp;"'!"&amp;$AF$3),0)</f>
        <v>#VALUE!</v>
      </c>
      <c r="U218" s="34" t="e" cm="1">
        <f t="array" aca="1" ref="U218" ca="1">IF(AND(G218=INDIRECT("'["&amp;G218&amp;"]"&amp;E218&amp;"'!"&amp;$AH$2),OR(I218=INDIRECT("'["&amp;G218&amp;"]"&amp;E218&amp;"'!"&amp;$AG$2))),INDIRECT("'["&amp;G218&amp;"]"&amp;E218&amp;"'!"&amp;$AG$3),0)</f>
        <v>#VALUE!</v>
      </c>
      <c r="V218" s="25" t="str">
        <f t="shared" si="71"/>
        <v/>
      </c>
      <c r="W218" s="36" t="e" cm="1">
        <f t="array" aca="1" ref="W218" ca="1">IF(AND(G218=INDIRECT("'["&amp;G218&amp;"]"&amp;E218&amp;"'!"&amp;$AH$2),OR(V218=INDIRECT("'["&amp;G218&amp;"]"&amp;E218&amp;"'!"&amp;$AI$2))),INDIRECT("'["&amp;G218&amp;"]"&amp;E218&amp;"'!"&amp;$AI$3),0)</f>
        <v>#VALUE!</v>
      </c>
      <c r="AJ218" s="25">
        <v>1</v>
      </c>
      <c r="AK218" s="38">
        <f t="shared" ca="1" si="72"/>
        <v>0</v>
      </c>
      <c r="AL218" s="38">
        <f t="shared" ca="1" si="73"/>
        <v>0</v>
      </c>
      <c r="AM218" s="54" t="str">
        <f t="shared" ca="1" si="64"/>
        <v/>
      </c>
      <c r="AN218" s="25" t="e">
        <f t="shared" ca="1" si="74"/>
        <v>#VALUE!</v>
      </c>
      <c r="AO218" s="25" t="e">
        <f t="shared" ca="1" si="75"/>
        <v>#VALUE!</v>
      </c>
      <c r="AP218" s="39" t="str">
        <f t="shared" ca="1" si="65"/>
        <v/>
      </c>
      <c r="AQ218" s="46" t="str">
        <f ca="1">IF(AND(C218&lt;&gt;0, C219=0), SUM($C$2:C218)-SUM($AQ$1:AQ217), "")</f>
        <v/>
      </c>
      <c r="AR218" s="46" t="str">
        <f ca="1">IF(AND(AK218&lt;&gt;0, AK219=0), SUM($AK$2:AK218)-SUM($AR$1:AR217), "")</f>
        <v/>
      </c>
    </row>
    <row r="219" spans="1:44" ht="13.15" customHeight="1">
      <c r="A219" s="59"/>
      <c r="B219" s="68" t="str">
        <f t="shared" si="60"/>
        <v/>
      </c>
      <c r="C219" s="55" cm="1">
        <f t="array" aca="1" ref="C219" ca="1">SUM(IF(ISNUMBER(M219:U219),M219:U219,""))</f>
        <v>0</v>
      </c>
      <c r="D219" s="25" t="str">
        <f t="shared" si="76"/>
        <v/>
      </c>
      <c r="E219" s="25" t="e">
        <f t="shared" si="66"/>
        <v>#VALUE!</v>
      </c>
      <c r="F219" s="25" t="str">
        <f t="shared" si="77"/>
        <v/>
      </c>
      <c r="G219" s="25" t="str">
        <f t="shared" si="63"/>
        <v>.xlsx</v>
      </c>
      <c r="H219" s="29" t="e" cm="1">
        <f t="array" aca="1" ref="H219" ca="1">IF(AND(VALUE(E219)=INDIRECT("'["&amp;G219&amp;"]"&amp;E219&amp;"'!"&amp;$X$2),G219=INDIRECT("'["&amp;G219&amp;"]"&amp;E219&amp;"'!"&amp;$X$3)),INDIRECT("'["&amp;G219&amp;"]"&amp;E219&amp;"'!"&amp;$X$1),0)</f>
        <v>#VALUE!</v>
      </c>
      <c r="I219" s="25" t="str">
        <f t="shared" si="67"/>
        <v/>
      </c>
      <c r="J219" s="32" t="str">
        <f t="shared" si="68"/>
        <v/>
      </c>
      <c r="K219" s="25" t="str">
        <f t="shared" si="69"/>
        <v/>
      </c>
      <c r="L219" s="25" t="str">
        <f t="shared" si="70"/>
        <v/>
      </c>
      <c r="M219" s="33" t="e" cm="1">
        <f t="array" aca="1" ref="M219" ca="1">IF(AND(J219=INDIRECT("'["&amp;G219&amp;"]"&amp;E219&amp;"'!"&amp;$Y$2),G219=INDIRECT("'["&amp;G219&amp;"]"&amp;E219&amp;"'!"&amp;$AH$2)),INDIRECT("'["&amp;G219&amp;"]"&amp;E219&amp;"'!"&amp;$Y$3),0)</f>
        <v>#VALUE!</v>
      </c>
      <c r="N219" s="34" t="e" cm="1">
        <f t="array" aca="1" ref="N219" ca="1">IF(AND(G219=INDIRECT("'["&amp;G219&amp;"]"&amp;E219&amp;"'!"&amp;$AH$2),OR(K219=INDIRECT("'["&amp;G219&amp;"]"&amp;E219&amp;"'!"&amp;$Z$2))),INDIRECT("'["&amp;G219&amp;"]"&amp;E219&amp;"'!"&amp;$Z$3),0)</f>
        <v>#VALUE!</v>
      </c>
      <c r="O219" s="34" t="e" cm="1">
        <f t="array" aca="1" ref="O219" ca="1">IF(AND(G219=INDIRECT("'["&amp;G219&amp;"]"&amp;E219&amp;"'!"&amp;$AH$2),OR(L219=INDIRECT("'["&amp;G219&amp;"]"&amp;E219&amp;"'!"&amp;$AA$2))),INDIRECT("'["&amp;G219&amp;"]"&amp;E219&amp;"'!"&amp;$AA$3),0)</f>
        <v>#VALUE!</v>
      </c>
      <c r="P219" s="34" t="e" cm="1">
        <f t="array" aca="1" ref="P219" ca="1">IF(AND(G219=INDIRECT("'["&amp;G219&amp;"]"&amp;E219&amp;"'!"&amp;$AH$2),OR(VALUE(I219)=INDIRECT("'["&amp;G219&amp;"]"&amp;E219&amp;"'!"&amp;$AB$2))),INDIRECT("'["&amp;G219&amp;"]"&amp;E219&amp;"'!"&amp;$AB$3),0)</f>
        <v>#VALUE!</v>
      </c>
      <c r="Q219" s="34" t="e" cm="1">
        <f t="array" aca="1" ref="Q219" ca="1">IF(AND(G219=INDIRECT("'["&amp;G219&amp;"]"&amp;E219&amp;"'!"&amp;$AH$2),OR(VALUE(I219)=INDIRECT("'["&amp;G219&amp;"]"&amp;E219&amp;"'!"&amp;$AC$2))),INDIRECT("'["&amp;G219&amp;"]"&amp;E219&amp;"'!"&amp;$AC$3),0)</f>
        <v>#VALUE!</v>
      </c>
      <c r="R219" s="34" t="e" cm="1">
        <f t="array" aca="1" ref="R219" ca="1">IF(AND(G219=INDIRECT("'["&amp;G219&amp;"]"&amp;E219&amp;"'!"&amp;$AH$2),OR(I219=INDIRECT("'["&amp;G219&amp;"]"&amp;E219&amp;"'!"&amp;$AD$2))),INDIRECT("'["&amp;G219&amp;"]"&amp;E219&amp;"'!"&amp;$AD$3),0)</f>
        <v>#VALUE!</v>
      </c>
      <c r="S219" s="34" t="e" cm="1">
        <f t="array" aca="1" ref="S219" ca="1">IF(AND(G219=INDIRECT("'["&amp;G219&amp;"]"&amp;E219&amp;"'!"&amp;$AH$2),OR(I219=INDIRECT("'["&amp;G219&amp;"]"&amp;E219&amp;"'!"&amp;$AE$2))),INDIRECT("'["&amp;G219&amp;"]"&amp;E219&amp;"'!"&amp;$AE$3),0)</f>
        <v>#VALUE!</v>
      </c>
      <c r="T219" s="35" t="e" cm="1">
        <f t="array" aca="1" ref="T219" ca="1">IF(AND(G219=INDIRECT("'["&amp;G219&amp;"]"&amp;E219&amp;"'!"&amp;$AH$2),OR(I219=INDIRECT("'["&amp;G219&amp;"]"&amp;E219&amp;"'!"&amp;$AF$2))),INDIRECT("'["&amp;G219&amp;"]"&amp;E219&amp;"'!"&amp;$AF$3),0)</f>
        <v>#VALUE!</v>
      </c>
      <c r="U219" s="34" t="e" cm="1">
        <f t="array" aca="1" ref="U219" ca="1">IF(AND(G219=INDIRECT("'["&amp;G219&amp;"]"&amp;E219&amp;"'!"&amp;$AH$2),OR(I219=INDIRECT("'["&amp;G219&amp;"]"&amp;E219&amp;"'!"&amp;$AG$2))),INDIRECT("'["&amp;G219&amp;"]"&amp;E219&amp;"'!"&amp;$AG$3),0)</f>
        <v>#VALUE!</v>
      </c>
      <c r="V219" s="25" t="str">
        <f t="shared" si="71"/>
        <v/>
      </c>
      <c r="W219" s="36" t="e" cm="1">
        <f t="array" aca="1" ref="W219" ca="1">IF(AND(G219=INDIRECT("'["&amp;G219&amp;"]"&amp;E219&amp;"'!"&amp;$AH$2),OR(V219=INDIRECT("'["&amp;G219&amp;"]"&amp;E219&amp;"'!"&amp;$AI$2))),INDIRECT("'["&amp;G219&amp;"]"&amp;E219&amp;"'!"&amp;$AI$3),0)</f>
        <v>#VALUE!</v>
      </c>
      <c r="AJ219" s="25">
        <v>1</v>
      </c>
      <c r="AK219" s="38">
        <f t="shared" ca="1" si="72"/>
        <v>0</v>
      </c>
      <c r="AL219" s="38">
        <f t="shared" ca="1" si="73"/>
        <v>0</v>
      </c>
      <c r="AM219" s="54" t="str">
        <f t="shared" ca="1" si="64"/>
        <v/>
      </c>
      <c r="AN219" s="25" t="e">
        <f t="shared" ca="1" si="74"/>
        <v>#VALUE!</v>
      </c>
      <c r="AO219" s="25" t="e">
        <f t="shared" ca="1" si="75"/>
        <v>#VALUE!</v>
      </c>
      <c r="AP219" s="39" t="str">
        <f t="shared" ca="1" si="65"/>
        <v/>
      </c>
      <c r="AQ219" s="46" t="str">
        <f ca="1">IF(AND(C219&lt;&gt;0, C220=0), SUM($C$2:C219)-SUM($AQ$1:AQ218), "")</f>
        <v/>
      </c>
      <c r="AR219" s="46" t="str">
        <f ca="1">IF(AND(AK219&lt;&gt;0, AK220=0), SUM($AK$2:AK219)-SUM($AR$1:AR218), "")</f>
        <v/>
      </c>
    </row>
    <row r="220" spans="1:44" ht="13.15" customHeight="1">
      <c r="A220" s="59"/>
      <c r="B220" s="68" t="str">
        <f t="shared" si="60"/>
        <v/>
      </c>
      <c r="C220" s="55" cm="1">
        <f t="array" aca="1" ref="C220" ca="1">SUM(IF(ISNUMBER(M220:U220),M220:U220,""))</f>
        <v>0</v>
      </c>
      <c r="D220" s="25" t="str">
        <f t="shared" si="76"/>
        <v/>
      </c>
      <c r="E220" s="25" t="e">
        <f t="shared" si="66"/>
        <v>#VALUE!</v>
      </c>
      <c r="F220" s="25" t="str">
        <f t="shared" si="77"/>
        <v/>
      </c>
      <c r="G220" s="25" t="str">
        <f t="shared" si="63"/>
        <v>.xlsx</v>
      </c>
      <c r="H220" s="29" t="e" cm="1">
        <f t="array" aca="1" ref="H220" ca="1">IF(AND(VALUE(E220)=INDIRECT("'["&amp;G220&amp;"]"&amp;E220&amp;"'!"&amp;$X$2),G220=INDIRECT("'["&amp;G220&amp;"]"&amp;E220&amp;"'!"&amp;$X$3)),INDIRECT("'["&amp;G220&amp;"]"&amp;E220&amp;"'!"&amp;$X$1),0)</f>
        <v>#VALUE!</v>
      </c>
      <c r="I220" s="25" t="str">
        <f t="shared" si="67"/>
        <v/>
      </c>
      <c r="J220" s="32" t="str">
        <f t="shared" si="68"/>
        <v/>
      </c>
      <c r="K220" s="25" t="str">
        <f t="shared" si="69"/>
        <v/>
      </c>
      <c r="L220" s="25" t="str">
        <f t="shared" si="70"/>
        <v/>
      </c>
      <c r="M220" s="33" t="e" cm="1">
        <f t="array" aca="1" ref="M220" ca="1">IF(AND(J220=INDIRECT("'["&amp;G220&amp;"]"&amp;E220&amp;"'!"&amp;$Y$2),G220=INDIRECT("'["&amp;G220&amp;"]"&amp;E220&amp;"'!"&amp;$AH$2)),INDIRECT("'["&amp;G220&amp;"]"&amp;E220&amp;"'!"&amp;$Y$3),0)</f>
        <v>#VALUE!</v>
      </c>
      <c r="N220" s="34" t="e" cm="1">
        <f t="array" aca="1" ref="N220" ca="1">IF(AND(G220=INDIRECT("'["&amp;G220&amp;"]"&amp;E220&amp;"'!"&amp;$AH$2),OR(K220=INDIRECT("'["&amp;G220&amp;"]"&amp;E220&amp;"'!"&amp;$Z$2))),INDIRECT("'["&amp;G220&amp;"]"&amp;E220&amp;"'!"&amp;$Z$3),0)</f>
        <v>#VALUE!</v>
      </c>
      <c r="O220" s="34" t="e" cm="1">
        <f t="array" aca="1" ref="O220" ca="1">IF(AND(G220=INDIRECT("'["&amp;G220&amp;"]"&amp;E220&amp;"'!"&amp;$AH$2),OR(L220=INDIRECT("'["&amp;G220&amp;"]"&amp;E220&amp;"'!"&amp;$AA$2))),INDIRECT("'["&amp;G220&amp;"]"&amp;E220&amp;"'!"&amp;$AA$3),0)</f>
        <v>#VALUE!</v>
      </c>
      <c r="P220" s="34" t="e" cm="1">
        <f t="array" aca="1" ref="P220" ca="1">IF(AND(G220=INDIRECT("'["&amp;G220&amp;"]"&amp;E220&amp;"'!"&amp;$AH$2),OR(VALUE(I220)=INDIRECT("'["&amp;G220&amp;"]"&amp;E220&amp;"'!"&amp;$AB$2))),INDIRECT("'["&amp;G220&amp;"]"&amp;E220&amp;"'!"&amp;$AB$3),0)</f>
        <v>#VALUE!</v>
      </c>
      <c r="Q220" s="34" t="e" cm="1">
        <f t="array" aca="1" ref="Q220" ca="1">IF(AND(G220=INDIRECT("'["&amp;G220&amp;"]"&amp;E220&amp;"'!"&amp;$AH$2),OR(VALUE(I220)=INDIRECT("'["&amp;G220&amp;"]"&amp;E220&amp;"'!"&amp;$AC$2))),INDIRECT("'["&amp;G220&amp;"]"&amp;E220&amp;"'!"&amp;$AC$3),0)</f>
        <v>#VALUE!</v>
      </c>
      <c r="R220" s="34" t="e" cm="1">
        <f t="array" aca="1" ref="R220" ca="1">IF(AND(G220=INDIRECT("'["&amp;G220&amp;"]"&amp;E220&amp;"'!"&amp;$AH$2),OR(I220=INDIRECT("'["&amp;G220&amp;"]"&amp;E220&amp;"'!"&amp;$AD$2))),INDIRECT("'["&amp;G220&amp;"]"&amp;E220&amp;"'!"&amp;$AD$3),0)</f>
        <v>#VALUE!</v>
      </c>
      <c r="S220" s="34" t="e" cm="1">
        <f t="array" aca="1" ref="S220" ca="1">IF(AND(G220=INDIRECT("'["&amp;G220&amp;"]"&amp;E220&amp;"'!"&amp;$AH$2),OR(I220=INDIRECT("'["&amp;G220&amp;"]"&amp;E220&amp;"'!"&amp;$AE$2))),INDIRECT("'["&amp;G220&amp;"]"&amp;E220&amp;"'!"&amp;$AE$3),0)</f>
        <v>#VALUE!</v>
      </c>
      <c r="T220" s="35" t="e" cm="1">
        <f t="array" aca="1" ref="T220" ca="1">IF(AND(G220=INDIRECT("'["&amp;G220&amp;"]"&amp;E220&amp;"'!"&amp;$AH$2),OR(I220=INDIRECT("'["&amp;G220&amp;"]"&amp;E220&amp;"'!"&amp;$AF$2))),INDIRECT("'["&amp;G220&amp;"]"&amp;E220&amp;"'!"&amp;$AF$3),0)</f>
        <v>#VALUE!</v>
      </c>
      <c r="U220" s="34" t="e" cm="1">
        <f t="array" aca="1" ref="U220" ca="1">IF(AND(G220=INDIRECT("'["&amp;G220&amp;"]"&amp;E220&amp;"'!"&amp;$AH$2),OR(I220=INDIRECT("'["&amp;G220&amp;"]"&amp;E220&amp;"'!"&amp;$AG$2))),INDIRECT("'["&amp;G220&amp;"]"&amp;E220&amp;"'!"&amp;$AG$3),0)</f>
        <v>#VALUE!</v>
      </c>
      <c r="V220" s="25" t="str">
        <f t="shared" si="71"/>
        <v/>
      </c>
      <c r="W220" s="36" t="e" cm="1">
        <f t="array" aca="1" ref="W220" ca="1">IF(AND(G220=INDIRECT("'["&amp;G220&amp;"]"&amp;E220&amp;"'!"&amp;$AH$2),OR(V220=INDIRECT("'["&amp;G220&amp;"]"&amp;E220&amp;"'!"&amp;$AI$2))),INDIRECT("'["&amp;G220&amp;"]"&amp;E220&amp;"'!"&amp;$AI$3),0)</f>
        <v>#VALUE!</v>
      </c>
      <c r="AJ220" s="25">
        <v>1</v>
      </c>
      <c r="AK220" s="38">
        <f t="shared" ca="1" si="72"/>
        <v>0</v>
      </c>
      <c r="AL220" s="38">
        <f t="shared" ca="1" si="73"/>
        <v>0</v>
      </c>
      <c r="AM220" s="54" t="str">
        <f t="shared" ca="1" si="64"/>
        <v/>
      </c>
      <c r="AN220" s="25" t="e">
        <f t="shared" ca="1" si="74"/>
        <v>#VALUE!</v>
      </c>
      <c r="AO220" s="25" t="e">
        <f t="shared" ca="1" si="75"/>
        <v>#VALUE!</v>
      </c>
      <c r="AP220" s="39" t="str">
        <f t="shared" ca="1" si="65"/>
        <v/>
      </c>
      <c r="AQ220" s="46" t="str">
        <f ca="1">IF(AND(C220&lt;&gt;0, C221=0), SUM($C$2:C220)-SUM($AQ$1:AQ219), "")</f>
        <v/>
      </c>
      <c r="AR220" s="46" t="str">
        <f ca="1">IF(AND(AK220&lt;&gt;0, AK221=0), SUM($AK$2:AK220)-SUM($AR$1:AR219), "")</f>
        <v/>
      </c>
    </row>
    <row r="221" spans="1:44" ht="13.15" customHeight="1">
      <c r="A221" s="59"/>
      <c r="B221" s="68" t="str">
        <f t="shared" si="60"/>
        <v/>
      </c>
      <c r="C221" s="55" cm="1">
        <f t="array" aca="1" ref="C221" ca="1">SUM(IF(ISNUMBER(M221:U221),M221:U221,""))</f>
        <v>0</v>
      </c>
      <c r="D221" s="25" t="str">
        <f t="shared" si="76"/>
        <v/>
      </c>
      <c r="E221" s="25" t="e">
        <f t="shared" si="66"/>
        <v>#VALUE!</v>
      </c>
      <c r="F221" s="25" t="str">
        <f t="shared" si="77"/>
        <v/>
      </c>
      <c r="G221" s="25" t="str">
        <f t="shared" si="63"/>
        <v>.xlsx</v>
      </c>
      <c r="H221" s="29" t="e" cm="1">
        <f t="array" aca="1" ref="H221" ca="1">IF(AND(VALUE(E221)=INDIRECT("'["&amp;G221&amp;"]"&amp;E221&amp;"'!"&amp;$X$2),G221=INDIRECT("'["&amp;G221&amp;"]"&amp;E221&amp;"'!"&amp;$X$3)),INDIRECT("'["&amp;G221&amp;"]"&amp;E221&amp;"'!"&amp;$X$1),0)</f>
        <v>#VALUE!</v>
      </c>
      <c r="I221" s="25" t="str">
        <f t="shared" si="67"/>
        <v/>
      </c>
      <c r="J221" s="32" t="str">
        <f t="shared" si="68"/>
        <v/>
      </c>
      <c r="K221" s="25" t="str">
        <f t="shared" si="69"/>
        <v/>
      </c>
      <c r="L221" s="25" t="str">
        <f t="shared" si="70"/>
        <v/>
      </c>
      <c r="M221" s="33" t="e" cm="1">
        <f t="array" aca="1" ref="M221" ca="1">IF(AND(J221=INDIRECT("'["&amp;G221&amp;"]"&amp;E221&amp;"'!"&amp;$Y$2),G221=INDIRECT("'["&amp;G221&amp;"]"&amp;E221&amp;"'!"&amp;$AH$2)),INDIRECT("'["&amp;G221&amp;"]"&amp;E221&amp;"'!"&amp;$Y$3),0)</f>
        <v>#VALUE!</v>
      </c>
      <c r="N221" s="34" t="e" cm="1">
        <f t="array" aca="1" ref="N221" ca="1">IF(AND(G221=INDIRECT("'["&amp;G221&amp;"]"&amp;E221&amp;"'!"&amp;$AH$2),OR(K221=INDIRECT("'["&amp;G221&amp;"]"&amp;E221&amp;"'!"&amp;$Z$2))),INDIRECT("'["&amp;G221&amp;"]"&amp;E221&amp;"'!"&amp;$Z$3),0)</f>
        <v>#VALUE!</v>
      </c>
      <c r="O221" s="34" t="e" cm="1">
        <f t="array" aca="1" ref="O221" ca="1">IF(AND(G221=INDIRECT("'["&amp;G221&amp;"]"&amp;E221&amp;"'!"&amp;$AH$2),OR(L221=INDIRECT("'["&amp;G221&amp;"]"&amp;E221&amp;"'!"&amp;$AA$2))),INDIRECT("'["&amp;G221&amp;"]"&amp;E221&amp;"'!"&amp;$AA$3),0)</f>
        <v>#VALUE!</v>
      </c>
      <c r="P221" s="34" t="e" cm="1">
        <f t="array" aca="1" ref="P221" ca="1">IF(AND(G221=INDIRECT("'["&amp;G221&amp;"]"&amp;E221&amp;"'!"&amp;$AH$2),OR(VALUE(I221)=INDIRECT("'["&amp;G221&amp;"]"&amp;E221&amp;"'!"&amp;$AB$2))),INDIRECT("'["&amp;G221&amp;"]"&amp;E221&amp;"'!"&amp;$AB$3),0)</f>
        <v>#VALUE!</v>
      </c>
      <c r="Q221" s="34" t="e" cm="1">
        <f t="array" aca="1" ref="Q221" ca="1">IF(AND(G221=INDIRECT("'["&amp;G221&amp;"]"&amp;E221&amp;"'!"&amp;$AH$2),OR(VALUE(I221)=INDIRECT("'["&amp;G221&amp;"]"&amp;E221&amp;"'!"&amp;$AC$2))),INDIRECT("'["&amp;G221&amp;"]"&amp;E221&amp;"'!"&amp;$AC$3),0)</f>
        <v>#VALUE!</v>
      </c>
      <c r="R221" s="34" t="e" cm="1">
        <f t="array" aca="1" ref="R221" ca="1">IF(AND(G221=INDIRECT("'["&amp;G221&amp;"]"&amp;E221&amp;"'!"&amp;$AH$2),OR(I221=INDIRECT("'["&amp;G221&amp;"]"&amp;E221&amp;"'!"&amp;$AD$2))),INDIRECT("'["&amp;G221&amp;"]"&amp;E221&amp;"'!"&amp;$AD$3),0)</f>
        <v>#VALUE!</v>
      </c>
      <c r="S221" s="34" t="e" cm="1">
        <f t="array" aca="1" ref="S221" ca="1">IF(AND(G221=INDIRECT("'["&amp;G221&amp;"]"&amp;E221&amp;"'!"&amp;$AH$2),OR(I221=INDIRECT("'["&amp;G221&amp;"]"&amp;E221&amp;"'!"&amp;$AE$2))),INDIRECT("'["&amp;G221&amp;"]"&amp;E221&amp;"'!"&amp;$AE$3),0)</f>
        <v>#VALUE!</v>
      </c>
      <c r="T221" s="35" t="e" cm="1">
        <f t="array" aca="1" ref="T221" ca="1">IF(AND(G221=INDIRECT("'["&amp;G221&amp;"]"&amp;E221&amp;"'!"&amp;$AH$2),OR(I221=INDIRECT("'["&amp;G221&amp;"]"&amp;E221&amp;"'!"&amp;$AF$2))),INDIRECT("'["&amp;G221&amp;"]"&amp;E221&amp;"'!"&amp;$AF$3),0)</f>
        <v>#VALUE!</v>
      </c>
      <c r="U221" s="34" t="e" cm="1">
        <f t="array" aca="1" ref="U221" ca="1">IF(AND(G221=INDIRECT("'["&amp;G221&amp;"]"&amp;E221&amp;"'!"&amp;$AH$2),OR(I221=INDIRECT("'["&amp;G221&amp;"]"&amp;E221&amp;"'!"&amp;$AG$2))),INDIRECT("'["&amp;G221&amp;"]"&amp;E221&amp;"'!"&amp;$AG$3),0)</f>
        <v>#VALUE!</v>
      </c>
      <c r="V221" s="25" t="str">
        <f t="shared" si="71"/>
        <v/>
      </c>
      <c r="W221" s="36" t="e" cm="1">
        <f t="array" aca="1" ref="W221" ca="1">IF(AND(G221=INDIRECT("'["&amp;G221&amp;"]"&amp;E221&amp;"'!"&amp;$AH$2),OR(V221=INDIRECT("'["&amp;G221&amp;"]"&amp;E221&amp;"'!"&amp;$AI$2))),INDIRECT("'["&amp;G221&amp;"]"&amp;E221&amp;"'!"&amp;$AI$3),0)</f>
        <v>#VALUE!</v>
      </c>
      <c r="AJ221" s="25">
        <v>1</v>
      </c>
      <c r="AK221" s="38">
        <f t="shared" ca="1" si="72"/>
        <v>0</v>
      </c>
      <c r="AL221" s="38">
        <f t="shared" ca="1" si="73"/>
        <v>0</v>
      </c>
      <c r="AM221" s="54" t="str">
        <f t="shared" ca="1" si="64"/>
        <v/>
      </c>
      <c r="AN221" s="25" t="e">
        <f t="shared" ca="1" si="74"/>
        <v>#VALUE!</v>
      </c>
      <c r="AO221" s="25" t="e">
        <f t="shared" ca="1" si="75"/>
        <v>#VALUE!</v>
      </c>
      <c r="AP221" s="39" t="str">
        <f t="shared" ca="1" si="65"/>
        <v/>
      </c>
      <c r="AQ221" s="46" t="str">
        <f ca="1">IF(AND(C221&lt;&gt;0, C222=0), SUM($C$2:C221)-SUM($AQ$1:AQ220), "")</f>
        <v/>
      </c>
      <c r="AR221" s="46" t="str">
        <f ca="1">IF(AND(AK221&lt;&gt;0, AK222=0), SUM($AK$2:AK221)-SUM($AR$1:AR220), "")</f>
        <v/>
      </c>
    </row>
    <row r="222" spans="1:44" ht="13.15" customHeight="1">
      <c r="A222" s="59"/>
      <c r="B222" s="68" t="str">
        <f t="shared" si="60"/>
        <v/>
      </c>
      <c r="C222" s="55" cm="1">
        <f t="array" aca="1" ref="C222" ca="1">SUM(IF(ISNUMBER(M222:U222),M222:U222,""))</f>
        <v>0</v>
      </c>
      <c r="D222" s="25" t="str">
        <f t="shared" si="76"/>
        <v/>
      </c>
      <c r="E222" s="25" t="e">
        <f t="shared" si="66"/>
        <v>#VALUE!</v>
      </c>
      <c r="F222" s="25" t="str">
        <f t="shared" si="77"/>
        <v/>
      </c>
      <c r="G222" s="25" t="str">
        <f t="shared" si="63"/>
        <v>.xlsx</v>
      </c>
      <c r="H222" s="29" t="e" cm="1">
        <f t="array" aca="1" ref="H222" ca="1">IF(AND(VALUE(E222)=INDIRECT("'["&amp;G222&amp;"]"&amp;E222&amp;"'!"&amp;$X$2),G222=INDIRECT("'["&amp;G222&amp;"]"&amp;E222&amp;"'!"&amp;$X$3)),INDIRECT("'["&amp;G222&amp;"]"&amp;E222&amp;"'!"&amp;$X$1),0)</f>
        <v>#VALUE!</v>
      </c>
      <c r="I222" s="25" t="str">
        <f t="shared" si="67"/>
        <v/>
      </c>
      <c r="J222" s="32" t="str">
        <f t="shared" si="68"/>
        <v/>
      </c>
      <c r="K222" s="25" t="str">
        <f t="shared" si="69"/>
        <v/>
      </c>
      <c r="L222" s="25" t="str">
        <f t="shared" si="70"/>
        <v/>
      </c>
      <c r="M222" s="33" t="e" cm="1">
        <f t="array" aca="1" ref="M222" ca="1">IF(AND(J222=INDIRECT("'["&amp;G222&amp;"]"&amp;E222&amp;"'!"&amp;$Y$2),G222=INDIRECT("'["&amp;G222&amp;"]"&amp;E222&amp;"'!"&amp;$AH$2)),INDIRECT("'["&amp;G222&amp;"]"&amp;E222&amp;"'!"&amp;$Y$3),0)</f>
        <v>#VALUE!</v>
      </c>
      <c r="N222" s="34" t="e" cm="1">
        <f t="array" aca="1" ref="N222" ca="1">IF(AND(G222=INDIRECT("'["&amp;G222&amp;"]"&amp;E222&amp;"'!"&amp;$AH$2),OR(K222=INDIRECT("'["&amp;G222&amp;"]"&amp;E222&amp;"'!"&amp;$Z$2))),INDIRECT("'["&amp;G222&amp;"]"&amp;E222&amp;"'!"&amp;$Z$3),0)</f>
        <v>#VALUE!</v>
      </c>
      <c r="O222" s="34" t="e" cm="1">
        <f t="array" aca="1" ref="O222" ca="1">IF(AND(G222=INDIRECT("'["&amp;G222&amp;"]"&amp;E222&amp;"'!"&amp;$AH$2),OR(L222=INDIRECT("'["&amp;G222&amp;"]"&amp;E222&amp;"'!"&amp;$AA$2))),INDIRECT("'["&amp;G222&amp;"]"&amp;E222&amp;"'!"&amp;$AA$3),0)</f>
        <v>#VALUE!</v>
      </c>
      <c r="P222" s="34" t="e" cm="1">
        <f t="array" aca="1" ref="P222" ca="1">IF(AND(G222=INDIRECT("'["&amp;G222&amp;"]"&amp;E222&amp;"'!"&amp;$AH$2),OR(VALUE(I222)=INDIRECT("'["&amp;G222&amp;"]"&amp;E222&amp;"'!"&amp;$AB$2))),INDIRECT("'["&amp;G222&amp;"]"&amp;E222&amp;"'!"&amp;$AB$3),0)</f>
        <v>#VALUE!</v>
      </c>
      <c r="Q222" s="34" t="e" cm="1">
        <f t="array" aca="1" ref="Q222" ca="1">IF(AND(G222=INDIRECT("'["&amp;G222&amp;"]"&amp;E222&amp;"'!"&amp;$AH$2),OR(VALUE(I222)=INDIRECT("'["&amp;G222&amp;"]"&amp;E222&amp;"'!"&amp;$AC$2))),INDIRECT("'["&amp;G222&amp;"]"&amp;E222&amp;"'!"&amp;$AC$3),0)</f>
        <v>#VALUE!</v>
      </c>
      <c r="R222" s="34" t="e" cm="1">
        <f t="array" aca="1" ref="R222" ca="1">IF(AND(G222=INDIRECT("'["&amp;G222&amp;"]"&amp;E222&amp;"'!"&amp;$AH$2),OR(I222=INDIRECT("'["&amp;G222&amp;"]"&amp;E222&amp;"'!"&amp;$AD$2))),INDIRECT("'["&amp;G222&amp;"]"&amp;E222&amp;"'!"&amp;$AD$3),0)</f>
        <v>#VALUE!</v>
      </c>
      <c r="S222" s="34" t="e" cm="1">
        <f t="array" aca="1" ref="S222" ca="1">IF(AND(G222=INDIRECT("'["&amp;G222&amp;"]"&amp;E222&amp;"'!"&amp;$AH$2),OR(I222=INDIRECT("'["&amp;G222&amp;"]"&amp;E222&amp;"'!"&amp;$AE$2))),INDIRECT("'["&amp;G222&amp;"]"&amp;E222&amp;"'!"&amp;$AE$3),0)</f>
        <v>#VALUE!</v>
      </c>
      <c r="T222" s="35" t="e" cm="1">
        <f t="array" aca="1" ref="T222" ca="1">IF(AND(G222=INDIRECT("'["&amp;G222&amp;"]"&amp;E222&amp;"'!"&amp;$AH$2),OR(I222=INDIRECT("'["&amp;G222&amp;"]"&amp;E222&amp;"'!"&amp;$AF$2))),INDIRECT("'["&amp;G222&amp;"]"&amp;E222&amp;"'!"&amp;$AF$3),0)</f>
        <v>#VALUE!</v>
      </c>
      <c r="U222" s="34" t="e" cm="1">
        <f t="array" aca="1" ref="U222" ca="1">IF(AND(G222=INDIRECT("'["&amp;G222&amp;"]"&amp;E222&amp;"'!"&amp;$AH$2),OR(I222=INDIRECT("'["&amp;G222&amp;"]"&amp;E222&amp;"'!"&amp;$AG$2))),INDIRECT("'["&amp;G222&amp;"]"&amp;E222&amp;"'!"&amp;$AG$3),0)</f>
        <v>#VALUE!</v>
      </c>
      <c r="V222" s="25" t="str">
        <f t="shared" si="71"/>
        <v/>
      </c>
      <c r="W222" s="36" t="e" cm="1">
        <f t="array" aca="1" ref="W222" ca="1">IF(AND(G222=INDIRECT("'["&amp;G222&amp;"]"&amp;E222&amp;"'!"&amp;$AH$2),OR(V222=INDIRECT("'["&amp;G222&amp;"]"&amp;E222&amp;"'!"&amp;$AI$2))),INDIRECT("'["&amp;G222&amp;"]"&amp;E222&amp;"'!"&amp;$AI$3),0)</f>
        <v>#VALUE!</v>
      </c>
      <c r="AJ222" s="25">
        <v>1</v>
      </c>
      <c r="AK222" s="38">
        <f t="shared" ca="1" si="72"/>
        <v>0</v>
      </c>
      <c r="AL222" s="38">
        <f t="shared" ca="1" si="73"/>
        <v>0</v>
      </c>
      <c r="AM222" s="54" t="str">
        <f t="shared" ca="1" si="64"/>
        <v/>
      </c>
      <c r="AN222" s="25" t="e">
        <f t="shared" ca="1" si="74"/>
        <v>#VALUE!</v>
      </c>
      <c r="AO222" s="25" t="e">
        <f t="shared" ca="1" si="75"/>
        <v>#VALUE!</v>
      </c>
      <c r="AP222" s="39" t="str">
        <f t="shared" ca="1" si="65"/>
        <v/>
      </c>
      <c r="AQ222" s="46" t="str">
        <f ca="1">IF(AND(C222&lt;&gt;0, C223=0), SUM($C$2:C222)-SUM($AQ$1:AQ221), "")</f>
        <v/>
      </c>
      <c r="AR222" s="46" t="str">
        <f ca="1">IF(AND(AK222&lt;&gt;0, AK223=0), SUM($AK$2:AK222)-SUM($AR$1:AR221), "")</f>
        <v/>
      </c>
    </row>
    <row r="223" spans="1:44" ht="13.15" customHeight="1">
      <c r="A223" s="59"/>
      <c r="B223" s="68" t="str">
        <f t="shared" si="60"/>
        <v/>
      </c>
      <c r="C223" s="55" cm="1">
        <f t="array" aca="1" ref="C223" ca="1">SUM(IF(ISNUMBER(M223:U223),M223:U223,""))</f>
        <v>0</v>
      </c>
      <c r="D223" s="25" t="str">
        <f t="shared" si="76"/>
        <v/>
      </c>
      <c r="E223" s="25" t="e">
        <f t="shared" si="66"/>
        <v>#VALUE!</v>
      </c>
      <c r="F223" s="25" t="str">
        <f t="shared" si="77"/>
        <v/>
      </c>
      <c r="G223" s="25" t="str">
        <f t="shared" si="63"/>
        <v>.xlsx</v>
      </c>
      <c r="H223" s="29" t="e" cm="1">
        <f t="array" aca="1" ref="H223" ca="1">IF(AND(VALUE(E223)=INDIRECT("'["&amp;G223&amp;"]"&amp;E223&amp;"'!"&amp;$X$2),G223=INDIRECT("'["&amp;G223&amp;"]"&amp;E223&amp;"'!"&amp;$X$3)),INDIRECT("'["&amp;G223&amp;"]"&amp;E223&amp;"'!"&amp;$X$1),0)</f>
        <v>#VALUE!</v>
      </c>
      <c r="I223" s="25" t="str">
        <f t="shared" si="67"/>
        <v/>
      </c>
      <c r="J223" s="32" t="str">
        <f t="shared" si="68"/>
        <v/>
      </c>
      <c r="K223" s="25" t="str">
        <f t="shared" si="69"/>
        <v/>
      </c>
      <c r="L223" s="25" t="str">
        <f t="shared" si="70"/>
        <v/>
      </c>
      <c r="M223" s="33" t="e" cm="1">
        <f t="array" aca="1" ref="M223" ca="1">IF(AND(J223=INDIRECT("'["&amp;G223&amp;"]"&amp;E223&amp;"'!"&amp;$Y$2),G223=INDIRECT("'["&amp;G223&amp;"]"&amp;E223&amp;"'!"&amp;$AH$2)),INDIRECT("'["&amp;G223&amp;"]"&amp;E223&amp;"'!"&amp;$Y$3),0)</f>
        <v>#VALUE!</v>
      </c>
      <c r="N223" s="34" t="e" cm="1">
        <f t="array" aca="1" ref="N223" ca="1">IF(AND(G223=INDIRECT("'["&amp;G223&amp;"]"&amp;E223&amp;"'!"&amp;$AH$2),OR(K223=INDIRECT("'["&amp;G223&amp;"]"&amp;E223&amp;"'!"&amp;$Z$2))),INDIRECT("'["&amp;G223&amp;"]"&amp;E223&amp;"'!"&amp;$Z$3),0)</f>
        <v>#VALUE!</v>
      </c>
      <c r="O223" s="34" t="e" cm="1">
        <f t="array" aca="1" ref="O223" ca="1">IF(AND(G223=INDIRECT("'["&amp;G223&amp;"]"&amp;E223&amp;"'!"&amp;$AH$2),OR(L223=INDIRECT("'["&amp;G223&amp;"]"&amp;E223&amp;"'!"&amp;$AA$2))),INDIRECT("'["&amp;G223&amp;"]"&amp;E223&amp;"'!"&amp;$AA$3),0)</f>
        <v>#VALUE!</v>
      </c>
      <c r="P223" s="34" t="e" cm="1">
        <f t="array" aca="1" ref="P223" ca="1">IF(AND(G223=INDIRECT("'["&amp;G223&amp;"]"&amp;E223&amp;"'!"&amp;$AH$2),OR(VALUE(I223)=INDIRECT("'["&amp;G223&amp;"]"&amp;E223&amp;"'!"&amp;$AB$2))),INDIRECT("'["&amp;G223&amp;"]"&amp;E223&amp;"'!"&amp;$AB$3),0)</f>
        <v>#VALUE!</v>
      </c>
      <c r="Q223" s="34" t="e" cm="1">
        <f t="array" aca="1" ref="Q223" ca="1">IF(AND(G223=INDIRECT("'["&amp;G223&amp;"]"&amp;E223&amp;"'!"&amp;$AH$2),OR(VALUE(I223)=INDIRECT("'["&amp;G223&amp;"]"&amp;E223&amp;"'!"&amp;$AC$2))),INDIRECT("'["&amp;G223&amp;"]"&amp;E223&amp;"'!"&amp;$AC$3),0)</f>
        <v>#VALUE!</v>
      </c>
      <c r="R223" s="34" t="e" cm="1">
        <f t="array" aca="1" ref="R223" ca="1">IF(AND(G223=INDIRECT("'["&amp;G223&amp;"]"&amp;E223&amp;"'!"&amp;$AH$2),OR(I223=INDIRECT("'["&amp;G223&amp;"]"&amp;E223&amp;"'!"&amp;$AD$2))),INDIRECT("'["&amp;G223&amp;"]"&amp;E223&amp;"'!"&amp;$AD$3),0)</f>
        <v>#VALUE!</v>
      </c>
      <c r="S223" s="34" t="e" cm="1">
        <f t="array" aca="1" ref="S223" ca="1">IF(AND(G223=INDIRECT("'["&amp;G223&amp;"]"&amp;E223&amp;"'!"&amp;$AH$2),OR(I223=INDIRECT("'["&amp;G223&amp;"]"&amp;E223&amp;"'!"&amp;$AE$2))),INDIRECT("'["&amp;G223&amp;"]"&amp;E223&amp;"'!"&amp;$AE$3),0)</f>
        <v>#VALUE!</v>
      </c>
      <c r="T223" s="35" t="e" cm="1">
        <f t="array" aca="1" ref="T223" ca="1">IF(AND(G223=INDIRECT("'["&amp;G223&amp;"]"&amp;E223&amp;"'!"&amp;$AH$2),OR(I223=INDIRECT("'["&amp;G223&amp;"]"&amp;E223&amp;"'!"&amp;$AF$2))),INDIRECT("'["&amp;G223&amp;"]"&amp;E223&amp;"'!"&amp;$AF$3),0)</f>
        <v>#VALUE!</v>
      </c>
      <c r="U223" s="34" t="e" cm="1">
        <f t="array" aca="1" ref="U223" ca="1">IF(AND(G223=INDIRECT("'["&amp;G223&amp;"]"&amp;E223&amp;"'!"&amp;$AH$2),OR(I223=INDIRECT("'["&amp;G223&amp;"]"&amp;E223&amp;"'!"&amp;$AG$2))),INDIRECT("'["&amp;G223&amp;"]"&amp;E223&amp;"'!"&amp;$AG$3),0)</f>
        <v>#VALUE!</v>
      </c>
      <c r="V223" s="25" t="str">
        <f t="shared" si="71"/>
        <v/>
      </c>
      <c r="W223" s="36" t="e" cm="1">
        <f t="array" aca="1" ref="W223" ca="1">IF(AND(G223=INDIRECT("'["&amp;G223&amp;"]"&amp;E223&amp;"'!"&amp;$AH$2),OR(V223=INDIRECT("'["&amp;G223&amp;"]"&amp;E223&amp;"'!"&amp;$AI$2))),INDIRECT("'["&amp;G223&amp;"]"&amp;E223&amp;"'!"&amp;$AI$3),0)</f>
        <v>#VALUE!</v>
      </c>
      <c r="AJ223" s="25">
        <v>1</v>
      </c>
      <c r="AK223" s="38">
        <f t="shared" ca="1" si="72"/>
        <v>0</v>
      </c>
      <c r="AL223" s="38">
        <f t="shared" ca="1" si="73"/>
        <v>0</v>
      </c>
      <c r="AM223" s="54" t="str">
        <f t="shared" ca="1" si="64"/>
        <v/>
      </c>
      <c r="AN223" s="25" t="e">
        <f t="shared" ca="1" si="74"/>
        <v>#VALUE!</v>
      </c>
      <c r="AO223" s="25" t="e">
        <f t="shared" ca="1" si="75"/>
        <v>#VALUE!</v>
      </c>
      <c r="AP223" s="39" t="str">
        <f t="shared" ca="1" si="65"/>
        <v/>
      </c>
      <c r="AQ223" s="46" t="str">
        <f ca="1">IF(AND(C223&lt;&gt;0, C224=0), SUM($C$2:C223)-SUM($AQ$1:AQ222), "")</f>
        <v/>
      </c>
      <c r="AR223" s="46" t="str">
        <f ca="1">IF(AND(AK223&lt;&gt;0, AK224=0), SUM($AK$2:AK223)-SUM($AR$1:AR222), "")</f>
        <v/>
      </c>
    </row>
    <row r="224" spans="1:44" ht="13.15" customHeight="1">
      <c r="A224" s="59"/>
      <c r="B224" s="68" t="str">
        <f t="shared" si="60"/>
        <v/>
      </c>
      <c r="C224" s="55" cm="1">
        <f t="array" aca="1" ref="C224" ca="1">SUM(IF(ISNUMBER(M224:U224),M224:U224,""))</f>
        <v>0</v>
      </c>
      <c r="D224" s="25" t="str">
        <f t="shared" si="76"/>
        <v/>
      </c>
      <c r="E224" s="25" t="e">
        <f t="shared" si="66"/>
        <v>#VALUE!</v>
      </c>
      <c r="F224" s="25" t="str">
        <f t="shared" si="77"/>
        <v/>
      </c>
      <c r="G224" s="25" t="str">
        <f t="shared" si="63"/>
        <v>.xlsx</v>
      </c>
      <c r="H224" s="29" t="e" cm="1">
        <f t="array" aca="1" ref="H224" ca="1">IF(AND(VALUE(E224)=INDIRECT("'["&amp;G224&amp;"]"&amp;E224&amp;"'!"&amp;$X$2),G224=INDIRECT("'["&amp;G224&amp;"]"&amp;E224&amp;"'!"&amp;$X$3)),INDIRECT("'["&amp;G224&amp;"]"&amp;E224&amp;"'!"&amp;$X$1),0)</f>
        <v>#VALUE!</v>
      </c>
      <c r="I224" s="25" t="str">
        <f t="shared" si="67"/>
        <v/>
      </c>
      <c r="J224" s="32" t="str">
        <f t="shared" si="68"/>
        <v/>
      </c>
      <c r="K224" s="25" t="str">
        <f t="shared" si="69"/>
        <v/>
      </c>
      <c r="L224" s="25" t="str">
        <f t="shared" si="70"/>
        <v/>
      </c>
      <c r="M224" s="33" t="e" cm="1">
        <f t="array" aca="1" ref="M224" ca="1">IF(AND(J224=INDIRECT("'["&amp;G224&amp;"]"&amp;E224&amp;"'!"&amp;$Y$2),G224=INDIRECT("'["&amp;G224&amp;"]"&amp;E224&amp;"'!"&amp;$AH$2)),INDIRECT("'["&amp;G224&amp;"]"&amp;E224&amp;"'!"&amp;$Y$3),0)</f>
        <v>#VALUE!</v>
      </c>
      <c r="N224" s="34" t="e" cm="1">
        <f t="array" aca="1" ref="N224" ca="1">IF(AND(G224=INDIRECT("'["&amp;G224&amp;"]"&amp;E224&amp;"'!"&amp;$AH$2),OR(K224=INDIRECT("'["&amp;G224&amp;"]"&amp;E224&amp;"'!"&amp;$Z$2))),INDIRECT("'["&amp;G224&amp;"]"&amp;E224&amp;"'!"&amp;$Z$3),0)</f>
        <v>#VALUE!</v>
      </c>
      <c r="O224" s="34" t="e" cm="1">
        <f t="array" aca="1" ref="O224" ca="1">IF(AND(G224=INDIRECT("'["&amp;G224&amp;"]"&amp;E224&amp;"'!"&amp;$AH$2),OR(L224=INDIRECT("'["&amp;G224&amp;"]"&amp;E224&amp;"'!"&amp;$AA$2))),INDIRECT("'["&amp;G224&amp;"]"&amp;E224&amp;"'!"&amp;$AA$3),0)</f>
        <v>#VALUE!</v>
      </c>
      <c r="P224" s="34" t="e" cm="1">
        <f t="array" aca="1" ref="P224" ca="1">IF(AND(G224=INDIRECT("'["&amp;G224&amp;"]"&amp;E224&amp;"'!"&amp;$AH$2),OR(VALUE(I224)=INDIRECT("'["&amp;G224&amp;"]"&amp;E224&amp;"'!"&amp;$AB$2))),INDIRECT("'["&amp;G224&amp;"]"&amp;E224&amp;"'!"&amp;$AB$3),0)</f>
        <v>#VALUE!</v>
      </c>
      <c r="Q224" s="34" t="e" cm="1">
        <f t="array" aca="1" ref="Q224" ca="1">IF(AND(G224=INDIRECT("'["&amp;G224&amp;"]"&amp;E224&amp;"'!"&amp;$AH$2),OR(VALUE(I224)=INDIRECT("'["&amp;G224&amp;"]"&amp;E224&amp;"'!"&amp;$AC$2))),INDIRECT("'["&amp;G224&amp;"]"&amp;E224&amp;"'!"&amp;$AC$3),0)</f>
        <v>#VALUE!</v>
      </c>
      <c r="R224" s="34" t="e" cm="1">
        <f t="array" aca="1" ref="R224" ca="1">IF(AND(G224=INDIRECT("'["&amp;G224&amp;"]"&amp;E224&amp;"'!"&amp;$AH$2),OR(I224=INDIRECT("'["&amp;G224&amp;"]"&amp;E224&amp;"'!"&amp;$AD$2))),INDIRECT("'["&amp;G224&amp;"]"&amp;E224&amp;"'!"&amp;$AD$3),0)</f>
        <v>#VALUE!</v>
      </c>
      <c r="S224" s="34" t="e" cm="1">
        <f t="array" aca="1" ref="S224" ca="1">IF(AND(G224=INDIRECT("'["&amp;G224&amp;"]"&amp;E224&amp;"'!"&amp;$AH$2),OR(I224=INDIRECT("'["&amp;G224&amp;"]"&amp;E224&amp;"'!"&amp;$AE$2))),INDIRECT("'["&amp;G224&amp;"]"&amp;E224&amp;"'!"&amp;$AE$3),0)</f>
        <v>#VALUE!</v>
      </c>
      <c r="T224" s="35" t="e" cm="1">
        <f t="array" aca="1" ref="T224" ca="1">IF(AND(G224=INDIRECT("'["&amp;G224&amp;"]"&amp;E224&amp;"'!"&amp;$AH$2),OR(I224=INDIRECT("'["&amp;G224&amp;"]"&amp;E224&amp;"'!"&amp;$AF$2))),INDIRECT("'["&amp;G224&amp;"]"&amp;E224&amp;"'!"&amp;$AF$3),0)</f>
        <v>#VALUE!</v>
      </c>
      <c r="U224" s="34" t="e" cm="1">
        <f t="array" aca="1" ref="U224" ca="1">IF(AND(G224=INDIRECT("'["&amp;G224&amp;"]"&amp;E224&amp;"'!"&amp;$AH$2),OR(I224=INDIRECT("'["&amp;G224&amp;"]"&amp;E224&amp;"'!"&amp;$AG$2))),INDIRECT("'["&amp;G224&amp;"]"&amp;E224&amp;"'!"&amp;$AG$3),0)</f>
        <v>#VALUE!</v>
      </c>
      <c r="V224" s="25" t="str">
        <f t="shared" si="71"/>
        <v/>
      </c>
      <c r="W224" s="36" t="e" cm="1">
        <f t="array" aca="1" ref="W224" ca="1">IF(AND(G224=INDIRECT("'["&amp;G224&amp;"]"&amp;E224&amp;"'!"&amp;$AH$2),OR(V224=INDIRECT("'["&amp;G224&amp;"]"&amp;E224&amp;"'!"&amp;$AI$2))),INDIRECT("'["&amp;G224&amp;"]"&amp;E224&amp;"'!"&amp;$AI$3),0)</f>
        <v>#VALUE!</v>
      </c>
      <c r="AJ224" s="25">
        <v>1</v>
      </c>
      <c r="AK224" s="38">
        <f t="shared" ca="1" si="72"/>
        <v>0</v>
      </c>
      <c r="AL224" s="38">
        <f t="shared" ca="1" si="73"/>
        <v>0</v>
      </c>
      <c r="AM224" s="54" t="str">
        <f t="shared" ca="1" si="64"/>
        <v/>
      </c>
      <c r="AN224" s="25" t="e">
        <f t="shared" ca="1" si="74"/>
        <v>#VALUE!</v>
      </c>
      <c r="AO224" s="25" t="e">
        <f t="shared" ca="1" si="75"/>
        <v>#VALUE!</v>
      </c>
      <c r="AP224" s="39" t="str">
        <f t="shared" ca="1" si="65"/>
        <v/>
      </c>
      <c r="AQ224" s="46" t="str">
        <f ca="1">IF(AND(C224&lt;&gt;0, C225=0), SUM($C$2:C224)-SUM($AQ$1:AQ223), "")</f>
        <v/>
      </c>
      <c r="AR224" s="46" t="str">
        <f ca="1">IF(AND(AK224&lt;&gt;0, AK225=0), SUM($AK$2:AK224)-SUM($AR$1:AR223), "")</f>
        <v/>
      </c>
    </row>
    <row r="225" spans="1:44" ht="13.15" customHeight="1">
      <c r="A225" s="43"/>
      <c r="B225" s="68" t="str">
        <f t="shared" si="60"/>
        <v/>
      </c>
      <c r="C225" s="55" cm="1">
        <f t="array" aca="1" ref="C225" ca="1">SUM(IF(ISNUMBER(M225:U225),M225:U225,""))</f>
        <v>0</v>
      </c>
      <c r="D225" s="25" t="str">
        <f t="shared" si="76"/>
        <v/>
      </c>
      <c r="E225" s="25" t="e">
        <f t="shared" si="66"/>
        <v>#VALUE!</v>
      </c>
      <c r="F225" s="25" t="str">
        <f t="shared" si="77"/>
        <v/>
      </c>
      <c r="G225" s="25" t="str">
        <f t="shared" si="63"/>
        <v>.xlsx</v>
      </c>
      <c r="H225" s="29" t="e" cm="1">
        <f t="array" aca="1" ref="H225" ca="1">IF(AND(VALUE(E225)=INDIRECT("'["&amp;G225&amp;"]"&amp;E225&amp;"'!"&amp;$X$2),G225=INDIRECT("'["&amp;G225&amp;"]"&amp;E225&amp;"'!"&amp;$X$3)),INDIRECT("'["&amp;G225&amp;"]"&amp;E225&amp;"'!"&amp;$X$1),0)</f>
        <v>#VALUE!</v>
      </c>
      <c r="I225" s="25" t="str">
        <f t="shared" si="67"/>
        <v/>
      </c>
      <c r="J225" s="32" t="str">
        <f t="shared" si="68"/>
        <v/>
      </c>
      <c r="K225" s="25" t="str">
        <f t="shared" si="69"/>
        <v/>
      </c>
      <c r="L225" s="25" t="str">
        <f t="shared" si="70"/>
        <v/>
      </c>
      <c r="M225" s="33" t="e" cm="1">
        <f t="array" aca="1" ref="M225" ca="1">IF(AND(J225=INDIRECT("'["&amp;G225&amp;"]"&amp;E225&amp;"'!"&amp;$Y$2),G225=INDIRECT("'["&amp;G225&amp;"]"&amp;E225&amp;"'!"&amp;$AH$2)),INDIRECT("'["&amp;G225&amp;"]"&amp;E225&amp;"'!"&amp;$Y$3),0)</f>
        <v>#VALUE!</v>
      </c>
      <c r="N225" s="34" t="e" cm="1">
        <f t="array" aca="1" ref="N225" ca="1">IF(AND(G225=INDIRECT("'["&amp;G225&amp;"]"&amp;E225&amp;"'!"&amp;$AH$2),OR(K225=INDIRECT("'["&amp;G225&amp;"]"&amp;E225&amp;"'!"&amp;$Z$2))),INDIRECT("'["&amp;G225&amp;"]"&amp;E225&amp;"'!"&amp;$Z$3),0)</f>
        <v>#VALUE!</v>
      </c>
      <c r="O225" s="34" t="e" cm="1">
        <f t="array" aca="1" ref="O225" ca="1">IF(AND(G225=INDIRECT("'["&amp;G225&amp;"]"&amp;E225&amp;"'!"&amp;$AH$2),OR(L225=INDIRECT("'["&amp;G225&amp;"]"&amp;E225&amp;"'!"&amp;$AA$2))),INDIRECT("'["&amp;G225&amp;"]"&amp;E225&amp;"'!"&amp;$AA$3),0)</f>
        <v>#VALUE!</v>
      </c>
      <c r="P225" s="34" t="e" cm="1">
        <f t="array" aca="1" ref="P225" ca="1">IF(AND(G225=INDIRECT("'["&amp;G225&amp;"]"&amp;E225&amp;"'!"&amp;$AH$2),OR(VALUE(I225)=INDIRECT("'["&amp;G225&amp;"]"&amp;E225&amp;"'!"&amp;$AB$2))),INDIRECT("'["&amp;G225&amp;"]"&amp;E225&amp;"'!"&amp;$AB$3),0)</f>
        <v>#VALUE!</v>
      </c>
      <c r="Q225" s="34" t="e" cm="1">
        <f t="array" aca="1" ref="Q225" ca="1">IF(AND(G225=INDIRECT("'["&amp;G225&amp;"]"&amp;E225&amp;"'!"&amp;$AH$2),OR(VALUE(I225)=INDIRECT("'["&amp;G225&amp;"]"&amp;E225&amp;"'!"&amp;$AC$2))),INDIRECT("'["&amp;G225&amp;"]"&amp;E225&amp;"'!"&amp;$AC$3),0)</f>
        <v>#VALUE!</v>
      </c>
      <c r="R225" s="34" t="e" cm="1">
        <f t="array" aca="1" ref="R225" ca="1">IF(AND(G225=INDIRECT("'["&amp;G225&amp;"]"&amp;E225&amp;"'!"&amp;$AH$2),OR(I225=INDIRECT("'["&amp;G225&amp;"]"&amp;E225&amp;"'!"&amp;$AD$2))),INDIRECT("'["&amp;G225&amp;"]"&amp;E225&amp;"'!"&amp;$AD$3),0)</f>
        <v>#VALUE!</v>
      </c>
      <c r="S225" s="34" t="e" cm="1">
        <f t="array" aca="1" ref="S225" ca="1">IF(AND(G225=INDIRECT("'["&amp;G225&amp;"]"&amp;E225&amp;"'!"&amp;$AH$2),OR(I225=INDIRECT("'["&amp;G225&amp;"]"&amp;E225&amp;"'!"&amp;$AE$2))),INDIRECT("'["&amp;G225&amp;"]"&amp;E225&amp;"'!"&amp;$AE$3),0)</f>
        <v>#VALUE!</v>
      </c>
      <c r="T225" s="35" t="e" cm="1">
        <f t="array" aca="1" ref="T225" ca="1">IF(AND(G225=INDIRECT("'["&amp;G225&amp;"]"&amp;E225&amp;"'!"&amp;$AH$2),OR(I225=INDIRECT("'["&amp;G225&amp;"]"&amp;E225&amp;"'!"&amp;$AF$2))),INDIRECT("'["&amp;G225&amp;"]"&amp;E225&amp;"'!"&amp;$AF$3),0)</f>
        <v>#VALUE!</v>
      </c>
      <c r="U225" s="34" t="e" cm="1">
        <f t="array" aca="1" ref="U225" ca="1">IF(AND(G225=INDIRECT("'["&amp;G225&amp;"]"&amp;E225&amp;"'!"&amp;$AH$2),OR(I225=INDIRECT("'["&amp;G225&amp;"]"&amp;E225&amp;"'!"&amp;$AG$2))),INDIRECT("'["&amp;G225&amp;"]"&amp;E225&amp;"'!"&amp;$AG$3),0)</f>
        <v>#VALUE!</v>
      </c>
      <c r="V225" s="25" t="str">
        <f t="shared" si="71"/>
        <v/>
      </c>
      <c r="W225" s="36" t="e" cm="1">
        <f t="array" aca="1" ref="W225" ca="1">IF(AND(G225=INDIRECT("'["&amp;G225&amp;"]"&amp;E225&amp;"'!"&amp;$AH$2),OR(V225=INDIRECT("'["&amp;G225&amp;"]"&amp;E225&amp;"'!"&amp;$AI$2))),INDIRECT("'["&amp;G225&amp;"]"&amp;E225&amp;"'!"&amp;$AI$3),0)</f>
        <v>#VALUE!</v>
      </c>
      <c r="AJ225" s="25">
        <v>1</v>
      </c>
      <c r="AK225" s="38">
        <f t="shared" ca="1" si="72"/>
        <v>0</v>
      </c>
      <c r="AL225" s="38">
        <f t="shared" ca="1" si="73"/>
        <v>0</v>
      </c>
      <c r="AM225" s="54" t="str">
        <f t="shared" ca="1" si="64"/>
        <v/>
      </c>
      <c r="AN225" s="25" t="e">
        <f t="shared" ca="1" si="74"/>
        <v>#VALUE!</v>
      </c>
      <c r="AO225" s="25" t="e">
        <f t="shared" ca="1" si="75"/>
        <v>#VALUE!</v>
      </c>
      <c r="AP225" s="39" t="str">
        <f t="shared" ca="1" si="65"/>
        <v/>
      </c>
      <c r="AQ225" s="46" t="str">
        <f ca="1">IF(AND(C225&lt;&gt;0, C226=0), SUM($C$2:C225)-SUM($AQ$1:AQ224), "")</f>
        <v/>
      </c>
      <c r="AR225" s="46" t="str">
        <f ca="1">IF(AND(AK225&lt;&gt;0, AK226=0), SUM($AK$2:AK225)-SUM($AR$1:AR224), "")</f>
        <v/>
      </c>
    </row>
    <row r="226" spans="1:44" ht="13.15" customHeight="1">
      <c r="A226" s="31"/>
      <c r="B226" s="68" t="str">
        <f t="shared" si="60"/>
        <v/>
      </c>
      <c r="C226" s="55" cm="1">
        <f t="array" aca="1" ref="C226" ca="1">SUM(IF(ISNUMBER(M226:U226),M226:U226,""))</f>
        <v>0</v>
      </c>
      <c r="D226" s="25" t="str">
        <f t="shared" si="76"/>
        <v/>
      </c>
      <c r="E226" s="25" t="e">
        <f t="shared" si="66"/>
        <v>#VALUE!</v>
      </c>
      <c r="F226" s="25" t="str">
        <f t="shared" si="77"/>
        <v/>
      </c>
      <c r="G226" s="25" t="str">
        <f t="shared" si="63"/>
        <v>.xlsx</v>
      </c>
      <c r="H226" s="29" t="e" cm="1">
        <f t="array" aca="1" ref="H226" ca="1">IF(AND(VALUE(E226)=INDIRECT("'["&amp;G226&amp;"]"&amp;E226&amp;"'!"&amp;$X$2),G226=INDIRECT("'["&amp;G226&amp;"]"&amp;E226&amp;"'!"&amp;$X$3)),INDIRECT("'["&amp;G226&amp;"]"&amp;E226&amp;"'!"&amp;$X$1),0)</f>
        <v>#VALUE!</v>
      </c>
      <c r="I226" s="25" t="str">
        <f t="shared" si="67"/>
        <v/>
      </c>
      <c r="J226" s="32" t="str">
        <f t="shared" si="68"/>
        <v/>
      </c>
      <c r="K226" s="25" t="str">
        <f t="shared" si="69"/>
        <v/>
      </c>
      <c r="L226" s="25" t="str">
        <f t="shared" si="70"/>
        <v/>
      </c>
      <c r="M226" s="33" t="e" cm="1">
        <f t="array" aca="1" ref="M226" ca="1">IF(AND(J226=INDIRECT("'["&amp;G226&amp;"]"&amp;E226&amp;"'!"&amp;$Y$2),G226=INDIRECT("'["&amp;G226&amp;"]"&amp;E226&amp;"'!"&amp;$AH$2)),INDIRECT("'["&amp;G226&amp;"]"&amp;E226&amp;"'!"&amp;$Y$3),0)</f>
        <v>#VALUE!</v>
      </c>
      <c r="N226" s="34" t="e" cm="1">
        <f t="array" aca="1" ref="N226" ca="1">IF(AND(G226=INDIRECT("'["&amp;G226&amp;"]"&amp;E226&amp;"'!"&amp;$AH$2),OR(K226=INDIRECT("'["&amp;G226&amp;"]"&amp;E226&amp;"'!"&amp;$Z$2))),INDIRECT("'["&amp;G226&amp;"]"&amp;E226&amp;"'!"&amp;$Z$3),0)</f>
        <v>#VALUE!</v>
      </c>
      <c r="O226" s="34" t="e" cm="1">
        <f t="array" aca="1" ref="O226" ca="1">IF(AND(G226=INDIRECT("'["&amp;G226&amp;"]"&amp;E226&amp;"'!"&amp;$AH$2),OR(L226=INDIRECT("'["&amp;G226&amp;"]"&amp;E226&amp;"'!"&amp;$AA$2))),INDIRECT("'["&amp;G226&amp;"]"&amp;E226&amp;"'!"&amp;$AA$3),0)</f>
        <v>#VALUE!</v>
      </c>
      <c r="P226" s="34" t="e" cm="1">
        <f t="array" aca="1" ref="P226" ca="1">IF(AND(G226=INDIRECT("'["&amp;G226&amp;"]"&amp;E226&amp;"'!"&amp;$AH$2),OR(VALUE(I226)=INDIRECT("'["&amp;G226&amp;"]"&amp;E226&amp;"'!"&amp;$AB$2))),INDIRECT("'["&amp;G226&amp;"]"&amp;E226&amp;"'!"&amp;$AB$3),0)</f>
        <v>#VALUE!</v>
      </c>
      <c r="Q226" s="34" t="e" cm="1">
        <f t="array" aca="1" ref="Q226" ca="1">IF(AND(G226=INDIRECT("'["&amp;G226&amp;"]"&amp;E226&amp;"'!"&amp;$AH$2),OR(VALUE(I226)=INDIRECT("'["&amp;G226&amp;"]"&amp;E226&amp;"'!"&amp;$AC$2))),INDIRECT("'["&amp;G226&amp;"]"&amp;E226&amp;"'!"&amp;$AC$3),0)</f>
        <v>#VALUE!</v>
      </c>
      <c r="R226" s="34" t="e" cm="1">
        <f t="array" aca="1" ref="R226" ca="1">IF(AND(G226=INDIRECT("'["&amp;G226&amp;"]"&amp;E226&amp;"'!"&amp;$AH$2),OR(I226=INDIRECT("'["&amp;G226&amp;"]"&amp;E226&amp;"'!"&amp;$AD$2))),INDIRECT("'["&amp;G226&amp;"]"&amp;E226&amp;"'!"&amp;$AD$3),0)</f>
        <v>#VALUE!</v>
      </c>
      <c r="S226" s="34" t="e" cm="1">
        <f t="array" aca="1" ref="S226" ca="1">IF(AND(G226=INDIRECT("'["&amp;G226&amp;"]"&amp;E226&amp;"'!"&amp;$AH$2),OR(I226=INDIRECT("'["&amp;G226&amp;"]"&amp;E226&amp;"'!"&amp;$AE$2))),INDIRECT("'["&amp;G226&amp;"]"&amp;E226&amp;"'!"&amp;$AE$3),0)</f>
        <v>#VALUE!</v>
      </c>
      <c r="T226" s="35" t="e" cm="1">
        <f t="array" aca="1" ref="T226" ca="1">IF(AND(G226=INDIRECT("'["&amp;G226&amp;"]"&amp;E226&amp;"'!"&amp;$AH$2),OR(I226=INDIRECT("'["&amp;G226&amp;"]"&amp;E226&amp;"'!"&amp;$AF$2))),INDIRECT("'["&amp;G226&amp;"]"&amp;E226&amp;"'!"&amp;$AF$3),0)</f>
        <v>#VALUE!</v>
      </c>
      <c r="U226" s="34" t="e" cm="1">
        <f t="array" aca="1" ref="U226" ca="1">IF(AND(G226=INDIRECT("'["&amp;G226&amp;"]"&amp;E226&amp;"'!"&amp;$AH$2),OR(I226=INDIRECT("'["&amp;G226&amp;"]"&amp;E226&amp;"'!"&amp;$AG$2))),INDIRECT("'["&amp;G226&amp;"]"&amp;E226&amp;"'!"&amp;$AG$3),0)</f>
        <v>#VALUE!</v>
      </c>
      <c r="V226" s="25" t="str">
        <f t="shared" si="71"/>
        <v/>
      </c>
      <c r="W226" s="36" t="e" cm="1">
        <f t="array" aca="1" ref="W226" ca="1">IF(AND(G226=INDIRECT("'["&amp;G226&amp;"]"&amp;E226&amp;"'!"&amp;$AH$2),OR(V226=INDIRECT("'["&amp;G226&amp;"]"&amp;E226&amp;"'!"&amp;$AI$2))),INDIRECT("'["&amp;G226&amp;"]"&amp;E226&amp;"'!"&amp;$AI$3),0)</f>
        <v>#VALUE!</v>
      </c>
      <c r="AJ226" s="25">
        <v>1</v>
      </c>
      <c r="AK226" s="38">
        <f t="shared" ca="1" si="72"/>
        <v>0</v>
      </c>
      <c r="AL226" s="38">
        <f t="shared" ca="1" si="73"/>
        <v>0</v>
      </c>
      <c r="AM226" s="54" t="str">
        <f t="shared" ca="1" si="64"/>
        <v/>
      </c>
      <c r="AN226" s="25" t="e">
        <f t="shared" ca="1" si="74"/>
        <v>#VALUE!</v>
      </c>
      <c r="AO226" s="25" t="e">
        <f t="shared" ca="1" si="75"/>
        <v>#VALUE!</v>
      </c>
      <c r="AP226" s="39" t="str">
        <f t="shared" ca="1" si="65"/>
        <v/>
      </c>
      <c r="AQ226" s="46" t="str">
        <f ca="1">IF(AND(C226&lt;&gt;0, C227=0), SUM($C$2:C226)-SUM($AQ$1:AQ225), "")</f>
        <v/>
      </c>
      <c r="AR226" s="46" t="str">
        <f ca="1">IF(AND(AK226&lt;&gt;0, AK227=0), SUM($AK$2:AK226)-SUM($AR$1:AR225), "")</f>
        <v/>
      </c>
    </row>
    <row r="227" spans="1:44" ht="13.15" customHeight="1">
      <c r="A227" s="31"/>
      <c r="B227" s="68" t="str">
        <f t="shared" si="60"/>
        <v/>
      </c>
      <c r="C227" s="55" cm="1">
        <f t="array" aca="1" ref="C227" ca="1">SUM(IF(ISNUMBER(M227:U227),M227:U227,""))</f>
        <v>0</v>
      </c>
      <c r="D227" s="25" t="str">
        <f t="shared" si="76"/>
        <v/>
      </c>
      <c r="E227" s="25" t="e">
        <f t="shared" si="66"/>
        <v>#VALUE!</v>
      </c>
      <c r="F227" s="25" t="str">
        <f t="shared" si="77"/>
        <v/>
      </c>
      <c r="G227" s="25" t="str">
        <f t="shared" si="63"/>
        <v>.xlsx</v>
      </c>
      <c r="H227" s="29" t="e" cm="1">
        <f t="array" aca="1" ref="H227" ca="1">IF(AND(VALUE(E227)=INDIRECT("'["&amp;G227&amp;"]"&amp;E227&amp;"'!"&amp;$X$2),G227=INDIRECT("'["&amp;G227&amp;"]"&amp;E227&amp;"'!"&amp;$X$3)),INDIRECT("'["&amp;G227&amp;"]"&amp;E227&amp;"'!"&amp;$X$1),0)</f>
        <v>#VALUE!</v>
      </c>
      <c r="I227" s="25" t="str">
        <f t="shared" si="67"/>
        <v/>
      </c>
      <c r="J227" s="32" t="str">
        <f t="shared" si="68"/>
        <v/>
      </c>
      <c r="K227" s="25" t="str">
        <f t="shared" si="69"/>
        <v/>
      </c>
      <c r="L227" s="25" t="str">
        <f t="shared" si="70"/>
        <v/>
      </c>
      <c r="M227" s="33" t="e" cm="1">
        <f t="array" aca="1" ref="M227" ca="1">IF(AND(J227=INDIRECT("'["&amp;G227&amp;"]"&amp;E227&amp;"'!"&amp;$Y$2),G227=INDIRECT("'["&amp;G227&amp;"]"&amp;E227&amp;"'!"&amp;$AH$2)),INDIRECT("'["&amp;G227&amp;"]"&amp;E227&amp;"'!"&amp;$Y$3),0)</f>
        <v>#VALUE!</v>
      </c>
      <c r="N227" s="34" t="e" cm="1">
        <f t="array" aca="1" ref="N227" ca="1">IF(AND(G227=INDIRECT("'["&amp;G227&amp;"]"&amp;E227&amp;"'!"&amp;$AH$2),OR(K227=INDIRECT("'["&amp;G227&amp;"]"&amp;E227&amp;"'!"&amp;$Z$2))),INDIRECT("'["&amp;G227&amp;"]"&amp;E227&amp;"'!"&amp;$Z$3),0)</f>
        <v>#VALUE!</v>
      </c>
      <c r="O227" s="34" t="e" cm="1">
        <f t="array" aca="1" ref="O227" ca="1">IF(AND(G227=INDIRECT("'["&amp;G227&amp;"]"&amp;E227&amp;"'!"&amp;$AH$2),OR(L227=INDIRECT("'["&amp;G227&amp;"]"&amp;E227&amp;"'!"&amp;$AA$2))),INDIRECT("'["&amp;G227&amp;"]"&amp;E227&amp;"'!"&amp;$AA$3),0)</f>
        <v>#VALUE!</v>
      </c>
      <c r="P227" s="34" t="e" cm="1">
        <f t="array" aca="1" ref="P227" ca="1">IF(AND(G227=INDIRECT("'["&amp;G227&amp;"]"&amp;E227&amp;"'!"&amp;$AH$2),OR(VALUE(I227)=INDIRECT("'["&amp;G227&amp;"]"&amp;E227&amp;"'!"&amp;$AB$2))),INDIRECT("'["&amp;G227&amp;"]"&amp;E227&amp;"'!"&amp;$AB$3),0)</f>
        <v>#VALUE!</v>
      </c>
      <c r="Q227" s="34" t="e" cm="1">
        <f t="array" aca="1" ref="Q227" ca="1">IF(AND(G227=INDIRECT("'["&amp;G227&amp;"]"&amp;E227&amp;"'!"&amp;$AH$2),OR(VALUE(I227)=INDIRECT("'["&amp;G227&amp;"]"&amp;E227&amp;"'!"&amp;$AC$2))),INDIRECT("'["&amp;G227&amp;"]"&amp;E227&amp;"'!"&amp;$AC$3),0)</f>
        <v>#VALUE!</v>
      </c>
      <c r="R227" s="34" t="e" cm="1">
        <f t="array" aca="1" ref="R227" ca="1">IF(AND(G227=INDIRECT("'["&amp;G227&amp;"]"&amp;E227&amp;"'!"&amp;$AH$2),OR(I227=INDIRECT("'["&amp;G227&amp;"]"&amp;E227&amp;"'!"&amp;$AD$2))),INDIRECT("'["&amp;G227&amp;"]"&amp;E227&amp;"'!"&amp;$AD$3),0)</f>
        <v>#VALUE!</v>
      </c>
      <c r="S227" s="34" t="e" cm="1">
        <f t="array" aca="1" ref="S227" ca="1">IF(AND(G227=INDIRECT("'["&amp;G227&amp;"]"&amp;E227&amp;"'!"&amp;$AH$2),OR(I227=INDIRECT("'["&amp;G227&amp;"]"&amp;E227&amp;"'!"&amp;$AE$2))),INDIRECT("'["&amp;G227&amp;"]"&amp;E227&amp;"'!"&amp;$AE$3),0)</f>
        <v>#VALUE!</v>
      </c>
      <c r="T227" s="35" t="e" cm="1">
        <f t="array" aca="1" ref="T227" ca="1">IF(AND(G227=INDIRECT("'["&amp;G227&amp;"]"&amp;E227&amp;"'!"&amp;$AH$2),OR(I227=INDIRECT("'["&amp;G227&amp;"]"&amp;E227&amp;"'!"&amp;$AF$2))),INDIRECT("'["&amp;G227&amp;"]"&amp;E227&amp;"'!"&amp;$AF$3),0)</f>
        <v>#VALUE!</v>
      </c>
      <c r="U227" s="34" t="e" cm="1">
        <f t="array" aca="1" ref="U227" ca="1">IF(AND(G227=INDIRECT("'["&amp;G227&amp;"]"&amp;E227&amp;"'!"&amp;$AH$2),OR(I227=INDIRECT("'["&amp;G227&amp;"]"&amp;E227&amp;"'!"&amp;$AG$2))),INDIRECT("'["&amp;G227&amp;"]"&amp;E227&amp;"'!"&amp;$AG$3),0)</f>
        <v>#VALUE!</v>
      </c>
      <c r="V227" s="25" t="str">
        <f t="shared" si="71"/>
        <v/>
      </c>
      <c r="W227" s="36" t="e" cm="1">
        <f t="array" aca="1" ref="W227" ca="1">IF(AND(G227=INDIRECT("'["&amp;G227&amp;"]"&amp;E227&amp;"'!"&amp;$AH$2),OR(V227=INDIRECT("'["&amp;G227&amp;"]"&amp;E227&amp;"'!"&amp;$AI$2))),INDIRECT("'["&amp;G227&amp;"]"&amp;E227&amp;"'!"&amp;$AI$3),0)</f>
        <v>#VALUE!</v>
      </c>
      <c r="AJ227" s="25">
        <v>1</v>
      </c>
      <c r="AK227" s="38">
        <f t="shared" ca="1" si="72"/>
        <v>0</v>
      </c>
      <c r="AL227" s="38">
        <f t="shared" ca="1" si="73"/>
        <v>0</v>
      </c>
      <c r="AM227" s="54" t="str">
        <f t="shared" ca="1" si="64"/>
        <v/>
      </c>
      <c r="AN227" s="25" t="e">
        <f t="shared" ca="1" si="74"/>
        <v>#VALUE!</v>
      </c>
      <c r="AO227" s="25" t="e">
        <f t="shared" ca="1" si="75"/>
        <v>#VALUE!</v>
      </c>
      <c r="AP227" s="39" t="str">
        <f t="shared" ca="1" si="65"/>
        <v/>
      </c>
      <c r="AQ227" s="46" t="str">
        <f ca="1">IF(AND(C227&lt;&gt;0, C228=0), SUM($C$2:C227)-SUM($AQ$1:AQ226), "")</f>
        <v/>
      </c>
      <c r="AR227" s="46" t="str">
        <f ca="1">IF(AND(AK227&lt;&gt;0, AK228=0), SUM($AK$2:AK227)-SUM($AR$1:AR226), "")</f>
        <v/>
      </c>
    </row>
    <row r="228" spans="1:44" ht="13.15" customHeight="1">
      <c r="A228" s="61"/>
      <c r="B228" s="68" t="str">
        <f t="shared" si="60"/>
        <v/>
      </c>
      <c r="C228" s="55" cm="1">
        <f t="array" aca="1" ref="C228" ca="1">SUM(IF(ISNUMBER(M228:U228),M228:U228,""))</f>
        <v>0</v>
      </c>
      <c r="D228" s="25" t="str">
        <f t="shared" si="76"/>
        <v/>
      </c>
      <c r="E228" s="25" t="e">
        <f t="shared" si="66"/>
        <v>#VALUE!</v>
      </c>
      <c r="F228" s="25" t="str">
        <f t="shared" si="77"/>
        <v/>
      </c>
      <c r="G228" s="25" t="str">
        <f t="shared" si="63"/>
        <v>.xlsx</v>
      </c>
      <c r="H228" s="29" t="e" cm="1">
        <f t="array" aca="1" ref="H228" ca="1">IF(AND(VALUE(E228)=INDIRECT("'["&amp;G228&amp;"]"&amp;E228&amp;"'!"&amp;$X$2),G228=INDIRECT("'["&amp;G228&amp;"]"&amp;E228&amp;"'!"&amp;$X$3)),INDIRECT("'["&amp;G228&amp;"]"&amp;E228&amp;"'!"&amp;$X$1),0)</f>
        <v>#VALUE!</v>
      </c>
      <c r="I228" s="25" t="str">
        <f t="shared" si="67"/>
        <v/>
      </c>
      <c r="J228" s="32" t="str">
        <f t="shared" si="68"/>
        <v/>
      </c>
      <c r="K228" s="25" t="str">
        <f t="shared" si="69"/>
        <v/>
      </c>
      <c r="L228" s="25" t="str">
        <f t="shared" si="70"/>
        <v/>
      </c>
      <c r="M228" s="33" t="e" cm="1">
        <f t="array" aca="1" ref="M228" ca="1">IF(AND(J228=INDIRECT("'["&amp;G228&amp;"]"&amp;E228&amp;"'!"&amp;$Y$2),G228=INDIRECT("'["&amp;G228&amp;"]"&amp;E228&amp;"'!"&amp;$AH$2)),INDIRECT("'["&amp;G228&amp;"]"&amp;E228&amp;"'!"&amp;$Y$3),0)</f>
        <v>#VALUE!</v>
      </c>
      <c r="N228" s="34" t="e" cm="1">
        <f t="array" aca="1" ref="N228" ca="1">IF(AND(G228=INDIRECT("'["&amp;G228&amp;"]"&amp;E228&amp;"'!"&amp;$AH$2),OR(K228=INDIRECT("'["&amp;G228&amp;"]"&amp;E228&amp;"'!"&amp;$Z$2))),INDIRECT("'["&amp;G228&amp;"]"&amp;E228&amp;"'!"&amp;$Z$3),0)</f>
        <v>#VALUE!</v>
      </c>
      <c r="O228" s="34" t="e" cm="1">
        <f t="array" aca="1" ref="O228" ca="1">IF(AND(G228=INDIRECT("'["&amp;G228&amp;"]"&amp;E228&amp;"'!"&amp;$AH$2),OR(L228=INDIRECT("'["&amp;G228&amp;"]"&amp;E228&amp;"'!"&amp;$AA$2))),INDIRECT("'["&amp;G228&amp;"]"&amp;E228&amp;"'!"&amp;$AA$3),0)</f>
        <v>#VALUE!</v>
      </c>
      <c r="P228" s="34" t="e" cm="1">
        <f t="array" aca="1" ref="P228" ca="1">IF(AND(G228=INDIRECT("'["&amp;G228&amp;"]"&amp;E228&amp;"'!"&amp;$AH$2),OR(VALUE(I228)=INDIRECT("'["&amp;G228&amp;"]"&amp;E228&amp;"'!"&amp;$AB$2))),INDIRECT("'["&amp;G228&amp;"]"&amp;E228&amp;"'!"&amp;$AB$3),0)</f>
        <v>#VALUE!</v>
      </c>
      <c r="Q228" s="34" t="e" cm="1">
        <f t="array" aca="1" ref="Q228" ca="1">IF(AND(G228=INDIRECT("'["&amp;G228&amp;"]"&amp;E228&amp;"'!"&amp;$AH$2),OR(VALUE(I228)=INDIRECT("'["&amp;G228&amp;"]"&amp;E228&amp;"'!"&amp;$AC$2))),INDIRECT("'["&amp;G228&amp;"]"&amp;E228&amp;"'!"&amp;$AC$3),0)</f>
        <v>#VALUE!</v>
      </c>
      <c r="R228" s="34" t="e" cm="1">
        <f t="array" aca="1" ref="R228" ca="1">IF(AND(G228=INDIRECT("'["&amp;G228&amp;"]"&amp;E228&amp;"'!"&amp;$AH$2),OR(I228=INDIRECT("'["&amp;G228&amp;"]"&amp;E228&amp;"'!"&amp;$AD$2))),INDIRECT("'["&amp;G228&amp;"]"&amp;E228&amp;"'!"&amp;$AD$3),0)</f>
        <v>#VALUE!</v>
      </c>
      <c r="S228" s="34" t="e" cm="1">
        <f t="array" aca="1" ref="S228" ca="1">IF(AND(G228=INDIRECT("'["&amp;G228&amp;"]"&amp;E228&amp;"'!"&amp;$AH$2),OR(I228=INDIRECT("'["&amp;G228&amp;"]"&amp;E228&amp;"'!"&amp;$AE$2))),INDIRECT("'["&amp;G228&amp;"]"&amp;E228&amp;"'!"&amp;$AE$3),0)</f>
        <v>#VALUE!</v>
      </c>
      <c r="T228" s="35" t="e" cm="1">
        <f t="array" aca="1" ref="T228" ca="1">IF(AND(G228=INDIRECT("'["&amp;G228&amp;"]"&amp;E228&amp;"'!"&amp;$AH$2),OR(I228=INDIRECT("'["&amp;G228&amp;"]"&amp;E228&amp;"'!"&amp;$AF$2))),INDIRECT("'["&amp;G228&amp;"]"&amp;E228&amp;"'!"&amp;$AF$3),0)</f>
        <v>#VALUE!</v>
      </c>
      <c r="U228" s="34" t="e" cm="1">
        <f t="array" aca="1" ref="U228" ca="1">IF(AND(G228=INDIRECT("'["&amp;G228&amp;"]"&amp;E228&amp;"'!"&amp;$AH$2),OR(I228=INDIRECT("'["&amp;G228&amp;"]"&amp;E228&amp;"'!"&amp;$AG$2))),INDIRECT("'["&amp;G228&amp;"]"&amp;E228&amp;"'!"&amp;$AG$3),0)</f>
        <v>#VALUE!</v>
      </c>
      <c r="V228" s="25" t="str">
        <f t="shared" si="71"/>
        <v/>
      </c>
      <c r="W228" s="36" t="e" cm="1">
        <f t="array" aca="1" ref="W228" ca="1">IF(AND(G228=INDIRECT("'["&amp;G228&amp;"]"&amp;E228&amp;"'!"&amp;$AH$2),OR(V228=INDIRECT("'["&amp;G228&amp;"]"&amp;E228&amp;"'!"&amp;$AI$2))),INDIRECT("'["&amp;G228&amp;"]"&amp;E228&amp;"'!"&amp;$AI$3),0)</f>
        <v>#VALUE!</v>
      </c>
      <c r="AJ228" s="25">
        <v>1</v>
      </c>
      <c r="AK228" s="38">
        <f t="shared" ca="1" si="72"/>
        <v>0</v>
      </c>
      <c r="AL228" s="38">
        <f t="shared" ca="1" si="73"/>
        <v>0</v>
      </c>
      <c r="AM228" s="54" t="str">
        <f t="shared" ca="1" si="64"/>
        <v/>
      </c>
      <c r="AN228" s="25" t="e">
        <f t="shared" ca="1" si="74"/>
        <v>#VALUE!</v>
      </c>
      <c r="AO228" s="25" t="e">
        <f t="shared" ca="1" si="75"/>
        <v>#VALUE!</v>
      </c>
      <c r="AP228" s="39" t="str">
        <f t="shared" ca="1" si="65"/>
        <v/>
      </c>
      <c r="AQ228" s="46" t="str">
        <f ca="1">IF(AND(C228&lt;&gt;0, C229=0), SUM($C$2:C228)-SUM($AQ$1:AQ227), "")</f>
        <v/>
      </c>
      <c r="AR228" s="46" t="str">
        <f ca="1">IF(AND(AK228&lt;&gt;0, AK229=0), SUM($AK$2:AK228)-SUM($AR$1:AR227), "")</f>
        <v/>
      </c>
    </row>
    <row r="229" spans="1:44" ht="13.15" customHeight="1">
      <c r="A229" s="59"/>
      <c r="B229" s="68" t="str">
        <f t="shared" ref="B229:B261" si="78">LEFT(A229,15)</f>
        <v/>
      </c>
      <c r="C229" s="55" cm="1">
        <f t="array" aca="1" ref="C229" ca="1">SUM(IF(ISNUMBER(M229:U229),M229:U229,""))</f>
        <v>0</v>
      </c>
      <c r="D229" s="25" t="str">
        <f t="shared" si="76"/>
        <v/>
      </c>
      <c r="E229" s="25" t="e">
        <f t="shared" si="66"/>
        <v>#VALUE!</v>
      </c>
      <c r="F229" s="25" t="str">
        <f t="shared" si="77"/>
        <v/>
      </c>
      <c r="G229" s="25" t="str">
        <f t="shared" si="63"/>
        <v>.xlsx</v>
      </c>
      <c r="H229" s="29" t="e" cm="1">
        <f t="array" aca="1" ref="H229" ca="1">IF(AND(VALUE(E229)=INDIRECT("'["&amp;G229&amp;"]"&amp;E229&amp;"'!"&amp;$X$2),G229=INDIRECT("'["&amp;G229&amp;"]"&amp;E229&amp;"'!"&amp;$X$3)),INDIRECT("'["&amp;G229&amp;"]"&amp;E229&amp;"'!"&amp;$X$1),0)</f>
        <v>#VALUE!</v>
      </c>
      <c r="I229" s="25" t="str">
        <f t="shared" si="67"/>
        <v/>
      </c>
      <c r="J229" s="32" t="str">
        <f t="shared" si="68"/>
        <v/>
      </c>
      <c r="K229" s="25" t="str">
        <f t="shared" si="69"/>
        <v/>
      </c>
      <c r="L229" s="25" t="str">
        <f t="shared" si="70"/>
        <v/>
      </c>
      <c r="M229" s="33" t="e" cm="1">
        <f t="array" aca="1" ref="M229" ca="1">IF(AND(J229=INDIRECT("'["&amp;G229&amp;"]"&amp;E229&amp;"'!"&amp;$Y$2),G229=INDIRECT("'["&amp;G229&amp;"]"&amp;E229&amp;"'!"&amp;$AH$2)),INDIRECT("'["&amp;G229&amp;"]"&amp;E229&amp;"'!"&amp;$Y$3),0)</f>
        <v>#VALUE!</v>
      </c>
      <c r="N229" s="34" t="e" cm="1">
        <f t="array" aca="1" ref="N229" ca="1">IF(AND(G229=INDIRECT("'["&amp;G229&amp;"]"&amp;E229&amp;"'!"&amp;$AH$2),OR(K229=INDIRECT("'["&amp;G229&amp;"]"&amp;E229&amp;"'!"&amp;$Z$2))),INDIRECT("'["&amp;G229&amp;"]"&amp;E229&amp;"'!"&amp;$Z$3),0)</f>
        <v>#VALUE!</v>
      </c>
      <c r="O229" s="34" t="e" cm="1">
        <f t="array" aca="1" ref="O229" ca="1">IF(AND(G229=INDIRECT("'["&amp;G229&amp;"]"&amp;E229&amp;"'!"&amp;$AH$2),OR(L229=INDIRECT("'["&amp;G229&amp;"]"&amp;E229&amp;"'!"&amp;$AA$2))),INDIRECT("'["&amp;G229&amp;"]"&amp;E229&amp;"'!"&amp;$AA$3),0)</f>
        <v>#VALUE!</v>
      </c>
      <c r="P229" s="34" t="e" cm="1">
        <f t="array" aca="1" ref="P229" ca="1">IF(AND(G229=INDIRECT("'["&amp;G229&amp;"]"&amp;E229&amp;"'!"&amp;$AH$2),OR(VALUE(I229)=INDIRECT("'["&amp;G229&amp;"]"&amp;E229&amp;"'!"&amp;$AB$2))),INDIRECT("'["&amp;G229&amp;"]"&amp;E229&amp;"'!"&amp;$AB$3),0)</f>
        <v>#VALUE!</v>
      </c>
      <c r="Q229" s="34" t="e" cm="1">
        <f t="array" aca="1" ref="Q229" ca="1">IF(AND(G229=INDIRECT("'["&amp;G229&amp;"]"&amp;E229&amp;"'!"&amp;$AH$2),OR(VALUE(I229)=INDIRECT("'["&amp;G229&amp;"]"&amp;E229&amp;"'!"&amp;$AC$2))),INDIRECT("'["&amp;G229&amp;"]"&amp;E229&amp;"'!"&amp;$AC$3),0)</f>
        <v>#VALUE!</v>
      </c>
      <c r="R229" s="34" t="e" cm="1">
        <f t="array" aca="1" ref="R229" ca="1">IF(AND(G229=INDIRECT("'["&amp;G229&amp;"]"&amp;E229&amp;"'!"&amp;$AH$2),OR(I229=INDIRECT("'["&amp;G229&amp;"]"&amp;E229&amp;"'!"&amp;$AD$2))),INDIRECT("'["&amp;G229&amp;"]"&amp;E229&amp;"'!"&amp;$AD$3),0)</f>
        <v>#VALUE!</v>
      </c>
      <c r="S229" s="34" t="e" cm="1">
        <f t="array" aca="1" ref="S229" ca="1">IF(AND(G229=INDIRECT("'["&amp;G229&amp;"]"&amp;E229&amp;"'!"&amp;$AH$2),OR(I229=INDIRECT("'["&amp;G229&amp;"]"&amp;E229&amp;"'!"&amp;$AE$2))),INDIRECT("'["&amp;G229&amp;"]"&amp;E229&amp;"'!"&amp;$AE$3),0)</f>
        <v>#VALUE!</v>
      </c>
      <c r="T229" s="35" t="e" cm="1">
        <f t="array" aca="1" ref="T229" ca="1">IF(AND(G229=INDIRECT("'["&amp;G229&amp;"]"&amp;E229&amp;"'!"&amp;$AH$2),OR(I229=INDIRECT("'["&amp;G229&amp;"]"&amp;E229&amp;"'!"&amp;$AF$2))),INDIRECT("'["&amp;G229&amp;"]"&amp;E229&amp;"'!"&amp;$AF$3),0)</f>
        <v>#VALUE!</v>
      </c>
      <c r="U229" s="34" t="e" cm="1">
        <f t="array" aca="1" ref="U229" ca="1">IF(AND(G229=INDIRECT("'["&amp;G229&amp;"]"&amp;E229&amp;"'!"&amp;$AH$2),OR(I229=INDIRECT("'["&amp;G229&amp;"]"&amp;E229&amp;"'!"&amp;$AG$2))),INDIRECT("'["&amp;G229&amp;"]"&amp;E229&amp;"'!"&amp;$AG$3),0)</f>
        <v>#VALUE!</v>
      </c>
      <c r="V229" s="25" t="str">
        <f t="shared" si="71"/>
        <v/>
      </c>
      <c r="W229" s="36" t="e" cm="1">
        <f t="array" aca="1" ref="W229" ca="1">IF(AND(G229=INDIRECT("'["&amp;G229&amp;"]"&amp;E229&amp;"'!"&amp;$AH$2),OR(V229=INDIRECT("'["&amp;G229&amp;"]"&amp;E229&amp;"'!"&amp;$AI$2))),INDIRECT("'["&amp;G229&amp;"]"&amp;E229&amp;"'!"&amp;$AI$3),0)</f>
        <v>#VALUE!</v>
      </c>
      <c r="AJ229" s="25">
        <v>1</v>
      </c>
      <c r="AK229" s="38">
        <f t="shared" ca="1" si="72"/>
        <v>0</v>
      </c>
      <c r="AL229" s="38">
        <f t="shared" ca="1" si="73"/>
        <v>0</v>
      </c>
      <c r="AM229" s="54" t="str">
        <f t="shared" ca="1" si="64"/>
        <v/>
      </c>
      <c r="AN229" s="25" t="e">
        <f t="shared" ca="1" si="74"/>
        <v>#VALUE!</v>
      </c>
      <c r="AO229" s="25" t="e">
        <f t="shared" ca="1" si="75"/>
        <v>#VALUE!</v>
      </c>
      <c r="AP229" s="39" t="str">
        <f t="shared" ca="1" si="65"/>
        <v/>
      </c>
      <c r="AQ229" s="46" t="str">
        <f ca="1">IF(AND(C229&lt;&gt;0, C230=0), SUM($C$2:C229)-SUM($AQ$1:AQ228), "")</f>
        <v/>
      </c>
      <c r="AR229" s="46" t="str">
        <f ca="1">IF(AND(AK229&lt;&gt;0, AK230=0), SUM($AK$2:AK229)-SUM($AR$1:AR228), "")</f>
        <v/>
      </c>
    </row>
    <row r="230" spans="1:44" ht="13.15" customHeight="1">
      <c r="A230" s="59"/>
      <c r="B230" s="68" t="str">
        <f t="shared" si="78"/>
        <v/>
      </c>
      <c r="C230" s="55" cm="1">
        <f t="array" aca="1" ref="C230" ca="1">SUM(IF(ISNUMBER(M230:U230),M230:U230,""))</f>
        <v>0</v>
      </c>
      <c r="D230" s="25" t="str">
        <f t="shared" si="76"/>
        <v/>
      </c>
      <c r="E230" s="25" t="e">
        <f t="shared" si="66"/>
        <v>#VALUE!</v>
      </c>
      <c r="F230" s="25" t="str">
        <f t="shared" si="77"/>
        <v/>
      </c>
      <c r="G230" s="25" t="str">
        <f t="shared" si="63"/>
        <v>.xlsx</v>
      </c>
      <c r="H230" s="29" t="e" cm="1">
        <f t="array" aca="1" ref="H230" ca="1">IF(AND(VALUE(E230)=INDIRECT("'["&amp;G230&amp;"]"&amp;E230&amp;"'!"&amp;$X$2),G230=INDIRECT("'["&amp;G230&amp;"]"&amp;E230&amp;"'!"&amp;$X$3)),INDIRECT("'["&amp;G230&amp;"]"&amp;E230&amp;"'!"&amp;$X$1),0)</f>
        <v>#VALUE!</v>
      </c>
      <c r="I230" s="25" t="str">
        <f t="shared" si="67"/>
        <v/>
      </c>
      <c r="J230" s="32" t="str">
        <f t="shared" si="68"/>
        <v/>
      </c>
      <c r="K230" s="25" t="str">
        <f t="shared" si="69"/>
        <v/>
      </c>
      <c r="L230" s="25" t="str">
        <f t="shared" si="70"/>
        <v/>
      </c>
      <c r="M230" s="33" t="e" cm="1">
        <f t="array" aca="1" ref="M230" ca="1">IF(AND(J230=INDIRECT("'["&amp;G230&amp;"]"&amp;E230&amp;"'!"&amp;$Y$2),G230=INDIRECT("'["&amp;G230&amp;"]"&amp;E230&amp;"'!"&amp;$AH$2)),INDIRECT("'["&amp;G230&amp;"]"&amp;E230&amp;"'!"&amp;$Y$3),0)</f>
        <v>#VALUE!</v>
      </c>
      <c r="N230" s="34" t="e" cm="1">
        <f t="array" aca="1" ref="N230" ca="1">IF(AND(G230=INDIRECT("'["&amp;G230&amp;"]"&amp;E230&amp;"'!"&amp;$AH$2),OR(K230=INDIRECT("'["&amp;G230&amp;"]"&amp;E230&amp;"'!"&amp;$Z$2))),INDIRECT("'["&amp;G230&amp;"]"&amp;E230&amp;"'!"&amp;$Z$3),0)</f>
        <v>#VALUE!</v>
      </c>
      <c r="O230" s="34" t="e" cm="1">
        <f t="array" aca="1" ref="O230" ca="1">IF(AND(G230=INDIRECT("'["&amp;G230&amp;"]"&amp;E230&amp;"'!"&amp;$AH$2),OR(L230=INDIRECT("'["&amp;G230&amp;"]"&amp;E230&amp;"'!"&amp;$AA$2))),INDIRECT("'["&amp;G230&amp;"]"&amp;E230&amp;"'!"&amp;$AA$3),0)</f>
        <v>#VALUE!</v>
      </c>
      <c r="P230" s="34" t="e" cm="1">
        <f t="array" aca="1" ref="P230" ca="1">IF(AND(G230=INDIRECT("'["&amp;G230&amp;"]"&amp;E230&amp;"'!"&amp;$AH$2),OR(VALUE(I230)=INDIRECT("'["&amp;G230&amp;"]"&amp;E230&amp;"'!"&amp;$AB$2))),INDIRECT("'["&amp;G230&amp;"]"&amp;E230&amp;"'!"&amp;$AB$3),0)</f>
        <v>#VALUE!</v>
      </c>
      <c r="Q230" s="34" t="e" cm="1">
        <f t="array" aca="1" ref="Q230" ca="1">IF(AND(G230=INDIRECT("'["&amp;G230&amp;"]"&amp;E230&amp;"'!"&amp;$AH$2),OR(VALUE(I230)=INDIRECT("'["&amp;G230&amp;"]"&amp;E230&amp;"'!"&amp;$AC$2))),INDIRECT("'["&amp;G230&amp;"]"&amp;E230&amp;"'!"&amp;$AC$3),0)</f>
        <v>#VALUE!</v>
      </c>
      <c r="R230" s="34" t="e" cm="1">
        <f t="array" aca="1" ref="R230" ca="1">IF(AND(G230=INDIRECT("'["&amp;G230&amp;"]"&amp;E230&amp;"'!"&amp;$AH$2),OR(I230=INDIRECT("'["&amp;G230&amp;"]"&amp;E230&amp;"'!"&amp;$AD$2))),INDIRECT("'["&amp;G230&amp;"]"&amp;E230&amp;"'!"&amp;$AD$3),0)</f>
        <v>#VALUE!</v>
      </c>
      <c r="S230" s="34" t="e" cm="1">
        <f t="array" aca="1" ref="S230" ca="1">IF(AND(G230=INDIRECT("'["&amp;G230&amp;"]"&amp;E230&amp;"'!"&amp;$AH$2),OR(I230=INDIRECT("'["&amp;G230&amp;"]"&amp;E230&amp;"'!"&amp;$AE$2))),INDIRECT("'["&amp;G230&amp;"]"&amp;E230&amp;"'!"&amp;$AE$3),0)</f>
        <v>#VALUE!</v>
      </c>
      <c r="T230" s="35" t="e" cm="1">
        <f t="array" aca="1" ref="T230" ca="1">IF(AND(G230=INDIRECT("'["&amp;G230&amp;"]"&amp;E230&amp;"'!"&amp;$AH$2),OR(I230=INDIRECT("'["&amp;G230&amp;"]"&amp;E230&amp;"'!"&amp;$AF$2))),INDIRECT("'["&amp;G230&amp;"]"&amp;E230&amp;"'!"&amp;$AF$3),0)</f>
        <v>#VALUE!</v>
      </c>
      <c r="U230" s="34" t="e" cm="1">
        <f t="array" aca="1" ref="U230" ca="1">IF(AND(G230=INDIRECT("'["&amp;G230&amp;"]"&amp;E230&amp;"'!"&amp;$AH$2),OR(I230=INDIRECT("'["&amp;G230&amp;"]"&amp;E230&amp;"'!"&amp;$AG$2))),INDIRECT("'["&amp;G230&amp;"]"&amp;E230&amp;"'!"&amp;$AG$3),0)</f>
        <v>#VALUE!</v>
      </c>
      <c r="V230" s="25" t="str">
        <f t="shared" si="71"/>
        <v/>
      </c>
      <c r="W230" s="36" t="e" cm="1">
        <f t="array" aca="1" ref="W230" ca="1">IF(AND(G230=INDIRECT("'["&amp;G230&amp;"]"&amp;E230&amp;"'!"&amp;$AH$2),OR(V230=INDIRECT("'["&amp;G230&amp;"]"&amp;E230&amp;"'!"&amp;$AI$2))),INDIRECT("'["&amp;G230&amp;"]"&amp;E230&amp;"'!"&amp;$AI$3),0)</f>
        <v>#VALUE!</v>
      </c>
      <c r="AJ230" s="25">
        <v>1</v>
      </c>
      <c r="AK230" s="38">
        <f t="shared" ca="1" si="72"/>
        <v>0</v>
      </c>
      <c r="AL230" s="38">
        <f t="shared" ca="1" si="73"/>
        <v>0</v>
      </c>
      <c r="AM230" s="54" t="str">
        <f t="shared" ca="1" si="64"/>
        <v/>
      </c>
      <c r="AN230" s="25" t="e">
        <f t="shared" ca="1" si="74"/>
        <v>#VALUE!</v>
      </c>
      <c r="AO230" s="25" t="e">
        <f t="shared" ca="1" si="75"/>
        <v>#VALUE!</v>
      </c>
      <c r="AP230" s="39" t="str">
        <f t="shared" ca="1" si="65"/>
        <v/>
      </c>
      <c r="AQ230" s="46" t="str">
        <f ca="1">IF(AND(C230&lt;&gt;0, C231=0), SUM($C$2:C230)-SUM($AQ$1:AQ229), "")</f>
        <v/>
      </c>
      <c r="AR230" s="46" t="str">
        <f ca="1">IF(AND(AK230&lt;&gt;0, AK231=0), SUM($AK$2:AK230)-SUM($AR$1:AR229), "")</f>
        <v/>
      </c>
    </row>
    <row r="231" spans="1:44" ht="13.15" customHeight="1">
      <c r="A231" s="59"/>
      <c r="B231" s="68" t="str">
        <f t="shared" si="78"/>
        <v/>
      </c>
      <c r="C231" s="55" cm="1">
        <f t="array" aca="1" ref="C231" ca="1">SUM(IF(ISNUMBER(M231:U231),M231:U231,""))</f>
        <v>0</v>
      </c>
      <c r="D231" s="25" t="str">
        <f t="shared" si="76"/>
        <v/>
      </c>
      <c r="E231" s="25" t="e">
        <f t="shared" si="66"/>
        <v>#VALUE!</v>
      </c>
      <c r="F231" s="25" t="str">
        <f t="shared" si="77"/>
        <v/>
      </c>
      <c r="G231" s="25" t="str">
        <f t="shared" si="63"/>
        <v>.xlsx</v>
      </c>
      <c r="H231" s="29" t="e" cm="1">
        <f t="array" aca="1" ref="H231" ca="1">IF(AND(VALUE(E231)=INDIRECT("'["&amp;G231&amp;"]"&amp;E231&amp;"'!"&amp;$X$2),G231=INDIRECT("'["&amp;G231&amp;"]"&amp;E231&amp;"'!"&amp;$X$3)),INDIRECT("'["&amp;G231&amp;"]"&amp;E231&amp;"'!"&amp;$X$1),0)</f>
        <v>#VALUE!</v>
      </c>
      <c r="I231" s="25" t="str">
        <f t="shared" si="67"/>
        <v/>
      </c>
      <c r="J231" s="32" t="str">
        <f t="shared" si="68"/>
        <v/>
      </c>
      <c r="K231" s="25" t="str">
        <f t="shared" si="69"/>
        <v/>
      </c>
      <c r="L231" s="25" t="str">
        <f t="shared" si="70"/>
        <v/>
      </c>
      <c r="M231" s="33" t="e" cm="1">
        <f t="array" aca="1" ref="M231" ca="1">IF(AND(J231=INDIRECT("'["&amp;G231&amp;"]"&amp;E231&amp;"'!"&amp;$Y$2),G231=INDIRECT("'["&amp;G231&amp;"]"&amp;E231&amp;"'!"&amp;$AH$2)),INDIRECT("'["&amp;G231&amp;"]"&amp;E231&amp;"'!"&amp;$Y$3),0)</f>
        <v>#VALUE!</v>
      </c>
      <c r="N231" s="34" t="e" cm="1">
        <f t="array" aca="1" ref="N231" ca="1">IF(AND(G231=INDIRECT("'["&amp;G231&amp;"]"&amp;E231&amp;"'!"&amp;$AH$2),OR(K231=INDIRECT("'["&amp;G231&amp;"]"&amp;E231&amp;"'!"&amp;$Z$2))),INDIRECT("'["&amp;G231&amp;"]"&amp;E231&amp;"'!"&amp;$Z$3),0)</f>
        <v>#VALUE!</v>
      </c>
      <c r="O231" s="34" t="e" cm="1">
        <f t="array" aca="1" ref="O231" ca="1">IF(AND(G231=INDIRECT("'["&amp;G231&amp;"]"&amp;E231&amp;"'!"&amp;$AH$2),OR(L231=INDIRECT("'["&amp;G231&amp;"]"&amp;E231&amp;"'!"&amp;$AA$2))),INDIRECT("'["&amp;G231&amp;"]"&amp;E231&amp;"'!"&amp;$AA$3),0)</f>
        <v>#VALUE!</v>
      </c>
      <c r="P231" s="34" t="e" cm="1">
        <f t="array" aca="1" ref="P231" ca="1">IF(AND(G231=INDIRECT("'["&amp;G231&amp;"]"&amp;E231&amp;"'!"&amp;$AH$2),OR(VALUE(I231)=INDIRECT("'["&amp;G231&amp;"]"&amp;E231&amp;"'!"&amp;$AB$2))),INDIRECT("'["&amp;G231&amp;"]"&amp;E231&amp;"'!"&amp;$AB$3),0)</f>
        <v>#VALUE!</v>
      </c>
      <c r="Q231" s="34" t="e" cm="1">
        <f t="array" aca="1" ref="Q231" ca="1">IF(AND(G231=INDIRECT("'["&amp;G231&amp;"]"&amp;E231&amp;"'!"&amp;$AH$2),OR(VALUE(I231)=INDIRECT("'["&amp;G231&amp;"]"&amp;E231&amp;"'!"&amp;$AC$2))),INDIRECT("'["&amp;G231&amp;"]"&amp;E231&amp;"'!"&amp;$AC$3),0)</f>
        <v>#VALUE!</v>
      </c>
      <c r="R231" s="34" t="e" cm="1">
        <f t="array" aca="1" ref="R231" ca="1">IF(AND(G231=INDIRECT("'["&amp;G231&amp;"]"&amp;E231&amp;"'!"&amp;$AH$2),OR(I231=INDIRECT("'["&amp;G231&amp;"]"&amp;E231&amp;"'!"&amp;$AD$2))),INDIRECT("'["&amp;G231&amp;"]"&amp;E231&amp;"'!"&amp;$AD$3),0)</f>
        <v>#VALUE!</v>
      </c>
      <c r="S231" s="34" t="e" cm="1">
        <f t="array" aca="1" ref="S231" ca="1">IF(AND(G231=INDIRECT("'["&amp;G231&amp;"]"&amp;E231&amp;"'!"&amp;$AH$2),OR(I231=INDIRECT("'["&amp;G231&amp;"]"&amp;E231&amp;"'!"&amp;$AE$2))),INDIRECT("'["&amp;G231&amp;"]"&amp;E231&amp;"'!"&amp;$AE$3),0)</f>
        <v>#VALUE!</v>
      </c>
      <c r="T231" s="35" t="e" cm="1">
        <f t="array" aca="1" ref="T231" ca="1">IF(AND(G231=INDIRECT("'["&amp;G231&amp;"]"&amp;E231&amp;"'!"&amp;$AH$2),OR(I231=INDIRECT("'["&amp;G231&amp;"]"&amp;E231&amp;"'!"&amp;$AF$2))),INDIRECT("'["&amp;G231&amp;"]"&amp;E231&amp;"'!"&amp;$AF$3),0)</f>
        <v>#VALUE!</v>
      </c>
      <c r="U231" s="34" t="e" cm="1">
        <f t="array" aca="1" ref="U231" ca="1">IF(AND(G231=INDIRECT("'["&amp;G231&amp;"]"&amp;E231&amp;"'!"&amp;$AH$2),OR(I231=INDIRECT("'["&amp;G231&amp;"]"&amp;E231&amp;"'!"&amp;$AG$2))),INDIRECT("'["&amp;G231&amp;"]"&amp;E231&amp;"'!"&amp;$AG$3),0)</f>
        <v>#VALUE!</v>
      </c>
      <c r="V231" s="25" t="str">
        <f t="shared" si="71"/>
        <v/>
      </c>
      <c r="W231" s="36" t="e" cm="1">
        <f t="array" aca="1" ref="W231" ca="1">IF(AND(G231=INDIRECT("'["&amp;G231&amp;"]"&amp;E231&amp;"'!"&amp;$AH$2),OR(V231=INDIRECT("'["&amp;G231&amp;"]"&amp;E231&amp;"'!"&amp;$AI$2))),INDIRECT("'["&amp;G231&amp;"]"&amp;E231&amp;"'!"&amp;$AI$3),0)</f>
        <v>#VALUE!</v>
      </c>
      <c r="AJ231" s="25">
        <v>1</v>
      </c>
      <c r="AK231" s="38">
        <f t="shared" ca="1" si="72"/>
        <v>0</v>
      </c>
      <c r="AL231" s="38">
        <f t="shared" ca="1" si="73"/>
        <v>0</v>
      </c>
      <c r="AM231" s="54" t="str">
        <f t="shared" ca="1" si="64"/>
        <v/>
      </c>
      <c r="AN231" s="25" t="e">
        <f t="shared" ca="1" si="74"/>
        <v>#VALUE!</v>
      </c>
      <c r="AO231" s="25" t="e">
        <f t="shared" ca="1" si="75"/>
        <v>#VALUE!</v>
      </c>
      <c r="AP231" s="39" t="str">
        <f t="shared" ca="1" si="65"/>
        <v/>
      </c>
      <c r="AQ231" s="46" t="str">
        <f ca="1">IF(AND(C231&lt;&gt;0, C232=0), SUM($C$2:C231)-SUM($AQ$1:AQ230), "")</f>
        <v/>
      </c>
      <c r="AR231" s="46" t="str">
        <f ca="1">IF(AND(AK231&lt;&gt;0, AK232=0), SUM($AK$2:AK231)-SUM($AR$1:AR230), "")</f>
        <v/>
      </c>
    </row>
    <row r="232" spans="1:44" ht="13.15" customHeight="1">
      <c r="A232" s="59"/>
      <c r="B232" s="68" t="str">
        <f t="shared" si="78"/>
        <v/>
      </c>
      <c r="C232" s="55" cm="1">
        <f t="array" aca="1" ref="C232" ca="1">SUM(IF(ISNUMBER(M232:U232),M232:U232,""))</f>
        <v>0</v>
      </c>
      <c r="D232" s="25" t="str">
        <f t="shared" si="76"/>
        <v/>
      </c>
      <c r="E232" s="25" t="e">
        <f t="shared" si="66"/>
        <v>#VALUE!</v>
      </c>
      <c r="F232" s="25" t="str">
        <f t="shared" si="77"/>
        <v/>
      </c>
      <c r="G232" s="25" t="str">
        <f t="shared" si="63"/>
        <v>.xlsx</v>
      </c>
      <c r="H232" s="29" t="e" cm="1">
        <f t="array" aca="1" ref="H232" ca="1">IF(AND(VALUE(E232)=INDIRECT("'["&amp;G232&amp;"]"&amp;E232&amp;"'!"&amp;$X$2),G232=INDIRECT("'["&amp;G232&amp;"]"&amp;E232&amp;"'!"&amp;$X$3)),INDIRECT("'["&amp;G232&amp;"]"&amp;E232&amp;"'!"&amp;$X$1),0)</f>
        <v>#VALUE!</v>
      </c>
      <c r="I232" s="25" t="str">
        <f t="shared" si="67"/>
        <v/>
      </c>
      <c r="J232" s="32" t="str">
        <f t="shared" si="68"/>
        <v/>
      </c>
      <c r="K232" s="25" t="str">
        <f t="shared" si="69"/>
        <v/>
      </c>
      <c r="L232" s="25" t="str">
        <f t="shared" si="70"/>
        <v/>
      </c>
      <c r="M232" s="33" t="e" cm="1">
        <f t="array" aca="1" ref="M232" ca="1">IF(AND(J232=INDIRECT("'["&amp;G232&amp;"]"&amp;E232&amp;"'!"&amp;$Y$2),G232=INDIRECT("'["&amp;G232&amp;"]"&amp;E232&amp;"'!"&amp;$AH$2)),INDIRECT("'["&amp;G232&amp;"]"&amp;E232&amp;"'!"&amp;$Y$3),0)</f>
        <v>#VALUE!</v>
      </c>
      <c r="N232" s="34" t="e" cm="1">
        <f t="array" aca="1" ref="N232" ca="1">IF(AND(G232=INDIRECT("'["&amp;G232&amp;"]"&amp;E232&amp;"'!"&amp;$AH$2),OR(K232=INDIRECT("'["&amp;G232&amp;"]"&amp;E232&amp;"'!"&amp;$Z$2))),INDIRECT("'["&amp;G232&amp;"]"&amp;E232&amp;"'!"&amp;$Z$3),0)</f>
        <v>#VALUE!</v>
      </c>
      <c r="O232" s="34" t="e" cm="1">
        <f t="array" aca="1" ref="O232" ca="1">IF(AND(G232=INDIRECT("'["&amp;G232&amp;"]"&amp;E232&amp;"'!"&amp;$AH$2),OR(L232=INDIRECT("'["&amp;G232&amp;"]"&amp;E232&amp;"'!"&amp;$AA$2))),INDIRECT("'["&amp;G232&amp;"]"&amp;E232&amp;"'!"&amp;$AA$3),0)</f>
        <v>#VALUE!</v>
      </c>
      <c r="P232" s="34" t="e" cm="1">
        <f t="array" aca="1" ref="P232" ca="1">IF(AND(G232=INDIRECT("'["&amp;G232&amp;"]"&amp;E232&amp;"'!"&amp;$AH$2),OR(VALUE(I232)=INDIRECT("'["&amp;G232&amp;"]"&amp;E232&amp;"'!"&amp;$AB$2))),INDIRECT("'["&amp;G232&amp;"]"&amp;E232&amp;"'!"&amp;$AB$3),0)</f>
        <v>#VALUE!</v>
      </c>
      <c r="Q232" s="34" t="e" cm="1">
        <f t="array" aca="1" ref="Q232" ca="1">IF(AND(G232=INDIRECT("'["&amp;G232&amp;"]"&amp;E232&amp;"'!"&amp;$AH$2),OR(VALUE(I232)=INDIRECT("'["&amp;G232&amp;"]"&amp;E232&amp;"'!"&amp;$AC$2))),INDIRECT("'["&amp;G232&amp;"]"&amp;E232&amp;"'!"&amp;$AC$3),0)</f>
        <v>#VALUE!</v>
      </c>
      <c r="R232" s="34" t="e" cm="1">
        <f t="array" aca="1" ref="R232" ca="1">IF(AND(G232=INDIRECT("'["&amp;G232&amp;"]"&amp;E232&amp;"'!"&amp;$AH$2),OR(I232=INDIRECT("'["&amp;G232&amp;"]"&amp;E232&amp;"'!"&amp;$AD$2))),INDIRECT("'["&amp;G232&amp;"]"&amp;E232&amp;"'!"&amp;$AD$3),0)</f>
        <v>#VALUE!</v>
      </c>
      <c r="S232" s="34" t="e" cm="1">
        <f t="array" aca="1" ref="S232" ca="1">IF(AND(G232=INDIRECT("'["&amp;G232&amp;"]"&amp;E232&amp;"'!"&amp;$AH$2),OR(I232=INDIRECT("'["&amp;G232&amp;"]"&amp;E232&amp;"'!"&amp;$AE$2))),INDIRECT("'["&amp;G232&amp;"]"&amp;E232&amp;"'!"&amp;$AE$3),0)</f>
        <v>#VALUE!</v>
      </c>
      <c r="T232" s="35" t="e" cm="1">
        <f t="array" aca="1" ref="T232" ca="1">IF(AND(G232=INDIRECT("'["&amp;G232&amp;"]"&amp;E232&amp;"'!"&amp;$AH$2),OR(I232=INDIRECT("'["&amp;G232&amp;"]"&amp;E232&amp;"'!"&amp;$AF$2))),INDIRECT("'["&amp;G232&amp;"]"&amp;E232&amp;"'!"&amp;$AF$3),0)</f>
        <v>#VALUE!</v>
      </c>
      <c r="U232" s="34" t="e" cm="1">
        <f t="array" aca="1" ref="U232" ca="1">IF(AND(G232=INDIRECT("'["&amp;G232&amp;"]"&amp;E232&amp;"'!"&amp;$AH$2),OR(I232=INDIRECT("'["&amp;G232&amp;"]"&amp;E232&amp;"'!"&amp;$AG$2))),INDIRECT("'["&amp;G232&amp;"]"&amp;E232&amp;"'!"&amp;$AG$3),0)</f>
        <v>#VALUE!</v>
      </c>
      <c r="V232" s="25" t="str">
        <f t="shared" si="71"/>
        <v/>
      </c>
      <c r="W232" s="36" t="e" cm="1">
        <f t="array" aca="1" ref="W232" ca="1">IF(AND(G232=INDIRECT("'["&amp;G232&amp;"]"&amp;E232&amp;"'!"&amp;$AH$2),OR(V232=INDIRECT("'["&amp;G232&amp;"]"&amp;E232&amp;"'!"&amp;$AI$2))),INDIRECT("'["&amp;G232&amp;"]"&amp;E232&amp;"'!"&amp;$AI$3),0)</f>
        <v>#VALUE!</v>
      </c>
      <c r="AJ232" s="25">
        <v>1</v>
      </c>
      <c r="AK232" s="38">
        <f t="shared" ca="1" si="72"/>
        <v>0</v>
      </c>
      <c r="AL232" s="38">
        <f t="shared" ca="1" si="73"/>
        <v>0</v>
      </c>
      <c r="AM232" s="54" t="str">
        <f t="shared" ca="1" si="64"/>
        <v/>
      </c>
      <c r="AN232" s="25" t="e">
        <f t="shared" ca="1" si="74"/>
        <v>#VALUE!</v>
      </c>
      <c r="AO232" s="25" t="e">
        <f t="shared" ca="1" si="75"/>
        <v>#VALUE!</v>
      </c>
      <c r="AP232" s="39" t="str">
        <f t="shared" ca="1" si="65"/>
        <v/>
      </c>
      <c r="AQ232" s="46" t="str">
        <f ca="1">IF(AND(C232&lt;&gt;0, C233=0), SUM($C$2:C232)-SUM($AQ$1:AQ231), "")</f>
        <v/>
      </c>
      <c r="AR232" s="46" t="str">
        <f ca="1">IF(AND(AK232&lt;&gt;0, AK233=0), SUM($AK$2:AK232)-SUM($AR$1:AR231), "")</f>
        <v/>
      </c>
    </row>
    <row r="233" spans="1:44" ht="13.15" customHeight="1">
      <c r="A233" s="59"/>
      <c r="B233" s="68" t="str">
        <f t="shared" si="78"/>
        <v/>
      </c>
      <c r="C233" s="55" cm="1">
        <f t="array" aca="1" ref="C233" ca="1">SUM(IF(ISNUMBER(M233:U233),M233:U233,""))</f>
        <v>0</v>
      </c>
      <c r="D233" s="25" t="str">
        <f t="shared" si="76"/>
        <v/>
      </c>
      <c r="E233" s="25" t="e">
        <f t="shared" si="66"/>
        <v>#VALUE!</v>
      </c>
      <c r="F233" s="25" t="str">
        <f t="shared" si="77"/>
        <v/>
      </c>
      <c r="G233" s="25" t="str">
        <f t="shared" si="63"/>
        <v>.xlsx</v>
      </c>
      <c r="H233" s="29" t="e" cm="1">
        <f t="array" aca="1" ref="H233" ca="1">IF(AND(VALUE(E233)=INDIRECT("'["&amp;G233&amp;"]"&amp;E233&amp;"'!"&amp;$X$2),G233=INDIRECT("'["&amp;G233&amp;"]"&amp;E233&amp;"'!"&amp;$X$3)),INDIRECT("'["&amp;G233&amp;"]"&amp;E233&amp;"'!"&amp;$X$1),0)</f>
        <v>#VALUE!</v>
      </c>
      <c r="I233" s="25" t="str">
        <f t="shared" si="67"/>
        <v/>
      </c>
      <c r="J233" s="32" t="str">
        <f t="shared" si="68"/>
        <v/>
      </c>
      <c r="K233" s="25" t="str">
        <f t="shared" si="69"/>
        <v/>
      </c>
      <c r="L233" s="25" t="str">
        <f t="shared" si="70"/>
        <v/>
      </c>
      <c r="M233" s="33" t="e" cm="1">
        <f t="array" aca="1" ref="M233" ca="1">IF(AND(J233=INDIRECT("'["&amp;G233&amp;"]"&amp;E233&amp;"'!"&amp;$Y$2),G233=INDIRECT("'["&amp;G233&amp;"]"&amp;E233&amp;"'!"&amp;$AH$2)),INDIRECT("'["&amp;G233&amp;"]"&amp;E233&amp;"'!"&amp;$Y$3),0)</f>
        <v>#VALUE!</v>
      </c>
      <c r="N233" s="34" t="e" cm="1">
        <f t="array" aca="1" ref="N233" ca="1">IF(AND(G233=INDIRECT("'["&amp;G233&amp;"]"&amp;E233&amp;"'!"&amp;$AH$2),OR(K233=INDIRECT("'["&amp;G233&amp;"]"&amp;E233&amp;"'!"&amp;$Z$2))),INDIRECT("'["&amp;G233&amp;"]"&amp;E233&amp;"'!"&amp;$Z$3),0)</f>
        <v>#VALUE!</v>
      </c>
      <c r="O233" s="34" t="e" cm="1">
        <f t="array" aca="1" ref="O233" ca="1">IF(AND(G233=INDIRECT("'["&amp;G233&amp;"]"&amp;E233&amp;"'!"&amp;$AH$2),OR(L233=INDIRECT("'["&amp;G233&amp;"]"&amp;E233&amp;"'!"&amp;$AA$2))),INDIRECT("'["&amp;G233&amp;"]"&amp;E233&amp;"'!"&amp;$AA$3),0)</f>
        <v>#VALUE!</v>
      </c>
      <c r="P233" s="34" t="e" cm="1">
        <f t="array" aca="1" ref="P233" ca="1">IF(AND(G233=INDIRECT("'["&amp;G233&amp;"]"&amp;E233&amp;"'!"&amp;$AH$2),OR(VALUE(I233)=INDIRECT("'["&amp;G233&amp;"]"&amp;E233&amp;"'!"&amp;$AB$2))),INDIRECT("'["&amp;G233&amp;"]"&amp;E233&amp;"'!"&amp;$AB$3),0)</f>
        <v>#VALUE!</v>
      </c>
      <c r="Q233" s="34" t="e" cm="1">
        <f t="array" aca="1" ref="Q233" ca="1">IF(AND(G233=INDIRECT("'["&amp;G233&amp;"]"&amp;E233&amp;"'!"&amp;$AH$2),OR(VALUE(I233)=INDIRECT("'["&amp;G233&amp;"]"&amp;E233&amp;"'!"&amp;$AC$2))),INDIRECT("'["&amp;G233&amp;"]"&amp;E233&amp;"'!"&amp;$AC$3),0)</f>
        <v>#VALUE!</v>
      </c>
      <c r="R233" s="34" t="e" cm="1">
        <f t="array" aca="1" ref="R233" ca="1">IF(AND(G233=INDIRECT("'["&amp;G233&amp;"]"&amp;E233&amp;"'!"&amp;$AH$2),OR(I233=INDIRECT("'["&amp;G233&amp;"]"&amp;E233&amp;"'!"&amp;$AD$2))),INDIRECT("'["&amp;G233&amp;"]"&amp;E233&amp;"'!"&amp;$AD$3),0)</f>
        <v>#VALUE!</v>
      </c>
      <c r="S233" s="34" t="e" cm="1">
        <f t="array" aca="1" ref="S233" ca="1">IF(AND(G233=INDIRECT("'["&amp;G233&amp;"]"&amp;E233&amp;"'!"&amp;$AH$2),OR(I233=INDIRECT("'["&amp;G233&amp;"]"&amp;E233&amp;"'!"&amp;$AE$2))),INDIRECT("'["&amp;G233&amp;"]"&amp;E233&amp;"'!"&amp;$AE$3),0)</f>
        <v>#VALUE!</v>
      </c>
      <c r="T233" s="35" t="e" cm="1">
        <f t="array" aca="1" ref="T233" ca="1">IF(AND(G233=INDIRECT("'["&amp;G233&amp;"]"&amp;E233&amp;"'!"&amp;$AH$2),OR(I233=INDIRECT("'["&amp;G233&amp;"]"&amp;E233&amp;"'!"&amp;$AF$2))),INDIRECT("'["&amp;G233&amp;"]"&amp;E233&amp;"'!"&amp;$AF$3),0)</f>
        <v>#VALUE!</v>
      </c>
      <c r="U233" s="34" t="e" cm="1">
        <f t="array" aca="1" ref="U233" ca="1">IF(AND(G233=INDIRECT("'["&amp;G233&amp;"]"&amp;E233&amp;"'!"&amp;$AH$2),OR(I233=INDIRECT("'["&amp;G233&amp;"]"&amp;E233&amp;"'!"&amp;$AG$2))),INDIRECT("'["&amp;G233&amp;"]"&amp;E233&amp;"'!"&amp;$AG$3),0)</f>
        <v>#VALUE!</v>
      </c>
      <c r="V233" s="25" t="str">
        <f t="shared" si="71"/>
        <v/>
      </c>
      <c r="W233" s="36" t="e" cm="1">
        <f t="array" aca="1" ref="W233" ca="1">IF(AND(G233=INDIRECT("'["&amp;G233&amp;"]"&amp;E233&amp;"'!"&amp;$AH$2),OR(V233=INDIRECT("'["&amp;G233&amp;"]"&amp;E233&amp;"'!"&amp;$AI$2))),INDIRECT("'["&amp;G233&amp;"]"&amp;E233&amp;"'!"&amp;$AI$3),0)</f>
        <v>#VALUE!</v>
      </c>
      <c r="AJ233" s="25">
        <v>1</v>
      </c>
      <c r="AK233" s="38">
        <f t="shared" ca="1" si="72"/>
        <v>0</v>
      </c>
      <c r="AL233" s="38">
        <f t="shared" ca="1" si="73"/>
        <v>0</v>
      </c>
      <c r="AM233" s="54" t="str">
        <f t="shared" ca="1" si="64"/>
        <v/>
      </c>
      <c r="AN233" s="25" t="e">
        <f t="shared" ca="1" si="74"/>
        <v>#VALUE!</v>
      </c>
      <c r="AO233" s="25" t="e">
        <f t="shared" ca="1" si="75"/>
        <v>#VALUE!</v>
      </c>
      <c r="AP233" s="39" t="str">
        <f t="shared" ca="1" si="65"/>
        <v/>
      </c>
      <c r="AQ233" s="46" t="str">
        <f ca="1">IF(AND(C233&lt;&gt;0, C234=0), SUM($C$2:C233)-SUM($AQ$1:AQ232), "")</f>
        <v/>
      </c>
      <c r="AR233" s="46" t="str">
        <f ca="1">IF(AND(AK233&lt;&gt;0, AK234=0), SUM($AK$2:AK233)-SUM($AR$1:AR232), "")</f>
        <v/>
      </c>
    </row>
    <row r="234" spans="1:44" ht="13.15" customHeight="1">
      <c r="A234" s="59"/>
      <c r="B234" s="68" t="str">
        <f t="shared" si="78"/>
        <v/>
      </c>
      <c r="C234" s="55" cm="1">
        <f t="array" aca="1" ref="C234" ca="1">SUM(IF(ISNUMBER(M234:U234),M234:U234,""))</f>
        <v>0</v>
      </c>
      <c r="D234" s="25" t="str">
        <f t="shared" si="76"/>
        <v/>
      </c>
      <c r="E234" s="25" t="e">
        <f t="shared" si="66"/>
        <v>#VALUE!</v>
      </c>
      <c r="F234" s="25" t="str">
        <f t="shared" si="77"/>
        <v/>
      </c>
      <c r="G234" s="25" t="str">
        <f t="shared" si="63"/>
        <v>.xlsx</v>
      </c>
      <c r="H234" s="29" t="e" cm="1">
        <f t="array" aca="1" ref="H234" ca="1">IF(AND(VALUE(E234)=INDIRECT("'["&amp;G234&amp;"]"&amp;E234&amp;"'!"&amp;$X$2),G234=INDIRECT("'["&amp;G234&amp;"]"&amp;E234&amp;"'!"&amp;$X$3)),INDIRECT("'["&amp;G234&amp;"]"&amp;E234&amp;"'!"&amp;$X$1),0)</f>
        <v>#VALUE!</v>
      </c>
      <c r="I234" s="25" t="str">
        <f t="shared" si="67"/>
        <v/>
      </c>
      <c r="J234" s="32" t="str">
        <f t="shared" si="68"/>
        <v/>
      </c>
      <c r="K234" s="25" t="str">
        <f t="shared" si="69"/>
        <v/>
      </c>
      <c r="L234" s="25" t="str">
        <f t="shared" si="70"/>
        <v/>
      </c>
      <c r="M234" s="33" t="e" cm="1">
        <f t="array" aca="1" ref="M234" ca="1">IF(AND(J234=INDIRECT("'["&amp;G234&amp;"]"&amp;E234&amp;"'!"&amp;$Y$2),G234=INDIRECT("'["&amp;G234&amp;"]"&amp;E234&amp;"'!"&amp;$AH$2)),INDIRECT("'["&amp;G234&amp;"]"&amp;E234&amp;"'!"&amp;$Y$3),0)</f>
        <v>#VALUE!</v>
      </c>
      <c r="N234" s="34" t="e" cm="1">
        <f t="array" aca="1" ref="N234" ca="1">IF(AND(G234=INDIRECT("'["&amp;G234&amp;"]"&amp;E234&amp;"'!"&amp;$AH$2),OR(K234=INDIRECT("'["&amp;G234&amp;"]"&amp;E234&amp;"'!"&amp;$Z$2))),INDIRECT("'["&amp;G234&amp;"]"&amp;E234&amp;"'!"&amp;$Z$3),0)</f>
        <v>#VALUE!</v>
      </c>
      <c r="O234" s="34" t="e" cm="1">
        <f t="array" aca="1" ref="O234" ca="1">IF(AND(G234=INDIRECT("'["&amp;G234&amp;"]"&amp;E234&amp;"'!"&amp;$AH$2),OR(L234=INDIRECT("'["&amp;G234&amp;"]"&amp;E234&amp;"'!"&amp;$AA$2))),INDIRECT("'["&amp;G234&amp;"]"&amp;E234&amp;"'!"&amp;$AA$3),0)</f>
        <v>#VALUE!</v>
      </c>
      <c r="P234" s="34" t="e" cm="1">
        <f t="array" aca="1" ref="P234" ca="1">IF(AND(G234=INDIRECT("'["&amp;G234&amp;"]"&amp;E234&amp;"'!"&amp;$AH$2),OR(VALUE(I234)=INDIRECT("'["&amp;G234&amp;"]"&amp;E234&amp;"'!"&amp;$AB$2))),INDIRECT("'["&amp;G234&amp;"]"&amp;E234&amp;"'!"&amp;$AB$3),0)</f>
        <v>#VALUE!</v>
      </c>
      <c r="Q234" s="34" t="e" cm="1">
        <f t="array" aca="1" ref="Q234" ca="1">IF(AND(G234=INDIRECT("'["&amp;G234&amp;"]"&amp;E234&amp;"'!"&amp;$AH$2),OR(VALUE(I234)=INDIRECT("'["&amp;G234&amp;"]"&amp;E234&amp;"'!"&amp;$AC$2))),INDIRECT("'["&amp;G234&amp;"]"&amp;E234&amp;"'!"&amp;$AC$3),0)</f>
        <v>#VALUE!</v>
      </c>
      <c r="R234" s="34" t="e" cm="1">
        <f t="array" aca="1" ref="R234" ca="1">IF(AND(G234=INDIRECT("'["&amp;G234&amp;"]"&amp;E234&amp;"'!"&amp;$AH$2),OR(I234=INDIRECT("'["&amp;G234&amp;"]"&amp;E234&amp;"'!"&amp;$AD$2))),INDIRECT("'["&amp;G234&amp;"]"&amp;E234&amp;"'!"&amp;$AD$3),0)</f>
        <v>#VALUE!</v>
      </c>
      <c r="S234" s="34" t="e" cm="1">
        <f t="array" aca="1" ref="S234" ca="1">IF(AND(G234=INDIRECT("'["&amp;G234&amp;"]"&amp;E234&amp;"'!"&amp;$AH$2),OR(I234=INDIRECT("'["&amp;G234&amp;"]"&amp;E234&amp;"'!"&amp;$AE$2))),INDIRECT("'["&amp;G234&amp;"]"&amp;E234&amp;"'!"&amp;$AE$3),0)</f>
        <v>#VALUE!</v>
      </c>
      <c r="T234" s="35" t="e" cm="1">
        <f t="array" aca="1" ref="T234" ca="1">IF(AND(G234=INDIRECT("'["&amp;G234&amp;"]"&amp;E234&amp;"'!"&amp;$AH$2),OR(I234=INDIRECT("'["&amp;G234&amp;"]"&amp;E234&amp;"'!"&amp;$AF$2))),INDIRECT("'["&amp;G234&amp;"]"&amp;E234&amp;"'!"&amp;$AF$3),0)</f>
        <v>#VALUE!</v>
      </c>
      <c r="U234" s="34" t="e" cm="1">
        <f t="array" aca="1" ref="U234" ca="1">IF(AND(G234=INDIRECT("'["&amp;G234&amp;"]"&amp;E234&amp;"'!"&amp;$AH$2),OR(I234=INDIRECT("'["&amp;G234&amp;"]"&amp;E234&amp;"'!"&amp;$AG$2))),INDIRECT("'["&amp;G234&amp;"]"&amp;E234&amp;"'!"&amp;$AG$3),0)</f>
        <v>#VALUE!</v>
      </c>
      <c r="V234" s="25" t="str">
        <f t="shared" si="71"/>
        <v/>
      </c>
      <c r="W234" s="36" t="e" cm="1">
        <f t="array" aca="1" ref="W234" ca="1">IF(AND(G234=INDIRECT("'["&amp;G234&amp;"]"&amp;E234&amp;"'!"&amp;$AH$2),OR(V234=INDIRECT("'["&amp;G234&amp;"]"&amp;E234&amp;"'!"&amp;$AI$2))),INDIRECT("'["&amp;G234&amp;"]"&amp;E234&amp;"'!"&amp;$AI$3),0)</f>
        <v>#VALUE!</v>
      </c>
      <c r="AJ234" s="25">
        <v>1</v>
      </c>
      <c r="AK234" s="38">
        <f t="shared" ca="1" si="72"/>
        <v>0</v>
      </c>
      <c r="AL234" s="38">
        <f t="shared" ca="1" si="73"/>
        <v>0</v>
      </c>
      <c r="AM234" s="54" t="str">
        <f t="shared" ca="1" si="64"/>
        <v/>
      </c>
      <c r="AN234" s="25" t="e">
        <f t="shared" ca="1" si="74"/>
        <v>#VALUE!</v>
      </c>
      <c r="AO234" s="25" t="e">
        <f t="shared" ca="1" si="75"/>
        <v>#VALUE!</v>
      </c>
      <c r="AP234" s="39" t="str">
        <f t="shared" ca="1" si="65"/>
        <v/>
      </c>
      <c r="AQ234" s="46" t="str">
        <f ca="1">IF(AND(C234&lt;&gt;0, C235=0), SUM($C$2:C234)-SUM($AQ$1:AQ233), "")</f>
        <v/>
      </c>
      <c r="AR234" s="46" t="str">
        <f ca="1">IF(AND(AK234&lt;&gt;0, AK235=0), SUM($AK$2:AK234)-SUM($AR$1:AR233), "")</f>
        <v/>
      </c>
    </row>
    <row r="235" spans="1:44" ht="13.15" customHeight="1">
      <c r="A235" s="60"/>
      <c r="B235" s="68" t="str">
        <f t="shared" si="78"/>
        <v/>
      </c>
      <c r="C235" s="55" cm="1">
        <f t="array" aca="1" ref="C235" ca="1">SUM(IF(ISNUMBER(M235:U235),M235:U235,""))</f>
        <v>0</v>
      </c>
      <c r="D235" s="25" t="str">
        <f t="shared" si="76"/>
        <v/>
      </c>
      <c r="E235" s="25" t="e">
        <f t="shared" si="66"/>
        <v>#VALUE!</v>
      </c>
      <c r="F235" s="25" t="str">
        <f t="shared" si="77"/>
        <v/>
      </c>
      <c r="G235" s="25" t="str">
        <f t="shared" si="63"/>
        <v>.xlsx</v>
      </c>
      <c r="H235" s="29" t="e" cm="1">
        <f t="array" aca="1" ref="H235" ca="1">IF(AND(VALUE(E235)=INDIRECT("'["&amp;G235&amp;"]"&amp;E235&amp;"'!"&amp;$X$2),G235=INDIRECT("'["&amp;G235&amp;"]"&amp;E235&amp;"'!"&amp;$X$3)),INDIRECT("'["&amp;G235&amp;"]"&amp;E235&amp;"'!"&amp;$X$1),0)</f>
        <v>#VALUE!</v>
      </c>
      <c r="I235" s="25" t="str">
        <f t="shared" si="67"/>
        <v/>
      </c>
      <c r="J235" s="32" t="str">
        <f t="shared" si="68"/>
        <v/>
      </c>
      <c r="K235" s="25" t="str">
        <f t="shared" si="69"/>
        <v/>
      </c>
      <c r="L235" s="25" t="str">
        <f t="shared" si="70"/>
        <v/>
      </c>
      <c r="M235" s="33" t="e" cm="1">
        <f t="array" aca="1" ref="M235" ca="1">IF(AND(J235=INDIRECT("'["&amp;G235&amp;"]"&amp;E235&amp;"'!"&amp;$Y$2),G235=INDIRECT("'["&amp;G235&amp;"]"&amp;E235&amp;"'!"&amp;$AH$2)),INDIRECT("'["&amp;G235&amp;"]"&amp;E235&amp;"'!"&amp;$Y$3),0)</f>
        <v>#VALUE!</v>
      </c>
      <c r="N235" s="34" t="e" cm="1">
        <f t="array" aca="1" ref="N235" ca="1">IF(AND(G235=INDIRECT("'["&amp;G235&amp;"]"&amp;E235&amp;"'!"&amp;$AH$2),OR(K235=INDIRECT("'["&amp;G235&amp;"]"&amp;E235&amp;"'!"&amp;$Z$2))),INDIRECT("'["&amp;G235&amp;"]"&amp;E235&amp;"'!"&amp;$Z$3),0)</f>
        <v>#VALUE!</v>
      </c>
      <c r="O235" s="34" t="e" cm="1">
        <f t="array" aca="1" ref="O235" ca="1">IF(AND(G235=INDIRECT("'["&amp;G235&amp;"]"&amp;E235&amp;"'!"&amp;$AH$2),OR(L235=INDIRECT("'["&amp;G235&amp;"]"&amp;E235&amp;"'!"&amp;$AA$2))),INDIRECT("'["&amp;G235&amp;"]"&amp;E235&amp;"'!"&amp;$AA$3),0)</f>
        <v>#VALUE!</v>
      </c>
      <c r="P235" s="34" t="e" cm="1">
        <f t="array" aca="1" ref="P235" ca="1">IF(AND(G235=INDIRECT("'["&amp;G235&amp;"]"&amp;E235&amp;"'!"&amp;$AH$2),OR(VALUE(I235)=INDIRECT("'["&amp;G235&amp;"]"&amp;E235&amp;"'!"&amp;$AB$2))),INDIRECT("'["&amp;G235&amp;"]"&amp;E235&amp;"'!"&amp;$AB$3),0)</f>
        <v>#VALUE!</v>
      </c>
      <c r="Q235" s="34" t="e" cm="1">
        <f t="array" aca="1" ref="Q235" ca="1">IF(AND(G235=INDIRECT("'["&amp;G235&amp;"]"&amp;E235&amp;"'!"&amp;$AH$2),OR(VALUE(I235)=INDIRECT("'["&amp;G235&amp;"]"&amp;E235&amp;"'!"&amp;$AC$2))),INDIRECT("'["&amp;G235&amp;"]"&amp;E235&amp;"'!"&amp;$AC$3),0)</f>
        <v>#VALUE!</v>
      </c>
      <c r="R235" s="34" t="e" cm="1">
        <f t="array" aca="1" ref="R235" ca="1">IF(AND(G235=INDIRECT("'["&amp;G235&amp;"]"&amp;E235&amp;"'!"&amp;$AH$2),OR(I235=INDIRECT("'["&amp;G235&amp;"]"&amp;E235&amp;"'!"&amp;$AD$2))),INDIRECT("'["&amp;G235&amp;"]"&amp;E235&amp;"'!"&amp;$AD$3),0)</f>
        <v>#VALUE!</v>
      </c>
      <c r="S235" s="34" t="e" cm="1">
        <f t="array" aca="1" ref="S235" ca="1">IF(AND(G235=INDIRECT("'["&amp;G235&amp;"]"&amp;E235&amp;"'!"&amp;$AH$2),OR(I235=INDIRECT("'["&amp;G235&amp;"]"&amp;E235&amp;"'!"&amp;$AE$2))),INDIRECT("'["&amp;G235&amp;"]"&amp;E235&amp;"'!"&amp;$AE$3),0)</f>
        <v>#VALUE!</v>
      </c>
      <c r="T235" s="35" t="e" cm="1">
        <f t="array" aca="1" ref="T235" ca="1">IF(AND(G235=INDIRECT("'["&amp;G235&amp;"]"&amp;E235&amp;"'!"&amp;$AH$2),OR(I235=INDIRECT("'["&amp;G235&amp;"]"&amp;E235&amp;"'!"&amp;$AF$2))),INDIRECT("'["&amp;G235&amp;"]"&amp;E235&amp;"'!"&amp;$AF$3),0)</f>
        <v>#VALUE!</v>
      </c>
      <c r="U235" s="34" t="e" cm="1">
        <f t="array" aca="1" ref="U235" ca="1">IF(AND(G235=INDIRECT("'["&amp;G235&amp;"]"&amp;E235&amp;"'!"&amp;$AH$2),OR(I235=INDIRECT("'["&amp;G235&amp;"]"&amp;E235&amp;"'!"&amp;$AG$2))),INDIRECT("'["&amp;G235&amp;"]"&amp;E235&amp;"'!"&amp;$AG$3),0)</f>
        <v>#VALUE!</v>
      </c>
      <c r="V235" s="25" t="str">
        <f t="shared" si="71"/>
        <v/>
      </c>
      <c r="W235" s="36" t="e" cm="1">
        <f t="array" aca="1" ref="W235" ca="1">IF(AND(G235=INDIRECT("'["&amp;G235&amp;"]"&amp;E235&amp;"'!"&amp;$AH$2),OR(V235=INDIRECT("'["&amp;G235&amp;"]"&amp;E235&amp;"'!"&amp;$AI$2))),INDIRECT("'["&amp;G235&amp;"]"&amp;E235&amp;"'!"&amp;$AI$3),0)</f>
        <v>#VALUE!</v>
      </c>
      <c r="AJ235" s="25">
        <v>1</v>
      </c>
      <c r="AK235" s="38">
        <f t="shared" ca="1" si="72"/>
        <v>0</v>
      </c>
      <c r="AL235" s="38">
        <f t="shared" ca="1" si="73"/>
        <v>0</v>
      </c>
      <c r="AM235" s="54" t="str">
        <f t="shared" ca="1" si="64"/>
        <v/>
      </c>
      <c r="AN235" s="25" t="e">
        <f t="shared" ca="1" si="74"/>
        <v>#VALUE!</v>
      </c>
      <c r="AO235" s="25" t="e">
        <f t="shared" ca="1" si="75"/>
        <v>#VALUE!</v>
      </c>
      <c r="AP235" s="39" t="str">
        <f t="shared" ca="1" si="65"/>
        <v/>
      </c>
      <c r="AQ235" s="46" t="str">
        <f ca="1">IF(AND(C235&lt;&gt;0, C236=0), SUM($C$2:C235)-SUM($AQ$1:AQ234), "")</f>
        <v/>
      </c>
      <c r="AR235" s="46" t="str">
        <f ca="1">IF(AND(AK235&lt;&gt;0, AK236=0), SUM($AK$2:AK235)-SUM($AR$1:AR234), "")</f>
        <v/>
      </c>
    </row>
    <row r="236" spans="1:44" ht="13.15" customHeight="1">
      <c r="A236" s="60"/>
      <c r="B236" s="68" t="str">
        <f t="shared" si="78"/>
        <v/>
      </c>
      <c r="C236" s="55" cm="1">
        <f t="array" aca="1" ref="C236" ca="1">SUM(IF(ISNUMBER(M236:U236),M236:U236,""))</f>
        <v>0</v>
      </c>
      <c r="D236" s="25" t="str">
        <f t="shared" si="76"/>
        <v/>
      </c>
      <c r="E236" s="25" t="e">
        <f t="shared" si="66"/>
        <v>#VALUE!</v>
      </c>
      <c r="F236" s="25" t="str">
        <f t="shared" si="77"/>
        <v/>
      </c>
      <c r="G236" s="25" t="str">
        <f t="shared" si="63"/>
        <v>.xlsx</v>
      </c>
      <c r="H236" s="29" t="e" cm="1">
        <f t="array" aca="1" ref="H236" ca="1">IF(AND(VALUE(E236)=INDIRECT("'["&amp;G236&amp;"]"&amp;E236&amp;"'!"&amp;$X$2),G236=INDIRECT("'["&amp;G236&amp;"]"&amp;E236&amp;"'!"&amp;$X$3)),INDIRECT("'["&amp;G236&amp;"]"&amp;E236&amp;"'!"&amp;$X$1),0)</f>
        <v>#VALUE!</v>
      </c>
      <c r="I236" s="25" t="str">
        <f t="shared" si="67"/>
        <v/>
      </c>
      <c r="J236" s="32" t="str">
        <f t="shared" si="68"/>
        <v/>
      </c>
      <c r="K236" s="25" t="str">
        <f t="shared" si="69"/>
        <v/>
      </c>
      <c r="L236" s="25" t="str">
        <f t="shared" si="70"/>
        <v/>
      </c>
      <c r="M236" s="33" t="e" cm="1">
        <f t="array" aca="1" ref="M236" ca="1">IF(AND(J236=INDIRECT("'["&amp;G236&amp;"]"&amp;E236&amp;"'!"&amp;$Y$2),G236=INDIRECT("'["&amp;G236&amp;"]"&amp;E236&amp;"'!"&amp;$AH$2)),INDIRECT("'["&amp;G236&amp;"]"&amp;E236&amp;"'!"&amp;$Y$3),0)</f>
        <v>#VALUE!</v>
      </c>
      <c r="N236" s="34" t="e" cm="1">
        <f t="array" aca="1" ref="N236" ca="1">IF(AND(G236=INDIRECT("'["&amp;G236&amp;"]"&amp;E236&amp;"'!"&amp;$AH$2),OR(K236=INDIRECT("'["&amp;G236&amp;"]"&amp;E236&amp;"'!"&amp;$Z$2))),INDIRECT("'["&amp;G236&amp;"]"&amp;E236&amp;"'!"&amp;$Z$3),0)</f>
        <v>#VALUE!</v>
      </c>
      <c r="O236" s="34" t="e" cm="1">
        <f t="array" aca="1" ref="O236" ca="1">IF(AND(G236=INDIRECT("'["&amp;G236&amp;"]"&amp;E236&amp;"'!"&amp;$AH$2),OR(L236=INDIRECT("'["&amp;G236&amp;"]"&amp;E236&amp;"'!"&amp;$AA$2))),INDIRECT("'["&amp;G236&amp;"]"&amp;E236&amp;"'!"&amp;$AA$3),0)</f>
        <v>#VALUE!</v>
      </c>
      <c r="P236" s="34" t="e" cm="1">
        <f t="array" aca="1" ref="P236" ca="1">IF(AND(G236=INDIRECT("'["&amp;G236&amp;"]"&amp;E236&amp;"'!"&amp;$AH$2),OR(VALUE(I236)=INDIRECT("'["&amp;G236&amp;"]"&amp;E236&amp;"'!"&amp;$AB$2))),INDIRECT("'["&amp;G236&amp;"]"&amp;E236&amp;"'!"&amp;$AB$3),0)</f>
        <v>#VALUE!</v>
      </c>
      <c r="Q236" s="34" t="e" cm="1">
        <f t="array" aca="1" ref="Q236" ca="1">IF(AND(G236=INDIRECT("'["&amp;G236&amp;"]"&amp;E236&amp;"'!"&amp;$AH$2),OR(VALUE(I236)=INDIRECT("'["&amp;G236&amp;"]"&amp;E236&amp;"'!"&amp;$AC$2))),INDIRECT("'["&amp;G236&amp;"]"&amp;E236&amp;"'!"&amp;$AC$3),0)</f>
        <v>#VALUE!</v>
      </c>
      <c r="R236" s="34" t="e" cm="1">
        <f t="array" aca="1" ref="R236" ca="1">IF(AND(G236=INDIRECT("'["&amp;G236&amp;"]"&amp;E236&amp;"'!"&amp;$AH$2),OR(I236=INDIRECT("'["&amp;G236&amp;"]"&amp;E236&amp;"'!"&amp;$AD$2))),INDIRECT("'["&amp;G236&amp;"]"&amp;E236&amp;"'!"&amp;$AD$3),0)</f>
        <v>#VALUE!</v>
      </c>
      <c r="S236" s="34" t="e" cm="1">
        <f t="array" aca="1" ref="S236" ca="1">IF(AND(G236=INDIRECT("'["&amp;G236&amp;"]"&amp;E236&amp;"'!"&amp;$AH$2),OR(I236=INDIRECT("'["&amp;G236&amp;"]"&amp;E236&amp;"'!"&amp;$AE$2))),INDIRECT("'["&amp;G236&amp;"]"&amp;E236&amp;"'!"&amp;$AE$3),0)</f>
        <v>#VALUE!</v>
      </c>
      <c r="T236" s="35" t="e" cm="1">
        <f t="array" aca="1" ref="T236" ca="1">IF(AND(G236=INDIRECT("'["&amp;G236&amp;"]"&amp;E236&amp;"'!"&amp;$AH$2),OR(I236=INDIRECT("'["&amp;G236&amp;"]"&amp;E236&amp;"'!"&amp;$AF$2))),INDIRECT("'["&amp;G236&amp;"]"&amp;E236&amp;"'!"&amp;$AF$3),0)</f>
        <v>#VALUE!</v>
      </c>
      <c r="U236" s="34" t="e" cm="1">
        <f t="array" aca="1" ref="U236" ca="1">IF(AND(G236=INDIRECT("'["&amp;G236&amp;"]"&amp;E236&amp;"'!"&amp;$AH$2),OR(I236=INDIRECT("'["&amp;G236&amp;"]"&amp;E236&amp;"'!"&amp;$AG$2))),INDIRECT("'["&amp;G236&amp;"]"&amp;E236&amp;"'!"&amp;$AG$3),0)</f>
        <v>#VALUE!</v>
      </c>
      <c r="V236" s="25" t="str">
        <f t="shared" si="71"/>
        <v/>
      </c>
      <c r="W236" s="36" t="e" cm="1">
        <f t="array" aca="1" ref="W236" ca="1">IF(AND(G236=INDIRECT("'["&amp;G236&amp;"]"&amp;E236&amp;"'!"&amp;$AH$2),OR(V236=INDIRECT("'["&amp;G236&amp;"]"&amp;E236&amp;"'!"&amp;$AI$2))),INDIRECT("'["&amp;G236&amp;"]"&amp;E236&amp;"'!"&amp;$AI$3),0)</f>
        <v>#VALUE!</v>
      </c>
      <c r="AJ236" s="25">
        <v>1</v>
      </c>
      <c r="AK236" s="38">
        <f t="shared" ca="1" si="72"/>
        <v>0</v>
      </c>
      <c r="AL236" s="38">
        <f t="shared" ca="1" si="73"/>
        <v>0</v>
      </c>
      <c r="AM236" s="54" t="str">
        <f t="shared" ca="1" si="64"/>
        <v/>
      </c>
      <c r="AN236" s="25" t="e">
        <f t="shared" ca="1" si="74"/>
        <v>#VALUE!</v>
      </c>
      <c r="AO236" s="25" t="e">
        <f t="shared" ca="1" si="75"/>
        <v>#VALUE!</v>
      </c>
      <c r="AP236" s="39" t="str">
        <f t="shared" ca="1" si="65"/>
        <v/>
      </c>
      <c r="AQ236" s="46" t="str">
        <f ca="1">IF(AND(C236&lt;&gt;0, C237=0), SUM($C$2:C236)-SUM($AQ$1:AQ235), "")</f>
        <v/>
      </c>
      <c r="AR236" s="46" t="str">
        <f ca="1">IF(AND(AK236&lt;&gt;0, AK237=0), SUM($AK$2:AK236)-SUM($AR$1:AR235), "")</f>
        <v/>
      </c>
    </row>
    <row r="237" spans="1:44" ht="13.15" customHeight="1">
      <c r="A237" s="60"/>
      <c r="B237" s="68" t="str">
        <f t="shared" si="78"/>
        <v/>
      </c>
      <c r="C237" s="55" cm="1">
        <f t="array" aca="1" ref="C237" ca="1">SUM(IF(ISNUMBER(M237:U237),M237:U237,""))</f>
        <v>0</v>
      </c>
      <c r="D237" s="25" t="str">
        <f t="shared" si="76"/>
        <v/>
      </c>
      <c r="E237" s="25" t="e">
        <f t="shared" si="66"/>
        <v>#VALUE!</v>
      </c>
      <c r="F237" s="25" t="str">
        <f t="shared" si="77"/>
        <v/>
      </c>
      <c r="G237" s="25" t="str">
        <f t="shared" si="63"/>
        <v>.xlsx</v>
      </c>
      <c r="H237" s="29" t="e" cm="1">
        <f t="array" aca="1" ref="H237" ca="1">IF(AND(VALUE(E237)=INDIRECT("'["&amp;G237&amp;"]"&amp;E237&amp;"'!"&amp;$X$2),G237=INDIRECT("'["&amp;G237&amp;"]"&amp;E237&amp;"'!"&amp;$X$3)),INDIRECT("'["&amp;G237&amp;"]"&amp;E237&amp;"'!"&amp;$X$1),0)</f>
        <v>#VALUE!</v>
      </c>
      <c r="I237" s="25" t="str">
        <f t="shared" si="67"/>
        <v/>
      </c>
      <c r="J237" s="32" t="str">
        <f t="shared" si="68"/>
        <v/>
      </c>
      <c r="K237" s="25" t="str">
        <f t="shared" si="69"/>
        <v/>
      </c>
      <c r="L237" s="25" t="str">
        <f t="shared" si="70"/>
        <v/>
      </c>
      <c r="M237" s="33" t="e" cm="1">
        <f t="array" aca="1" ref="M237" ca="1">IF(AND(J237=INDIRECT("'["&amp;G237&amp;"]"&amp;E237&amp;"'!"&amp;$Y$2),G237=INDIRECT("'["&amp;G237&amp;"]"&amp;E237&amp;"'!"&amp;$AH$2)),INDIRECT("'["&amp;G237&amp;"]"&amp;E237&amp;"'!"&amp;$Y$3),0)</f>
        <v>#VALUE!</v>
      </c>
      <c r="N237" s="34" t="e" cm="1">
        <f t="array" aca="1" ref="N237" ca="1">IF(AND(G237=INDIRECT("'["&amp;G237&amp;"]"&amp;E237&amp;"'!"&amp;$AH$2),OR(K237=INDIRECT("'["&amp;G237&amp;"]"&amp;E237&amp;"'!"&amp;$Z$2))),INDIRECT("'["&amp;G237&amp;"]"&amp;E237&amp;"'!"&amp;$Z$3),0)</f>
        <v>#VALUE!</v>
      </c>
      <c r="O237" s="34" t="e" cm="1">
        <f t="array" aca="1" ref="O237" ca="1">IF(AND(G237=INDIRECT("'["&amp;G237&amp;"]"&amp;E237&amp;"'!"&amp;$AH$2),OR(L237=INDIRECT("'["&amp;G237&amp;"]"&amp;E237&amp;"'!"&amp;$AA$2))),INDIRECT("'["&amp;G237&amp;"]"&amp;E237&amp;"'!"&amp;$AA$3),0)</f>
        <v>#VALUE!</v>
      </c>
      <c r="P237" s="34" t="e" cm="1">
        <f t="array" aca="1" ref="P237" ca="1">IF(AND(G237=INDIRECT("'["&amp;G237&amp;"]"&amp;E237&amp;"'!"&amp;$AH$2),OR(VALUE(I237)=INDIRECT("'["&amp;G237&amp;"]"&amp;E237&amp;"'!"&amp;$AB$2))),INDIRECT("'["&amp;G237&amp;"]"&amp;E237&amp;"'!"&amp;$AB$3),0)</f>
        <v>#VALUE!</v>
      </c>
      <c r="Q237" s="34" t="e" cm="1">
        <f t="array" aca="1" ref="Q237" ca="1">IF(AND(G237=INDIRECT("'["&amp;G237&amp;"]"&amp;E237&amp;"'!"&amp;$AH$2),OR(VALUE(I237)=INDIRECT("'["&amp;G237&amp;"]"&amp;E237&amp;"'!"&amp;$AC$2))),INDIRECT("'["&amp;G237&amp;"]"&amp;E237&amp;"'!"&amp;$AC$3),0)</f>
        <v>#VALUE!</v>
      </c>
      <c r="R237" s="34" t="e" cm="1">
        <f t="array" aca="1" ref="R237" ca="1">IF(AND(G237=INDIRECT("'["&amp;G237&amp;"]"&amp;E237&amp;"'!"&amp;$AH$2),OR(I237=INDIRECT("'["&amp;G237&amp;"]"&amp;E237&amp;"'!"&amp;$AD$2))),INDIRECT("'["&amp;G237&amp;"]"&amp;E237&amp;"'!"&amp;$AD$3),0)</f>
        <v>#VALUE!</v>
      </c>
      <c r="S237" s="34" t="e" cm="1">
        <f t="array" aca="1" ref="S237" ca="1">IF(AND(G237=INDIRECT("'["&amp;G237&amp;"]"&amp;E237&amp;"'!"&amp;$AH$2),OR(I237=INDIRECT("'["&amp;G237&amp;"]"&amp;E237&amp;"'!"&amp;$AE$2))),INDIRECT("'["&amp;G237&amp;"]"&amp;E237&amp;"'!"&amp;$AE$3),0)</f>
        <v>#VALUE!</v>
      </c>
      <c r="T237" s="35" t="e" cm="1">
        <f t="array" aca="1" ref="T237" ca="1">IF(AND(G237=INDIRECT("'["&amp;G237&amp;"]"&amp;E237&amp;"'!"&amp;$AH$2),OR(I237=INDIRECT("'["&amp;G237&amp;"]"&amp;E237&amp;"'!"&amp;$AF$2))),INDIRECT("'["&amp;G237&amp;"]"&amp;E237&amp;"'!"&amp;$AF$3),0)</f>
        <v>#VALUE!</v>
      </c>
      <c r="U237" s="34" t="e" cm="1">
        <f t="array" aca="1" ref="U237" ca="1">IF(AND(G237=INDIRECT("'["&amp;G237&amp;"]"&amp;E237&amp;"'!"&amp;$AH$2),OR(I237=INDIRECT("'["&amp;G237&amp;"]"&amp;E237&amp;"'!"&amp;$AG$2))),INDIRECT("'["&amp;G237&amp;"]"&amp;E237&amp;"'!"&amp;$AG$3),0)</f>
        <v>#VALUE!</v>
      </c>
      <c r="V237" s="25" t="str">
        <f t="shared" si="71"/>
        <v/>
      </c>
      <c r="W237" s="36" t="e" cm="1">
        <f t="array" aca="1" ref="W237" ca="1">IF(AND(G237=INDIRECT("'["&amp;G237&amp;"]"&amp;E237&amp;"'!"&amp;$AH$2),OR(V237=INDIRECT("'["&amp;G237&amp;"]"&amp;E237&amp;"'!"&amp;$AI$2))),INDIRECT("'["&amp;G237&amp;"]"&amp;E237&amp;"'!"&amp;$AI$3),0)</f>
        <v>#VALUE!</v>
      </c>
      <c r="AJ237" s="25">
        <v>1</v>
      </c>
      <c r="AK237" s="38">
        <f t="shared" ca="1" si="72"/>
        <v>0</v>
      </c>
      <c r="AL237" s="38">
        <f t="shared" ca="1" si="73"/>
        <v>0</v>
      </c>
      <c r="AM237" s="54" t="str">
        <f t="shared" ca="1" si="64"/>
        <v/>
      </c>
      <c r="AN237" s="25" t="e">
        <f t="shared" ca="1" si="74"/>
        <v>#VALUE!</v>
      </c>
      <c r="AO237" s="25" t="e">
        <f t="shared" ca="1" si="75"/>
        <v>#VALUE!</v>
      </c>
      <c r="AP237" s="39" t="str">
        <f t="shared" ca="1" si="65"/>
        <v/>
      </c>
      <c r="AQ237" s="46" t="str">
        <f ca="1">IF(AND(C237&lt;&gt;0, C238=0), SUM($C$2:C237)-SUM($AQ$1:AQ236), "")</f>
        <v/>
      </c>
      <c r="AR237" s="46" t="str">
        <f ca="1">IF(AND(AK237&lt;&gt;0, AK238=0), SUM($AK$2:AK237)-SUM($AR$1:AR236), "")</f>
        <v/>
      </c>
    </row>
    <row r="238" spans="1:44" ht="13.15" customHeight="1">
      <c r="A238" s="60"/>
      <c r="B238" s="68" t="str">
        <f t="shared" si="78"/>
        <v/>
      </c>
      <c r="C238" s="55" cm="1">
        <f t="array" aca="1" ref="C238" ca="1">SUM(IF(ISNUMBER(M238:U238),M238:U238,""))</f>
        <v>0</v>
      </c>
      <c r="D238" s="25" t="str">
        <f t="shared" si="76"/>
        <v/>
      </c>
      <c r="E238" s="25" t="e">
        <f t="shared" si="66"/>
        <v>#VALUE!</v>
      </c>
      <c r="F238" s="25" t="str">
        <f t="shared" si="77"/>
        <v/>
      </c>
      <c r="G238" s="25" t="str">
        <f t="shared" si="63"/>
        <v>.xlsx</v>
      </c>
      <c r="H238" s="29" t="e" cm="1">
        <f t="array" aca="1" ref="H238" ca="1">IF(AND(VALUE(E238)=INDIRECT("'["&amp;G238&amp;"]"&amp;E238&amp;"'!"&amp;$X$2),G238=INDIRECT("'["&amp;G238&amp;"]"&amp;E238&amp;"'!"&amp;$X$3)),INDIRECT("'["&amp;G238&amp;"]"&amp;E238&amp;"'!"&amp;$X$1),0)</f>
        <v>#VALUE!</v>
      </c>
      <c r="I238" s="25" t="str">
        <f t="shared" si="67"/>
        <v/>
      </c>
      <c r="J238" s="32" t="str">
        <f t="shared" si="68"/>
        <v/>
      </c>
      <c r="K238" s="25" t="str">
        <f t="shared" si="69"/>
        <v/>
      </c>
      <c r="L238" s="25" t="str">
        <f t="shared" si="70"/>
        <v/>
      </c>
      <c r="M238" s="33" t="e" cm="1">
        <f t="array" aca="1" ref="M238" ca="1">IF(AND(J238=INDIRECT("'["&amp;G238&amp;"]"&amp;E238&amp;"'!"&amp;$Y$2),G238=INDIRECT("'["&amp;G238&amp;"]"&amp;E238&amp;"'!"&amp;$AH$2)),INDIRECT("'["&amp;G238&amp;"]"&amp;E238&amp;"'!"&amp;$Y$3),0)</f>
        <v>#VALUE!</v>
      </c>
      <c r="N238" s="34" t="e" cm="1">
        <f t="array" aca="1" ref="N238" ca="1">IF(AND(G238=INDIRECT("'["&amp;G238&amp;"]"&amp;E238&amp;"'!"&amp;$AH$2),OR(K238=INDIRECT("'["&amp;G238&amp;"]"&amp;E238&amp;"'!"&amp;$Z$2))),INDIRECT("'["&amp;G238&amp;"]"&amp;E238&amp;"'!"&amp;$Z$3),0)</f>
        <v>#VALUE!</v>
      </c>
      <c r="O238" s="34" t="e" cm="1">
        <f t="array" aca="1" ref="O238" ca="1">IF(AND(G238=INDIRECT("'["&amp;G238&amp;"]"&amp;E238&amp;"'!"&amp;$AH$2),OR(L238=INDIRECT("'["&amp;G238&amp;"]"&amp;E238&amp;"'!"&amp;$AA$2))),INDIRECT("'["&amp;G238&amp;"]"&amp;E238&amp;"'!"&amp;$AA$3),0)</f>
        <v>#VALUE!</v>
      </c>
      <c r="P238" s="34" t="e" cm="1">
        <f t="array" aca="1" ref="P238" ca="1">IF(AND(G238=INDIRECT("'["&amp;G238&amp;"]"&amp;E238&amp;"'!"&amp;$AH$2),OR(VALUE(I238)=INDIRECT("'["&amp;G238&amp;"]"&amp;E238&amp;"'!"&amp;$AB$2))),INDIRECT("'["&amp;G238&amp;"]"&amp;E238&amp;"'!"&amp;$AB$3),0)</f>
        <v>#VALUE!</v>
      </c>
      <c r="Q238" s="34" t="e" cm="1">
        <f t="array" aca="1" ref="Q238" ca="1">IF(AND(G238=INDIRECT("'["&amp;G238&amp;"]"&amp;E238&amp;"'!"&amp;$AH$2),OR(VALUE(I238)=INDIRECT("'["&amp;G238&amp;"]"&amp;E238&amp;"'!"&amp;$AC$2))),INDIRECT("'["&amp;G238&amp;"]"&amp;E238&amp;"'!"&amp;$AC$3),0)</f>
        <v>#VALUE!</v>
      </c>
      <c r="R238" s="34" t="e" cm="1">
        <f t="array" aca="1" ref="R238" ca="1">IF(AND(G238=INDIRECT("'["&amp;G238&amp;"]"&amp;E238&amp;"'!"&amp;$AH$2),OR(I238=INDIRECT("'["&amp;G238&amp;"]"&amp;E238&amp;"'!"&amp;$AD$2))),INDIRECT("'["&amp;G238&amp;"]"&amp;E238&amp;"'!"&amp;$AD$3),0)</f>
        <v>#VALUE!</v>
      </c>
      <c r="S238" s="34" t="e" cm="1">
        <f t="array" aca="1" ref="S238" ca="1">IF(AND(G238=INDIRECT("'["&amp;G238&amp;"]"&amp;E238&amp;"'!"&amp;$AH$2),OR(I238=INDIRECT("'["&amp;G238&amp;"]"&amp;E238&amp;"'!"&amp;$AE$2))),INDIRECT("'["&amp;G238&amp;"]"&amp;E238&amp;"'!"&amp;$AE$3),0)</f>
        <v>#VALUE!</v>
      </c>
      <c r="T238" s="35" t="e" cm="1">
        <f t="array" aca="1" ref="T238" ca="1">IF(AND(G238=INDIRECT("'["&amp;G238&amp;"]"&amp;E238&amp;"'!"&amp;$AH$2),OR(I238=INDIRECT("'["&amp;G238&amp;"]"&amp;E238&amp;"'!"&amp;$AF$2))),INDIRECT("'["&amp;G238&amp;"]"&amp;E238&amp;"'!"&amp;$AF$3),0)</f>
        <v>#VALUE!</v>
      </c>
      <c r="U238" s="34" t="e" cm="1">
        <f t="array" aca="1" ref="U238" ca="1">IF(AND(G238=INDIRECT("'["&amp;G238&amp;"]"&amp;E238&amp;"'!"&amp;$AH$2),OR(I238=INDIRECT("'["&amp;G238&amp;"]"&amp;E238&amp;"'!"&amp;$AG$2))),INDIRECT("'["&amp;G238&amp;"]"&amp;E238&amp;"'!"&amp;$AG$3),0)</f>
        <v>#VALUE!</v>
      </c>
      <c r="V238" s="25" t="str">
        <f t="shared" si="71"/>
        <v/>
      </c>
      <c r="W238" s="36" t="e" cm="1">
        <f t="array" aca="1" ref="W238" ca="1">IF(AND(G238=INDIRECT("'["&amp;G238&amp;"]"&amp;E238&amp;"'!"&amp;$AH$2),OR(V238=INDIRECT("'["&amp;G238&amp;"]"&amp;E238&amp;"'!"&amp;$AI$2))),INDIRECT("'["&amp;G238&amp;"]"&amp;E238&amp;"'!"&amp;$AI$3),0)</f>
        <v>#VALUE!</v>
      </c>
      <c r="AJ238" s="25">
        <v>1</v>
      </c>
      <c r="AK238" s="38">
        <f t="shared" ca="1" si="72"/>
        <v>0</v>
      </c>
      <c r="AL238" s="38">
        <f t="shared" ca="1" si="73"/>
        <v>0</v>
      </c>
      <c r="AM238" s="54" t="str">
        <f t="shared" ca="1" si="64"/>
        <v/>
      </c>
      <c r="AN238" s="25" t="e">
        <f t="shared" ca="1" si="74"/>
        <v>#VALUE!</v>
      </c>
      <c r="AO238" s="25" t="e">
        <f t="shared" ca="1" si="75"/>
        <v>#VALUE!</v>
      </c>
      <c r="AP238" s="39" t="str">
        <f t="shared" ca="1" si="65"/>
        <v/>
      </c>
      <c r="AQ238" s="46" t="str">
        <f ca="1">IF(AND(C238&lt;&gt;0, C239=0), SUM($C$2:C238)-SUM($AQ$1:AQ237), "")</f>
        <v/>
      </c>
      <c r="AR238" s="46" t="str">
        <f ca="1">IF(AND(AK238&lt;&gt;0, AK239=0), SUM($AK$2:AK238)-SUM($AR$1:AR237), "")</f>
        <v/>
      </c>
    </row>
    <row r="239" spans="1:44" ht="13.15" customHeight="1">
      <c r="A239" s="60"/>
      <c r="B239" s="68" t="str">
        <f t="shared" si="78"/>
        <v/>
      </c>
      <c r="C239" s="55" cm="1">
        <f t="array" aca="1" ref="C239" ca="1">SUM(IF(ISNUMBER(M239:U239),M239:U239,""))</f>
        <v>0</v>
      </c>
      <c r="D239" s="25" t="str">
        <f t="shared" si="76"/>
        <v/>
      </c>
      <c r="E239" s="25" t="e">
        <f t="shared" si="66"/>
        <v>#VALUE!</v>
      </c>
      <c r="F239" s="25" t="str">
        <f t="shared" si="77"/>
        <v/>
      </c>
      <c r="G239" s="25" t="str">
        <f t="shared" si="63"/>
        <v>.xlsx</v>
      </c>
      <c r="H239" s="29" t="e" cm="1">
        <f t="array" aca="1" ref="H239" ca="1">IF(AND(VALUE(E239)=INDIRECT("'["&amp;G239&amp;"]"&amp;E239&amp;"'!"&amp;$X$2),G239=INDIRECT("'["&amp;G239&amp;"]"&amp;E239&amp;"'!"&amp;$X$3)),INDIRECT("'["&amp;G239&amp;"]"&amp;E239&amp;"'!"&amp;$X$1),0)</f>
        <v>#VALUE!</v>
      </c>
      <c r="I239" s="25" t="str">
        <f t="shared" si="67"/>
        <v/>
      </c>
      <c r="J239" s="32" t="str">
        <f t="shared" si="68"/>
        <v/>
      </c>
      <c r="K239" s="25" t="str">
        <f t="shared" si="69"/>
        <v/>
      </c>
      <c r="L239" s="25" t="str">
        <f t="shared" si="70"/>
        <v/>
      </c>
      <c r="M239" s="33" t="e" cm="1">
        <f t="array" aca="1" ref="M239" ca="1">IF(AND(J239=INDIRECT("'["&amp;G239&amp;"]"&amp;E239&amp;"'!"&amp;$Y$2),G239=INDIRECT("'["&amp;G239&amp;"]"&amp;E239&amp;"'!"&amp;$AH$2)),INDIRECT("'["&amp;G239&amp;"]"&amp;E239&amp;"'!"&amp;$Y$3),0)</f>
        <v>#VALUE!</v>
      </c>
      <c r="N239" s="34" t="e" cm="1">
        <f t="array" aca="1" ref="N239" ca="1">IF(AND(G239=INDIRECT("'["&amp;G239&amp;"]"&amp;E239&amp;"'!"&amp;$AH$2),OR(K239=INDIRECT("'["&amp;G239&amp;"]"&amp;E239&amp;"'!"&amp;$Z$2))),INDIRECT("'["&amp;G239&amp;"]"&amp;E239&amp;"'!"&amp;$Z$3),0)</f>
        <v>#VALUE!</v>
      </c>
      <c r="O239" s="34" t="e" cm="1">
        <f t="array" aca="1" ref="O239" ca="1">IF(AND(G239=INDIRECT("'["&amp;G239&amp;"]"&amp;E239&amp;"'!"&amp;$AH$2),OR(L239=INDIRECT("'["&amp;G239&amp;"]"&amp;E239&amp;"'!"&amp;$AA$2))),INDIRECT("'["&amp;G239&amp;"]"&amp;E239&amp;"'!"&amp;$AA$3),0)</f>
        <v>#VALUE!</v>
      </c>
      <c r="P239" s="34" t="e" cm="1">
        <f t="array" aca="1" ref="P239" ca="1">IF(AND(G239=INDIRECT("'["&amp;G239&amp;"]"&amp;E239&amp;"'!"&amp;$AH$2),OR(VALUE(I239)=INDIRECT("'["&amp;G239&amp;"]"&amp;E239&amp;"'!"&amp;$AB$2))),INDIRECT("'["&amp;G239&amp;"]"&amp;E239&amp;"'!"&amp;$AB$3),0)</f>
        <v>#VALUE!</v>
      </c>
      <c r="Q239" s="34" t="e" cm="1">
        <f t="array" aca="1" ref="Q239" ca="1">IF(AND(G239=INDIRECT("'["&amp;G239&amp;"]"&amp;E239&amp;"'!"&amp;$AH$2),OR(VALUE(I239)=INDIRECT("'["&amp;G239&amp;"]"&amp;E239&amp;"'!"&amp;$AC$2))),INDIRECT("'["&amp;G239&amp;"]"&amp;E239&amp;"'!"&amp;$AC$3),0)</f>
        <v>#VALUE!</v>
      </c>
      <c r="R239" s="34" t="e" cm="1">
        <f t="array" aca="1" ref="R239" ca="1">IF(AND(G239=INDIRECT("'["&amp;G239&amp;"]"&amp;E239&amp;"'!"&amp;$AH$2),OR(I239=INDIRECT("'["&amp;G239&amp;"]"&amp;E239&amp;"'!"&amp;$AD$2))),INDIRECT("'["&amp;G239&amp;"]"&amp;E239&amp;"'!"&amp;$AD$3),0)</f>
        <v>#VALUE!</v>
      </c>
      <c r="S239" s="34" t="e" cm="1">
        <f t="array" aca="1" ref="S239" ca="1">IF(AND(G239=INDIRECT("'["&amp;G239&amp;"]"&amp;E239&amp;"'!"&amp;$AH$2),OR(I239=INDIRECT("'["&amp;G239&amp;"]"&amp;E239&amp;"'!"&amp;$AE$2))),INDIRECT("'["&amp;G239&amp;"]"&amp;E239&amp;"'!"&amp;$AE$3),0)</f>
        <v>#VALUE!</v>
      </c>
      <c r="T239" s="35" t="e" cm="1">
        <f t="array" aca="1" ref="T239" ca="1">IF(AND(G239=INDIRECT("'["&amp;G239&amp;"]"&amp;E239&amp;"'!"&amp;$AH$2),OR(I239=INDIRECT("'["&amp;G239&amp;"]"&amp;E239&amp;"'!"&amp;$AF$2))),INDIRECT("'["&amp;G239&amp;"]"&amp;E239&amp;"'!"&amp;$AF$3),0)</f>
        <v>#VALUE!</v>
      </c>
      <c r="U239" s="34" t="e" cm="1">
        <f t="array" aca="1" ref="U239" ca="1">IF(AND(G239=INDIRECT("'["&amp;G239&amp;"]"&amp;E239&amp;"'!"&amp;$AH$2),OR(I239=INDIRECT("'["&amp;G239&amp;"]"&amp;E239&amp;"'!"&amp;$AG$2))),INDIRECT("'["&amp;G239&amp;"]"&amp;E239&amp;"'!"&amp;$AG$3),0)</f>
        <v>#VALUE!</v>
      </c>
      <c r="V239" s="25" t="str">
        <f t="shared" si="71"/>
        <v/>
      </c>
      <c r="W239" s="36" t="e" cm="1">
        <f t="array" aca="1" ref="W239" ca="1">IF(AND(G239=INDIRECT("'["&amp;G239&amp;"]"&amp;E239&amp;"'!"&amp;$AH$2),OR(V239=INDIRECT("'["&amp;G239&amp;"]"&amp;E239&amp;"'!"&amp;$AI$2))),INDIRECT("'["&amp;G239&amp;"]"&amp;E239&amp;"'!"&amp;$AI$3),0)</f>
        <v>#VALUE!</v>
      </c>
      <c r="AJ239" s="25">
        <v>1</v>
      </c>
      <c r="AK239" s="38">
        <f t="shared" ca="1" si="72"/>
        <v>0</v>
      </c>
      <c r="AL239" s="38">
        <f t="shared" ca="1" si="73"/>
        <v>0</v>
      </c>
      <c r="AM239" s="54" t="str">
        <f t="shared" ca="1" si="64"/>
        <v/>
      </c>
      <c r="AN239" s="25" t="e">
        <f t="shared" ca="1" si="74"/>
        <v>#VALUE!</v>
      </c>
      <c r="AO239" s="25" t="e">
        <f t="shared" ca="1" si="75"/>
        <v>#VALUE!</v>
      </c>
      <c r="AP239" s="39" t="str">
        <f t="shared" ca="1" si="65"/>
        <v/>
      </c>
      <c r="AQ239" s="46" t="str">
        <f ca="1">IF(AND(C239&lt;&gt;0, C240=0), SUM($C$2:C239)-SUM($AQ$1:AQ238), "")</f>
        <v/>
      </c>
      <c r="AR239" s="46" t="str">
        <f ca="1">IF(AND(AK239&lt;&gt;0, AK240=0), SUM($AK$2:AK239)-SUM($AR$1:AR238), "")</f>
        <v/>
      </c>
    </row>
    <row r="240" spans="1:44" ht="13.15" customHeight="1">
      <c r="A240" s="60"/>
      <c r="B240" s="68" t="str">
        <f t="shared" si="78"/>
        <v/>
      </c>
      <c r="C240" s="55" cm="1">
        <f t="array" aca="1" ref="C240" ca="1">SUM(IF(ISNUMBER(M240:U240),M240:U240,""))</f>
        <v>0</v>
      </c>
      <c r="D240" s="25" t="str">
        <f t="shared" si="76"/>
        <v/>
      </c>
      <c r="E240" s="25" t="e">
        <f t="shared" si="66"/>
        <v>#VALUE!</v>
      </c>
      <c r="F240" s="25" t="str">
        <f t="shared" si="77"/>
        <v/>
      </c>
      <c r="G240" s="25" t="str">
        <f t="shared" si="63"/>
        <v>.xlsx</v>
      </c>
      <c r="H240" s="29" t="e" cm="1">
        <f t="array" aca="1" ref="H240" ca="1">IF(AND(VALUE(E240)=INDIRECT("'["&amp;G240&amp;"]"&amp;E240&amp;"'!"&amp;$X$2),G240=INDIRECT("'["&amp;G240&amp;"]"&amp;E240&amp;"'!"&amp;$X$3)),INDIRECT("'["&amp;G240&amp;"]"&amp;E240&amp;"'!"&amp;$X$1),0)</f>
        <v>#VALUE!</v>
      </c>
      <c r="I240" s="25" t="str">
        <f t="shared" si="67"/>
        <v/>
      </c>
      <c r="J240" s="32" t="str">
        <f t="shared" si="68"/>
        <v/>
      </c>
      <c r="K240" s="25" t="str">
        <f t="shared" si="69"/>
        <v/>
      </c>
      <c r="L240" s="25" t="str">
        <f t="shared" si="70"/>
        <v/>
      </c>
      <c r="M240" s="33" t="e" cm="1">
        <f t="array" aca="1" ref="M240" ca="1">IF(AND(J240=INDIRECT("'["&amp;G240&amp;"]"&amp;E240&amp;"'!"&amp;$Y$2),G240=INDIRECT("'["&amp;G240&amp;"]"&amp;E240&amp;"'!"&amp;$AH$2)),INDIRECT("'["&amp;G240&amp;"]"&amp;E240&amp;"'!"&amp;$Y$3),0)</f>
        <v>#VALUE!</v>
      </c>
      <c r="N240" s="34" t="e" cm="1">
        <f t="array" aca="1" ref="N240" ca="1">IF(AND(G240=INDIRECT("'["&amp;G240&amp;"]"&amp;E240&amp;"'!"&amp;$AH$2),OR(K240=INDIRECT("'["&amp;G240&amp;"]"&amp;E240&amp;"'!"&amp;$Z$2))),INDIRECT("'["&amp;G240&amp;"]"&amp;E240&amp;"'!"&amp;$Z$3),0)</f>
        <v>#VALUE!</v>
      </c>
      <c r="O240" s="34" t="e" cm="1">
        <f t="array" aca="1" ref="O240" ca="1">IF(AND(G240=INDIRECT("'["&amp;G240&amp;"]"&amp;E240&amp;"'!"&amp;$AH$2),OR(L240=INDIRECT("'["&amp;G240&amp;"]"&amp;E240&amp;"'!"&amp;$AA$2))),INDIRECT("'["&amp;G240&amp;"]"&amp;E240&amp;"'!"&amp;$AA$3),0)</f>
        <v>#VALUE!</v>
      </c>
      <c r="P240" s="34" t="e" cm="1">
        <f t="array" aca="1" ref="P240" ca="1">IF(AND(G240=INDIRECT("'["&amp;G240&amp;"]"&amp;E240&amp;"'!"&amp;$AH$2),OR(VALUE(I240)=INDIRECT("'["&amp;G240&amp;"]"&amp;E240&amp;"'!"&amp;$AB$2))),INDIRECT("'["&amp;G240&amp;"]"&amp;E240&amp;"'!"&amp;$AB$3),0)</f>
        <v>#VALUE!</v>
      </c>
      <c r="Q240" s="34" t="e" cm="1">
        <f t="array" aca="1" ref="Q240" ca="1">IF(AND(G240=INDIRECT("'["&amp;G240&amp;"]"&amp;E240&amp;"'!"&amp;$AH$2),OR(VALUE(I240)=INDIRECT("'["&amp;G240&amp;"]"&amp;E240&amp;"'!"&amp;$AC$2))),INDIRECT("'["&amp;G240&amp;"]"&amp;E240&amp;"'!"&amp;$AC$3),0)</f>
        <v>#VALUE!</v>
      </c>
      <c r="R240" s="34" t="e" cm="1">
        <f t="array" aca="1" ref="R240" ca="1">IF(AND(G240=INDIRECT("'["&amp;G240&amp;"]"&amp;E240&amp;"'!"&amp;$AH$2),OR(I240=INDIRECT("'["&amp;G240&amp;"]"&amp;E240&amp;"'!"&amp;$AD$2))),INDIRECT("'["&amp;G240&amp;"]"&amp;E240&amp;"'!"&amp;$AD$3),0)</f>
        <v>#VALUE!</v>
      </c>
      <c r="S240" s="34" t="e" cm="1">
        <f t="array" aca="1" ref="S240" ca="1">IF(AND(G240=INDIRECT("'["&amp;G240&amp;"]"&amp;E240&amp;"'!"&amp;$AH$2),OR(I240=INDIRECT("'["&amp;G240&amp;"]"&amp;E240&amp;"'!"&amp;$AE$2))),INDIRECT("'["&amp;G240&amp;"]"&amp;E240&amp;"'!"&amp;$AE$3),0)</f>
        <v>#VALUE!</v>
      </c>
      <c r="T240" s="35" t="e" cm="1">
        <f t="array" aca="1" ref="T240" ca="1">IF(AND(G240=INDIRECT("'["&amp;G240&amp;"]"&amp;E240&amp;"'!"&amp;$AH$2),OR(I240=INDIRECT("'["&amp;G240&amp;"]"&amp;E240&amp;"'!"&amp;$AF$2))),INDIRECT("'["&amp;G240&amp;"]"&amp;E240&amp;"'!"&amp;$AF$3),0)</f>
        <v>#VALUE!</v>
      </c>
      <c r="U240" s="34" t="e" cm="1">
        <f t="array" aca="1" ref="U240" ca="1">IF(AND(G240=INDIRECT("'["&amp;G240&amp;"]"&amp;E240&amp;"'!"&amp;$AH$2),OR(I240=INDIRECT("'["&amp;G240&amp;"]"&amp;E240&amp;"'!"&amp;$AG$2))),INDIRECT("'["&amp;G240&amp;"]"&amp;E240&amp;"'!"&amp;$AG$3),0)</f>
        <v>#VALUE!</v>
      </c>
      <c r="V240" s="25" t="str">
        <f t="shared" si="71"/>
        <v/>
      </c>
      <c r="W240" s="36" t="e" cm="1">
        <f t="array" aca="1" ref="W240" ca="1">IF(AND(G240=INDIRECT("'["&amp;G240&amp;"]"&amp;E240&amp;"'!"&amp;$AH$2),OR(V240=INDIRECT("'["&amp;G240&amp;"]"&amp;E240&amp;"'!"&amp;$AI$2))),INDIRECT("'["&amp;G240&amp;"]"&amp;E240&amp;"'!"&amp;$AI$3),0)</f>
        <v>#VALUE!</v>
      </c>
      <c r="AJ240" s="25">
        <v>1</v>
      </c>
      <c r="AK240" s="38">
        <f t="shared" ca="1" si="72"/>
        <v>0</v>
      </c>
      <c r="AL240" s="38">
        <f t="shared" ca="1" si="73"/>
        <v>0</v>
      </c>
      <c r="AM240" s="54" t="str">
        <f t="shared" ca="1" si="64"/>
        <v/>
      </c>
      <c r="AN240" s="25" t="e">
        <f t="shared" ca="1" si="74"/>
        <v>#VALUE!</v>
      </c>
      <c r="AO240" s="25" t="e">
        <f t="shared" ca="1" si="75"/>
        <v>#VALUE!</v>
      </c>
      <c r="AP240" s="39" t="str">
        <f t="shared" ca="1" si="65"/>
        <v/>
      </c>
      <c r="AQ240" s="46" t="str">
        <f ca="1">IF(AND(C240&lt;&gt;0, C241=0), SUM($C$2:C240)-SUM($AQ$1:AQ239), "")</f>
        <v/>
      </c>
      <c r="AR240" s="46" t="str">
        <f ca="1">IF(AND(AK240&lt;&gt;0, AK241=0), SUM($AK$2:AK240)-SUM($AR$1:AR239), "")</f>
        <v/>
      </c>
    </row>
    <row r="241" spans="1:44" ht="13.15" customHeight="1">
      <c r="A241" s="60"/>
      <c r="B241" s="68" t="str">
        <f t="shared" si="78"/>
        <v/>
      </c>
      <c r="C241" s="55" cm="1">
        <f t="array" aca="1" ref="C241" ca="1">SUM(IF(ISNUMBER(M241:U241),M241:U241,""))</f>
        <v>0</v>
      </c>
      <c r="D241" s="25" t="str">
        <f t="shared" si="76"/>
        <v/>
      </c>
      <c r="E241" s="25" t="e">
        <f t="shared" si="66"/>
        <v>#VALUE!</v>
      </c>
      <c r="F241" s="25" t="str">
        <f t="shared" si="77"/>
        <v/>
      </c>
      <c r="G241" s="25" t="str">
        <f t="shared" si="63"/>
        <v>.xlsx</v>
      </c>
      <c r="H241" s="29" t="e" cm="1">
        <f t="array" aca="1" ref="H241" ca="1">IF(AND(VALUE(E241)=INDIRECT("'["&amp;G241&amp;"]"&amp;E241&amp;"'!"&amp;$X$2),G241=INDIRECT("'["&amp;G241&amp;"]"&amp;E241&amp;"'!"&amp;$X$3)),INDIRECT("'["&amp;G241&amp;"]"&amp;E241&amp;"'!"&amp;$X$1),0)</f>
        <v>#VALUE!</v>
      </c>
      <c r="I241" s="25" t="str">
        <f t="shared" si="67"/>
        <v/>
      </c>
      <c r="J241" s="32" t="str">
        <f t="shared" si="68"/>
        <v/>
      </c>
      <c r="K241" s="25" t="str">
        <f t="shared" si="69"/>
        <v/>
      </c>
      <c r="L241" s="25" t="str">
        <f t="shared" si="70"/>
        <v/>
      </c>
      <c r="M241" s="33" t="e" cm="1">
        <f t="array" aca="1" ref="M241" ca="1">IF(AND(J241=INDIRECT("'["&amp;G241&amp;"]"&amp;E241&amp;"'!"&amp;$Y$2),G241=INDIRECT("'["&amp;G241&amp;"]"&amp;E241&amp;"'!"&amp;$AH$2)),INDIRECT("'["&amp;G241&amp;"]"&amp;E241&amp;"'!"&amp;$Y$3),0)</f>
        <v>#VALUE!</v>
      </c>
      <c r="N241" s="34" t="e" cm="1">
        <f t="array" aca="1" ref="N241" ca="1">IF(AND(G241=INDIRECT("'["&amp;G241&amp;"]"&amp;E241&amp;"'!"&amp;$AH$2),OR(K241=INDIRECT("'["&amp;G241&amp;"]"&amp;E241&amp;"'!"&amp;$Z$2))),INDIRECT("'["&amp;G241&amp;"]"&amp;E241&amp;"'!"&amp;$Z$3),0)</f>
        <v>#VALUE!</v>
      </c>
      <c r="O241" s="34" t="e" cm="1">
        <f t="array" aca="1" ref="O241" ca="1">IF(AND(G241=INDIRECT("'["&amp;G241&amp;"]"&amp;E241&amp;"'!"&amp;$AH$2),OR(L241=INDIRECT("'["&amp;G241&amp;"]"&amp;E241&amp;"'!"&amp;$AA$2))),INDIRECT("'["&amp;G241&amp;"]"&amp;E241&amp;"'!"&amp;$AA$3),0)</f>
        <v>#VALUE!</v>
      </c>
      <c r="P241" s="34" t="e" cm="1">
        <f t="array" aca="1" ref="P241" ca="1">IF(AND(G241=INDIRECT("'["&amp;G241&amp;"]"&amp;E241&amp;"'!"&amp;$AH$2),OR(VALUE(I241)=INDIRECT("'["&amp;G241&amp;"]"&amp;E241&amp;"'!"&amp;$AB$2))),INDIRECT("'["&amp;G241&amp;"]"&amp;E241&amp;"'!"&amp;$AB$3),0)</f>
        <v>#VALUE!</v>
      </c>
      <c r="Q241" s="34" t="e" cm="1">
        <f t="array" aca="1" ref="Q241" ca="1">IF(AND(G241=INDIRECT("'["&amp;G241&amp;"]"&amp;E241&amp;"'!"&amp;$AH$2),OR(VALUE(I241)=INDIRECT("'["&amp;G241&amp;"]"&amp;E241&amp;"'!"&amp;$AC$2))),INDIRECT("'["&amp;G241&amp;"]"&amp;E241&amp;"'!"&amp;$AC$3),0)</f>
        <v>#VALUE!</v>
      </c>
      <c r="R241" s="34" t="e" cm="1">
        <f t="array" aca="1" ref="R241" ca="1">IF(AND(G241=INDIRECT("'["&amp;G241&amp;"]"&amp;E241&amp;"'!"&amp;$AH$2),OR(I241=INDIRECT("'["&amp;G241&amp;"]"&amp;E241&amp;"'!"&amp;$AD$2))),INDIRECT("'["&amp;G241&amp;"]"&amp;E241&amp;"'!"&amp;$AD$3),0)</f>
        <v>#VALUE!</v>
      </c>
      <c r="S241" s="34" t="e" cm="1">
        <f t="array" aca="1" ref="S241" ca="1">IF(AND(G241=INDIRECT("'["&amp;G241&amp;"]"&amp;E241&amp;"'!"&amp;$AH$2),OR(I241=INDIRECT("'["&amp;G241&amp;"]"&amp;E241&amp;"'!"&amp;$AE$2))),INDIRECT("'["&amp;G241&amp;"]"&amp;E241&amp;"'!"&amp;$AE$3),0)</f>
        <v>#VALUE!</v>
      </c>
      <c r="T241" s="35" t="e" cm="1">
        <f t="array" aca="1" ref="T241" ca="1">IF(AND(G241=INDIRECT("'["&amp;G241&amp;"]"&amp;E241&amp;"'!"&amp;$AH$2),OR(I241=INDIRECT("'["&amp;G241&amp;"]"&amp;E241&amp;"'!"&amp;$AF$2))),INDIRECT("'["&amp;G241&amp;"]"&amp;E241&amp;"'!"&amp;$AF$3),0)</f>
        <v>#VALUE!</v>
      </c>
      <c r="U241" s="34" t="e" cm="1">
        <f t="array" aca="1" ref="U241" ca="1">IF(AND(G241=INDIRECT("'["&amp;G241&amp;"]"&amp;E241&amp;"'!"&amp;$AH$2),OR(I241=INDIRECT("'["&amp;G241&amp;"]"&amp;E241&amp;"'!"&amp;$AG$2))),INDIRECT("'["&amp;G241&amp;"]"&amp;E241&amp;"'!"&amp;$AG$3),0)</f>
        <v>#VALUE!</v>
      </c>
      <c r="V241" s="25" t="str">
        <f t="shared" si="71"/>
        <v/>
      </c>
      <c r="W241" s="36" t="e" cm="1">
        <f t="array" aca="1" ref="W241" ca="1">IF(AND(G241=INDIRECT("'["&amp;G241&amp;"]"&amp;E241&amp;"'!"&amp;$AH$2),OR(V241=INDIRECT("'["&amp;G241&amp;"]"&amp;E241&amp;"'!"&amp;$AI$2))),INDIRECT("'["&amp;G241&amp;"]"&amp;E241&amp;"'!"&amp;$AI$3),0)</f>
        <v>#VALUE!</v>
      </c>
      <c r="AJ241" s="25">
        <v>1</v>
      </c>
      <c r="AK241" s="38">
        <f t="shared" ca="1" si="72"/>
        <v>0</v>
      </c>
      <c r="AL241" s="38">
        <f t="shared" ca="1" si="73"/>
        <v>0</v>
      </c>
      <c r="AM241" s="54" t="str">
        <f t="shared" ca="1" si="64"/>
        <v/>
      </c>
      <c r="AN241" s="25" t="e">
        <f t="shared" ca="1" si="74"/>
        <v>#VALUE!</v>
      </c>
      <c r="AO241" s="25" t="e">
        <f t="shared" ca="1" si="75"/>
        <v>#VALUE!</v>
      </c>
      <c r="AP241" s="39" t="str">
        <f t="shared" ca="1" si="65"/>
        <v/>
      </c>
      <c r="AQ241" s="46" t="str">
        <f ca="1">IF(AND(C241&lt;&gt;0, C242=0), SUM($C$2:C241)-SUM($AQ$1:AQ240), "")</f>
        <v/>
      </c>
      <c r="AR241" s="46" t="str">
        <f ca="1">IF(AND(AK241&lt;&gt;0, AK242=0), SUM($AK$2:AK241)-SUM($AR$1:AR240), "")</f>
        <v/>
      </c>
    </row>
    <row r="242" spans="1:44" ht="13.15" customHeight="1">
      <c r="A242" s="60"/>
      <c r="B242" s="68" t="str">
        <f t="shared" si="78"/>
        <v/>
      </c>
      <c r="C242" s="55" cm="1">
        <f t="array" aca="1" ref="C242" ca="1">SUM(IF(ISNUMBER(M242:U242),M242:U242,""))</f>
        <v>0</v>
      </c>
      <c r="D242" s="25" t="str">
        <f t="shared" si="76"/>
        <v/>
      </c>
      <c r="E242" s="25" t="e">
        <f t="shared" si="66"/>
        <v>#VALUE!</v>
      </c>
      <c r="F242" s="25" t="str">
        <f t="shared" si="77"/>
        <v/>
      </c>
      <c r="G242" s="25" t="str">
        <f t="shared" si="63"/>
        <v>.xlsx</v>
      </c>
      <c r="H242" s="29" t="e" cm="1">
        <f t="array" aca="1" ref="H242" ca="1">IF(AND(VALUE(E242)=INDIRECT("'["&amp;G242&amp;"]"&amp;E242&amp;"'!"&amp;$X$2),G242=INDIRECT("'["&amp;G242&amp;"]"&amp;E242&amp;"'!"&amp;$X$3)),INDIRECT("'["&amp;G242&amp;"]"&amp;E242&amp;"'!"&amp;$X$1),0)</f>
        <v>#VALUE!</v>
      </c>
      <c r="I242" s="25" t="str">
        <f t="shared" si="67"/>
        <v/>
      </c>
      <c r="J242" s="32" t="str">
        <f t="shared" si="68"/>
        <v/>
      </c>
      <c r="K242" s="25" t="str">
        <f t="shared" si="69"/>
        <v/>
      </c>
      <c r="L242" s="25" t="str">
        <f t="shared" si="70"/>
        <v/>
      </c>
      <c r="M242" s="33" t="e" cm="1">
        <f t="array" aca="1" ref="M242" ca="1">IF(AND(J242=INDIRECT("'["&amp;G242&amp;"]"&amp;E242&amp;"'!"&amp;$Y$2),G242=INDIRECT("'["&amp;G242&amp;"]"&amp;E242&amp;"'!"&amp;$AH$2)),INDIRECT("'["&amp;G242&amp;"]"&amp;E242&amp;"'!"&amp;$Y$3),0)</f>
        <v>#VALUE!</v>
      </c>
      <c r="N242" s="34" t="e" cm="1">
        <f t="array" aca="1" ref="N242" ca="1">IF(AND(G242=INDIRECT("'["&amp;G242&amp;"]"&amp;E242&amp;"'!"&amp;$AH$2),OR(K242=INDIRECT("'["&amp;G242&amp;"]"&amp;E242&amp;"'!"&amp;$Z$2))),INDIRECT("'["&amp;G242&amp;"]"&amp;E242&amp;"'!"&amp;$Z$3),0)</f>
        <v>#VALUE!</v>
      </c>
      <c r="O242" s="34" t="e" cm="1">
        <f t="array" aca="1" ref="O242" ca="1">IF(AND(G242=INDIRECT("'["&amp;G242&amp;"]"&amp;E242&amp;"'!"&amp;$AH$2),OR(L242=INDIRECT("'["&amp;G242&amp;"]"&amp;E242&amp;"'!"&amp;$AA$2))),INDIRECT("'["&amp;G242&amp;"]"&amp;E242&amp;"'!"&amp;$AA$3),0)</f>
        <v>#VALUE!</v>
      </c>
      <c r="P242" s="34" t="e" cm="1">
        <f t="array" aca="1" ref="P242" ca="1">IF(AND(G242=INDIRECT("'["&amp;G242&amp;"]"&amp;E242&amp;"'!"&amp;$AH$2),OR(VALUE(I242)=INDIRECT("'["&amp;G242&amp;"]"&amp;E242&amp;"'!"&amp;$AB$2))),INDIRECT("'["&amp;G242&amp;"]"&amp;E242&amp;"'!"&amp;$AB$3),0)</f>
        <v>#VALUE!</v>
      </c>
      <c r="Q242" s="34" t="e" cm="1">
        <f t="array" aca="1" ref="Q242" ca="1">IF(AND(G242=INDIRECT("'["&amp;G242&amp;"]"&amp;E242&amp;"'!"&amp;$AH$2),OR(VALUE(I242)=INDIRECT("'["&amp;G242&amp;"]"&amp;E242&amp;"'!"&amp;$AC$2))),INDIRECT("'["&amp;G242&amp;"]"&amp;E242&amp;"'!"&amp;$AC$3),0)</f>
        <v>#VALUE!</v>
      </c>
      <c r="R242" s="34" t="e" cm="1">
        <f t="array" aca="1" ref="R242" ca="1">IF(AND(G242=INDIRECT("'["&amp;G242&amp;"]"&amp;E242&amp;"'!"&amp;$AH$2),OR(I242=INDIRECT("'["&amp;G242&amp;"]"&amp;E242&amp;"'!"&amp;$AD$2))),INDIRECT("'["&amp;G242&amp;"]"&amp;E242&amp;"'!"&amp;$AD$3),0)</f>
        <v>#VALUE!</v>
      </c>
      <c r="S242" s="34" t="e" cm="1">
        <f t="array" aca="1" ref="S242" ca="1">IF(AND(G242=INDIRECT("'["&amp;G242&amp;"]"&amp;E242&amp;"'!"&amp;$AH$2),OR(I242=INDIRECT("'["&amp;G242&amp;"]"&amp;E242&amp;"'!"&amp;$AE$2))),INDIRECT("'["&amp;G242&amp;"]"&amp;E242&amp;"'!"&amp;$AE$3),0)</f>
        <v>#VALUE!</v>
      </c>
      <c r="T242" s="35" t="e" cm="1">
        <f t="array" aca="1" ref="T242" ca="1">IF(AND(G242=INDIRECT("'["&amp;G242&amp;"]"&amp;E242&amp;"'!"&amp;$AH$2),OR(I242=INDIRECT("'["&amp;G242&amp;"]"&amp;E242&amp;"'!"&amp;$AF$2))),INDIRECT("'["&amp;G242&amp;"]"&amp;E242&amp;"'!"&amp;$AF$3),0)</f>
        <v>#VALUE!</v>
      </c>
      <c r="U242" s="34" t="e" cm="1">
        <f t="array" aca="1" ref="U242" ca="1">IF(AND(G242=INDIRECT("'["&amp;G242&amp;"]"&amp;E242&amp;"'!"&amp;$AH$2),OR(I242=INDIRECT("'["&amp;G242&amp;"]"&amp;E242&amp;"'!"&amp;$AG$2))),INDIRECT("'["&amp;G242&amp;"]"&amp;E242&amp;"'!"&amp;$AG$3),0)</f>
        <v>#VALUE!</v>
      </c>
      <c r="V242" s="25" t="str">
        <f t="shared" si="71"/>
        <v/>
      </c>
      <c r="W242" s="36" t="e" cm="1">
        <f t="array" aca="1" ref="W242" ca="1">IF(AND(G242=INDIRECT("'["&amp;G242&amp;"]"&amp;E242&amp;"'!"&amp;$AH$2),OR(V242=INDIRECT("'["&amp;G242&amp;"]"&amp;E242&amp;"'!"&amp;$AI$2))),INDIRECT("'["&amp;G242&amp;"]"&amp;E242&amp;"'!"&amp;$AI$3),0)</f>
        <v>#VALUE!</v>
      </c>
      <c r="AJ242" s="25">
        <v>1</v>
      </c>
      <c r="AK242" s="38">
        <f t="shared" ca="1" si="72"/>
        <v>0</v>
      </c>
      <c r="AL242" s="38">
        <f t="shared" ca="1" si="73"/>
        <v>0</v>
      </c>
      <c r="AM242" s="54" t="str">
        <f t="shared" ca="1" si="64"/>
        <v/>
      </c>
      <c r="AN242" s="25" t="e">
        <f t="shared" ca="1" si="74"/>
        <v>#VALUE!</v>
      </c>
      <c r="AO242" s="25" t="e">
        <f t="shared" ca="1" si="75"/>
        <v>#VALUE!</v>
      </c>
      <c r="AP242" s="39" t="str">
        <f t="shared" ca="1" si="65"/>
        <v/>
      </c>
      <c r="AQ242" s="46" t="str">
        <f ca="1">IF(AND(C242&lt;&gt;0, C243=0), SUM($C$2:C242)-SUM($AQ$1:AQ241), "")</f>
        <v/>
      </c>
      <c r="AR242" s="46" t="str">
        <f ca="1">IF(AND(AK242&lt;&gt;0, AK243=0), SUM($AK$2:AK242)-SUM($AR$1:AR241), "")</f>
        <v/>
      </c>
    </row>
    <row r="243" spans="1:44" ht="13.15" customHeight="1">
      <c r="A243" s="60"/>
      <c r="B243" s="68" t="str">
        <f t="shared" si="78"/>
        <v/>
      </c>
      <c r="C243" s="55" cm="1">
        <f t="array" aca="1" ref="C243" ca="1">SUM(IF(ISNUMBER(M243:U243),M243:U243,""))</f>
        <v>0</v>
      </c>
      <c r="D243" s="25" t="str">
        <f t="shared" si="76"/>
        <v/>
      </c>
      <c r="E243" s="25" t="e">
        <f t="shared" si="66"/>
        <v>#VALUE!</v>
      </c>
      <c r="F243" s="25" t="str">
        <f t="shared" si="77"/>
        <v/>
      </c>
      <c r="G243" s="25" t="str">
        <f t="shared" si="63"/>
        <v>.xlsx</v>
      </c>
      <c r="H243" s="29" t="e" cm="1">
        <f t="array" aca="1" ref="H243" ca="1">IF(AND(VALUE(E243)=INDIRECT("'["&amp;G243&amp;"]"&amp;E243&amp;"'!"&amp;$X$2),G243=INDIRECT("'["&amp;G243&amp;"]"&amp;E243&amp;"'!"&amp;$X$3)),INDIRECT("'["&amp;G243&amp;"]"&amp;E243&amp;"'!"&amp;$X$1),0)</f>
        <v>#VALUE!</v>
      </c>
      <c r="I243" s="25" t="str">
        <f t="shared" si="67"/>
        <v/>
      </c>
      <c r="J243" s="32" t="str">
        <f t="shared" si="68"/>
        <v/>
      </c>
      <c r="K243" s="25" t="str">
        <f t="shared" si="69"/>
        <v/>
      </c>
      <c r="L243" s="25" t="str">
        <f t="shared" si="70"/>
        <v/>
      </c>
      <c r="M243" s="33" t="e" cm="1">
        <f t="array" aca="1" ref="M243" ca="1">IF(AND(J243=INDIRECT("'["&amp;G243&amp;"]"&amp;E243&amp;"'!"&amp;$Y$2),G243=INDIRECT("'["&amp;G243&amp;"]"&amp;E243&amp;"'!"&amp;$AH$2)),INDIRECT("'["&amp;G243&amp;"]"&amp;E243&amp;"'!"&amp;$Y$3),0)</f>
        <v>#VALUE!</v>
      </c>
      <c r="N243" s="34" t="e" cm="1">
        <f t="array" aca="1" ref="N243" ca="1">IF(AND(G243=INDIRECT("'["&amp;G243&amp;"]"&amp;E243&amp;"'!"&amp;$AH$2),OR(K243=INDIRECT("'["&amp;G243&amp;"]"&amp;E243&amp;"'!"&amp;$Z$2))),INDIRECT("'["&amp;G243&amp;"]"&amp;E243&amp;"'!"&amp;$Z$3),0)</f>
        <v>#VALUE!</v>
      </c>
      <c r="O243" s="34" t="e" cm="1">
        <f t="array" aca="1" ref="O243" ca="1">IF(AND(G243=INDIRECT("'["&amp;G243&amp;"]"&amp;E243&amp;"'!"&amp;$AH$2),OR(L243=INDIRECT("'["&amp;G243&amp;"]"&amp;E243&amp;"'!"&amp;$AA$2))),INDIRECT("'["&amp;G243&amp;"]"&amp;E243&amp;"'!"&amp;$AA$3),0)</f>
        <v>#VALUE!</v>
      </c>
      <c r="P243" s="34" t="e" cm="1">
        <f t="array" aca="1" ref="P243" ca="1">IF(AND(G243=INDIRECT("'["&amp;G243&amp;"]"&amp;E243&amp;"'!"&amp;$AH$2),OR(VALUE(I243)=INDIRECT("'["&amp;G243&amp;"]"&amp;E243&amp;"'!"&amp;$AB$2))),INDIRECT("'["&amp;G243&amp;"]"&amp;E243&amp;"'!"&amp;$AB$3),0)</f>
        <v>#VALUE!</v>
      </c>
      <c r="Q243" s="34" t="e" cm="1">
        <f t="array" aca="1" ref="Q243" ca="1">IF(AND(G243=INDIRECT("'["&amp;G243&amp;"]"&amp;E243&amp;"'!"&amp;$AH$2),OR(VALUE(I243)=INDIRECT("'["&amp;G243&amp;"]"&amp;E243&amp;"'!"&amp;$AC$2))),INDIRECT("'["&amp;G243&amp;"]"&amp;E243&amp;"'!"&amp;$AC$3),0)</f>
        <v>#VALUE!</v>
      </c>
      <c r="R243" s="34" t="e" cm="1">
        <f t="array" aca="1" ref="R243" ca="1">IF(AND(G243=INDIRECT("'["&amp;G243&amp;"]"&amp;E243&amp;"'!"&amp;$AH$2),OR(I243=INDIRECT("'["&amp;G243&amp;"]"&amp;E243&amp;"'!"&amp;$AD$2))),INDIRECT("'["&amp;G243&amp;"]"&amp;E243&amp;"'!"&amp;$AD$3),0)</f>
        <v>#VALUE!</v>
      </c>
      <c r="S243" s="34" t="e" cm="1">
        <f t="array" aca="1" ref="S243" ca="1">IF(AND(G243=INDIRECT("'["&amp;G243&amp;"]"&amp;E243&amp;"'!"&amp;$AH$2),OR(I243=INDIRECT("'["&amp;G243&amp;"]"&amp;E243&amp;"'!"&amp;$AE$2))),INDIRECT("'["&amp;G243&amp;"]"&amp;E243&amp;"'!"&amp;$AE$3),0)</f>
        <v>#VALUE!</v>
      </c>
      <c r="T243" s="35" t="e" cm="1">
        <f t="array" aca="1" ref="T243" ca="1">IF(AND(G243=INDIRECT("'["&amp;G243&amp;"]"&amp;E243&amp;"'!"&amp;$AH$2),OR(I243=INDIRECT("'["&amp;G243&amp;"]"&amp;E243&amp;"'!"&amp;$AF$2))),INDIRECT("'["&amp;G243&amp;"]"&amp;E243&amp;"'!"&amp;$AF$3),0)</f>
        <v>#VALUE!</v>
      </c>
      <c r="U243" s="34" t="e" cm="1">
        <f t="array" aca="1" ref="U243" ca="1">IF(AND(G243=INDIRECT("'["&amp;G243&amp;"]"&amp;E243&amp;"'!"&amp;$AH$2),OR(I243=INDIRECT("'["&amp;G243&amp;"]"&amp;E243&amp;"'!"&amp;$AG$2))),INDIRECT("'["&amp;G243&amp;"]"&amp;E243&amp;"'!"&amp;$AG$3),0)</f>
        <v>#VALUE!</v>
      </c>
      <c r="V243" s="25" t="str">
        <f t="shared" si="71"/>
        <v/>
      </c>
      <c r="W243" s="36" t="e" cm="1">
        <f t="array" aca="1" ref="W243" ca="1">IF(AND(G243=INDIRECT("'["&amp;G243&amp;"]"&amp;E243&amp;"'!"&amp;$AH$2),OR(V243=INDIRECT("'["&amp;G243&amp;"]"&amp;E243&amp;"'!"&amp;$AI$2))),INDIRECT("'["&amp;G243&amp;"]"&amp;E243&amp;"'!"&amp;$AI$3),0)</f>
        <v>#VALUE!</v>
      </c>
      <c r="AJ243" s="25">
        <v>1</v>
      </c>
      <c r="AK243" s="38">
        <f t="shared" ca="1" si="72"/>
        <v>0</v>
      </c>
      <c r="AL243" s="38">
        <f t="shared" ca="1" si="73"/>
        <v>0</v>
      </c>
      <c r="AM243" s="54" t="str">
        <f t="shared" ca="1" si="64"/>
        <v/>
      </c>
      <c r="AN243" s="25" t="e">
        <f t="shared" ca="1" si="74"/>
        <v>#VALUE!</v>
      </c>
      <c r="AO243" s="25" t="e">
        <f t="shared" ca="1" si="75"/>
        <v>#VALUE!</v>
      </c>
      <c r="AP243" s="39" t="str">
        <f t="shared" ca="1" si="65"/>
        <v/>
      </c>
      <c r="AQ243" s="46" t="str">
        <f ca="1">IF(AND(C243&lt;&gt;0, C244=0), SUM($C$2:C243)-SUM($AQ$1:AQ242), "")</f>
        <v/>
      </c>
      <c r="AR243" s="46" t="str">
        <f ca="1">IF(AND(AK243&lt;&gt;0, AK244=0), SUM($AK$2:AK243)-SUM($AR$1:AR242), "")</f>
        <v/>
      </c>
    </row>
    <row r="244" spans="1:44" ht="13.15" customHeight="1">
      <c r="A244" s="60"/>
      <c r="B244" s="68" t="str">
        <f t="shared" si="78"/>
        <v/>
      </c>
      <c r="C244" s="55" cm="1">
        <f t="array" aca="1" ref="C244" ca="1">SUM(IF(ISNUMBER(M244:U244),M244:U244,""))</f>
        <v>0</v>
      </c>
      <c r="D244" s="25" t="str">
        <f t="shared" si="76"/>
        <v/>
      </c>
      <c r="E244" s="25" t="e">
        <f t="shared" si="66"/>
        <v>#VALUE!</v>
      </c>
      <c r="F244" s="25" t="str">
        <f t="shared" si="77"/>
        <v/>
      </c>
      <c r="G244" s="25" t="str">
        <f t="shared" si="63"/>
        <v>.xlsx</v>
      </c>
      <c r="H244" s="29" t="e" cm="1">
        <f t="array" aca="1" ref="H244" ca="1">IF(AND(VALUE(E244)=INDIRECT("'["&amp;G244&amp;"]"&amp;E244&amp;"'!"&amp;$X$2),G244=INDIRECT("'["&amp;G244&amp;"]"&amp;E244&amp;"'!"&amp;$X$3)),INDIRECT("'["&amp;G244&amp;"]"&amp;E244&amp;"'!"&amp;$X$1),0)</f>
        <v>#VALUE!</v>
      </c>
      <c r="I244" s="25" t="str">
        <f t="shared" si="67"/>
        <v/>
      </c>
      <c r="J244" s="32" t="str">
        <f t="shared" si="68"/>
        <v/>
      </c>
      <c r="K244" s="25" t="str">
        <f t="shared" si="69"/>
        <v/>
      </c>
      <c r="L244" s="25" t="str">
        <f t="shared" si="70"/>
        <v/>
      </c>
      <c r="M244" s="33" t="e" cm="1">
        <f t="array" aca="1" ref="M244" ca="1">IF(AND(J244=INDIRECT("'["&amp;G244&amp;"]"&amp;E244&amp;"'!"&amp;$Y$2),G244=INDIRECT("'["&amp;G244&amp;"]"&amp;E244&amp;"'!"&amp;$AH$2)),INDIRECT("'["&amp;G244&amp;"]"&amp;E244&amp;"'!"&amp;$Y$3),0)</f>
        <v>#VALUE!</v>
      </c>
      <c r="N244" s="34" t="e" cm="1">
        <f t="array" aca="1" ref="N244" ca="1">IF(AND(G244=INDIRECT("'["&amp;G244&amp;"]"&amp;E244&amp;"'!"&amp;$AH$2),OR(K244=INDIRECT("'["&amp;G244&amp;"]"&amp;E244&amp;"'!"&amp;$Z$2))),INDIRECT("'["&amp;G244&amp;"]"&amp;E244&amp;"'!"&amp;$Z$3),0)</f>
        <v>#VALUE!</v>
      </c>
      <c r="O244" s="34" t="e" cm="1">
        <f t="array" aca="1" ref="O244" ca="1">IF(AND(G244=INDIRECT("'["&amp;G244&amp;"]"&amp;E244&amp;"'!"&amp;$AH$2),OR(L244=INDIRECT("'["&amp;G244&amp;"]"&amp;E244&amp;"'!"&amp;$AA$2))),INDIRECT("'["&amp;G244&amp;"]"&amp;E244&amp;"'!"&amp;$AA$3),0)</f>
        <v>#VALUE!</v>
      </c>
      <c r="P244" s="34" t="e" cm="1">
        <f t="array" aca="1" ref="P244" ca="1">IF(AND(G244=INDIRECT("'["&amp;G244&amp;"]"&amp;E244&amp;"'!"&amp;$AH$2),OR(VALUE(I244)=INDIRECT("'["&amp;G244&amp;"]"&amp;E244&amp;"'!"&amp;$AB$2))),INDIRECT("'["&amp;G244&amp;"]"&amp;E244&amp;"'!"&amp;$AB$3),0)</f>
        <v>#VALUE!</v>
      </c>
      <c r="Q244" s="34" t="e" cm="1">
        <f t="array" aca="1" ref="Q244" ca="1">IF(AND(G244=INDIRECT("'["&amp;G244&amp;"]"&amp;E244&amp;"'!"&amp;$AH$2),OR(VALUE(I244)=INDIRECT("'["&amp;G244&amp;"]"&amp;E244&amp;"'!"&amp;$AC$2))),INDIRECT("'["&amp;G244&amp;"]"&amp;E244&amp;"'!"&amp;$AC$3),0)</f>
        <v>#VALUE!</v>
      </c>
      <c r="R244" s="34" t="e" cm="1">
        <f t="array" aca="1" ref="R244" ca="1">IF(AND(G244=INDIRECT("'["&amp;G244&amp;"]"&amp;E244&amp;"'!"&amp;$AH$2),OR(I244=INDIRECT("'["&amp;G244&amp;"]"&amp;E244&amp;"'!"&amp;$AD$2))),INDIRECT("'["&amp;G244&amp;"]"&amp;E244&amp;"'!"&amp;$AD$3),0)</f>
        <v>#VALUE!</v>
      </c>
      <c r="S244" s="34" t="e" cm="1">
        <f t="array" aca="1" ref="S244" ca="1">IF(AND(G244=INDIRECT("'["&amp;G244&amp;"]"&amp;E244&amp;"'!"&amp;$AH$2),OR(I244=INDIRECT("'["&amp;G244&amp;"]"&amp;E244&amp;"'!"&amp;$AE$2))),INDIRECT("'["&amp;G244&amp;"]"&amp;E244&amp;"'!"&amp;$AE$3),0)</f>
        <v>#VALUE!</v>
      </c>
      <c r="T244" s="35" t="e" cm="1">
        <f t="array" aca="1" ref="T244" ca="1">IF(AND(G244=INDIRECT("'["&amp;G244&amp;"]"&amp;E244&amp;"'!"&amp;$AH$2),OR(I244=INDIRECT("'["&amp;G244&amp;"]"&amp;E244&amp;"'!"&amp;$AF$2))),INDIRECT("'["&amp;G244&amp;"]"&amp;E244&amp;"'!"&amp;$AF$3),0)</f>
        <v>#VALUE!</v>
      </c>
      <c r="U244" s="34" t="e" cm="1">
        <f t="array" aca="1" ref="U244" ca="1">IF(AND(G244=INDIRECT("'["&amp;G244&amp;"]"&amp;E244&amp;"'!"&amp;$AH$2),OR(I244=INDIRECT("'["&amp;G244&amp;"]"&amp;E244&amp;"'!"&amp;$AG$2))),INDIRECT("'["&amp;G244&amp;"]"&amp;E244&amp;"'!"&amp;$AG$3),0)</f>
        <v>#VALUE!</v>
      </c>
      <c r="V244" s="25" t="str">
        <f t="shared" si="71"/>
        <v/>
      </c>
      <c r="W244" s="36" t="e" cm="1">
        <f t="array" aca="1" ref="W244" ca="1">IF(AND(G244=INDIRECT("'["&amp;G244&amp;"]"&amp;E244&amp;"'!"&amp;$AH$2),OR(V244=INDIRECT("'["&amp;G244&amp;"]"&amp;E244&amp;"'!"&amp;$AI$2))),INDIRECT("'["&amp;G244&amp;"]"&amp;E244&amp;"'!"&amp;$AI$3),0)</f>
        <v>#VALUE!</v>
      </c>
      <c r="AJ244" s="25">
        <v>1</v>
      </c>
      <c r="AK244" s="38">
        <f t="shared" ca="1" si="72"/>
        <v>0</v>
      </c>
      <c r="AL244" s="38">
        <f t="shared" ca="1" si="73"/>
        <v>0</v>
      </c>
      <c r="AM244" s="54" t="str">
        <f t="shared" ca="1" si="64"/>
        <v/>
      </c>
      <c r="AN244" s="25" t="e">
        <f t="shared" ca="1" si="74"/>
        <v>#VALUE!</v>
      </c>
      <c r="AO244" s="25" t="e">
        <f t="shared" ca="1" si="75"/>
        <v>#VALUE!</v>
      </c>
      <c r="AP244" s="39" t="str">
        <f t="shared" ca="1" si="65"/>
        <v/>
      </c>
      <c r="AQ244" s="46" t="str">
        <f ca="1">IF(AND(C244&lt;&gt;0, C245=0), SUM($C$2:C244)-SUM($AQ$1:AQ243), "")</f>
        <v/>
      </c>
      <c r="AR244" s="46" t="str">
        <f ca="1">IF(AND(AK244&lt;&gt;0, AK245=0), SUM($AK$2:AK244)-SUM($AR$1:AR243), "")</f>
        <v/>
      </c>
    </row>
    <row r="245" spans="1:44" ht="13.15" customHeight="1">
      <c r="A245" s="60"/>
      <c r="B245" s="68" t="str">
        <f t="shared" si="78"/>
        <v/>
      </c>
      <c r="C245" s="55" cm="1">
        <f t="array" aca="1" ref="C245" ca="1">SUM(IF(ISNUMBER(M245:U245),M245:U245,""))</f>
        <v>0</v>
      </c>
      <c r="D245" s="25" t="str">
        <f t="shared" si="76"/>
        <v/>
      </c>
      <c r="E245" s="25" t="e">
        <f t="shared" si="66"/>
        <v>#VALUE!</v>
      </c>
      <c r="F245" s="25" t="str">
        <f t="shared" si="77"/>
        <v/>
      </c>
      <c r="G245" s="25" t="str">
        <f t="shared" si="63"/>
        <v>.xlsx</v>
      </c>
      <c r="H245" s="29" t="e" cm="1">
        <f t="array" aca="1" ref="H245" ca="1">IF(AND(VALUE(E245)=INDIRECT("'["&amp;G245&amp;"]"&amp;E245&amp;"'!"&amp;$X$2),G245=INDIRECT("'["&amp;G245&amp;"]"&amp;E245&amp;"'!"&amp;$X$3)),INDIRECT("'["&amp;G245&amp;"]"&amp;E245&amp;"'!"&amp;$X$1),0)</f>
        <v>#VALUE!</v>
      </c>
      <c r="I245" s="25" t="str">
        <f t="shared" si="67"/>
        <v/>
      </c>
      <c r="J245" s="32" t="str">
        <f t="shared" si="68"/>
        <v/>
      </c>
      <c r="K245" s="25" t="str">
        <f t="shared" si="69"/>
        <v/>
      </c>
      <c r="L245" s="25" t="str">
        <f t="shared" si="70"/>
        <v/>
      </c>
      <c r="M245" s="33" t="e" cm="1">
        <f t="array" aca="1" ref="M245" ca="1">IF(AND(J245=INDIRECT("'["&amp;G245&amp;"]"&amp;E245&amp;"'!"&amp;$Y$2),G245=INDIRECT("'["&amp;G245&amp;"]"&amp;E245&amp;"'!"&amp;$AH$2)),INDIRECT("'["&amp;G245&amp;"]"&amp;E245&amp;"'!"&amp;$Y$3),0)</f>
        <v>#VALUE!</v>
      </c>
      <c r="N245" s="34" t="e" cm="1">
        <f t="array" aca="1" ref="N245" ca="1">IF(AND(G245=INDIRECT("'["&amp;G245&amp;"]"&amp;E245&amp;"'!"&amp;$AH$2),OR(K245=INDIRECT("'["&amp;G245&amp;"]"&amp;E245&amp;"'!"&amp;$Z$2))),INDIRECT("'["&amp;G245&amp;"]"&amp;E245&amp;"'!"&amp;$Z$3),0)</f>
        <v>#VALUE!</v>
      </c>
      <c r="O245" s="34" t="e" cm="1">
        <f t="array" aca="1" ref="O245" ca="1">IF(AND(G245=INDIRECT("'["&amp;G245&amp;"]"&amp;E245&amp;"'!"&amp;$AH$2),OR(L245=INDIRECT("'["&amp;G245&amp;"]"&amp;E245&amp;"'!"&amp;$AA$2))),INDIRECT("'["&amp;G245&amp;"]"&amp;E245&amp;"'!"&amp;$AA$3),0)</f>
        <v>#VALUE!</v>
      </c>
      <c r="P245" s="34" t="e" cm="1">
        <f t="array" aca="1" ref="P245" ca="1">IF(AND(G245=INDIRECT("'["&amp;G245&amp;"]"&amp;E245&amp;"'!"&amp;$AH$2),OR(VALUE(I245)=INDIRECT("'["&amp;G245&amp;"]"&amp;E245&amp;"'!"&amp;$AB$2))),INDIRECT("'["&amp;G245&amp;"]"&amp;E245&amp;"'!"&amp;$AB$3),0)</f>
        <v>#VALUE!</v>
      </c>
      <c r="Q245" s="34" t="e" cm="1">
        <f t="array" aca="1" ref="Q245" ca="1">IF(AND(G245=INDIRECT("'["&amp;G245&amp;"]"&amp;E245&amp;"'!"&amp;$AH$2),OR(VALUE(I245)=INDIRECT("'["&amp;G245&amp;"]"&amp;E245&amp;"'!"&amp;$AC$2))),INDIRECT("'["&amp;G245&amp;"]"&amp;E245&amp;"'!"&amp;$AC$3),0)</f>
        <v>#VALUE!</v>
      </c>
      <c r="R245" s="34" t="e" cm="1">
        <f t="array" aca="1" ref="R245" ca="1">IF(AND(G245=INDIRECT("'["&amp;G245&amp;"]"&amp;E245&amp;"'!"&amp;$AH$2),OR(I245=INDIRECT("'["&amp;G245&amp;"]"&amp;E245&amp;"'!"&amp;$AD$2))),INDIRECT("'["&amp;G245&amp;"]"&amp;E245&amp;"'!"&amp;$AD$3),0)</f>
        <v>#VALUE!</v>
      </c>
      <c r="S245" s="34" t="e" cm="1">
        <f t="array" aca="1" ref="S245" ca="1">IF(AND(G245=INDIRECT("'["&amp;G245&amp;"]"&amp;E245&amp;"'!"&amp;$AH$2),OR(I245=INDIRECT("'["&amp;G245&amp;"]"&amp;E245&amp;"'!"&amp;$AE$2))),INDIRECT("'["&amp;G245&amp;"]"&amp;E245&amp;"'!"&amp;$AE$3),0)</f>
        <v>#VALUE!</v>
      </c>
      <c r="T245" s="35" t="e" cm="1">
        <f t="array" aca="1" ref="T245" ca="1">IF(AND(G245=INDIRECT("'["&amp;G245&amp;"]"&amp;E245&amp;"'!"&amp;$AH$2),OR(I245=INDIRECT("'["&amp;G245&amp;"]"&amp;E245&amp;"'!"&amp;$AF$2))),INDIRECT("'["&amp;G245&amp;"]"&amp;E245&amp;"'!"&amp;$AF$3),0)</f>
        <v>#VALUE!</v>
      </c>
      <c r="U245" s="34" t="e" cm="1">
        <f t="array" aca="1" ref="U245" ca="1">IF(AND(G245=INDIRECT("'["&amp;G245&amp;"]"&amp;E245&amp;"'!"&amp;$AH$2),OR(I245=INDIRECT("'["&amp;G245&amp;"]"&amp;E245&amp;"'!"&amp;$AG$2))),INDIRECT("'["&amp;G245&amp;"]"&amp;E245&amp;"'!"&amp;$AG$3),0)</f>
        <v>#VALUE!</v>
      </c>
      <c r="V245" s="25" t="str">
        <f t="shared" si="71"/>
        <v/>
      </c>
      <c r="W245" s="36" t="e" cm="1">
        <f t="array" aca="1" ref="W245" ca="1">IF(AND(G245=INDIRECT("'["&amp;G245&amp;"]"&amp;E245&amp;"'!"&amp;$AH$2),OR(V245=INDIRECT("'["&amp;G245&amp;"]"&amp;E245&amp;"'!"&amp;$AI$2))),INDIRECT("'["&amp;G245&amp;"]"&amp;E245&amp;"'!"&amp;$AI$3),0)</f>
        <v>#VALUE!</v>
      </c>
      <c r="AJ245" s="25">
        <v>1</v>
      </c>
      <c r="AK245" s="38">
        <f t="shared" ca="1" si="72"/>
        <v>0</v>
      </c>
      <c r="AL245" s="38">
        <f t="shared" ca="1" si="73"/>
        <v>0</v>
      </c>
      <c r="AM245" s="54" t="str">
        <f t="shared" ca="1" si="64"/>
        <v/>
      </c>
      <c r="AN245" s="25" t="e">
        <f t="shared" ca="1" si="74"/>
        <v>#VALUE!</v>
      </c>
      <c r="AO245" s="25" t="e">
        <f t="shared" ca="1" si="75"/>
        <v>#VALUE!</v>
      </c>
      <c r="AP245" s="39" t="str">
        <f t="shared" ca="1" si="65"/>
        <v/>
      </c>
      <c r="AQ245" s="46" t="str">
        <f ca="1">IF(AND(C245&lt;&gt;0, C246=0), SUM($C$2:C245)-SUM($AQ$1:AQ244), "")</f>
        <v/>
      </c>
      <c r="AR245" s="46" t="str">
        <f ca="1">IF(AND(AK245&lt;&gt;0, AK246=0), SUM($AK$2:AK245)-SUM($AR$1:AR244), "")</f>
        <v/>
      </c>
    </row>
    <row r="246" spans="1:44" ht="13.15" customHeight="1">
      <c r="A246" s="60"/>
      <c r="B246" s="68" t="str">
        <f t="shared" si="78"/>
        <v/>
      </c>
      <c r="C246" s="55" cm="1">
        <f t="array" aca="1" ref="C246" ca="1">SUM(IF(ISNUMBER(M246:U246),M246:U246,""))</f>
        <v>0</v>
      </c>
      <c r="D246" s="25" t="str">
        <f t="shared" si="76"/>
        <v/>
      </c>
      <c r="E246" s="25" t="e">
        <f t="shared" si="66"/>
        <v>#VALUE!</v>
      </c>
      <c r="F246" s="25" t="str">
        <f t="shared" si="77"/>
        <v/>
      </c>
      <c r="G246" s="25" t="str">
        <f t="shared" si="63"/>
        <v>.xlsx</v>
      </c>
      <c r="H246" s="29" t="e" cm="1">
        <f t="array" aca="1" ref="H246" ca="1">IF(AND(VALUE(E246)=INDIRECT("'["&amp;G246&amp;"]"&amp;E246&amp;"'!"&amp;$X$2),G246=INDIRECT("'["&amp;G246&amp;"]"&amp;E246&amp;"'!"&amp;$X$3)),INDIRECT("'["&amp;G246&amp;"]"&amp;E246&amp;"'!"&amp;$X$1),0)</f>
        <v>#VALUE!</v>
      </c>
      <c r="I246" s="25" t="str">
        <f t="shared" si="67"/>
        <v/>
      </c>
      <c r="J246" s="32" t="str">
        <f t="shared" si="68"/>
        <v/>
      </c>
      <c r="K246" s="25" t="str">
        <f t="shared" si="69"/>
        <v/>
      </c>
      <c r="L246" s="25" t="str">
        <f t="shared" si="70"/>
        <v/>
      </c>
      <c r="M246" s="33" t="e" cm="1">
        <f t="array" aca="1" ref="M246" ca="1">IF(AND(J246=INDIRECT("'["&amp;G246&amp;"]"&amp;E246&amp;"'!"&amp;$Y$2),G246=INDIRECT("'["&amp;G246&amp;"]"&amp;E246&amp;"'!"&amp;$AH$2)),INDIRECT("'["&amp;G246&amp;"]"&amp;E246&amp;"'!"&amp;$Y$3),0)</f>
        <v>#VALUE!</v>
      </c>
      <c r="N246" s="34" t="e" cm="1">
        <f t="array" aca="1" ref="N246" ca="1">IF(AND(G246=INDIRECT("'["&amp;G246&amp;"]"&amp;E246&amp;"'!"&amp;$AH$2),OR(K246=INDIRECT("'["&amp;G246&amp;"]"&amp;E246&amp;"'!"&amp;$Z$2))),INDIRECT("'["&amp;G246&amp;"]"&amp;E246&amp;"'!"&amp;$Z$3),0)</f>
        <v>#VALUE!</v>
      </c>
      <c r="O246" s="34" t="e" cm="1">
        <f t="array" aca="1" ref="O246" ca="1">IF(AND(G246=INDIRECT("'["&amp;G246&amp;"]"&amp;E246&amp;"'!"&amp;$AH$2),OR(L246=INDIRECT("'["&amp;G246&amp;"]"&amp;E246&amp;"'!"&amp;$AA$2))),INDIRECT("'["&amp;G246&amp;"]"&amp;E246&amp;"'!"&amp;$AA$3),0)</f>
        <v>#VALUE!</v>
      </c>
      <c r="P246" s="34" t="e" cm="1">
        <f t="array" aca="1" ref="P246" ca="1">IF(AND(G246=INDIRECT("'["&amp;G246&amp;"]"&amp;E246&amp;"'!"&amp;$AH$2),OR(VALUE(I246)=INDIRECT("'["&amp;G246&amp;"]"&amp;E246&amp;"'!"&amp;$AB$2))),INDIRECT("'["&amp;G246&amp;"]"&amp;E246&amp;"'!"&amp;$AB$3),0)</f>
        <v>#VALUE!</v>
      </c>
      <c r="Q246" s="34" t="e" cm="1">
        <f t="array" aca="1" ref="Q246" ca="1">IF(AND(G246=INDIRECT("'["&amp;G246&amp;"]"&amp;E246&amp;"'!"&amp;$AH$2),OR(VALUE(I246)=INDIRECT("'["&amp;G246&amp;"]"&amp;E246&amp;"'!"&amp;$AC$2))),INDIRECT("'["&amp;G246&amp;"]"&amp;E246&amp;"'!"&amp;$AC$3),0)</f>
        <v>#VALUE!</v>
      </c>
      <c r="R246" s="34" t="e" cm="1">
        <f t="array" aca="1" ref="R246" ca="1">IF(AND(G246=INDIRECT("'["&amp;G246&amp;"]"&amp;E246&amp;"'!"&amp;$AH$2),OR(I246=INDIRECT("'["&amp;G246&amp;"]"&amp;E246&amp;"'!"&amp;$AD$2))),INDIRECT("'["&amp;G246&amp;"]"&amp;E246&amp;"'!"&amp;$AD$3),0)</f>
        <v>#VALUE!</v>
      </c>
      <c r="S246" s="34" t="e" cm="1">
        <f t="array" aca="1" ref="S246" ca="1">IF(AND(G246=INDIRECT("'["&amp;G246&amp;"]"&amp;E246&amp;"'!"&amp;$AH$2),OR(I246=INDIRECT("'["&amp;G246&amp;"]"&amp;E246&amp;"'!"&amp;$AE$2))),INDIRECT("'["&amp;G246&amp;"]"&amp;E246&amp;"'!"&amp;$AE$3),0)</f>
        <v>#VALUE!</v>
      </c>
      <c r="T246" s="35" t="e" cm="1">
        <f t="array" aca="1" ref="T246" ca="1">IF(AND(G246=INDIRECT("'["&amp;G246&amp;"]"&amp;E246&amp;"'!"&amp;$AH$2),OR(I246=INDIRECT("'["&amp;G246&amp;"]"&amp;E246&amp;"'!"&amp;$AF$2))),INDIRECT("'["&amp;G246&amp;"]"&amp;E246&amp;"'!"&amp;$AF$3),0)</f>
        <v>#VALUE!</v>
      </c>
      <c r="U246" s="34" t="e" cm="1">
        <f t="array" aca="1" ref="U246" ca="1">IF(AND(G246=INDIRECT("'["&amp;G246&amp;"]"&amp;E246&amp;"'!"&amp;$AH$2),OR(I246=INDIRECT("'["&amp;G246&amp;"]"&amp;E246&amp;"'!"&amp;$AG$2))),INDIRECT("'["&amp;G246&amp;"]"&amp;E246&amp;"'!"&amp;$AG$3),0)</f>
        <v>#VALUE!</v>
      </c>
      <c r="V246" s="25" t="str">
        <f t="shared" si="71"/>
        <v/>
      </c>
      <c r="W246" s="36" t="e" cm="1">
        <f t="array" aca="1" ref="W246" ca="1">IF(AND(G246=INDIRECT("'["&amp;G246&amp;"]"&amp;E246&amp;"'!"&amp;$AH$2),OR(V246=INDIRECT("'["&amp;G246&amp;"]"&amp;E246&amp;"'!"&amp;$AI$2))),INDIRECT("'["&amp;G246&amp;"]"&amp;E246&amp;"'!"&amp;$AI$3),0)</f>
        <v>#VALUE!</v>
      </c>
      <c r="AJ246" s="25">
        <v>1</v>
      </c>
      <c r="AK246" s="38">
        <f t="shared" ca="1" si="72"/>
        <v>0</v>
      </c>
      <c r="AL246" s="38">
        <f t="shared" ca="1" si="73"/>
        <v>0</v>
      </c>
      <c r="AM246" s="54" t="str">
        <f t="shared" ca="1" si="64"/>
        <v/>
      </c>
      <c r="AN246" s="25" t="e">
        <f t="shared" ca="1" si="74"/>
        <v>#VALUE!</v>
      </c>
      <c r="AO246" s="25" t="e">
        <f t="shared" ca="1" si="75"/>
        <v>#VALUE!</v>
      </c>
      <c r="AP246" s="39" t="str">
        <f t="shared" ca="1" si="65"/>
        <v/>
      </c>
      <c r="AQ246" s="46" t="str">
        <f ca="1">IF(AND(C246&lt;&gt;0, C247=0), SUM($C$2:C246)-SUM($AQ$1:AQ245), "")</f>
        <v/>
      </c>
      <c r="AR246" s="46" t="str">
        <f ca="1">IF(AND(AK246&lt;&gt;0, AK247=0), SUM($AK$2:AK246)-SUM($AR$1:AR245), "")</f>
        <v/>
      </c>
    </row>
    <row r="247" spans="1:44" ht="13.15" customHeight="1">
      <c r="A247" s="60"/>
      <c r="B247" s="68" t="str">
        <f t="shared" si="78"/>
        <v/>
      </c>
      <c r="C247" s="55" cm="1">
        <f t="array" aca="1" ref="C247" ca="1">SUM(IF(ISNUMBER(M247:U247),M247:U247,""))</f>
        <v>0</v>
      </c>
      <c r="D247" s="25" t="str">
        <f t="shared" si="76"/>
        <v/>
      </c>
      <c r="E247" s="25" t="e">
        <f t="shared" si="66"/>
        <v>#VALUE!</v>
      </c>
      <c r="F247" s="25" t="str">
        <f t="shared" si="77"/>
        <v/>
      </c>
      <c r="G247" s="25" t="str">
        <f t="shared" si="63"/>
        <v>.xlsx</v>
      </c>
      <c r="H247" s="29" t="e" cm="1">
        <f t="array" aca="1" ref="H247" ca="1">IF(AND(VALUE(E247)=INDIRECT("'["&amp;G247&amp;"]"&amp;E247&amp;"'!"&amp;$X$2),G247=INDIRECT("'["&amp;G247&amp;"]"&amp;E247&amp;"'!"&amp;$X$3)),INDIRECT("'["&amp;G247&amp;"]"&amp;E247&amp;"'!"&amp;$X$1),0)</f>
        <v>#VALUE!</v>
      </c>
      <c r="I247" s="25" t="str">
        <f t="shared" si="67"/>
        <v/>
      </c>
      <c r="J247" s="32" t="str">
        <f t="shared" si="68"/>
        <v/>
      </c>
      <c r="K247" s="25" t="str">
        <f t="shared" si="69"/>
        <v/>
      </c>
      <c r="L247" s="25" t="str">
        <f t="shared" si="70"/>
        <v/>
      </c>
      <c r="M247" s="33" t="e" cm="1">
        <f t="array" aca="1" ref="M247" ca="1">IF(AND(J247=INDIRECT("'["&amp;G247&amp;"]"&amp;E247&amp;"'!"&amp;$Y$2),G247=INDIRECT("'["&amp;G247&amp;"]"&amp;E247&amp;"'!"&amp;$AH$2)),INDIRECT("'["&amp;G247&amp;"]"&amp;E247&amp;"'!"&amp;$Y$3),0)</f>
        <v>#VALUE!</v>
      </c>
      <c r="N247" s="34" t="e" cm="1">
        <f t="array" aca="1" ref="N247" ca="1">IF(AND(G247=INDIRECT("'["&amp;G247&amp;"]"&amp;E247&amp;"'!"&amp;$AH$2),OR(K247=INDIRECT("'["&amp;G247&amp;"]"&amp;E247&amp;"'!"&amp;$Z$2))),INDIRECT("'["&amp;G247&amp;"]"&amp;E247&amp;"'!"&amp;$Z$3),0)</f>
        <v>#VALUE!</v>
      </c>
      <c r="O247" s="34" t="e" cm="1">
        <f t="array" aca="1" ref="O247" ca="1">IF(AND(G247=INDIRECT("'["&amp;G247&amp;"]"&amp;E247&amp;"'!"&amp;$AH$2),OR(L247=INDIRECT("'["&amp;G247&amp;"]"&amp;E247&amp;"'!"&amp;$AA$2))),INDIRECT("'["&amp;G247&amp;"]"&amp;E247&amp;"'!"&amp;$AA$3),0)</f>
        <v>#VALUE!</v>
      </c>
      <c r="P247" s="34" t="e" cm="1">
        <f t="array" aca="1" ref="P247" ca="1">IF(AND(G247=INDIRECT("'["&amp;G247&amp;"]"&amp;E247&amp;"'!"&amp;$AH$2),OR(VALUE(I247)=INDIRECT("'["&amp;G247&amp;"]"&amp;E247&amp;"'!"&amp;$AB$2))),INDIRECT("'["&amp;G247&amp;"]"&amp;E247&amp;"'!"&amp;$AB$3),0)</f>
        <v>#VALUE!</v>
      </c>
      <c r="Q247" s="34" t="e" cm="1">
        <f t="array" aca="1" ref="Q247" ca="1">IF(AND(G247=INDIRECT("'["&amp;G247&amp;"]"&amp;E247&amp;"'!"&amp;$AH$2),OR(VALUE(I247)=INDIRECT("'["&amp;G247&amp;"]"&amp;E247&amp;"'!"&amp;$AC$2))),INDIRECT("'["&amp;G247&amp;"]"&amp;E247&amp;"'!"&amp;$AC$3),0)</f>
        <v>#VALUE!</v>
      </c>
      <c r="R247" s="34" t="e" cm="1">
        <f t="array" aca="1" ref="R247" ca="1">IF(AND(G247=INDIRECT("'["&amp;G247&amp;"]"&amp;E247&amp;"'!"&amp;$AH$2),OR(I247=INDIRECT("'["&amp;G247&amp;"]"&amp;E247&amp;"'!"&amp;$AD$2))),INDIRECT("'["&amp;G247&amp;"]"&amp;E247&amp;"'!"&amp;$AD$3),0)</f>
        <v>#VALUE!</v>
      </c>
      <c r="S247" s="34" t="e" cm="1">
        <f t="array" aca="1" ref="S247" ca="1">IF(AND(G247=INDIRECT("'["&amp;G247&amp;"]"&amp;E247&amp;"'!"&amp;$AH$2),OR(I247=INDIRECT("'["&amp;G247&amp;"]"&amp;E247&amp;"'!"&amp;$AE$2))),INDIRECT("'["&amp;G247&amp;"]"&amp;E247&amp;"'!"&amp;$AE$3),0)</f>
        <v>#VALUE!</v>
      </c>
      <c r="T247" s="35" t="e" cm="1">
        <f t="array" aca="1" ref="T247" ca="1">IF(AND(G247=INDIRECT("'["&amp;G247&amp;"]"&amp;E247&amp;"'!"&amp;$AH$2),OR(I247=INDIRECT("'["&amp;G247&amp;"]"&amp;E247&amp;"'!"&amp;$AF$2))),INDIRECT("'["&amp;G247&amp;"]"&amp;E247&amp;"'!"&amp;$AF$3),0)</f>
        <v>#VALUE!</v>
      </c>
      <c r="U247" s="34" t="e" cm="1">
        <f t="array" aca="1" ref="U247" ca="1">IF(AND(G247=INDIRECT("'["&amp;G247&amp;"]"&amp;E247&amp;"'!"&amp;$AH$2),OR(I247=INDIRECT("'["&amp;G247&amp;"]"&amp;E247&amp;"'!"&amp;$AG$2))),INDIRECT("'["&amp;G247&amp;"]"&amp;E247&amp;"'!"&amp;$AG$3),0)</f>
        <v>#VALUE!</v>
      </c>
      <c r="V247" s="25" t="str">
        <f t="shared" si="71"/>
        <v/>
      </c>
      <c r="W247" s="36" t="e" cm="1">
        <f t="array" aca="1" ref="W247" ca="1">IF(AND(G247=INDIRECT("'["&amp;G247&amp;"]"&amp;E247&amp;"'!"&amp;$AH$2),OR(V247=INDIRECT("'["&amp;G247&amp;"]"&amp;E247&amp;"'!"&amp;$AI$2))),INDIRECT("'["&amp;G247&amp;"]"&amp;E247&amp;"'!"&amp;$AI$3),0)</f>
        <v>#VALUE!</v>
      </c>
      <c r="AJ247" s="25">
        <v>1</v>
      </c>
      <c r="AK247" s="38">
        <f t="shared" ca="1" si="72"/>
        <v>0</v>
      </c>
      <c r="AL247" s="38">
        <f t="shared" ca="1" si="73"/>
        <v>0</v>
      </c>
      <c r="AM247" s="54" t="str">
        <f t="shared" ca="1" si="64"/>
        <v/>
      </c>
      <c r="AN247" s="25" t="e">
        <f t="shared" ca="1" si="74"/>
        <v>#VALUE!</v>
      </c>
      <c r="AO247" s="25" t="e">
        <f t="shared" ca="1" si="75"/>
        <v>#VALUE!</v>
      </c>
      <c r="AP247" s="39" t="str">
        <f t="shared" ca="1" si="65"/>
        <v/>
      </c>
      <c r="AQ247" s="46" t="str">
        <f ca="1">IF(AND(C247&lt;&gt;0, C248=0), SUM($C$2:C247)-SUM($AQ$1:AQ246), "")</f>
        <v/>
      </c>
      <c r="AR247" s="46" t="str">
        <f ca="1">IF(AND(AK247&lt;&gt;0, AK248=0), SUM($AK$2:AK247)-SUM($AR$1:AR246), "")</f>
        <v/>
      </c>
    </row>
    <row r="248" spans="1:44" ht="13.15" customHeight="1">
      <c r="A248" s="60"/>
      <c r="B248" s="68" t="str">
        <f t="shared" si="78"/>
        <v/>
      </c>
      <c r="C248" s="55" cm="1">
        <f t="array" aca="1" ref="C248" ca="1">SUM(IF(ISNUMBER(M248:U248),M248:U248,""))</f>
        <v>0</v>
      </c>
      <c r="D248" s="25" t="str">
        <f t="shared" si="76"/>
        <v/>
      </c>
      <c r="E248" s="25" t="e">
        <f t="shared" si="66"/>
        <v>#VALUE!</v>
      </c>
      <c r="F248" s="25" t="str">
        <f t="shared" si="77"/>
        <v/>
      </c>
      <c r="G248" s="25" t="str">
        <f t="shared" si="63"/>
        <v>.xlsx</v>
      </c>
      <c r="H248" s="29" t="e" cm="1">
        <f t="array" aca="1" ref="H248" ca="1">IF(AND(VALUE(E248)=INDIRECT("'["&amp;G248&amp;"]"&amp;E248&amp;"'!"&amp;$X$2),G248=INDIRECT("'["&amp;G248&amp;"]"&amp;E248&amp;"'!"&amp;$X$3)),INDIRECT("'["&amp;G248&amp;"]"&amp;E248&amp;"'!"&amp;$X$1),0)</f>
        <v>#VALUE!</v>
      </c>
      <c r="I248" s="25" t="str">
        <f t="shared" si="67"/>
        <v/>
      </c>
      <c r="J248" s="32" t="str">
        <f t="shared" si="68"/>
        <v/>
      </c>
      <c r="K248" s="25" t="str">
        <f t="shared" si="69"/>
        <v/>
      </c>
      <c r="L248" s="25" t="str">
        <f t="shared" si="70"/>
        <v/>
      </c>
      <c r="M248" s="33" t="e" cm="1">
        <f t="array" aca="1" ref="M248" ca="1">IF(AND(J248=INDIRECT("'["&amp;G248&amp;"]"&amp;E248&amp;"'!"&amp;$Y$2),G248=INDIRECT("'["&amp;G248&amp;"]"&amp;E248&amp;"'!"&amp;$AH$2)),INDIRECT("'["&amp;G248&amp;"]"&amp;E248&amp;"'!"&amp;$Y$3),0)</f>
        <v>#VALUE!</v>
      </c>
      <c r="N248" s="34" t="e" cm="1">
        <f t="array" aca="1" ref="N248" ca="1">IF(AND(G248=INDIRECT("'["&amp;G248&amp;"]"&amp;E248&amp;"'!"&amp;$AH$2),OR(K248=INDIRECT("'["&amp;G248&amp;"]"&amp;E248&amp;"'!"&amp;$Z$2))),INDIRECT("'["&amp;G248&amp;"]"&amp;E248&amp;"'!"&amp;$Z$3),0)</f>
        <v>#VALUE!</v>
      </c>
      <c r="O248" s="34" t="e" cm="1">
        <f t="array" aca="1" ref="O248" ca="1">IF(AND(G248=INDIRECT("'["&amp;G248&amp;"]"&amp;E248&amp;"'!"&amp;$AH$2),OR(L248=INDIRECT("'["&amp;G248&amp;"]"&amp;E248&amp;"'!"&amp;$AA$2))),INDIRECT("'["&amp;G248&amp;"]"&amp;E248&amp;"'!"&amp;$AA$3),0)</f>
        <v>#VALUE!</v>
      </c>
      <c r="P248" s="34" t="e" cm="1">
        <f t="array" aca="1" ref="P248" ca="1">IF(AND(G248=INDIRECT("'["&amp;G248&amp;"]"&amp;E248&amp;"'!"&amp;$AH$2),OR(VALUE(I248)=INDIRECT("'["&amp;G248&amp;"]"&amp;E248&amp;"'!"&amp;$AB$2))),INDIRECT("'["&amp;G248&amp;"]"&amp;E248&amp;"'!"&amp;$AB$3),0)</f>
        <v>#VALUE!</v>
      </c>
      <c r="Q248" s="34" t="e" cm="1">
        <f t="array" aca="1" ref="Q248" ca="1">IF(AND(G248=INDIRECT("'["&amp;G248&amp;"]"&amp;E248&amp;"'!"&amp;$AH$2),OR(VALUE(I248)=INDIRECT("'["&amp;G248&amp;"]"&amp;E248&amp;"'!"&amp;$AC$2))),INDIRECT("'["&amp;G248&amp;"]"&amp;E248&amp;"'!"&amp;$AC$3),0)</f>
        <v>#VALUE!</v>
      </c>
      <c r="R248" s="34" t="e" cm="1">
        <f t="array" aca="1" ref="R248" ca="1">IF(AND(G248=INDIRECT("'["&amp;G248&amp;"]"&amp;E248&amp;"'!"&amp;$AH$2),OR(I248=INDIRECT("'["&amp;G248&amp;"]"&amp;E248&amp;"'!"&amp;$AD$2))),INDIRECT("'["&amp;G248&amp;"]"&amp;E248&amp;"'!"&amp;$AD$3),0)</f>
        <v>#VALUE!</v>
      </c>
      <c r="S248" s="34" t="e" cm="1">
        <f t="array" aca="1" ref="S248" ca="1">IF(AND(G248=INDIRECT("'["&amp;G248&amp;"]"&amp;E248&amp;"'!"&amp;$AH$2),OR(I248=INDIRECT("'["&amp;G248&amp;"]"&amp;E248&amp;"'!"&amp;$AE$2))),INDIRECT("'["&amp;G248&amp;"]"&amp;E248&amp;"'!"&amp;$AE$3),0)</f>
        <v>#VALUE!</v>
      </c>
      <c r="T248" s="35" t="e" cm="1">
        <f t="array" aca="1" ref="T248" ca="1">IF(AND(G248=INDIRECT("'["&amp;G248&amp;"]"&amp;E248&amp;"'!"&amp;$AH$2),OR(I248=INDIRECT("'["&amp;G248&amp;"]"&amp;E248&amp;"'!"&amp;$AF$2))),INDIRECT("'["&amp;G248&amp;"]"&amp;E248&amp;"'!"&amp;$AF$3),0)</f>
        <v>#VALUE!</v>
      </c>
      <c r="U248" s="34" t="e" cm="1">
        <f t="array" aca="1" ref="U248" ca="1">IF(AND(G248=INDIRECT("'["&amp;G248&amp;"]"&amp;E248&amp;"'!"&amp;$AH$2),OR(I248=INDIRECT("'["&amp;G248&amp;"]"&amp;E248&amp;"'!"&amp;$AG$2))),INDIRECT("'["&amp;G248&amp;"]"&amp;E248&amp;"'!"&amp;$AG$3),0)</f>
        <v>#VALUE!</v>
      </c>
      <c r="V248" s="25" t="str">
        <f t="shared" si="71"/>
        <v/>
      </c>
      <c r="W248" s="36" t="e" cm="1">
        <f t="array" aca="1" ref="W248" ca="1">IF(AND(G248=INDIRECT("'["&amp;G248&amp;"]"&amp;E248&amp;"'!"&amp;$AH$2),OR(V248=INDIRECT("'["&amp;G248&amp;"]"&amp;E248&amp;"'!"&amp;$AI$2))),INDIRECT("'["&amp;G248&amp;"]"&amp;E248&amp;"'!"&amp;$AI$3),0)</f>
        <v>#VALUE!</v>
      </c>
      <c r="AJ248" s="25">
        <v>1</v>
      </c>
      <c r="AK248" s="38">
        <f t="shared" ca="1" si="72"/>
        <v>0</v>
      </c>
      <c r="AL248" s="38">
        <f t="shared" ca="1" si="73"/>
        <v>0</v>
      </c>
      <c r="AM248" s="54" t="str">
        <f t="shared" ca="1" si="64"/>
        <v/>
      </c>
      <c r="AN248" s="25" t="e">
        <f t="shared" ca="1" si="74"/>
        <v>#VALUE!</v>
      </c>
      <c r="AO248" s="25" t="e">
        <f t="shared" ca="1" si="75"/>
        <v>#VALUE!</v>
      </c>
      <c r="AP248" s="39" t="str">
        <f t="shared" ca="1" si="65"/>
        <v/>
      </c>
      <c r="AQ248" s="46" t="str">
        <f ca="1">IF(AND(C248&lt;&gt;0, C249=0), SUM($C$2:C248)-SUM($AQ$1:AQ247), "")</f>
        <v/>
      </c>
      <c r="AR248" s="46" t="str">
        <f ca="1">IF(AND(AK248&lt;&gt;0, AK249=0), SUM($AK$2:AK248)-SUM($AR$1:AR247), "")</f>
        <v/>
      </c>
    </row>
    <row r="249" spans="1:44" ht="13.15" customHeight="1">
      <c r="A249" s="60"/>
      <c r="B249" s="68" t="str">
        <f t="shared" si="78"/>
        <v/>
      </c>
      <c r="C249" s="55" cm="1">
        <f t="array" aca="1" ref="C249" ca="1">SUM(IF(ISNUMBER(M249:U249),M249:U249,""))</f>
        <v>0</v>
      </c>
      <c r="D249" s="25" t="str">
        <f t="shared" si="76"/>
        <v/>
      </c>
      <c r="E249" s="25" t="e">
        <f t="shared" si="66"/>
        <v>#VALUE!</v>
      </c>
      <c r="F249" s="25" t="str">
        <f t="shared" si="77"/>
        <v/>
      </c>
      <c r="G249" s="25" t="str">
        <f t="shared" si="63"/>
        <v>.xlsx</v>
      </c>
      <c r="H249" s="29" t="e" cm="1">
        <f t="array" aca="1" ref="H249" ca="1">IF(AND(VALUE(E249)=INDIRECT("'["&amp;G249&amp;"]"&amp;E249&amp;"'!"&amp;$X$2),G249=INDIRECT("'["&amp;G249&amp;"]"&amp;E249&amp;"'!"&amp;$X$3)),INDIRECT("'["&amp;G249&amp;"]"&amp;E249&amp;"'!"&amp;$X$1),0)</f>
        <v>#VALUE!</v>
      </c>
      <c r="I249" s="25" t="str">
        <f t="shared" si="67"/>
        <v/>
      </c>
      <c r="J249" s="32" t="str">
        <f t="shared" si="68"/>
        <v/>
      </c>
      <c r="K249" s="25" t="str">
        <f t="shared" si="69"/>
        <v/>
      </c>
      <c r="L249" s="25" t="str">
        <f t="shared" si="70"/>
        <v/>
      </c>
      <c r="M249" s="33" t="e" cm="1">
        <f t="array" aca="1" ref="M249" ca="1">IF(AND(J249=INDIRECT("'["&amp;G249&amp;"]"&amp;E249&amp;"'!"&amp;$Y$2),G249=INDIRECT("'["&amp;G249&amp;"]"&amp;E249&amp;"'!"&amp;$AH$2)),INDIRECT("'["&amp;G249&amp;"]"&amp;E249&amp;"'!"&amp;$Y$3),0)</f>
        <v>#VALUE!</v>
      </c>
      <c r="N249" s="34" t="e" cm="1">
        <f t="array" aca="1" ref="N249" ca="1">IF(AND(G249=INDIRECT("'["&amp;G249&amp;"]"&amp;E249&amp;"'!"&amp;$AH$2),OR(K249=INDIRECT("'["&amp;G249&amp;"]"&amp;E249&amp;"'!"&amp;$Z$2))),INDIRECT("'["&amp;G249&amp;"]"&amp;E249&amp;"'!"&amp;$Z$3),0)</f>
        <v>#VALUE!</v>
      </c>
      <c r="O249" s="34" t="e" cm="1">
        <f t="array" aca="1" ref="O249" ca="1">IF(AND(G249=INDIRECT("'["&amp;G249&amp;"]"&amp;E249&amp;"'!"&amp;$AH$2),OR(L249=INDIRECT("'["&amp;G249&amp;"]"&amp;E249&amp;"'!"&amp;$AA$2))),INDIRECT("'["&amp;G249&amp;"]"&amp;E249&amp;"'!"&amp;$AA$3),0)</f>
        <v>#VALUE!</v>
      </c>
      <c r="P249" s="34" t="e" cm="1">
        <f t="array" aca="1" ref="P249" ca="1">IF(AND(G249=INDIRECT("'["&amp;G249&amp;"]"&amp;E249&amp;"'!"&amp;$AH$2),OR(VALUE(I249)=INDIRECT("'["&amp;G249&amp;"]"&amp;E249&amp;"'!"&amp;$AB$2))),INDIRECT("'["&amp;G249&amp;"]"&amp;E249&amp;"'!"&amp;$AB$3),0)</f>
        <v>#VALUE!</v>
      </c>
      <c r="Q249" s="34" t="e" cm="1">
        <f t="array" aca="1" ref="Q249" ca="1">IF(AND(G249=INDIRECT("'["&amp;G249&amp;"]"&amp;E249&amp;"'!"&amp;$AH$2),OR(VALUE(I249)=INDIRECT("'["&amp;G249&amp;"]"&amp;E249&amp;"'!"&amp;$AC$2))),INDIRECT("'["&amp;G249&amp;"]"&amp;E249&amp;"'!"&amp;$AC$3),0)</f>
        <v>#VALUE!</v>
      </c>
      <c r="R249" s="34" t="e" cm="1">
        <f t="array" aca="1" ref="R249" ca="1">IF(AND(G249=INDIRECT("'["&amp;G249&amp;"]"&amp;E249&amp;"'!"&amp;$AH$2),OR(I249=INDIRECT("'["&amp;G249&amp;"]"&amp;E249&amp;"'!"&amp;$AD$2))),INDIRECT("'["&amp;G249&amp;"]"&amp;E249&amp;"'!"&amp;$AD$3),0)</f>
        <v>#VALUE!</v>
      </c>
      <c r="S249" s="34" t="e" cm="1">
        <f t="array" aca="1" ref="S249" ca="1">IF(AND(G249=INDIRECT("'["&amp;G249&amp;"]"&amp;E249&amp;"'!"&amp;$AH$2),OR(I249=INDIRECT("'["&amp;G249&amp;"]"&amp;E249&amp;"'!"&amp;$AE$2))),INDIRECT("'["&amp;G249&amp;"]"&amp;E249&amp;"'!"&amp;$AE$3),0)</f>
        <v>#VALUE!</v>
      </c>
      <c r="T249" s="35" t="e" cm="1">
        <f t="array" aca="1" ref="T249" ca="1">IF(AND(G249=INDIRECT("'["&amp;G249&amp;"]"&amp;E249&amp;"'!"&amp;$AH$2),OR(I249=INDIRECT("'["&amp;G249&amp;"]"&amp;E249&amp;"'!"&amp;$AF$2))),INDIRECT("'["&amp;G249&amp;"]"&amp;E249&amp;"'!"&amp;$AF$3),0)</f>
        <v>#VALUE!</v>
      </c>
      <c r="U249" s="34" t="e" cm="1">
        <f t="array" aca="1" ref="U249" ca="1">IF(AND(G249=INDIRECT("'["&amp;G249&amp;"]"&amp;E249&amp;"'!"&amp;$AH$2),OR(I249=INDIRECT("'["&amp;G249&amp;"]"&amp;E249&amp;"'!"&amp;$AG$2))),INDIRECT("'["&amp;G249&amp;"]"&amp;E249&amp;"'!"&amp;$AG$3),0)</f>
        <v>#VALUE!</v>
      </c>
      <c r="V249" s="25" t="str">
        <f t="shared" si="71"/>
        <v/>
      </c>
      <c r="W249" s="36" t="e" cm="1">
        <f t="array" aca="1" ref="W249" ca="1">IF(AND(G249=INDIRECT("'["&amp;G249&amp;"]"&amp;E249&amp;"'!"&amp;$AH$2),OR(V249=INDIRECT("'["&amp;G249&amp;"]"&amp;E249&amp;"'!"&amp;$AI$2))),INDIRECT("'["&amp;G249&amp;"]"&amp;E249&amp;"'!"&amp;$AI$3),0)</f>
        <v>#VALUE!</v>
      </c>
      <c r="AJ249" s="25">
        <v>1</v>
      </c>
      <c r="AK249" s="38">
        <f t="shared" ca="1" si="72"/>
        <v>0</v>
      </c>
      <c r="AL249" s="38">
        <f t="shared" ca="1" si="73"/>
        <v>0</v>
      </c>
      <c r="AM249" s="54" t="str">
        <f t="shared" ca="1" si="64"/>
        <v/>
      </c>
      <c r="AN249" s="25" t="e">
        <f t="shared" ca="1" si="74"/>
        <v>#VALUE!</v>
      </c>
      <c r="AO249" s="25" t="e">
        <f t="shared" ca="1" si="75"/>
        <v>#VALUE!</v>
      </c>
      <c r="AP249" s="39" t="str">
        <f t="shared" ca="1" si="65"/>
        <v/>
      </c>
      <c r="AQ249" s="46" t="str">
        <f ca="1">IF(AND(C249&lt;&gt;0, C250=0), SUM($C$2:C249)-SUM($AQ$1:AQ248), "")</f>
        <v/>
      </c>
      <c r="AR249" s="46" t="str">
        <f ca="1">IF(AND(AK249&lt;&gt;0, AK250=0), SUM($AK$2:AK249)-SUM($AR$1:AR248), "")</f>
        <v/>
      </c>
    </row>
    <row r="250" spans="1:44" ht="13.15" customHeight="1">
      <c r="A250" s="60"/>
      <c r="B250" s="68" t="str">
        <f t="shared" si="78"/>
        <v/>
      </c>
      <c r="C250" s="55" cm="1">
        <f t="array" aca="1" ref="C250" ca="1">SUM(IF(ISNUMBER(M250:U250),M250:U250,""))</f>
        <v>0</v>
      </c>
      <c r="D250" s="25" t="str">
        <f t="shared" si="76"/>
        <v/>
      </c>
      <c r="E250" s="25" t="e">
        <f t="shared" si="66"/>
        <v>#VALUE!</v>
      </c>
      <c r="F250" s="25" t="str">
        <f t="shared" si="77"/>
        <v/>
      </c>
      <c r="G250" s="25" t="str">
        <f t="shared" si="63"/>
        <v>.xlsx</v>
      </c>
      <c r="H250" s="29" t="e" cm="1">
        <f t="array" aca="1" ref="H250" ca="1">IF(AND(VALUE(E250)=INDIRECT("'["&amp;G250&amp;"]"&amp;E250&amp;"'!"&amp;$X$2),G250=INDIRECT("'["&amp;G250&amp;"]"&amp;E250&amp;"'!"&amp;$X$3)),INDIRECT("'["&amp;G250&amp;"]"&amp;E250&amp;"'!"&amp;$X$1),0)</f>
        <v>#VALUE!</v>
      </c>
      <c r="I250" s="25" t="str">
        <f t="shared" si="67"/>
        <v/>
      </c>
      <c r="J250" s="32" t="str">
        <f t="shared" si="68"/>
        <v/>
      </c>
      <c r="K250" s="25" t="str">
        <f t="shared" si="69"/>
        <v/>
      </c>
      <c r="L250" s="25" t="str">
        <f t="shared" si="70"/>
        <v/>
      </c>
      <c r="M250" s="33" t="e" cm="1">
        <f t="array" aca="1" ref="M250" ca="1">IF(AND(J250=INDIRECT("'["&amp;G250&amp;"]"&amp;E250&amp;"'!"&amp;$Y$2),G250=INDIRECT("'["&amp;G250&amp;"]"&amp;E250&amp;"'!"&amp;$AH$2)),INDIRECT("'["&amp;G250&amp;"]"&amp;E250&amp;"'!"&amp;$Y$3),0)</f>
        <v>#VALUE!</v>
      </c>
      <c r="N250" s="34" t="e" cm="1">
        <f t="array" aca="1" ref="N250" ca="1">IF(AND(G250=INDIRECT("'["&amp;G250&amp;"]"&amp;E250&amp;"'!"&amp;$AH$2),OR(K250=INDIRECT("'["&amp;G250&amp;"]"&amp;E250&amp;"'!"&amp;$Z$2))),INDIRECT("'["&amp;G250&amp;"]"&amp;E250&amp;"'!"&amp;$Z$3),0)</f>
        <v>#VALUE!</v>
      </c>
      <c r="O250" s="34" t="e" cm="1">
        <f t="array" aca="1" ref="O250" ca="1">IF(AND(G250=INDIRECT("'["&amp;G250&amp;"]"&amp;E250&amp;"'!"&amp;$AH$2),OR(L250=INDIRECT("'["&amp;G250&amp;"]"&amp;E250&amp;"'!"&amp;$AA$2))),INDIRECT("'["&amp;G250&amp;"]"&amp;E250&amp;"'!"&amp;$AA$3),0)</f>
        <v>#VALUE!</v>
      </c>
      <c r="P250" s="34" t="e" cm="1">
        <f t="array" aca="1" ref="P250" ca="1">IF(AND(G250=INDIRECT("'["&amp;G250&amp;"]"&amp;E250&amp;"'!"&amp;$AH$2),OR(VALUE(I250)=INDIRECT("'["&amp;G250&amp;"]"&amp;E250&amp;"'!"&amp;$AB$2))),INDIRECT("'["&amp;G250&amp;"]"&amp;E250&amp;"'!"&amp;$AB$3),0)</f>
        <v>#VALUE!</v>
      </c>
      <c r="Q250" s="34" t="e" cm="1">
        <f t="array" aca="1" ref="Q250" ca="1">IF(AND(G250=INDIRECT("'["&amp;G250&amp;"]"&amp;E250&amp;"'!"&amp;$AH$2),OR(VALUE(I250)=INDIRECT("'["&amp;G250&amp;"]"&amp;E250&amp;"'!"&amp;$AC$2))),INDIRECT("'["&amp;G250&amp;"]"&amp;E250&amp;"'!"&amp;$AC$3),0)</f>
        <v>#VALUE!</v>
      </c>
      <c r="R250" s="34" t="e" cm="1">
        <f t="array" aca="1" ref="R250" ca="1">IF(AND(G250=INDIRECT("'["&amp;G250&amp;"]"&amp;E250&amp;"'!"&amp;$AH$2),OR(I250=INDIRECT("'["&amp;G250&amp;"]"&amp;E250&amp;"'!"&amp;$AD$2))),INDIRECT("'["&amp;G250&amp;"]"&amp;E250&amp;"'!"&amp;$AD$3),0)</f>
        <v>#VALUE!</v>
      </c>
      <c r="S250" s="34" t="e" cm="1">
        <f t="array" aca="1" ref="S250" ca="1">IF(AND(G250=INDIRECT("'["&amp;G250&amp;"]"&amp;E250&amp;"'!"&amp;$AH$2),OR(I250=INDIRECT("'["&amp;G250&amp;"]"&amp;E250&amp;"'!"&amp;$AE$2))),INDIRECT("'["&amp;G250&amp;"]"&amp;E250&amp;"'!"&amp;$AE$3),0)</f>
        <v>#VALUE!</v>
      </c>
      <c r="T250" s="35" t="e" cm="1">
        <f t="array" aca="1" ref="T250" ca="1">IF(AND(G250=INDIRECT("'["&amp;G250&amp;"]"&amp;E250&amp;"'!"&amp;$AH$2),OR(I250=INDIRECT("'["&amp;G250&amp;"]"&amp;E250&amp;"'!"&amp;$AF$2))),INDIRECT("'["&amp;G250&amp;"]"&amp;E250&amp;"'!"&amp;$AF$3),0)</f>
        <v>#VALUE!</v>
      </c>
      <c r="U250" s="34" t="e" cm="1">
        <f t="array" aca="1" ref="U250" ca="1">IF(AND(G250=INDIRECT("'["&amp;G250&amp;"]"&amp;E250&amp;"'!"&amp;$AH$2),OR(I250=INDIRECT("'["&amp;G250&amp;"]"&amp;E250&amp;"'!"&amp;$AG$2))),INDIRECT("'["&amp;G250&amp;"]"&amp;E250&amp;"'!"&amp;$AG$3),0)</f>
        <v>#VALUE!</v>
      </c>
      <c r="V250" s="25" t="str">
        <f t="shared" si="71"/>
        <v/>
      </c>
      <c r="W250" s="36" t="e" cm="1">
        <f t="array" aca="1" ref="W250" ca="1">IF(AND(G250=INDIRECT("'["&amp;G250&amp;"]"&amp;E250&amp;"'!"&amp;$AH$2),OR(V250=INDIRECT("'["&amp;G250&amp;"]"&amp;E250&amp;"'!"&amp;$AI$2))),INDIRECT("'["&amp;G250&amp;"]"&amp;E250&amp;"'!"&amp;$AI$3),0)</f>
        <v>#VALUE!</v>
      </c>
      <c r="AJ250" s="25">
        <v>1</v>
      </c>
      <c r="AK250" s="38">
        <f t="shared" ca="1" si="72"/>
        <v>0</v>
      </c>
      <c r="AL250" s="38">
        <f t="shared" ca="1" si="73"/>
        <v>0</v>
      </c>
      <c r="AM250" s="54" t="str">
        <f t="shared" ca="1" si="64"/>
        <v/>
      </c>
      <c r="AN250" s="25" t="e">
        <f t="shared" ca="1" si="74"/>
        <v>#VALUE!</v>
      </c>
      <c r="AO250" s="25" t="e">
        <f t="shared" ca="1" si="75"/>
        <v>#VALUE!</v>
      </c>
      <c r="AP250" s="39" t="str">
        <f t="shared" ca="1" si="65"/>
        <v/>
      </c>
      <c r="AQ250" s="46" t="str">
        <f ca="1">IF(AND(C250&lt;&gt;0, C251=0), SUM($C$2:C250)-SUM($AQ$1:AQ249), "")</f>
        <v/>
      </c>
      <c r="AR250" s="46" t="str">
        <f ca="1">IF(AND(AK250&lt;&gt;0, AK251=0), SUM($AK$2:AK250)-SUM($AR$1:AR249), "")</f>
        <v/>
      </c>
    </row>
    <row r="251" spans="1:44" ht="13.15" customHeight="1">
      <c r="A251" s="60"/>
      <c r="B251" s="68" t="str">
        <f t="shared" si="78"/>
        <v/>
      </c>
      <c r="C251" s="55" cm="1">
        <f t="array" aca="1" ref="C251" ca="1">SUM(IF(ISNUMBER(M251:U251),M251:U251,""))</f>
        <v>0</v>
      </c>
      <c r="D251" s="25" t="str">
        <f t="shared" si="76"/>
        <v/>
      </c>
      <c r="E251" s="25" t="e">
        <f t="shared" si="66"/>
        <v>#VALUE!</v>
      </c>
      <c r="F251" s="25" t="str">
        <f t="shared" si="77"/>
        <v/>
      </c>
      <c r="G251" s="25" t="str">
        <f t="shared" si="63"/>
        <v>.xlsx</v>
      </c>
      <c r="H251" s="29" t="e" cm="1">
        <f t="array" aca="1" ref="H251" ca="1">IF(AND(VALUE(E251)=INDIRECT("'["&amp;G251&amp;"]"&amp;E251&amp;"'!"&amp;$X$2),G251=INDIRECT("'["&amp;G251&amp;"]"&amp;E251&amp;"'!"&amp;$X$3)),INDIRECT("'["&amp;G251&amp;"]"&amp;E251&amp;"'!"&amp;$X$1),0)</f>
        <v>#VALUE!</v>
      </c>
      <c r="I251" s="25" t="str">
        <f t="shared" si="67"/>
        <v/>
      </c>
      <c r="J251" s="32" t="str">
        <f t="shared" si="68"/>
        <v/>
      </c>
      <c r="K251" s="25" t="str">
        <f t="shared" si="69"/>
        <v/>
      </c>
      <c r="L251" s="25" t="str">
        <f t="shared" si="70"/>
        <v/>
      </c>
      <c r="M251" s="33" t="e" cm="1">
        <f t="array" aca="1" ref="M251" ca="1">IF(AND(J251=INDIRECT("'["&amp;G251&amp;"]"&amp;E251&amp;"'!"&amp;$Y$2),G251=INDIRECT("'["&amp;G251&amp;"]"&amp;E251&amp;"'!"&amp;$AH$2)),INDIRECT("'["&amp;G251&amp;"]"&amp;E251&amp;"'!"&amp;$Y$3),0)</f>
        <v>#VALUE!</v>
      </c>
      <c r="N251" s="34" t="e" cm="1">
        <f t="array" aca="1" ref="N251" ca="1">IF(AND(G251=INDIRECT("'["&amp;G251&amp;"]"&amp;E251&amp;"'!"&amp;$AH$2),OR(K251=INDIRECT("'["&amp;G251&amp;"]"&amp;E251&amp;"'!"&amp;$Z$2))),INDIRECT("'["&amp;G251&amp;"]"&amp;E251&amp;"'!"&amp;$Z$3),0)</f>
        <v>#VALUE!</v>
      </c>
      <c r="O251" s="34" t="e" cm="1">
        <f t="array" aca="1" ref="O251" ca="1">IF(AND(G251=INDIRECT("'["&amp;G251&amp;"]"&amp;E251&amp;"'!"&amp;$AH$2),OR(L251=INDIRECT("'["&amp;G251&amp;"]"&amp;E251&amp;"'!"&amp;$AA$2))),INDIRECT("'["&amp;G251&amp;"]"&amp;E251&amp;"'!"&amp;$AA$3),0)</f>
        <v>#VALUE!</v>
      </c>
      <c r="P251" s="34" t="e" cm="1">
        <f t="array" aca="1" ref="P251" ca="1">IF(AND(G251=INDIRECT("'["&amp;G251&amp;"]"&amp;E251&amp;"'!"&amp;$AH$2),OR(VALUE(I251)=INDIRECT("'["&amp;G251&amp;"]"&amp;E251&amp;"'!"&amp;$AB$2))),INDIRECT("'["&amp;G251&amp;"]"&amp;E251&amp;"'!"&amp;$AB$3),0)</f>
        <v>#VALUE!</v>
      </c>
      <c r="Q251" s="34" t="e" cm="1">
        <f t="array" aca="1" ref="Q251" ca="1">IF(AND(G251=INDIRECT("'["&amp;G251&amp;"]"&amp;E251&amp;"'!"&amp;$AH$2),OR(VALUE(I251)=INDIRECT("'["&amp;G251&amp;"]"&amp;E251&amp;"'!"&amp;$AC$2))),INDIRECT("'["&amp;G251&amp;"]"&amp;E251&amp;"'!"&amp;$AC$3),0)</f>
        <v>#VALUE!</v>
      </c>
      <c r="R251" s="34" t="e" cm="1">
        <f t="array" aca="1" ref="R251" ca="1">IF(AND(G251=INDIRECT("'["&amp;G251&amp;"]"&amp;E251&amp;"'!"&amp;$AH$2),OR(I251=INDIRECT("'["&amp;G251&amp;"]"&amp;E251&amp;"'!"&amp;$AD$2))),INDIRECT("'["&amp;G251&amp;"]"&amp;E251&amp;"'!"&amp;$AD$3),0)</f>
        <v>#VALUE!</v>
      </c>
      <c r="S251" s="34" t="e" cm="1">
        <f t="array" aca="1" ref="S251" ca="1">IF(AND(G251=INDIRECT("'["&amp;G251&amp;"]"&amp;E251&amp;"'!"&amp;$AH$2),OR(I251=INDIRECT("'["&amp;G251&amp;"]"&amp;E251&amp;"'!"&amp;$AE$2))),INDIRECT("'["&amp;G251&amp;"]"&amp;E251&amp;"'!"&amp;$AE$3),0)</f>
        <v>#VALUE!</v>
      </c>
      <c r="T251" s="35" t="e" cm="1">
        <f t="array" aca="1" ref="T251" ca="1">IF(AND(G251=INDIRECT("'["&amp;G251&amp;"]"&amp;E251&amp;"'!"&amp;$AH$2),OR(I251=INDIRECT("'["&amp;G251&amp;"]"&amp;E251&amp;"'!"&amp;$AF$2))),INDIRECT("'["&amp;G251&amp;"]"&amp;E251&amp;"'!"&amp;$AF$3),0)</f>
        <v>#VALUE!</v>
      </c>
      <c r="U251" s="34" t="e" cm="1">
        <f t="array" aca="1" ref="U251" ca="1">IF(AND(G251=INDIRECT("'["&amp;G251&amp;"]"&amp;E251&amp;"'!"&amp;$AH$2),OR(I251=INDIRECT("'["&amp;G251&amp;"]"&amp;E251&amp;"'!"&amp;$AG$2))),INDIRECT("'["&amp;G251&amp;"]"&amp;E251&amp;"'!"&amp;$AG$3),0)</f>
        <v>#VALUE!</v>
      </c>
      <c r="V251" s="25" t="str">
        <f t="shared" si="71"/>
        <v/>
      </c>
      <c r="W251" s="36" t="e" cm="1">
        <f t="array" aca="1" ref="W251" ca="1">IF(AND(G251=INDIRECT("'["&amp;G251&amp;"]"&amp;E251&amp;"'!"&amp;$AH$2),OR(V251=INDIRECT("'["&amp;G251&amp;"]"&amp;E251&amp;"'!"&amp;$AI$2))),INDIRECT("'["&amp;G251&amp;"]"&amp;E251&amp;"'!"&amp;$AI$3),0)</f>
        <v>#VALUE!</v>
      </c>
      <c r="AJ251" s="25">
        <v>1</v>
      </c>
      <c r="AK251" s="38">
        <f t="shared" ca="1" si="72"/>
        <v>0</v>
      </c>
      <c r="AL251" s="38">
        <f t="shared" ca="1" si="73"/>
        <v>0</v>
      </c>
      <c r="AM251" s="54" t="str">
        <f t="shared" ca="1" si="64"/>
        <v/>
      </c>
      <c r="AN251" s="25" t="e">
        <f t="shared" ca="1" si="74"/>
        <v>#VALUE!</v>
      </c>
      <c r="AO251" s="25" t="e">
        <f t="shared" ca="1" si="75"/>
        <v>#VALUE!</v>
      </c>
      <c r="AP251" s="39" t="str">
        <f t="shared" ca="1" si="65"/>
        <v/>
      </c>
      <c r="AQ251" s="46" t="str">
        <f ca="1">IF(AND(C251&lt;&gt;0, C252=0), SUM($C$2:C251)-SUM($AQ$1:AQ250), "")</f>
        <v/>
      </c>
      <c r="AR251" s="46" t="str">
        <f ca="1">IF(AND(AK251&lt;&gt;0, AK252=0), SUM($AK$2:AK251)-SUM($AR$1:AR250), "")</f>
        <v/>
      </c>
    </row>
    <row r="252" spans="1:44" ht="13.15" customHeight="1">
      <c r="A252" s="60"/>
      <c r="B252" s="68" t="str">
        <f t="shared" si="78"/>
        <v/>
      </c>
      <c r="C252" s="55" cm="1">
        <f t="array" aca="1" ref="C252" ca="1">SUM(IF(ISNUMBER(M252:U252),M252:U252,""))</f>
        <v>0</v>
      </c>
      <c r="D252" s="25" t="str">
        <f t="shared" si="76"/>
        <v/>
      </c>
      <c r="E252" s="25" t="e">
        <f t="shared" si="66"/>
        <v>#VALUE!</v>
      </c>
      <c r="F252" s="25" t="str">
        <f t="shared" si="77"/>
        <v/>
      </c>
      <c r="G252" s="25" t="str">
        <f t="shared" si="63"/>
        <v>.xlsx</v>
      </c>
      <c r="H252" s="29" t="e" cm="1">
        <f t="array" aca="1" ref="H252" ca="1">IF(AND(VALUE(E252)=INDIRECT("'["&amp;G252&amp;"]"&amp;E252&amp;"'!"&amp;$X$2),G252=INDIRECT("'["&amp;G252&amp;"]"&amp;E252&amp;"'!"&amp;$X$3)),INDIRECT("'["&amp;G252&amp;"]"&amp;E252&amp;"'!"&amp;$X$1),0)</f>
        <v>#VALUE!</v>
      </c>
      <c r="I252" s="25" t="str">
        <f t="shared" si="67"/>
        <v/>
      </c>
      <c r="J252" s="32" t="str">
        <f t="shared" si="68"/>
        <v/>
      </c>
      <c r="K252" s="25" t="str">
        <f t="shared" si="69"/>
        <v/>
      </c>
      <c r="L252" s="25" t="str">
        <f t="shared" si="70"/>
        <v/>
      </c>
      <c r="M252" s="33" t="e" cm="1">
        <f t="array" aca="1" ref="M252" ca="1">IF(AND(J252=INDIRECT("'["&amp;G252&amp;"]"&amp;E252&amp;"'!"&amp;$Y$2),G252=INDIRECT("'["&amp;G252&amp;"]"&amp;E252&amp;"'!"&amp;$AH$2)),INDIRECT("'["&amp;G252&amp;"]"&amp;E252&amp;"'!"&amp;$Y$3),0)</f>
        <v>#VALUE!</v>
      </c>
      <c r="N252" s="34" t="e" cm="1">
        <f t="array" aca="1" ref="N252" ca="1">IF(AND(G252=INDIRECT("'["&amp;G252&amp;"]"&amp;E252&amp;"'!"&amp;$AH$2),OR(K252=INDIRECT("'["&amp;G252&amp;"]"&amp;E252&amp;"'!"&amp;$Z$2))),INDIRECT("'["&amp;G252&amp;"]"&amp;E252&amp;"'!"&amp;$Z$3),0)</f>
        <v>#VALUE!</v>
      </c>
      <c r="O252" s="34" t="e" cm="1">
        <f t="array" aca="1" ref="O252" ca="1">IF(AND(G252=INDIRECT("'["&amp;G252&amp;"]"&amp;E252&amp;"'!"&amp;$AH$2),OR(L252=INDIRECT("'["&amp;G252&amp;"]"&amp;E252&amp;"'!"&amp;$AA$2))),INDIRECT("'["&amp;G252&amp;"]"&amp;E252&amp;"'!"&amp;$AA$3),0)</f>
        <v>#VALUE!</v>
      </c>
      <c r="P252" s="34" t="e" cm="1">
        <f t="array" aca="1" ref="P252" ca="1">IF(AND(G252=INDIRECT("'["&amp;G252&amp;"]"&amp;E252&amp;"'!"&amp;$AH$2),OR(VALUE(I252)=INDIRECT("'["&amp;G252&amp;"]"&amp;E252&amp;"'!"&amp;$AB$2))),INDIRECT("'["&amp;G252&amp;"]"&amp;E252&amp;"'!"&amp;$AB$3),0)</f>
        <v>#VALUE!</v>
      </c>
      <c r="Q252" s="34" t="e" cm="1">
        <f t="array" aca="1" ref="Q252" ca="1">IF(AND(G252=INDIRECT("'["&amp;G252&amp;"]"&amp;E252&amp;"'!"&amp;$AH$2),OR(VALUE(I252)=INDIRECT("'["&amp;G252&amp;"]"&amp;E252&amp;"'!"&amp;$AC$2))),INDIRECT("'["&amp;G252&amp;"]"&amp;E252&amp;"'!"&amp;$AC$3),0)</f>
        <v>#VALUE!</v>
      </c>
      <c r="R252" s="34" t="e" cm="1">
        <f t="array" aca="1" ref="R252" ca="1">IF(AND(G252=INDIRECT("'["&amp;G252&amp;"]"&amp;E252&amp;"'!"&amp;$AH$2),OR(I252=INDIRECT("'["&amp;G252&amp;"]"&amp;E252&amp;"'!"&amp;$AD$2))),INDIRECT("'["&amp;G252&amp;"]"&amp;E252&amp;"'!"&amp;$AD$3),0)</f>
        <v>#VALUE!</v>
      </c>
      <c r="S252" s="34" t="e" cm="1">
        <f t="array" aca="1" ref="S252" ca="1">IF(AND(G252=INDIRECT("'["&amp;G252&amp;"]"&amp;E252&amp;"'!"&amp;$AH$2),OR(I252=INDIRECT("'["&amp;G252&amp;"]"&amp;E252&amp;"'!"&amp;$AE$2))),INDIRECT("'["&amp;G252&amp;"]"&amp;E252&amp;"'!"&amp;$AE$3),0)</f>
        <v>#VALUE!</v>
      </c>
      <c r="T252" s="35" t="e" cm="1">
        <f t="array" aca="1" ref="T252" ca="1">IF(AND(G252=INDIRECT("'["&amp;G252&amp;"]"&amp;E252&amp;"'!"&amp;$AH$2),OR(I252=INDIRECT("'["&amp;G252&amp;"]"&amp;E252&amp;"'!"&amp;$AF$2))),INDIRECT("'["&amp;G252&amp;"]"&amp;E252&amp;"'!"&amp;$AF$3),0)</f>
        <v>#VALUE!</v>
      </c>
      <c r="U252" s="34" t="e" cm="1">
        <f t="array" aca="1" ref="U252" ca="1">IF(AND(G252=INDIRECT("'["&amp;G252&amp;"]"&amp;E252&amp;"'!"&amp;$AH$2),OR(I252=INDIRECT("'["&amp;G252&amp;"]"&amp;E252&amp;"'!"&amp;$AG$2))),INDIRECT("'["&amp;G252&amp;"]"&amp;E252&amp;"'!"&amp;$AG$3),0)</f>
        <v>#VALUE!</v>
      </c>
      <c r="V252" s="25" t="str">
        <f t="shared" si="71"/>
        <v/>
      </c>
      <c r="W252" s="36" t="e" cm="1">
        <f t="array" aca="1" ref="W252" ca="1">IF(AND(G252=INDIRECT("'["&amp;G252&amp;"]"&amp;E252&amp;"'!"&amp;$AH$2),OR(V252=INDIRECT("'["&amp;G252&amp;"]"&amp;E252&amp;"'!"&amp;$AI$2))),INDIRECT("'["&amp;G252&amp;"]"&amp;E252&amp;"'!"&amp;$AI$3),0)</f>
        <v>#VALUE!</v>
      </c>
      <c r="AJ252" s="25">
        <v>1</v>
      </c>
      <c r="AK252" s="38">
        <f t="shared" ca="1" si="72"/>
        <v>0</v>
      </c>
      <c r="AL252" s="38">
        <f t="shared" ca="1" si="73"/>
        <v>0</v>
      </c>
      <c r="AM252" s="54" t="str">
        <f t="shared" ca="1" si="64"/>
        <v/>
      </c>
      <c r="AN252" s="25" t="e">
        <f t="shared" ca="1" si="74"/>
        <v>#VALUE!</v>
      </c>
      <c r="AO252" s="25" t="e">
        <f t="shared" ca="1" si="75"/>
        <v>#VALUE!</v>
      </c>
      <c r="AP252" s="39" t="str">
        <f t="shared" ca="1" si="65"/>
        <v/>
      </c>
      <c r="AQ252" s="46" t="str">
        <f ca="1">IF(AND(C252&lt;&gt;0, C253=0), SUM($C$2:C252)-SUM($AQ$1:AQ251), "")</f>
        <v/>
      </c>
      <c r="AR252" s="46" t="str">
        <f ca="1">IF(AND(AK252&lt;&gt;0, AK253=0), SUM($AK$2:AK252)-SUM($AR$1:AR251), "")</f>
        <v/>
      </c>
    </row>
    <row r="253" spans="1:44" ht="13.15" customHeight="1">
      <c r="A253" s="60"/>
      <c r="B253" s="68" t="str">
        <f t="shared" si="78"/>
        <v/>
      </c>
      <c r="C253" s="55" cm="1">
        <f t="array" aca="1" ref="C253" ca="1">SUM(IF(ISNUMBER(M253:U253),M253:U253,""))</f>
        <v>0</v>
      </c>
      <c r="D253" s="25" t="str">
        <f t="shared" si="76"/>
        <v/>
      </c>
      <c r="E253" s="25" t="e">
        <f t="shared" si="66"/>
        <v>#VALUE!</v>
      </c>
      <c r="F253" s="25" t="str">
        <f t="shared" si="77"/>
        <v/>
      </c>
      <c r="G253" s="25" t="str">
        <f t="shared" si="63"/>
        <v>.xlsx</v>
      </c>
      <c r="H253" s="29" t="e" cm="1">
        <f t="array" aca="1" ref="H253" ca="1">IF(AND(VALUE(E253)=INDIRECT("'["&amp;G253&amp;"]"&amp;E253&amp;"'!"&amp;$X$2),G253=INDIRECT("'["&amp;G253&amp;"]"&amp;E253&amp;"'!"&amp;$X$3)),INDIRECT("'["&amp;G253&amp;"]"&amp;E253&amp;"'!"&amp;$X$1),0)</f>
        <v>#VALUE!</v>
      </c>
      <c r="I253" s="25" t="str">
        <f t="shared" si="67"/>
        <v/>
      </c>
      <c r="J253" s="32" t="str">
        <f t="shared" si="68"/>
        <v/>
      </c>
      <c r="K253" s="25" t="str">
        <f t="shared" si="69"/>
        <v/>
      </c>
      <c r="L253" s="25" t="str">
        <f t="shared" si="70"/>
        <v/>
      </c>
      <c r="M253" s="33" t="e" cm="1">
        <f t="array" aca="1" ref="M253" ca="1">IF(AND(J253=INDIRECT("'["&amp;G253&amp;"]"&amp;E253&amp;"'!"&amp;$Y$2),G253=INDIRECT("'["&amp;G253&amp;"]"&amp;E253&amp;"'!"&amp;$AH$2)),INDIRECT("'["&amp;G253&amp;"]"&amp;E253&amp;"'!"&amp;$Y$3),0)</f>
        <v>#VALUE!</v>
      </c>
      <c r="N253" s="34" t="e" cm="1">
        <f t="array" aca="1" ref="N253" ca="1">IF(AND(G253=INDIRECT("'["&amp;G253&amp;"]"&amp;E253&amp;"'!"&amp;$AH$2),OR(K253=INDIRECT("'["&amp;G253&amp;"]"&amp;E253&amp;"'!"&amp;$Z$2))),INDIRECT("'["&amp;G253&amp;"]"&amp;E253&amp;"'!"&amp;$Z$3),0)</f>
        <v>#VALUE!</v>
      </c>
      <c r="O253" s="34" t="e" cm="1">
        <f t="array" aca="1" ref="O253" ca="1">IF(AND(G253=INDIRECT("'["&amp;G253&amp;"]"&amp;E253&amp;"'!"&amp;$AH$2),OR(L253=INDIRECT("'["&amp;G253&amp;"]"&amp;E253&amp;"'!"&amp;$AA$2))),INDIRECT("'["&amp;G253&amp;"]"&amp;E253&amp;"'!"&amp;$AA$3),0)</f>
        <v>#VALUE!</v>
      </c>
      <c r="P253" s="34" t="e" cm="1">
        <f t="array" aca="1" ref="P253" ca="1">IF(AND(G253=INDIRECT("'["&amp;G253&amp;"]"&amp;E253&amp;"'!"&amp;$AH$2),OR(VALUE(I253)=INDIRECT("'["&amp;G253&amp;"]"&amp;E253&amp;"'!"&amp;$AB$2))),INDIRECT("'["&amp;G253&amp;"]"&amp;E253&amp;"'!"&amp;$AB$3),0)</f>
        <v>#VALUE!</v>
      </c>
      <c r="Q253" s="34" t="e" cm="1">
        <f t="array" aca="1" ref="Q253" ca="1">IF(AND(G253=INDIRECT("'["&amp;G253&amp;"]"&amp;E253&amp;"'!"&amp;$AH$2),OR(VALUE(I253)=INDIRECT("'["&amp;G253&amp;"]"&amp;E253&amp;"'!"&amp;$AC$2))),INDIRECT("'["&amp;G253&amp;"]"&amp;E253&amp;"'!"&amp;$AC$3),0)</f>
        <v>#VALUE!</v>
      </c>
      <c r="R253" s="34" t="e" cm="1">
        <f t="array" aca="1" ref="R253" ca="1">IF(AND(G253=INDIRECT("'["&amp;G253&amp;"]"&amp;E253&amp;"'!"&amp;$AH$2),OR(I253=INDIRECT("'["&amp;G253&amp;"]"&amp;E253&amp;"'!"&amp;$AD$2))),INDIRECT("'["&amp;G253&amp;"]"&amp;E253&amp;"'!"&amp;$AD$3),0)</f>
        <v>#VALUE!</v>
      </c>
      <c r="S253" s="34" t="e" cm="1">
        <f t="array" aca="1" ref="S253" ca="1">IF(AND(G253=INDIRECT("'["&amp;G253&amp;"]"&amp;E253&amp;"'!"&amp;$AH$2),OR(I253=INDIRECT("'["&amp;G253&amp;"]"&amp;E253&amp;"'!"&amp;$AE$2))),INDIRECT("'["&amp;G253&amp;"]"&amp;E253&amp;"'!"&amp;$AE$3),0)</f>
        <v>#VALUE!</v>
      </c>
      <c r="T253" s="35" t="e" cm="1">
        <f t="array" aca="1" ref="T253" ca="1">IF(AND(G253=INDIRECT("'["&amp;G253&amp;"]"&amp;E253&amp;"'!"&amp;$AH$2),OR(I253=INDIRECT("'["&amp;G253&amp;"]"&amp;E253&amp;"'!"&amp;$AF$2))),INDIRECT("'["&amp;G253&amp;"]"&amp;E253&amp;"'!"&amp;$AF$3),0)</f>
        <v>#VALUE!</v>
      </c>
      <c r="U253" s="34" t="e" cm="1">
        <f t="array" aca="1" ref="U253" ca="1">IF(AND(G253=INDIRECT("'["&amp;G253&amp;"]"&amp;E253&amp;"'!"&amp;$AH$2),OR(I253=INDIRECT("'["&amp;G253&amp;"]"&amp;E253&amp;"'!"&amp;$AG$2))),INDIRECT("'["&amp;G253&amp;"]"&amp;E253&amp;"'!"&amp;$AG$3),0)</f>
        <v>#VALUE!</v>
      </c>
      <c r="V253" s="25" t="str">
        <f t="shared" si="71"/>
        <v/>
      </c>
      <c r="W253" s="36" t="e" cm="1">
        <f t="array" aca="1" ref="W253" ca="1">IF(AND(G253=INDIRECT("'["&amp;G253&amp;"]"&amp;E253&amp;"'!"&amp;$AH$2),OR(V253=INDIRECT("'["&amp;G253&amp;"]"&amp;E253&amp;"'!"&amp;$AI$2))),INDIRECT("'["&amp;G253&amp;"]"&amp;E253&amp;"'!"&amp;$AI$3),0)</f>
        <v>#VALUE!</v>
      </c>
      <c r="AJ253" s="25">
        <v>1</v>
      </c>
      <c r="AK253" s="38">
        <f t="shared" ca="1" si="72"/>
        <v>0</v>
      </c>
      <c r="AL253" s="38">
        <f t="shared" ca="1" si="73"/>
        <v>0</v>
      </c>
      <c r="AM253" s="54" t="str">
        <f t="shared" ca="1" si="64"/>
        <v/>
      </c>
      <c r="AN253" s="25" t="e">
        <f t="shared" ca="1" si="74"/>
        <v>#VALUE!</v>
      </c>
      <c r="AO253" s="25" t="e">
        <f t="shared" ca="1" si="75"/>
        <v>#VALUE!</v>
      </c>
      <c r="AP253" s="39" t="str">
        <f t="shared" ca="1" si="65"/>
        <v/>
      </c>
      <c r="AQ253" s="46" t="str">
        <f ca="1">IF(AND(C253&lt;&gt;0, C254=0), SUM($C$2:C253)-SUM($AQ$1:AQ252), "")</f>
        <v/>
      </c>
      <c r="AR253" s="46" t="str">
        <f ca="1">IF(AND(AK253&lt;&gt;0, AK254=0), SUM($AK$2:AK253)-SUM($AR$1:AR252), "")</f>
        <v/>
      </c>
    </row>
    <row r="254" spans="1:44" ht="13.15" customHeight="1">
      <c r="A254" s="60"/>
      <c r="B254" s="68" t="str">
        <f t="shared" si="78"/>
        <v/>
      </c>
      <c r="C254" s="55" cm="1">
        <f t="array" aca="1" ref="C254" ca="1">SUM(IF(ISNUMBER(M254:U254),M254:U254,""))</f>
        <v>0</v>
      </c>
      <c r="D254" s="25" t="str">
        <f t="shared" si="76"/>
        <v/>
      </c>
      <c r="E254" s="25" t="e">
        <f t="shared" si="66"/>
        <v>#VALUE!</v>
      </c>
      <c r="F254" s="25" t="str">
        <f t="shared" si="77"/>
        <v/>
      </c>
      <c r="G254" s="25" t="str">
        <f t="shared" si="63"/>
        <v>.xlsx</v>
      </c>
      <c r="H254" s="29" t="e" cm="1">
        <f t="array" aca="1" ref="H254" ca="1">IF(AND(VALUE(E254)=INDIRECT("'["&amp;G254&amp;"]"&amp;E254&amp;"'!"&amp;$X$2),G254=INDIRECT("'["&amp;G254&amp;"]"&amp;E254&amp;"'!"&amp;$X$3)),INDIRECT("'["&amp;G254&amp;"]"&amp;E254&amp;"'!"&amp;$X$1),0)</f>
        <v>#VALUE!</v>
      </c>
      <c r="I254" s="25" t="str">
        <f t="shared" si="67"/>
        <v/>
      </c>
      <c r="J254" s="32" t="str">
        <f t="shared" si="68"/>
        <v/>
      </c>
      <c r="K254" s="25" t="str">
        <f t="shared" si="69"/>
        <v/>
      </c>
      <c r="L254" s="25" t="str">
        <f t="shared" si="70"/>
        <v/>
      </c>
      <c r="M254" s="33" t="e" cm="1">
        <f t="array" aca="1" ref="M254" ca="1">IF(AND(J254=INDIRECT("'["&amp;G254&amp;"]"&amp;E254&amp;"'!"&amp;$Y$2),G254=INDIRECT("'["&amp;G254&amp;"]"&amp;E254&amp;"'!"&amp;$AH$2)),INDIRECT("'["&amp;G254&amp;"]"&amp;E254&amp;"'!"&amp;$Y$3),0)</f>
        <v>#VALUE!</v>
      </c>
      <c r="N254" s="34" t="e" cm="1">
        <f t="array" aca="1" ref="N254" ca="1">IF(AND(G254=INDIRECT("'["&amp;G254&amp;"]"&amp;E254&amp;"'!"&amp;$AH$2),OR(K254=INDIRECT("'["&amp;G254&amp;"]"&amp;E254&amp;"'!"&amp;$Z$2))),INDIRECT("'["&amp;G254&amp;"]"&amp;E254&amp;"'!"&amp;$Z$3),0)</f>
        <v>#VALUE!</v>
      </c>
      <c r="O254" s="34" t="e" cm="1">
        <f t="array" aca="1" ref="O254" ca="1">IF(AND(G254=INDIRECT("'["&amp;G254&amp;"]"&amp;E254&amp;"'!"&amp;$AH$2),OR(L254=INDIRECT("'["&amp;G254&amp;"]"&amp;E254&amp;"'!"&amp;$AA$2))),INDIRECT("'["&amp;G254&amp;"]"&amp;E254&amp;"'!"&amp;$AA$3),0)</f>
        <v>#VALUE!</v>
      </c>
      <c r="P254" s="34" t="e" cm="1">
        <f t="array" aca="1" ref="P254" ca="1">IF(AND(G254=INDIRECT("'["&amp;G254&amp;"]"&amp;E254&amp;"'!"&amp;$AH$2),OR(VALUE(I254)=INDIRECT("'["&amp;G254&amp;"]"&amp;E254&amp;"'!"&amp;$AB$2))),INDIRECT("'["&amp;G254&amp;"]"&amp;E254&amp;"'!"&amp;$AB$3),0)</f>
        <v>#VALUE!</v>
      </c>
      <c r="Q254" s="34" t="e" cm="1">
        <f t="array" aca="1" ref="Q254" ca="1">IF(AND(G254=INDIRECT("'["&amp;G254&amp;"]"&amp;E254&amp;"'!"&amp;$AH$2),OR(VALUE(I254)=INDIRECT("'["&amp;G254&amp;"]"&amp;E254&amp;"'!"&amp;$AC$2))),INDIRECT("'["&amp;G254&amp;"]"&amp;E254&amp;"'!"&amp;$AC$3),0)</f>
        <v>#VALUE!</v>
      </c>
      <c r="R254" s="34" t="e" cm="1">
        <f t="array" aca="1" ref="R254" ca="1">IF(AND(G254=INDIRECT("'["&amp;G254&amp;"]"&amp;E254&amp;"'!"&amp;$AH$2),OR(I254=INDIRECT("'["&amp;G254&amp;"]"&amp;E254&amp;"'!"&amp;$AD$2))),INDIRECT("'["&amp;G254&amp;"]"&amp;E254&amp;"'!"&amp;$AD$3),0)</f>
        <v>#VALUE!</v>
      </c>
      <c r="S254" s="34" t="e" cm="1">
        <f t="array" aca="1" ref="S254" ca="1">IF(AND(G254=INDIRECT("'["&amp;G254&amp;"]"&amp;E254&amp;"'!"&amp;$AH$2),OR(I254=INDIRECT("'["&amp;G254&amp;"]"&amp;E254&amp;"'!"&amp;$AE$2))),INDIRECT("'["&amp;G254&amp;"]"&amp;E254&amp;"'!"&amp;$AE$3),0)</f>
        <v>#VALUE!</v>
      </c>
      <c r="T254" s="35" t="e" cm="1">
        <f t="array" aca="1" ref="T254" ca="1">IF(AND(G254=INDIRECT("'["&amp;G254&amp;"]"&amp;E254&amp;"'!"&amp;$AH$2),OR(I254=INDIRECT("'["&amp;G254&amp;"]"&amp;E254&amp;"'!"&amp;$AF$2))),INDIRECT("'["&amp;G254&amp;"]"&amp;E254&amp;"'!"&amp;$AF$3),0)</f>
        <v>#VALUE!</v>
      </c>
      <c r="U254" s="34" t="e" cm="1">
        <f t="array" aca="1" ref="U254" ca="1">IF(AND(G254=INDIRECT("'["&amp;G254&amp;"]"&amp;E254&amp;"'!"&amp;$AH$2),OR(I254=INDIRECT("'["&amp;G254&amp;"]"&amp;E254&amp;"'!"&amp;$AG$2))),INDIRECT("'["&amp;G254&amp;"]"&amp;E254&amp;"'!"&amp;$AG$3),0)</f>
        <v>#VALUE!</v>
      </c>
      <c r="V254" s="25" t="str">
        <f t="shared" si="71"/>
        <v/>
      </c>
      <c r="W254" s="36" t="e" cm="1">
        <f t="array" aca="1" ref="W254" ca="1">IF(AND(G254=INDIRECT("'["&amp;G254&amp;"]"&amp;E254&amp;"'!"&amp;$AH$2),OR(V254=INDIRECT("'["&amp;G254&amp;"]"&amp;E254&amp;"'!"&amp;$AI$2))),INDIRECT("'["&amp;G254&amp;"]"&amp;E254&amp;"'!"&amp;$AI$3),0)</f>
        <v>#VALUE!</v>
      </c>
      <c r="AJ254" s="25">
        <v>1</v>
      </c>
      <c r="AK254" s="38">
        <f t="shared" ca="1" si="72"/>
        <v>0</v>
      </c>
      <c r="AL254" s="38">
        <f t="shared" ca="1" si="73"/>
        <v>0</v>
      </c>
      <c r="AM254" s="54" t="str">
        <f t="shared" ca="1" si="64"/>
        <v/>
      </c>
      <c r="AN254" s="25" t="e">
        <f t="shared" ca="1" si="74"/>
        <v>#VALUE!</v>
      </c>
      <c r="AO254" s="25" t="e">
        <f t="shared" ca="1" si="75"/>
        <v>#VALUE!</v>
      </c>
      <c r="AP254" s="39" t="str">
        <f t="shared" ca="1" si="65"/>
        <v/>
      </c>
      <c r="AQ254" s="46" t="str">
        <f ca="1">IF(AND(C254&lt;&gt;0, C255=0), SUM($C$2:C254)-SUM($AQ$1:AQ253), "")</f>
        <v/>
      </c>
      <c r="AR254" s="46" t="str">
        <f ca="1">IF(AND(AK254&lt;&gt;0, AK255=0), SUM($AK$2:AK254)-SUM($AR$1:AR253), "")</f>
        <v/>
      </c>
    </row>
    <row r="255" spans="1:44" ht="13.15" customHeight="1">
      <c r="A255" s="60"/>
      <c r="B255" s="68" t="str">
        <f t="shared" si="78"/>
        <v/>
      </c>
      <c r="C255" s="55" cm="1">
        <f t="array" aca="1" ref="C255" ca="1">SUM(IF(ISNUMBER(M255:U255),M255:U255,""))</f>
        <v>0</v>
      </c>
      <c r="D255" s="25" t="str">
        <f t="shared" si="76"/>
        <v/>
      </c>
      <c r="E255" s="25" t="e">
        <f t="shared" si="66"/>
        <v>#VALUE!</v>
      </c>
      <c r="F255" s="25" t="str">
        <f t="shared" si="77"/>
        <v/>
      </c>
      <c r="G255" s="25" t="str">
        <f t="shared" si="63"/>
        <v>.xlsx</v>
      </c>
      <c r="H255" s="29" t="e" cm="1">
        <f t="array" aca="1" ref="H255" ca="1">IF(AND(VALUE(E255)=INDIRECT("'["&amp;G255&amp;"]"&amp;E255&amp;"'!"&amp;$X$2),G255=INDIRECT("'["&amp;G255&amp;"]"&amp;E255&amp;"'!"&amp;$X$3)),INDIRECT("'["&amp;G255&amp;"]"&amp;E255&amp;"'!"&amp;$X$1),0)</f>
        <v>#VALUE!</v>
      </c>
      <c r="I255" s="25" t="str">
        <f t="shared" si="67"/>
        <v/>
      </c>
      <c r="J255" s="32" t="str">
        <f t="shared" si="68"/>
        <v/>
      </c>
      <c r="K255" s="25" t="str">
        <f t="shared" si="69"/>
        <v/>
      </c>
      <c r="L255" s="25" t="str">
        <f t="shared" si="70"/>
        <v/>
      </c>
      <c r="M255" s="33" t="e" cm="1">
        <f t="array" aca="1" ref="M255" ca="1">IF(AND(J255=INDIRECT("'["&amp;G255&amp;"]"&amp;E255&amp;"'!"&amp;$Y$2),G255=INDIRECT("'["&amp;G255&amp;"]"&amp;E255&amp;"'!"&amp;$AH$2)),INDIRECT("'["&amp;G255&amp;"]"&amp;E255&amp;"'!"&amp;$Y$3),0)</f>
        <v>#VALUE!</v>
      </c>
      <c r="N255" s="34" t="e" cm="1">
        <f t="array" aca="1" ref="N255" ca="1">IF(AND(G255=INDIRECT("'["&amp;G255&amp;"]"&amp;E255&amp;"'!"&amp;$AH$2),OR(K255=INDIRECT("'["&amp;G255&amp;"]"&amp;E255&amp;"'!"&amp;$Z$2))),INDIRECT("'["&amp;G255&amp;"]"&amp;E255&amp;"'!"&amp;$Z$3),0)</f>
        <v>#VALUE!</v>
      </c>
      <c r="O255" s="34" t="e" cm="1">
        <f t="array" aca="1" ref="O255" ca="1">IF(AND(G255=INDIRECT("'["&amp;G255&amp;"]"&amp;E255&amp;"'!"&amp;$AH$2),OR(L255=INDIRECT("'["&amp;G255&amp;"]"&amp;E255&amp;"'!"&amp;$AA$2))),INDIRECT("'["&amp;G255&amp;"]"&amp;E255&amp;"'!"&amp;$AA$3),0)</f>
        <v>#VALUE!</v>
      </c>
      <c r="P255" s="34" t="e" cm="1">
        <f t="array" aca="1" ref="P255" ca="1">IF(AND(G255=INDIRECT("'["&amp;G255&amp;"]"&amp;E255&amp;"'!"&amp;$AH$2),OR(VALUE(I255)=INDIRECT("'["&amp;G255&amp;"]"&amp;E255&amp;"'!"&amp;$AB$2))),INDIRECT("'["&amp;G255&amp;"]"&amp;E255&amp;"'!"&amp;$AB$3),0)</f>
        <v>#VALUE!</v>
      </c>
      <c r="Q255" s="34" t="e" cm="1">
        <f t="array" aca="1" ref="Q255" ca="1">IF(AND(G255=INDIRECT("'["&amp;G255&amp;"]"&amp;E255&amp;"'!"&amp;$AH$2),OR(VALUE(I255)=INDIRECT("'["&amp;G255&amp;"]"&amp;E255&amp;"'!"&amp;$AC$2))),INDIRECT("'["&amp;G255&amp;"]"&amp;E255&amp;"'!"&amp;$AC$3),0)</f>
        <v>#VALUE!</v>
      </c>
      <c r="R255" s="34" t="e" cm="1">
        <f t="array" aca="1" ref="R255" ca="1">IF(AND(G255=INDIRECT("'["&amp;G255&amp;"]"&amp;E255&amp;"'!"&amp;$AH$2),OR(I255=INDIRECT("'["&amp;G255&amp;"]"&amp;E255&amp;"'!"&amp;$AD$2))),INDIRECT("'["&amp;G255&amp;"]"&amp;E255&amp;"'!"&amp;$AD$3),0)</f>
        <v>#VALUE!</v>
      </c>
      <c r="S255" s="34" t="e" cm="1">
        <f t="array" aca="1" ref="S255" ca="1">IF(AND(G255=INDIRECT("'["&amp;G255&amp;"]"&amp;E255&amp;"'!"&amp;$AH$2),OR(I255=INDIRECT("'["&amp;G255&amp;"]"&amp;E255&amp;"'!"&amp;$AE$2))),INDIRECT("'["&amp;G255&amp;"]"&amp;E255&amp;"'!"&amp;$AE$3),0)</f>
        <v>#VALUE!</v>
      </c>
      <c r="T255" s="35" t="e" cm="1">
        <f t="array" aca="1" ref="T255" ca="1">IF(AND(G255=INDIRECT("'["&amp;G255&amp;"]"&amp;E255&amp;"'!"&amp;$AH$2),OR(I255=INDIRECT("'["&amp;G255&amp;"]"&amp;E255&amp;"'!"&amp;$AF$2))),INDIRECT("'["&amp;G255&amp;"]"&amp;E255&amp;"'!"&amp;$AF$3),0)</f>
        <v>#VALUE!</v>
      </c>
      <c r="U255" s="34" t="e" cm="1">
        <f t="array" aca="1" ref="U255" ca="1">IF(AND(G255=INDIRECT("'["&amp;G255&amp;"]"&amp;E255&amp;"'!"&amp;$AH$2),OR(I255=INDIRECT("'["&amp;G255&amp;"]"&amp;E255&amp;"'!"&amp;$AG$2))),INDIRECT("'["&amp;G255&amp;"]"&amp;E255&amp;"'!"&amp;$AG$3),0)</f>
        <v>#VALUE!</v>
      </c>
      <c r="V255" s="25" t="str">
        <f t="shared" si="71"/>
        <v/>
      </c>
      <c r="W255" s="36" t="e" cm="1">
        <f t="array" aca="1" ref="W255" ca="1">IF(AND(G255=INDIRECT("'["&amp;G255&amp;"]"&amp;E255&amp;"'!"&amp;$AH$2),OR(V255=INDIRECT("'["&amp;G255&amp;"]"&amp;E255&amp;"'!"&amp;$AI$2))),INDIRECT("'["&amp;G255&amp;"]"&amp;E255&amp;"'!"&amp;$AI$3),0)</f>
        <v>#VALUE!</v>
      </c>
      <c r="AJ255" s="25">
        <v>1</v>
      </c>
      <c r="AK255" s="38">
        <f t="shared" ca="1" si="72"/>
        <v>0</v>
      </c>
      <c r="AL255" s="38">
        <f t="shared" ca="1" si="73"/>
        <v>0</v>
      </c>
      <c r="AM255" s="54" t="str">
        <f t="shared" ca="1" si="64"/>
        <v/>
      </c>
      <c r="AN255" s="25" t="e">
        <f t="shared" ca="1" si="74"/>
        <v>#VALUE!</v>
      </c>
      <c r="AO255" s="25" t="e">
        <f t="shared" ca="1" si="75"/>
        <v>#VALUE!</v>
      </c>
      <c r="AP255" s="39" t="str">
        <f t="shared" ca="1" si="65"/>
        <v/>
      </c>
      <c r="AQ255" s="46" t="str">
        <f ca="1">IF(AND(C255&lt;&gt;0, C256=0), SUM($C$2:C255)-SUM($AQ$1:AQ254), "")</f>
        <v/>
      </c>
      <c r="AR255" s="46" t="str">
        <f ca="1">IF(AND(AK255&lt;&gt;0, AK256=0), SUM($AK$2:AK255)-SUM($AR$1:AR254), "")</f>
        <v/>
      </c>
    </row>
    <row r="256" spans="1:44" ht="13.15" customHeight="1">
      <c r="A256" s="60"/>
      <c r="B256" s="68" t="str">
        <f t="shared" si="78"/>
        <v/>
      </c>
      <c r="C256" s="55" cm="1">
        <f t="array" aca="1" ref="C256" ca="1">SUM(IF(ISNUMBER(M256:U256),M256:U256,""))</f>
        <v>0</v>
      </c>
      <c r="D256" s="25" t="str">
        <f t="shared" si="76"/>
        <v/>
      </c>
      <c r="E256" s="25" t="e">
        <f t="shared" si="66"/>
        <v>#VALUE!</v>
      </c>
      <c r="F256" s="25" t="str">
        <f t="shared" si="77"/>
        <v/>
      </c>
      <c r="G256" s="25" t="str">
        <f t="shared" si="63"/>
        <v>.xlsx</v>
      </c>
      <c r="H256" s="29" t="e" cm="1">
        <f t="array" aca="1" ref="H256" ca="1">IF(AND(VALUE(E256)=INDIRECT("'["&amp;G256&amp;"]"&amp;E256&amp;"'!"&amp;$X$2),G256=INDIRECT("'["&amp;G256&amp;"]"&amp;E256&amp;"'!"&amp;$X$3)),INDIRECT("'["&amp;G256&amp;"]"&amp;E256&amp;"'!"&amp;$X$1),0)</f>
        <v>#VALUE!</v>
      </c>
      <c r="I256" s="25" t="str">
        <f t="shared" si="67"/>
        <v/>
      </c>
      <c r="J256" s="32" t="str">
        <f t="shared" si="68"/>
        <v/>
      </c>
      <c r="K256" s="25" t="str">
        <f t="shared" si="69"/>
        <v/>
      </c>
      <c r="L256" s="25" t="str">
        <f t="shared" si="70"/>
        <v/>
      </c>
      <c r="M256" s="33" t="e" cm="1">
        <f t="array" aca="1" ref="M256" ca="1">IF(AND(J256=INDIRECT("'["&amp;G256&amp;"]"&amp;E256&amp;"'!"&amp;$Y$2),G256=INDIRECT("'["&amp;G256&amp;"]"&amp;E256&amp;"'!"&amp;$AH$2)),INDIRECT("'["&amp;G256&amp;"]"&amp;E256&amp;"'!"&amp;$Y$3),0)</f>
        <v>#VALUE!</v>
      </c>
      <c r="N256" s="34" t="e" cm="1">
        <f t="array" aca="1" ref="N256" ca="1">IF(AND(G256=INDIRECT("'["&amp;G256&amp;"]"&amp;E256&amp;"'!"&amp;$AH$2),OR(K256=INDIRECT("'["&amp;G256&amp;"]"&amp;E256&amp;"'!"&amp;$Z$2))),INDIRECT("'["&amp;G256&amp;"]"&amp;E256&amp;"'!"&amp;$Z$3),0)</f>
        <v>#VALUE!</v>
      </c>
      <c r="O256" s="34" t="e" cm="1">
        <f t="array" aca="1" ref="O256" ca="1">IF(AND(G256=INDIRECT("'["&amp;G256&amp;"]"&amp;E256&amp;"'!"&amp;$AH$2),OR(L256=INDIRECT("'["&amp;G256&amp;"]"&amp;E256&amp;"'!"&amp;$AA$2))),INDIRECT("'["&amp;G256&amp;"]"&amp;E256&amp;"'!"&amp;$AA$3),0)</f>
        <v>#VALUE!</v>
      </c>
      <c r="P256" s="34" t="e" cm="1">
        <f t="array" aca="1" ref="P256" ca="1">IF(AND(G256=INDIRECT("'["&amp;G256&amp;"]"&amp;E256&amp;"'!"&amp;$AH$2),OR(VALUE(I256)=INDIRECT("'["&amp;G256&amp;"]"&amp;E256&amp;"'!"&amp;$AB$2))),INDIRECT("'["&amp;G256&amp;"]"&amp;E256&amp;"'!"&amp;$AB$3),0)</f>
        <v>#VALUE!</v>
      </c>
      <c r="Q256" s="34" t="e" cm="1">
        <f t="array" aca="1" ref="Q256" ca="1">IF(AND(G256=INDIRECT("'["&amp;G256&amp;"]"&amp;E256&amp;"'!"&amp;$AH$2),OR(VALUE(I256)=INDIRECT("'["&amp;G256&amp;"]"&amp;E256&amp;"'!"&amp;$AC$2))),INDIRECT("'["&amp;G256&amp;"]"&amp;E256&amp;"'!"&amp;$AC$3),0)</f>
        <v>#VALUE!</v>
      </c>
      <c r="R256" s="34" t="e" cm="1">
        <f t="array" aca="1" ref="R256" ca="1">IF(AND(G256=INDIRECT("'["&amp;G256&amp;"]"&amp;E256&amp;"'!"&amp;$AH$2),OR(I256=INDIRECT("'["&amp;G256&amp;"]"&amp;E256&amp;"'!"&amp;$AD$2))),INDIRECT("'["&amp;G256&amp;"]"&amp;E256&amp;"'!"&amp;$AD$3),0)</f>
        <v>#VALUE!</v>
      </c>
      <c r="S256" s="34" t="e" cm="1">
        <f t="array" aca="1" ref="S256" ca="1">IF(AND(G256=INDIRECT("'["&amp;G256&amp;"]"&amp;E256&amp;"'!"&amp;$AH$2),OR(I256=INDIRECT("'["&amp;G256&amp;"]"&amp;E256&amp;"'!"&amp;$AE$2))),INDIRECT("'["&amp;G256&amp;"]"&amp;E256&amp;"'!"&amp;$AE$3),0)</f>
        <v>#VALUE!</v>
      </c>
      <c r="T256" s="35" t="e" cm="1">
        <f t="array" aca="1" ref="T256" ca="1">IF(AND(G256=INDIRECT("'["&amp;G256&amp;"]"&amp;E256&amp;"'!"&amp;$AH$2),OR(I256=INDIRECT("'["&amp;G256&amp;"]"&amp;E256&amp;"'!"&amp;$AF$2))),INDIRECT("'["&amp;G256&amp;"]"&amp;E256&amp;"'!"&amp;$AF$3),0)</f>
        <v>#VALUE!</v>
      </c>
      <c r="U256" s="34" t="e" cm="1">
        <f t="array" aca="1" ref="U256" ca="1">IF(AND(G256=INDIRECT("'["&amp;G256&amp;"]"&amp;E256&amp;"'!"&amp;$AH$2),OR(I256=INDIRECT("'["&amp;G256&amp;"]"&amp;E256&amp;"'!"&amp;$AG$2))),INDIRECT("'["&amp;G256&amp;"]"&amp;E256&amp;"'!"&amp;$AG$3),0)</f>
        <v>#VALUE!</v>
      </c>
      <c r="V256" s="25" t="str">
        <f t="shared" si="71"/>
        <v/>
      </c>
      <c r="W256" s="36" t="e" cm="1">
        <f t="array" aca="1" ref="W256" ca="1">IF(AND(G256=INDIRECT("'["&amp;G256&amp;"]"&amp;E256&amp;"'!"&amp;$AH$2),OR(V256=INDIRECT("'["&amp;G256&amp;"]"&amp;E256&amp;"'!"&amp;$AI$2))),INDIRECT("'["&amp;G256&amp;"]"&amp;E256&amp;"'!"&amp;$AI$3),0)</f>
        <v>#VALUE!</v>
      </c>
      <c r="AJ256" s="25">
        <v>1</v>
      </c>
      <c r="AK256" s="38">
        <f t="shared" ca="1" si="72"/>
        <v>0</v>
      </c>
      <c r="AL256" s="38">
        <f t="shared" ca="1" si="73"/>
        <v>0</v>
      </c>
      <c r="AM256" s="54" t="str">
        <f t="shared" ca="1" si="64"/>
        <v/>
      </c>
      <c r="AN256" s="25" t="e">
        <f t="shared" ca="1" si="74"/>
        <v>#VALUE!</v>
      </c>
      <c r="AO256" s="25" t="e">
        <f t="shared" ca="1" si="75"/>
        <v>#VALUE!</v>
      </c>
      <c r="AP256" s="39" t="str">
        <f t="shared" ca="1" si="65"/>
        <v/>
      </c>
      <c r="AQ256" s="46" t="str">
        <f ca="1">IF(AND(C256&lt;&gt;0, C257=0), SUM($C$2:C256)-SUM($AQ$1:AQ255), "")</f>
        <v/>
      </c>
      <c r="AR256" s="46" t="str">
        <f ca="1">IF(AND(AK256&lt;&gt;0, AK257=0), SUM($AK$2:AK256)-SUM($AR$1:AR255), "")</f>
        <v/>
      </c>
    </row>
    <row r="257" spans="1:44" ht="13.15" customHeight="1">
      <c r="A257" s="60"/>
      <c r="B257" s="68" t="str">
        <f t="shared" si="78"/>
        <v/>
      </c>
      <c r="C257" s="55" cm="1">
        <f t="array" aca="1" ref="C257" ca="1">SUM(IF(ISNUMBER(M257:U257),M257:U257,""))</f>
        <v>0</v>
      </c>
      <c r="D257" s="25" t="str">
        <f t="shared" si="76"/>
        <v/>
      </c>
      <c r="E257" s="25" t="e">
        <f t="shared" si="66"/>
        <v>#VALUE!</v>
      </c>
      <c r="F257" s="25" t="str">
        <f t="shared" si="77"/>
        <v/>
      </c>
      <c r="G257" s="25" t="str">
        <f t="shared" si="63"/>
        <v>.xlsx</v>
      </c>
      <c r="H257" s="29" t="e" cm="1">
        <f t="array" aca="1" ref="H257" ca="1">IF(AND(VALUE(E257)=INDIRECT("'["&amp;G257&amp;"]"&amp;E257&amp;"'!"&amp;$X$2),G257=INDIRECT("'["&amp;G257&amp;"]"&amp;E257&amp;"'!"&amp;$X$3)),INDIRECT("'["&amp;G257&amp;"]"&amp;E257&amp;"'!"&amp;$X$1),0)</f>
        <v>#VALUE!</v>
      </c>
      <c r="I257" s="25" t="str">
        <f t="shared" si="67"/>
        <v/>
      </c>
      <c r="J257" s="32" t="str">
        <f t="shared" si="68"/>
        <v/>
      </c>
      <c r="K257" s="25" t="str">
        <f t="shared" si="69"/>
        <v/>
      </c>
      <c r="L257" s="25" t="str">
        <f t="shared" si="70"/>
        <v/>
      </c>
      <c r="M257" s="33" t="e" cm="1">
        <f t="array" aca="1" ref="M257" ca="1">IF(AND(J257=INDIRECT("'["&amp;G257&amp;"]"&amp;E257&amp;"'!"&amp;$Y$2),G257=INDIRECT("'["&amp;G257&amp;"]"&amp;E257&amp;"'!"&amp;$AH$2)),INDIRECT("'["&amp;G257&amp;"]"&amp;E257&amp;"'!"&amp;$Y$3),0)</f>
        <v>#VALUE!</v>
      </c>
      <c r="N257" s="34" t="e" cm="1">
        <f t="array" aca="1" ref="N257" ca="1">IF(AND(G257=INDIRECT("'["&amp;G257&amp;"]"&amp;E257&amp;"'!"&amp;$AH$2),OR(K257=INDIRECT("'["&amp;G257&amp;"]"&amp;E257&amp;"'!"&amp;$Z$2))),INDIRECT("'["&amp;G257&amp;"]"&amp;E257&amp;"'!"&amp;$Z$3),0)</f>
        <v>#VALUE!</v>
      </c>
      <c r="O257" s="34" t="e" cm="1">
        <f t="array" aca="1" ref="O257" ca="1">IF(AND(G257=INDIRECT("'["&amp;G257&amp;"]"&amp;E257&amp;"'!"&amp;$AH$2),OR(L257=INDIRECT("'["&amp;G257&amp;"]"&amp;E257&amp;"'!"&amp;$AA$2))),INDIRECT("'["&amp;G257&amp;"]"&amp;E257&amp;"'!"&amp;$AA$3),0)</f>
        <v>#VALUE!</v>
      </c>
      <c r="P257" s="34" t="e" cm="1">
        <f t="array" aca="1" ref="P257" ca="1">IF(AND(G257=INDIRECT("'["&amp;G257&amp;"]"&amp;E257&amp;"'!"&amp;$AH$2),OR(VALUE(I257)=INDIRECT("'["&amp;G257&amp;"]"&amp;E257&amp;"'!"&amp;$AB$2))),INDIRECT("'["&amp;G257&amp;"]"&amp;E257&amp;"'!"&amp;$AB$3),0)</f>
        <v>#VALUE!</v>
      </c>
      <c r="Q257" s="34" t="e" cm="1">
        <f t="array" aca="1" ref="Q257" ca="1">IF(AND(G257=INDIRECT("'["&amp;G257&amp;"]"&amp;E257&amp;"'!"&amp;$AH$2),OR(VALUE(I257)=INDIRECT("'["&amp;G257&amp;"]"&amp;E257&amp;"'!"&amp;$AC$2))),INDIRECT("'["&amp;G257&amp;"]"&amp;E257&amp;"'!"&amp;$AC$3),0)</f>
        <v>#VALUE!</v>
      </c>
      <c r="R257" s="34" t="e" cm="1">
        <f t="array" aca="1" ref="R257" ca="1">IF(AND(G257=INDIRECT("'["&amp;G257&amp;"]"&amp;E257&amp;"'!"&amp;$AH$2),OR(I257=INDIRECT("'["&amp;G257&amp;"]"&amp;E257&amp;"'!"&amp;$AD$2))),INDIRECT("'["&amp;G257&amp;"]"&amp;E257&amp;"'!"&amp;$AD$3),0)</f>
        <v>#VALUE!</v>
      </c>
      <c r="S257" s="34" t="e" cm="1">
        <f t="array" aca="1" ref="S257" ca="1">IF(AND(G257=INDIRECT("'["&amp;G257&amp;"]"&amp;E257&amp;"'!"&amp;$AH$2),OR(I257=INDIRECT("'["&amp;G257&amp;"]"&amp;E257&amp;"'!"&amp;$AE$2))),INDIRECT("'["&amp;G257&amp;"]"&amp;E257&amp;"'!"&amp;$AE$3),0)</f>
        <v>#VALUE!</v>
      </c>
      <c r="T257" s="35" t="e" cm="1">
        <f t="array" aca="1" ref="T257" ca="1">IF(AND(G257=INDIRECT("'["&amp;G257&amp;"]"&amp;E257&amp;"'!"&amp;$AH$2),OR(I257=INDIRECT("'["&amp;G257&amp;"]"&amp;E257&amp;"'!"&amp;$AF$2))),INDIRECT("'["&amp;G257&amp;"]"&amp;E257&amp;"'!"&amp;$AF$3),0)</f>
        <v>#VALUE!</v>
      </c>
      <c r="U257" s="34" t="e" cm="1">
        <f t="array" aca="1" ref="U257" ca="1">IF(AND(G257=INDIRECT("'["&amp;G257&amp;"]"&amp;E257&amp;"'!"&amp;$AH$2),OR(I257=INDIRECT("'["&amp;G257&amp;"]"&amp;E257&amp;"'!"&amp;$AG$2))),INDIRECT("'["&amp;G257&amp;"]"&amp;E257&amp;"'!"&amp;$AG$3),0)</f>
        <v>#VALUE!</v>
      </c>
      <c r="V257" s="25" t="str">
        <f t="shared" si="71"/>
        <v/>
      </c>
      <c r="W257" s="36" t="e" cm="1">
        <f t="array" aca="1" ref="W257" ca="1">IF(AND(G257=INDIRECT("'["&amp;G257&amp;"]"&amp;E257&amp;"'!"&amp;$AH$2),OR(V257=INDIRECT("'["&amp;G257&amp;"]"&amp;E257&amp;"'!"&amp;$AI$2))),INDIRECT("'["&amp;G257&amp;"]"&amp;E257&amp;"'!"&amp;$AI$3),0)</f>
        <v>#VALUE!</v>
      </c>
      <c r="AJ257" s="25">
        <v>1</v>
      </c>
      <c r="AK257" s="38">
        <f t="shared" ca="1" si="72"/>
        <v>0</v>
      </c>
      <c r="AL257" s="38">
        <f t="shared" ca="1" si="73"/>
        <v>0</v>
      </c>
      <c r="AM257" s="54" t="str">
        <f t="shared" ca="1" si="64"/>
        <v/>
      </c>
      <c r="AN257" s="25" t="e">
        <f t="shared" ca="1" si="74"/>
        <v>#VALUE!</v>
      </c>
      <c r="AO257" s="25" t="e">
        <f t="shared" ca="1" si="75"/>
        <v>#VALUE!</v>
      </c>
      <c r="AP257" s="39" t="str">
        <f t="shared" ca="1" si="65"/>
        <v/>
      </c>
      <c r="AQ257" s="46" t="str">
        <f ca="1">IF(AND(C257&lt;&gt;0, C258=0), SUM($C$2:C257)-SUM($AQ$1:AQ256), "")</f>
        <v/>
      </c>
      <c r="AR257" s="46" t="str">
        <f ca="1">IF(AND(AK257&lt;&gt;0, AK258=0), SUM($AK$2:AK257)-SUM($AR$1:AR256), "")</f>
        <v/>
      </c>
    </row>
    <row r="258" spans="1:44" ht="13.15" customHeight="1">
      <c r="A258" s="60"/>
      <c r="B258" s="68" t="str">
        <f t="shared" si="78"/>
        <v/>
      </c>
      <c r="C258" s="55" cm="1">
        <f t="array" aca="1" ref="C258" ca="1">SUM(IF(ISNUMBER(M258:U258),M258:U258,""))</f>
        <v>0</v>
      </c>
      <c r="D258" s="25" t="str">
        <f t="shared" si="76"/>
        <v/>
      </c>
      <c r="E258" s="25" t="e">
        <f t="shared" si="66"/>
        <v>#VALUE!</v>
      </c>
      <c r="F258" s="25" t="str">
        <f t="shared" si="77"/>
        <v/>
      </c>
      <c r="G258" s="25" t="str">
        <f t="shared" ref="G258:G316" si="79">CONCATENATE(F258,".xlsx")</f>
        <v>.xlsx</v>
      </c>
      <c r="H258" s="29" t="e" cm="1">
        <f t="array" aca="1" ref="H258" ca="1">IF(AND(VALUE(E258)=INDIRECT("'["&amp;G258&amp;"]"&amp;E258&amp;"'!"&amp;$X$2),G258=INDIRECT("'["&amp;G258&amp;"]"&amp;E258&amp;"'!"&amp;$X$3)),INDIRECT("'["&amp;G258&amp;"]"&amp;E258&amp;"'!"&amp;$X$1),0)</f>
        <v>#VALUE!</v>
      </c>
      <c r="I258" s="25" t="str">
        <f t="shared" si="67"/>
        <v/>
      </c>
      <c r="J258" s="32" t="str">
        <f t="shared" si="68"/>
        <v/>
      </c>
      <c r="K258" s="25" t="str">
        <f t="shared" si="69"/>
        <v/>
      </c>
      <c r="L258" s="25" t="str">
        <f t="shared" si="70"/>
        <v/>
      </c>
      <c r="M258" s="33" t="e" cm="1">
        <f t="array" aca="1" ref="M258" ca="1">IF(AND(J258=INDIRECT("'["&amp;G258&amp;"]"&amp;E258&amp;"'!"&amp;$Y$2),G258=INDIRECT("'["&amp;G258&amp;"]"&amp;E258&amp;"'!"&amp;$AH$2)),INDIRECT("'["&amp;G258&amp;"]"&amp;E258&amp;"'!"&amp;$Y$3),0)</f>
        <v>#VALUE!</v>
      </c>
      <c r="N258" s="34" t="e" cm="1">
        <f t="array" aca="1" ref="N258" ca="1">IF(AND(G258=INDIRECT("'["&amp;G258&amp;"]"&amp;E258&amp;"'!"&amp;$AH$2),OR(K258=INDIRECT("'["&amp;G258&amp;"]"&amp;E258&amp;"'!"&amp;$Z$2))),INDIRECT("'["&amp;G258&amp;"]"&amp;E258&amp;"'!"&amp;$Z$3),0)</f>
        <v>#VALUE!</v>
      </c>
      <c r="O258" s="34" t="e" cm="1">
        <f t="array" aca="1" ref="O258" ca="1">IF(AND(G258=INDIRECT("'["&amp;G258&amp;"]"&amp;E258&amp;"'!"&amp;$AH$2),OR(L258=INDIRECT("'["&amp;G258&amp;"]"&amp;E258&amp;"'!"&amp;$AA$2))),INDIRECT("'["&amp;G258&amp;"]"&amp;E258&amp;"'!"&amp;$AA$3),0)</f>
        <v>#VALUE!</v>
      </c>
      <c r="P258" s="34" t="e" cm="1">
        <f t="array" aca="1" ref="P258" ca="1">IF(AND(G258=INDIRECT("'["&amp;G258&amp;"]"&amp;E258&amp;"'!"&amp;$AH$2),OR(VALUE(I258)=INDIRECT("'["&amp;G258&amp;"]"&amp;E258&amp;"'!"&amp;$AB$2))),INDIRECT("'["&amp;G258&amp;"]"&amp;E258&amp;"'!"&amp;$AB$3),0)</f>
        <v>#VALUE!</v>
      </c>
      <c r="Q258" s="34" t="e" cm="1">
        <f t="array" aca="1" ref="Q258" ca="1">IF(AND(G258=INDIRECT("'["&amp;G258&amp;"]"&amp;E258&amp;"'!"&amp;$AH$2),OR(VALUE(I258)=INDIRECT("'["&amp;G258&amp;"]"&amp;E258&amp;"'!"&amp;$AC$2))),INDIRECT("'["&amp;G258&amp;"]"&amp;E258&amp;"'!"&amp;$AC$3),0)</f>
        <v>#VALUE!</v>
      </c>
      <c r="R258" s="34" t="e" cm="1">
        <f t="array" aca="1" ref="R258" ca="1">IF(AND(G258=INDIRECT("'["&amp;G258&amp;"]"&amp;E258&amp;"'!"&amp;$AH$2),OR(I258=INDIRECT("'["&amp;G258&amp;"]"&amp;E258&amp;"'!"&amp;$AD$2))),INDIRECT("'["&amp;G258&amp;"]"&amp;E258&amp;"'!"&amp;$AD$3),0)</f>
        <v>#VALUE!</v>
      </c>
      <c r="S258" s="34" t="e" cm="1">
        <f t="array" aca="1" ref="S258" ca="1">IF(AND(G258=INDIRECT("'["&amp;G258&amp;"]"&amp;E258&amp;"'!"&amp;$AH$2),OR(I258=INDIRECT("'["&amp;G258&amp;"]"&amp;E258&amp;"'!"&amp;$AE$2))),INDIRECT("'["&amp;G258&amp;"]"&amp;E258&amp;"'!"&amp;$AE$3),0)</f>
        <v>#VALUE!</v>
      </c>
      <c r="T258" s="35" t="e" cm="1">
        <f t="array" aca="1" ref="T258" ca="1">IF(AND(G258=INDIRECT("'["&amp;G258&amp;"]"&amp;E258&amp;"'!"&amp;$AH$2),OR(I258=INDIRECT("'["&amp;G258&amp;"]"&amp;E258&amp;"'!"&amp;$AF$2))),INDIRECT("'["&amp;G258&amp;"]"&amp;E258&amp;"'!"&amp;$AF$3),0)</f>
        <v>#VALUE!</v>
      </c>
      <c r="U258" s="34" t="e" cm="1">
        <f t="array" aca="1" ref="U258" ca="1">IF(AND(G258=INDIRECT("'["&amp;G258&amp;"]"&amp;E258&amp;"'!"&amp;$AH$2),OR(I258=INDIRECT("'["&amp;G258&amp;"]"&amp;E258&amp;"'!"&amp;$AG$2))),INDIRECT("'["&amp;G258&amp;"]"&amp;E258&amp;"'!"&amp;$AG$3),0)</f>
        <v>#VALUE!</v>
      </c>
      <c r="V258" s="25" t="str">
        <f t="shared" si="71"/>
        <v/>
      </c>
      <c r="W258" s="36" t="e" cm="1">
        <f t="array" aca="1" ref="W258" ca="1">IF(AND(G258=INDIRECT("'["&amp;G258&amp;"]"&amp;E258&amp;"'!"&amp;$AH$2),OR(V258=INDIRECT("'["&amp;G258&amp;"]"&amp;E258&amp;"'!"&amp;$AI$2))),INDIRECT("'["&amp;G258&amp;"]"&amp;E258&amp;"'!"&amp;$AI$3),0)</f>
        <v>#VALUE!</v>
      </c>
      <c r="AJ258" s="25">
        <v>1</v>
      </c>
      <c r="AK258" s="38">
        <f t="shared" ca="1" si="72"/>
        <v>0</v>
      </c>
      <c r="AL258" s="38">
        <f t="shared" ca="1" si="73"/>
        <v>0</v>
      </c>
      <c r="AM258" s="54" t="str">
        <f t="shared" ref="AM258:AM315" ca="1" si="80">IF(A258&lt;&gt;"",IF(AM258="",NOW(),AM258),"")</f>
        <v/>
      </c>
      <c r="AN258" s="25" t="e">
        <f t="shared" ca="1" si="74"/>
        <v>#VALUE!</v>
      </c>
      <c r="AO258" s="25" t="e">
        <f t="shared" ca="1" si="75"/>
        <v>#VALUE!</v>
      </c>
      <c r="AP258" s="39" t="str">
        <f t="shared" ref="AP258:AP315" ca="1" si="81">IF(ISTEXT(W258),"อายัด","")</f>
        <v/>
      </c>
      <c r="AQ258" s="46" t="str">
        <f ca="1">IF(AND(C258&lt;&gt;0, C259=0), SUM($C$2:C258)-SUM($AQ$1:AQ257), "")</f>
        <v/>
      </c>
      <c r="AR258" s="46" t="str">
        <f ca="1">IF(AND(AK258&lt;&gt;0, AK259=0), SUM($AK$2:AK258)-SUM($AR$1:AR257), "")</f>
        <v/>
      </c>
    </row>
    <row r="259" spans="1:44" ht="13.15" customHeight="1">
      <c r="A259" s="60"/>
      <c r="B259" s="68" t="str">
        <f t="shared" si="78"/>
        <v/>
      </c>
      <c r="C259" s="55" cm="1">
        <f t="array" aca="1" ref="C259" ca="1">SUM(IF(ISNUMBER(M259:U259),M259:U259,""))</f>
        <v>0</v>
      </c>
      <c r="D259" s="25" t="str">
        <f t="shared" si="76"/>
        <v/>
      </c>
      <c r="E259" s="25" t="e">
        <f t="shared" ref="E259:E316" si="82">IF(ISEVEN(D259),D259-1,VALUE(D259))</f>
        <v>#VALUE!</v>
      </c>
      <c r="F259" s="25" t="str">
        <f t="shared" si="77"/>
        <v/>
      </c>
      <c r="G259" s="25" t="str">
        <f t="shared" si="79"/>
        <v>.xlsx</v>
      </c>
      <c r="H259" s="29" t="e" cm="1">
        <f t="array" aca="1" ref="H259" ca="1">IF(AND(VALUE(E259)=INDIRECT("'["&amp;G259&amp;"]"&amp;E259&amp;"'!"&amp;$X$2),G259=INDIRECT("'["&amp;G259&amp;"]"&amp;E259&amp;"'!"&amp;$X$3)),INDIRECT("'["&amp;G259&amp;"]"&amp;E259&amp;"'!"&amp;$X$1),0)</f>
        <v>#VALUE!</v>
      </c>
      <c r="I259" s="25" t="str">
        <f t="shared" ref="I259:I316" si="83">MID(A259,10,6)</f>
        <v/>
      </c>
      <c r="J259" s="32" t="str">
        <f t="shared" ref="J259:J316" si="84">RIGHT(I259,2)</f>
        <v/>
      </c>
      <c r="K259" s="25" t="str">
        <f t="shared" ref="K259:K316" si="85">LEFT(I259,3)</f>
        <v/>
      </c>
      <c r="L259" s="25" t="str">
        <f t="shared" ref="L259:L316" si="86">RIGHT(I259,3)</f>
        <v/>
      </c>
      <c r="M259" s="33" t="e" cm="1">
        <f t="array" aca="1" ref="M259" ca="1">IF(AND(J259=INDIRECT("'["&amp;G259&amp;"]"&amp;E259&amp;"'!"&amp;$Y$2),G259=INDIRECT("'["&amp;G259&amp;"]"&amp;E259&amp;"'!"&amp;$AH$2)),INDIRECT("'["&amp;G259&amp;"]"&amp;E259&amp;"'!"&amp;$Y$3),0)</f>
        <v>#VALUE!</v>
      </c>
      <c r="N259" s="34" t="e" cm="1">
        <f t="array" aca="1" ref="N259" ca="1">IF(AND(G259=INDIRECT("'["&amp;G259&amp;"]"&amp;E259&amp;"'!"&amp;$AH$2),OR(K259=INDIRECT("'["&amp;G259&amp;"]"&amp;E259&amp;"'!"&amp;$Z$2))),INDIRECT("'["&amp;G259&amp;"]"&amp;E259&amp;"'!"&amp;$Z$3),0)</f>
        <v>#VALUE!</v>
      </c>
      <c r="O259" s="34" t="e" cm="1">
        <f t="array" aca="1" ref="O259" ca="1">IF(AND(G259=INDIRECT("'["&amp;G259&amp;"]"&amp;E259&amp;"'!"&amp;$AH$2),OR(L259=INDIRECT("'["&amp;G259&amp;"]"&amp;E259&amp;"'!"&amp;$AA$2))),INDIRECT("'["&amp;G259&amp;"]"&amp;E259&amp;"'!"&amp;$AA$3),0)</f>
        <v>#VALUE!</v>
      </c>
      <c r="P259" s="34" t="e" cm="1">
        <f t="array" aca="1" ref="P259" ca="1">IF(AND(G259=INDIRECT("'["&amp;G259&amp;"]"&amp;E259&amp;"'!"&amp;$AH$2),OR(VALUE(I259)=INDIRECT("'["&amp;G259&amp;"]"&amp;E259&amp;"'!"&amp;$AB$2))),INDIRECT("'["&amp;G259&amp;"]"&amp;E259&amp;"'!"&amp;$AB$3),0)</f>
        <v>#VALUE!</v>
      </c>
      <c r="Q259" s="34" t="e" cm="1">
        <f t="array" aca="1" ref="Q259" ca="1">IF(AND(G259=INDIRECT("'["&amp;G259&amp;"]"&amp;E259&amp;"'!"&amp;$AH$2),OR(VALUE(I259)=INDIRECT("'["&amp;G259&amp;"]"&amp;E259&amp;"'!"&amp;$AC$2))),INDIRECT("'["&amp;G259&amp;"]"&amp;E259&amp;"'!"&amp;$AC$3),0)</f>
        <v>#VALUE!</v>
      </c>
      <c r="R259" s="34" t="e" cm="1">
        <f t="array" aca="1" ref="R259" ca="1">IF(AND(G259=INDIRECT("'["&amp;G259&amp;"]"&amp;E259&amp;"'!"&amp;$AH$2),OR(I259=INDIRECT("'["&amp;G259&amp;"]"&amp;E259&amp;"'!"&amp;$AD$2))),INDIRECT("'["&amp;G259&amp;"]"&amp;E259&amp;"'!"&amp;$AD$3),0)</f>
        <v>#VALUE!</v>
      </c>
      <c r="S259" s="34" t="e" cm="1">
        <f t="array" aca="1" ref="S259" ca="1">IF(AND(G259=INDIRECT("'["&amp;G259&amp;"]"&amp;E259&amp;"'!"&amp;$AH$2),OR(I259=INDIRECT("'["&amp;G259&amp;"]"&amp;E259&amp;"'!"&amp;$AE$2))),INDIRECT("'["&amp;G259&amp;"]"&amp;E259&amp;"'!"&amp;$AE$3),0)</f>
        <v>#VALUE!</v>
      </c>
      <c r="T259" s="35" t="e" cm="1">
        <f t="array" aca="1" ref="T259" ca="1">IF(AND(G259=INDIRECT("'["&amp;G259&amp;"]"&amp;E259&amp;"'!"&amp;$AH$2),OR(I259=INDIRECT("'["&amp;G259&amp;"]"&amp;E259&amp;"'!"&amp;$AF$2))),INDIRECT("'["&amp;G259&amp;"]"&amp;E259&amp;"'!"&amp;$AF$3),0)</f>
        <v>#VALUE!</v>
      </c>
      <c r="U259" s="34" t="e" cm="1">
        <f t="array" aca="1" ref="U259" ca="1">IF(AND(G259=INDIRECT("'["&amp;G259&amp;"]"&amp;E259&amp;"'!"&amp;$AH$2),OR(I259=INDIRECT("'["&amp;G259&amp;"]"&amp;E259&amp;"'!"&amp;$AG$2))),INDIRECT("'["&amp;G259&amp;"]"&amp;E259&amp;"'!"&amp;$AG$3),0)</f>
        <v>#VALUE!</v>
      </c>
      <c r="V259" s="25" t="str">
        <f t="shared" ref="V259:V316" si="87">MID(B259,7,9)</f>
        <v/>
      </c>
      <c r="W259" s="36" t="e" cm="1">
        <f t="array" aca="1" ref="W259" ca="1">IF(AND(G259=INDIRECT("'["&amp;G259&amp;"]"&amp;E259&amp;"'!"&amp;$AH$2),OR(V259=INDIRECT("'["&amp;G259&amp;"]"&amp;E259&amp;"'!"&amp;$AI$2))),INDIRECT("'["&amp;G259&amp;"]"&amp;E259&amp;"'!"&amp;$AI$3),0)</f>
        <v>#VALUE!</v>
      </c>
      <c r="AJ259" s="25">
        <v>1</v>
      </c>
      <c r="AK259" s="38">
        <f t="shared" ref="AK259:AK315" ca="1" si="88">(C259*AJ259%)</f>
        <v>0</v>
      </c>
      <c r="AL259" s="38">
        <f t="shared" ref="AL259:AL315" ca="1" si="89">C259-AK259</f>
        <v>0</v>
      </c>
      <c r="AM259" s="54" t="str">
        <f t="shared" ca="1" si="80"/>
        <v/>
      </c>
      <c r="AN259" s="25" t="e">
        <f t="shared" ref="AN259:AN315" ca="1" si="90">IF(VALUE(N259),"/","")</f>
        <v>#VALUE!</v>
      </c>
      <c r="AO259" s="25" t="e">
        <f t="shared" ref="AO259:AO315" ca="1" si="91">IF(VALUE(O259),"/","")</f>
        <v>#VALUE!</v>
      </c>
      <c r="AP259" s="39" t="str">
        <f t="shared" ca="1" si="81"/>
        <v/>
      </c>
      <c r="AQ259" s="46" t="str">
        <f ca="1">IF(AND(C259&lt;&gt;0, C260=0), SUM($C$2:C259)-SUM($AQ$1:AQ258), "")</f>
        <v/>
      </c>
      <c r="AR259" s="46" t="str">
        <f ca="1">IF(AND(AK259&lt;&gt;0, AK260=0), SUM($AK$2:AK259)-SUM($AR$1:AR258), "")</f>
        <v/>
      </c>
    </row>
    <row r="260" spans="1:44" ht="13.15" customHeight="1">
      <c r="A260" s="60"/>
      <c r="B260" s="68" t="str">
        <f t="shared" si="78"/>
        <v/>
      </c>
      <c r="C260" s="55" cm="1">
        <f t="array" aca="1" ref="C260" ca="1">SUM(IF(ISNUMBER(M260:U260),M260:U260,""))</f>
        <v>0</v>
      </c>
      <c r="D260" s="25" t="str">
        <f t="shared" si="76"/>
        <v/>
      </c>
      <c r="E260" s="25" t="e">
        <f t="shared" si="82"/>
        <v>#VALUE!</v>
      </c>
      <c r="F260" s="25" t="str">
        <f t="shared" si="77"/>
        <v/>
      </c>
      <c r="G260" s="25" t="str">
        <f t="shared" si="79"/>
        <v>.xlsx</v>
      </c>
      <c r="H260" s="29" t="e" cm="1">
        <f t="array" aca="1" ref="H260" ca="1">IF(AND(VALUE(E260)=INDIRECT("'["&amp;G260&amp;"]"&amp;E260&amp;"'!"&amp;$X$2),G260=INDIRECT("'["&amp;G260&amp;"]"&amp;E260&amp;"'!"&amp;$X$3)),INDIRECT("'["&amp;G260&amp;"]"&amp;E260&amp;"'!"&amp;$X$1),0)</f>
        <v>#VALUE!</v>
      </c>
      <c r="I260" s="25" t="str">
        <f t="shared" si="83"/>
        <v/>
      </c>
      <c r="J260" s="32" t="str">
        <f t="shared" si="84"/>
        <v/>
      </c>
      <c r="K260" s="25" t="str">
        <f t="shared" si="85"/>
        <v/>
      </c>
      <c r="L260" s="25" t="str">
        <f t="shared" si="86"/>
        <v/>
      </c>
      <c r="M260" s="33" t="e" cm="1">
        <f t="array" aca="1" ref="M260" ca="1">IF(AND(J260=INDIRECT("'["&amp;G260&amp;"]"&amp;E260&amp;"'!"&amp;$Y$2),G260=INDIRECT("'["&amp;G260&amp;"]"&amp;E260&amp;"'!"&amp;$AH$2)),INDIRECT("'["&amp;G260&amp;"]"&amp;E260&amp;"'!"&amp;$Y$3),0)</f>
        <v>#VALUE!</v>
      </c>
      <c r="N260" s="34" t="e" cm="1">
        <f t="array" aca="1" ref="N260" ca="1">IF(AND(G260=INDIRECT("'["&amp;G260&amp;"]"&amp;E260&amp;"'!"&amp;$AH$2),OR(K260=INDIRECT("'["&amp;G260&amp;"]"&amp;E260&amp;"'!"&amp;$Z$2))),INDIRECT("'["&amp;G260&amp;"]"&amp;E260&amp;"'!"&amp;$Z$3),0)</f>
        <v>#VALUE!</v>
      </c>
      <c r="O260" s="34" t="e" cm="1">
        <f t="array" aca="1" ref="O260" ca="1">IF(AND(G260=INDIRECT("'["&amp;G260&amp;"]"&amp;E260&amp;"'!"&amp;$AH$2),OR(L260=INDIRECT("'["&amp;G260&amp;"]"&amp;E260&amp;"'!"&amp;$AA$2))),INDIRECT("'["&amp;G260&amp;"]"&amp;E260&amp;"'!"&amp;$AA$3),0)</f>
        <v>#VALUE!</v>
      </c>
      <c r="P260" s="34" t="e" cm="1">
        <f t="array" aca="1" ref="P260" ca="1">IF(AND(G260=INDIRECT("'["&amp;G260&amp;"]"&amp;E260&amp;"'!"&amp;$AH$2),OR(VALUE(I260)=INDIRECT("'["&amp;G260&amp;"]"&amp;E260&amp;"'!"&amp;$AB$2))),INDIRECT("'["&amp;G260&amp;"]"&amp;E260&amp;"'!"&amp;$AB$3),0)</f>
        <v>#VALUE!</v>
      </c>
      <c r="Q260" s="34" t="e" cm="1">
        <f t="array" aca="1" ref="Q260" ca="1">IF(AND(G260=INDIRECT("'["&amp;G260&amp;"]"&amp;E260&amp;"'!"&amp;$AH$2),OR(VALUE(I260)=INDIRECT("'["&amp;G260&amp;"]"&amp;E260&amp;"'!"&amp;$AC$2))),INDIRECT("'["&amp;G260&amp;"]"&amp;E260&amp;"'!"&amp;$AC$3),0)</f>
        <v>#VALUE!</v>
      </c>
      <c r="R260" s="34" t="e" cm="1">
        <f t="array" aca="1" ref="R260" ca="1">IF(AND(G260=INDIRECT("'["&amp;G260&amp;"]"&amp;E260&amp;"'!"&amp;$AH$2),OR(I260=INDIRECT("'["&amp;G260&amp;"]"&amp;E260&amp;"'!"&amp;$AD$2))),INDIRECT("'["&amp;G260&amp;"]"&amp;E260&amp;"'!"&amp;$AD$3),0)</f>
        <v>#VALUE!</v>
      </c>
      <c r="S260" s="34" t="e" cm="1">
        <f t="array" aca="1" ref="S260" ca="1">IF(AND(G260=INDIRECT("'["&amp;G260&amp;"]"&amp;E260&amp;"'!"&amp;$AH$2),OR(I260=INDIRECT("'["&amp;G260&amp;"]"&amp;E260&amp;"'!"&amp;$AE$2))),INDIRECT("'["&amp;G260&amp;"]"&amp;E260&amp;"'!"&amp;$AE$3),0)</f>
        <v>#VALUE!</v>
      </c>
      <c r="T260" s="35" t="e" cm="1">
        <f t="array" aca="1" ref="T260" ca="1">IF(AND(G260=INDIRECT("'["&amp;G260&amp;"]"&amp;E260&amp;"'!"&amp;$AH$2),OR(I260=INDIRECT("'["&amp;G260&amp;"]"&amp;E260&amp;"'!"&amp;$AF$2))),INDIRECT("'["&amp;G260&amp;"]"&amp;E260&amp;"'!"&amp;$AF$3),0)</f>
        <v>#VALUE!</v>
      </c>
      <c r="U260" s="34" t="e" cm="1">
        <f t="array" aca="1" ref="U260" ca="1">IF(AND(G260=INDIRECT("'["&amp;G260&amp;"]"&amp;E260&amp;"'!"&amp;$AH$2),OR(I260=INDIRECT("'["&amp;G260&amp;"]"&amp;E260&amp;"'!"&amp;$AG$2))),INDIRECT("'["&amp;G260&amp;"]"&amp;E260&amp;"'!"&amp;$AG$3),0)</f>
        <v>#VALUE!</v>
      </c>
      <c r="V260" s="25" t="str">
        <f t="shared" si="87"/>
        <v/>
      </c>
      <c r="W260" s="36" t="e" cm="1">
        <f t="array" aca="1" ref="W260" ca="1">IF(AND(G260=INDIRECT("'["&amp;G260&amp;"]"&amp;E260&amp;"'!"&amp;$AH$2),OR(V260=INDIRECT("'["&amp;G260&amp;"]"&amp;E260&amp;"'!"&amp;$AI$2))),INDIRECT("'["&amp;G260&amp;"]"&amp;E260&amp;"'!"&amp;$AI$3),0)</f>
        <v>#VALUE!</v>
      </c>
      <c r="AJ260" s="25">
        <v>1</v>
      </c>
      <c r="AK260" s="38">
        <f t="shared" ca="1" si="88"/>
        <v>0</v>
      </c>
      <c r="AL260" s="38">
        <f t="shared" ca="1" si="89"/>
        <v>0</v>
      </c>
      <c r="AM260" s="54" t="str">
        <f t="shared" ca="1" si="80"/>
        <v/>
      </c>
      <c r="AN260" s="25" t="e">
        <f t="shared" ca="1" si="90"/>
        <v>#VALUE!</v>
      </c>
      <c r="AO260" s="25" t="e">
        <f t="shared" ca="1" si="91"/>
        <v>#VALUE!</v>
      </c>
      <c r="AP260" s="39" t="str">
        <f t="shared" ca="1" si="81"/>
        <v/>
      </c>
      <c r="AQ260" s="46" t="str">
        <f ca="1">IF(AND(C260&lt;&gt;0, C261=0), SUM($C$2:C260)-SUM($AQ$1:AQ259), "")</f>
        <v/>
      </c>
      <c r="AR260" s="46" t="str">
        <f ca="1">IF(AND(AK260&lt;&gt;0, AK261=0), SUM($AK$2:AK260)-SUM($AR$1:AR259), "")</f>
        <v/>
      </c>
    </row>
    <row r="261" spans="1:44" ht="13.15" customHeight="1">
      <c r="A261" s="60"/>
      <c r="B261" s="68" t="str">
        <f t="shared" si="78"/>
        <v/>
      </c>
      <c r="C261" s="55" cm="1">
        <f t="array" aca="1" ref="C261" ca="1">SUM(IF(ISNUMBER(M261:U261),M261:U261,""))</f>
        <v>0</v>
      </c>
      <c r="D261" s="25" t="str">
        <f t="shared" si="76"/>
        <v/>
      </c>
      <c r="E261" s="25" t="e">
        <f t="shared" si="82"/>
        <v>#VALUE!</v>
      </c>
      <c r="F261" s="25" t="str">
        <f t="shared" si="77"/>
        <v/>
      </c>
      <c r="G261" s="25" t="str">
        <f t="shared" si="79"/>
        <v>.xlsx</v>
      </c>
      <c r="H261" s="29" t="e" cm="1">
        <f t="array" aca="1" ref="H261" ca="1">IF(AND(VALUE(E261)=INDIRECT("'["&amp;G261&amp;"]"&amp;E261&amp;"'!"&amp;$X$2),G261=INDIRECT("'["&amp;G261&amp;"]"&amp;E261&amp;"'!"&amp;$X$3)),INDIRECT("'["&amp;G261&amp;"]"&amp;E261&amp;"'!"&amp;$X$1),0)</f>
        <v>#VALUE!</v>
      </c>
      <c r="I261" s="25" t="str">
        <f t="shared" si="83"/>
        <v/>
      </c>
      <c r="J261" s="32" t="str">
        <f t="shared" si="84"/>
        <v/>
      </c>
      <c r="K261" s="25" t="str">
        <f t="shared" si="85"/>
        <v/>
      </c>
      <c r="L261" s="25" t="str">
        <f t="shared" si="86"/>
        <v/>
      </c>
      <c r="M261" s="33" t="e" cm="1">
        <f t="array" aca="1" ref="M261" ca="1">IF(AND(J261=INDIRECT("'["&amp;G261&amp;"]"&amp;E261&amp;"'!"&amp;$Y$2),G261=INDIRECT("'["&amp;G261&amp;"]"&amp;E261&amp;"'!"&amp;$AH$2)),INDIRECT("'["&amp;G261&amp;"]"&amp;E261&amp;"'!"&amp;$Y$3),0)</f>
        <v>#VALUE!</v>
      </c>
      <c r="N261" s="34" t="e" cm="1">
        <f t="array" aca="1" ref="N261" ca="1">IF(AND(G261=INDIRECT("'["&amp;G261&amp;"]"&amp;E261&amp;"'!"&amp;$AH$2),OR(K261=INDIRECT("'["&amp;G261&amp;"]"&amp;E261&amp;"'!"&amp;$Z$2))),INDIRECT("'["&amp;G261&amp;"]"&amp;E261&amp;"'!"&amp;$Z$3),0)</f>
        <v>#VALUE!</v>
      </c>
      <c r="O261" s="34" t="e" cm="1">
        <f t="array" aca="1" ref="O261" ca="1">IF(AND(G261=INDIRECT("'["&amp;G261&amp;"]"&amp;E261&amp;"'!"&amp;$AH$2),OR(L261=INDIRECT("'["&amp;G261&amp;"]"&amp;E261&amp;"'!"&amp;$AA$2))),INDIRECT("'["&amp;G261&amp;"]"&amp;E261&amp;"'!"&amp;$AA$3),0)</f>
        <v>#VALUE!</v>
      </c>
      <c r="P261" s="34" t="e" cm="1">
        <f t="array" aca="1" ref="P261" ca="1">IF(AND(G261=INDIRECT("'["&amp;G261&amp;"]"&amp;E261&amp;"'!"&amp;$AH$2),OR(VALUE(I261)=INDIRECT("'["&amp;G261&amp;"]"&amp;E261&amp;"'!"&amp;$AB$2))),INDIRECT("'["&amp;G261&amp;"]"&amp;E261&amp;"'!"&amp;$AB$3),0)</f>
        <v>#VALUE!</v>
      </c>
      <c r="Q261" s="34" t="e" cm="1">
        <f t="array" aca="1" ref="Q261" ca="1">IF(AND(G261=INDIRECT("'["&amp;G261&amp;"]"&amp;E261&amp;"'!"&amp;$AH$2),OR(VALUE(I261)=INDIRECT("'["&amp;G261&amp;"]"&amp;E261&amp;"'!"&amp;$AC$2))),INDIRECT("'["&amp;G261&amp;"]"&amp;E261&amp;"'!"&amp;$AC$3),0)</f>
        <v>#VALUE!</v>
      </c>
      <c r="R261" s="34" t="e" cm="1">
        <f t="array" aca="1" ref="R261" ca="1">IF(AND(G261=INDIRECT("'["&amp;G261&amp;"]"&amp;E261&amp;"'!"&amp;$AH$2),OR(I261=INDIRECT("'["&amp;G261&amp;"]"&amp;E261&amp;"'!"&amp;$AD$2))),INDIRECT("'["&amp;G261&amp;"]"&amp;E261&amp;"'!"&amp;$AD$3),0)</f>
        <v>#VALUE!</v>
      </c>
      <c r="S261" s="34" t="e" cm="1">
        <f t="array" aca="1" ref="S261" ca="1">IF(AND(G261=INDIRECT("'["&amp;G261&amp;"]"&amp;E261&amp;"'!"&amp;$AH$2),OR(I261=INDIRECT("'["&amp;G261&amp;"]"&amp;E261&amp;"'!"&amp;$AE$2))),INDIRECT("'["&amp;G261&amp;"]"&amp;E261&amp;"'!"&amp;$AE$3),0)</f>
        <v>#VALUE!</v>
      </c>
      <c r="T261" s="35" t="e" cm="1">
        <f t="array" aca="1" ref="T261" ca="1">IF(AND(G261=INDIRECT("'["&amp;G261&amp;"]"&amp;E261&amp;"'!"&amp;$AH$2),OR(I261=INDIRECT("'["&amp;G261&amp;"]"&amp;E261&amp;"'!"&amp;$AF$2))),INDIRECT("'["&amp;G261&amp;"]"&amp;E261&amp;"'!"&amp;$AF$3),0)</f>
        <v>#VALUE!</v>
      </c>
      <c r="U261" s="34" t="e" cm="1">
        <f t="array" aca="1" ref="U261" ca="1">IF(AND(G261=INDIRECT("'["&amp;G261&amp;"]"&amp;E261&amp;"'!"&amp;$AH$2),OR(I261=INDIRECT("'["&amp;G261&amp;"]"&amp;E261&amp;"'!"&amp;$AG$2))),INDIRECT("'["&amp;G261&amp;"]"&amp;E261&amp;"'!"&amp;$AG$3),0)</f>
        <v>#VALUE!</v>
      </c>
      <c r="V261" s="25" t="str">
        <f t="shared" si="87"/>
        <v/>
      </c>
      <c r="W261" s="36" t="e" cm="1">
        <f t="array" aca="1" ref="W261" ca="1">IF(AND(G261=INDIRECT("'["&amp;G261&amp;"]"&amp;E261&amp;"'!"&amp;$AH$2),OR(V261=INDIRECT("'["&amp;G261&amp;"]"&amp;E261&amp;"'!"&amp;$AI$2))),INDIRECT("'["&amp;G261&amp;"]"&amp;E261&amp;"'!"&amp;$AI$3),0)</f>
        <v>#VALUE!</v>
      </c>
      <c r="AJ261" s="25">
        <v>1</v>
      </c>
      <c r="AK261" s="38">
        <f t="shared" ca="1" si="88"/>
        <v>0</v>
      </c>
      <c r="AL261" s="38">
        <f t="shared" ca="1" si="89"/>
        <v>0</v>
      </c>
      <c r="AM261" s="54" t="str">
        <f t="shared" ca="1" si="80"/>
        <v/>
      </c>
      <c r="AN261" s="25" t="e">
        <f t="shared" ca="1" si="90"/>
        <v>#VALUE!</v>
      </c>
      <c r="AO261" s="25" t="e">
        <f t="shared" ca="1" si="91"/>
        <v>#VALUE!</v>
      </c>
      <c r="AP261" s="39" t="str">
        <f t="shared" ca="1" si="81"/>
        <v/>
      </c>
      <c r="AQ261" s="46" t="str">
        <f ca="1">IF(AND(C261&lt;&gt;0, C262=0), SUM($C$2:C261)-SUM($AQ$1:AQ260), "")</f>
        <v/>
      </c>
      <c r="AR261" s="46" t="str">
        <f ca="1">IF(AND(AK261&lt;&gt;0, AK262=0), SUM($AK$2:AK261)-SUM($AR$1:AR260), "")</f>
        <v/>
      </c>
    </row>
    <row r="262" spans="1:44" ht="13.15" customHeight="1">
      <c r="A262" s="62"/>
      <c r="B262" s="68" t="str">
        <f t="shared" ref="B262:B316" si="92">LEFT(A262,15)</f>
        <v/>
      </c>
      <c r="C262" s="55" cm="1">
        <f t="array" aca="1" ref="C262" ca="1">SUM(IF(ISNUMBER(M262:U262),M262:U262,""))</f>
        <v>0</v>
      </c>
      <c r="D262" s="25" t="str">
        <f t="shared" si="76"/>
        <v/>
      </c>
      <c r="E262" s="25" t="e">
        <f t="shared" si="82"/>
        <v>#VALUE!</v>
      </c>
      <c r="F262" s="25" t="str">
        <f t="shared" si="77"/>
        <v/>
      </c>
      <c r="G262" s="25" t="str">
        <f t="shared" si="79"/>
        <v>.xlsx</v>
      </c>
      <c r="H262" s="29" t="e" cm="1">
        <f t="array" aca="1" ref="H262" ca="1">IF(AND(VALUE(E262)=INDIRECT("'["&amp;G262&amp;"]"&amp;E262&amp;"'!"&amp;$X$2),G262=INDIRECT("'["&amp;G262&amp;"]"&amp;E262&amp;"'!"&amp;$X$3)),INDIRECT("'["&amp;G262&amp;"]"&amp;E262&amp;"'!"&amp;$X$1),0)</f>
        <v>#VALUE!</v>
      </c>
      <c r="I262" s="25" t="str">
        <f t="shared" si="83"/>
        <v/>
      </c>
      <c r="J262" s="32" t="str">
        <f t="shared" si="84"/>
        <v/>
      </c>
      <c r="K262" s="25" t="str">
        <f t="shared" si="85"/>
        <v/>
      </c>
      <c r="L262" s="25" t="str">
        <f t="shared" si="86"/>
        <v/>
      </c>
      <c r="M262" s="33" t="e" cm="1">
        <f t="array" aca="1" ref="M262" ca="1">IF(AND(J262=INDIRECT("'["&amp;G262&amp;"]"&amp;E262&amp;"'!"&amp;$Y$2),G262=INDIRECT("'["&amp;G262&amp;"]"&amp;E262&amp;"'!"&amp;$AH$2)),INDIRECT("'["&amp;G262&amp;"]"&amp;E262&amp;"'!"&amp;$Y$3),0)</f>
        <v>#VALUE!</v>
      </c>
      <c r="N262" s="34" t="e" cm="1">
        <f t="array" aca="1" ref="N262" ca="1">IF(AND(G262=INDIRECT("'["&amp;G262&amp;"]"&amp;E262&amp;"'!"&amp;$AH$2),OR(K262=INDIRECT("'["&amp;G262&amp;"]"&amp;E262&amp;"'!"&amp;$Z$2))),INDIRECT("'["&amp;G262&amp;"]"&amp;E262&amp;"'!"&amp;$Z$3),0)</f>
        <v>#VALUE!</v>
      </c>
      <c r="O262" s="34" t="e" cm="1">
        <f t="array" aca="1" ref="O262" ca="1">IF(AND(G262=INDIRECT("'["&amp;G262&amp;"]"&amp;E262&amp;"'!"&amp;$AH$2),OR(L262=INDIRECT("'["&amp;G262&amp;"]"&amp;E262&amp;"'!"&amp;$AA$2))),INDIRECT("'["&amp;G262&amp;"]"&amp;E262&amp;"'!"&amp;$AA$3),0)</f>
        <v>#VALUE!</v>
      </c>
      <c r="P262" s="34" t="e" cm="1">
        <f t="array" aca="1" ref="P262" ca="1">IF(AND(G262=INDIRECT("'["&amp;G262&amp;"]"&amp;E262&amp;"'!"&amp;$AH$2),OR(VALUE(I262)=INDIRECT("'["&amp;G262&amp;"]"&amp;E262&amp;"'!"&amp;$AB$2))),INDIRECT("'["&amp;G262&amp;"]"&amp;E262&amp;"'!"&amp;$AB$3),0)</f>
        <v>#VALUE!</v>
      </c>
      <c r="Q262" s="34" t="e" cm="1">
        <f t="array" aca="1" ref="Q262" ca="1">IF(AND(G262=INDIRECT("'["&amp;G262&amp;"]"&amp;E262&amp;"'!"&amp;$AH$2),OR(VALUE(I262)=INDIRECT("'["&amp;G262&amp;"]"&amp;E262&amp;"'!"&amp;$AC$2))),INDIRECT("'["&amp;G262&amp;"]"&amp;E262&amp;"'!"&amp;$AC$3),0)</f>
        <v>#VALUE!</v>
      </c>
      <c r="R262" s="34" t="e" cm="1">
        <f t="array" aca="1" ref="R262" ca="1">IF(AND(G262=INDIRECT("'["&amp;G262&amp;"]"&amp;E262&amp;"'!"&amp;$AH$2),OR(I262=INDIRECT("'["&amp;G262&amp;"]"&amp;E262&amp;"'!"&amp;$AD$2))),INDIRECT("'["&amp;G262&amp;"]"&amp;E262&amp;"'!"&amp;$AD$3),0)</f>
        <v>#VALUE!</v>
      </c>
      <c r="S262" s="34" t="e" cm="1">
        <f t="array" aca="1" ref="S262" ca="1">IF(AND(G262=INDIRECT("'["&amp;G262&amp;"]"&amp;E262&amp;"'!"&amp;$AH$2),OR(I262=INDIRECT("'["&amp;G262&amp;"]"&amp;E262&amp;"'!"&amp;$AE$2))),INDIRECT("'["&amp;G262&amp;"]"&amp;E262&amp;"'!"&amp;$AE$3),0)</f>
        <v>#VALUE!</v>
      </c>
      <c r="T262" s="35" t="e" cm="1">
        <f t="array" aca="1" ref="T262" ca="1">IF(AND(G262=INDIRECT("'["&amp;G262&amp;"]"&amp;E262&amp;"'!"&amp;$AH$2),OR(I262=INDIRECT("'["&amp;G262&amp;"]"&amp;E262&amp;"'!"&amp;$AF$2))),INDIRECT("'["&amp;G262&amp;"]"&amp;E262&amp;"'!"&amp;$AF$3),0)</f>
        <v>#VALUE!</v>
      </c>
      <c r="U262" s="34" t="e" cm="1">
        <f t="array" aca="1" ref="U262" ca="1">IF(AND(G262=INDIRECT("'["&amp;G262&amp;"]"&amp;E262&amp;"'!"&amp;$AH$2),OR(I262=INDIRECT("'["&amp;G262&amp;"]"&amp;E262&amp;"'!"&amp;$AG$2))),INDIRECT("'["&amp;G262&amp;"]"&amp;E262&amp;"'!"&amp;$AG$3),0)</f>
        <v>#VALUE!</v>
      </c>
      <c r="V262" s="25" t="str">
        <f t="shared" si="87"/>
        <v/>
      </c>
      <c r="W262" s="36" t="e" cm="1">
        <f t="array" aca="1" ref="W262" ca="1">IF(AND(G262=INDIRECT("'["&amp;G262&amp;"]"&amp;E262&amp;"'!"&amp;$AH$2),OR(V262=INDIRECT("'["&amp;G262&amp;"]"&amp;E262&amp;"'!"&amp;$AI$2))),INDIRECT("'["&amp;G262&amp;"]"&amp;E262&amp;"'!"&amp;$AI$3),0)</f>
        <v>#VALUE!</v>
      </c>
      <c r="AJ262" s="25">
        <v>1</v>
      </c>
      <c r="AK262" s="38">
        <f t="shared" ca="1" si="88"/>
        <v>0</v>
      </c>
      <c r="AL262" s="38">
        <f t="shared" ca="1" si="89"/>
        <v>0</v>
      </c>
      <c r="AM262" s="54" t="str">
        <f t="shared" ca="1" si="80"/>
        <v/>
      </c>
      <c r="AN262" s="25" t="e">
        <f t="shared" ca="1" si="90"/>
        <v>#VALUE!</v>
      </c>
      <c r="AO262" s="25" t="e">
        <f t="shared" ca="1" si="91"/>
        <v>#VALUE!</v>
      </c>
      <c r="AP262" s="39" t="str">
        <f t="shared" ca="1" si="81"/>
        <v/>
      </c>
      <c r="AQ262" s="46" t="str">
        <f ca="1">IF(AND(C262&lt;&gt;0, C263=0), SUM($C$2:C262)-SUM($AQ$1:AQ261), "")</f>
        <v/>
      </c>
      <c r="AR262" s="46" t="str">
        <f ca="1">IF(AND(AK262&lt;&gt;0, AK263=0), SUM($AK$2:AK262)-SUM($AR$1:AR261), "")</f>
        <v/>
      </c>
    </row>
    <row r="263" spans="1:44" ht="13.15" customHeight="1">
      <c r="A263" s="62"/>
      <c r="B263" s="68" t="str">
        <f t="shared" si="92"/>
        <v/>
      </c>
      <c r="C263" s="55" cm="1">
        <f t="array" aca="1" ref="C263" ca="1">SUM(IF(ISNUMBER(M263:U263),M263:U263,""))</f>
        <v>0</v>
      </c>
      <c r="D263" s="25" t="str">
        <f t="shared" si="76"/>
        <v/>
      </c>
      <c r="E263" s="25" t="e">
        <f t="shared" si="82"/>
        <v>#VALUE!</v>
      </c>
      <c r="F263" s="25" t="str">
        <f t="shared" si="77"/>
        <v/>
      </c>
      <c r="G263" s="25" t="str">
        <f t="shared" si="79"/>
        <v>.xlsx</v>
      </c>
      <c r="H263" s="29" t="e" cm="1">
        <f t="array" aca="1" ref="H263" ca="1">IF(AND(VALUE(E263)=INDIRECT("'["&amp;G263&amp;"]"&amp;E263&amp;"'!"&amp;$X$2),G263=INDIRECT("'["&amp;G263&amp;"]"&amp;E263&amp;"'!"&amp;$X$3)),INDIRECT("'["&amp;G263&amp;"]"&amp;E263&amp;"'!"&amp;$X$1),0)</f>
        <v>#VALUE!</v>
      </c>
      <c r="I263" s="25" t="str">
        <f t="shared" si="83"/>
        <v/>
      </c>
      <c r="J263" s="32" t="str">
        <f t="shared" si="84"/>
        <v/>
      </c>
      <c r="K263" s="25" t="str">
        <f t="shared" si="85"/>
        <v/>
      </c>
      <c r="L263" s="25" t="str">
        <f t="shared" si="86"/>
        <v/>
      </c>
      <c r="M263" s="33" t="e" cm="1">
        <f t="array" aca="1" ref="M263" ca="1">IF(AND(J263=INDIRECT("'["&amp;G263&amp;"]"&amp;E263&amp;"'!"&amp;$Y$2),G263=INDIRECT("'["&amp;G263&amp;"]"&amp;E263&amp;"'!"&amp;$AH$2)),INDIRECT("'["&amp;G263&amp;"]"&amp;E263&amp;"'!"&amp;$Y$3),0)</f>
        <v>#VALUE!</v>
      </c>
      <c r="N263" s="34" t="e" cm="1">
        <f t="array" aca="1" ref="N263" ca="1">IF(AND(G263=INDIRECT("'["&amp;G263&amp;"]"&amp;E263&amp;"'!"&amp;$AH$2),OR(K263=INDIRECT("'["&amp;G263&amp;"]"&amp;E263&amp;"'!"&amp;$Z$2))),INDIRECT("'["&amp;G263&amp;"]"&amp;E263&amp;"'!"&amp;$Z$3),0)</f>
        <v>#VALUE!</v>
      </c>
      <c r="O263" s="34" t="e" cm="1">
        <f t="array" aca="1" ref="O263" ca="1">IF(AND(G263=INDIRECT("'["&amp;G263&amp;"]"&amp;E263&amp;"'!"&amp;$AH$2),OR(L263=INDIRECT("'["&amp;G263&amp;"]"&amp;E263&amp;"'!"&amp;$AA$2))),INDIRECT("'["&amp;G263&amp;"]"&amp;E263&amp;"'!"&amp;$AA$3),0)</f>
        <v>#VALUE!</v>
      </c>
      <c r="P263" s="34" t="e" cm="1">
        <f t="array" aca="1" ref="P263" ca="1">IF(AND(G263=INDIRECT("'["&amp;G263&amp;"]"&amp;E263&amp;"'!"&amp;$AH$2),OR(VALUE(I263)=INDIRECT("'["&amp;G263&amp;"]"&amp;E263&amp;"'!"&amp;$AB$2))),INDIRECT("'["&amp;G263&amp;"]"&amp;E263&amp;"'!"&amp;$AB$3),0)</f>
        <v>#VALUE!</v>
      </c>
      <c r="Q263" s="34" t="e" cm="1">
        <f t="array" aca="1" ref="Q263" ca="1">IF(AND(G263=INDIRECT("'["&amp;G263&amp;"]"&amp;E263&amp;"'!"&amp;$AH$2),OR(VALUE(I263)=INDIRECT("'["&amp;G263&amp;"]"&amp;E263&amp;"'!"&amp;$AC$2))),INDIRECT("'["&amp;G263&amp;"]"&amp;E263&amp;"'!"&amp;$AC$3),0)</f>
        <v>#VALUE!</v>
      </c>
      <c r="R263" s="34" t="e" cm="1">
        <f t="array" aca="1" ref="R263" ca="1">IF(AND(G263=INDIRECT("'["&amp;G263&amp;"]"&amp;E263&amp;"'!"&amp;$AH$2),OR(I263=INDIRECT("'["&amp;G263&amp;"]"&amp;E263&amp;"'!"&amp;$AD$2))),INDIRECT("'["&amp;G263&amp;"]"&amp;E263&amp;"'!"&amp;$AD$3),0)</f>
        <v>#VALUE!</v>
      </c>
      <c r="S263" s="34" t="e" cm="1">
        <f t="array" aca="1" ref="S263" ca="1">IF(AND(G263=INDIRECT("'["&amp;G263&amp;"]"&amp;E263&amp;"'!"&amp;$AH$2),OR(I263=INDIRECT("'["&amp;G263&amp;"]"&amp;E263&amp;"'!"&amp;$AE$2))),INDIRECT("'["&amp;G263&amp;"]"&amp;E263&amp;"'!"&amp;$AE$3),0)</f>
        <v>#VALUE!</v>
      </c>
      <c r="T263" s="35" t="e" cm="1">
        <f t="array" aca="1" ref="T263" ca="1">IF(AND(G263=INDIRECT("'["&amp;G263&amp;"]"&amp;E263&amp;"'!"&amp;$AH$2),OR(I263=INDIRECT("'["&amp;G263&amp;"]"&amp;E263&amp;"'!"&amp;$AF$2))),INDIRECT("'["&amp;G263&amp;"]"&amp;E263&amp;"'!"&amp;$AF$3),0)</f>
        <v>#VALUE!</v>
      </c>
      <c r="U263" s="34" t="e" cm="1">
        <f t="array" aca="1" ref="U263" ca="1">IF(AND(G263=INDIRECT("'["&amp;G263&amp;"]"&amp;E263&amp;"'!"&amp;$AH$2),OR(I263=INDIRECT("'["&amp;G263&amp;"]"&amp;E263&amp;"'!"&amp;$AG$2))),INDIRECT("'["&amp;G263&amp;"]"&amp;E263&amp;"'!"&amp;$AG$3),0)</f>
        <v>#VALUE!</v>
      </c>
      <c r="V263" s="25" t="str">
        <f t="shared" si="87"/>
        <v/>
      </c>
      <c r="W263" s="36" t="e" cm="1">
        <f t="array" aca="1" ref="W263" ca="1">IF(AND(G263=INDIRECT("'["&amp;G263&amp;"]"&amp;E263&amp;"'!"&amp;$AH$2),OR(V263=INDIRECT("'["&amp;G263&amp;"]"&amp;E263&amp;"'!"&amp;$AI$2))),INDIRECT("'["&amp;G263&amp;"]"&amp;E263&amp;"'!"&amp;$AI$3),0)</f>
        <v>#VALUE!</v>
      </c>
      <c r="AJ263" s="25">
        <v>1</v>
      </c>
      <c r="AK263" s="38">
        <f t="shared" ca="1" si="88"/>
        <v>0</v>
      </c>
      <c r="AL263" s="38">
        <f t="shared" ca="1" si="89"/>
        <v>0</v>
      </c>
      <c r="AM263" s="54" t="str">
        <f t="shared" ca="1" si="80"/>
        <v/>
      </c>
      <c r="AN263" s="25" t="e">
        <f t="shared" ca="1" si="90"/>
        <v>#VALUE!</v>
      </c>
      <c r="AO263" s="25" t="e">
        <f t="shared" ca="1" si="91"/>
        <v>#VALUE!</v>
      </c>
      <c r="AP263" s="39" t="str">
        <f t="shared" ca="1" si="81"/>
        <v/>
      </c>
      <c r="AQ263" s="46" t="str">
        <f ca="1">IF(AND(C263&lt;&gt;0, C264=0), SUM($C$2:C263)-SUM($AQ$1:AQ262), "")</f>
        <v/>
      </c>
      <c r="AR263" s="46" t="str">
        <f ca="1">IF(AND(AK263&lt;&gt;0, AK264=0), SUM($AK$2:AK263)-SUM($AR$1:AR262), "")</f>
        <v/>
      </c>
    </row>
    <row r="264" spans="1:44" ht="13.15" customHeight="1">
      <c r="A264" s="62"/>
      <c r="B264" s="68" t="str">
        <f t="shared" si="92"/>
        <v/>
      </c>
      <c r="C264" s="55" cm="1">
        <f t="array" aca="1" ref="C264" ca="1">SUM(IF(ISNUMBER(M264:U264),M264:U264,""))</f>
        <v>0</v>
      </c>
      <c r="D264" s="25" t="str">
        <f t="shared" si="76"/>
        <v/>
      </c>
      <c r="E264" s="25" t="e">
        <f t="shared" si="82"/>
        <v>#VALUE!</v>
      </c>
      <c r="F264" s="25" t="str">
        <f t="shared" si="77"/>
        <v/>
      </c>
      <c r="G264" s="25" t="str">
        <f t="shared" si="79"/>
        <v>.xlsx</v>
      </c>
      <c r="H264" s="29" t="e" cm="1">
        <f t="array" aca="1" ref="H264" ca="1">IF(AND(VALUE(E264)=INDIRECT("'["&amp;G264&amp;"]"&amp;E264&amp;"'!"&amp;$X$2),G264=INDIRECT("'["&amp;G264&amp;"]"&amp;E264&amp;"'!"&amp;$X$3)),INDIRECT("'["&amp;G264&amp;"]"&amp;E264&amp;"'!"&amp;$X$1),0)</f>
        <v>#VALUE!</v>
      </c>
      <c r="I264" s="25" t="str">
        <f t="shared" si="83"/>
        <v/>
      </c>
      <c r="J264" s="32" t="str">
        <f t="shared" si="84"/>
        <v/>
      </c>
      <c r="K264" s="25" t="str">
        <f t="shared" si="85"/>
        <v/>
      </c>
      <c r="L264" s="25" t="str">
        <f t="shared" si="86"/>
        <v/>
      </c>
      <c r="M264" s="33" t="e" cm="1">
        <f t="array" aca="1" ref="M264" ca="1">IF(AND(J264=INDIRECT("'["&amp;G264&amp;"]"&amp;E264&amp;"'!"&amp;$Y$2),G264=INDIRECT("'["&amp;G264&amp;"]"&amp;E264&amp;"'!"&amp;$AH$2)),INDIRECT("'["&amp;G264&amp;"]"&amp;E264&amp;"'!"&amp;$Y$3),0)</f>
        <v>#VALUE!</v>
      </c>
      <c r="N264" s="34" t="e" cm="1">
        <f t="array" aca="1" ref="N264" ca="1">IF(AND(G264=INDIRECT("'["&amp;G264&amp;"]"&amp;E264&amp;"'!"&amp;$AH$2),OR(K264=INDIRECT("'["&amp;G264&amp;"]"&amp;E264&amp;"'!"&amp;$Z$2))),INDIRECT("'["&amp;G264&amp;"]"&amp;E264&amp;"'!"&amp;$Z$3),0)</f>
        <v>#VALUE!</v>
      </c>
      <c r="O264" s="34" t="e" cm="1">
        <f t="array" aca="1" ref="O264" ca="1">IF(AND(G264=INDIRECT("'["&amp;G264&amp;"]"&amp;E264&amp;"'!"&amp;$AH$2),OR(L264=INDIRECT("'["&amp;G264&amp;"]"&amp;E264&amp;"'!"&amp;$AA$2))),INDIRECT("'["&amp;G264&amp;"]"&amp;E264&amp;"'!"&amp;$AA$3),0)</f>
        <v>#VALUE!</v>
      </c>
      <c r="P264" s="34" t="e" cm="1">
        <f t="array" aca="1" ref="P264" ca="1">IF(AND(G264=INDIRECT("'["&amp;G264&amp;"]"&amp;E264&amp;"'!"&amp;$AH$2),OR(VALUE(I264)=INDIRECT("'["&amp;G264&amp;"]"&amp;E264&amp;"'!"&amp;$AB$2))),INDIRECT("'["&amp;G264&amp;"]"&amp;E264&amp;"'!"&amp;$AB$3),0)</f>
        <v>#VALUE!</v>
      </c>
      <c r="Q264" s="34" t="e" cm="1">
        <f t="array" aca="1" ref="Q264" ca="1">IF(AND(G264=INDIRECT("'["&amp;G264&amp;"]"&amp;E264&amp;"'!"&amp;$AH$2),OR(VALUE(I264)=INDIRECT("'["&amp;G264&amp;"]"&amp;E264&amp;"'!"&amp;$AC$2))),INDIRECT("'["&amp;G264&amp;"]"&amp;E264&amp;"'!"&amp;$AC$3),0)</f>
        <v>#VALUE!</v>
      </c>
      <c r="R264" s="34" t="e" cm="1">
        <f t="array" aca="1" ref="R264" ca="1">IF(AND(G264=INDIRECT("'["&amp;G264&amp;"]"&amp;E264&amp;"'!"&amp;$AH$2),OR(I264=INDIRECT("'["&amp;G264&amp;"]"&amp;E264&amp;"'!"&amp;$AD$2))),INDIRECT("'["&amp;G264&amp;"]"&amp;E264&amp;"'!"&amp;$AD$3),0)</f>
        <v>#VALUE!</v>
      </c>
      <c r="S264" s="34" t="e" cm="1">
        <f t="array" aca="1" ref="S264" ca="1">IF(AND(G264=INDIRECT("'["&amp;G264&amp;"]"&amp;E264&amp;"'!"&amp;$AH$2),OR(I264=INDIRECT("'["&amp;G264&amp;"]"&amp;E264&amp;"'!"&amp;$AE$2))),INDIRECT("'["&amp;G264&amp;"]"&amp;E264&amp;"'!"&amp;$AE$3),0)</f>
        <v>#VALUE!</v>
      </c>
      <c r="T264" s="35" t="e" cm="1">
        <f t="array" aca="1" ref="T264" ca="1">IF(AND(G264=INDIRECT("'["&amp;G264&amp;"]"&amp;E264&amp;"'!"&amp;$AH$2),OR(I264=INDIRECT("'["&amp;G264&amp;"]"&amp;E264&amp;"'!"&amp;$AF$2))),INDIRECT("'["&amp;G264&amp;"]"&amp;E264&amp;"'!"&amp;$AF$3),0)</f>
        <v>#VALUE!</v>
      </c>
      <c r="U264" s="34" t="e" cm="1">
        <f t="array" aca="1" ref="U264" ca="1">IF(AND(G264=INDIRECT("'["&amp;G264&amp;"]"&amp;E264&amp;"'!"&amp;$AH$2),OR(I264=INDIRECT("'["&amp;G264&amp;"]"&amp;E264&amp;"'!"&amp;$AG$2))),INDIRECT("'["&amp;G264&amp;"]"&amp;E264&amp;"'!"&amp;$AG$3),0)</f>
        <v>#VALUE!</v>
      </c>
      <c r="V264" s="25" t="str">
        <f t="shared" si="87"/>
        <v/>
      </c>
      <c r="W264" s="36" t="e" cm="1">
        <f t="array" aca="1" ref="W264" ca="1">IF(AND(G264=INDIRECT("'["&amp;G264&amp;"]"&amp;E264&amp;"'!"&amp;$AH$2),OR(V264=INDIRECT("'["&amp;G264&amp;"]"&amp;E264&amp;"'!"&amp;$AI$2))),INDIRECT("'["&amp;G264&amp;"]"&amp;E264&amp;"'!"&amp;$AI$3),0)</f>
        <v>#VALUE!</v>
      </c>
      <c r="AJ264" s="25">
        <v>1</v>
      </c>
      <c r="AK264" s="38">
        <f t="shared" ca="1" si="88"/>
        <v>0</v>
      </c>
      <c r="AL264" s="38">
        <f t="shared" ca="1" si="89"/>
        <v>0</v>
      </c>
      <c r="AM264" s="54" t="str">
        <f t="shared" ca="1" si="80"/>
        <v/>
      </c>
      <c r="AN264" s="25" t="e">
        <f t="shared" ca="1" si="90"/>
        <v>#VALUE!</v>
      </c>
      <c r="AO264" s="25" t="e">
        <f t="shared" ca="1" si="91"/>
        <v>#VALUE!</v>
      </c>
      <c r="AP264" s="39" t="str">
        <f t="shared" ca="1" si="81"/>
        <v/>
      </c>
      <c r="AQ264" s="46" t="str">
        <f ca="1">IF(AND(C264&lt;&gt;0, C265=0), SUM($C$2:C264)-SUM($AQ$1:AQ263), "")</f>
        <v/>
      </c>
      <c r="AR264" s="46" t="str">
        <f ca="1">IF(AND(AK264&lt;&gt;0, AK265=0), SUM($AK$2:AK264)-SUM($AR$1:AR263), "")</f>
        <v/>
      </c>
    </row>
    <row r="265" spans="1:44" ht="13.15" customHeight="1">
      <c r="A265" s="62"/>
      <c r="B265" s="68" t="str">
        <f t="shared" si="92"/>
        <v/>
      </c>
      <c r="C265" s="55" cm="1">
        <f t="array" aca="1" ref="C265" ca="1">SUM(IF(ISNUMBER(M265:U265),M265:U265,""))</f>
        <v>0</v>
      </c>
      <c r="D265" s="25" t="str">
        <f t="shared" si="76"/>
        <v/>
      </c>
      <c r="E265" s="25" t="e">
        <f t="shared" si="82"/>
        <v>#VALUE!</v>
      </c>
      <c r="F265" s="25" t="str">
        <f t="shared" si="77"/>
        <v/>
      </c>
      <c r="G265" s="25" t="str">
        <f t="shared" si="79"/>
        <v>.xlsx</v>
      </c>
      <c r="H265" s="29" t="e" cm="1">
        <f t="array" aca="1" ref="H265" ca="1">IF(AND(VALUE(E265)=INDIRECT("'["&amp;G265&amp;"]"&amp;E265&amp;"'!"&amp;$X$2),G265=INDIRECT("'["&amp;G265&amp;"]"&amp;E265&amp;"'!"&amp;$X$3)),INDIRECT("'["&amp;G265&amp;"]"&amp;E265&amp;"'!"&amp;$X$1),0)</f>
        <v>#VALUE!</v>
      </c>
      <c r="I265" s="25" t="str">
        <f t="shared" si="83"/>
        <v/>
      </c>
      <c r="J265" s="32" t="str">
        <f t="shared" si="84"/>
        <v/>
      </c>
      <c r="K265" s="25" t="str">
        <f t="shared" si="85"/>
        <v/>
      </c>
      <c r="L265" s="25" t="str">
        <f t="shared" si="86"/>
        <v/>
      </c>
      <c r="M265" s="33" t="e" cm="1">
        <f t="array" aca="1" ref="M265" ca="1">IF(AND(J265=INDIRECT("'["&amp;G265&amp;"]"&amp;E265&amp;"'!"&amp;$Y$2),G265=INDIRECT("'["&amp;G265&amp;"]"&amp;E265&amp;"'!"&amp;$AH$2)),INDIRECT("'["&amp;G265&amp;"]"&amp;E265&amp;"'!"&amp;$Y$3),0)</f>
        <v>#VALUE!</v>
      </c>
      <c r="N265" s="34" t="e" cm="1">
        <f t="array" aca="1" ref="N265" ca="1">IF(AND(G265=INDIRECT("'["&amp;G265&amp;"]"&amp;E265&amp;"'!"&amp;$AH$2),OR(K265=INDIRECT("'["&amp;G265&amp;"]"&amp;E265&amp;"'!"&amp;$Z$2))),INDIRECT("'["&amp;G265&amp;"]"&amp;E265&amp;"'!"&amp;$Z$3),0)</f>
        <v>#VALUE!</v>
      </c>
      <c r="O265" s="34" t="e" cm="1">
        <f t="array" aca="1" ref="O265" ca="1">IF(AND(G265=INDIRECT("'["&amp;G265&amp;"]"&amp;E265&amp;"'!"&amp;$AH$2),OR(L265=INDIRECT("'["&amp;G265&amp;"]"&amp;E265&amp;"'!"&amp;$AA$2))),INDIRECT("'["&amp;G265&amp;"]"&amp;E265&amp;"'!"&amp;$AA$3),0)</f>
        <v>#VALUE!</v>
      </c>
      <c r="P265" s="34" t="e" cm="1">
        <f t="array" aca="1" ref="P265" ca="1">IF(AND(G265=INDIRECT("'["&amp;G265&amp;"]"&amp;E265&amp;"'!"&amp;$AH$2),OR(VALUE(I265)=INDIRECT("'["&amp;G265&amp;"]"&amp;E265&amp;"'!"&amp;$AB$2))),INDIRECT("'["&amp;G265&amp;"]"&amp;E265&amp;"'!"&amp;$AB$3),0)</f>
        <v>#VALUE!</v>
      </c>
      <c r="Q265" s="34" t="e" cm="1">
        <f t="array" aca="1" ref="Q265" ca="1">IF(AND(G265=INDIRECT("'["&amp;G265&amp;"]"&amp;E265&amp;"'!"&amp;$AH$2),OR(VALUE(I265)=INDIRECT("'["&amp;G265&amp;"]"&amp;E265&amp;"'!"&amp;$AC$2))),INDIRECT("'["&amp;G265&amp;"]"&amp;E265&amp;"'!"&amp;$AC$3),0)</f>
        <v>#VALUE!</v>
      </c>
      <c r="R265" s="34" t="e" cm="1">
        <f t="array" aca="1" ref="R265" ca="1">IF(AND(G265=INDIRECT("'["&amp;G265&amp;"]"&amp;E265&amp;"'!"&amp;$AH$2),OR(I265=INDIRECT("'["&amp;G265&amp;"]"&amp;E265&amp;"'!"&amp;$AD$2))),INDIRECT("'["&amp;G265&amp;"]"&amp;E265&amp;"'!"&amp;$AD$3),0)</f>
        <v>#VALUE!</v>
      </c>
      <c r="S265" s="34" t="e" cm="1">
        <f t="array" aca="1" ref="S265" ca="1">IF(AND(G265=INDIRECT("'["&amp;G265&amp;"]"&amp;E265&amp;"'!"&amp;$AH$2),OR(I265=INDIRECT("'["&amp;G265&amp;"]"&amp;E265&amp;"'!"&amp;$AE$2))),INDIRECT("'["&amp;G265&amp;"]"&amp;E265&amp;"'!"&amp;$AE$3),0)</f>
        <v>#VALUE!</v>
      </c>
      <c r="T265" s="35" t="e" cm="1">
        <f t="array" aca="1" ref="T265" ca="1">IF(AND(G265=INDIRECT("'["&amp;G265&amp;"]"&amp;E265&amp;"'!"&amp;$AH$2),OR(I265=INDIRECT("'["&amp;G265&amp;"]"&amp;E265&amp;"'!"&amp;$AF$2))),INDIRECT("'["&amp;G265&amp;"]"&amp;E265&amp;"'!"&amp;$AF$3),0)</f>
        <v>#VALUE!</v>
      </c>
      <c r="U265" s="34" t="e" cm="1">
        <f t="array" aca="1" ref="U265" ca="1">IF(AND(G265=INDIRECT("'["&amp;G265&amp;"]"&amp;E265&amp;"'!"&amp;$AH$2),OR(I265=INDIRECT("'["&amp;G265&amp;"]"&amp;E265&amp;"'!"&amp;$AG$2))),INDIRECT("'["&amp;G265&amp;"]"&amp;E265&amp;"'!"&amp;$AG$3),0)</f>
        <v>#VALUE!</v>
      </c>
      <c r="V265" s="25" t="str">
        <f t="shared" si="87"/>
        <v/>
      </c>
      <c r="W265" s="36" t="e" cm="1">
        <f t="array" aca="1" ref="W265" ca="1">IF(AND(G265=INDIRECT("'["&amp;G265&amp;"]"&amp;E265&amp;"'!"&amp;$AH$2),OR(V265=INDIRECT("'["&amp;G265&amp;"]"&amp;E265&amp;"'!"&amp;$AI$2))),INDIRECT("'["&amp;G265&amp;"]"&amp;E265&amp;"'!"&amp;$AI$3),0)</f>
        <v>#VALUE!</v>
      </c>
      <c r="AJ265" s="25">
        <v>1</v>
      </c>
      <c r="AK265" s="38">
        <f t="shared" ca="1" si="88"/>
        <v>0</v>
      </c>
      <c r="AL265" s="38">
        <f t="shared" ca="1" si="89"/>
        <v>0</v>
      </c>
      <c r="AM265" s="54" t="str">
        <f t="shared" ca="1" si="80"/>
        <v/>
      </c>
      <c r="AN265" s="25" t="e">
        <f t="shared" ca="1" si="90"/>
        <v>#VALUE!</v>
      </c>
      <c r="AO265" s="25" t="e">
        <f t="shared" ca="1" si="91"/>
        <v>#VALUE!</v>
      </c>
      <c r="AP265" s="39" t="str">
        <f t="shared" ca="1" si="81"/>
        <v/>
      </c>
      <c r="AQ265" s="46" t="str">
        <f ca="1">IF(AND(C265&lt;&gt;0, C266=0), SUM($C$2:C265)-SUM($AQ$1:AQ264), "")</f>
        <v/>
      </c>
      <c r="AR265" s="46" t="str">
        <f ca="1">IF(AND(AK265&lt;&gt;0, AK266=0), SUM($AK$2:AK265)-SUM($AR$1:AR264), "")</f>
        <v/>
      </c>
    </row>
    <row r="266" spans="1:44" ht="13.15" customHeight="1">
      <c r="A266" s="62"/>
      <c r="B266" s="68" t="str">
        <f t="shared" si="92"/>
        <v/>
      </c>
      <c r="C266" s="55" cm="1">
        <f t="array" aca="1" ref="C266" ca="1">SUM(IF(ISNUMBER(M266:U266),M266:U266,""))</f>
        <v>0</v>
      </c>
      <c r="D266" s="25" t="str">
        <f t="shared" si="76"/>
        <v/>
      </c>
      <c r="E266" s="25" t="e">
        <f t="shared" si="82"/>
        <v>#VALUE!</v>
      </c>
      <c r="F266" s="25" t="str">
        <f t="shared" si="77"/>
        <v/>
      </c>
      <c r="G266" s="25" t="str">
        <f t="shared" si="79"/>
        <v>.xlsx</v>
      </c>
      <c r="H266" s="29" t="e" cm="1">
        <f t="array" aca="1" ref="H266" ca="1">IF(AND(VALUE(E266)=INDIRECT("'["&amp;G266&amp;"]"&amp;E266&amp;"'!"&amp;$X$2),G266=INDIRECT("'["&amp;G266&amp;"]"&amp;E266&amp;"'!"&amp;$X$3)),INDIRECT("'["&amp;G266&amp;"]"&amp;E266&amp;"'!"&amp;$X$1),0)</f>
        <v>#VALUE!</v>
      </c>
      <c r="I266" s="25" t="str">
        <f t="shared" si="83"/>
        <v/>
      </c>
      <c r="J266" s="32" t="str">
        <f t="shared" si="84"/>
        <v/>
      </c>
      <c r="K266" s="25" t="str">
        <f t="shared" si="85"/>
        <v/>
      </c>
      <c r="L266" s="25" t="str">
        <f t="shared" si="86"/>
        <v/>
      </c>
      <c r="M266" s="33" t="e" cm="1">
        <f t="array" aca="1" ref="M266" ca="1">IF(AND(J266=INDIRECT("'["&amp;G266&amp;"]"&amp;E266&amp;"'!"&amp;$Y$2),G266=INDIRECT("'["&amp;G266&amp;"]"&amp;E266&amp;"'!"&amp;$AH$2)),INDIRECT("'["&amp;G266&amp;"]"&amp;E266&amp;"'!"&amp;$Y$3),0)</f>
        <v>#VALUE!</v>
      </c>
      <c r="N266" s="34" t="e" cm="1">
        <f t="array" aca="1" ref="N266" ca="1">IF(AND(G266=INDIRECT("'["&amp;G266&amp;"]"&amp;E266&amp;"'!"&amp;$AH$2),OR(K266=INDIRECT("'["&amp;G266&amp;"]"&amp;E266&amp;"'!"&amp;$Z$2))),INDIRECT("'["&amp;G266&amp;"]"&amp;E266&amp;"'!"&amp;$Z$3),0)</f>
        <v>#VALUE!</v>
      </c>
      <c r="O266" s="34" t="e" cm="1">
        <f t="array" aca="1" ref="O266" ca="1">IF(AND(G266=INDIRECT("'["&amp;G266&amp;"]"&amp;E266&amp;"'!"&amp;$AH$2),OR(L266=INDIRECT("'["&amp;G266&amp;"]"&amp;E266&amp;"'!"&amp;$AA$2))),INDIRECT("'["&amp;G266&amp;"]"&amp;E266&amp;"'!"&amp;$AA$3),0)</f>
        <v>#VALUE!</v>
      </c>
      <c r="P266" s="34" t="e" cm="1">
        <f t="array" aca="1" ref="P266" ca="1">IF(AND(G266=INDIRECT("'["&amp;G266&amp;"]"&amp;E266&amp;"'!"&amp;$AH$2),OR(VALUE(I266)=INDIRECT("'["&amp;G266&amp;"]"&amp;E266&amp;"'!"&amp;$AB$2))),INDIRECT("'["&amp;G266&amp;"]"&amp;E266&amp;"'!"&amp;$AB$3),0)</f>
        <v>#VALUE!</v>
      </c>
      <c r="Q266" s="34" t="e" cm="1">
        <f t="array" aca="1" ref="Q266" ca="1">IF(AND(G266=INDIRECT("'["&amp;G266&amp;"]"&amp;E266&amp;"'!"&amp;$AH$2),OR(VALUE(I266)=INDIRECT("'["&amp;G266&amp;"]"&amp;E266&amp;"'!"&amp;$AC$2))),INDIRECT("'["&amp;G266&amp;"]"&amp;E266&amp;"'!"&amp;$AC$3),0)</f>
        <v>#VALUE!</v>
      </c>
      <c r="R266" s="34" t="e" cm="1">
        <f t="array" aca="1" ref="R266" ca="1">IF(AND(G266=INDIRECT("'["&amp;G266&amp;"]"&amp;E266&amp;"'!"&amp;$AH$2),OR(I266=INDIRECT("'["&amp;G266&amp;"]"&amp;E266&amp;"'!"&amp;$AD$2))),INDIRECT("'["&amp;G266&amp;"]"&amp;E266&amp;"'!"&amp;$AD$3),0)</f>
        <v>#VALUE!</v>
      </c>
      <c r="S266" s="34" t="e" cm="1">
        <f t="array" aca="1" ref="S266" ca="1">IF(AND(G266=INDIRECT("'["&amp;G266&amp;"]"&amp;E266&amp;"'!"&amp;$AH$2),OR(I266=INDIRECT("'["&amp;G266&amp;"]"&amp;E266&amp;"'!"&amp;$AE$2))),INDIRECT("'["&amp;G266&amp;"]"&amp;E266&amp;"'!"&amp;$AE$3),0)</f>
        <v>#VALUE!</v>
      </c>
      <c r="T266" s="35" t="e" cm="1">
        <f t="array" aca="1" ref="T266" ca="1">IF(AND(G266=INDIRECT("'["&amp;G266&amp;"]"&amp;E266&amp;"'!"&amp;$AH$2),OR(I266=INDIRECT("'["&amp;G266&amp;"]"&amp;E266&amp;"'!"&amp;$AF$2))),INDIRECT("'["&amp;G266&amp;"]"&amp;E266&amp;"'!"&amp;$AF$3),0)</f>
        <v>#VALUE!</v>
      </c>
      <c r="U266" s="34" t="e" cm="1">
        <f t="array" aca="1" ref="U266" ca="1">IF(AND(G266=INDIRECT("'["&amp;G266&amp;"]"&amp;E266&amp;"'!"&amp;$AH$2),OR(I266=INDIRECT("'["&amp;G266&amp;"]"&amp;E266&amp;"'!"&amp;$AG$2))),INDIRECT("'["&amp;G266&amp;"]"&amp;E266&amp;"'!"&amp;$AG$3),0)</f>
        <v>#VALUE!</v>
      </c>
      <c r="V266" s="25" t="str">
        <f t="shared" si="87"/>
        <v/>
      </c>
      <c r="W266" s="36" t="e" cm="1">
        <f t="array" aca="1" ref="W266" ca="1">IF(AND(G266=INDIRECT("'["&amp;G266&amp;"]"&amp;E266&amp;"'!"&amp;$AH$2),OR(V266=INDIRECT("'["&amp;G266&amp;"]"&amp;E266&amp;"'!"&amp;$AI$2))),INDIRECT("'["&amp;G266&amp;"]"&amp;E266&amp;"'!"&amp;$AI$3),0)</f>
        <v>#VALUE!</v>
      </c>
      <c r="AJ266" s="25">
        <v>1</v>
      </c>
      <c r="AK266" s="38">
        <f t="shared" ca="1" si="88"/>
        <v>0</v>
      </c>
      <c r="AL266" s="38">
        <f t="shared" ca="1" si="89"/>
        <v>0</v>
      </c>
      <c r="AM266" s="54" t="str">
        <f t="shared" ca="1" si="80"/>
        <v/>
      </c>
      <c r="AN266" s="25" t="e">
        <f t="shared" ca="1" si="90"/>
        <v>#VALUE!</v>
      </c>
      <c r="AO266" s="25" t="e">
        <f t="shared" ca="1" si="91"/>
        <v>#VALUE!</v>
      </c>
      <c r="AP266" s="39" t="str">
        <f t="shared" ca="1" si="81"/>
        <v/>
      </c>
      <c r="AQ266" s="46" t="str">
        <f ca="1">IF(AND(C266&lt;&gt;0, C267=0), SUM($C$2:C266)-SUM($AQ$1:AQ265), "")</f>
        <v/>
      </c>
      <c r="AR266" s="46" t="str">
        <f ca="1">IF(AND(AK266&lt;&gt;0, AK267=0), SUM($AK$2:AK266)-SUM($AR$1:AR265), "")</f>
        <v/>
      </c>
    </row>
    <row r="267" spans="1:44" ht="13.15" customHeight="1">
      <c r="A267" s="62"/>
      <c r="B267" s="68" t="str">
        <f t="shared" si="92"/>
        <v/>
      </c>
      <c r="C267" s="55" cm="1">
        <f t="array" aca="1" ref="C267" ca="1">SUM(IF(ISNUMBER(M267:U267),M267:U267,""))</f>
        <v>0</v>
      </c>
      <c r="D267" s="25" t="str">
        <f t="shared" si="76"/>
        <v/>
      </c>
      <c r="E267" s="25" t="e">
        <f t="shared" si="82"/>
        <v>#VALUE!</v>
      </c>
      <c r="F267" s="25" t="str">
        <f t="shared" si="77"/>
        <v/>
      </c>
      <c r="G267" s="25" t="str">
        <f t="shared" si="79"/>
        <v>.xlsx</v>
      </c>
      <c r="H267" s="29" t="e" cm="1">
        <f t="array" aca="1" ref="H267" ca="1">IF(AND(VALUE(E267)=INDIRECT("'["&amp;G267&amp;"]"&amp;E267&amp;"'!"&amp;$X$2),G267=INDIRECT("'["&amp;G267&amp;"]"&amp;E267&amp;"'!"&amp;$X$3)),INDIRECT("'["&amp;G267&amp;"]"&amp;E267&amp;"'!"&amp;$X$1),0)</f>
        <v>#VALUE!</v>
      </c>
      <c r="I267" s="25" t="str">
        <f t="shared" si="83"/>
        <v/>
      </c>
      <c r="J267" s="32" t="str">
        <f t="shared" si="84"/>
        <v/>
      </c>
      <c r="K267" s="25" t="str">
        <f t="shared" si="85"/>
        <v/>
      </c>
      <c r="L267" s="25" t="str">
        <f t="shared" si="86"/>
        <v/>
      </c>
      <c r="M267" s="33" t="e" cm="1">
        <f t="array" aca="1" ref="M267" ca="1">IF(AND(J267=INDIRECT("'["&amp;G267&amp;"]"&amp;E267&amp;"'!"&amp;$Y$2),G267=INDIRECT("'["&amp;G267&amp;"]"&amp;E267&amp;"'!"&amp;$AH$2)),INDIRECT("'["&amp;G267&amp;"]"&amp;E267&amp;"'!"&amp;$Y$3),0)</f>
        <v>#VALUE!</v>
      </c>
      <c r="N267" s="34" t="e" cm="1">
        <f t="array" aca="1" ref="N267" ca="1">IF(AND(G267=INDIRECT("'["&amp;G267&amp;"]"&amp;E267&amp;"'!"&amp;$AH$2),OR(K267=INDIRECT("'["&amp;G267&amp;"]"&amp;E267&amp;"'!"&amp;$Z$2))),INDIRECT("'["&amp;G267&amp;"]"&amp;E267&amp;"'!"&amp;$Z$3),0)</f>
        <v>#VALUE!</v>
      </c>
      <c r="O267" s="34" t="e" cm="1">
        <f t="array" aca="1" ref="O267" ca="1">IF(AND(G267=INDIRECT("'["&amp;G267&amp;"]"&amp;E267&amp;"'!"&amp;$AH$2),OR(L267=INDIRECT("'["&amp;G267&amp;"]"&amp;E267&amp;"'!"&amp;$AA$2))),INDIRECT("'["&amp;G267&amp;"]"&amp;E267&amp;"'!"&amp;$AA$3),0)</f>
        <v>#VALUE!</v>
      </c>
      <c r="P267" s="34" t="e" cm="1">
        <f t="array" aca="1" ref="P267" ca="1">IF(AND(G267=INDIRECT("'["&amp;G267&amp;"]"&amp;E267&amp;"'!"&amp;$AH$2),OR(VALUE(I267)=INDIRECT("'["&amp;G267&amp;"]"&amp;E267&amp;"'!"&amp;$AB$2))),INDIRECT("'["&amp;G267&amp;"]"&amp;E267&amp;"'!"&amp;$AB$3),0)</f>
        <v>#VALUE!</v>
      </c>
      <c r="Q267" s="34" t="e" cm="1">
        <f t="array" aca="1" ref="Q267" ca="1">IF(AND(G267=INDIRECT("'["&amp;G267&amp;"]"&amp;E267&amp;"'!"&amp;$AH$2),OR(VALUE(I267)=INDIRECT("'["&amp;G267&amp;"]"&amp;E267&amp;"'!"&amp;$AC$2))),INDIRECT("'["&amp;G267&amp;"]"&amp;E267&amp;"'!"&amp;$AC$3),0)</f>
        <v>#VALUE!</v>
      </c>
      <c r="R267" s="34" t="e" cm="1">
        <f t="array" aca="1" ref="R267" ca="1">IF(AND(G267=INDIRECT("'["&amp;G267&amp;"]"&amp;E267&amp;"'!"&amp;$AH$2),OR(I267=INDIRECT("'["&amp;G267&amp;"]"&amp;E267&amp;"'!"&amp;$AD$2))),INDIRECT("'["&amp;G267&amp;"]"&amp;E267&amp;"'!"&amp;$AD$3),0)</f>
        <v>#VALUE!</v>
      </c>
      <c r="S267" s="34" t="e" cm="1">
        <f t="array" aca="1" ref="S267" ca="1">IF(AND(G267=INDIRECT("'["&amp;G267&amp;"]"&amp;E267&amp;"'!"&amp;$AH$2),OR(I267=INDIRECT("'["&amp;G267&amp;"]"&amp;E267&amp;"'!"&amp;$AE$2))),INDIRECT("'["&amp;G267&amp;"]"&amp;E267&amp;"'!"&amp;$AE$3),0)</f>
        <v>#VALUE!</v>
      </c>
      <c r="T267" s="35" t="e" cm="1">
        <f t="array" aca="1" ref="T267" ca="1">IF(AND(G267=INDIRECT("'["&amp;G267&amp;"]"&amp;E267&amp;"'!"&amp;$AH$2),OR(I267=INDIRECT("'["&amp;G267&amp;"]"&amp;E267&amp;"'!"&amp;$AF$2))),INDIRECT("'["&amp;G267&amp;"]"&amp;E267&amp;"'!"&amp;$AF$3),0)</f>
        <v>#VALUE!</v>
      </c>
      <c r="U267" s="34" t="e" cm="1">
        <f t="array" aca="1" ref="U267" ca="1">IF(AND(G267=INDIRECT("'["&amp;G267&amp;"]"&amp;E267&amp;"'!"&amp;$AH$2),OR(I267=INDIRECT("'["&amp;G267&amp;"]"&amp;E267&amp;"'!"&amp;$AG$2))),INDIRECT("'["&amp;G267&amp;"]"&amp;E267&amp;"'!"&amp;$AG$3),0)</f>
        <v>#VALUE!</v>
      </c>
      <c r="V267" s="25" t="str">
        <f t="shared" si="87"/>
        <v/>
      </c>
      <c r="W267" s="36" t="e" cm="1">
        <f t="array" aca="1" ref="W267" ca="1">IF(AND(G267=INDIRECT("'["&amp;G267&amp;"]"&amp;E267&amp;"'!"&amp;$AH$2),OR(V267=INDIRECT("'["&amp;G267&amp;"]"&amp;E267&amp;"'!"&amp;$AI$2))),INDIRECT("'["&amp;G267&amp;"]"&amp;E267&amp;"'!"&amp;$AI$3),0)</f>
        <v>#VALUE!</v>
      </c>
      <c r="AJ267" s="25">
        <v>1</v>
      </c>
      <c r="AK267" s="38">
        <f t="shared" ca="1" si="88"/>
        <v>0</v>
      </c>
      <c r="AL267" s="38">
        <f t="shared" ca="1" si="89"/>
        <v>0</v>
      </c>
      <c r="AM267" s="54" t="str">
        <f t="shared" ca="1" si="80"/>
        <v/>
      </c>
      <c r="AN267" s="25" t="e">
        <f t="shared" ca="1" si="90"/>
        <v>#VALUE!</v>
      </c>
      <c r="AO267" s="25" t="e">
        <f t="shared" ca="1" si="91"/>
        <v>#VALUE!</v>
      </c>
      <c r="AP267" s="39" t="str">
        <f t="shared" ca="1" si="81"/>
        <v/>
      </c>
      <c r="AQ267" s="46" t="str">
        <f ca="1">IF(AND(C267&lt;&gt;0, C268=0), SUM($C$2:C267)-SUM($AQ$1:AQ266), "")</f>
        <v/>
      </c>
      <c r="AR267" s="46" t="str">
        <f ca="1">IF(AND(AK267&lt;&gt;0, AK268=0), SUM($AK$2:AK267)-SUM($AR$1:AR266), "")</f>
        <v/>
      </c>
    </row>
    <row r="268" spans="1:44" ht="13.15" customHeight="1">
      <c r="A268" s="62"/>
      <c r="B268" s="68" t="str">
        <f t="shared" si="92"/>
        <v/>
      </c>
      <c r="C268" s="55" cm="1">
        <f t="array" aca="1" ref="C268" ca="1">SUM(IF(ISNUMBER(M268:U268),M268:U268,""))</f>
        <v>0</v>
      </c>
      <c r="D268" s="25" t="str">
        <f t="shared" si="76"/>
        <v/>
      </c>
      <c r="E268" s="25" t="e">
        <f t="shared" si="82"/>
        <v>#VALUE!</v>
      </c>
      <c r="F268" s="25" t="str">
        <f t="shared" si="77"/>
        <v/>
      </c>
      <c r="G268" s="25" t="str">
        <f t="shared" si="79"/>
        <v>.xlsx</v>
      </c>
      <c r="H268" s="29" t="e" cm="1">
        <f t="array" aca="1" ref="H268" ca="1">IF(AND(VALUE(E268)=INDIRECT("'["&amp;G268&amp;"]"&amp;E268&amp;"'!"&amp;$X$2),G268=INDIRECT("'["&amp;G268&amp;"]"&amp;E268&amp;"'!"&amp;$X$3)),INDIRECT("'["&amp;G268&amp;"]"&amp;E268&amp;"'!"&amp;$X$1),0)</f>
        <v>#VALUE!</v>
      </c>
      <c r="I268" s="25" t="str">
        <f t="shared" si="83"/>
        <v/>
      </c>
      <c r="J268" s="32" t="str">
        <f t="shared" si="84"/>
        <v/>
      </c>
      <c r="K268" s="25" t="str">
        <f t="shared" si="85"/>
        <v/>
      </c>
      <c r="L268" s="25" t="str">
        <f t="shared" si="86"/>
        <v/>
      </c>
      <c r="M268" s="33" t="e" cm="1">
        <f t="array" aca="1" ref="M268" ca="1">IF(AND(J268=INDIRECT("'["&amp;G268&amp;"]"&amp;E268&amp;"'!"&amp;$Y$2),G268=INDIRECT("'["&amp;G268&amp;"]"&amp;E268&amp;"'!"&amp;$AH$2)),INDIRECT("'["&amp;G268&amp;"]"&amp;E268&amp;"'!"&amp;$Y$3),0)</f>
        <v>#VALUE!</v>
      </c>
      <c r="N268" s="34" t="e" cm="1">
        <f t="array" aca="1" ref="N268" ca="1">IF(AND(G268=INDIRECT("'["&amp;G268&amp;"]"&amp;E268&amp;"'!"&amp;$AH$2),OR(K268=INDIRECT("'["&amp;G268&amp;"]"&amp;E268&amp;"'!"&amp;$Z$2))),INDIRECT("'["&amp;G268&amp;"]"&amp;E268&amp;"'!"&amp;$Z$3),0)</f>
        <v>#VALUE!</v>
      </c>
      <c r="O268" s="34" t="e" cm="1">
        <f t="array" aca="1" ref="O268" ca="1">IF(AND(G268=INDIRECT("'["&amp;G268&amp;"]"&amp;E268&amp;"'!"&amp;$AH$2),OR(L268=INDIRECT("'["&amp;G268&amp;"]"&amp;E268&amp;"'!"&amp;$AA$2))),INDIRECT("'["&amp;G268&amp;"]"&amp;E268&amp;"'!"&amp;$AA$3),0)</f>
        <v>#VALUE!</v>
      </c>
      <c r="P268" s="34" t="e" cm="1">
        <f t="array" aca="1" ref="P268" ca="1">IF(AND(G268=INDIRECT("'["&amp;G268&amp;"]"&amp;E268&amp;"'!"&amp;$AH$2),OR(VALUE(I268)=INDIRECT("'["&amp;G268&amp;"]"&amp;E268&amp;"'!"&amp;$AB$2))),INDIRECT("'["&amp;G268&amp;"]"&amp;E268&amp;"'!"&amp;$AB$3),0)</f>
        <v>#VALUE!</v>
      </c>
      <c r="Q268" s="34" t="e" cm="1">
        <f t="array" aca="1" ref="Q268" ca="1">IF(AND(G268=INDIRECT("'["&amp;G268&amp;"]"&amp;E268&amp;"'!"&amp;$AH$2),OR(VALUE(I268)=INDIRECT("'["&amp;G268&amp;"]"&amp;E268&amp;"'!"&amp;$AC$2))),INDIRECT("'["&amp;G268&amp;"]"&amp;E268&amp;"'!"&amp;$AC$3),0)</f>
        <v>#VALUE!</v>
      </c>
      <c r="R268" s="34" t="e" cm="1">
        <f t="array" aca="1" ref="R268" ca="1">IF(AND(G268=INDIRECT("'["&amp;G268&amp;"]"&amp;E268&amp;"'!"&amp;$AH$2),OR(I268=INDIRECT("'["&amp;G268&amp;"]"&amp;E268&amp;"'!"&amp;$AD$2))),INDIRECT("'["&amp;G268&amp;"]"&amp;E268&amp;"'!"&amp;$AD$3),0)</f>
        <v>#VALUE!</v>
      </c>
      <c r="S268" s="34" t="e" cm="1">
        <f t="array" aca="1" ref="S268" ca="1">IF(AND(G268=INDIRECT("'["&amp;G268&amp;"]"&amp;E268&amp;"'!"&amp;$AH$2),OR(I268=INDIRECT("'["&amp;G268&amp;"]"&amp;E268&amp;"'!"&amp;$AE$2))),INDIRECT("'["&amp;G268&amp;"]"&amp;E268&amp;"'!"&amp;$AE$3),0)</f>
        <v>#VALUE!</v>
      </c>
      <c r="T268" s="35" t="e" cm="1">
        <f t="array" aca="1" ref="T268" ca="1">IF(AND(G268=INDIRECT("'["&amp;G268&amp;"]"&amp;E268&amp;"'!"&amp;$AH$2),OR(I268=INDIRECT("'["&amp;G268&amp;"]"&amp;E268&amp;"'!"&amp;$AF$2))),INDIRECT("'["&amp;G268&amp;"]"&amp;E268&amp;"'!"&amp;$AF$3),0)</f>
        <v>#VALUE!</v>
      </c>
      <c r="U268" s="34" t="e" cm="1">
        <f t="array" aca="1" ref="U268" ca="1">IF(AND(G268=INDIRECT("'["&amp;G268&amp;"]"&amp;E268&amp;"'!"&amp;$AH$2),OR(I268=INDIRECT("'["&amp;G268&amp;"]"&amp;E268&amp;"'!"&amp;$AG$2))),INDIRECT("'["&amp;G268&amp;"]"&amp;E268&amp;"'!"&amp;$AG$3),0)</f>
        <v>#VALUE!</v>
      </c>
      <c r="V268" s="25" t="str">
        <f t="shared" si="87"/>
        <v/>
      </c>
      <c r="W268" s="36" t="e" cm="1">
        <f t="array" aca="1" ref="W268" ca="1">IF(AND(G268=INDIRECT("'["&amp;G268&amp;"]"&amp;E268&amp;"'!"&amp;$AH$2),OR(V268=INDIRECT("'["&amp;G268&amp;"]"&amp;E268&amp;"'!"&amp;$AI$2))),INDIRECT("'["&amp;G268&amp;"]"&amp;E268&amp;"'!"&amp;$AI$3),0)</f>
        <v>#VALUE!</v>
      </c>
      <c r="AJ268" s="25">
        <v>1</v>
      </c>
      <c r="AK268" s="38">
        <f t="shared" ca="1" si="88"/>
        <v>0</v>
      </c>
      <c r="AL268" s="38">
        <f t="shared" ca="1" si="89"/>
        <v>0</v>
      </c>
      <c r="AM268" s="54" t="str">
        <f t="shared" ca="1" si="80"/>
        <v/>
      </c>
      <c r="AN268" s="25" t="e">
        <f t="shared" ca="1" si="90"/>
        <v>#VALUE!</v>
      </c>
      <c r="AO268" s="25" t="e">
        <f t="shared" ca="1" si="91"/>
        <v>#VALUE!</v>
      </c>
      <c r="AP268" s="39" t="str">
        <f t="shared" ca="1" si="81"/>
        <v/>
      </c>
      <c r="AQ268" s="46" t="str">
        <f ca="1">IF(AND(C268&lt;&gt;0, C269=0), SUM($C$2:C268)-SUM($AQ$1:AQ267), "")</f>
        <v/>
      </c>
      <c r="AR268" s="46" t="str">
        <f ca="1">IF(AND(AK268&lt;&gt;0, AK269=0), SUM($AK$2:AK268)-SUM($AR$1:AR267), "")</f>
        <v/>
      </c>
    </row>
    <row r="269" spans="1:44" ht="13.15" customHeight="1">
      <c r="A269" s="62"/>
      <c r="B269" s="68" t="str">
        <f t="shared" si="92"/>
        <v/>
      </c>
      <c r="C269" s="55" cm="1">
        <f t="array" aca="1" ref="C269" ca="1">SUM(IF(ISNUMBER(M269:U269),M269:U269,""))</f>
        <v>0</v>
      </c>
      <c r="D269" s="25" t="str">
        <f t="shared" si="76"/>
        <v/>
      </c>
      <c r="E269" s="25" t="e">
        <f t="shared" si="82"/>
        <v>#VALUE!</v>
      </c>
      <c r="F269" s="25" t="str">
        <f t="shared" si="77"/>
        <v/>
      </c>
      <c r="G269" s="25" t="str">
        <f t="shared" si="79"/>
        <v>.xlsx</v>
      </c>
      <c r="H269" s="29" t="e" cm="1">
        <f t="array" aca="1" ref="H269" ca="1">IF(AND(VALUE(E269)=INDIRECT("'["&amp;G269&amp;"]"&amp;E269&amp;"'!"&amp;$X$2),G269=INDIRECT("'["&amp;G269&amp;"]"&amp;E269&amp;"'!"&amp;$X$3)),INDIRECT("'["&amp;G269&amp;"]"&amp;E269&amp;"'!"&amp;$X$1),0)</f>
        <v>#VALUE!</v>
      </c>
      <c r="I269" s="25" t="str">
        <f t="shared" si="83"/>
        <v/>
      </c>
      <c r="J269" s="32" t="str">
        <f t="shared" si="84"/>
        <v/>
      </c>
      <c r="K269" s="25" t="str">
        <f t="shared" si="85"/>
        <v/>
      </c>
      <c r="L269" s="25" t="str">
        <f t="shared" si="86"/>
        <v/>
      </c>
      <c r="M269" s="33" t="e" cm="1">
        <f t="array" aca="1" ref="M269" ca="1">IF(AND(J269=INDIRECT("'["&amp;G269&amp;"]"&amp;E269&amp;"'!"&amp;$Y$2),G269=INDIRECT("'["&amp;G269&amp;"]"&amp;E269&amp;"'!"&amp;$AH$2)),INDIRECT("'["&amp;G269&amp;"]"&amp;E269&amp;"'!"&amp;$Y$3),0)</f>
        <v>#VALUE!</v>
      </c>
      <c r="N269" s="34" t="e" cm="1">
        <f t="array" aca="1" ref="N269" ca="1">IF(AND(G269=INDIRECT("'["&amp;G269&amp;"]"&amp;E269&amp;"'!"&amp;$AH$2),OR(K269=INDIRECT("'["&amp;G269&amp;"]"&amp;E269&amp;"'!"&amp;$Z$2))),INDIRECT("'["&amp;G269&amp;"]"&amp;E269&amp;"'!"&amp;$Z$3),0)</f>
        <v>#VALUE!</v>
      </c>
      <c r="O269" s="34" t="e" cm="1">
        <f t="array" aca="1" ref="O269" ca="1">IF(AND(G269=INDIRECT("'["&amp;G269&amp;"]"&amp;E269&amp;"'!"&amp;$AH$2),OR(L269=INDIRECT("'["&amp;G269&amp;"]"&amp;E269&amp;"'!"&amp;$AA$2))),INDIRECT("'["&amp;G269&amp;"]"&amp;E269&amp;"'!"&amp;$AA$3),0)</f>
        <v>#VALUE!</v>
      </c>
      <c r="P269" s="34" t="e" cm="1">
        <f t="array" aca="1" ref="P269" ca="1">IF(AND(G269=INDIRECT("'["&amp;G269&amp;"]"&amp;E269&amp;"'!"&amp;$AH$2),OR(VALUE(I269)=INDIRECT("'["&amp;G269&amp;"]"&amp;E269&amp;"'!"&amp;$AB$2))),INDIRECT("'["&amp;G269&amp;"]"&amp;E269&amp;"'!"&amp;$AB$3),0)</f>
        <v>#VALUE!</v>
      </c>
      <c r="Q269" s="34" t="e" cm="1">
        <f t="array" aca="1" ref="Q269" ca="1">IF(AND(G269=INDIRECT("'["&amp;G269&amp;"]"&amp;E269&amp;"'!"&amp;$AH$2),OR(VALUE(I269)=INDIRECT("'["&amp;G269&amp;"]"&amp;E269&amp;"'!"&amp;$AC$2))),INDIRECT("'["&amp;G269&amp;"]"&amp;E269&amp;"'!"&amp;$AC$3),0)</f>
        <v>#VALUE!</v>
      </c>
      <c r="R269" s="34" t="e" cm="1">
        <f t="array" aca="1" ref="R269" ca="1">IF(AND(G269=INDIRECT("'["&amp;G269&amp;"]"&amp;E269&amp;"'!"&amp;$AH$2),OR(I269=INDIRECT("'["&amp;G269&amp;"]"&amp;E269&amp;"'!"&amp;$AD$2))),INDIRECT("'["&amp;G269&amp;"]"&amp;E269&amp;"'!"&amp;$AD$3),0)</f>
        <v>#VALUE!</v>
      </c>
      <c r="S269" s="34" t="e" cm="1">
        <f t="array" aca="1" ref="S269" ca="1">IF(AND(G269=INDIRECT("'["&amp;G269&amp;"]"&amp;E269&amp;"'!"&amp;$AH$2),OR(I269=INDIRECT("'["&amp;G269&amp;"]"&amp;E269&amp;"'!"&amp;$AE$2))),INDIRECT("'["&amp;G269&amp;"]"&amp;E269&amp;"'!"&amp;$AE$3),0)</f>
        <v>#VALUE!</v>
      </c>
      <c r="T269" s="35" t="e" cm="1">
        <f t="array" aca="1" ref="T269" ca="1">IF(AND(G269=INDIRECT("'["&amp;G269&amp;"]"&amp;E269&amp;"'!"&amp;$AH$2),OR(I269=INDIRECT("'["&amp;G269&amp;"]"&amp;E269&amp;"'!"&amp;$AF$2))),INDIRECT("'["&amp;G269&amp;"]"&amp;E269&amp;"'!"&amp;$AF$3),0)</f>
        <v>#VALUE!</v>
      </c>
      <c r="U269" s="34" t="e" cm="1">
        <f t="array" aca="1" ref="U269" ca="1">IF(AND(G269=INDIRECT("'["&amp;G269&amp;"]"&amp;E269&amp;"'!"&amp;$AH$2),OR(I269=INDIRECT("'["&amp;G269&amp;"]"&amp;E269&amp;"'!"&amp;$AG$2))),INDIRECT("'["&amp;G269&amp;"]"&amp;E269&amp;"'!"&amp;$AG$3),0)</f>
        <v>#VALUE!</v>
      </c>
      <c r="V269" s="25" t="str">
        <f t="shared" si="87"/>
        <v/>
      </c>
      <c r="W269" s="36" t="e" cm="1">
        <f t="array" aca="1" ref="W269" ca="1">IF(AND(G269=INDIRECT("'["&amp;G269&amp;"]"&amp;E269&amp;"'!"&amp;$AH$2),OR(V269=INDIRECT("'["&amp;G269&amp;"]"&amp;E269&amp;"'!"&amp;$AI$2))),INDIRECT("'["&amp;G269&amp;"]"&amp;E269&amp;"'!"&amp;$AI$3),0)</f>
        <v>#VALUE!</v>
      </c>
      <c r="AJ269" s="25">
        <v>1</v>
      </c>
      <c r="AK269" s="38">
        <f t="shared" ca="1" si="88"/>
        <v>0</v>
      </c>
      <c r="AL269" s="38">
        <f t="shared" ca="1" si="89"/>
        <v>0</v>
      </c>
      <c r="AM269" s="54" t="str">
        <f t="shared" ca="1" si="80"/>
        <v/>
      </c>
      <c r="AN269" s="25" t="e">
        <f t="shared" ca="1" si="90"/>
        <v>#VALUE!</v>
      </c>
      <c r="AO269" s="25" t="e">
        <f t="shared" ca="1" si="91"/>
        <v>#VALUE!</v>
      </c>
      <c r="AP269" s="39" t="str">
        <f t="shared" ca="1" si="81"/>
        <v/>
      </c>
      <c r="AQ269" s="46" t="str">
        <f ca="1">IF(AND(C269&lt;&gt;0, C270=0), SUM($C$2:C269)-SUM($AQ$1:AQ268), "")</f>
        <v/>
      </c>
      <c r="AR269" s="46" t="str">
        <f ca="1">IF(AND(AK269&lt;&gt;0, AK270=0), SUM($AK$2:AK269)-SUM($AR$1:AR268), "")</f>
        <v/>
      </c>
    </row>
    <row r="270" spans="1:44" ht="13.15" customHeight="1">
      <c r="A270" s="62"/>
      <c r="B270" s="68" t="str">
        <f t="shared" si="92"/>
        <v/>
      </c>
      <c r="C270" s="55" cm="1">
        <f t="array" aca="1" ref="C270" ca="1">SUM(IF(ISNUMBER(M270:U270),M270:U270,""))</f>
        <v>0</v>
      </c>
      <c r="D270" s="25" t="str">
        <f t="shared" si="76"/>
        <v/>
      </c>
      <c r="E270" s="25" t="e">
        <f t="shared" si="82"/>
        <v>#VALUE!</v>
      </c>
      <c r="F270" s="25" t="str">
        <f t="shared" si="77"/>
        <v/>
      </c>
      <c r="G270" s="25" t="str">
        <f t="shared" si="79"/>
        <v>.xlsx</v>
      </c>
      <c r="H270" s="29" t="e" cm="1">
        <f t="array" aca="1" ref="H270" ca="1">IF(AND(VALUE(E270)=INDIRECT("'["&amp;G270&amp;"]"&amp;E270&amp;"'!"&amp;$X$2),G270=INDIRECT("'["&amp;G270&amp;"]"&amp;E270&amp;"'!"&amp;$X$3)),INDIRECT("'["&amp;G270&amp;"]"&amp;E270&amp;"'!"&amp;$X$1),0)</f>
        <v>#VALUE!</v>
      </c>
      <c r="I270" s="25" t="str">
        <f t="shared" si="83"/>
        <v/>
      </c>
      <c r="J270" s="32" t="str">
        <f t="shared" si="84"/>
        <v/>
      </c>
      <c r="K270" s="25" t="str">
        <f t="shared" si="85"/>
        <v/>
      </c>
      <c r="L270" s="25" t="str">
        <f t="shared" si="86"/>
        <v/>
      </c>
      <c r="M270" s="33" t="e" cm="1">
        <f t="array" aca="1" ref="M270" ca="1">IF(AND(J270=INDIRECT("'["&amp;G270&amp;"]"&amp;E270&amp;"'!"&amp;$Y$2),G270=INDIRECT("'["&amp;G270&amp;"]"&amp;E270&amp;"'!"&amp;$AH$2)),INDIRECT("'["&amp;G270&amp;"]"&amp;E270&amp;"'!"&amp;$Y$3),0)</f>
        <v>#VALUE!</v>
      </c>
      <c r="N270" s="34" t="e" cm="1">
        <f t="array" aca="1" ref="N270" ca="1">IF(AND(G270=INDIRECT("'["&amp;G270&amp;"]"&amp;E270&amp;"'!"&amp;$AH$2),OR(K270=INDIRECT("'["&amp;G270&amp;"]"&amp;E270&amp;"'!"&amp;$Z$2))),INDIRECT("'["&amp;G270&amp;"]"&amp;E270&amp;"'!"&amp;$Z$3),0)</f>
        <v>#VALUE!</v>
      </c>
      <c r="O270" s="34" t="e" cm="1">
        <f t="array" aca="1" ref="O270" ca="1">IF(AND(G270=INDIRECT("'["&amp;G270&amp;"]"&amp;E270&amp;"'!"&amp;$AH$2),OR(L270=INDIRECT("'["&amp;G270&amp;"]"&amp;E270&amp;"'!"&amp;$AA$2))),INDIRECT("'["&amp;G270&amp;"]"&amp;E270&amp;"'!"&amp;$AA$3),0)</f>
        <v>#VALUE!</v>
      </c>
      <c r="P270" s="34" t="e" cm="1">
        <f t="array" aca="1" ref="P270" ca="1">IF(AND(G270=INDIRECT("'["&amp;G270&amp;"]"&amp;E270&amp;"'!"&amp;$AH$2),OR(VALUE(I270)=INDIRECT("'["&amp;G270&amp;"]"&amp;E270&amp;"'!"&amp;$AB$2))),INDIRECT("'["&amp;G270&amp;"]"&amp;E270&amp;"'!"&amp;$AB$3),0)</f>
        <v>#VALUE!</v>
      </c>
      <c r="Q270" s="34" t="e" cm="1">
        <f t="array" aca="1" ref="Q270" ca="1">IF(AND(G270=INDIRECT("'["&amp;G270&amp;"]"&amp;E270&amp;"'!"&amp;$AH$2),OR(VALUE(I270)=INDIRECT("'["&amp;G270&amp;"]"&amp;E270&amp;"'!"&amp;$AC$2))),INDIRECT("'["&amp;G270&amp;"]"&amp;E270&amp;"'!"&amp;$AC$3),0)</f>
        <v>#VALUE!</v>
      </c>
      <c r="R270" s="34" t="e" cm="1">
        <f t="array" aca="1" ref="R270" ca="1">IF(AND(G270=INDIRECT("'["&amp;G270&amp;"]"&amp;E270&amp;"'!"&amp;$AH$2),OR(I270=INDIRECT("'["&amp;G270&amp;"]"&amp;E270&amp;"'!"&amp;$AD$2))),INDIRECT("'["&amp;G270&amp;"]"&amp;E270&amp;"'!"&amp;$AD$3),0)</f>
        <v>#VALUE!</v>
      </c>
      <c r="S270" s="34" t="e" cm="1">
        <f t="array" aca="1" ref="S270" ca="1">IF(AND(G270=INDIRECT("'["&amp;G270&amp;"]"&amp;E270&amp;"'!"&amp;$AH$2),OR(I270=INDIRECT("'["&amp;G270&amp;"]"&amp;E270&amp;"'!"&amp;$AE$2))),INDIRECT("'["&amp;G270&amp;"]"&amp;E270&amp;"'!"&amp;$AE$3),0)</f>
        <v>#VALUE!</v>
      </c>
      <c r="T270" s="35" t="e" cm="1">
        <f t="array" aca="1" ref="T270" ca="1">IF(AND(G270=INDIRECT("'["&amp;G270&amp;"]"&amp;E270&amp;"'!"&amp;$AH$2),OR(I270=INDIRECT("'["&amp;G270&amp;"]"&amp;E270&amp;"'!"&amp;$AF$2))),INDIRECT("'["&amp;G270&amp;"]"&amp;E270&amp;"'!"&amp;$AF$3),0)</f>
        <v>#VALUE!</v>
      </c>
      <c r="U270" s="34" t="e" cm="1">
        <f t="array" aca="1" ref="U270" ca="1">IF(AND(G270=INDIRECT("'["&amp;G270&amp;"]"&amp;E270&amp;"'!"&amp;$AH$2),OR(I270=INDIRECT("'["&amp;G270&amp;"]"&amp;E270&amp;"'!"&amp;$AG$2))),INDIRECT("'["&amp;G270&amp;"]"&amp;E270&amp;"'!"&amp;$AG$3),0)</f>
        <v>#VALUE!</v>
      </c>
      <c r="V270" s="25" t="str">
        <f t="shared" si="87"/>
        <v/>
      </c>
      <c r="W270" s="36" t="e" cm="1">
        <f t="array" aca="1" ref="W270" ca="1">IF(AND(G270=INDIRECT("'["&amp;G270&amp;"]"&amp;E270&amp;"'!"&amp;$AH$2),OR(V270=INDIRECT("'["&amp;G270&amp;"]"&amp;E270&amp;"'!"&amp;$AI$2))),INDIRECT("'["&amp;G270&amp;"]"&amp;E270&amp;"'!"&amp;$AI$3),0)</f>
        <v>#VALUE!</v>
      </c>
      <c r="AJ270" s="25">
        <v>1</v>
      </c>
      <c r="AK270" s="38">
        <f t="shared" ca="1" si="88"/>
        <v>0</v>
      </c>
      <c r="AL270" s="38">
        <f t="shared" ca="1" si="89"/>
        <v>0</v>
      </c>
      <c r="AM270" s="54" t="str">
        <f t="shared" ca="1" si="80"/>
        <v/>
      </c>
      <c r="AN270" s="25" t="e">
        <f t="shared" ca="1" si="90"/>
        <v>#VALUE!</v>
      </c>
      <c r="AO270" s="25" t="e">
        <f t="shared" ca="1" si="91"/>
        <v>#VALUE!</v>
      </c>
      <c r="AP270" s="39" t="str">
        <f t="shared" ca="1" si="81"/>
        <v/>
      </c>
      <c r="AQ270" s="46" t="str">
        <f ca="1">IF(AND(C270&lt;&gt;0, C271=0), SUM($C$2:C270)-SUM($AQ$1:AQ269), "")</f>
        <v/>
      </c>
      <c r="AR270" s="46" t="str">
        <f ca="1">IF(AND(AK270&lt;&gt;0, AK271=0), SUM($AK$2:AK270)-SUM($AR$1:AR269), "")</f>
        <v/>
      </c>
    </row>
    <row r="271" spans="1:44" ht="13.15" customHeight="1">
      <c r="A271" s="62"/>
      <c r="B271" s="68" t="str">
        <f t="shared" si="92"/>
        <v/>
      </c>
      <c r="C271" s="55" cm="1">
        <f t="array" aca="1" ref="C271" ca="1">SUM(IF(ISNUMBER(M271:U271),M271:U271,""))</f>
        <v>0</v>
      </c>
      <c r="D271" s="25" t="str">
        <f t="shared" si="76"/>
        <v/>
      </c>
      <c r="E271" s="25" t="e">
        <f t="shared" si="82"/>
        <v>#VALUE!</v>
      </c>
      <c r="F271" s="25" t="str">
        <f t="shared" si="77"/>
        <v/>
      </c>
      <c r="G271" s="25" t="str">
        <f t="shared" si="79"/>
        <v>.xlsx</v>
      </c>
      <c r="H271" s="29" t="e" cm="1">
        <f t="array" aca="1" ref="H271" ca="1">IF(AND(VALUE(E271)=INDIRECT("'["&amp;G271&amp;"]"&amp;E271&amp;"'!"&amp;$X$2),G271=INDIRECT("'["&amp;G271&amp;"]"&amp;E271&amp;"'!"&amp;$X$3)),INDIRECT("'["&amp;G271&amp;"]"&amp;E271&amp;"'!"&amp;$X$1),0)</f>
        <v>#VALUE!</v>
      </c>
      <c r="I271" s="25" t="str">
        <f t="shared" si="83"/>
        <v/>
      </c>
      <c r="J271" s="32" t="str">
        <f t="shared" si="84"/>
        <v/>
      </c>
      <c r="K271" s="25" t="str">
        <f t="shared" si="85"/>
        <v/>
      </c>
      <c r="L271" s="25" t="str">
        <f t="shared" si="86"/>
        <v/>
      </c>
      <c r="M271" s="33" t="e" cm="1">
        <f t="array" aca="1" ref="M271" ca="1">IF(AND(J271=INDIRECT("'["&amp;G271&amp;"]"&amp;E271&amp;"'!"&amp;$Y$2),G271=INDIRECT("'["&amp;G271&amp;"]"&amp;E271&amp;"'!"&amp;$AH$2)),INDIRECT("'["&amp;G271&amp;"]"&amp;E271&amp;"'!"&amp;$Y$3),0)</f>
        <v>#VALUE!</v>
      </c>
      <c r="N271" s="34" t="e" cm="1">
        <f t="array" aca="1" ref="N271" ca="1">IF(AND(G271=INDIRECT("'["&amp;G271&amp;"]"&amp;E271&amp;"'!"&amp;$AH$2),OR(K271=INDIRECT("'["&amp;G271&amp;"]"&amp;E271&amp;"'!"&amp;$Z$2))),INDIRECT("'["&amp;G271&amp;"]"&amp;E271&amp;"'!"&amp;$Z$3),0)</f>
        <v>#VALUE!</v>
      </c>
      <c r="O271" s="34" t="e" cm="1">
        <f t="array" aca="1" ref="O271" ca="1">IF(AND(G271=INDIRECT("'["&amp;G271&amp;"]"&amp;E271&amp;"'!"&amp;$AH$2),OR(L271=INDIRECT("'["&amp;G271&amp;"]"&amp;E271&amp;"'!"&amp;$AA$2))),INDIRECT("'["&amp;G271&amp;"]"&amp;E271&amp;"'!"&amp;$AA$3),0)</f>
        <v>#VALUE!</v>
      </c>
      <c r="P271" s="34" t="e" cm="1">
        <f t="array" aca="1" ref="P271" ca="1">IF(AND(G271=INDIRECT("'["&amp;G271&amp;"]"&amp;E271&amp;"'!"&amp;$AH$2),OR(VALUE(I271)=INDIRECT("'["&amp;G271&amp;"]"&amp;E271&amp;"'!"&amp;$AB$2))),INDIRECT("'["&amp;G271&amp;"]"&amp;E271&amp;"'!"&amp;$AB$3),0)</f>
        <v>#VALUE!</v>
      </c>
      <c r="Q271" s="34" t="e" cm="1">
        <f t="array" aca="1" ref="Q271" ca="1">IF(AND(G271=INDIRECT("'["&amp;G271&amp;"]"&amp;E271&amp;"'!"&amp;$AH$2),OR(VALUE(I271)=INDIRECT("'["&amp;G271&amp;"]"&amp;E271&amp;"'!"&amp;$AC$2))),INDIRECT("'["&amp;G271&amp;"]"&amp;E271&amp;"'!"&amp;$AC$3),0)</f>
        <v>#VALUE!</v>
      </c>
      <c r="R271" s="34" t="e" cm="1">
        <f t="array" aca="1" ref="R271" ca="1">IF(AND(G271=INDIRECT("'["&amp;G271&amp;"]"&amp;E271&amp;"'!"&amp;$AH$2),OR(I271=INDIRECT("'["&amp;G271&amp;"]"&amp;E271&amp;"'!"&amp;$AD$2))),INDIRECT("'["&amp;G271&amp;"]"&amp;E271&amp;"'!"&amp;$AD$3),0)</f>
        <v>#VALUE!</v>
      </c>
      <c r="S271" s="34" t="e" cm="1">
        <f t="array" aca="1" ref="S271" ca="1">IF(AND(G271=INDIRECT("'["&amp;G271&amp;"]"&amp;E271&amp;"'!"&amp;$AH$2),OR(I271=INDIRECT("'["&amp;G271&amp;"]"&amp;E271&amp;"'!"&amp;$AE$2))),INDIRECT("'["&amp;G271&amp;"]"&amp;E271&amp;"'!"&amp;$AE$3),0)</f>
        <v>#VALUE!</v>
      </c>
      <c r="T271" s="35" t="e" cm="1">
        <f t="array" aca="1" ref="T271" ca="1">IF(AND(G271=INDIRECT("'["&amp;G271&amp;"]"&amp;E271&amp;"'!"&amp;$AH$2),OR(I271=INDIRECT("'["&amp;G271&amp;"]"&amp;E271&amp;"'!"&amp;$AF$2))),INDIRECT("'["&amp;G271&amp;"]"&amp;E271&amp;"'!"&amp;$AF$3),0)</f>
        <v>#VALUE!</v>
      </c>
      <c r="U271" s="34" t="e" cm="1">
        <f t="array" aca="1" ref="U271" ca="1">IF(AND(G271=INDIRECT("'["&amp;G271&amp;"]"&amp;E271&amp;"'!"&amp;$AH$2),OR(I271=INDIRECT("'["&amp;G271&amp;"]"&amp;E271&amp;"'!"&amp;$AG$2))),INDIRECT("'["&amp;G271&amp;"]"&amp;E271&amp;"'!"&amp;$AG$3),0)</f>
        <v>#VALUE!</v>
      </c>
      <c r="V271" s="25" t="str">
        <f t="shared" si="87"/>
        <v/>
      </c>
      <c r="W271" s="36" t="e" cm="1">
        <f t="array" aca="1" ref="W271" ca="1">IF(AND(G271=INDIRECT("'["&amp;G271&amp;"]"&amp;E271&amp;"'!"&amp;$AH$2),OR(V271=INDIRECT("'["&amp;G271&amp;"]"&amp;E271&amp;"'!"&amp;$AI$2))),INDIRECT("'["&amp;G271&amp;"]"&amp;E271&amp;"'!"&amp;$AI$3),0)</f>
        <v>#VALUE!</v>
      </c>
      <c r="AJ271" s="25">
        <v>1</v>
      </c>
      <c r="AK271" s="38">
        <f t="shared" ca="1" si="88"/>
        <v>0</v>
      </c>
      <c r="AL271" s="38">
        <f t="shared" ca="1" si="89"/>
        <v>0</v>
      </c>
      <c r="AM271" s="54" t="str">
        <f t="shared" ca="1" si="80"/>
        <v/>
      </c>
      <c r="AN271" s="25" t="e">
        <f t="shared" ca="1" si="90"/>
        <v>#VALUE!</v>
      </c>
      <c r="AO271" s="25" t="e">
        <f t="shared" ca="1" si="91"/>
        <v>#VALUE!</v>
      </c>
      <c r="AP271" s="39" t="str">
        <f t="shared" ca="1" si="81"/>
        <v/>
      </c>
      <c r="AQ271" s="46" t="str">
        <f ca="1">IF(AND(C271&lt;&gt;0, C272=0), SUM($C$2:C271)-SUM($AQ$1:AQ270), "")</f>
        <v/>
      </c>
      <c r="AR271" s="46" t="str">
        <f ca="1">IF(AND(AK271&lt;&gt;0, AK272=0), SUM($AK$2:AK271)-SUM($AR$1:AR270), "")</f>
        <v/>
      </c>
    </row>
    <row r="272" spans="1:44" ht="13.15" customHeight="1">
      <c r="A272" s="62"/>
      <c r="B272" s="68" t="str">
        <f t="shared" si="92"/>
        <v/>
      </c>
      <c r="C272" s="55" cm="1">
        <f t="array" aca="1" ref="C272" ca="1">SUM(IF(ISNUMBER(M272:U272),M272:U272,""))</f>
        <v>0</v>
      </c>
      <c r="D272" s="25" t="str">
        <f t="shared" si="76"/>
        <v/>
      </c>
      <c r="E272" s="25" t="e">
        <f t="shared" si="82"/>
        <v>#VALUE!</v>
      </c>
      <c r="F272" s="25" t="str">
        <f t="shared" si="77"/>
        <v/>
      </c>
      <c r="G272" s="25" t="str">
        <f t="shared" si="79"/>
        <v>.xlsx</v>
      </c>
      <c r="H272" s="29" t="e" cm="1">
        <f t="array" aca="1" ref="H272" ca="1">IF(AND(VALUE(E272)=INDIRECT("'["&amp;G272&amp;"]"&amp;E272&amp;"'!"&amp;$X$2),G272=INDIRECT("'["&amp;G272&amp;"]"&amp;E272&amp;"'!"&amp;$X$3)),INDIRECT("'["&amp;G272&amp;"]"&amp;E272&amp;"'!"&amp;$X$1),0)</f>
        <v>#VALUE!</v>
      </c>
      <c r="I272" s="25" t="str">
        <f t="shared" si="83"/>
        <v/>
      </c>
      <c r="J272" s="32" t="str">
        <f t="shared" si="84"/>
        <v/>
      </c>
      <c r="K272" s="25" t="str">
        <f t="shared" si="85"/>
        <v/>
      </c>
      <c r="L272" s="25" t="str">
        <f t="shared" si="86"/>
        <v/>
      </c>
      <c r="M272" s="33" t="e" cm="1">
        <f t="array" aca="1" ref="M272" ca="1">IF(AND(J272=INDIRECT("'["&amp;G272&amp;"]"&amp;E272&amp;"'!"&amp;$Y$2),G272=INDIRECT("'["&amp;G272&amp;"]"&amp;E272&amp;"'!"&amp;$AH$2)),INDIRECT("'["&amp;G272&amp;"]"&amp;E272&amp;"'!"&amp;$Y$3),0)</f>
        <v>#VALUE!</v>
      </c>
      <c r="N272" s="34" t="e" cm="1">
        <f t="array" aca="1" ref="N272" ca="1">IF(AND(G272=INDIRECT("'["&amp;G272&amp;"]"&amp;E272&amp;"'!"&amp;$AH$2),OR(K272=INDIRECT("'["&amp;G272&amp;"]"&amp;E272&amp;"'!"&amp;$Z$2))),INDIRECT("'["&amp;G272&amp;"]"&amp;E272&amp;"'!"&amp;$Z$3),0)</f>
        <v>#VALUE!</v>
      </c>
      <c r="O272" s="34" t="e" cm="1">
        <f t="array" aca="1" ref="O272" ca="1">IF(AND(G272=INDIRECT("'["&amp;G272&amp;"]"&amp;E272&amp;"'!"&amp;$AH$2),OR(L272=INDIRECT("'["&amp;G272&amp;"]"&amp;E272&amp;"'!"&amp;$AA$2))),INDIRECT("'["&amp;G272&amp;"]"&amp;E272&amp;"'!"&amp;$AA$3),0)</f>
        <v>#VALUE!</v>
      </c>
      <c r="P272" s="34" t="e" cm="1">
        <f t="array" aca="1" ref="P272" ca="1">IF(AND(G272=INDIRECT("'["&amp;G272&amp;"]"&amp;E272&amp;"'!"&amp;$AH$2),OR(VALUE(I272)=INDIRECT("'["&amp;G272&amp;"]"&amp;E272&amp;"'!"&amp;$AB$2))),INDIRECT("'["&amp;G272&amp;"]"&amp;E272&amp;"'!"&amp;$AB$3),0)</f>
        <v>#VALUE!</v>
      </c>
      <c r="Q272" s="34" t="e" cm="1">
        <f t="array" aca="1" ref="Q272" ca="1">IF(AND(G272=INDIRECT("'["&amp;G272&amp;"]"&amp;E272&amp;"'!"&amp;$AH$2),OR(VALUE(I272)=INDIRECT("'["&amp;G272&amp;"]"&amp;E272&amp;"'!"&amp;$AC$2))),INDIRECT("'["&amp;G272&amp;"]"&amp;E272&amp;"'!"&amp;$AC$3),0)</f>
        <v>#VALUE!</v>
      </c>
      <c r="R272" s="34" t="e" cm="1">
        <f t="array" aca="1" ref="R272" ca="1">IF(AND(G272=INDIRECT("'["&amp;G272&amp;"]"&amp;E272&amp;"'!"&amp;$AH$2),OR(I272=INDIRECT("'["&amp;G272&amp;"]"&amp;E272&amp;"'!"&amp;$AD$2))),INDIRECT("'["&amp;G272&amp;"]"&amp;E272&amp;"'!"&amp;$AD$3),0)</f>
        <v>#VALUE!</v>
      </c>
      <c r="S272" s="34" t="e" cm="1">
        <f t="array" aca="1" ref="S272" ca="1">IF(AND(G272=INDIRECT("'["&amp;G272&amp;"]"&amp;E272&amp;"'!"&amp;$AH$2),OR(I272=INDIRECT("'["&amp;G272&amp;"]"&amp;E272&amp;"'!"&amp;$AE$2))),INDIRECT("'["&amp;G272&amp;"]"&amp;E272&amp;"'!"&amp;$AE$3),0)</f>
        <v>#VALUE!</v>
      </c>
      <c r="T272" s="35" t="e" cm="1">
        <f t="array" aca="1" ref="T272" ca="1">IF(AND(G272=INDIRECT("'["&amp;G272&amp;"]"&amp;E272&amp;"'!"&amp;$AH$2),OR(I272=INDIRECT("'["&amp;G272&amp;"]"&amp;E272&amp;"'!"&amp;$AF$2))),INDIRECT("'["&amp;G272&amp;"]"&amp;E272&amp;"'!"&amp;$AF$3),0)</f>
        <v>#VALUE!</v>
      </c>
      <c r="U272" s="34" t="e" cm="1">
        <f t="array" aca="1" ref="U272" ca="1">IF(AND(G272=INDIRECT("'["&amp;G272&amp;"]"&amp;E272&amp;"'!"&amp;$AH$2),OR(I272=INDIRECT("'["&amp;G272&amp;"]"&amp;E272&amp;"'!"&amp;$AG$2))),INDIRECT("'["&amp;G272&amp;"]"&amp;E272&amp;"'!"&amp;$AG$3),0)</f>
        <v>#VALUE!</v>
      </c>
      <c r="V272" s="25" t="str">
        <f t="shared" si="87"/>
        <v/>
      </c>
      <c r="W272" s="36" t="e" cm="1">
        <f t="array" aca="1" ref="W272" ca="1">IF(AND(G272=INDIRECT("'["&amp;G272&amp;"]"&amp;E272&amp;"'!"&amp;$AH$2),OR(V272=INDIRECT("'["&amp;G272&amp;"]"&amp;E272&amp;"'!"&amp;$AI$2))),INDIRECT("'["&amp;G272&amp;"]"&amp;E272&amp;"'!"&amp;$AI$3),0)</f>
        <v>#VALUE!</v>
      </c>
      <c r="AJ272" s="25">
        <v>1</v>
      </c>
      <c r="AK272" s="38">
        <f t="shared" ca="1" si="88"/>
        <v>0</v>
      </c>
      <c r="AL272" s="38">
        <f t="shared" ca="1" si="89"/>
        <v>0</v>
      </c>
      <c r="AM272" s="54" t="str">
        <f t="shared" ca="1" si="80"/>
        <v/>
      </c>
      <c r="AN272" s="25" t="e">
        <f t="shared" ca="1" si="90"/>
        <v>#VALUE!</v>
      </c>
      <c r="AO272" s="25" t="e">
        <f t="shared" ca="1" si="91"/>
        <v>#VALUE!</v>
      </c>
      <c r="AP272" s="39" t="str">
        <f t="shared" ca="1" si="81"/>
        <v/>
      </c>
      <c r="AQ272" s="46" t="str">
        <f ca="1">IF(AND(C272&lt;&gt;0, C273=0), SUM($C$2:C272)-SUM($AQ$1:AQ271), "")</f>
        <v/>
      </c>
      <c r="AR272" s="46" t="str">
        <f ca="1">IF(AND(AK272&lt;&gt;0, AK273=0), SUM($AK$2:AK272)-SUM($AR$1:AR271), "")</f>
        <v/>
      </c>
    </row>
    <row r="273" spans="1:44" ht="13.15" customHeight="1">
      <c r="A273" s="62"/>
      <c r="B273" s="68" t="str">
        <f t="shared" si="92"/>
        <v/>
      </c>
      <c r="C273" s="55" cm="1">
        <f t="array" aca="1" ref="C273" ca="1">SUM(IF(ISNUMBER(M273:U273),M273:U273,""))</f>
        <v>0</v>
      </c>
      <c r="D273" s="25" t="str">
        <f t="shared" si="76"/>
        <v/>
      </c>
      <c r="E273" s="25" t="e">
        <f t="shared" si="82"/>
        <v>#VALUE!</v>
      </c>
      <c r="F273" s="25" t="str">
        <f t="shared" si="77"/>
        <v/>
      </c>
      <c r="G273" s="25" t="str">
        <f t="shared" si="79"/>
        <v>.xlsx</v>
      </c>
      <c r="H273" s="29" t="e" cm="1">
        <f t="array" aca="1" ref="H273" ca="1">IF(AND(VALUE(E273)=INDIRECT("'["&amp;G273&amp;"]"&amp;E273&amp;"'!"&amp;$X$2),G273=INDIRECT("'["&amp;G273&amp;"]"&amp;E273&amp;"'!"&amp;$X$3)),INDIRECT("'["&amp;G273&amp;"]"&amp;E273&amp;"'!"&amp;$X$1),0)</f>
        <v>#VALUE!</v>
      </c>
      <c r="I273" s="25" t="str">
        <f t="shared" si="83"/>
        <v/>
      </c>
      <c r="J273" s="32" t="str">
        <f t="shared" si="84"/>
        <v/>
      </c>
      <c r="K273" s="25" t="str">
        <f t="shared" si="85"/>
        <v/>
      </c>
      <c r="L273" s="25" t="str">
        <f t="shared" si="86"/>
        <v/>
      </c>
      <c r="M273" s="33" t="e" cm="1">
        <f t="array" aca="1" ref="M273" ca="1">IF(AND(J273=INDIRECT("'["&amp;G273&amp;"]"&amp;E273&amp;"'!"&amp;$Y$2),G273=INDIRECT("'["&amp;G273&amp;"]"&amp;E273&amp;"'!"&amp;$AH$2)),INDIRECT("'["&amp;G273&amp;"]"&amp;E273&amp;"'!"&amp;$Y$3),0)</f>
        <v>#VALUE!</v>
      </c>
      <c r="N273" s="34" t="e" cm="1">
        <f t="array" aca="1" ref="N273" ca="1">IF(AND(G273=INDIRECT("'["&amp;G273&amp;"]"&amp;E273&amp;"'!"&amp;$AH$2),OR(K273=INDIRECT("'["&amp;G273&amp;"]"&amp;E273&amp;"'!"&amp;$Z$2))),INDIRECT("'["&amp;G273&amp;"]"&amp;E273&amp;"'!"&amp;$Z$3),0)</f>
        <v>#VALUE!</v>
      </c>
      <c r="O273" s="34" t="e" cm="1">
        <f t="array" aca="1" ref="O273" ca="1">IF(AND(G273=INDIRECT("'["&amp;G273&amp;"]"&amp;E273&amp;"'!"&amp;$AH$2),OR(L273=INDIRECT("'["&amp;G273&amp;"]"&amp;E273&amp;"'!"&amp;$AA$2))),INDIRECT("'["&amp;G273&amp;"]"&amp;E273&amp;"'!"&amp;$AA$3),0)</f>
        <v>#VALUE!</v>
      </c>
      <c r="P273" s="34" t="e" cm="1">
        <f t="array" aca="1" ref="P273" ca="1">IF(AND(G273=INDIRECT("'["&amp;G273&amp;"]"&amp;E273&amp;"'!"&amp;$AH$2),OR(VALUE(I273)=INDIRECT("'["&amp;G273&amp;"]"&amp;E273&amp;"'!"&amp;$AB$2))),INDIRECT("'["&amp;G273&amp;"]"&amp;E273&amp;"'!"&amp;$AB$3),0)</f>
        <v>#VALUE!</v>
      </c>
      <c r="Q273" s="34" t="e" cm="1">
        <f t="array" aca="1" ref="Q273" ca="1">IF(AND(G273=INDIRECT("'["&amp;G273&amp;"]"&amp;E273&amp;"'!"&amp;$AH$2),OR(VALUE(I273)=INDIRECT("'["&amp;G273&amp;"]"&amp;E273&amp;"'!"&amp;$AC$2))),INDIRECT("'["&amp;G273&amp;"]"&amp;E273&amp;"'!"&amp;$AC$3),0)</f>
        <v>#VALUE!</v>
      </c>
      <c r="R273" s="34" t="e" cm="1">
        <f t="array" aca="1" ref="R273" ca="1">IF(AND(G273=INDIRECT("'["&amp;G273&amp;"]"&amp;E273&amp;"'!"&amp;$AH$2),OR(I273=INDIRECT("'["&amp;G273&amp;"]"&amp;E273&amp;"'!"&amp;$AD$2))),INDIRECT("'["&amp;G273&amp;"]"&amp;E273&amp;"'!"&amp;$AD$3),0)</f>
        <v>#VALUE!</v>
      </c>
      <c r="S273" s="34" t="e" cm="1">
        <f t="array" aca="1" ref="S273" ca="1">IF(AND(G273=INDIRECT("'["&amp;G273&amp;"]"&amp;E273&amp;"'!"&amp;$AH$2),OR(I273=INDIRECT("'["&amp;G273&amp;"]"&amp;E273&amp;"'!"&amp;$AE$2))),INDIRECT("'["&amp;G273&amp;"]"&amp;E273&amp;"'!"&amp;$AE$3),0)</f>
        <v>#VALUE!</v>
      </c>
      <c r="T273" s="35" t="e" cm="1">
        <f t="array" aca="1" ref="T273" ca="1">IF(AND(G273=INDIRECT("'["&amp;G273&amp;"]"&amp;E273&amp;"'!"&amp;$AH$2),OR(I273=INDIRECT("'["&amp;G273&amp;"]"&amp;E273&amp;"'!"&amp;$AF$2))),INDIRECT("'["&amp;G273&amp;"]"&amp;E273&amp;"'!"&amp;$AF$3),0)</f>
        <v>#VALUE!</v>
      </c>
      <c r="U273" s="34" t="e" cm="1">
        <f t="array" aca="1" ref="U273" ca="1">IF(AND(G273=INDIRECT("'["&amp;G273&amp;"]"&amp;E273&amp;"'!"&amp;$AH$2),OR(I273=INDIRECT("'["&amp;G273&amp;"]"&amp;E273&amp;"'!"&amp;$AG$2))),INDIRECT("'["&amp;G273&amp;"]"&amp;E273&amp;"'!"&amp;$AG$3),0)</f>
        <v>#VALUE!</v>
      </c>
      <c r="V273" s="25" t="str">
        <f t="shared" si="87"/>
        <v/>
      </c>
      <c r="W273" s="36" t="e" cm="1">
        <f t="array" aca="1" ref="W273" ca="1">IF(AND(G273=INDIRECT("'["&amp;G273&amp;"]"&amp;E273&amp;"'!"&amp;$AH$2),OR(V273=INDIRECT("'["&amp;G273&amp;"]"&amp;E273&amp;"'!"&amp;$AI$2))),INDIRECT("'["&amp;G273&amp;"]"&amp;E273&amp;"'!"&amp;$AI$3),0)</f>
        <v>#VALUE!</v>
      </c>
      <c r="AJ273" s="25">
        <v>1</v>
      </c>
      <c r="AK273" s="38">
        <f t="shared" ca="1" si="88"/>
        <v>0</v>
      </c>
      <c r="AL273" s="38">
        <f t="shared" ca="1" si="89"/>
        <v>0</v>
      </c>
      <c r="AM273" s="54" t="str">
        <f t="shared" ca="1" si="80"/>
        <v/>
      </c>
      <c r="AN273" s="25" t="e">
        <f t="shared" ca="1" si="90"/>
        <v>#VALUE!</v>
      </c>
      <c r="AO273" s="25" t="e">
        <f t="shared" ca="1" si="91"/>
        <v>#VALUE!</v>
      </c>
      <c r="AP273" s="39" t="str">
        <f t="shared" ca="1" si="81"/>
        <v/>
      </c>
      <c r="AQ273" s="46" t="str">
        <f ca="1">IF(AND(C273&lt;&gt;0, C274=0), SUM($C$2:C273)-SUM($AQ$1:AQ272), "")</f>
        <v/>
      </c>
      <c r="AR273" s="46" t="str">
        <f ca="1">IF(AND(AK273&lt;&gt;0, AK274=0), SUM($AK$2:AK273)-SUM($AR$1:AR272), "")</f>
        <v/>
      </c>
    </row>
    <row r="274" spans="1:44" ht="13.15" customHeight="1">
      <c r="A274" s="62"/>
      <c r="B274" s="68" t="str">
        <f t="shared" si="92"/>
        <v/>
      </c>
      <c r="C274" s="55" cm="1">
        <f t="array" aca="1" ref="C274" ca="1">SUM(IF(ISNUMBER(M274:U274),M274:U274,""))</f>
        <v>0</v>
      </c>
      <c r="D274" s="25" t="str">
        <f t="shared" si="76"/>
        <v/>
      </c>
      <c r="E274" s="25" t="e">
        <f t="shared" si="82"/>
        <v>#VALUE!</v>
      </c>
      <c r="F274" s="25" t="str">
        <f t="shared" si="77"/>
        <v/>
      </c>
      <c r="G274" s="25" t="str">
        <f t="shared" si="79"/>
        <v>.xlsx</v>
      </c>
      <c r="H274" s="29" t="e" cm="1">
        <f t="array" aca="1" ref="H274" ca="1">IF(AND(VALUE(E274)=INDIRECT("'["&amp;G274&amp;"]"&amp;E274&amp;"'!"&amp;$X$2),G274=INDIRECT("'["&amp;G274&amp;"]"&amp;E274&amp;"'!"&amp;$X$3)),INDIRECT("'["&amp;G274&amp;"]"&amp;E274&amp;"'!"&amp;$X$1),0)</f>
        <v>#VALUE!</v>
      </c>
      <c r="I274" s="25" t="str">
        <f t="shared" si="83"/>
        <v/>
      </c>
      <c r="J274" s="32" t="str">
        <f t="shared" si="84"/>
        <v/>
      </c>
      <c r="K274" s="25" t="str">
        <f t="shared" si="85"/>
        <v/>
      </c>
      <c r="L274" s="25" t="str">
        <f t="shared" si="86"/>
        <v/>
      </c>
      <c r="M274" s="33" t="e" cm="1">
        <f t="array" aca="1" ref="M274" ca="1">IF(AND(J274=INDIRECT("'["&amp;G274&amp;"]"&amp;E274&amp;"'!"&amp;$Y$2),G274=INDIRECT("'["&amp;G274&amp;"]"&amp;E274&amp;"'!"&amp;$AH$2)),INDIRECT("'["&amp;G274&amp;"]"&amp;E274&amp;"'!"&amp;$Y$3),0)</f>
        <v>#VALUE!</v>
      </c>
      <c r="N274" s="34" t="e" cm="1">
        <f t="array" aca="1" ref="N274" ca="1">IF(AND(G274=INDIRECT("'["&amp;G274&amp;"]"&amp;E274&amp;"'!"&amp;$AH$2),OR(K274=INDIRECT("'["&amp;G274&amp;"]"&amp;E274&amp;"'!"&amp;$Z$2))),INDIRECT("'["&amp;G274&amp;"]"&amp;E274&amp;"'!"&amp;$Z$3),0)</f>
        <v>#VALUE!</v>
      </c>
      <c r="O274" s="34" t="e" cm="1">
        <f t="array" aca="1" ref="O274" ca="1">IF(AND(G274=INDIRECT("'["&amp;G274&amp;"]"&amp;E274&amp;"'!"&amp;$AH$2),OR(L274=INDIRECT("'["&amp;G274&amp;"]"&amp;E274&amp;"'!"&amp;$AA$2))),INDIRECT("'["&amp;G274&amp;"]"&amp;E274&amp;"'!"&amp;$AA$3),0)</f>
        <v>#VALUE!</v>
      </c>
      <c r="P274" s="34" t="e" cm="1">
        <f t="array" aca="1" ref="P274" ca="1">IF(AND(G274=INDIRECT("'["&amp;G274&amp;"]"&amp;E274&amp;"'!"&amp;$AH$2),OR(VALUE(I274)=INDIRECT("'["&amp;G274&amp;"]"&amp;E274&amp;"'!"&amp;$AB$2))),INDIRECT("'["&amp;G274&amp;"]"&amp;E274&amp;"'!"&amp;$AB$3),0)</f>
        <v>#VALUE!</v>
      </c>
      <c r="Q274" s="34" t="e" cm="1">
        <f t="array" aca="1" ref="Q274" ca="1">IF(AND(G274=INDIRECT("'["&amp;G274&amp;"]"&amp;E274&amp;"'!"&amp;$AH$2),OR(VALUE(I274)=INDIRECT("'["&amp;G274&amp;"]"&amp;E274&amp;"'!"&amp;$AC$2))),INDIRECT("'["&amp;G274&amp;"]"&amp;E274&amp;"'!"&amp;$AC$3),0)</f>
        <v>#VALUE!</v>
      </c>
      <c r="R274" s="34" t="e" cm="1">
        <f t="array" aca="1" ref="R274" ca="1">IF(AND(G274=INDIRECT("'["&amp;G274&amp;"]"&amp;E274&amp;"'!"&amp;$AH$2),OR(I274=INDIRECT("'["&amp;G274&amp;"]"&amp;E274&amp;"'!"&amp;$AD$2))),INDIRECT("'["&amp;G274&amp;"]"&amp;E274&amp;"'!"&amp;$AD$3),0)</f>
        <v>#VALUE!</v>
      </c>
      <c r="S274" s="34" t="e" cm="1">
        <f t="array" aca="1" ref="S274" ca="1">IF(AND(G274=INDIRECT("'["&amp;G274&amp;"]"&amp;E274&amp;"'!"&amp;$AH$2),OR(I274=INDIRECT("'["&amp;G274&amp;"]"&amp;E274&amp;"'!"&amp;$AE$2))),INDIRECT("'["&amp;G274&amp;"]"&amp;E274&amp;"'!"&amp;$AE$3),0)</f>
        <v>#VALUE!</v>
      </c>
      <c r="T274" s="35" t="e" cm="1">
        <f t="array" aca="1" ref="T274" ca="1">IF(AND(G274=INDIRECT("'["&amp;G274&amp;"]"&amp;E274&amp;"'!"&amp;$AH$2),OR(I274=INDIRECT("'["&amp;G274&amp;"]"&amp;E274&amp;"'!"&amp;$AF$2))),INDIRECT("'["&amp;G274&amp;"]"&amp;E274&amp;"'!"&amp;$AF$3),0)</f>
        <v>#VALUE!</v>
      </c>
      <c r="U274" s="34" t="e" cm="1">
        <f t="array" aca="1" ref="U274" ca="1">IF(AND(G274=INDIRECT("'["&amp;G274&amp;"]"&amp;E274&amp;"'!"&amp;$AH$2),OR(I274=INDIRECT("'["&amp;G274&amp;"]"&amp;E274&amp;"'!"&amp;$AG$2))),INDIRECT("'["&amp;G274&amp;"]"&amp;E274&amp;"'!"&amp;$AG$3),0)</f>
        <v>#VALUE!</v>
      </c>
      <c r="V274" s="25" t="str">
        <f t="shared" si="87"/>
        <v/>
      </c>
      <c r="W274" s="36" t="e" cm="1">
        <f t="array" aca="1" ref="W274" ca="1">IF(AND(G274=INDIRECT("'["&amp;G274&amp;"]"&amp;E274&amp;"'!"&amp;$AH$2),OR(V274=INDIRECT("'["&amp;G274&amp;"]"&amp;E274&amp;"'!"&amp;$AI$2))),INDIRECT("'["&amp;G274&amp;"]"&amp;E274&amp;"'!"&amp;$AI$3),0)</f>
        <v>#VALUE!</v>
      </c>
      <c r="AJ274" s="25">
        <v>1</v>
      </c>
      <c r="AK274" s="38">
        <f t="shared" ca="1" si="88"/>
        <v>0</v>
      </c>
      <c r="AL274" s="38">
        <f t="shared" ca="1" si="89"/>
        <v>0</v>
      </c>
      <c r="AM274" s="54" t="str">
        <f t="shared" ca="1" si="80"/>
        <v/>
      </c>
      <c r="AN274" s="25" t="e">
        <f t="shared" ca="1" si="90"/>
        <v>#VALUE!</v>
      </c>
      <c r="AO274" s="25" t="e">
        <f t="shared" ca="1" si="91"/>
        <v>#VALUE!</v>
      </c>
      <c r="AP274" s="39" t="str">
        <f t="shared" ca="1" si="81"/>
        <v/>
      </c>
      <c r="AQ274" s="46" t="str">
        <f ca="1">IF(AND(C274&lt;&gt;0, C275=0), SUM($C$2:C274)-SUM($AQ$1:AQ273), "")</f>
        <v/>
      </c>
      <c r="AR274" s="46" t="str">
        <f ca="1">IF(AND(AK274&lt;&gt;0, AK275=0), SUM($AK$2:AK274)-SUM($AR$1:AR273), "")</f>
        <v/>
      </c>
    </row>
    <row r="275" spans="1:44" ht="13.15" customHeight="1">
      <c r="A275" s="62"/>
      <c r="B275" s="68" t="str">
        <f t="shared" si="92"/>
        <v/>
      </c>
      <c r="C275" s="55" cm="1">
        <f t="array" aca="1" ref="C275" ca="1">SUM(IF(ISNUMBER(M275:U275),M275:U275,""))</f>
        <v>0</v>
      </c>
      <c r="D275" s="25" t="str">
        <f t="shared" si="76"/>
        <v/>
      </c>
      <c r="E275" s="25" t="e">
        <f t="shared" si="82"/>
        <v>#VALUE!</v>
      </c>
      <c r="F275" s="25" t="str">
        <f t="shared" si="77"/>
        <v/>
      </c>
      <c r="G275" s="25" t="str">
        <f t="shared" si="79"/>
        <v>.xlsx</v>
      </c>
      <c r="H275" s="29" t="e" cm="1">
        <f t="array" aca="1" ref="H275" ca="1">IF(AND(VALUE(E275)=INDIRECT("'["&amp;G275&amp;"]"&amp;E275&amp;"'!"&amp;$X$2),G275=INDIRECT("'["&amp;G275&amp;"]"&amp;E275&amp;"'!"&amp;$X$3)),INDIRECT("'["&amp;G275&amp;"]"&amp;E275&amp;"'!"&amp;$X$1),0)</f>
        <v>#VALUE!</v>
      </c>
      <c r="I275" s="25" t="str">
        <f t="shared" si="83"/>
        <v/>
      </c>
      <c r="J275" s="32" t="str">
        <f t="shared" si="84"/>
        <v/>
      </c>
      <c r="K275" s="25" t="str">
        <f t="shared" si="85"/>
        <v/>
      </c>
      <c r="L275" s="25" t="str">
        <f t="shared" si="86"/>
        <v/>
      </c>
      <c r="M275" s="33" t="e" cm="1">
        <f t="array" aca="1" ref="M275" ca="1">IF(AND(J275=INDIRECT("'["&amp;G275&amp;"]"&amp;E275&amp;"'!"&amp;$Y$2),G275=INDIRECT("'["&amp;G275&amp;"]"&amp;E275&amp;"'!"&amp;$AH$2)),INDIRECT("'["&amp;G275&amp;"]"&amp;E275&amp;"'!"&amp;$Y$3),0)</f>
        <v>#VALUE!</v>
      </c>
      <c r="N275" s="34" t="e" cm="1">
        <f t="array" aca="1" ref="N275" ca="1">IF(AND(G275=INDIRECT("'["&amp;G275&amp;"]"&amp;E275&amp;"'!"&amp;$AH$2),OR(K275=INDIRECT("'["&amp;G275&amp;"]"&amp;E275&amp;"'!"&amp;$Z$2))),INDIRECT("'["&amp;G275&amp;"]"&amp;E275&amp;"'!"&amp;$Z$3),0)</f>
        <v>#VALUE!</v>
      </c>
      <c r="O275" s="34" t="e" cm="1">
        <f t="array" aca="1" ref="O275" ca="1">IF(AND(G275=INDIRECT("'["&amp;G275&amp;"]"&amp;E275&amp;"'!"&amp;$AH$2),OR(L275=INDIRECT("'["&amp;G275&amp;"]"&amp;E275&amp;"'!"&amp;$AA$2))),INDIRECT("'["&amp;G275&amp;"]"&amp;E275&amp;"'!"&amp;$AA$3),0)</f>
        <v>#VALUE!</v>
      </c>
      <c r="P275" s="34" t="e" cm="1">
        <f t="array" aca="1" ref="P275" ca="1">IF(AND(G275=INDIRECT("'["&amp;G275&amp;"]"&amp;E275&amp;"'!"&amp;$AH$2),OR(VALUE(I275)=INDIRECT("'["&amp;G275&amp;"]"&amp;E275&amp;"'!"&amp;$AB$2))),INDIRECT("'["&amp;G275&amp;"]"&amp;E275&amp;"'!"&amp;$AB$3),0)</f>
        <v>#VALUE!</v>
      </c>
      <c r="Q275" s="34" t="e" cm="1">
        <f t="array" aca="1" ref="Q275" ca="1">IF(AND(G275=INDIRECT("'["&amp;G275&amp;"]"&amp;E275&amp;"'!"&amp;$AH$2),OR(VALUE(I275)=INDIRECT("'["&amp;G275&amp;"]"&amp;E275&amp;"'!"&amp;$AC$2))),INDIRECT("'["&amp;G275&amp;"]"&amp;E275&amp;"'!"&amp;$AC$3),0)</f>
        <v>#VALUE!</v>
      </c>
      <c r="R275" s="34" t="e" cm="1">
        <f t="array" aca="1" ref="R275" ca="1">IF(AND(G275=INDIRECT("'["&amp;G275&amp;"]"&amp;E275&amp;"'!"&amp;$AH$2),OR(I275=INDIRECT("'["&amp;G275&amp;"]"&amp;E275&amp;"'!"&amp;$AD$2))),INDIRECT("'["&amp;G275&amp;"]"&amp;E275&amp;"'!"&amp;$AD$3),0)</f>
        <v>#VALUE!</v>
      </c>
      <c r="S275" s="34" t="e" cm="1">
        <f t="array" aca="1" ref="S275" ca="1">IF(AND(G275=INDIRECT("'["&amp;G275&amp;"]"&amp;E275&amp;"'!"&amp;$AH$2),OR(I275=INDIRECT("'["&amp;G275&amp;"]"&amp;E275&amp;"'!"&amp;$AE$2))),INDIRECT("'["&amp;G275&amp;"]"&amp;E275&amp;"'!"&amp;$AE$3),0)</f>
        <v>#VALUE!</v>
      </c>
      <c r="T275" s="35" t="e" cm="1">
        <f t="array" aca="1" ref="T275" ca="1">IF(AND(G275=INDIRECT("'["&amp;G275&amp;"]"&amp;E275&amp;"'!"&amp;$AH$2),OR(I275=INDIRECT("'["&amp;G275&amp;"]"&amp;E275&amp;"'!"&amp;$AF$2))),INDIRECT("'["&amp;G275&amp;"]"&amp;E275&amp;"'!"&amp;$AF$3),0)</f>
        <v>#VALUE!</v>
      </c>
      <c r="U275" s="34" t="e" cm="1">
        <f t="array" aca="1" ref="U275" ca="1">IF(AND(G275=INDIRECT("'["&amp;G275&amp;"]"&amp;E275&amp;"'!"&amp;$AH$2),OR(I275=INDIRECT("'["&amp;G275&amp;"]"&amp;E275&amp;"'!"&amp;$AG$2))),INDIRECT("'["&amp;G275&amp;"]"&amp;E275&amp;"'!"&amp;$AG$3),0)</f>
        <v>#VALUE!</v>
      </c>
      <c r="V275" s="25" t="str">
        <f t="shared" si="87"/>
        <v/>
      </c>
      <c r="W275" s="36" t="e" cm="1">
        <f t="array" aca="1" ref="W275" ca="1">IF(AND(G275=INDIRECT("'["&amp;G275&amp;"]"&amp;E275&amp;"'!"&amp;$AH$2),OR(V275=INDIRECT("'["&amp;G275&amp;"]"&amp;E275&amp;"'!"&amp;$AI$2))),INDIRECT("'["&amp;G275&amp;"]"&amp;E275&amp;"'!"&amp;$AI$3),0)</f>
        <v>#VALUE!</v>
      </c>
      <c r="AJ275" s="25">
        <v>1</v>
      </c>
      <c r="AK275" s="38">
        <f t="shared" ca="1" si="88"/>
        <v>0</v>
      </c>
      <c r="AL275" s="38">
        <f t="shared" ca="1" si="89"/>
        <v>0</v>
      </c>
      <c r="AM275" s="54" t="str">
        <f t="shared" ca="1" si="80"/>
        <v/>
      </c>
      <c r="AN275" s="25" t="e">
        <f t="shared" ca="1" si="90"/>
        <v>#VALUE!</v>
      </c>
      <c r="AO275" s="25" t="e">
        <f t="shared" ca="1" si="91"/>
        <v>#VALUE!</v>
      </c>
      <c r="AP275" s="39" t="str">
        <f t="shared" ca="1" si="81"/>
        <v/>
      </c>
      <c r="AQ275" s="46" t="str">
        <f ca="1">IF(AND(C275&lt;&gt;0, C276=0), SUM($C$2:C275)-SUM($AQ$1:AQ274), "")</f>
        <v/>
      </c>
      <c r="AR275" s="46" t="str">
        <f ca="1">IF(AND(AK275&lt;&gt;0, AK276=0), SUM($AK$2:AK275)-SUM($AR$1:AR274), "")</f>
        <v/>
      </c>
    </row>
    <row r="276" spans="1:44" ht="13.15" customHeight="1">
      <c r="A276" s="62"/>
      <c r="B276" s="68" t="str">
        <f t="shared" si="92"/>
        <v/>
      </c>
      <c r="C276" s="55" cm="1">
        <f t="array" aca="1" ref="C276" ca="1">SUM(IF(ISNUMBER(M276:U276),M276:U276,""))</f>
        <v>0</v>
      </c>
      <c r="D276" s="25" t="str">
        <f t="shared" si="76"/>
        <v/>
      </c>
      <c r="E276" s="25" t="e">
        <f t="shared" si="82"/>
        <v>#VALUE!</v>
      </c>
      <c r="F276" s="25" t="str">
        <f t="shared" si="77"/>
        <v/>
      </c>
      <c r="G276" s="25" t="str">
        <f t="shared" si="79"/>
        <v>.xlsx</v>
      </c>
      <c r="H276" s="29" t="e" cm="1">
        <f t="array" aca="1" ref="H276" ca="1">IF(AND(VALUE(E276)=INDIRECT("'["&amp;G276&amp;"]"&amp;E276&amp;"'!"&amp;$X$2),G276=INDIRECT("'["&amp;G276&amp;"]"&amp;E276&amp;"'!"&amp;$X$3)),INDIRECT("'["&amp;G276&amp;"]"&amp;E276&amp;"'!"&amp;$X$1),0)</f>
        <v>#VALUE!</v>
      </c>
      <c r="I276" s="25" t="str">
        <f t="shared" si="83"/>
        <v/>
      </c>
      <c r="J276" s="32" t="str">
        <f t="shared" si="84"/>
        <v/>
      </c>
      <c r="K276" s="25" t="str">
        <f t="shared" si="85"/>
        <v/>
      </c>
      <c r="L276" s="25" t="str">
        <f t="shared" si="86"/>
        <v/>
      </c>
      <c r="M276" s="33" t="e" cm="1">
        <f t="array" aca="1" ref="M276" ca="1">IF(AND(J276=INDIRECT("'["&amp;G276&amp;"]"&amp;E276&amp;"'!"&amp;$Y$2),G276=INDIRECT("'["&amp;G276&amp;"]"&amp;E276&amp;"'!"&amp;$AH$2)),INDIRECT("'["&amp;G276&amp;"]"&amp;E276&amp;"'!"&amp;$Y$3),0)</f>
        <v>#VALUE!</v>
      </c>
      <c r="N276" s="34" t="e" cm="1">
        <f t="array" aca="1" ref="N276" ca="1">IF(AND(G276=INDIRECT("'["&amp;G276&amp;"]"&amp;E276&amp;"'!"&amp;$AH$2),OR(K276=INDIRECT("'["&amp;G276&amp;"]"&amp;E276&amp;"'!"&amp;$Z$2))),INDIRECT("'["&amp;G276&amp;"]"&amp;E276&amp;"'!"&amp;$Z$3),0)</f>
        <v>#VALUE!</v>
      </c>
      <c r="O276" s="34" t="e" cm="1">
        <f t="array" aca="1" ref="O276" ca="1">IF(AND(G276=INDIRECT("'["&amp;G276&amp;"]"&amp;E276&amp;"'!"&amp;$AH$2),OR(L276=INDIRECT("'["&amp;G276&amp;"]"&amp;E276&amp;"'!"&amp;$AA$2))),INDIRECT("'["&amp;G276&amp;"]"&amp;E276&amp;"'!"&amp;$AA$3),0)</f>
        <v>#VALUE!</v>
      </c>
      <c r="P276" s="34" t="e" cm="1">
        <f t="array" aca="1" ref="P276" ca="1">IF(AND(G276=INDIRECT("'["&amp;G276&amp;"]"&amp;E276&amp;"'!"&amp;$AH$2),OR(VALUE(I276)=INDIRECT("'["&amp;G276&amp;"]"&amp;E276&amp;"'!"&amp;$AB$2))),INDIRECT("'["&amp;G276&amp;"]"&amp;E276&amp;"'!"&amp;$AB$3),0)</f>
        <v>#VALUE!</v>
      </c>
      <c r="Q276" s="34" t="e" cm="1">
        <f t="array" aca="1" ref="Q276" ca="1">IF(AND(G276=INDIRECT("'["&amp;G276&amp;"]"&amp;E276&amp;"'!"&amp;$AH$2),OR(VALUE(I276)=INDIRECT("'["&amp;G276&amp;"]"&amp;E276&amp;"'!"&amp;$AC$2))),INDIRECT("'["&amp;G276&amp;"]"&amp;E276&amp;"'!"&amp;$AC$3),0)</f>
        <v>#VALUE!</v>
      </c>
      <c r="R276" s="34" t="e" cm="1">
        <f t="array" aca="1" ref="R276" ca="1">IF(AND(G276=INDIRECT("'["&amp;G276&amp;"]"&amp;E276&amp;"'!"&amp;$AH$2),OR(I276=INDIRECT("'["&amp;G276&amp;"]"&amp;E276&amp;"'!"&amp;$AD$2))),INDIRECT("'["&amp;G276&amp;"]"&amp;E276&amp;"'!"&amp;$AD$3),0)</f>
        <v>#VALUE!</v>
      </c>
      <c r="S276" s="34" t="e" cm="1">
        <f t="array" aca="1" ref="S276" ca="1">IF(AND(G276=INDIRECT("'["&amp;G276&amp;"]"&amp;E276&amp;"'!"&amp;$AH$2),OR(I276=INDIRECT("'["&amp;G276&amp;"]"&amp;E276&amp;"'!"&amp;$AE$2))),INDIRECT("'["&amp;G276&amp;"]"&amp;E276&amp;"'!"&amp;$AE$3),0)</f>
        <v>#VALUE!</v>
      </c>
      <c r="T276" s="35" t="e" cm="1">
        <f t="array" aca="1" ref="T276" ca="1">IF(AND(G276=INDIRECT("'["&amp;G276&amp;"]"&amp;E276&amp;"'!"&amp;$AH$2),OR(I276=INDIRECT("'["&amp;G276&amp;"]"&amp;E276&amp;"'!"&amp;$AF$2))),INDIRECT("'["&amp;G276&amp;"]"&amp;E276&amp;"'!"&amp;$AF$3),0)</f>
        <v>#VALUE!</v>
      </c>
      <c r="U276" s="34" t="e" cm="1">
        <f t="array" aca="1" ref="U276" ca="1">IF(AND(G276=INDIRECT("'["&amp;G276&amp;"]"&amp;E276&amp;"'!"&amp;$AH$2),OR(I276=INDIRECT("'["&amp;G276&amp;"]"&amp;E276&amp;"'!"&amp;$AG$2))),INDIRECT("'["&amp;G276&amp;"]"&amp;E276&amp;"'!"&amp;$AG$3),0)</f>
        <v>#VALUE!</v>
      </c>
      <c r="V276" s="25" t="str">
        <f t="shared" si="87"/>
        <v/>
      </c>
      <c r="W276" s="36" t="e" cm="1">
        <f t="array" aca="1" ref="W276" ca="1">IF(AND(G276=INDIRECT("'["&amp;G276&amp;"]"&amp;E276&amp;"'!"&amp;$AH$2),OR(V276=INDIRECT("'["&amp;G276&amp;"]"&amp;E276&amp;"'!"&amp;$AI$2))),INDIRECT("'["&amp;G276&amp;"]"&amp;E276&amp;"'!"&amp;$AI$3),0)</f>
        <v>#VALUE!</v>
      </c>
      <c r="AJ276" s="25">
        <v>1</v>
      </c>
      <c r="AK276" s="38">
        <f t="shared" ca="1" si="88"/>
        <v>0</v>
      </c>
      <c r="AL276" s="38">
        <f t="shared" ca="1" si="89"/>
        <v>0</v>
      </c>
      <c r="AM276" s="54" t="str">
        <f t="shared" ca="1" si="80"/>
        <v/>
      </c>
      <c r="AN276" s="25" t="e">
        <f t="shared" ca="1" si="90"/>
        <v>#VALUE!</v>
      </c>
      <c r="AO276" s="25" t="e">
        <f t="shared" ca="1" si="91"/>
        <v>#VALUE!</v>
      </c>
      <c r="AP276" s="39" t="str">
        <f t="shared" ca="1" si="81"/>
        <v/>
      </c>
      <c r="AQ276" s="46" t="str">
        <f ca="1">IF(AND(C276&lt;&gt;0, C277=0), SUM($C$2:C276)-SUM($AQ$1:AQ275), "")</f>
        <v/>
      </c>
      <c r="AR276" s="46" t="str">
        <f ca="1">IF(AND(AK276&lt;&gt;0, AK277=0), SUM($AK$2:AK276)-SUM($AR$1:AR275), "")</f>
        <v/>
      </c>
    </row>
    <row r="277" spans="1:44" ht="13.15" customHeight="1">
      <c r="A277" s="62"/>
      <c r="B277" s="68" t="str">
        <f t="shared" si="92"/>
        <v/>
      </c>
      <c r="C277" s="55" cm="1">
        <f t="array" aca="1" ref="C277" ca="1">SUM(IF(ISNUMBER(M277:U277),M277:U277,""))</f>
        <v>0</v>
      </c>
      <c r="D277" s="25" t="str">
        <f t="shared" si="76"/>
        <v/>
      </c>
      <c r="E277" s="25" t="e">
        <f t="shared" si="82"/>
        <v>#VALUE!</v>
      </c>
      <c r="F277" s="25" t="str">
        <f t="shared" si="77"/>
        <v/>
      </c>
      <c r="G277" s="25" t="str">
        <f t="shared" si="79"/>
        <v>.xlsx</v>
      </c>
      <c r="H277" s="29" t="e" cm="1">
        <f t="array" aca="1" ref="H277" ca="1">IF(AND(VALUE(E277)=INDIRECT("'["&amp;G277&amp;"]"&amp;E277&amp;"'!"&amp;$X$2),G277=INDIRECT("'["&amp;G277&amp;"]"&amp;E277&amp;"'!"&amp;$X$3)),INDIRECT("'["&amp;G277&amp;"]"&amp;E277&amp;"'!"&amp;$X$1),0)</f>
        <v>#VALUE!</v>
      </c>
      <c r="I277" s="25" t="str">
        <f t="shared" si="83"/>
        <v/>
      </c>
      <c r="J277" s="32" t="str">
        <f t="shared" si="84"/>
        <v/>
      </c>
      <c r="K277" s="25" t="str">
        <f t="shared" si="85"/>
        <v/>
      </c>
      <c r="L277" s="25" t="str">
        <f t="shared" si="86"/>
        <v/>
      </c>
      <c r="M277" s="33" t="e" cm="1">
        <f t="array" aca="1" ref="M277" ca="1">IF(AND(J277=INDIRECT("'["&amp;G277&amp;"]"&amp;E277&amp;"'!"&amp;$Y$2),G277=INDIRECT("'["&amp;G277&amp;"]"&amp;E277&amp;"'!"&amp;$AH$2)),INDIRECT("'["&amp;G277&amp;"]"&amp;E277&amp;"'!"&amp;$Y$3),0)</f>
        <v>#VALUE!</v>
      </c>
      <c r="N277" s="34" t="e" cm="1">
        <f t="array" aca="1" ref="N277" ca="1">IF(AND(G277=INDIRECT("'["&amp;G277&amp;"]"&amp;E277&amp;"'!"&amp;$AH$2),OR(K277=INDIRECT("'["&amp;G277&amp;"]"&amp;E277&amp;"'!"&amp;$Z$2))),INDIRECT("'["&amp;G277&amp;"]"&amp;E277&amp;"'!"&amp;$Z$3),0)</f>
        <v>#VALUE!</v>
      </c>
      <c r="O277" s="34" t="e" cm="1">
        <f t="array" aca="1" ref="O277" ca="1">IF(AND(G277=INDIRECT("'["&amp;G277&amp;"]"&amp;E277&amp;"'!"&amp;$AH$2),OR(L277=INDIRECT("'["&amp;G277&amp;"]"&amp;E277&amp;"'!"&amp;$AA$2))),INDIRECT("'["&amp;G277&amp;"]"&amp;E277&amp;"'!"&amp;$AA$3),0)</f>
        <v>#VALUE!</v>
      </c>
      <c r="P277" s="34" t="e" cm="1">
        <f t="array" aca="1" ref="P277" ca="1">IF(AND(G277=INDIRECT("'["&amp;G277&amp;"]"&amp;E277&amp;"'!"&amp;$AH$2),OR(VALUE(I277)=INDIRECT("'["&amp;G277&amp;"]"&amp;E277&amp;"'!"&amp;$AB$2))),INDIRECT("'["&amp;G277&amp;"]"&amp;E277&amp;"'!"&amp;$AB$3),0)</f>
        <v>#VALUE!</v>
      </c>
      <c r="Q277" s="34" t="e" cm="1">
        <f t="array" aca="1" ref="Q277" ca="1">IF(AND(G277=INDIRECT("'["&amp;G277&amp;"]"&amp;E277&amp;"'!"&amp;$AH$2),OR(VALUE(I277)=INDIRECT("'["&amp;G277&amp;"]"&amp;E277&amp;"'!"&amp;$AC$2))),INDIRECT("'["&amp;G277&amp;"]"&amp;E277&amp;"'!"&amp;$AC$3),0)</f>
        <v>#VALUE!</v>
      </c>
      <c r="R277" s="34" t="e" cm="1">
        <f t="array" aca="1" ref="R277" ca="1">IF(AND(G277=INDIRECT("'["&amp;G277&amp;"]"&amp;E277&amp;"'!"&amp;$AH$2),OR(I277=INDIRECT("'["&amp;G277&amp;"]"&amp;E277&amp;"'!"&amp;$AD$2))),INDIRECT("'["&amp;G277&amp;"]"&amp;E277&amp;"'!"&amp;$AD$3),0)</f>
        <v>#VALUE!</v>
      </c>
      <c r="S277" s="34" t="e" cm="1">
        <f t="array" aca="1" ref="S277" ca="1">IF(AND(G277=INDIRECT("'["&amp;G277&amp;"]"&amp;E277&amp;"'!"&amp;$AH$2),OR(I277=INDIRECT("'["&amp;G277&amp;"]"&amp;E277&amp;"'!"&amp;$AE$2))),INDIRECT("'["&amp;G277&amp;"]"&amp;E277&amp;"'!"&amp;$AE$3),0)</f>
        <v>#VALUE!</v>
      </c>
      <c r="T277" s="35" t="e" cm="1">
        <f t="array" aca="1" ref="T277" ca="1">IF(AND(G277=INDIRECT("'["&amp;G277&amp;"]"&amp;E277&amp;"'!"&amp;$AH$2),OR(I277=INDIRECT("'["&amp;G277&amp;"]"&amp;E277&amp;"'!"&amp;$AF$2))),INDIRECT("'["&amp;G277&amp;"]"&amp;E277&amp;"'!"&amp;$AF$3),0)</f>
        <v>#VALUE!</v>
      </c>
      <c r="U277" s="34" t="e" cm="1">
        <f t="array" aca="1" ref="U277" ca="1">IF(AND(G277=INDIRECT("'["&amp;G277&amp;"]"&amp;E277&amp;"'!"&amp;$AH$2),OR(I277=INDIRECT("'["&amp;G277&amp;"]"&amp;E277&amp;"'!"&amp;$AG$2))),INDIRECT("'["&amp;G277&amp;"]"&amp;E277&amp;"'!"&amp;$AG$3),0)</f>
        <v>#VALUE!</v>
      </c>
      <c r="V277" s="25" t="str">
        <f t="shared" si="87"/>
        <v/>
      </c>
      <c r="W277" s="36" t="e" cm="1">
        <f t="array" aca="1" ref="W277" ca="1">IF(AND(G277=INDIRECT("'["&amp;G277&amp;"]"&amp;E277&amp;"'!"&amp;$AH$2),OR(V277=INDIRECT("'["&amp;G277&amp;"]"&amp;E277&amp;"'!"&amp;$AI$2))),INDIRECT("'["&amp;G277&amp;"]"&amp;E277&amp;"'!"&amp;$AI$3),0)</f>
        <v>#VALUE!</v>
      </c>
      <c r="AJ277" s="25">
        <v>1</v>
      </c>
      <c r="AK277" s="38">
        <f t="shared" ca="1" si="88"/>
        <v>0</v>
      </c>
      <c r="AL277" s="38">
        <f t="shared" ca="1" si="89"/>
        <v>0</v>
      </c>
      <c r="AM277" s="54" t="str">
        <f t="shared" ca="1" si="80"/>
        <v/>
      </c>
      <c r="AN277" s="25" t="e">
        <f t="shared" ca="1" si="90"/>
        <v>#VALUE!</v>
      </c>
      <c r="AO277" s="25" t="e">
        <f t="shared" ca="1" si="91"/>
        <v>#VALUE!</v>
      </c>
      <c r="AP277" s="39" t="str">
        <f t="shared" ca="1" si="81"/>
        <v/>
      </c>
      <c r="AQ277" s="46" t="str">
        <f ca="1">IF(AND(C277&lt;&gt;0, C278=0), SUM($C$2:C277)-SUM($AQ$1:AQ276), "")</f>
        <v/>
      </c>
      <c r="AR277" s="46" t="str">
        <f ca="1">IF(AND(AK277&lt;&gt;0, AK278=0), SUM($AK$2:AK277)-SUM($AR$1:AR276), "")</f>
        <v/>
      </c>
    </row>
    <row r="278" spans="1:44" ht="13.15" customHeight="1">
      <c r="A278" s="62"/>
      <c r="B278" s="68" t="str">
        <f t="shared" si="92"/>
        <v/>
      </c>
      <c r="C278" s="55" cm="1">
        <f t="array" aca="1" ref="C278" ca="1">SUM(IF(ISNUMBER(M278:U278),M278:U278,""))</f>
        <v>0</v>
      </c>
      <c r="D278" s="25" t="str">
        <f t="shared" si="76"/>
        <v/>
      </c>
      <c r="E278" s="25" t="e">
        <f t="shared" si="82"/>
        <v>#VALUE!</v>
      </c>
      <c r="F278" s="25" t="str">
        <f t="shared" si="77"/>
        <v/>
      </c>
      <c r="G278" s="25" t="str">
        <f t="shared" si="79"/>
        <v>.xlsx</v>
      </c>
      <c r="H278" s="29" t="e" cm="1">
        <f t="array" aca="1" ref="H278" ca="1">IF(AND(VALUE(E278)=INDIRECT("'["&amp;G278&amp;"]"&amp;E278&amp;"'!"&amp;$X$2),G278=INDIRECT("'["&amp;G278&amp;"]"&amp;E278&amp;"'!"&amp;$X$3)),INDIRECT("'["&amp;G278&amp;"]"&amp;E278&amp;"'!"&amp;$X$1),0)</f>
        <v>#VALUE!</v>
      </c>
      <c r="I278" s="25" t="str">
        <f t="shared" si="83"/>
        <v/>
      </c>
      <c r="J278" s="32" t="str">
        <f t="shared" si="84"/>
        <v/>
      </c>
      <c r="K278" s="25" t="str">
        <f t="shared" si="85"/>
        <v/>
      </c>
      <c r="L278" s="25" t="str">
        <f t="shared" si="86"/>
        <v/>
      </c>
      <c r="M278" s="33" t="e" cm="1">
        <f t="array" aca="1" ref="M278" ca="1">IF(AND(J278=INDIRECT("'["&amp;G278&amp;"]"&amp;E278&amp;"'!"&amp;$Y$2),G278=INDIRECT("'["&amp;G278&amp;"]"&amp;E278&amp;"'!"&amp;$AH$2)),INDIRECT("'["&amp;G278&amp;"]"&amp;E278&amp;"'!"&amp;$Y$3),0)</f>
        <v>#VALUE!</v>
      </c>
      <c r="N278" s="34" t="e" cm="1">
        <f t="array" aca="1" ref="N278" ca="1">IF(AND(G278=INDIRECT("'["&amp;G278&amp;"]"&amp;E278&amp;"'!"&amp;$AH$2),OR(K278=INDIRECT("'["&amp;G278&amp;"]"&amp;E278&amp;"'!"&amp;$Z$2))),INDIRECT("'["&amp;G278&amp;"]"&amp;E278&amp;"'!"&amp;$Z$3),0)</f>
        <v>#VALUE!</v>
      </c>
      <c r="O278" s="34" t="e" cm="1">
        <f t="array" aca="1" ref="O278" ca="1">IF(AND(G278=INDIRECT("'["&amp;G278&amp;"]"&amp;E278&amp;"'!"&amp;$AH$2),OR(L278=INDIRECT("'["&amp;G278&amp;"]"&amp;E278&amp;"'!"&amp;$AA$2))),INDIRECT("'["&amp;G278&amp;"]"&amp;E278&amp;"'!"&amp;$AA$3),0)</f>
        <v>#VALUE!</v>
      </c>
      <c r="P278" s="34" t="e" cm="1">
        <f t="array" aca="1" ref="P278" ca="1">IF(AND(G278=INDIRECT("'["&amp;G278&amp;"]"&amp;E278&amp;"'!"&amp;$AH$2),OR(VALUE(I278)=INDIRECT("'["&amp;G278&amp;"]"&amp;E278&amp;"'!"&amp;$AB$2))),INDIRECT("'["&amp;G278&amp;"]"&amp;E278&amp;"'!"&amp;$AB$3),0)</f>
        <v>#VALUE!</v>
      </c>
      <c r="Q278" s="34" t="e" cm="1">
        <f t="array" aca="1" ref="Q278" ca="1">IF(AND(G278=INDIRECT("'["&amp;G278&amp;"]"&amp;E278&amp;"'!"&amp;$AH$2),OR(VALUE(I278)=INDIRECT("'["&amp;G278&amp;"]"&amp;E278&amp;"'!"&amp;$AC$2))),INDIRECT("'["&amp;G278&amp;"]"&amp;E278&amp;"'!"&amp;$AC$3),0)</f>
        <v>#VALUE!</v>
      </c>
      <c r="R278" s="34" t="e" cm="1">
        <f t="array" aca="1" ref="R278" ca="1">IF(AND(G278=INDIRECT("'["&amp;G278&amp;"]"&amp;E278&amp;"'!"&amp;$AH$2),OR(I278=INDIRECT("'["&amp;G278&amp;"]"&amp;E278&amp;"'!"&amp;$AD$2))),INDIRECT("'["&amp;G278&amp;"]"&amp;E278&amp;"'!"&amp;$AD$3),0)</f>
        <v>#VALUE!</v>
      </c>
      <c r="S278" s="34" t="e" cm="1">
        <f t="array" aca="1" ref="S278" ca="1">IF(AND(G278=INDIRECT("'["&amp;G278&amp;"]"&amp;E278&amp;"'!"&amp;$AH$2),OR(I278=INDIRECT("'["&amp;G278&amp;"]"&amp;E278&amp;"'!"&amp;$AE$2))),INDIRECT("'["&amp;G278&amp;"]"&amp;E278&amp;"'!"&amp;$AE$3),0)</f>
        <v>#VALUE!</v>
      </c>
      <c r="T278" s="35" t="e" cm="1">
        <f t="array" aca="1" ref="T278" ca="1">IF(AND(G278=INDIRECT("'["&amp;G278&amp;"]"&amp;E278&amp;"'!"&amp;$AH$2),OR(I278=INDIRECT("'["&amp;G278&amp;"]"&amp;E278&amp;"'!"&amp;$AF$2))),INDIRECT("'["&amp;G278&amp;"]"&amp;E278&amp;"'!"&amp;$AF$3),0)</f>
        <v>#VALUE!</v>
      </c>
      <c r="U278" s="34" t="e" cm="1">
        <f t="array" aca="1" ref="U278" ca="1">IF(AND(G278=INDIRECT("'["&amp;G278&amp;"]"&amp;E278&amp;"'!"&amp;$AH$2),OR(I278=INDIRECT("'["&amp;G278&amp;"]"&amp;E278&amp;"'!"&amp;$AG$2))),INDIRECT("'["&amp;G278&amp;"]"&amp;E278&amp;"'!"&amp;$AG$3),0)</f>
        <v>#VALUE!</v>
      </c>
      <c r="V278" s="25" t="str">
        <f t="shared" si="87"/>
        <v/>
      </c>
      <c r="W278" s="36" t="e" cm="1">
        <f t="array" aca="1" ref="W278" ca="1">IF(AND(G278=INDIRECT("'["&amp;G278&amp;"]"&amp;E278&amp;"'!"&amp;$AH$2),OR(V278=INDIRECT("'["&amp;G278&amp;"]"&amp;E278&amp;"'!"&amp;$AI$2))),INDIRECT("'["&amp;G278&amp;"]"&amp;E278&amp;"'!"&amp;$AI$3),0)</f>
        <v>#VALUE!</v>
      </c>
      <c r="AJ278" s="25">
        <v>1</v>
      </c>
      <c r="AK278" s="38">
        <f t="shared" ca="1" si="88"/>
        <v>0</v>
      </c>
      <c r="AL278" s="38">
        <f t="shared" ca="1" si="89"/>
        <v>0</v>
      </c>
      <c r="AM278" s="54" t="str">
        <f t="shared" ca="1" si="80"/>
        <v/>
      </c>
      <c r="AN278" s="25" t="e">
        <f t="shared" ca="1" si="90"/>
        <v>#VALUE!</v>
      </c>
      <c r="AO278" s="25" t="e">
        <f t="shared" ca="1" si="91"/>
        <v>#VALUE!</v>
      </c>
      <c r="AP278" s="39" t="str">
        <f t="shared" ca="1" si="81"/>
        <v/>
      </c>
      <c r="AQ278" s="46" t="str">
        <f ca="1">IF(AND(C278&lt;&gt;0, C279=0), SUM($C$2:C278)-SUM($AQ$1:AQ277), "")</f>
        <v/>
      </c>
      <c r="AR278" s="46" t="str">
        <f ca="1">IF(AND(AK278&lt;&gt;0, AK279=0), SUM($AK$2:AK278)-SUM($AR$1:AR277), "")</f>
        <v/>
      </c>
    </row>
    <row r="279" spans="1:44" ht="13.15" customHeight="1">
      <c r="A279" s="62"/>
      <c r="B279" s="68" t="str">
        <f t="shared" si="92"/>
        <v/>
      </c>
      <c r="C279" s="55" cm="1">
        <f t="array" aca="1" ref="C279" ca="1">SUM(IF(ISNUMBER(M279:U279),M279:U279,""))</f>
        <v>0</v>
      </c>
      <c r="D279" s="25" t="str">
        <f t="shared" si="76"/>
        <v/>
      </c>
      <c r="E279" s="25" t="e">
        <f t="shared" si="82"/>
        <v>#VALUE!</v>
      </c>
      <c r="F279" s="25" t="str">
        <f t="shared" si="77"/>
        <v/>
      </c>
      <c r="G279" s="25" t="str">
        <f t="shared" si="79"/>
        <v>.xlsx</v>
      </c>
      <c r="H279" s="29" t="e" cm="1">
        <f t="array" aca="1" ref="H279" ca="1">IF(AND(VALUE(E279)=INDIRECT("'["&amp;G279&amp;"]"&amp;E279&amp;"'!"&amp;$X$2),G279=INDIRECT("'["&amp;G279&amp;"]"&amp;E279&amp;"'!"&amp;$X$3)),INDIRECT("'["&amp;G279&amp;"]"&amp;E279&amp;"'!"&amp;$X$1),0)</f>
        <v>#VALUE!</v>
      </c>
      <c r="I279" s="25" t="str">
        <f t="shared" si="83"/>
        <v/>
      </c>
      <c r="J279" s="32" t="str">
        <f t="shared" si="84"/>
        <v/>
      </c>
      <c r="K279" s="25" t="str">
        <f t="shared" si="85"/>
        <v/>
      </c>
      <c r="L279" s="25" t="str">
        <f t="shared" si="86"/>
        <v/>
      </c>
      <c r="M279" s="33" t="e" cm="1">
        <f t="array" aca="1" ref="M279" ca="1">IF(AND(J279=INDIRECT("'["&amp;G279&amp;"]"&amp;E279&amp;"'!"&amp;$Y$2),G279=INDIRECT("'["&amp;G279&amp;"]"&amp;E279&amp;"'!"&amp;$AH$2)),INDIRECT("'["&amp;G279&amp;"]"&amp;E279&amp;"'!"&amp;$Y$3),0)</f>
        <v>#VALUE!</v>
      </c>
      <c r="N279" s="34" t="e" cm="1">
        <f t="array" aca="1" ref="N279" ca="1">IF(AND(G279=INDIRECT("'["&amp;G279&amp;"]"&amp;E279&amp;"'!"&amp;$AH$2),OR(K279=INDIRECT("'["&amp;G279&amp;"]"&amp;E279&amp;"'!"&amp;$Z$2))),INDIRECT("'["&amp;G279&amp;"]"&amp;E279&amp;"'!"&amp;$Z$3),0)</f>
        <v>#VALUE!</v>
      </c>
      <c r="O279" s="34" t="e" cm="1">
        <f t="array" aca="1" ref="O279" ca="1">IF(AND(G279=INDIRECT("'["&amp;G279&amp;"]"&amp;E279&amp;"'!"&amp;$AH$2),OR(L279=INDIRECT("'["&amp;G279&amp;"]"&amp;E279&amp;"'!"&amp;$AA$2))),INDIRECT("'["&amp;G279&amp;"]"&amp;E279&amp;"'!"&amp;$AA$3),0)</f>
        <v>#VALUE!</v>
      </c>
      <c r="P279" s="34" t="e" cm="1">
        <f t="array" aca="1" ref="P279" ca="1">IF(AND(G279=INDIRECT("'["&amp;G279&amp;"]"&amp;E279&amp;"'!"&amp;$AH$2),OR(VALUE(I279)=INDIRECT("'["&amp;G279&amp;"]"&amp;E279&amp;"'!"&amp;$AB$2))),INDIRECT("'["&amp;G279&amp;"]"&amp;E279&amp;"'!"&amp;$AB$3),0)</f>
        <v>#VALUE!</v>
      </c>
      <c r="Q279" s="34" t="e" cm="1">
        <f t="array" aca="1" ref="Q279" ca="1">IF(AND(G279=INDIRECT("'["&amp;G279&amp;"]"&amp;E279&amp;"'!"&amp;$AH$2),OR(VALUE(I279)=INDIRECT("'["&amp;G279&amp;"]"&amp;E279&amp;"'!"&amp;$AC$2))),INDIRECT("'["&amp;G279&amp;"]"&amp;E279&amp;"'!"&amp;$AC$3),0)</f>
        <v>#VALUE!</v>
      </c>
      <c r="R279" s="34" t="e" cm="1">
        <f t="array" aca="1" ref="R279" ca="1">IF(AND(G279=INDIRECT("'["&amp;G279&amp;"]"&amp;E279&amp;"'!"&amp;$AH$2),OR(I279=INDIRECT("'["&amp;G279&amp;"]"&amp;E279&amp;"'!"&amp;$AD$2))),INDIRECT("'["&amp;G279&amp;"]"&amp;E279&amp;"'!"&amp;$AD$3),0)</f>
        <v>#VALUE!</v>
      </c>
      <c r="S279" s="34" t="e" cm="1">
        <f t="array" aca="1" ref="S279" ca="1">IF(AND(G279=INDIRECT("'["&amp;G279&amp;"]"&amp;E279&amp;"'!"&amp;$AH$2),OR(I279=INDIRECT("'["&amp;G279&amp;"]"&amp;E279&amp;"'!"&amp;$AE$2))),INDIRECT("'["&amp;G279&amp;"]"&amp;E279&amp;"'!"&amp;$AE$3),0)</f>
        <v>#VALUE!</v>
      </c>
      <c r="T279" s="35" t="e" cm="1">
        <f t="array" aca="1" ref="T279" ca="1">IF(AND(G279=INDIRECT("'["&amp;G279&amp;"]"&amp;E279&amp;"'!"&amp;$AH$2),OR(I279=INDIRECT("'["&amp;G279&amp;"]"&amp;E279&amp;"'!"&amp;$AF$2))),INDIRECT("'["&amp;G279&amp;"]"&amp;E279&amp;"'!"&amp;$AF$3),0)</f>
        <v>#VALUE!</v>
      </c>
      <c r="U279" s="34" t="e" cm="1">
        <f t="array" aca="1" ref="U279" ca="1">IF(AND(G279=INDIRECT("'["&amp;G279&amp;"]"&amp;E279&amp;"'!"&amp;$AH$2),OR(I279=INDIRECT("'["&amp;G279&amp;"]"&amp;E279&amp;"'!"&amp;$AG$2))),INDIRECT("'["&amp;G279&amp;"]"&amp;E279&amp;"'!"&amp;$AG$3),0)</f>
        <v>#VALUE!</v>
      </c>
      <c r="V279" s="25" t="str">
        <f t="shared" si="87"/>
        <v/>
      </c>
      <c r="W279" s="36" t="e" cm="1">
        <f t="array" aca="1" ref="W279" ca="1">IF(AND(G279=INDIRECT("'["&amp;G279&amp;"]"&amp;E279&amp;"'!"&amp;$AH$2),OR(V279=INDIRECT("'["&amp;G279&amp;"]"&amp;E279&amp;"'!"&amp;$AI$2))),INDIRECT("'["&amp;G279&amp;"]"&amp;E279&amp;"'!"&amp;$AI$3),0)</f>
        <v>#VALUE!</v>
      </c>
      <c r="AJ279" s="25">
        <v>1</v>
      </c>
      <c r="AK279" s="38">
        <f t="shared" ca="1" si="88"/>
        <v>0</v>
      </c>
      <c r="AL279" s="38">
        <f t="shared" ca="1" si="89"/>
        <v>0</v>
      </c>
      <c r="AM279" s="54" t="str">
        <f t="shared" ca="1" si="80"/>
        <v/>
      </c>
      <c r="AN279" s="25" t="e">
        <f t="shared" ca="1" si="90"/>
        <v>#VALUE!</v>
      </c>
      <c r="AO279" s="25" t="e">
        <f t="shared" ca="1" si="91"/>
        <v>#VALUE!</v>
      </c>
      <c r="AP279" s="39" t="str">
        <f t="shared" ca="1" si="81"/>
        <v/>
      </c>
      <c r="AQ279" s="46" t="str">
        <f ca="1">IF(AND(C279&lt;&gt;0, C280=0), SUM($C$2:C279)-SUM($AQ$1:AQ278), "")</f>
        <v/>
      </c>
      <c r="AR279" s="46" t="str">
        <f ca="1">IF(AND(AK279&lt;&gt;0, AK280=0), SUM($AK$2:AK279)-SUM($AR$1:AR278), "")</f>
        <v/>
      </c>
    </row>
    <row r="280" spans="1:44" ht="13.15" customHeight="1">
      <c r="A280" s="62"/>
      <c r="B280" s="68" t="str">
        <f t="shared" si="92"/>
        <v/>
      </c>
      <c r="C280" s="55" cm="1">
        <f t="array" aca="1" ref="C280" ca="1">SUM(IF(ISNUMBER(M280:U280),M280:U280,""))</f>
        <v>0</v>
      </c>
      <c r="D280" s="25" t="str">
        <f t="shared" ref="D280:D316" si="93">MID(A280,4,2)</f>
        <v/>
      </c>
      <c r="E280" s="25" t="e">
        <f t="shared" si="82"/>
        <v>#VALUE!</v>
      </c>
      <c r="F280" s="25" t="str">
        <f t="shared" ref="F280:F316" si="94">LEFT(A280,2)</f>
        <v/>
      </c>
      <c r="G280" s="25" t="str">
        <f t="shared" si="79"/>
        <v>.xlsx</v>
      </c>
      <c r="H280" s="29" t="e" cm="1">
        <f t="array" aca="1" ref="H280" ca="1">IF(AND(VALUE(E280)=INDIRECT("'["&amp;G280&amp;"]"&amp;E280&amp;"'!"&amp;$X$2),G280=INDIRECT("'["&amp;G280&amp;"]"&amp;E280&amp;"'!"&amp;$X$3)),INDIRECT("'["&amp;G280&amp;"]"&amp;E280&amp;"'!"&amp;$X$1),0)</f>
        <v>#VALUE!</v>
      </c>
      <c r="I280" s="25" t="str">
        <f t="shared" si="83"/>
        <v/>
      </c>
      <c r="J280" s="32" t="str">
        <f t="shared" si="84"/>
        <v/>
      </c>
      <c r="K280" s="25" t="str">
        <f t="shared" si="85"/>
        <v/>
      </c>
      <c r="L280" s="25" t="str">
        <f t="shared" si="86"/>
        <v/>
      </c>
      <c r="M280" s="33" t="e" cm="1">
        <f t="array" aca="1" ref="M280" ca="1">IF(AND(J280=INDIRECT("'["&amp;G280&amp;"]"&amp;E280&amp;"'!"&amp;$Y$2),G280=INDIRECT("'["&amp;G280&amp;"]"&amp;E280&amp;"'!"&amp;$AH$2)),INDIRECT("'["&amp;G280&amp;"]"&amp;E280&amp;"'!"&amp;$Y$3),0)</f>
        <v>#VALUE!</v>
      </c>
      <c r="N280" s="34" t="e" cm="1">
        <f t="array" aca="1" ref="N280" ca="1">IF(AND(G280=INDIRECT("'["&amp;G280&amp;"]"&amp;E280&amp;"'!"&amp;$AH$2),OR(K280=INDIRECT("'["&amp;G280&amp;"]"&amp;E280&amp;"'!"&amp;$Z$2))),INDIRECT("'["&amp;G280&amp;"]"&amp;E280&amp;"'!"&amp;$Z$3),0)</f>
        <v>#VALUE!</v>
      </c>
      <c r="O280" s="34" t="e" cm="1">
        <f t="array" aca="1" ref="O280" ca="1">IF(AND(G280=INDIRECT("'["&amp;G280&amp;"]"&amp;E280&amp;"'!"&amp;$AH$2),OR(L280=INDIRECT("'["&amp;G280&amp;"]"&amp;E280&amp;"'!"&amp;$AA$2))),INDIRECT("'["&amp;G280&amp;"]"&amp;E280&amp;"'!"&amp;$AA$3),0)</f>
        <v>#VALUE!</v>
      </c>
      <c r="P280" s="34" t="e" cm="1">
        <f t="array" aca="1" ref="P280" ca="1">IF(AND(G280=INDIRECT("'["&amp;G280&amp;"]"&amp;E280&amp;"'!"&amp;$AH$2),OR(VALUE(I280)=INDIRECT("'["&amp;G280&amp;"]"&amp;E280&amp;"'!"&amp;$AB$2))),INDIRECT("'["&amp;G280&amp;"]"&amp;E280&amp;"'!"&amp;$AB$3),0)</f>
        <v>#VALUE!</v>
      </c>
      <c r="Q280" s="34" t="e" cm="1">
        <f t="array" aca="1" ref="Q280" ca="1">IF(AND(G280=INDIRECT("'["&amp;G280&amp;"]"&amp;E280&amp;"'!"&amp;$AH$2),OR(VALUE(I280)=INDIRECT("'["&amp;G280&amp;"]"&amp;E280&amp;"'!"&amp;$AC$2))),INDIRECT("'["&amp;G280&amp;"]"&amp;E280&amp;"'!"&amp;$AC$3),0)</f>
        <v>#VALUE!</v>
      </c>
      <c r="R280" s="34" t="e" cm="1">
        <f t="array" aca="1" ref="R280" ca="1">IF(AND(G280=INDIRECT("'["&amp;G280&amp;"]"&amp;E280&amp;"'!"&amp;$AH$2),OR(I280=INDIRECT("'["&amp;G280&amp;"]"&amp;E280&amp;"'!"&amp;$AD$2))),INDIRECT("'["&amp;G280&amp;"]"&amp;E280&amp;"'!"&amp;$AD$3),0)</f>
        <v>#VALUE!</v>
      </c>
      <c r="S280" s="34" t="e" cm="1">
        <f t="array" aca="1" ref="S280" ca="1">IF(AND(G280=INDIRECT("'["&amp;G280&amp;"]"&amp;E280&amp;"'!"&amp;$AH$2),OR(I280=INDIRECT("'["&amp;G280&amp;"]"&amp;E280&amp;"'!"&amp;$AE$2))),INDIRECT("'["&amp;G280&amp;"]"&amp;E280&amp;"'!"&amp;$AE$3),0)</f>
        <v>#VALUE!</v>
      </c>
      <c r="T280" s="35" t="e" cm="1">
        <f t="array" aca="1" ref="T280" ca="1">IF(AND(G280=INDIRECT("'["&amp;G280&amp;"]"&amp;E280&amp;"'!"&amp;$AH$2),OR(I280=INDIRECT("'["&amp;G280&amp;"]"&amp;E280&amp;"'!"&amp;$AF$2))),INDIRECT("'["&amp;G280&amp;"]"&amp;E280&amp;"'!"&amp;$AF$3),0)</f>
        <v>#VALUE!</v>
      </c>
      <c r="U280" s="34" t="e" cm="1">
        <f t="array" aca="1" ref="U280" ca="1">IF(AND(G280=INDIRECT("'["&amp;G280&amp;"]"&amp;E280&amp;"'!"&amp;$AH$2),OR(I280=INDIRECT("'["&amp;G280&amp;"]"&amp;E280&amp;"'!"&amp;$AG$2))),INDIRECT("'["&amp;G280&amp;"]"&amp;E280&amp;"'!"&amp;$AG$3),0)</f>
        <v>#VALUE!</v>
      </c>
      <c r="V280" s="25" t="str">
        <f t="shared" si="87"/>
        <v/>
      </c>
      <c r="W280" s="36" t="e" cm="1">
        <f t="array" aca="1" ref="W280" ca="1">IF(AND(G280=INDIRECT("'["&amp;G280&amp;"]"&amp;E280&amp;"'!"&amp;$AH$2),OR(V280=INDIRECT("'["&amp;G280&amp;"]"&amp;E280&amp;"'!"&amp;$AI$2))),INDIRECT("'["&amp;G280&amp;"]"&amp;E280&amp;"'!"&amp;$AI$3),0)</f>
        <v>#VALUE!</v>
      </c>
      <c r="AJ280" s="25">
        <v>1</v>
      </c>
      <c r="AK280" s="38">
        <f t="shared" ca="1" si="88"/>
        <v>0</v>
      </c>
      <c r="AL280" s="38">
        <f t="shared" ca="1" si="89"/>
        <v>0</v>
      </c>
      <c r="AM280" s="54" t="str">
        <f t="shared" ca="1" si="80"/>
        <v/>
      </c>
      <c r="AN280" s="25" t="e">
        <f t="shared" ca="1" si="90"/>
        <v>#VALUE!</v>
      </c>
      <c r="AO280" s="25" t="e">
        <f t="shared" ca="1" si="91"/>
        <v>#VALUE!</v>
      </c>
      <c r="AP280" s="39" t="str">
        <f t="shared" ca="1" si="81"/>
        <v/>
      </c>
      <c r="AQ280" s="46" t="str">
        <f ca="1">IF(AND(C280&lt;&gt;0, C281=0), SUM($C$2:C280)-SUM($AQ$1:AQ279), "")</f>
        <v/>
      </c>
      <c r="AR280" s="46" t="str">
        <f ca="1">IF(AND(AK280&lt;&gt;0, AK281=0), SUM($AK$2:AK280)-SUM($AR$1:AR279), "")</f>
        <v/>
      </c>
    </row>
    <row r="281" spans="1:44" ht="13.15" customHeight="1">
      <c r="A281" s="62"/>
      <c r="B281" s="68" t="str">
        <f t="shared" si="92"/>
        <v/>
      </c>
      <c r="C281" s="55" cm="1">
        <f t="array" aca="1" ref="C281" ca="1">SUM(IF(ISNUMBER(M281:U281),M281:U281,""))</f>
        <v>0</v>
      </c>
      <c r="D281" s="25" t="str">
        <f t="shared" si="93"/>
        <v/>
      </c>
      <c r="E281" s="25" t="e">
        <f t="shared" si="82"/>
        <v>#VALUE!</v>
      </c>
      <c r="F281" s="25" t="str">
        <f t="shared" si="94"/>
        <v/>
      </c>
      <c r="G281" s="25" t="str">
        <f t="shared" si="79"/>
        <v>.xlsx</v>
      </c>
      <c r="H281" s="29" t="e" cm="1">
        <f t="array" aca="1" ref="H281" ca="1">IF(AND(VALUE(E281)=INDIRECT("'["&amp;G281&amp;"]"&amp;E281&amp;"'!"&amp;$X$2),G281=INDIRECT("'["&amp;G281&amp;"]"&amp;E281&amp;"'!"&amp;$X$3)),INDIRECT("'["&amp;G281&amp;"]"&amp;E281&amp;"'!"&amp;$X$1),0)</f>
        <v>#VALUE!</v>
      </c>
      <c r="I281" s="25" t="str">
        <f t="shared" si="83"/>
        <v/>
      </c>
      <c r="J281" s="32" t="str">
        <f t="shared" si="84"/>
        <v/>
      </c>
      <c r="K281" s="25" t="str">
        <f t="shared" si="85"/>
        <v/>
      </c>
      <c r="L281" s="25" t="str">
        <f t="shared" si="86"/>
        <v/>
      </c>
      <c r="M281" s="33" t="e" cm="1">
        <f t="array" aca="1" ref="M281" ca="1">IF(AND(J281=INDIRECT("'["&amp;G281&amp;"]"&amp;E281&amp;"'!"&amp;$Y$2),G281=INDIRECT("'["&amp;G281&amp;"]"&amp;E281&amp;"'!"&amp;$AH$2)),INDIRECT("'["&amp;G281&amp;"]"&amp;E281&amp;"'!"&amp;$Y$3),0)</f>
        <v>#VALUE!</v>
      </c>
      <c r="N281" s="34" t="e" cm="1">
        <f t="array" aca="1" ref="N281" ca="1">IF(AND(G281=INDIRECT("'["&amp;G281&amp;"]"&amp;E281&amp;"'!"&amp;$AH$2),OR(K281=INDIRECT("'["&amp;G281&amp;"]"&amp;E281&amp;"'!"&amp;$Z$2))),INDIRECT("'["&amp;G281&amp;"]"&amp;E281&amp;"'!"&amp;$Z$3),0)</f>
        <v>#VALUE!</v>
      </c>
      <c r="O281" s="34" t="e" cm="1">
        <f t="array" aca="1" ref="O281" ca="1">IF(AND(G281=INDIRECT("'["&amp;G281&amp;"]"&amp;E281&amp;"'!"&amp;$AH$2),OR(L281=INDIRECT("'["&amp;G281&amp;"]"&amp;E281&amp;"'!"&amp;$AA$2))),INDIRECT("'["&amp;G281&amp;"]"&amp;E281&amp;"'!"&amp;$AA$3),0)</f>
        <v>#VALUE!</v>
      </c>
      <c r="P281" s="34" t="e" cm="1">
        <f t="array" aca="1" ref="P281" ca="1">IF(AND(G281=INDIRECT("'["&amp;G281&amp;"]"&amp;E281&amp;"'!"&amp;$AH$2),OR(VALUE(I281)=INDIRECT("'["&amp;G281&amp;"]"&amp;E281&amp;"'!"&amp;$AB$2))),INDIRECT("'["&amp;G281&amp;"]"&amp;E281&amp;"'!"&amp;$AB$3),0)</f>
        <v>#VALUE!</v>
      </c>
      <c r="Q281" s="34" t="e" cm="1">
        <f t="array" aca="1" ref="Q281" ca="1">IF(AND(G281=INDIRECT("'["&amp;G281&amp;"]"&amp;E281&amp;"'!"&amp;$AH$2),OR(VALUE(I281)=INDIRECT("'["&amp;G281&amp;"]"&amp;E281&amp;"'!"&amp;$AC$2))),INDIRECT("'["&amp;G281&amp;"]"&amp;E281&amp;"'!"&amp;$AC$3),0)</f>
        <v>#VALUE!</v>
      </c>
      <c r="R281" s="34" t="e" cm="1">
        <f t="array" aca="1" ref="R281" ca="1">IF(AND(G281=INDIRECT("'["&amp;G281&amp;"]"&amp;E281&amp;"'!"&amp;$AH$2),OR(I281=INDIRECT("'["&amp;G281&amp;"]"&amp;E281&amp;"'!"&amp;$AD$2))),INDIRECT("'["&amp;G281&amp;"]"&amp;E281&amp;"'!"&amp;$AD$3),0)</f>
        <v>#VALUE!</v>
      </c>
      <c r="S281" s="34" t="e" cm="1">
        <f t="array" aca="1" ref="S281" ca="1">IF(AND(G281=INDIRECT("'["&amp;G281&amp;"]"&amp;E281&amp;"'!"&amp;$AH$2),OR(I281=INDIRECT("'["&amp;G281&amp;"]"&amp;E281&amp;"'!"&amp;$AE$2))),INDIRECT("'["&amp;G281&amp;"]"&amp;E281&amp;"'!"&amp;$AE$3),0)</f>
        <v>#VALUE!</v>
      </c>
      <c r="T281" s="35" t="e" cm="1">
        <f t="array" aca="1" ref="T281" ca="1">IF(AND(G281=INDIRECT("'["&amp;G281&amp;"]"&amp;E281&amp;"'!"&amp;$AH$2),OR(I281=INDIRECT("'["&amp;G281&amp;"]"&amp;E281&amp;"'!"&amp;$AF$2))),INDIRECT("'["&amp;G281&amp;"]"&amp;E281&amp;"'!"&amp;$AF$3),0)</f>
        <v>#VALUE!</v>
      </c>
      <c r="U281" s="34" t="e" cm="1">
        <f t="array" aca="1" ref="U281" ca="1">IF(AND(G281=INDIRECT("'["&amp;G281&amp;"]"&amp;E281&amp;"'!"&amp;$AH$2),OR(I281=INDIRECT("'["&amp;G281&amp;"]"&amp;E281&amp;"'!"&amp;$AG$2))),INDIRECT("'["&amp;G281&amp;"]"&amp;E281&amp;"'!"&amp;$AG$3),0)</f>
        <v>#VALUE!</v>
      </c>
      <c r="V281" s="25" t="str">
        <f t="shared" si="87"/>
        <v/>
      </c>
      <c r="W281" s="36" t="e" cm="1">
        <f t="array" aca="1" ref="W281" ca="1">IF(AND(G281=INDIRECT("'["&amp;G281&amp;"]"&amp;E281&amp;"'!"&amp;$AH$2),OR(V281=INDIRECT("'["&amp;G281&amp;"]"&amp;E281&amp;"'!"&amp;$AI$2))),INDIRECT("'["&amp;G281&amp;"]"&amp;E281&amp;"'!"&amp;$AI$3),0)</f>
        <v>#VALUE!</v>
      </c>
      <c r="AJ281" s="25">
        <v>1</v>
      </c>
      <c r="AK281" s="38">
        <f t="shared" ca="1" si="88"/>
        <v>0</v>
      </c>
      <c r="AL281" s="38">
        <f t="shared" ca="1" si="89"/>
        <v>0</v>
      </c>
      <c r="AM281" s="54" t="str">
        <f t="shared" ca="1" si="80"/>
        <v/>
      </c>
      <c r="AN281" s="25" t="e">
        <f t="shared" ca="1" si="90"/>
        <v>#VALUE!</v>
      </c>
      <c r="AO281" s="25" t="e">
        <f t="shared" ca="1" si="91"/>
        <v>#VALUE!</v>
      </c>
      <c r="AP281" s="39" t="str">
        <f t="shared" ca="1" si="81"/>
        <v/>
      </c>
      <c r="AQ281" s="46" t="str">
        <f ca="1">IF(AND(C281&lt;&gt;0, C282=0), SUM($C$2:C281)-SUM($AQ$1:AQ280), "")</f>
        <v/>
      </c>
      <c r="AR281" s="46" t="str">
        <f ca="1">IF(AND(AK281&lt;&gt;0, AK282=0), SUM($AK$2:AK281)-SUM($AR$1:AR280), "")</f>
        <v/>
      </c>
    </row>
    <row r="282" spans="1:44" ht="13.15" customHeight="1">
      <c r="A282" s="62"/>
      <c r="B282" s="68" t="str">
        <f t="shared" si="92"/>
        <v/>
      </c>
      <c r="C282" s="55" cm="1">
        <f t="array" aca="1" ref="C282" ca="1">SUM(IF(ISNUMBER(M282:U282),M282:U282,""))</f>
        <v>0</v>
      </c>
      <c r="D282" s="25" t="str">
        <f t="shared" si="93"/>
        <v/>
      </c>
      <c r="E282" s="25" t="e">
        <f t="shared" si="82"/>
        <v>#VALUE!</v>
      </c>
      <c r="F282" s="25" t="str">
        <f t="shared" si="94"/>
        <v/>
      </c>
      <c r="G282" s="25" t="str">
        <f t="shared" si="79"/>
        <v>.xlsx</v>
      </c>
      <c r="H282" s="29" t="e" cm="1">
        <f t="array" aca="1" ref="H282" ca="1">IF(AND(VALUE(E282)=INDIRECT("'["&amp;G282&amp;"]"&amp;E282&amp;"'!"&amp;$X$2),G282=INDIRECT("'["&amp;G282&amp;"]"&amp;E282&amp;"'!"&amp;$X$3)),INDIRECT("'["&amp;G282&amp;"]"&amp;E282&amp;"'!"&amp;$X$1),0)</f>
        <v>#VALUE!</v>
      </c>
      <c r="I282" s="25" t="str">
        <f t="shared" si="83"/>
        <v/>
      </c>
      <c r="J282" s="32" t="str">
        <f t="shared" si="84"/>
        <v/>
      </c>
      <c r="K282" s="25" t="str">
        <f t="shared" si="85"/>
        <v/>
      </c>
      <c r="L282" s="25" t="str">
        <f t="shared" si="86"/>
        <v/>
      </c>
      <c r="M282" s="33" t="e" cm="1">
        <f t="array" aca="1" ref="M282" ca="1">IF(AND(J282=INDIRECT("'["&amp;G282&amp;"]"&amp;E282&amp;"'!"&amp;$Y$2),G282=INDIRECT("'["&amp;G282&amp;"]"&amp;E282&amp;"'!"&amp;$AH$2)),INDIRECT("'["&amp;G282&amp;"]"&amp;E282&amp;"'!"&amp;$Y$3),0)</f>
        <v>#VALUE!</v>
      </c>
      <c r="N282" s="34" t="e" cm="1">
        <f t="array" aca="1" ref="N282" ca="1">IF(AND(G282=INDIRECT("'["&amp;G282&amp;"]"&amp;E282&amp;"'!"&amp;$AH$2),OR(K282=INDIRECT("'["&amp;G282&amp;"]"&amp;E282&amp;"'!"&amp;$Z$2))),INDIRECT("'["&amp;G282&amp;"]"&amp;E282&amp;"'!"&amp;$Z$3),0)</f>
        <v>#VALUE!</v>
      </c>
      <c r="O282" s="34" t="e" cm="1">
        <f t="array" aca="1" ref="O282" ca="1">IF(AND(G282=INDIRECT("'["&amp;G282&amp;"]"&amp;E282&amp;"'!"&amp;$AH$2),OR(L282=INDIRECT("'["&amp;G282&amp;"]"&amp;E282&amp;"'!"&amp;$AA$2))),INDIRECT("'["&amp;G282&amp;"]"&amp;E282&amp;"'!"&amp;$AA$3),0)</f>
        <v>#VALUE!</v>
      </c>
      <c r="P282" s="34" t="e" cm="1">
        <f t="array" aca="1" ref="P282" ca="1">IF(AND(G282=INDIRECT("'["&amp;G282&amp;"]"&amp;E282&amp;"'!"&amp;$AH$2),OR(VALUE(I282)=INDIRECT("'["&amp;G282&amp;"]"&amp;E282&amp;"'!"&amp;$AB$2))),INDIRECT("'["&amp;G282&amp;"]"&amp;E282&amp;"'!"&amp;$AB$3),0)</f>
        <v>#VALUE!</v>
      </c>
      <c r="Q282" s="34" t="e" cm="1">
        <f t="array" aca="1" ref="Q282" ca="1">IF(AND(G282=INDIRECT("'["&amp;G282&amp;"]"&amp;E282&amp;"'!"&amp;$AH$2),OR(VALUE(I282)=INDIRECT("'["&amp;G282&amp;"]"&amp;E282&amp;"'!"&amp;$AC$2))),INDIRECT("'["&amp;G282&amp;"]"&amp;E282&amp;"'!"&amp;$AC$3),0)</f>
        <v>#VALUE!</v>
      </c>
      <c r="R282" s="34" t="e" cm="1">
        <f t="array" aca="1" ref="R282" ca="1">IF(AND(G282=INDIRECT("'["&amp;G282&amp;"]"&amp;E282&amp;"'!"&amp;$AH$2),OR(I282=INDIRECT("'["&amp;G282&amp;"]"&amp;E282&amp;"'!"&amp;$AD$2))),INDIRECT("'["&amp;G282&amp;"]"&amp;E282&amp;"'!"&amp;$AD$3),0)</f>
        <v>#VALUE!</v>
      </c>
      <c r="S282" s="34" t="e" cm="1">
        <f t="array" aca="1" ref="S282" ca="1">IF(AND(G282=INDIRECT("'["&amp;G282&amp;"]"&amp;E282&amp;"'!"&amp;$AH$2),OR(I282=INDIRECT("'["&amp;G282&amp;"]"&amp;E282&amp;"'!"&amp;$AE$2))),INDIRECT("'["&amp;G282&amp;"]"&amp;E282&amp;"'!"&amp;$AE$3),0)</f>
        <v>#VALUE!</v>
      </c>
      <c r="T282" s="35" t="e" cm="1">
        <f t="array" aca="1" ref="T282" ca="1">IF(AND(G282=INDIRECT("'["&amp;G282&amp;"]"&amp;E282&amp;"'!"&amp;$AH$2),OR(I282=INDIRECT("'["&amp;G282&amp;"]"&amp;E282&amp;"'!"&amp;$AF$2))),INDIRECT("'["&amp;G282&amp;"]"&amp;E282&amp;"'!"&amp;$AF$3),0)</f>
        <v>#VALUE!</v>
      </c>
      <c r="U282" s="34" t="e" cm="1">
        <f t="array" aca="1" ref="U282" ca="1">IF(AND(G282=INDIRECT("'["&amp;G282&amp;"]"&amp;E282&amp;"'!"&amp;$AH$2),OR(I282=INDIRECT("'["&amp;G282&amp;"]"&amp;E282&amp;"'!"&amp;$AG$2))),INDIRECT("'["&amp;G282&amp;"]"&amp;E282&amp;"'!"&amp;$AG$3),0)</f>
        <v>#VALUE!</v>
      </c>
      <c r="V282" s="25" t="str">
        <f t="shared" si="87"/>
        <v/>
      </c>
      <c r="W282" s="36" t="e" cm="1">
        <f t="array" aca="1" ref="W282" ca="1">IF(AND(G282=INDIRECT("'["&amp;G282&amp;"]"&amp;E282&amp;"'!"&amp;$AH$2),OR(V282=INDIRECT("'["&amp;G282&amp;"]"&amp;E282&amp;"'!"&amp;$AI$2))),INDIRECT("'["&amp;G282&amp;"]"&amp;E282&amp;"'!"&amp;$AI$3),0)</f>
        <v>#VALUE!</v>
      </c>
      <c r="AJ282" s="25">
        <v>1</v>
      </c>
      <c r="AK282" s="38">
        <f t="shared" ca="1" si="88"/>
        <v>0</v>
      </c>
      <c r="AL282" s="38">
        <f t="shared" ca="1" si="89"/>
        <v>0</v>
      </c>
      <c r="AM282" s="54" t="str">
        <f t="shared" ca="1" si="80"/>
        <v/>
      </c>
      <c r="AN282" s="25" t="e">
        <f t="shared" ca="1" si="90"/>
        <v>#VALUE!</v>
      </c>
      <c r="AO282" s="25" t="e">
        <f t="shared" ca="1" si="91"/>
        <v>#VALUE!</v>
      </c>
      <c r="AP282" s="39" t="str">
        <f t="shared" ca="1" si="81"/>
        <v/>
      </c>
      <c r="AQ282" s="46" t="str">
        <f ca="1">IF(AND(C282&lt;&gt;0, C283=0), SUM($C$2:C282)-SUM($AQ$1:AQ281), "")</f>
        <v/>
      </c>
      <c r="AR282" s="46" t="str">
        <f ca="1">IF(AND(AK282&lt;&gt;0, AK283=0), SUM($AK$2:AK282)-SUM($AR$1:AR281), "")</f>
        <v/>
      </c>
    </row>
    <row r="283" spans="1:44" ht="13.15" customHeight="1">
      <c r="A283" s="62"/>
      <c r="B283" s="68" t="str">
        <f t="shared" si="92"/>
        <v/>
      </c>
      <c r="C283" s="55" cm="1">
        <f t="array" aca="1" ref="C283" ca="1">SUM(IF(ISNUMBER(M283:U283),M283:U283,""))</f>
        <v>0</v>
      </c>
      <c r="D283" s="25" t="str">
        <f t="shared" si="93"/>
        <v/>
      </c>
      <c r="E283" s="25" t="e">
        <f t="shared" si="82"/>
        <v>#VALUE!</v>
      </c>
      <c r="F283" s="25" t="str">
        <f t="shared" si="94"/>
        <v/>
      </c>
      <c r="G283" s="25" t="str">
        <f t="shared" si="79"/>
        <v>.xlsx</v>
      </c>
      <c r="H283" s="29" t="e" cm="1">
        <f t="array" aca="1" ref="H283" ca="1">IF(AND(VALUE(E283)=INDIRECT("'["&amp;G283&amp;"]"&amp;E283&amp;"'!"&amp;$X$2),G283=INDIRECT("'["&amp;G283&amp;"]"&amp;E283&amp;"'!"&amp;$X$3)),INDIRECT("'["&amp;G283&amp;"]"&amp;E283&amp;"'!"&amp;$X$1),0)</f>
        <v>#VALUE!</v>
      </c>
      <c r="I283" s="25" t="str">
        <f t="shared" si="83"/>
        <v/>
      </c>
      <c r="J283" s="32" t="str">
        <f t="shared" si="84"/>
        <v/>
      </c>
      <c r="K283" s="25" t="str">
        <f t="shared" si="85"/>
        <v/>
      </c>
      <c r="L283" s="25" t="str">
        <f t="shared" si="86"/>
        <v/>
      </c>
      <c r="M283" s="33" t="e" cm="1">
        <f t="array" aca="1" ref="M283" ca="1">IF(AND(J283=INDIRECT("'["&amp;G283&amp;"]"&amp;E283&amp;"'!"&amp;$Y$2),G283=INDIRECT("'["&amp;G283&amp;"]"&amp;E283&amp;"'!"&amp;$AH$2)),INDIRECT("'["&amp;G283&amp;"]"&amp;E283&amp;"'!"&amp;$Y$3),0)</f>
        <v>#VALUE!</v>
      </c>
      <c r="N283" s="34" t="e" cm="1">
        <f t="array" aca="1" ref="N283" ca="1">IF(AND(G283=INDIRECT("'["&amp;G283&amp;"]"&amp;E283&amp;"'!"&amp;$AH$2),OR(K283=INDIRECT("'["&amp;G283&amp;"]"&amp;E283&amp;"'!"&amp;$Z$2))),INDIRECT("'["&amp;G283&amp;"]"&amp;E283&amp;"'!"&amp;$Z$3),0)</f>
        <v>#VALUE!</v>
      </c>
      <c r="O283" s="34" t="e" cm="1">
        <f t="array" aca="1" ref="O283" ca="1">IF(AND(G283=INDIRECT("'["&amp;G283&amp;"]"&amp;E283&amp;"'!"&amp;$AH$2),OR(L283=INDIRECT("'["&amp;G283&amp;"]"&amp;E283&amp;"'!"&amp;$AA$2))),INDIRECT("'["&amp;G283&amp;"]"&amp;E283&amp;"'!"&amp;$AA$3),0)</f>
        <v>#VALUE!</v>
      </c>
      <c r="P283" s="34" t="e" cm="1">
        <f t="array" aca="1" ref="P283" ca="1">IF(AND(G283=INDIRECT("'["&amp;G283&amp;"]"&amp;E283&amp;"'!"&amp;$AH$2),OR(VALUE(I283)=INDIRECT("'["&amp;G283&amp;"]"&amp;E283&amp;"'!"&amp;$AB$2))),INDIRECT("'["&amp;G283&amp;"]"&amp;E283&amp;"'!"&amp;$AB$3),0)</f>
        <v>#VALUE!</v>
      </c>
      <c r="Q283" s="34" t="e" cm="1">
        <f t="array" aca="1" ref="Q283" ca="1">IF(AND(G283=INDIRECT("'["&amp;G283&amp;"]"&amp;E283&amp;"'!"&amp;$AH$2),OR(VALUE(I283)=INDIRECT("'["&amp;G283&amp;"]"&amp;E283&amp;"'!"&amp;$AC$2))),INDIRECT("'["&amp;G283&amp;"]"&amp;E283&amp;"'!"&amp;$AC$3),0)</f>
        <v>#VALUE!</v>
      </c>
      <c r="R283" s="34" t="e" cm="1">
        <f t="array" aca="1" ref="R283" ca="1">IF(AND(G283=INDIRECT("'["&amp;G283&amp;"]"&amp;E283&amp;"'!"&amp;$AH$2),OR(I283=INDIRECT("'["&amp;G283&amp;"]"&amp;E283&amp;"'!"&amp;$AD$2))),INDIRECT("'["&amp;G283&amp;"]"&amp;E283&amp;"'!"&amp;$AD$3),0)</f>
        <v>#VALUE!</v>
      </c>
      <c r="S283" s="34" t="e" cm="1">
        <f t="array" aca="1" ref="S283" ca="1">IF(AND(G283=INDIRECT("'["&amp;G283&amp;"]"&amp;E283&amp;"'!"&amp;$AH$2),OR(I283=INDIRECT("'["&amp;G283&amp;"]"&amp;E283&amp;"'!"&amp;$AE$2))),INDIRECT("'["&amp;G283&amp;"]"&amp;E283&amp;"'!"&amp;$AE$3),0)</f>
        <v>#VALUE!</v>
      </c>
      <c r="T283" s="35" t="e" cm="1">
        <f t="array" aca="1" ref="T283" ca="1">IF(AND(G283=INDIRECT("'["&amp;G283&amp;"]"&amp;E283&amp;"'!"&amp;$AH$2),OR(I283=INDIRECT("'["&amp;G283&amp;"]"&amp;E283&amp;"'!"&amp;$AF$2))),INDIRECT("'["&amp;G283&amp;"]"&amp;E283&amp;"'!"&amp;$AF$3),0)</f>
        <v>#VALUE!</v>
      </c>
      <c r="U283" s="34" t="e" cm="1">
        <f t="array" aca="1" ref="U283" ca="1">IF(AND(G283=INDIRECT("'["&amp;G283&amp;"]"&amp;E283&amp;"'!"&amp;$AH$2),OR(I283=INDIRECT("'["&amp;G283&amp;"]"&amp;E283&amp;"'!"&amp;$AG$2))),INDIRECT("'["&amp;G283&amp;"]"&amp;E283&amp;"'!"&amp;$AG$3),0)</f>
        <v>#VALUE!</v>
      </c>
      <c r="V283" s="25" t="str">
        <f t="shared" si="87"/>
        <v/>
      </c>
      <c r="W283" s="36" t="e" cm="1">
        <f t="array" aca="1" ref="W283" ca="1">IF(AND(G283=INDIRECT("'["&amp;G283&amp;"]"&amp;E283&amp;"'!"&amp;$AH$2),OR(V283=INDIRECT("'["&amp;G283&amp;"]"&amp;E283&amp;"'!"&amp;$AI$2))),INDIRECT("'["&amp;G283&amp;"]"&amp;E283&amp;"'!"&amp;$AI$3),0)</f>
        <v>#VALUE!</v>
      </c>
      <c r="AJ283" s="25">
        <v>1</v>
      </c>
      <c r="AK283" s="38">
        <f t="shared" ca="1" si="88"/>
        <v>0</v>
      </c>
      <c r="AL283" s="38">
        <f t="shared" ca="1" si="89"/>
        <v>0</v>
      </c>
      <c r="AM283" s="54" t="str">
        <f t="shared" ca="1" si="80"/>
        <v/>
      </c>
      <c r="AN283" s="25" t="e">
        <f t="shared" ca="1" si="90"/>
        <v>#VALUE!</v>
      </c>
      <c r="AO283" s="25" t="e">
        <f t="shared" ca="1" si="91"/>
        <v>#VALUE!</v>
      </c>
      <c r="AP283" s="39" t="str">
        <f t="shared" ca="1" si="81"/>
        <v/>
      </c>
      <c r="AQ283" s="46" t="str">
        <f ca="1">IF(AND(C283&lt;&gt;0, C284=0), SUM($C$2:C283)-SUM($AQ$1:AQ282), "")</f>
        <v/>
      </c>
      <c r="AR283" s="46" t="str">
        <f ca="1">IF(AND(AK283&lt;&gt;0, AK284=0), SUM($AK$2:AK283)-SUM($AR$1:AR282), "")</f>
        <v/>
      </c>
    </row>
    <row r="284" spans="1:44" ht="13.15" customHeight="1">
      <c r="A284" s="62"/>
      <c r="B284" s="68" t="str">
        <f t="shared" si="92"/>
        <v/>
      </c>
      <c r="C284" s="55" cm="1">
        <f t="array" aca="1" ref="C284" ca="1">SUM(IF(ISNUMBER(M284:U284),M284:U284,""))</f>
        <v>0</v>
      </c>
      <c r="D284" s="25" t="str">
        <f t="shared" si="93"/>
        <v/>
      </c>
      <c r="E284" s="25" t="e">
        <f t="shared" si="82"/>
        <v>#VALUE!</v>
      </c>
      <c r="F284" s="25" t="str">
        <f t="shared" si="94"/>
        <v/>
      </c>
      <c r="G284" s="25" t="str">
        <f t="shared" si="79"/>
        <v>.xlsx</v>
      </c>
      <c r="H284" s="29" t="e" cm="1">
        <f t="array" aca="1" ref="H284" ca="1">IF(AND(VALUE(E284)=INDIRECT("'["&amp;G284&amp;"]"&amp;E284&amp;"'!"&amp;$X$2),G284=INDIRECT("'["&amp;G284&amp;"]"&amp;E284&amp;"'!"&amp;$X$3)),INDIRECT("'["&amp;G284&amp;"]"&amp;E284&amp;"'!"&amp;$X$1),0)</f>
        <v>#VALUE!</v>
      </c>
      <c r="I284" s="25" t="str">
        <f t="shared" si="83"/>
        <v/>
      </c>
      <c r="J284" s="32" t="str">
        <f t="shared" si="84"/>
        <v/>
      </c>
      <c r="K284" s="25" t="str">
        <f t="shared" si="85"/>
        <v/>
      </c>
      <c r="L284" s="25" t="str">
        <f t="shared" si="86"/>
        <v/>
      </c>
      <c r="M284" s="33" t="e" cm="1">
        <f t="array" aca="1" ref="M284" ca="1">IF(AND(J284=INDIRECT("'["&amp;G284&amp;"]"&amp;E284&amp;"'!"&amp;$Y$2),G284=INDIRECT("'["&amp;G284&amp;"]"&amp;E284&amp;"'!"&amp;$AH$2)),INDIRECT("'["&amp;G284&amp;"]"&amp;E284&amp;"'!"&amp;$Y$3),0)</f>
        <v>#VALUE!</v>
      </c>
      <c r="N284" s="34" t="e" cm="1">
        <f t="array" aca="1" ref="N284" ca="1">IF(AND(G284=INDIRECT("'["&amp;G284&amp;"]"&amp;E284&amp;"'!"&amp;$AH$2),OR(K284=INDIRECT("'["&amp;G284&amp;"]"&amp;E284&amp;"'!"&amp;$Z$2))),INDIRECT("'["&amp;G284&amp;"]"&amp;E284&amp;"'!"&amp;$Z$3),0)</f>
        <v>#VALUE!</v>
      </c>
      <c r="O284" s="34" t="e" cm="1">
        <f t="array" aca="1" ref="O284" ca="1">IF(AND(G284=INDIRECT("'["&amp;G284&amp;"]"&amp;E284&amp;"'!"&amp;$AH$2),OR(L284=INDIRECT("'["&amp;G284&amp;"]"&amp;E284&amp;"'!"&amp;$AA$2))),INDIRECT("'["&amp;G284&amp;"]"&amp;E284&amp;"'!"&amp;$AA$3),0)</f>
        <v>#VALUE!</v>
      </c>
      <c r="P284" s="34" t="e" cm="1">
        <f t="array" aca="1" ref="P284" ca="1">IF(AND(G284=INDIRECT("'["&amp;G284&amp;"]"&amp;E284&amp;"'!"&amp;$AH$2),OR(VALUE(I284)=INDIRECT("'["&amp;G284&amp;"]"&amp;E284&amp;"'!"&amp;$AB$2))),INDIRECT("'["&amp;G284&amp;"]"&amp;E284&amp;"'!"&amp;$AB$3),0)</f>
        <v>#VALUE!</v>
      </c>
      <c r="Q284" s="34" t="e" cm="1">
        <f t="array" aca="1" ref="Q284" ca="1">IF(AND(G284=INDIRECT("'["&amp;G284&amp;"]"&amp;E284&amp;"'!"&amp;$AH$2),OR(VALUE(I284)=INDIRECT("'["&amp;G284&amp;"]"&amp;E284&amp;"'!"&amp;$AC$2))),INDIRECT("'["&amp;G284&amp;"]"&amp;E284&amp;"'!"&amp;$AC$3),0)</f>
        <v>#VALUE!</v>
      </c>
      <c r="R284" s="34" t="e" cm="1">
        <f t="array" aca="1" ref="R284" ca="1">IF(AND(G284=INDIRECT("'["&amp;G284&amp;"]"&amp;E284&amp;"'!"&amp;$AH$2),OR(I284=INDIRECT("'["&amp;G284&amp;"]"&amp;E284&amp;"'!"&amp;$AD$2))),INDIRECT("'["&amp;G284&amp;"]"&amp;E284&amp;"'!"&amp;$AD$3),0)</f>
        <v>#VALUE!</v>
      </c>
      <c r="S284" s="34" t="e" cm="1">
        <f t="array" aca="1" ref="S284" ca="1">IF(AND(G284=INDIRECT("'["&amp;G284&amp;"]"&amp;E284&amp;"'!"&amp;$AH$2),OR(I284=INDIRECT("'["&amp;G284&amp;"]"&amp;E284&amp;"'!"&amp;$AE$2))),INDIRECT("'["&amp;G284&amp;"]"&amp;E284&amp;"'!"&amp;$AE$3),0)</f>
        <v>#VALUE!</v>
      </c>
      <c r="T284" s="35" t="e" cm="1">
        <f t="array" aca="1" ref="T284" ca="1">IF(AND(G284=INDIRECT("'["&amp;G284&amp;"]"&amp;E284&amp;"'!"&amp;$AH$2),OR(I284=INDIRECT("'["&amp;G284&amp;"]"&amp;E284&amp;"'!"&amp;$AF$2))),INDIRECT("'["&amp;G284&amp;"]"&amp;E284&amp;"'!"&amp;$AF$3),0)</f>
        <v>#VALUE!</v>
      </c>
      <c r="U284" s="34" t="e" cm="1">
        <f t="array" aca="1" ref="U284" ca="1">IF(AND(G284=INDIRECT("'["&amp;G284&amp;"]"&amp;E284&amp;"'!"&amp;$AH$2),OR(I284=INDIRECT("'["&amp;G284&amp;"]"&amp;E284&amp;"'!"&amp;$AG$2))),INDIRECT("'["&amp;G284&amp;"]"&amp;E284&amp;"'!"&amp;$AG$3),0)</f>
        <v>#VALUE!</v>
      </c>
      <c r="V284" s="25" t="str">
        <f t="shared" si="87"/>
        <v/>
      </c>
      <c r="W284" s="36" t="e" cm="1">
        <f t="array" aca="1" ref="W284" ca="1">IF(AND(G284=INDIRECT("'["&amp;G284&amp;"]"&amp;E284&amp;"'!"&amp;$AH$2),OR(V284=INDIRECT("'["&amp;G284&amp;"]"&amp;E284&amp;"'!"&amp;$AI$2))),INDIRECT("'["&amp;G284&amp;"]"&amp;E284&amp;"'!"&amp;$AI$3),0)</f>
        <v>#VALUE!</v>
      </c>
      <c r="AJ284" s="25">
        <v>1</v>
      </c>
      <c r="AK284" s="38">
        <f t="shared" ca="1" si="88"/>
        <v>0</v>
      </c>
      <c r="AL284" s="38">
        <f t="shared" ca="1" si="89"/>
        <v>0</v>
      </c>
      <c r="AM284" s="54" t="str">
        <f t="shared" ca="1" si="80"/>
        <v/>
      </c>
      <c r="AN284" s="25" t="e">
        <f t="shared" ca="1" si="90"/>
        <v>#VALUE!</v>
      </c>
      <c r="AO284" s="25" t="e">
        <f t="shared" ca="1" si="91"/>
        <v>#VALUE!</v>
      </c>
      <c r="AP284" s="39" t="str">
        <f t="shared" ca="1" si="81"/>
        <v/>
      </c>
      <c r="AQ284" s="46" t="str">
        <f ca="1">IF(AND(C284&lt;&gt;0, C285=0), SUM($C$2:C284)-SUM($AQ$1:AQ283), "")</f>
        <v/>
      </c>
      <c r="AR284" s="46" t="str">
        <f ca="1">IF(AND(AK284&lt;&gt;0, AK285=0), SUM($AK$2:AK284)-SUM($AR$1:AR283), "")</f>
        <v/>
      </c>
    </row>
    <row r="285" spans="1:44" ht="13.15" customHeight="1">
      <c r="A285" s="62"/>
      <c r="B285" s="68" t="str">
        <f t="shared" si="92"/>
        <v/>
      </c>
      <c r="C285" s="55" cm="1">
        <f t="array" aca="1" ref="C285" ca="1">SUM(IF(ISNUMBER(M285:U285),M285:U285,""))</f>
        <v>0</v>
      </c>
      <c r="D285" s="25" t="str">
        <f t="shared" si="93"/>
        <v/>
      </c>
      <c r="E285" s="25" t="e">
        <f t="shared" si="82"/>
        <v>#VALUE!</v>
      </c>
      <c r="F285" s="25" t="str">
        <f t="shared" si="94"/>
        <v/>
      </c>
      <c r="G285" s="25" t="str">
        <f t="shared" si="79"/>
        <v>.xlsx</v>
      </c>
      <c r="H285" s="29" t="e" cm="1">
        <f t="array" aca="1" ref="H285" ca="1">IF(AND(VALUE(E285)=INDIRECT("'["&amp;G285&amp;"]"&amp;E285&amp;"'!"&amp;$X$2),G285=INDIRECT("'["&amp;G285&amp;"]"&amp;E285&amp;"'!"&amp;$X$3)),INDIRECT("'["&amp;G285&amp;"]"&amp;E285&amp;"'!"&amp;$X$1),0)</f>
        <v>#VALUE!</v>
      </c>
      <c r="I285" s="25" t="str">
        <f t="shared" si="83"/>
        <v/>
      </c>
      <c r="J285" s="32" t="str">
        <f t="shared" si="84"/>
        <v/>
      </c>
      <c r="K285" s="25" t="str">
        <f t="shared" si="85"/>
        <v/>
      </c>
      <c r="L285" s="25" t="str">
        <f t="shared" si="86"/>
        <v/>
      </c>
      <c r="M285" s="33" t="e" cm="1">
        <f t="array" aca="1" ref="M285" ca="1">IF(AND(J285=INDIRECT("'["&amp;G285&amp;"]"&amp;E285&amp;"'!"&amp;$Y$2),G285=INDIRECT("'["&amp;G285&amp;"]"&amp;E285&amp;"'!"&amp;$AH$2)),INDIRECT("'["&amp;G285&amp;"]"&amp;E285&amp;"'!"&amp;$Y$3),0)</f>
        <v>#VALUE!</v>
      </c>
      <c r="N285" s="34" t="e" cm="1">
        <f t="array" aca="1" ref="N285" ca="1">IF(AND(G285=INDIRECT("'["&amp;G285&amp;"]"&amp;E285&amp;"'!"&amp;$AH$2),OR(K285=INDIRECT("'["&amp;G285&amp;"]"&amp;E285&amp;"'!"&amp;$Z$2))),INDIRECT("'["&amp;G285&amp;"]"&amp;E285&amp;"'!"&amp;$Z$3),0)</f>
        <v>#VALUE!</v>
      </c>
      <c r="O285" s="34" t="e" cm="1">
        <f t="array" aca="1" ref="O285" ca="1">IF(AND(G285=INDIRECT("'["&amp;G285&amp;"]"&amp;E285&amp;"'!"&amp;$AH$2),OR(L285=INDIRECT("'["&amp;G285&amp;"]"&amp;E285&amp;"'!"&amp;$AA$2))),INDIRECT("'["&amp;G285&amp;"]"&amp;E285&amp;"'!"&amp;$AA$3),0)</f>
        <v>#VALUE!</v>
      </c>
      <c r="P285" s="34" t="e" cm="1">
        <f t="array" aca="1" ref="P285" ca="1">IF(AND(G285=INDIRECT("'["&amp;G285&amp;"]"&amp;E285&amp;"'!"&amp;$AH$2),OR(VALUE(I285)=INDIRECT("'["&amp;G285&amp;"]"&amp;E285&amp;"'!"&amp;$AB$2))),INDIRECT("'["&amp;G285&amp;"]"&amp;E285&amp;"'!"&amp;$AB$3),0)</f>
        <v>#VALUE!</v>
      </c>
      <c r="Q285" s="34" t="e" cm="1">
        <f t="array" aca="1" ref="Q285" ca="1">IF(AND(G285=INDIRECT("'["&amp;G285&amp;"]"&amp;E285&amp;"'!"&amp;$AH$2),OR(VALUE(I285)=INDIRECT("'["&amp;G285&amp;"]"&amp;E285&amp;"'!"&amp;$AC$2))),INDIRECT("'["&amp;G285&amp;"]"&amp;E285&amp;"'!"&amp;$AC$3),0)</f>
        <v>#VALUE!</v>
      </c>
      <c r="R285" s="34" t="e" cm="1">
        <f t="array" aca="1" ref="R285" ca="1">IF(AND(G285=INDIRECT("'["&amp;G285&amp;"]"&amp;E285&amp;"'!"&amp;$AH$2),OR(I285=INDIRECT("'["&amp;G285&amp;"]"&amp;E285&amp;"'!"&amp;$AD$2))),INDIRECT("'["&amp;G285&amp;"]"&amp;E285&amp;"'!"&amp;$AD$3),0)</f>
        <v>#VALUE!</v>
      </c>
      <c r="S285" s="34" t="e" cm="1">
        <f t="array" aca="1" ref="S285" ca="1">IF(AND(G285=INDIRECT("'["&amp;G285&amp;"]"&amp;E285&amp;"'!"&amp;$AH$2),OR(I285=INDIRECT("'["&amp;G285&amp;"]"&amp;E285&amp;"'!"&amp;$AE$2))),INDIRECT("'["&amp;G285&amp;"]"&amp;E285&amp;"'!"&amp;$AE$3),0)</f>
        <v>#VALUE!</v>
      </c>
      <c r="T285" s="35" t="e" cm="1">
        <f t="array" aca="1" ref="T285" ca="1">IF(AND(G285=INDIRECT("'["&amp;G285&amp;"]"&amp;E285&amp;"'!"&amp;$AH$2),OR(I285=INDIRECT("'["&amp;G285&amp;"]"&amp;E285&amp;"'!"&amp;$AF$2))),INDIRECT("'["&amp;G285&amp;"]"&amp;E285&amp;"'!"&amp;$AF$3),0)</f>
        <v>#VALUE!</v>
      </c>
      <c r="U285" s="34" t="e" cm="1">
        <f t="array" aca="1" ref="U285" ca="1">IF(AND(G285=INDIRECT("'["&amp;G285&amp;"]"&amp;E285&amp;"'!"&amp;$AH$2),OR(I285=INDIRECT("'["&amp;G285&amp;"]"&amp;E285&amp;"'!"&amp;$AG$2))),INDIRECT("'["&amp;G285&amp;"]"&amp;E285&amp;"'!"&amp;$AG$3),0)</f>
        <v>#VALUE!</v>
      </c>
      <c r="V285" s="25" t="str">
        <f t="shared" si="87"/>
        <v/>
      </c>
      <c r="W285" s="36" t="e" cm="1">
        <f t="array" aca="1" ref="W285" ca="1">IF(AND(G285=INDIRECT("'["&amp;G285&amp;"]"&amp;E285&amp;"'!"&amp;$AH$2),OR(V285=INDIRECT("'["&amp;G285&amp;"]"&amp;E285&amp;"'!"&amp;$AI$2))),INDIRECT("'["&amp;G285&amp;"]"&amp;E285&amp;"'!"&amp;$AI$3),0)</f>
        <v>#VALUE!</v>
      </c>
      <c r="AJ285" s="25">
        <v>1</v>
      </c>
      <c r="AK285" s="38">
        <f t="shared" ca="1" si="88"/>
        <v>0</v>
      </c>
      <c r="AL285" s="38">
        <f t="shared" ca="1" si="89"/>
        <v>0</v>
      </c>
      <c r="AM285" s="54" t="str">
        <f t="shared" ca="1" si="80"/>
        <v/>
      </c>
      <c r="AN285" s="25" t="e">
        <f t="shared" ca="1" si="90"/>
        <v>#VALUE!</v>
      </c>
      <c r="AO285" s="25" t="e">
        <f t="shared" ca="1" si="91"/>
        <v>#VALUE!</v>
      </c>
      <c r="AP285" s="39" t="str">
        <f t="shared" ca="1" si="81"/>
        <v/>
      </c>
      <c r="AQ285" s="46" t="str">
        <f ca="1">IF(AND(C285&lt;&gt;0, C286=0), SUM($C$2:C285)-SUM($AQ$1:AQ284), "")</f>
        <v/>
      </c>
      <c r="AR285" s="46" t="str">
        <f ca="1">IF(AND(AK285&lt;&gt;0, AK286=0), SUM($AK$2:AK285)-SUM($AR$1:AR284), "")</f>
        <v/>
      </c>
    </row>
    <row r="286" spans="1:44" ht="13.15" customHeight="1">
      <c r="A286" s="62"/>
      <c r="B286" s="68" t="str">
        <f t="shared" si="92"/>
        <v/>
      </c>
      <c r="C286" s="55" cm="1">
        <f t="array" aca="1" ref="C286" ca="1">SUM(IF(ISNUMBER(M286:U286),M286:U286,""))</f>
        <v>0</v>
      </c>
      <c r="D286" s="25" t="str">
        <f t="shared" si="93"/>
        <v/>
      </c>
      <c r="E286" s="25" t="e">
        <f t="shared" si="82"/>
        <v>#VALUE!</v>
      </c>
      <c r="F286" s="25" t="str">
        <f t="shared" si="94"/>
        <v/>
      </c>
      <c r="G286" s="25" t="str">
        <f t="shared" si="79"/>
        <v>.xlsx</v>
      </c>
      <c r="H286" s="29" t="e" cm="1">
        <f t="array" aca="1" ref="H286" ca="1">IF(AND(VALUE(E286)=INDIRECT("'["&amp;G286&amp;"]"&amp;E286&amp;"'!"&amp;$X$2),G286=INDIRECT("'["&amp;G286&amp;"]"&amp;E286&amp;"'!"&amp;$X$3)),INDIRECT("'["&amp;G286&amp;"]"&amp;E286&amp;"'!"&amp;$X$1),0)</f>
        <v>#VALUE!</v>
      </c>
      <c r="I286" s="25" t="str">
        <f t="shared" si="83"/>
        <v/>
      </c>
      <c r="J286" s="32" t="str">
        <f t="shared" si="84"/>
        <v/>
      </c>
      <c r="K286" s="25" t="str">
        <f t="shared" si="85"/>
        <v/>
      </c>
      <c r="L286" s="25" t="str">
        <f t="shared" si="86"/>
        <v/>
      </c>
      <c r="M286" s="33" t="e" cm="1">
        <f t="array" aca="1" ref="M286" ca="1">IF(AND(J286=INDIRECT("'["&amp;G286&amp;"]"&amp;E286&amp;"'!"&amp;$Y$2),G286=INDIRECT("'["&amp;G286&amp;"]"&amp;E286&amp;"'!"&amp;$AH$2)),INDIRECT("'["&amp;G286&amp;"]"&amp;E286&amp;"'!"&amp;$Y$3),0)</f>
        <v>#VALUE!</v>
      </c>
      <c r="N286" s="34" t="e" cm="1">
        <f t="array" aca="1" ref="N286" ca="1">IF(AND(G286=INDIRECT("'["&amp;G286&amp;"]"&amp;E286&amp;"'!"&amp;$AH$2),OR(K286=INDIRECT("'["&amp;G286&amp;"]"&amp;E286&amp;"'!"&amp;$Z$2))),INDIRECT("'["&amp;G286&amp;"]"&amp;E286&amp;"'!"&amp;$Z$3),0)</f>
        <v>#VALUE!</v>
      </c>
      <c r="O286" s="34" t="e" cm="1">
        <f t="array" aca="1" ref="O286" ca="1">IF(AND(G286=INDIRECT("'["&amp;G286&amp;"]"&amp;E286&amp;"'!"&amp;$AH$2),OR(L286=INDIRECT("'["&amp;G286&amp;"]"&amp;E286&amp;"'!"&amp;$AA$2))),INDIRECT("'["&amp;G286&amp;"]"&amp;E286&amp;"'!"&amp;$AA$3),0)</f>
        <v>#VALUE!</v>
      </c>
      <c r="P286" s="34" t="e" cm="1">
        <f t="array" aca="1" ref="P286" ca="1">IF(AND(G286=INDIRECT("'["&amp;G286&amp;"]"&amp;E286&amp;"'!"&amp;$AH$2),OR(VALUE(I286)=INDIRECT("'["&amp;G286&amp;"]"&amp;E286&amp;"'!"&amp;$AB$2))),INDIRECT("'["&amp;G286&amp;"]"&amp;E286&amp;"'!"&amp;$AB$3),0)</f>
        <v>#VALUE!</v>
      </c>
      <c r="Q286" s="34" t="e" cm="1">
        <f t="array" aca="1" ref="Q286" ca="1">IF(AND(G286=INDIRECT("'["&amp;G286&amp;"]"&amp;E286&amp;"'!"&amp;$AH$2),OR(VALUE(I286)=INDIRECT("'["&amp;G286&amp;"]"&amp;E286&amp;"'!"&amp;$AC$2))),INDIRECT("'["&amp;G286&amp;"]"&amp;E286&amp;"'!"&amp;$AC$3),0)</f>
        <v>#VALUE!</v>
      </c>
      <c r="R286" s="34" t="e" cm="1">
        <f t="array" aca="1" ref="R286" ca="1">IF(AND(G286=INDIRECT("'["&amp;G286&amp;"]"&amp;E286&amp;"'!"&amp;$AH$2),OR(I286=INDIRECT("'["&amp;G286&amp;"]"&amp;E286&amp;"'!"&amp;$AD$2))),INDIRECT("'["&amp;G286&amp;"]"&amp;E286&amp;"'!"&amp;$AD$3),0)</f>
        <v>#VALUE!</v>
      </c>
      <c r="S286" s="34" t="e" cm="1">
        <f t="array" aca="1" ref="S286" ca="1">IF(AND(G286=INDIRECT("'["&amp;G286&amp;"]"&amp;E286&amp;"'!"&amp;$AH$2),OR(I286=INDIRECT("'["&amp;G286&amp;"]"&amp;E286&amp;"'!"&amp;$AE$2))),INDIRECT("'["&amp;G286&amp;"]"&amp;E286&amp;"'!"&amp;$AE$3),0)</f>
        <v>#VALUE!</v>
      </c>
      <c r="T286" s="35" t="e" cm="1">
        <f t="array" aca="1" ref="T286" ca="1">IF(AND(G286=INDIRECT("'["&amp;G286&amp;"]"&amp;E286&amp;"'!"&amp;$AH$2),OR(I286=INDIRECT("'["&amp;G286&amp;"]"&amp;E286&amp;"'!"&amp;$AF$2))),INDIRECT("'["&amp;G286&amp;"]"&amp;E286&amp;"'!"&amp;$AF$3),0)</f>
        <v>#VALUE!</v>
      </c>
      <c r="U286" s="34" t="e" cm="1">
        <f t="array" aca="1" ref="U286" ca="1">IF(AND(G286=INDIRECT("'["&amp;G286&amp;"]"&amp;E286&amp;"'!"&amp;$AH$2),OR(I286=INDIRECT("'["&amp;G286&amp;"]"&amp;E286&amp;"'!"&amp;$AG$2))),INDIRECT("'["&amp;G286&amp;"]"&amp;E286&amp;"'!"&amp;$AG$3),0)</f>
        <v>#VALUE!</v>
      </c>
      <c r="V286" s="25" t="str">
        <f t="shared" si="87"/>
        <v/>
      </c>
      <c r="W286" s="36" t="e" cm="1">
        <f t="array" aca="1" ref="W286" ca="1">IF(AND(G286=INDIRECT("'["&amp;G286&amp;"]"&amp;E286&amp;"'!"&amp;$AH$2),OR(V286=INDIRECT("'["&amp;G286&amp;"]"&amp;E286&amp;"'!"&amp;$AI$2))),INDIRECT("'["&amp;G286&amp;"]"&amp;E286&amp;"'!"&amp;$AI$3),0)</f>
        <v>#VALUE!</v>
      </c>
      <c r="AJ286" s="25">
        <v>1</v>
      </c>
      <c r="AK286" s="38">
        <f t="shared" ca="1" si="88"/>
        <v>0</v>
      </c>
      <c r="AL286" s="38">
        <f t="shared" ca="1" si="89"/>
        <v>0</v>
      </c>
      <c r="AM286" s="54" t="str">
        <f t="shared" ca="1" si="80"/>
        <v/>
      </c>
      <c r="AN286" s="25" t="e">
        <f t="shared" ca="1" si="90"/>
        <v>#VALUE!</v>
      </c>
      <c r="AO286" s="25" t="e">
        <f t="shared" ca="1" si="91"/>
        <v>#VALUE!</v>
      </c>
      <c r="AP286" s="39" t="str">
        <f t="shared" ca="1" si="81"/>
        <v/>
      </c>
      <c r="AQ286" s="46" t="str">
        <f ca="1">IF(AND(C286&lt;&gt;0, C287=0), SUM($C$2:C286)-SUM($AQ$1:AQ285), "")</f>
        <v/>
      </c>
      <c r="AR286" s="46" t="str">
        <f ca="1">IF(AND(AK286&lt;&gt;0, AK287=0), SUM($AK$2:AK286)-SUM($AR$1:AR285), "")</f>
        <v/>
      </c>
    </row>
    <row r="287" spans="1:44" ht="13.15" customHeight="1">
      <c r="A287" s="62"/>
      <c r="B287" s="68" t="str">
        <f t="shared" si="92"/>
        <v/>
      </c>
      <c r="C287" s="55" cm="1">
        <f t="array" aca="1" ref="C287" ca="1">SUM(IF(ISNUMBER(M287:U287),M287:U287,""))</f>
        <v>0</v>
      </c>
      <c r="D287" s="25" t="str">
        <f t="shared" si="93"/>
        <v/>
      </c>
      <c r="E287" s="25" t="e">
        <f t="shared" si="82"/>
        <v>#VALUE!</v>
      </c>
      <c r="F287" s="25" t="str">
        <f t="shared" si="94"/>
        <v/>
      </c>
      <c r="G287" s="25" t="str">
        <f t="shared" si="79"/>
        <v>.xlsx</v>
      </c>
      <c r="H287" s="29" t="e" cm="1">
        <f t="array" aca="1" ref="H287" ca="1">IF(AND(VALUE(E287)=INDIRECT("'["&amp;G287&amp;"]"&amp;E287&amp;"'!"&amp;$X$2),G287=INDIRECT("'["&amp;G287&amp;"]"&amp;E287&amp;"'!"&amp;$X$3)),INDIRECT("'["&amp;G287&amp;"]"&amp;E287&amp;"'!"&amp;$X$1),0)</f>
        <v>#VALUE!</v>
      </c>
      <c r="I287" s="25" t="str">
        <f t="shared" si="83"/>
        <v/>
      </c>
      <c r="J287" s="32" t="str">
        <f t="shared" si="84"/>
        <v/>
      </c>
      <c r="K287" s="25" t="str">
        <f t="shared" si="85"/>
        <v/>
      </c>
      <c r="L287" s="25" t="str">
        <f t="shared" si="86"/>
        <v/>
      </c>
      <c r="M287" s="33" t="e" cm="1">
        <f t="array" aca="1" ref="M287" ca="1">IF(AND(J287=INDIRECT("'["&amp;G287&amp;"]"&amp;E287&amp;"'!"&amp;$Y$2),G287=INDIRECT("'["&amp;G287&amp;"]"&amp;E287&amp;"'!"&amp;$AH$2)),INDIRECT("'["&amp;G287&amp;"]"&amp;E287&amp;"'!"&amp;$Y$3),0)</f>
        <v>#VALUE!</v>
      </c>
      <c r="N287" s="34" t="e" cm="1">
        <f t="array" aca="1" ref="N287" ca="1">IF(AND(G287=INDIRECT("'["&amp;G287&amp;"]"&amp;E287&amp;"'!"&amp;$AH$2),OR(K287=INDIRECT("'["&amp;G287&amp;"]"&amp;E287&amp;"'!"&amp;$Z$2))),INDIRECT("'["&amp;G287&amp;"]"&amp;E287&amp;"'!"&amp;$Z$3),0)</f>
        <v>#VALUE!</v>
      </c>
      <c r="O287" s="34" t="e" cm="1">
        <f t="array" aca="1" ref="O287" ca="1">IF(AND(G287=INDIRECT("'["&amp;G287&amp;"]"&amp;E287&amp;"'!"&amp;$AH$2),OR(L287=INDIRECT("'["&amp;G287&amp;"]"&amp;E287&amp;"'!"&amp;$AA$2))),INDIRECT("'["&amp;G287&amp;"]"&amp;E287&amp;"'!"&amp;$AA$3),0)</f>
        <v>#VALUE!</v>
      </c>
      <c r="P287" s="34" t="e" cm="1">
        <f t="array" aca="1" ref="P287" ca="1">IF(AND(G287=INDIRECT("'["&amp;G287&amp;"]"&amp;E287&amp;"'!"&amp;$AH$2),OR(VALUE(I287)=INDIRECT("'["&amp;G287&amp;"]"&amp;E287&amp;"'!"&amp;$AB$2))),INDIRECT("'["&amp;G287&amp;"]"&amp;E287&amp;"'!"&amp;$AB$3),0)</f>
        <v>#VALUE!</v>
      </c>
      <c r="Q287" s="34" t="e" cm="1">
        <f t="array" aca="1" ref="Q287" ca="1">IF(AND(G287=INDIRECT("'["&amp;G287&amp;"]"&amp;E287&amp;"'!"&amp;$AH$2),OR(VALUE(I287)=INDIRECT("'["&amp;G287&amp;"]"&amp;E287&amp;"'!"&amp;$AC$2))),INDIRECT("'["&amp;G287&amp;"]"&amp;E287&amp;"'!"&amp;$AC$3),0)</f>
        <v>#VALUE!</v>
      </c>
      <c r="R287" s="34" t="e" cm="1">
        <f t="array" aca="1" ref="R287" ca="1">IF(AND(G287=INDIRECT("'["&amp;G287&amp;"]"&amp;E287&amp;"'!"&amp;$AH$2),OR(I287=INDIRECT("'["&amp;G287&amp;"]"&amp;E287&amp;"'!"&amp;$AD$2))),INDIRECT("'["&amp;G287&amp;"]"&amp;E287&amp;"'!"&amp;$AD$3),0)</f>
        <v>#VALUE!</v>
      </c>
      <c r="S287" s="34" t="e" cm="1">
        <f t="array" aca="1" ref="S287" ca="1">IF(AND(G287=INDIRECT("'["&amp;G287&amp;"]"&amp;E287&amp;"'!"&amp;$AH$2),OR(I287=INDIRECT("'["&amp;G287&amp;"]"&amp;E287&amp;"'!"&amp;$AE$2))),INDIRECT("'["&amp;G287&amp;"]"&amp;E287&amp;"'!"&amp;$AE$3),0)</f>
        <v>#VALUE!</v>
      </c>
      <c r="T287" s="35" t="e" cm="1">
        <f t="array" aca="1" ref="T287" ca="1">IF(AND(G287=INDIRECT("'["&amp;G287&amp;"]"&amp;E287&amp;"'!"&amp;$AH$2),OR(I287=INDIRECT("'["&amp;G287&amp;"]"&amp;E287&amp;"'!"&amp;$AF$2))),INDIRECT("'["&amp;G287&amp;"]"&amp;E287&amp;"'!"&amp;$AF$3),0)</f>
        <v>#VALUE!</v>
      </c>
      <c r="U287" s="34" t="e" cm="1">
        <f t="array" aca="1" ref="U287" ca="1">IF(AND(G287=INDIRECT("'["&amp;G287&amp;"]"&amp;E287&amp;"'!"&amp;$AH$2),OR(I287=INDIRECT("'["&amp;G287&amp;"]"&amp;E287&amp;"'!"&amp;$AG$2))),INDIRECT("'["&amp;G287&amp;"]"&amp;E287&amp;"'!"&amp;$AG$3),0)</f>
        <v>#VALUE!</v>
      </c>
      <c r="V287" s="25" t="str">
        <f t="shared" si="87"/>
        <v/>
      </c>
      <c r="W287" s="36" t="e" cm="1">
        <f t="array" aca="1" ref="W287" ca="1">IF(AND(G287=INDIRECT("'["&amp;G287&amp;"]"&amp;E287&amp;"'!"&amp;$AH$2),OR(V287=INDIRECT("'["&amp;G287&amp;"]"&amp;E287&amp;"'!"&amp;$AI$2))),INDIRECT("'["&amp;G287&amp;"]"&amp;E287&amp;"'!"&amp;$AI$3),0)</f>
        <v>#VALUE!</v>
      </c>
      <c r="AJ287" s="25">
        <v>1</v>
      </c>
      <c r="AK287" s="38">
        <f t="shared" ca="1" si="88"/>
        <v>0</v>
      </c>
      <c r="AL287" s="38">
        <f t="shared" ca="1" si="89"/>
        <v>0</v>
      </c>
      <c r="AM287" s="54" t="str">
        <f t="shared" ca="1" si="80"/>
        <v/>
      </c>
      <c r="AN287" s="25" t="e">
        <f t="shared" ca="1" si="90"/>
        <v>#VALUE!</v>
      </c>
      <c r="AO287" s="25" t="e">
        <f t="shared" ca="1" si="91"/>
        <v>#VALUE!</v>
      </c>
      <c r="AP287" s="39" t="str">
        <f t="shared" ca="1" si="81"/>
        <v/>
      </c>
      <c r="AQ287" s="46" t="str">
        <f ca="1">IF(AND(C287&lt;&gt;0, C288=0), SUM($C$2:C287)-SUM($AQ$1:AQ286), "")</f>
        <v/>
      </c>
      <c r="AR287" s="46" t="str">
        <f ca="1">IF(AND(AK287&lt;&gt;0, AK288=0), SUM($AK$2:AK287)-SUM($AR$1:AR286), "")</f>
        <v/>
      </c>
    </row>
    <row r="288" spans="1:44" ht="13.15" customHeight="1">
      <c r="A288" s="62"/>
      <c r="B288" s="68" t="str">
        <f t="shared" si="92"/>
        <v/>
      </c>
      <c r="C288" s="55" cm="1">
        <f t="array" aca="1" ref="C288" ca="1">SUM(IF(ISNUMBER(M288:U288),M288:U288,""))</f>
        <v>0</v>
      </c>
      <c r="D288" s="25" t="str">
        <f t="shared" si="93"/>
        <v/>
      </c>
      <c r="E288" s="25" t="e">
        <f t="shared" si="82"/>
        <v>#VALUE!</v>
      </c>
      <c r="F288" s="25" t="str">
        <f t="shared" si="94"/>
        <v/>
      </c>
      <c r="G288" s="25" t="str">
        <f t="shared" si="79"/>
        <v>.xlsx</v>
      </c>
      <c r="H288" s="29" t="e" cm="1">
        <f t="array" aca="1" ref="H288" ca="1">IF(AND(VALUE(E288)=INDIRECT("'["&amp;G288&amp;"]"&amp;E288&amp;"'!"&amp;$X$2),G288=INDIRECT("'["&amp;G288&amp;"]"&amp;E288&amp;"'!"&amp;$X$3)),INDIRECT("'["&amp;G288&amp;"]"&amp;E288&amp;"'!"&amp;$X$1),0)</f>
        <v>#VALUE!</v>
      </c>
      <c r="I288" s="25" t="str">
        <f t="shared" si="83"/>
        <v/>
      </c>
      <c r="J288" s="32" t="str">
        <f t="shared" si="84"/>
        <v/>
      </c>
      <c r="K288" s="25" t="str">
        <f t="shared" si="85"/>
        <v/>
      </c>
      <c r="L288" s="25" t="str">
        <f t="shared" si="86"/>
        <v/>
      </c>
      <c r="M288" s="33" t="e" cm="1">
        <f t="array" aca="1" ref="M288" ca="1">IF(AND(J288=INDIRECT("'["&amp;G288&amp;"]"&amp;E288&amp;"'!"&amp;$Y$2),G288=INDIRECT("'["&amp;G288&amp;"]"&amp;E288&amp;"'!"&amp;$AH$2)),INDIRECT("'["&amp;G288&amp;"]"&amp;E288&amp;"'!"&amp;$Y$3),0)</f>
        <v>#VALUE!</v>
      </c>
      <c r="N288" s="34" t="e" cm="1">
        <f t="array" aca="1" ref="N288" ca="1">IF(AND(G288=INDIRECT("'["&amp;G288&amp;"]"&amp;E288&amp;"'!"&amp;$AH$2),OR(K288=INDIRECT("'["&amp;G288&amp;"]"&amp;E288&amp;"'!"&amp;$Z$2))),INDIRECT("'["&amp;G288&amp;"]"&amp;E288&amp;"'!"&amp;$Z$3),0)</f>
        <v>#VALUE!</v>
      </c>
      <c r="O288" s="34" t="e" cm="1">
        <f t="array" aca="1" ref="O288" ca="1">IF(AND(G288=INDIRECT("'["&amp;G288&amp;"]"&amp;E288&amp;"'!"&amp;$AH$2),OR(L288=INDIRECT("'["&amp;G288&amp;"]"&amp;E288&amp;"'!"&amp;$AA$2))),INDIRECT("'["&amp;G288&amp;"]"&amp;E288&amp;"'!"&amp;$AA$3),0)</f>
        <v>#VALUE!</v>
      </c>
      <c r="P288" s="34" t="e" cm="1">
        <f t="array" aca="1" ref="P288" ca="1">IF(AND(G288=INDIRECT("'["&amp;G288&amp;"]"&amp;E288&amp;"'!"&amp;$AH$2),OR(VALUE(I288)=INDIRECT("'["&amp;G288&amp;"]"&amp;E288&amp;"'!"&amp;$AB$2))),INDIRECT("'["&amp;G288&amp;"]"&amp;E288&amp;"'!"&amp;$AB$3),0)</f>
        <v>#VALUE!</v>
      </c>
      <c r="Q288" s="34" t="e" cm="1">
        <f t="array" aca="1" ref="Q288" ca="1">IF(AND(G288=INDIRECT("'["&amp;G288&amp;"]"&amp;E288&amp;"'!"&amp;$AH$2),OR(VALUE(I288)=INDIRECT("'["&amp;G288&amp;"]"&amp;E288&amp;"'!"&amp;$AC$2))),INDIRECT("'["&amp;G288&amp;"]"&amp;E288&amp;"'!"&amp;$AC$3),0)</f>
        <v>#VALUE!</v>
      </c>
      <c r="R288" s="34" t="e" cm="1">
        <f t="array" aca="1" ref="R288" ca="1">IF(AND(G288=INDIRECT("'["&amp;G288&amp;"]"&amp;E288&amp;"'!"&amp;$AH$2),OR(I288=INDIRECT("'["&amp;G288&amp;"]"&amp;E288&amp;"'!"&amp;$AD$2))),INDIRECT("'["&amp;G288&amp;"]"&amp;E288&amp;"'!"&amp;$AD$3),0)</f>
        <v>#VALUE!</v>
      </c>
      <c r="S288" s="34" t="e" cm="1">
        <f t="array" aca="1" ref="S288" ca="1">IF(AND(G288=INDIRECT("'["&amp;G288&amp;"]"&amp;E288&amp;"'!"&amp;$AH$2),OR(I288=INDIRECT("'["&amp;G288&amp;"]"&amp;E288&amp;"'!"&amp;$AE$2))),INDIRECT("'["&amp;G288&amp;"]"&amp;E288&amp;"'!"&amp;$AE$3),0)</f>
        <v>#VALUE!</v>
      </c>
      <c r="T288" s="35" t="e" cm="1">
        <f t="array" aca="1" ref="T288" ca="1">IF(AND(G288=INDIRECT("'["&amp;G288&amp;"]"&amp;E288&amp;"'!"&amp;$AH$2),OR(I288=INDIRECT("'["&amp;G288&amp;"]"&amp;E288&amp;"'!"&amp;$AF$2))),INDIRECT("'["&amp;G288&amp;"]"&amp;E288&amp;"'!"&amp;$AF$3),0)</f>
        <v>#VALUE!</v>
      </c>
      <c r="U288" s="34" t="e" cm="1">
        <f t="array" aca="1" ref="U288" ca="1">IF(AND(G288=INDIRECT("'["&amp;G288&amp;"]"&amp;E288&amp;"'!"&amp;$AH$2),OR(I288=INDIRECT("'["&amp;G288&amp;"]"&amp;E288&amp;"'!"&amp;$AG$2))),INDIRECT("'["&amp;G288&amp;"]"&amp;E288&amp;"'!"&amp;$AG$3),0)</f>
        <v>#VALUE!</v>
      </c>
      <c r="V288" s="25" t="str">
        <f t="shared" si="87"/>
        <v/>
      </c>
      <c r="W288" s="36" t="e" cm="1">
        <f t="array" aca="1" ref="W288" ca="1">IF(AND(G288=INDIRECT("'["&amp;G288&amp;"]"&amp;E288&amp;"'!"&amp;$AH$2),OR(V288=INDIRECT("'["&amp;G288&amp;"]"&amp;E288&amp;"'!"&amp;$AI$2))),INDIRECT("'["&amp;G288&amp;"]"&amp;E288&amp;"'!"&amp;$AI$3),0)</f>
        <v>#VALUE!</v>
      </c>
      <c r="AJ288" s="25">
        <v>1</v>
      </c>
      <c r="AK288" s="38">
        <f t="shared" ca="1" si="88"/>
        <v>0</v>
      </c>
      <c r="AL288" s="38">
        <f t="shared" ca="1" si="89"/>
        <v>0</v>
      </c>
      <c r="AM288" s="54" t="str">
        <f t="shared" ca="1" si="80"/>
        <v/>
      </c>
      <c r="AN288" s="25" t="e">
        <f t="shared" ca="1" si="90"/>
        <v>#VALUE!</v>
      </c>
      <c r="AO288" s="25" t="e">
        <f t="shared" ca="1" si="91"/>
        <v>#VALUE!</v>
      </c>
      <c r="AP288" s="39" t="str">
        <f t="shared" ca="1" si="81"/>
        <v/>
      </c>
      <c r="AQ288" s="46" t="str">
        <f ca="1">IF(AND(C288&lt;&gt;0, C289=0), SUM($C$2:C288)-SUM($AQ$1:AQ287), "")</f>
        <v/>
      </c>
      <c r="AR288" s="46" t="str">
        <f ca="1">IF(AND(AK288&lt;&gt;0, AK289=0), SUM($AK$2:AK288)-SUM($AR$1:AR287), "")</f>
        <v/>
      </c>
    </row>
    <row r="289" spans="1:44" ht="13.15" customHeight="1">
      <c r="A289" s="62"/>
      <c r="B289" s="68" t="str">
        <f t="shared" si="92"/>
        <v/>
      </c>
      <c r="C289" s="55" cm="1">
        <f t="array" aca="1" ref="C289" ca="1">SUM(IF(ISNUMBER(M289:U289),M289:U289,""))</f>
        <v>0</v>
      </c>
      <c r="D289" s="25" t="str">
        <f t="shared" si="93"/>
        <v/>
      </c>
      <c r="E289" s="25" t="e">
        <f t="shared" si="82"/>
        <v>#VALUE!</v>
      </c>
      <c r="F289" s="25" t="str">
        <f t="shared" si="94"/>
        <v/>
      </c>
      <c r="G289" s="25" t="str">
        <f t="shared" si="79"/>
        <v>.xlsx</v>
      </c>
      <c r="H289" s="29" t="e" cm="1">
        <f t="array" aca="1" ref="H289" ca="1">IF(AND(VALUE(E289)=INDIRECT("'["&amp;G289&amp;"]"&amp;E289&amp;"'!"&amp;$X$2),G289=INDIRECT("'["&amp;G289&amp;"]"&amp;E289&amp;"'!"&amp;$X$3)),INDIRECT("'["&amp;G289&amp;"]"&amp;E289&amp;"'!"&amp;$X$1),0)</f>
        <v>#VALUE!</v>
      </c>
      <c r="I289" s="25" t="str">
        <f t="shared" si="83"/>
        <v/>
      </c>
      <c r="J289" s="32" t="str">
        <f t="shared" si="84"/>
        <v/>
      </c>
      <c r="K289" s="25" t="str">
        <f t="shared" si="85"/>
        <v/>
      </c>
      <c r="L289" s="25" t="str">
        <f t="shared" si="86"/>
        <v/>
      </c>
      <c r="M289" s="33" t="e" cm="1">
        <f t="array" aca="1" ref="M289" ca="1">IF(AND(J289=INDIRECT("'["&amp;G289&amp;"]"&amp;E289&amp;"'!"&amp;$Y$2),G289=INDIRECT("'["&amp;G289&amp;"]"&amp;E289&amp;"'!"&amp;$AH$2)),INDIRECT("'["&amp;G289&amp;"]"&amp;E289&amp;"'!"&amp;$Y$3),0)</f>
        <v>#VALUE!</v>
      </c>
      <c r="N289" s="34" t="e" cm="1">
        <f t="array" aca="1" ref="N289" ca="1">IF(AND(G289=INDIRECT("'["&amp;G289&amp;"]"&amp;E289&amp;"'!"&amp;$AH$2),OR(K289=INDIRECT("'["&amp;G289&amp;"]"&amp;E289&amp;"'!"&amp;$Z$2))),INDIRECT("'["&amp;G289&amp;"]"&amp;E289&amp;"'!"&amp;$Z$3),0)</f>
        <v>#VALUE!</v>
      </c>
      <c r="O289" s="34" t="e" cm="1">
        <f t="array" aca="1" ref="O289" ca="1">IF(AND(G289=INDIRECT("'["&amp;G289&amp;"]"&amp;E289&amp;"'!"&amp;$AH$2),OR(L289=INDIRECT("'["&amp;G289&amp;"]"&amp;E289&amp;"'!"&amp;$AA$2))),INDIRECT("'["&amp;G289&amp;"]"&amp;E289&amp;"'!"&amp;$AA$3),0)</f>
        <v>#VALUE!</v>
      </c>
      <c r="P289" s="34" t="e" cm="1">
        <f t="array" aca="1" ref="P289" ca="1">IF(AND(G289=INDIRECT("'["&amp;G289&amp;"]"&amp;E289&amp;"'!"&amp;$AH$2),OR(VALUE(I289)=INDIRECT("'["&amp;G289&amp;"]"&amp;E289&amp;"'!"&amp;$AB$2))),INDIRECT("'["&amp;G289&amp;"]"&amp;E289&amp;"'!"&amp;$AB$3),0)</f>
        <v>#VALUE!</v>
      </c>
      <c r="Q289" s="34" t="e" cm="1">
        <f t="array" aca="1" ref="Q289" ca="1">IF(AND(G289=INDIRECT("'["&amp;G289&amp;"]"&amp;E289&amp;"'!"&amp;$AH$2),OR(VALUE(I289)=INDIRECT("'["&amp;G289&amp;"]"&amp;E289&amp;"'!"&amp;$AC$2))),INDIRECT("'["&amp;G289&amp;"]"&amp;E289&amp;"'!"&amp;$AC$3),0)</f>
        <v>#VALUE!</v>
      </c>
      <c r="R289" s="34" t="e" cm="1">
        <f t="array" aca="1" ref="R289" ca="1">IF(AND(G289=INDIRECT("'["&amp;G289&amp;"]"&amp;E289&amp;"'!"&amp;$AH$2),OR(I289=INDIRECT("'["&amp;G289&amp;"]"&amp;E289&amp;"'!"&amp;$AD$2))),INDIRECT("'["&amp;G289&amp;"]"&amp;E289&amp;"'!"&amp;$AD$3),0)</f>
        <v>#VALUE!</v>
      </c>
      <c r="S289" s="34" t="e" cm="1">
        <f t="array" aca="1" ref="S289" ca="1">IF(AND(G289=INDIRECT("'["&amp;G289&amp;"]"&amp;E289&amp;"'!"&amp;$AH$2),OR(I289=INDIRECT("'["&amp;G289&amp;"]"&amp;E289&amp;"'!"&amp;$AE$2))),INDIRECT("'["&amp;G289&amp;"]"&amp;E289&amp;"'!"&amp;$AE$3),0)</f>
        <v>#VALUE!</v>
      </c>
      <c r="T289" s="35" t="e" cm="1">
        <f t="array" aca="1" ref="T289" ca="1">IF(AND(G289=INDIRECT("'["&amp;G289&amp;"]"&amp;E289&amp;"'!"&amp;$AH$2),OR(I289=INDIRECT("'["&amp;G289&amp;"]"&amp;E289&amp;"'!"&amp;$AF$2))),INDIRECT("'["&amp;G289&amp;"]"&amp;E289&amp;"'!"&amp;$AF$3),0)</f>
        <v>#VALUE!</v>
      </c>
      <c r="U289" s="34" t="e" cm="1">
        <f t="array" aca="1" ref="U289" ca="1">IF(AND(G289=INDIRECT("'["&amp;G289&amp;"]"&amp;E289&amp;"'!"&amp;$AH$2),OR(I289=INDIRECT("'["&amp;G289&amp;"]"&amp;E289&amp;"'!"&amp;$AG$2))),INDIRECT("'["&amp;G289&amp;"]"&amp;E289&amp;"'!"&amp;$AG$3),0)</f>
        <v>#VALUE!</v>
      </c>
      <c r="V289" s="25" t="str">
        <f t="shared" si="87"/>
        <v/>
      </c>
      <c r="W289" s="36" t="e" cm="1">
        <f t="array" aca="1" ref="W289" ca="1">IF(AND(G289=INDIRECT("'["&amp;G289&amp;"]"&amp;E289&amp;"'!"&amp;$AH$2),OR(V289=INDIRECT("'["&amp;G289&amp;"]"&amp;E289&amp;"'!"&amp;$AI$2))),INDIRECT("'["&amp;G289&amp;"]"&amp;E289&amp;"'!"&amp;$AI$3),0)</f>
        <v>#VALUE!</v>
      </c>
      <c r="AJ289" s="25">
        <v>1</v>
      </c>
      <c r="AK289" s="38">
        <f t="shared" ca="1" si="88"/>
        <v>0</v>
      </c>
      <c r="AL289" s="38">
        <f t="shared" ca="1" si="89"/>
        <v>0</v>
      </c>
      <c r="AM289" s="54" t="str">
        <f t="shared" ca="1" si="80"/>
        <v/>
      </c>
      <c r="AN289" s="25" t="e">
        <f t="shared" ca="1" si="90"/>
        <v>#VALUE!</v>
      </c>
      <c r="AO289" s="25" t="e">
        <f t="shared" ca="1" si="91"/>
        <v>#VALUE!</v>
      </c>
      <c r="AP289" s="39" t="str">
        <f t="shared" ca="1" si="81"/>
        <v/>
      </c>
      <c r="AQ289" s="46" t="str">
        <f ca="1">IF(AND(C289&lt;&gt;0, C290=0), SUM($C$2:C289)-SUM($AQ$1:AQ288), "")</f>
        <v/>
      </c>
      <c r="AR289" s="46" t="str">
        <f ca="1">IF(AND(AK289&lt;&gt;0, AK290=0), SUM($AK$2:AK289)-SUM($AR$1:AR288), "")</f>
        <v/>
      </c>
    </row>
    <row r="290" spans="1:44" ht="13.15" customHeight="1">
      <c r="A290" s="62"/>
      <c r="B290" s="68" t="str">
        <f t="shared" si="92"/>
        <v/>
      </c>
      <c r="C290" s="55" cm="1">
        <f t="array" aca="1" ref="C290" ca="1">SUM(IF(ISNUMBER(M290:U290),M290:U290,""))</f>
        <v>0</v>
      </c>
      <c r="D290" s="25" t="str">
        <f t="shared" si="93"/>
        <v/>
      </c>
      <c r="E290" s="25" t="e">
        <f t="shared" si="82"/>
        <v>#VALUE!</v>
      </c>
      <c r="F290" s="25" t="str">
        <f t="shared" si="94"/>
        <v/>
      </c>
      <c r="G290" s="25" t="str">
        <f t="shared" si="79"/>
        <v>.xlsx</v>
      </c>
      <c r="H290" s="29" t="e" cm="1">
        <f t="array" aca="1" ref="H290" ca="1">IF(AND(VALUE(E290)=INDIRECT("'["&amp;G290&amp;"]"&amp;E290&amp;"'!"&amp;$X$2),G290=INDIRECT("'["&amp;G290&amp;"]"&amp;E290&amp;"'!"&amp;$X$3)),INDIRECT("'["&amp;G290&amp;"]"&amp;E290&amp;"'!"&amp;$X$1),0)</f>
        <v>#VALUE!</v>
      </c>
      <c r="I290" s="25" t="str">
        <f t="shared" si="83"/>
        <v/>
      </c>
      <c r="J290" s="32" t="str">
        <f t="shared" si="84"/>
        <v/>
      </c>
      <c r="K290" s="25" t="str">
        <f t="shared" si="85"/>
        <v/>
      </c>
      <c r="L290" s="25" t="str">
        <f t="shared" si="86"/>
        <v/>
      </c>
      <c r="M290" s="33" t="e" cm="1">
        <f t="array" aca="1" ref="M290" ca="1">IF(AND(J290=INDIRECT("'["&amp;G290&amp;"]"&amp;E290&amp;"'!"&amp;$Y$2),G290=INDIRECT("'["&amp;G290&amp;"]"&amp;E290&amp;"'!"&amp;$AH$2)),INDIRECT("'["&amp;G290&amp;"]"&amp;E290&amp;"'!"&amp;$Y$3),0)</f>
        <v>#VALUE!</v>
      </c>
      <c r="N290" s="34" t="e" cm="1">
        <f t="array" aca="1" ref="N290" ca="1">IF(AND(G290=INDIRECT("'["&amp;G290&amp;"]"&amp;E290&amp;"'!"&amp;$AH$2),OR(K290=INDIRECT("'["&amp;G290&amp;"]"&amp;E290&amp;"'!"&amp;$Z$2))),INDIRECT("'["&amp;G290&amp;"]"&amp;E290&amp;"'!"&amp;$Z$3),0)</f>
        <v>#VALUE!</v>
      </c>
      <c r="O290" s="34" t="e" cm="1">
        <f t="array" aca="1" ref="O290" ca="1">IF(AND(G290=INDIRECT("'["&amp;G290&amp;"]"&amp;E290&amp;"'!"&amp;$AH$2),OR(L290=INDIRECT("'["&amp;G290&amp;"]"&amp;E290&amp;"'!"&amp;$AA$2))),INDIRECT("'["&amp;G290&amp;"]"&amp;E290&amp;"'!"&amp;$AA$3),0)</f>
        <v>#VALUE!</v>
      </c>
      <c r="P290" s="34" t="e" cm="1">
        <f t="array" aca="1" ref="P290" ca="1">IF(AND(G290=INDIRECT("'["&amp;G290&amp;"]"&amp;E290&amp;"'!"&amp;$AH$2),OR(VALUE(I290)=INDIRECT("'["&amp;G290&amp;"]"&amp;E290&amp;"'!"&amp;$AB$2))),INDIRECT("'["&amp;G290&amp;"]"&amp;E290&amp;"'!"&amp;$AB$3),0)</f>
        <v>#VALUE!</v>
      </c>
      <c r="Q290" s="34" t="e" cm="1">
        <f t="array" aca="1" ref="Q290" ca="1">IF(AND(G290=INDIRECT("'["&amp;G290&amp;"]"&amp;E290&amp;"'!"&amp;$AH$2),OR(VALUE(I290)=INDIRECT("'["&amp;G290&amp;"]"&amp;E290&amp;"'!"&amp;$AC$2))),INDIRECT("'["&amp;G290&amp;"]"&amp;E290&amp;"'!"&amp;$AC$3),0)</f>
        <v>#VALUE!</v>
      </c>
      <c r="R290" s="34" t="e" cm="1">
        <f t="array" aca="1" ref="R290" ca="1">IF(AND(G290=INDIRECT("'["&amp;G290&amp;"]"&amp;E290&amp;"'!"&amp;$AH$2),OR(I290=INDIRECT("'["&amp;G290&amp;"]"&amp;E290&amp;"'!"&amp;$AD$2))),INDIRECT("'["&amp;G290&amp;"]"&amp;E290&amp;"'!"&amp;$AD$3),0)</f>
        <v>#VALUE!</v>
      </c>
      <c r="S290" s="34" t="e" cm="1">
        <f t="array" aca="1" ref="S290" ca="1">IF(AND(G290=INDIRECT("'["&amp;G290&amp;"]"&amp;E290&amp;"'!"&amp;$AH$2),OR(I290=INDIRECT("'["&amp;G290&amp;"]"&amp;E290&amp;"'!"&amp;$AE$2))),INDIRECT("'["&amp;G290&amp;"]"&amp;E290&amp;"'!"&amp;$AE$3),0)</f>
        <v>#VALUE!</v>
      </c>
      <c r="T290" s="35" t="e" cm="1">
        <f t="array" aca="1" ref="T290" ca="1">IF(AND(G290=INDIRECT("'["&amp;G290&amp;"]"&amp;E290&amp;"'!"&amp;$AH$2),OR(I290=INDIRECT("'["&amp;G290&amp;"]"&amp;E290&amp;"'!"&amp;$AF$2))),INDIRECT("'["&amp;G290&amp;"]"&amp;E290&amp;"'!"&amp;$AF$3),0)</f>
        <v>#VALUE!</v>
      </c>
      <c r="U290" s="34" t="e" cm="1">
        <f t="array" aca="1" ref="U290" ca="1">IF(AND(G290=INDIRECT("'["&amp;G290&amp;"]"&amp;E290&amp;"'!"&amp;$AH$2),OR(I290=INDIRECT("'["&amp;G290&amp;"]"&amp;E290&amp;"'!"&amp;$AG$2))),INDIRECT("'["&amp;G290&amp;"]"&amp;E290&amp;"'!"&amp;$AG$3),0)</f>
        <v>#VALUE!</v>
      </c>
      <c r="V290" s="25" t="str">
        <f t="shared" si="87"/>
        <v/>
      </c>
      <c r="W290" s="36" t="e" cm="1">
        <f t="array" aca="1" ref="W290" ca="1">IF(AND(G290=INDIRECT("'["&amp;G290&amp;"]"&amp;E290&amp;"'!"&amp;$AH$2),OR(V290=INDIRECT("'["&amp;G290&amp;"]"&amp;E290&amp;"'!"&amp;$AI$2))),INDIRECT("'["&amp;G290&amp;"]"&amp;E290&amp;"'!"&amp;$AI$3),0)</f>
        <v>#VALUE!</v>
      </c>
      <c r="AJ290" s="25">
        <v>1</v>
      </c>
      <c r="AK290" s="38">
        <f t="shared" ca="1" si="88"/>
        <v>0</v>
      </c>
      <c r="AL290" s="38">
        <f t="shared" ca="1" si="89"/>
        <v>0</v>
      </c>
      <c r="AM290" s="54" t="str">
        <f t="shared" ca="1" si="80"/>
        <v/>
      </c>
      <c r="AN290" s="25" t="e">
        <f t="shared" ca="1" si="90"/>
        <v>#VALUE!</v>
      </c>
      <c r="AO290" s="25" t="e">
        <f t="shared" ca="1" si="91"/>
        <v>#VALUE!</v>
      </c>
      <c r="AP290" s="39" t="str">
        <f t="shared" ca="1" si="81"/>
        <v/>
      </c>
      <c r="AQ290" s="46" t="str">
        <f ca="1">IF(AND(C290&lt;&gt;0, C291=0), SUM($C$2:C290)-SUM($AQ$1:AQ289), "")</f>
        <v/>
      </c>
      <c r="AR290" s="46" t="str">
        <f ca="1">IF(AND(AK290&lt;&gt;0, AK291=0), SUM($AK$2:AK290)-SUM($AR$1:AR289), "")</f>
        <v/>
      </c>
    </row>
    <row r="291" spans="1:44" ht="13.15" customHeight="1">
      <c r="A291" s="62"/>
      <c r="B291" s="68" t="str">
        <f t="shared" si="92"/>
        <v/>
      </c>
      <c r="C291" s="55" cm="1">
        <f t="array" aca="1" ref="C291" ca="1">SUM(IF(ISNUMBER(M291:U291),M291:U291,""))</f>
        <v>0</v>
      </c>
      <c r="D291" s="25" t="str">
        <f t="shared" si="93"/>
        <v/>
      </c>
      <c r="E291" s="25" t="e">
        <f t="shared" si="82"/>
        <v>#VALUE!</v>
      </c>
      <c r="F291" s="25" t="str">
        <f t="shared" si="94"/>
        <v/>
      </c>
      <c r="G291" s="25" t="str">
        <f t="shared" si="79"/>
        <v>.xlsx</v>
      </c>
      <c r="H291" s="29" t="e" cm="1">
        <f t="array" aca="1" ref="H291" ca="1">IF(AND(VALUE(E291)=INDIRECT("'["&amp;G291&amp;"]"&amp;E291&amp;"'!"&amp;$X$2),G291=INDIRECT("'["&amp;G291&amp;"]"&amp;E291&amp;"'!"&amp;$X$3)),INDIRECT("'["&amp;G291&amp;"]"&amp;E291&amp;"'!"&amp;$X$1),0)</f>
        <v>#VALUE!</v>
      </c>
      <c r="I291" s="25" t="str">
        <f t="shared" si="83"/>
        <v/>
      </c>
      <c r="J291" s="32" t="str">
        <f t="shared" si="84"/>
        <v/>
      </c>
      <c r="K291" s="25" t="str">
        <f t="shared" si="85"/>
        <v/>
      </c>
      <c r="L291" s="25" t="str">
        <f t="shared" si="86"/>
        <v/>
      </c>
      <c r="M291" s="33" t="e" cm="1">
        <f t="array" aca="1" ref="M291" ca="1">IF(AND(J291=INDIRECT("'["&amp;G291&amp;"]"&amp;E291&amp;"'!"&amp;$Y$2),G291=INDIRECT("'["&amp;G291&amp;"]"&amp;E291&amp;"'!"&amp;$AH$2)),INDIRECT("'["&amp;G291&amp;"]"&amp;E291&amp;"'!"&amp;$Y$3),0)</f>
        <v>#VALUE!</v>
      </c>
      <c r="N291" s="34" t="e" cm="1">
        <f t="array" aca="1" ref="N291" ca="1">IF(AND(G291=INDIRECT("'["&amp;G291&amp;"]"&amp;E291&amp;"'!"&amp;$AH$2),OR(K291=INDIRECT("'["&amp;G291&amp;"]"&amp;E291&amp;"'!"&amp;$Z$2))),INDIRECT("'["&amp;G291&amp;"]"&amp;E291&amp;"'!"&amp;$Z$3),0)</f>
        <v>#VALUE!</v>
      </c>
      <c r="O291" s="34" t="e" cm="1">
        <f t="array" aca="1" ref="O291" ca="1">IF(AND(G291=INDIRECT("'["&amp;G291&amp;"]"&amp;E291&amp;"'!"&amp;$AH$2),OR(L291=INDIRECT("'["&amp;G291&amp;"]"&amp;E291&amp;"'!"&amp;$AA$2))),INDIRECT("'["&amp;G291&amp;"]"&amp;E291&amp;"'!"&amp;$AA$3),0)</f>
        <v>#VALUE!</v>
      </c>
      <c r="P291" s="34" t="e" cm="1">
        <f t="array" aca="1" ref="P291" ca="1">IF(AND(G291=INDIRECT("'["&amp;G291&amp;"]"&amp;E291&amp;"'!"&amp;$AH$2),OR(VALUE(I291)=INDIRECT("'["&amp;G291&amp;"]"&amp;E291&amp;"'!"&amp;$AB$2))),INDIRECT("'["&amp;G291&amp;"]"&amp;E291&amp;"'!"&amp;$AB$3),0)</f>
        <v>#VALUE!</v>
      </c>
      <c r="Q291" s="34" t="e" cm="1">
        <f t="array" aca="1" ref="Q291" ca="1">IF(AND(G291=INDIRECT("'["&amp;G291&amp;"]"&amp;E291&amp;"'!"&amp;$AH$2),OR(VALUE(I291)=INDIRECT("'["&amp;G291&amp;"]"&amp;E291&amp;"'!"&amp;$AC$2))),INDIRECT("'["&amp;G291&amp;"]"&amp;E291&amp;"'!"&amp;$AC$3),0)</f>
        <v>#VALUE!</v>
      </c>
      <c r="R291" s="34" t="e" cm="1">
        <f t="array" aca="1" ref="R291" ca="1">IF(AND(G291=INDIRECT("'["&amp;G291&amp;"]"&amp;E291&amp;"'!"&amp;$AH$2),OR(I291=INDIRECT("'["&amp;G291&amp;"]"&amp;E291&amp;"'!"&amp;$AD$2))),INDIRECT("'["&amp;G291&amp;"]"&amp;E291&amp;"'!"&amp;$AD$3),0)</f>
        <v>#VALUE!</v>
      </c>
      <c r="S291" s="34" t="e" cm="1">
        <f t="array" aca="1" ref="S291" ca="1">IF(AND(G291=INDIRECT("'["&amp;G291&amp;"]"&amp;E291&amp;"'!"&amp;$AH$2),OR(I291=INDIRECT("'["&amp;G291&amp;"]"&amp;E291&amp;"'!"&amp;$AE$2))),INDIRECT("'["&amp;G291&amp;"]"&amp;E291&amp;"'!"&amp;$AE$3),0)</f>
        <v>#VALUE!</v>
      </c>
      <c r="T291" s="35" t="e" cm="1">
        <f t="array" aca="1" ref="T291" ca="1">IF(AND(G291=INDIRECT("'["&amp;G291&amp;"]"&amp;E291&amp;"'!"&amp;$AH$2),OR(I291=INDIRECT("'["&amp;G291&amp;"]"&amp;E291&amp;"'!"&amp;$AF$2))),INDIRECT("'["&amp;G291&amp;"]"&amp;E291&amp;"'!"&amp;$AF$3),0)</f>
        <v>#VALUE!</v>
      </c>
      <c r="U291" s="34" t="e" cm="1">
        <f t="array" aca="1" ref="U291" ca="1">IF(AND(G291=INDIRECT("'["&amp;G291&amp;"]"&amp;E291&amp;"'!"&amp;$AH$2),OR(I291=INDIRECT("'["&amp;G291&amp;"]"&amp;E291&amp;"'!"&amp;$AG$2))),INDIRECT("'["&amp;G291&amp;"]"&amp;E291&amp;"'!"&amp;$AG$3),0)</f>
        <v>#VALUE!</v>
      </c>
      <c r="V291" s="25" t="str">
        <f t="shared" si="87"/>
        <v/>
      </c>
      <c r="W291" s="36" t="e" cm="1">
        <f t="array" aca="1" ref="W291" ca="1">IF(AND(G291=INDIRECT("'["&amp;G291&amp;"]"&amp;E291&amp;"'!"&amp;$AH$2),OR(V291=INDIRECT("'["&amp;G291&amp;"]"&amp;E291&amp;"'!"&amp;$AI$2))),INDIRECT("'["&amp;G291&amp;"]"&amp;E291&amp;"'!"&amp;$AI$3),0)</f>
        <v>#VALUE!</v>
      </c>
      <c r="AJ291" s="25">
        <v>1</v>
      </c>
      <c r="AK291" s="38">
        <f t="shared" ca="1" si="88"/>
        <v>0</v>
      </c>
      <c r="AL291" s="38">
        <f t="shared" ca="1" si="89"/>
        <v>0</v>
      </c>
      <c r="AM291" s="54" t="str">
        <f t="shared" ca="1" si="80"/>
        <v/>
      </c>
      <c r="AN291" s="25" t="e">
        <f t="shared" ca="1" si="90"/>
        <v>#VALUE!</v>
      </c>
      <c r="AO291" s="25" t="e">
        <f t="shared" ca="1" si="91"/>
        <v>#VALUE!</v>
      </c>
      <c r="AP291" s="39" t="str">
        <f t="shared" ca="1" si="81"/>
        <v/>
      </c>
      <c r="AQ291" s="46" t="str">
        <f ca="1">IF(AND(C291&lt;&gt;0, C292=0), SUM($C$2:C291)-SUM($AQ$1:AQ290), "")</f>
        <v/>
      </c>
      <c r="AR291" s="46" t="str">
        <f ca="1">IF(AND(AK291&lt;&gt;0, AK292=0), SUM($AK$2:AK291)-SUM($AR$1:AR290), "")</f>
        <v/>
      </c>
    </row>
    <row r="292" spans="1:44" ht="13.15" customHeight="1">
      <c r="A292" s="62"/>
      <c r="B292" s="68" t="str">
        <f t="shared" si="92"/>
        <v/>
      </c>
      <c r="C292" s="55" cm="1">
        <f t="array" aca="1" ref="C292" ca="1">SUM(IF(ISNUMBER(M292:U292),M292:U292,""))</f>
        <v>0</v>
      </c>
      <c r="D292" s="25" t="str">
        <f t="shared" si="93"/>
        <v/>
      </c>
      <c r="E292" s="25" t="e">
        <f t="shared" si="82"/>
        <v>#VALUE!</v>
      </c>
      <c r="F292" s="25" t="str">
        <f t="shared" si="94"/>
        <v/>
      </c>
      <c r="G292" s="25" t="str">
        <f t="shared" si="79"/>
        <v>.xlsx</v>
      </c>
      <c r="H292" s="29" t="e" cm="1">
        <f t="array" aca="1" ref="H292" ca="1">IF(AND(VALUE(E292)=INDIRECT("'["&amp;G292&amp;"]"&amp;E292&amp;"'!"&amp;$X$2),G292=INDIRECT("'["&amp;G292&amp;"]"&amp;E292&amp;"'!"&amp;$X$3)),INDIRECT("'["&amp;G292&amp;"]"&amp;E292&amp;"'!"&amp;$X$1),0)</f>
        <v>#VALUE!</v>
      </c>
      <c r="I292" s="25" t="str">
        <f t="shared" si="83"/>
        <v/>
      </c>
      <c r="J292" s="32" t="str">
        <f t="shared" si="84"/>
        <v/>
      </c>
      <c r="K292" s="25" t="str">
        <f t="shared" si="85"/>
        <v/>
      </c>
      <c r="L292" s="25" t="str">
        <f t="shared" si="86"/>
        <v/>
      </c>
      <c r="M292" s="33" t="e" cm="1">
        <f t="array" aca="1" ref="M292" ca="1">IF(AND(J292=INDIRECT("'["&amp;G292&amp;"]"&amp;E292&amp;"'!"&amp;$Y$2),G292=INDIRECT("'["&amp;G292&amp;"]"&amp;E292&amp;"'!"&amp;$AH$2)),INDIRECT("'["&amp;G292&amp;"]"&amp;E292&amp;"'!"&amp;$Y$3),0)</f>
        <v>#VALUE!</v>
      </c>
      <c r="N292" s="34" t="e" cm="1">
        <f t="array" aca="1" ref="N292" ca="1">IF(AND(G292=INDIRECT("'["&amp;G292&amp;"]"&amp;E292&amp;"'!"&amp;$AH$2),OR(K292=INDIRECT("'["&amp;G292&amp;"]"&amp;E292&amp;"'!"&amp;$Z$2))),INDIRECT("'["&amp;G292&amp;"]"&amp;E292&amp;"'!"&amp;$Z$3),0)</f>
        <v>#VALUE!</v>
      </c>
      <c r="O292" s="34" t="e" cm="1">
        <f t="array" aca="1" ref="O292" ca="1">IF(AND(G292=INDIRECT("'["&amp;G292&amp;"]"&amp;E292&amp;"'!"&amp;$AH$2),OR(L292=INDIRECT("'["&amp;G292&amp;"]"&amp;E292&amp;"'!"&amp;$AA$2))),INDIRECT("'["&amp;G292&amp;"]"&amp;E292&amp;"'!"&amp;$AA$3),0)</f>
        <v>#VALUE!</v>
      </c>
      <c r="P292" s="34" t="e" cm="1">
        <f t="array" aca="1" ref="P292" ca="1">IF(AND(G292=INDIRECT("'["&amp;G292&amp;"]"&amp;E292&amp;"'!"&amp;$AH$2),OR(VALUE(I292)=INDIRECT("'["&amp;G292&amp;"]"&amp;E292&amp;"'!"&amp;$AB$2))),INDIRECT("'["&amp;G292&amp;"]"&amp;E292&amp;"'!"&amp;$AB$3),0)</f>
        <v>#VALUE!</v>
      </c>
      <c r="Q292" s="34" t="e" cm="1">
        <f t="array" aca="1" ref="Q292" ca="1">IF(AND(G292=INDIRECT("'["&amp;G292&amp;"]"&amp;E292&amp;"'!"&amp;$AH$2),OR(VALUE(I292)=INDIRECT("'["&amp;G292&amp;"]"&amp;E292&amp;"'!"&amp;$AC$2))),INDIRECT("'["&amp;G292&amp;"]"&amp;E292&amp;"'!"&amp;$AC$3),0)</f>
        <v>#VALUE!</v>
      </c>
      <c r="R292" s="34" t="e" cm="1">
        <f t="array" aca="1" ref="R292" ca="1">IF(AND(G292=INDIRECT("'["&amp;G292&amp;"]"&amp;E292&amp;"'!"&amp;$AH$2),OR(I292=INDIRECT("'["&amp;G292&amp;"]"&amp;E292&amp;"'!"&amp;$AD$2))),INDIRECT("'["&amp;G292&amp;"]"&amp;E292&amp;"'!"&amp;$AD$3),0)</f>
        <v>#VALUE!</v>
      </c>
      <c r="S292" s="34" t="e" cm="1">
        <f t="array" aca="1" ref="S292" ca="1">IF(AND(G292=INDIRECT("'["&amp;G292&amp;"]"&amp;E292&amp;"'!"&amp;$AH$2),OR(I292=INDIRECT("'["&amp;G292&amp;"]"&amp;E292&amp;"'!"&amp;$AE$2))),INDIRECT("'["&amp;G292&amp;"]"&amp;E292&amp;"'!"&amp;$AE$3),0)</f>
        <v>#VALUE!</v>
      </c>
      <c r="T292" s="35" t="e" cm="1">
        <f t="array" aca="1" ref="T292" ca="1">IF(AND(G292=INDIRECT("'["&amp;G292&amp;"]"&amp;E292&amp;"'!"&amp;$AH$2),OR(I292=INDIRECT("'["&amp;G292&amp;"]"&amp;E292&amp;"'!"&amp;$AF$2))),INDIRECT("'["&amp;G292&amp;"]"&amp;E292&amp;"'!"&amp;$AF$3),0)</f>
        <v>#VALUE!</v>
      </c>
      <c r="U292" s="34" t="e" cm="1">
        <f t="array" aca="1" ref="U292" ca="1">IF(AND(G292=INDIRECT("'["&amp;G292&amp;"]"&amp;E292&amp;"'!"&amp;$AH$2),OR(I292=INDIRECT("'["&amp;G292&amp;"]"&amp;E292&amp;"'!"&amp;$AG$2))),INDIRECT("'["&amp;G292&amp;"]"&amp;E292&amp;"'!"&amp;$AG$3),0)</f>
        <v>#VALUE!</v>
      </c>
      <c r="V292" s="25" t="str">
        <f t="shared" si="87"/>
        <v/>
      </c>
      <c r="W292" s="36" t="e" cm="1">
        <f t="array" aca="1" ref="W292" ca="1">IF(AND(G292=INDIRECT("'["&amp;G292&amp;"]"&amp;E292&amp;"'!"&amp;$AH$2),OR(V292=INDIRECT("'["&amp;G292&amp;"]"&amp;E292&amp;"'!"&amp;$AI$2))),INDIRECT("'["&amp;G292&amp;"]"&amp;E292&amp;"'!"&amp;$AI$3),0)</f>
        <v>#VALUE!</v>
      </c>
      <c r="AJ292" s="25">
        <v>1</v>
      </c>
      <c r="AK292" s="38">
        <f t="shared" ca="1" si="88"/>
        <v>0</v>
      </c>
      <c r="AL292" s="38">
        <f t="shared" ca="1" si="89"/>
        <v>0</v>
      </c>
      <c r="AM292" s="54" t="str">
        <f t="shared" ca="1" si="80"/>
        <v/>
      </c>
      <c r="AN292" s="25" t="e">
        <f t="shared" ca="1" si="90"/>
        <v>#VALUE!</v>
      </c>
      <c r="AO292" s="25" t="e">
        <f t="shared" ca="1" si="91"/>
        <v>#VALUE!</v>
      </c>
      <c r="AP292" s="39" t="str">
        <f t="shared" ca="1" si="81"/>
        <v/>
      </c>
      <c r="AQ292" s="46" t="str">
        <f ca="1">IF(AND(C292&lt;&gt;0, C293=0), SUM($C$2:C292)-SUM($AQ$1:AQ291), "")</f>
        <v/>
      </c>
      <c r="AR292" s="46" t="str">
        <f ca="1">IF(AND(AK292&lt;&gt;0, AK293=0), SUM($AK$2:AK292)-SUM($AR$1:AR291), "")</f>
        <v/>
      </c>
    </row>
    <row r="293" spans="1:44" ht="13.15" customHeight="1">
      <c r="A293" s="62"/>
      <c r="B293" s="68" t="str">
        <f t="shared" si="92"/>
        <v/>
      </c>
      <c r="C293" s="55" cm="1">
        <f t="array" aca="1" ref="C293" ca="1">SUM(IF(ISNUMBER(M293:U293),M293:U293,""))</f>
        <v>0</v>
      </c>
      <c r="D293" s="25" t="str">
        <f t="shared" si="93"/>
        <v/>
      </c>
      <c r="E293" s="25" t="e">
        <f t="shared" si="82"/>
        <v>#VALUE!</v>
      </c>
      <c r="F293" s="25" t="str">
        <f t="shared" si="94"/>
        <v/>
      </c>
      <c r="G293" s="25" t="str">
        <f t="shared" si="79"/>
        <v>.xlsx</v>
      </c>
      <c r="H293" s="29" t="e" cm="1">
        <f t="array" aca="1" ref="H293" ca="1">IF(AND(VALUE(E293)=INDIRECT("'["&amp;G293&amp;"]"&amp;E293&amp;"'!"&amp;$X$2),G293=INDIRECT("'["&amp;G293&amp;"]"&amp;E293&amp;"'!"&amp;$X$3)),INDIRECT("'["&amp;G293&amp;"]"&amp;E293&amp;"'!"&amp;$X$1),0)</f>
        <v>#VALUE!</v>
      </c>
      <c r="I293" s="25" t="str">
        <f t="shared" si="83"/>
        <v/>
      </c>
      <c r="J293" s="32" t="str">
        <f t="shared" si="84"/>
        <v/>
      </c>
      <c r="K293" s="25" t="str">
        <f t="shared" si="85"/>
        <v/>
      </c>
      <c r="L293" s="25" t="str">
        <f t="shared" si="86"/>
        <v/>
      </c>
      <c r="M293" s="33" t="e" cm="1">
        <f t="array" aca="1" ref="M293" ca="1">IF(AND(J293=INDIRECT("'["&amp;G293&amp;"]"&amp;E293&amp;"'!"&amp;$Y$2),G293=INDIRECT("'["&amp;G293&amp;"]"&amp;E293&amp;"'!"&amp;$AH$2)),INDIRECT("'["&amp;G293&amp;"]"&amp;E293&amp;"'!"&amp;$Y$3),0)</f>
        <v>#VALUE!</v>
      </c>
      <c r="N293" s="34" t="e" cm="1">
        <f t="array" aca="1" ref="N293" ca="1">IF(AND(G293=INDIRECT("'["&amp;G293&amp;"]"&amp;E293&amp;"'!"&amp;$AH$2),OR(K293=INDIRECT("'["&amp;G293&amp;"]"&amp;E293&amp;"'!"&amp;$Z$2))),INDIRECT("'["&amp;G293&amp;"]"&amp;E293&amp;"'!"&amp;$Z$3),0)</f>
        <v>#VALUE!</v>
      </c>
      <c r="O293" s="34" t="e" cm="1">
        <f t="array" aca="1" ref="O293" ca="1">IF(AND(G293=INDIRECT("'["&amp;G293&amp;"]"&amp;E293&amp;"'!"&amp;$AH$2),OR(L293=INDIRECT("'["&amp;G293&amp;"]"&amp;E293&amp;"'!"&amp;$AA$2))),INDIRECT("'["&amp;G293&amp;"]"&amp;E293&amp;"'!"&amp;$AA$3),0)</f>
        <v>#VALUE!</v>
      </c>
      <c r="P293" s="34" t="e" cm="1">
        <f t="array" aca="1" ref="P293" ca="1">IF(AND(G293=INDIRECT("'["&amp;G293&amp;"]"&amp;E293&amp;"'!"&amp;$AH$2),OR(VALUE(I293)=INDIRECT("'["&amp;G293&amp;"]"&amp;E293&amp;"'!"&amp;$AB$2))),INDIRECT("'["&amp;G293&amp;"]"&amp;E293&amp;"'!"&amp;$AB$3),0)</f>
        <v>#VALUE!</v>
      </c>
      <c r="Q293" s="34" t="e" cm="1">
        <f t="array" aca="1" ref="Q293" ca="1">IF(AND(G293=INDIRECT("'["&amp;G293&amp;"]"&amp;E293&amp;"'!"&amp;$AH$2),OR(VALUE(I293)=INDIRECT("'["&amp;G293&amp;"]"&amp;E293&amp;"'!"&amp;$AC$2))),INDIRECT("'["&amp;G293&amp;"]"&amp;E293&amp;"'!"&amp;$AC$3),0)</f>
        <v>#VALUE!</v>
      </c>
      <c r="R293" s="34" t="e" cm="1">
        <f t="array" aca="1" ref="R293" ca="1">IF(AND(G293=INDIRECT("'["&amp;G293&amp;"]"&amp;E293&amp;"'!"&amp;$AH$2),OR(I293=INDIRECT("'["&amp;G293&amp;"]"&amp;E293&amp;"'!"&amp;$AD$2))),INDIRECT("'["&amp;G293&amp;"]"&amp;E293&amp;"'!"&amp;$AD$3),0)</f>
        <v>#VALUE!</v>
      </c>
      <c r="S293" s="34" t="e" cm="1">
        <f t="array" aca="1" ref="S293" ca="1">IF(AND(G293=INDIRECT("'["&amp;G293&amp;"]"&amp;E293&amp;"'!"&amp;$AH$2),OR(I293=INDIRECT("'["&amp;G293&amp;"]"&amp;E293&amp;"'!"&amp;$AE$2))),INDIRECT("'["&amp;G293&amp;"]"&amp;E293&amp;"'!"&amp;$AE$3),0)</f>
        <v>#VALUE!</v>
      </c>
      <c r="T293" s="35" t="e" cm="1">
        <f t="array" aca="1" ref="T293" ca="1">IF(AND(G293=INDIRECT("'["&amp;G293&amp;"]"&amp;E293&amp;"'!"&amp;$AH$2),OR(I293=INDIRECT("'["&amp;G293&amp;"]"&amp;E293&amp;"'!"&amp;$AF$2))),INDIRECT("'["&amp;G293&amp;"]"&amp;E293&amp;"'!"&amp;$AF$3),0)</f>
        <v>#VALUE!</v>
      </c>
      <c r="U293" s="34" t="e" cm="1">
        <f t="array" aca="1" ref="U293" ca="1">IF(AND(G293=INDIRECT("'["&amp;G293&amp;"]"&amp;E293&amp;"'!"&amp;$AH$2),OR(I293=INDIRECT("'["&amp;G293&amp;"]"&amp;E293&amp;"'!"&amp;$AG$2))),INDIRECT("'["&amp;G293&amp;"]"&amp;E293&amp;"'!"&amp;$AG$3),0)</f>
        <v>#VALUE!</v>
      </c>
      <c r="V293" s="25" t="str">
        <f t="shared" si="87"/>
        <v/>
      </c>
      <c r="W293" s="36" t="e" cm="1">
        <f t="array" aca="1" ref="W293" ca="1">IF(AND(G293=INDIRECT("'["&amp;G293&amp;"]"&amp;E293&amp;"'!"&amp;$AH$2),OR(V293=INDIRECT("'["&amp;G293&amp;"]"&amp;E293&amp;"'!"&amp;$AI$2))),INDIRECT("'["&amp;G293&amp;"]"&amp;E293&amp;"'!"&amp;$AI$3),0)</f>
        <v>#VALUE!</v>
      </c>
      <c r="AJ293" s="25">
        <v>1</v>
      </c>
      <c r="AK293" s="38">
        <f t="shared" ca="1" si="88"/>
        <v>0</v>
      </c>
      <c r="AL293" s="38">
        <f t="shared" ca="1" si="89"/>
        <v>0</v>
      </c>
      <c r="AM293" s="54" t="str">
        <f t="shared" ca="1" si="80"/>
        <v/>
      </c>
      <c r="AN293" s="25" t="e">
        <f t="shared" ca="1" si="90"/>
        <v>#VALUE!</v>
      </c>
      <c r="AO293" s="25" t="e">
        <f t="shared" ca="1" si="91"/>
        <v>#VALUE!</v>
      </c>
      <c r="AP293" s="39" t="str">
        <f t="shared" ca="1" si="81"/>
        <v/>
      </c>
      <c r="AQ293" s="46" t="str">
        <f ca="1">IF(AND(C293&lt;&gt;0, C294=0), SUM($C$2:C293)-SUM($AQ$1:AQ292), "")</f>
        <v/>
      </c>
      <c r="AR293" s="46" t="str">
        <f ca="1">IF(AND(AK293&lt;&gt;0, AK294=0), SUM($AK$2:AK293)-SUM($AR$1:AR292), "")</f>
        <v/>
      </c>
    </row>
    <row r="294" spans="1:44" ht="13.15" customHeight="1">
      <c r="A294" s="62"/>
      <c r="B294" s="68" t="str">
        <f t="shared" si="92"/>
        <v/>
      </c>
      <c r="C294" s="55" cm="1">
        <f t="array" aca="1" ref="C294" ca="1">SUM(IF(ISNUMBER(M294:U294),M294:U294,""))</f>
        <v>0</v>
      </c>
      <c r="D294" s="25" t="str">
        <f t="shared" si="93"/>
        <v/>
      </c>
      <c r="E294" s="25" t="e">
        <f t="shared" si="82"/>
        <v>#VALUE!</v>
      </c>
      <c r="F294" s="25" t="str">
        <f t="shared" si="94"/>
        <v/>
      </c>
      <c r="G294" s="25" t="str">
        <f t="shared" si="79"/>
        <v>.xlsx</v>
      </c>
      <c r="H294" s="29" t="e" cm="1">
        <f t="array" aca="1" ref="H294" ca="1">IF(AND(VALUE(E294)=INDIRECT("'["&amp;G294&amp;"]"&amp;E294&amp;"'!"&amp;$X$2),G294=INDIRECT("'["&amp;G294&amp;"]"&amp;E294&amp;"'!"&amp;$X$3)),INDIRECT("'["&amp;G294&amp;"]"&amp;E294&amp;"'!"&amp;$X$1),0)</f>
        <v>#VALUE!</v>
      </c>
      <c r="I294" s="25" t="str">
        <f t="shared" si="83"/>
        <v/>
      </c>
      <c r="J294" s="32" t="str">
        <f t="shared" si="84"/>
        <v/>
      </c>
      <c r="K294" s="25" t="str">
        <f t="shared" si="85"/>
        <v/>
      </c>
      <c r="L294" s="25" t="str">
        <f t="shared" si="86"/>
        <v/>
      </c>
      <c r="M294" s="33" t="e" cm="1">
        <f t="array" aca="1" ref="M294" ca="1">IF(AND(J294=INDIRECT("'["&amp;G294&amp;"]"&amp;E294&amp;"'!"&amp;$Y$2),G294=INDIRECT("'["&amp;G294&amp;"]"&amp;E294&amp;"'!"&amp;$AH$2)),INDIRECT("'["&amp;G294&amp;"]"&amp;E294&amp;"'!"&amp;$Y$3),0)</f>
        <v>#VALUE!</v>
      </c>
      <c r="N294" s="34" t="e" cm="1">
        <f t="array" aca="1" ref="N294" ca="1">IF(AND(G294=INDIRECT("'["&amp;G294&amp;"]"&amp;E294&amp;"'!"&amp;$AH$2),OR(K294=INDIRECT("'["&amp;G294&amp;"]"&amp;E294&amp;"'!"&amp;$Z$2))),INDIRECT("'["&amp;G294&amp;"]"&amp;E294&amp;"'!"&amp;$Z$3),0)</f>
        <v>#VALUE!</v>
      </c>
      <c r="O294" s="34" t="e" cm="1">
        <f t="array" aca="1" ref="O294" ca="1">IF(AND(G294=INDIRECT("'["&amp;G294&amp;"]"&amp;E294&amp;"'!"&amp;$AH$2),OR(L294=INDIRECT("'["&amp;G294&amp;"]"&amp;E294&amp;"'!"&amp;$AA$2))),INDIRECT("'["&amp;G294&amp;"]"&amp;E294&amp;"'!"&amp;$AA$3),0)</f>
        <v>#VALUE!</v>
      </c>
      <c r="P294" s="34" t="e" cm="1">
        <f t="array" aca="1" ref="P294" ca="1">IF(AND(G294=INDIRECT("'["&amp;G294&amp;"]"&amp;E294&amp;"'!"&amp;$AH$2),OR(VALUE(I294)=INDIRECT("'["&amp;G294&amp;"]"&amp;E294&amp;"'!"&amp;$AB$2))),INDIRECT("'["&amp;G294&amp;"]"&amp;E294&amp;"'!"&amp;$AB$3),0)</f>
        <v>#VALUE!</v>
      </c>
      <c r="Q294" s="34" t="e" cm="1">
        <f t="array" aca="1" ref="Q294" ca="1">IF(AND(G294=INDIRECT("'["&amp;G294&amp;"]"&amp;E294&amp;"'!"&amp;$AH$2),OR(VALUE(I294)=INDIRECT("'["&amp;G294&amp;"]"&amp;E294&amp;"'!"&amp;$AC$2))),INDIRECT("'["&amp;G294&amp;"]"&amp;E294&amp;"'!"&amp;$AC$3),0)</f>
        <v>#VALUE!</v>
      </c>
      <c r="R294" s="34" t="e" cm="1">
        <f t="array" aca="1" ref="R294" ca="1">IF(AND(G294=INDIRECT("'["&amp;G294&amp;"]"&amp;E294&amp;"'!"&amp;$AH$2),OR(I294=INDIRECT("'["&amp;G294&amp;"]"&amp;E294&amp;"'!"&amp;$AD$2))),INDIRECT("'["&amp;G294&amp;"]"&amp;E294&amp;"'!"&amp;$AD$3),0)</f>
        <v>#VALUE!</v>
      </c>
      <c r="S294" s="34" t="e" cm="1">
        <f t="array" aca="1" ref="S294" ca="1">IF(AND(G294=INDIRECT("'["&amp;G294&amp;"]"&amp;E294&amp;"'!"&amp;$AH$2),OR(I294=INDIRECT("'["&amp;G294&amp;"]"&amp;E294&amp;"'!"&amp;$AE$2))),INDIRECT("'["&amp;G294&amp;"]"&amp;E294&amp;"'!"&amp;$AE$3),0)</f>
        <v>#VALUE!</v>
      </c>
      <c r="T294" s="35" t="e" cm="1">
        <f t="array" aca="1" ref="T294" ca="1">IF(AND(G294=INDIRECT("'["&amp;G294&amp;"]"&amp;E294&amp;"'!"&amp;$AH$2),OR(I294=INDIRECT("'["&amp;G294&amp;"]"&amp;E294&amp;"'!"&amp;$AF$2))),INDIRECT("'["&amp;G294&amp;"]"&amp;E294&amp;"'!"&amp;$AF$3),0)</f>
        <v>#VALUE!</v>
      </c>
      <c r="U294" s="34" t="e" cm="1">
        <f t="array" aca="1" ref="U294" ca="1">IF(AND(G294=INDIRECT("'["&amp;G294&amp;"]"&amp;E294&amp;"'!"&amp;$AH$2),OR(I294=INDIRECT("'["&amp;G294&amp;"]"&amp;E294&amp;"'!"&amp;$AG$2))),INDIRECT("'["&amp;G294&amp;"]"&amp;E294&amp;"'!"&amp;$AG$3),0)</f>
        <v>#VALUE!</v>
      </c>
      <c r="V294" s="25" t="str">
        <f t="shared" si="87"/>
        <v/>
      </c>
      <c r="W294" s="36" t="e" cm="1">
        <f t="array" aca="1" ref="W294" ca="1">IF(AND(G294=INDIRECT("'["&amp;G294&amp;"]"&amp;E294&amp;"'!"&amp;$AH$2),OR(V294=INDIRECT("'["&amp;G294&amp;"]"&amp;E294&amp;"'!"&amp;$AI$2))),INDIRECT("'["&amp;G294&amp;"]"&amp;E294&amp;"'!"&amp;$AI$3),0)</f>
        <v>#VALUE!</v>
      </c>
      <c r="AJ294" s="25">
        <v>1</v>
      </c>
      <c r="AK294" s="38">
        <f t="shared" ca="1" si="88"/>
        <v>0</v>
      </c>
      <c r="AL294" s="38">
        <f t="shared" ca="1" si="89"/>
        <v>0</v>
      </c>
      <c r="AM294" s="54" t="str">
        <f t="shared" ca="1" si="80"/>
        <v/>
      </c>
      <c r="AN294" s="25" t="e">
        <f t="shared" ca="1" si="90"/>
        <v>#VALUE!</v>
      </c>
      <c r="AO294" s="25" t="e">
        <f t="shared" ca="1" si="91"/>
        <v>#VALUE!</v>
      </c>
      <c r="AP294" s="39" t="str">
        <f t="shared" ca="1" si="81"/>
        <v/>
      </c>
      <c r="AQ294" s="46" t="str">
        <f ca="1">IF(AND(C294&lt;&gt;0, C295=0), SUM($C$2:C294)-SUM($AQ$1:AQ293), "")</f>
        <v/>
      </c>
      <c r="AR294" s="46" t="str">
        <f ca="1">IF(AND(AK294&lt;&gt;0, AK295=0), SUM($AK$2:AK294)-SUM($AR$1:AR293), "")</f>
        <v/>
      </c>
    </row>
    <row r="295" spans="1:44" ht="13.15" customHeight="1">
      <c r="A295" s="62"/>
      <c r="B295" s="68" t="str">
        <f t="shared" si="92"/>
        <v/>
      </c>
      <c r="C295" s="55" cm="1">
        <f t="array" aca="1" ref="C295" ca="1">SUM(IF(ISNUMBER(M295:U295),M295:U295,""))</f>
        <v>0</v>
      </c>
      <c r="D295" s="25" t="str">
        <f t="shared" si="93"/>
        <v/>
      </c>
      <c r="E295" s="25" t="e">
        <f t="shared" si="82"/>
        <v>#VALUE!</v>
      </c>
      <c r="F295" s="25" t="str">
        <f t="shared" si="94"/>
        <v/>
      </c>
      <c r="G295" s="25" t="str">
        <f t="shared" si="79"/>
        <v>.xlsx</v>
      </c>
      <c r="H295" s="29" t="e" cm="1">
        <f t="array" aca="1" ref="H295" ca="1">IF(AND(VALUE(E295)=INDIRECT("'["&amp;G295&amp;"]"&amp;E295&amp;"'!"&amp;$X$2),G295=INDIRECT("'["&amp;G295&amp;"]"&amp;E295&amp;"'!"&amp;$X$3)),INDIRECT("'["&amp;G295&amp;"]"&amp;E295&amp;"'!"&amp;$X$1),0)</f>
        <v>#VALUE!</v>
      </c>
      <c r="I295" s="25" t="str">
        <f t="shared" si="83"/>
        <v/>
      </c>
      <c r="J295" s="32" t="str">
        <f t="shared" si="84"/>
        <v/>
      </c>
      <c r="K295" s="25" t="str">
        <f t="shared" si="85"/>
        <v/>
      </c>
      <c r="L295" s="25" t="str">
        <f t="shared" si="86"/>
        <v/>
      </c>
      <c r="M295" s="33" t="e" cm="1">
        <f t="array" aca="1" ref="M295" ca="1">IF(AND(J295=INDIRECT("'["&amp;G295&amp;"]"&amp;E295&amp;"'!"&amp;$Y$2),G295=INDIRECT("'["&amp;G295&amp;"]"&amp;E295&amp;"'!"&amp;$AH$2)),INDIRECT("'["&amp;G295&amp;"]"&amp;E295&amp;"'!"&amp;$Y$3),0)</f>
        <v>#VALUE!</v>
      </c>
      <c r="N295" s="34" t="e" cm="1">
        <f t="array" aca="1" ref="N295" ca="1">IF(AND(G295=INDIRECT("'["&amp;G295&amp;"]"&amp;E295&amp;"'!"&amp;$AH$2),OR(K295=INDIRECT("'["&amp;G295&amp;"]"&amp;E295&amp;"'!"&amp;$Z$2))),INDIRECT("'["&amp;G295&amp;"]"&amp;E295&amp;"'!"&amp;$Z$3),0)</f>
        <v>#VALUE!</v>
      </c>
      <c r="O295" s="34" t="e" cm="1">
        <f t="array" aca="1" ref="O295" ca="1">IF(AND(G295=INDIRECT("'["&amp;G295&amp;"]"&amp;E295&amp;"'!"&amp;$AH$2),OR(L295=INDIRECT("'["&amp;G295&amp;"]"&amp;E295&amp;"'!"&amp;$AA$2))),INDIRECT("'["&amp;G295&amp;"]"&amp;E295&amp;"'!"&amp;$AA$3),0)</f>
        <v>#VALUE!</v>
      </c>
      <c r="P295" s="34" t="e" cm="1">
        <f t="array" aca="1" ref="P295" ca="1">IF(AND(G295=INDIRECT("'["&amp;G295&amp;"]"&amp;E295&amp;"'!"&amp;$AH$2),OR(VALUE(I295)=INDIRECT("'["&amp;G295&amp;"]"&amp;E295&amp;"'!"&amp;$AB$2))),INDIRECT("'["&amp;G295&amp;"]"&amp;E295&amp;"'!"&amp;$AB$3),0)</f>
        <v>#VALUE!</v>
      </c>
      <c r="Q295" s="34" t="e" cm="1">
        <f t="array" aca="1" ref="Q295" ca="1">IF(AND(G295=INDIRECT("'["&amp;G295&amp;"]"&amp;E295&amp;"'!"&amp;$AH$2),OR(VALUE(I295)=INDIRECT("'["&amp;G295&amp;"]"&amp;E295&amp;"'!"&amp;$AC$2))),INDIRECT("'["&amp;G295&amp;"]"&amp;E295&amp;"'!"&amp;$AC$3),0)</f>
        <v>#VALUE!</v>
      </c>
      <c r="R295" s="34" t="e" cm="1">
        <f t="array" aca="1" ref="R295" ca="1">IF(AND(G295=INDIRECT("'["&amp;G295&amp;"]"&amp;E295&amp;"'!"&amp;$AH$2),OR(I295=INDIRECT("'["&amp;G295&amp;"]"&amp;E295&amp;"'!"&amp;$AD$2))),INDIRECT("'["&amp;G295&amp;"]"&amp;E295&amp;"'!"&amp;$AD$3),0)</f>
        <v>#VALUE!</v>
      </c>
      <c r="S295" s="34" t="e" cm="1">
        <f t="array" aca="1" ref="S295" ca="1">IF(AND(G295=INDIRECT("'["&amp;G295&amp;"]"&amp;E295&amp;"'!"&amp;$AH$2),OR(I295=INDIRECT("'["&amp;G295&amp;"]"&amp;E295&amp;"'!"&amp;$AE$2))),INDIRECT("'["&amp;G295&amp;"]"&amp;E295&amp;"'!"&amp;$AE$3),0)</f>
        <v>#VALUE!</v>
      </c>
      <c r="T295" s="35" t="e" cm="1">
        <f t="array" aca="1" ref="T295" ca="1">IF(AND(G295=INDIRECT("'["&amp;G295&amp;"]"&amp;E295&amp;"'!"&amp;$AH$2),OR(I295=INDIRECT("'["&amp;G295&amp;"]"&amp;E295&amp;"'!"&amp;$AF$2))),INDIRECT("'["&amp;G295&amp;"]"&amp;E295&amp;"'!"&amp;$AF$3),0)</f>
        <v>#VALUE!</v>
      </c>
      <c r="U295" s="34" t="e" cm="1">
        <f t="array" aca="1" ref="U295" ca="1">IF(AND(G295=INDIRECT("'["&amp;G295&amp;"]"&amp;E295&amp;"'!"&amp;$AH$2),OR(I295=INDIRECT("'["&amp;G295&amp;"]"&amp;E295&amp;"'!"&amp;$AG$2))),INDIRECT("'["&amp;G295&amp;"]"&amp;E295&amp;"'!"&amp;$AG$3),0)</f>
        <v>#VALUE!</v>
      </c>
      <c r="V295" s="25" t="str">
        <f t="shared" si="87"/>
        <v/>
      </c>
      <c r="W295" s="36" t="e" cm="1">
        <f t="array" aca="1" ref="W295" ca="1">IF(AND(G295=INDIRECT("'["&amp;G295&amp;"]"&amp;E295&amp;"'!"&amp;$AH$2),OR(V295=INDIRECT("'["&amp;G295&amp;"]"&amp;E295&amp;"'!"&amp;$AI$2))),INDIRECT("'["&amp;G295&amp;"]"&amp;E295&amp;"'!"&amp;$AI$3),0)</f>
        <v>#VALUE!</v>
      </c>
      <c r="AJ295" s="25">
        <v>1</v>
      </c>
      <c r="AK295" s="38">
        <f t="shared" ca="1" si="88"/>
        <v>0</v>
      </c>
      <c r="AL295" s="38">
        <f t="shared" ca="1" si="89"/>
        <v>0</v>
      </c>
      <c r="AM295" s="54" t="str">
        <f t="shared" ca="1" si="80"/>
        <v/>
      </c>
      <c r="AN295" s="25" t="e">
        <f t="shared" ca="1" si="90"/>
        <v>#VALUE!</v>
      </c>
      <c r="AO295" s="25" t="e">
        <f t="shared" ca="1" si="91"/>
        <v>#VALUE!</v>
      </c>
      <c r="AP295" s="39" t="str">
        <f t="shared" ca="1" si="81"/>
        <v/>
      </c>
      <c r="AQ295" s="46" t="str">
        <f ca="1">IF(AND(C295&lt;&gt;0, C296=0), SUM($C$2:C295)-SUM($AQ$1:AQ294), "")</f>
        <v/>
      </c>
      <c r="AR295" s="46" t="str">
        <f ca="1">IF(AND(AK295&lt;&gt;0, AK296=0), SUM($AK$2:AK295)-SUM($AR$1:AR294), "")</f>
        <v/>
      </c>
    </row>
    <row r="296" spans="1:44" ht="13.15" customHeight="1">
      <c r="A296" s="62"/>
      <c r="B296" s="68" t="str">
        <f t="shared" si="92"/>
        <v/>
      </c>
      <c r="C296" s="55" cm="1">
        <f t="array" aca="1" ref="C296" ca="1">SUM(IF(ISNUMBER(M296:U296),M296:U296,""))</f>
        <v>0</v>
      </c>
      <c r="D296" s="25" t="str">
        <f t="shared" si="93"/>
        <v/>
      </c>
      <c r="E296" s="25" t="e">
        <f t="shared" si="82"/>
        <v>#VALUE!</v>
      </c>
      <c r="F296" s="25" t="str">
        <f t="shared" si="94"/>
        <v/>
      </c>
      <c r="G296" s="25" t="str">
        <f t="shared" si="79"/>
        <v>.xlsx</v>
      </c>
      <c r="H296" s="29" t="e" cm="1">
        <f t="array" aca="1" ref="H296" ca="1">IF(AND(VALUE(E296)=INDIRECT("'["&amp;G296&amp;"]"&amp;E296&amp;"'!"&amp;$X$2),G296=INDIRECT("'["&amp;G296&amp;"]"&amp;E296&amp;"'!"&amp;$X$3)),INDIRECT("'["&amp;G296&amp;"]"&amp;E296&amp;"'!"&amp;$X$1),0)</f>
        <v>#VALUE!</v>
      </c>
      <c r="I296" s="25" t="str">
        <f t="shared" si="83"/>
        <v/>
      </c>
      <c r="J296" s="32" t="str">
        <f t="shared" si="84"/>
        <v/>
      </c>
      <c r="K296" s="25" t="str">
        <f t="shared" si="85"/>
        <v/>
      </c>
      <c r="L296" s="25" t="str">
        <f t="shared" si="86"/>
        <v/>
      </c>
      <c r="M296" s="33" t="e" cm="1">
        <f t="array" aca="1" ref="M296" ca="1">IF(AND(J296=INDIRECT("'["&amp;G296&amp;"]"&amp;E296&amp;"'!"&amp;$Y$2),G296=INDIRECT("'["&amp;G296&amp;"]"&amp;E296&amp;"'!"&amp;$AH$2)),INDIRECT("'["&amp;G296&amp;"]"&amp;E296&amp;"'!"&amp;$Y$3),0)</f>
        <v>#VALUE!</v>
      </c>
      <c r="N296" s="34" t="e" cm="1">
        <f t="array" aca="1" ref="N296" ca="1">IF(AND(G296=INDIRECT("'["&amp;G296&amp;"]"&amp;E296&amp;"'!"&amp;$AH$2),OR(K296=INDIRECT("'["&amp;G296&amp;"]"&amp;E296&amp;"'!"&amp;$Z$2))),INDIRECT("'["&amp;G296&amp;"]"&amp;E296&amp;"'!"&amp;$Z$3),0)</f>
        <v>#VALUE!</v>
      </c>
      <c r="O296" s="34" t="e" cm="1">
        <f t="array" aca="1" ref="O296" ca="1">IF(AND(G296=INDIRECT("'["&amp;G296&amp;"]"&amp;E296&amp;"'!"&amp;$AH$2),OR(L296=INDIRECT("'["&amp;G296&amp;"]"&amp;E296&amp;"'!"&amp;$AA$2))),INDIRECT("'["&amp;G296&amp;"]"&amp;E296&amp;"'!"&amp;$AA$3),0)</f>
        <v>#VALUE!</v>
      </c>
      <c r="P296" s="34" t="e" cm="1">
        <f t="array" aca="1" ref="P296" ca="1">IF(AND(G296=INDIRECT("'["&amp;G296&amp;"]"&amp;E296&amp;"'!"&amp;$AH$2),OR(VALUE(I296)=INDIRECT("'["&amp;G296&amp;"]"&amp;E296&amp;"'!"&amp;$AB$2))),INDIRECT("'["&amp;G296&amp;"]"&amp;E296&amp;"'!"&amp;$AB$3),0)</f>
        <v>#VALUE!</v>
      </c>
      <c r="Q296" s="34" t="e" cm="1">
        <f t="array" aca="1" ref="Q296" ca="1">IF(AND(G296=INDIRECT("'["&amp;G296&amp;"]"&amp;E296&amp;"'!"&amp;$AH$2),OR(VALUE(I296)=INDIRECT("'["&amp;G296&amp;"]"&amp;E296&amp;"'!"&amp;$AC$2))),INDIRECT("'["&amp;G296&amp;"]"&amp;E296&amp;"'!"&amp;$AC$3),0)</f>
        <v>#VALUE!</v>
      </c>
      <c r="R296" s="34" t="e" cm="1">
        <f t="array" aca="1" ref="R296" ca="1">IF(AND(G296=INDIRECT("'["&amp;G296&amp;"]"&amp;E296&amp;"'!"&amp;$AH$2),OR(I296=INDIRECT("'["&amp;G296&amp;"]"&amp;E296&amp;"'!"&amp;$AD$2))),INDIRECT("'["&amp;G296&amp;"]"&amp;E296&amp;"'!"&amp;$AD$3),0)</f>
        <v>#VALUE!</v>
      </c>
      <c r="S296" s="34" t="e" cm="1">
        <f t="array" aca="1" ref="S296" ca="1">IF(AND(G296=INDIRECT("'["&amp;G296&amp;"]"&amp;E296&amp;"'!"&amp;$AH$2),OR(I296=INDIRECT("'["&amp;G296&amp;"]"&amp;E296&amp;"'!"&amp;$AE$2))),INDIRECT("'["&amp;G296&amp;"]"&amp;E296&amp;"'!"&amp;$AE$3),0)</f>
        <v>#VALUE!</v>
      </c>
      <c r="T296" s="35" t="e" cm="1">
        <f t="array" aca="1" ref="T296" ca="1">IF(AND(G296=INDIRECT("'["&amp;G296&amp;"]"&amp;E296&amp;"'!"&amp;$AH$2),OR(I296=INDIRECT("'["&amp;G296&amp;"]"&amp;E296&amp;"'!"&amp;$AF$2))),INDIRECT("'["&amp;G296&amp;"]"&amp;E296&amp;"'!"&amp;$AF$3),0)</f>
        <v>#VALUE!</v>
      </c>
      <c r="U296" s="34" t="e" cm="1">
        <f t="array" aca="1" ref="U296" ca="1">IF(AND(G296=INDIRECT("'["&amp;G296&amp;"]"&amp;E296&amp;"'!"&amp;$AH$2),OR(I296=INDIRECT("'["&amp;G296&amp;"]"&amp;E296&amp;"'!"&amp;$AG$2))),INDIRECT("'["&amp;G296&amp;"]"&amp;E296&amp;"'!"&amp;$AG$3),0)</f>
        <v>#VALUE!</v>
      </c>
      <c r="V296" s="25" t="str">
        <f t="shared" si="87"/>
        <v/>
      </c>
      <c r="W296" s="36" t="e" cm="1">
        <f t="array" aca="1" ref="W296" ca="1">IF(AND(G296=INDIRECT("'["&amp;G296&amp;"]"&amp;E296&amp;"'!"&amp;$AH$2),OR(V296=INDIRECT("'["&amp;G296&amp;"]"&amp;E296&amp;"'!"&amp;$AI$2))),INDIRECT("'["&amp;G296&amp;"]"&amp;E296&amp;"'!"&amp;$AI$3),0)</f>
        <v>#VALUE!</v>
      </c>
      <c r="AJ296" s="25">
        <v>1</v>
      </c>
      <c r="AK296" s="38">
        <f t="shared" ca="1" si="88"/>
        <v>0</v>
      </c>
      <c r="AL296" s="38">
        <f t="shared" ca="1" si="89"/>
        <v>0</v>
      </c>
      <c r="AM296" s="54" t="str">
        <f t="shared" ca="1" si="80"/>
        <v/>
      </c>
      <c r="AN296" s="25" t="e">
        <f t="shared" ca="1" si="90"/>
        <v>#VALUE!</v>
      </c>
      <c r="AO296" s="25" t="e">
        <f t="shared" ca="1" si="91"/>
        <v>#VALUE!</v>
      </c>
      <c r="AP296" s="39" t="str">
        <f t="shared" ca="1" si="81"/>
        <v/>
      </c>
      <c r="AQ296" s="46" t="str">
        <f ca="1">IF(AND(C296&lt;&gt;0, C297=0), SUM($C$2:C296)-SUM($AQ$1:AQ295), "")</f>
        <v/>
      </c>
      <c r="AR296" s="46" t="str">
        <f ca="1">IF(AND(AK296&lt;&gt;0, AK297=0), SUM($AK$2:AK296)-SUM($AR$1:AR295), "")</f>
        <v/>
      </c>
    </row>
    <row r="297" spans="1:44" ht="13.15" customHeight="1">
      <c r="A297" s="62"/>
      <c r="B297" s="68" t="str">
        <f t="shared" si="92"/>
        <v/>
      </c>
      <c r="C297" s="55" cm="1">
        <f t="array" aca="1" ref="C297" ca="1">SUM(IF(ISNUMBER(M297:U297),M297:U297,""))</f>
        <v>0</v>
      </c>
      <c r="D297" s="25" t="str">
        <f t="shared" si="93"/>
        <v/>
      </c>
      <c r="E297" s="25" t="e">
        <f t="shared" si="82"/>
        <v>#VALUE!</v>
      </c>
      <c r="F297" s="25" t="str">
        <f t="shared" si="94"/>
        <v/>
      </c>
      <c r="G297" s="25" t="str">
        <f t="shared" si="79"/>
        <v>.xlsx</v>
      </c>
      <c r="H297" s="29" t="e" cm="1">
        <f t="array" aca="1" ref="H297" ca="1">IF(AND(VALUE(E297)=INDIRECT("'["&amp;G297&amp;"]"&amp;E297&amp;"'!"&amp;$X$2),G297=INDIRECT("'["&amp;G297&amp;"]"&amp;E297&amp;"'!"&amp;$X$3)),INDIRECT("'["&amp;G297&amp;"]"&amp;E297&amp;"'!"&amp;$X$1),0)</f>
        <v>#VALUE!</v>
      </c>
      <c r="I297" s="25" t="str">
        <f t="shared" si="83"/>
        <v/>
      </c>
      <c r="J297" s="32" t="str">
        <f t="shared" si="84"/>
        <v/>
      </c>
      <c r="K297" s="25" t="str">
        <f t="shared" si="85"/>
        <v/>
      </c>
      <c r="L297" s="25" t="str">
        <f t="shared" si="86"/>
        <v/>
      </c>
      <c r="M297" s="33" t="e" cm="1">
        <f t="array" aca="1" ref="M297" ca="1">IF(AND(J297=INDIRECT("'["&amp;G297&amp;"]"&amp;E297&amp;"'!"&amp;$Y$2),G297=INDIRECT("'["&amp;G297&amp;"]"&amp;E297&amp;"'!"&amp;$AH$2)),INDIRECT("'["&amp;G297&amp;"]"&amp;E297&amp;"'!"&amp;$Y$3),0)</f>
        <v>#VALUE!</v>
      </c>
      <c r="N297" s="34" t="e" cm="1">
        <f t="array" aca="1" ref="N297" ca="1">IF(AND(G297=INDIRECT("'["&amp;G297&amp;"]"&amp;E297&amp;"'!"&amp;$AH$2),OR(K297=INDIRECT("'["&amp;G297&amp;"]"&amp;E297&amp;"'!"&amp;$Z$2))),INDIRECT("'["&amp;G297&amp;"]"&amp;E297&amp;"'!"&amp;$Z$3),0)</f>
        <v>#VALUE!</v>
      </c>
      <c r="O297" s="34" t="e" cm="1">
        <f t="array" aca="1" ref="O297" ca="1">IF(AND(G297=INDIRECT("'["&amp;G297&amp;"]"&amp;E297&amp;"'!"&amp;$AH$2),OR(L297=INDIRECT("'["&amp;G297&amp;"]"&amp;E297&amp;"'!"&amp;$AA$2))),INDIRECT("'["&amp;G297&amp;"]"&amp;E297&amp;"'!"&amp;$AA$3),0)</f>
        <v>#VALUE!</v>
      </c>
      <c r="P297" s="34" t="e" cm="1">
        <f t="array" aca="1" ref="P297" ca="1">IF(AND(G297=INDIRECT("'["&amp;G297&amp;"]"&amp;E297&amp;"'!"&amp;$AH$2),OR(VALUE(I297)=INDIRECT("'["&amp;G297&amp;"]"&amp;E297&amp;"'!"&amp;$AB$2))),INDIRECT("'["&amp;G297&amp;"]"&amp;E297&amp;"'!"&amp;$AB$3),0)</f>
        <v>#VALUE!</v>
      </c>
      <c r="Q297" s="34" t="e" cm="1">
        <f t="array" aca="1" ref="Q297" ca="1">IF(AND(G297=INDIRECT("'["&amp;G297&amp;"]"&amp;E297&amp;"'!"&amp;$AH$2),OR(VALUE(I297)=INDIRECT("'["&amp;G297&amp;"]"&amp;E297&amp;"'!"&amp;$AC$2))),INDIRECT("'["&amp;G297&amp;"]"&amp;E297&amp;"'!"&amp;$AC$3),0)</f>
        <v>#VALUE!</v>
      </c>
      <c r="R297" s="34" t="e" cm="1">
        <f t="array" aca="1" ref="R297" ca="1">IF(AND(G297=INDIRECT("'["&amp;G297&amp;"]"&amp;E297&amp;"'!"&amp;$AH$2),OR(I297=INDIRECT("'["&amp;G297&amp;"]"&amp;E297&amp;"'!"&amp;$AD$2))),INDIRECT("'["&amp;G297&amp;"]"&amp;E297&amp;"'!"&amp;$AD$3),0)</f>
        <v>#VALUE!</v>
      </c>
      <c r="S297" s="34" t="e" cm="1">
        <f t="array" aca="1" ref="S297" ca="1">IF(AND(G297=INDIRECT("'["&amp;G297&amp;"]"&amp;E297&amp;"'!"&amp;$AH$2),OR(I297=INDIRECT("'["&amp;G297&amp;"]"&amp;E297&amp;"'!"&amp;$AE$2))),INDIRECT("'["&amp;G297&amp;"]"&amp;E297&amp;"'!"&amp;$AE$3),0)</f>
        <v>#VALUE!</v>
      </c>
      <c r="T297" s="35" t="e" cm="1">
        <f t="array" aca="1" ref="T297" ca="1">IF(AND(G297=INDIRECT("'["&amp;G297&amp;"]"&amp;E297&amp;"'!"&amp;$AH$2),OR(I297=INDIRECT("'["&amp;G297&amp;"]"&amp;E297&amp;"'!"&amp;$AF$2))),INDIRECT("'["&amp;G297&amp;"]"&amp;E297&amp;"'!"&amp;$AF$3),0)</f>
        <v>#VALUE!</v>
      </c>
      <c r="U297" s="34" t="e" cm="1">
        <f t="array" aca="1" ref="U297" ca="1">IF(AND(G297=INDIRECT("'["&amp;G297&amp;"]"&amp;E297&amp;"'!"&amp;$AH$2),OR(I297=INDIRECT("'["&amp;G297&amp;"]"&amp;E297&amp;"'!"&amp;$AG$2))),INDIRECT("'["&amp;G297&amp;"]"&amp;E297&amp;"'!"&amp;$AG$3),0)</f>
        <v>#VALUE!</v>
      </c>
      <c r="V297" s="25" t="str">
        <f t="shared" si="87"/>
        <v/>
      </c>
      <c r="W297" s="36" t="e" cm="1">
        <f t="array" aca="1" ref="W297" ca="1">IF(AND(G297=INDIRECT("'["&amp;G297&amp;"]"&amp;E297&amp;"'!"&amp;$AH$2),OR(V297=INDIRECT("'["&amp;G297&amp;"]"&amp;E297&amp;"'!"&amp;$AI$2))),INDIRECT("'["&amp;G297&amp;"]"&amp;E297&amp;"'!"&amp;$AI$3),0)</f>
        <v>#VALUE!</v>
      </c>
      <c r="AJ297" s="25">
        <v>1</v>
      </c>
      <c r="AK297" s="38">
        <f t="shared" ca="1" si="88"/>
        <v>0</v>
      </c>
      <c r="AL297" s="38">
        <f t="shared" ca="1" si="89"/>
        <v>0</v>
      </c>
      <c r="AM297" s="54" t="str">
        <f t="shared" ca="1" si="80"/>
        <v/>
      </c>
      <c r="AN297" s="25" t="e">
        <f t="shared" ca="1" si="90"/>
        <v>#VALUE!</v>
      </c>
      <c r="AO297" s="25" t="e">
        <f t="shared" ca="1" si="91"/>
        <v>#VALUE!</v>
      </c>
      <c r="AP297" s="39" t="str">
        <f t="shared" ca="1" si="81"/>
        <v/>
      </c>
      <c r="AQ297" s="46" t="str">
        <f ca="1">IF(AND(C297&lt;&gt;0, C298=0), SUM($C$2:C297)-SUM($AQ$1:AQ296), "")</f>
        <v/>
      </c>
      <c r="AR297" s="46" t="str">
        <f ca="1">IF(AND(AK297&lt;&gt;0, AK298=0), SUM($AK$2:AK297)-SUM($AR$1:AR296), "")</f>
        <v/>
      </c>
    </row>
    <row r="298" spans="1:44" ht="13.15" customHeight="1">
      <c r="A298" s="62"/>
      <c r="B298" s="68" t="str">
        <f t="shared" si="92"/>
        <v/>
      </c>
      <c r="C298" s="55" cm="1">
        <f t="array" aca="1" ref="C298" ca="1">SUM(IF(ISNUMBER(M298:U298),M298:U298,""))</f>
        <v>0</v>
      </c>
      <c r="D298" s="25" t="str">
        <f t="shared" si="93"/>
        <v/>
      </c>
      <c r="E298" s="25" t="e">
        <f t="shared" si="82"/>
        <v>#VALUE!</v>
      </c>
      <c r="F298" s="25" t="str">
        <f t="shared" si="94"/>
        <v/>
      </c>
      <c r="G298" s="25" t="str">
        <f t="shared" si="79"/>
        <v>.xlsx</v>
      </c>
      <c r="H298" s="29" t="e" cm="1">
        <f t="array" aca="1" ref="H298" ca="1">IF(AND(VALUE(E298)=INDIRECT("'["&amp;G298&amp;"]"&amp;E298&amp;"'!"&amp;$X$2),G298=INDIRECT("'["&amp;G298&amp;"]"&amp;E298&amp;"'!"&amp;$X$3)),INDIRECT("'["&amp;G298&amp;"]"&amp;E298&amp;"'!"&amp;$X$1),0)</f>
        <v>#VALUE!</v>
      </c>
      <c r="I298" s="25" t="str">
        <f t="shared" si="83"/>
        <v/>
      </c>
      <c r="J298" s="32" t="str">
        <f t="shared" si="84"/>
        <v/>
      </c>
      <c r="K298" s="25" t="str">
        <f t="shared" si="85"/>
        <v/>
      </c>
      <c r="L298" s="25" t="str">
        <f t="shared" si="86"/>
        <v/>
      </c>
      <c r="M298" s="33" t="e" cm="1">
        <f t="array" aca="1" ref="M298" ca="1">IF(AND(J298=INDIRECT("'["&amp;G298&amp;"]"&amp;E298&amp;"'!"&amp;$Y$2),G298=INDIRECT("'["&amp;G298&amp;"]"&amp;E298&amp;"'!"&amp;$AH$2)),INDIRECT("'["&amp;G298&amp;"]"&amp;E298&amp;"'!"&amp;$Y$3),0)</f>
        <v>#VALUE!</v>
      </c>
      <c r="N298" s="34" t="e" cm="1">
        <f t="array" aca="1" ref="N298" ca="1">IF(AND(G298=INDIRECT("'["&amp;G298&amp;"]"&amp;E298&amp;"'!"&amp;$AH$2),OR(K298=INDIRECT("'["&amp;G298&amp;"]"&amp;E298&amp;"'!"&amp;$Z$2))),INDIRECT("'["&amp;G298&amp;"]"&amp;E298&amp;"'!"&amp;$Z$3),0)</f>
        <v>#VALUE!</v>
      </c>
      <c r="O298" s="34" t="e" cm="1">
        <f t="array" aca="1" ref="O298" ca="1">IF(AND(G298=INDIRECT("'["&amp;G298&amp;"]"&amp;E298&amp;"'!"&amp;$AH$2),OR(L298=INDIRECT("'["&amp;G298&amp;"]"&amp;E298&amp;"'!"&amp;$AA$2))),INDIRECT("'["&amp;G298&amp;"]"&amp;E298&amp;"'!"&amp;$AA$3),0)</f>
        <v>#VALUE!</v>
      </c>
      <c r="P298" s="34" t="e" cm="1">
        <f t="array" aca="1" ref="P298" ca="1">IF(AND(G298=INDIRECT("'["&amp;G298&amp;"]"&amp;E298&amp;"'!"&amp;$AH$2),OR(VALUE(I298)=INDIRECT("'["&amp;G298&amp;"]"&amp;E298&amp;"'!"&amp;$AB$2))),INDIRECT("'["&amp;G298&amp;"]"&amp;E298&amp;"'!"&amp;$AB$3),0)</f>
        <v>#VALUE!</v>
      </c>
      <c r="Q298" s="34" t="e" cm="1">
        <f t="array" aca="1" ref="Q298" ca="1">IF(AND(G298=INDIRECT("'["&amp;G298&amp;"]"&amp;E298&amp;"'!"&amp;$AH$2),OR(VALUE(I298)=INDIRECT("'["&amp;G298&amp;"]"&amp;E298&amp;"'!"&amp;$AC$2))),INDIRECT("'["&amp;G298&amp;"]"&amp;E298&amp;"'!"&amp;$AC$3),0)</f>
        <v>#VALUE!</v>
      </c>
      <c r="R298" s="34" t="e" cm="1">
        <f t="array" aca="1" ref="R298" ca="1">IF(AND(G298=INDIRECT("'["&amp;G298&amp;"]"&amp;E298&amp;"'!"&amp;$AH$2),OR(I298=INDIRECT("'["&amp;G298&amp;"]"&amp;E298&amp;"'!"&amp;$AD$2))),INDIRECT("'["&amp;G298&amp;"]"&amp;E298&amp;"'!"&amp;$AD$3),0)</f>
        <v>#VALUE!</v>
      </c>
      <c r="S298" s="34" t="e" cm="1">
        <f t="array" aca="1" ref="S298" ca="1">IF(AND(G298=INDIRECT("'["&amp;G298&amp;"]"&amp;E298&amp;"'!"&amp;$AH$2),OR(I298=INDIRECT("'["&amp;G298&amp;"]"&amp;E298&amp;"'!"&amp;$AE$2))),INDIRECT("'["&amp;G298&amp;"]"&amp;E298&amp;"'!"&amp;$AE$3),0)</f>
        <v>#VALUE!</v>
      </c>
      <c r="T298" s="35" t="e" cm="1">
        <f t="array" aca="1" ref="T298" ca="1">IF(AND(G298=INDIRECT("'["&amp;G298&amp;"]"&amp;E298&amp;"'!"&amp;$AH$2),OR(I298=INDIRECT("'["&amp;G298&amp;"]"&amp;E298&amp;"'!"&amp;$AF$2))),INDIRECT("'["&amp;G298&amp;"]"&amp;E298&amp;"'!"&amp;$AF$3),0)</f>
        <v>#VALUE!</v>
      </c>
      <c r="U298" s="34" t="e" cm="1">
        <f t="array" aca="1" ref="U298" ca="1">IF(AND(G298=INDIRECT("'["&amp;G298&amp;"]"&amp;E298&amp;"'!"&amp;$AH$2),OR(I298=INDIRECT("'["&amp;G298&amp;"]"&amp;E298&amp;"'!"&amp;$AG$2))),INDIRECT("'["&amp;G298&amp;"]"&amp;E298&amp;"'!"&amp;$AG$3),0)</f>
        <v>#VALUE!</v>
      </c>
      <c r="V298" s="25" t="str">
        <f t="shared" si="87"/>
        <v/>
      </c>
      <c r="W298" s="36" t="e" cm="1">
        <f t="array" aca="1" ref="W298" ca="1">IF(AND(G298=INDIRECT("'["&amp;G298&amp;"]"&amp;E298&amp;"'!"&amp;$AH$2),OR(V298=INDIRECT("'["&amp;G298&amp;"]"&amp;E298&amp;"'!"&amp;$AI$2))),INDIRECT("'["&amp;G298&amp;"]"&amp;E298&amp;"'!"&amp;$AI$3),0)</f>
        <v>#VALUE!</v>
      </c>
      <c r="AJ298" s="25">
        <v>1</v>
      </c>
      <c r="AK298" s="38">
        <f t="shared" ca="1" si="88"/>
        <v>0</v>
      </c>
      <c r="AL298" s="38">
        <f t="shared" ca="1" si="89"/>
        <v>0</v>
      </c>
      <c r="AM298" s="54" t="str">
        <f t="shared" ca="1" si="80"/>
        <v/>
      </c>
      <c r="AN298" s="25" t="e">
        <f t="shared" ca="1" si="90"/>
        <v>#VALUE!</v>
      </c>
      <c r="AO298" s="25" t="e">
        <f t="shared" ca="1" si="91"/>
        <v>#VALUE!</v>
      </c>
      <c r="AP298" s="39" t="str">
        <f t="shared" ca="1" si="81"/>
        <v/>
      </c>
      <c r="AQ298" s="46" t="str">
        <f ca="1">IF(AND(C298&lt;&gt;0, C299=0), SUM($C$2:C298)-SUM($AQ$1:AQ297), "")</f>
        <v/>
      </c>
      <c r="AR298" s="46" t="str">
        <f ca="1">IF(AND(AK298&lt;&gt;0, AK299=0), SUM($AK$2:AK298)-SUM($AR$1:AR297), "")</f>
        <v/>
      </c>
    </row>
    <row r="299" spans="1:44" ht="13.15" customHeight="1">
      <c r="A299" s="62"/>
      <c r="B299" s="68" t="str">
        <f t="shared" si="92"/>
        <v/>
      </c>
      <c r="C299" s="55" cm="1">
        <f t="array" aca="1" ref="C299" ca="1">SUM(IF(ISNUMBER(M299:U299),M299:U299,""))</f>
        <v>0</v>
      </c>
      <c r="D299" s="25" t="str">
        <f t="shared" si="93"/>
        <v/>
      </c>
      <c r="E299" s="25" t="e">
        <f t="shared" si="82"/>
        <v>#VALUE!</v>
      </c>
      <c r="F299" s="25" t="str">
        <f t="shared" si="94"/>
        <v/>
      </c>
      <c r="G299" s="25" t="str">
        <f t="shared" si="79"/>
        <v>.xlsx</v>
      </c>
      <c r="H299" s="29" t="e" cm="1">
        <f t="array" aca="1" ref="H299" ca="1">IF(AND(VALUE(E299)=INDIRECT("'["&amp;G299&amp;"]"&amp;E299&amp;"'!"&amp;$X$2),G299=INDIRECT("'["&amp;G299&amp;"]"&amp;E299&amp;"'!"&amp;$X$3)),INDIRECT("'["&amp;G299&amp;"]"&amp;E299&amp;"'!"&amp;$X$1),0)</f>
        <v>#VALUE!</v>
      </c>
      <c r="I299" s="25" t="str">
        <f t="shared" si="83"/>
        <v/>
      </c>
      <c r="J299" s="32" t="str">
        <f t="shared" si="84"/>
        <v/>
      </c>
      <c r="K299" s="25" t="str">
        <f t="shared" si="85"/>
        <v/>
      </c>
      <c r="L299" s="25" t="str">
        <f t="shared" si="86"/>
        <v/>
      </c>
      <c r="M299" s="33" t="e" cm="1">
        <f t="array" aca="1" ref="M299" ca="1">IF(AND(J299=INDIRECT("'["&amp;G299&amp;"]"&amp;E299&amp;"'!"&amp;$Y$2),G299=INDIRECT("'["&amp;G299&amp;"]"&amp;E299&amp;"'!"&amp;$AH$2)),INDIRECT("'["&amp;G299&amp;"]"&amp;E299&amp;"'!"&amp;$Y$3),0)</f>
        <v>#VALUE!</v>
      </c>
      <c r="N299" s="34" t="e" cm="1">
        <f t="array" aca="1" ref="N299" ca="1">IF(AND(G299=INDIRECT("'["&amp;G299&amp;"]"&amp;E299&amp;"'!"&amp;$AH$2),OR(K299=INDIRECT("'["&amp;G299&amp;"]"&amp;E299&amp;"'!"&amp;$Z$2))),INDIRECT("'["&amp;G299&amp;"]"&amp;E299&amp;"'!"&amp;$Z$3),0)</f>
        <v>#VALUE!</v>
      </c>
      <c r="O299" s="34" t="e" cm="1">
        <f t="array" aca="1" ref="O299" ca="1">IF(AND(G299=INDIRECT("'["&amp;G299&amp;"]"&amp;E299&amp;"'!"&amp;$AH$2),OR(L299=INDIRECT("'["&amp;G299&amp;"]"&amp;E299&amp;"'!"&amp;$AA$2))),INDIRECT("'["&amp;G299&amp;"]"&amp;E299&amp;"'!"&amp;$AA$3),0)</f>
        <v>#VALUE!</v>
      </c>
      <c r="P299" s="34" t="e" cm="1">
        <f t="array" aca="1" ref="P299" ca="1">IF(AND(G299=INDIRECT("'["&amp;G299&amp;"]"&amp;E299&amp;"'!"&amp;$AH$2),OR(VALUE(I299)=INDIRECT("'["&amp;G299&amp;"]"&amp;E299&amp;"'!"&amp;$AB$2))),INDIRECT("'["&amp;G299&amp;"]"&amp;E299&amp;"'!"&amp;$AB$3),0)</f>
        <v>#VALUE!</v>
      </c>
      <c r="Q299" s="34" t="e" cm="1">
        <f t="array" aca="1" ref="Q299" ca="1">IF(AND(G299=INDIRECT("'["&amp;G299&amp;"]"&amp;E299&amp;"'!"&amp;$AH$2),OR(VALUE(I299)=INDIRECT("'["&amp;G299&amp;"]"&amp;E299&amp;"'!"&amp;$AC$2))),INDIRECT("'["&amp;G299&amp;"]"&amp;E299&amp;"'!"&amp;$AC$3),0)</f>
        <v>#VALUE!</v>
      </c>
      <c r="R299" s="34" t="e" cm="1">
        <f t="array" aca="1" ref="R299" ca="1">IF(AND(G299=INDIRECT("'["&amp;G299&amp;"]"&amp;E299&amp;"'!"&amp;$AH$2),OR(I299=INDIRECT("'["&amp;G299&amp;"]"&amp;E299&amp;"'!"&amp;$AD$2))),INDIRECT("'["&amp;G299&amp;"]"&amp;E299&amp;"'!"&amp;$AD$3),0)</f>
        <v>#VALUE!</v>
      </c>
      <c r="S299" s="34" t="e" cm="1">
        <f t="array" aca="1" ref="S299" ca="1">IF(AND(G299=INDIRECT("'["&amp;G299&amp;"]"&amp;E299&amp;"'!"&amp;$AH$2),OR(I299=INDIRECT("'["&amp;G299&amp;"]"&amp;E299&amp;"'!"&amp;$AE$2))),INDIRECT("'["&amp;G299&amp;"]"&amp;E299&amp;"'!"&amp;$AE$3),0)</f>
        <v>#VALUE!</v>
      </c>
      <c r="T299" s="35" t="e" cm="1">
        <f t="array" aca="1" ref="T299" ca="1">IF(AND(G299=INDIRECT("'["&amp;G299&amp;"]"&amp;E299&amp;"'!"&amp;$AH$2),OR(I299=INDIRECT("'["&amp;G299&amp;"]"&amp;E299&amp;"'!"&amp;$AF$2))),INDIRECT("'["&amp;G299&amp;"]"&amp;E299&amp;"'!"&amp;$AF$3),0)</f>
        <v>#VALUE!</v>
      </c>
      <c r="U299" s="34" t="e" cm="1">
        <f t="array" aca="1" ref="U299" ca="1">IF(AND(G299=INDIRECT("'["&amp;G299&amp;"]"&amp;E299&amp;"'!"&amp;$AH$2),OR(I299=INDIRECT("'["&amp;G299&amp;"]"&amp;E299&amp;"'!"&amp;$AG$2))),INDIRECT("'["&amp;G299&amp;"]"&amp;E299&amp;"'!"&amp;$AG$3),0)</f>
        <v>#VALUE!</v>
      </c>
      <c r="V299" s="25" t="str">
        <f t="shared" si="87"/>
        <v/>
      </c>
      <c r="W299" s="36" t="e" cm="1">
        <f t="array" aca="1" ref="W299" ca="1">IF(AND(G299=INDIRECT("'["&amp;G299&amp;"]"&amp;E299&amp;"'!"&amp;$AH$2),OR(V299=INDIRECT("'["&amp;G299&amp;"]"&amp;E299&amp;"'!"&amp;$AI$2))),INDIRECT("'["&amp;G299&amp;"]"&amp;E299&amp;"'!"&amp;$AI$3),0)</f>
        <v>#VALUE!</v>
      </c>
      <c r="AJ299" s="25">
        <v>1</v>
      </c>
      <c r="AK299" s="38">
        <f t="shared" ca="1" si="88"/>
        <v>0</v>
      </c>
      <c r="AL299" s="38">
        <f t="shared" ca="1" si="89"/>
        <v>0</v>
      </c>
      <c r="AM299" s="54" t="str">
        <f t="shared" ca="1" si="80"/>
        <v/>
      </c>
      <c r="AN299" s="25" t="e">
        <f t="shared" ca="1" si="90"/>
        <v>#VALUE!</v>
      </c>
      <c r="AO299" s="25" t="e">
        <f t="shared" ca="1" si="91"/>
        <v>#VALUE!</v>
      </c>
      <c r="AP299" s="39" t="str">
        <f t="shared" ca="1" si="81"/>
        <v/>
      </c>
      <c r="AQ299" s="46" t="str">
        <f ca="1">IF(AND(C299&lt;&gt;0, C300=0), SUM($C$2:C299)-SUM($AQ$1:AQ298), "")</f>
        <v/>
      </c>
      <c r="AR299" s="46" t="str">
        <f ca="1">IF(AND(AK299&lt;&gt;0, AK300=0), SUM($AK$2:AK299)-SUM($AR$1:AR298), "")</f>
        <v/>
      </c>
    </row>
    <row r="300" spans="1:44" ht="13.15" customHeight="1">
      <c r="A300" s="62"/>
      <c r="B300" s="68" t="str">
        <f t="shared" si="92"/>
        <v/>
      </c>
      <c r="C300" s="55" cm="1">
        <f t="array" aca="1" ref="C300" ca="1">SUM(IF(ISNUMBER(M300:U300),M300:U300,""))</f>
        <v>0</v>
      </c>
      <c r="D300" s="25" t="str">
        <f t="shared" si="93"/>
        <v/>
      </c>
      <c r="E300" s="25" t="e">
        <f t="shared" si="82"/>
        <v>#VALUE!</v>
      </c>
      <c r="F300" s="25" t="str">
        <f t="shared" si="94"/>
        <v/>
      </c>
      <c r="G300" s="25" t="str">
        <f t="shared" si="79"/>
        <v>.xlsx</v>
      </c>
      <c r="H300" s="29" t="e" cm="1">
        <f t="array" aca="1" ref="H300" ca="1">IF(AND(VALUE(E300)=INDIRECT("'["&amp;G300&amp;"]"&amp;E300&amp;"'!"&amp;$X$2),G300=INDIRECT("'["&amp;G300&amp;"]"&amp;E300&amp;"'!"&amp;$X$3)),INDIRECT("'["&amp;G300&amp;"]"&amp;E300&amp;"'!"&amp;$X$1),0)</f>
        <v>#VALUE!</v>
      </c>
      <c r="I300" s="25" t="str">
        <f t="shared" si="83"/>
        <v/>
      </c>
      <c r="J300" s="32" t="str">
        <f t="shared" si="84"/>
        <v/>
      </c>
      <c r="K300" s="25" t="str">
        <f t="shared" si="85"/>
        <v/>
      </c>
      <c r="L300" s="25" t="str">
        <f t="shared" si="86"/>
        <v/>
      </c>
      <c r="M300" s="33" t="e" cm="1">
        <f t="array" aca="1" ref="M300" ca="1">IF(AND(J300=INDIRECT("'["&amp;G300&amp;"]"&amp;E300&amp;"'!"&amp;$Y$2),G300=INDIRECT("'["&amp;G300&amp;"]"&amp;E300&amp;"'!"&amp;$AH$2)),INDIRECT("'["&amp;G300&amp;"]"&amp;E300&amp;"'!"&amp;$Y$3),0)</f>
        <v>#VALUE!</v>
      </c>
      <c r="N300" s="34" t="e" cm="1">
        <f t="array" aca="1" ref="N300" ca="1">IF(AND(G300=INDIRECT("'["&amp;G300&amp;"]"&amp;E300&amp;"'!"&amp;$AH$2),OR(K300=INDIRECT("'["&amp;G300&amp;"]"&amp;E300&amp;"'!"&amp;$Z$2))),INDIRECT("'["&amp;G300&amp;"]"&amp;E300&amp;"'!"&amp;$Z$3),0)</f>
        <v>#VALUE!</v>
      </c>
      <c r="O300" s="34" t="e" cm="1">
        <f t="array" aca="1" ref="O300" ca="1">IF(AND(G300=INDIRECT("'["&amp;G300&amp;"]"&amp;E300&amp;"'!"&amp;$AH$2),OR(L300=INDIRECT("'["&amp;G300&amp;"]"&amp;E300&amp;"'!"&amp;$AA$2))),INDIRECT("'["&amp;G300&amp;"]"&amp;E300&amp;"'!"&amp;$AA$3),0)</f>
        <v>#VALUE!</v>
      </c>
      <c r="P300" s="34" t="e" cm="1">
        <f t="array" aca="1" ref="P300" ca="1">IF(AND(G300=INDIRECT("'["&amp;G300&amp;"]"&amp;E300&amp;"'!"&amp;$AH$2),OR(VALUE(I300)=INDIRECT("'["&amp;G300&amp;"]"&amp;E300&amp;"'!"&amp;$AB$2))),INDIRECT("'["&amp;G300&amp;"]"&amp;E300&amp;"'!"&amp;$AB$3),0)</f>
        <v>#VALUE!</v>
      </c>
      <c r="Q300" s="34" t="e" cm="1">
        <f t="array" aca="1" ref="Q300" ca="1">IF(AND(G300=INDIRECT("'["&amp;G300&amp;"]"&amp;E300&amp;"'!"&amp;$AH$2),OR(VALUE(I300)=INDIRECT("'["&amp;G300&amp;"]"&amp;E300&amp;"'!"&amp;$AC$2))),INDIRECT("'["&amp;G300&amp;"]"&amp;E300&amp;"'!"&amp;$AC$3),0)</f>
        <v>#VALUE!</v>
      </c>
      <c r="R300" s="34" t="e" cm="1">
        <f t="array" aca="1" ref="R300" ca="1">IF(AND(G300=INDIRECT("'["&amp;G300&amp;"]"&amp;E300&amp;"'!"&amp;$AH$2),OR(I300=INDIRECT("'["&amp;G300&amp;"]"&amp;E300&amp;"'!"&amp;$AD$2))),INDIRECT("'["&amp;G300&amp;"]"&amp;E300&amp;"'!"&amp;$AD$3),0)</f>
        <v>#VALUE!</v>
      </c>
      <c r="S300" s="34" t="e" cm="1">
        <f t="array" aca="1" ref="S300" ca="1">IF(AND(G300=INDIRECT("'["&amp;G300&amp;"]"&amp;E300&amp;"'!"&amp;$AH$2),OR(I300=INDIRECT("'["&amp;G300&amp;"]"&amp;E300&amp;"'!"&amp;$AE$2))),INDIRECT("'["&amp;G300&amp;"]"&amp;E300&amp;"'!"&amp;$AE$3),0)</f>
        <v>#VALUE!</v>
      </c>
      <c r="T300" s="35" t="e" cm="1">
        <f t="array" aca="1" ref="T300" ca="1">IF(AND(G300=INDIRECT("'["&amp;G300&amp;"]"&amp;E300&amp;"'!"&amp;$AH$2),OR(I300=INDIRECT("'["&amp;G300&amp;"]"&amp;E300&amp;"'!"&amp;$AF$2))),INDIRECT("'["&amp;G300&amp;"]"&amp;E300&amp;"'!"&amp;$AF$3),0)</f>
        <v>#VALUE!</v>
      </c>
      <c r="U300" s="34" t="e" cm="1">
        <f t="array" aca="1" ref="U300" ca="1">IF(AND(G300=INDIRECT("'["&amp;G300&amp;"]"&amp;E300&amp;"'!"&amp;$AH$2),OR(I300=INDIRECT("'["&amp;G300&amp;"]"&amp;E300&amp;"'!"&amp;$AG$2))),INDIRECT("'["&amp;G300&amp;"]"&amp;E300&amp;"'!"&amp;$AG$3),0)</f>
        <v>#VALUE!</v>
      </c>
      <c r="V300" s="25" t="str">
        <f t="shared" si="87"/>
        <v/>
      </c>
      <c r="W300" s="36" t="e" cm="1">
        <f t="array" aca="1" ref="W300" ca="1">IF(AND(G300=INDIRECT("'["&amp;G300&amp;"]"&amp;E300&amp;"'!"&amp;$AH$2),OR(V300=INDIRECT("'["&amp;G300&amp;"]"&amp;E300&amp;"'!"&amp;$AI$2))),INDIRECT("'["&amp;G300&amp;"]"&amp;E300&amp;"'!"&amp;$AI$3),0)</f>
        <v>#VALUE!</v>
      </c>
      <c r="AJ300" s="25">
        <v>1</v>
      </c>
      <c r="AK300" s="38">
        <f t="shared" ca="1" si="88"/>
        <v>0</v>
      </c>
      <c r="AL300" s="38">
        <f t="shared" ca="1" si="89"/>
        <v>0</v>
      </c>
      <c r="AM300" s="54" t="str">
        <f t="shared" ca="1" si="80"/>
        <v/>
      </c>
      <c r="AN300" s="25" t="e">
        <f t="shared" ca="1" si="90"/>
        <v>#VALUE!</v>
      </c>
      <c r="AO300" s="25" t="e">
        <f t="shared" ca="1" si="91"/>
        <v>#VALUE!</v>
      </c>
      <c r="AP300" s="39" t="str">
        <f t="shared" ca="1" si="81"/>
        <v/>
      </c>
      <c r="AQ300" s="46" t="str">
        <f ca="1">IF(AND(C300&lt;&gt;0, C301=0), SUM($C$2:C300)-SUM($AQ$1:AQ299), "")</f>
        <v/>
      </c>
      <c r="AR300" s="46" t="str">
        <f ca="1">IF(AND(AK300&lt;&gt;0, AK301=0), SUM($AK$2:AK300)-SUM($AR$1:AR299), "")</f>
        <v/>
      </c>
    </row>
    <row r="301" spans="1:44" ht="13.15" customHeight="1">
      <c r="A301" s="62"/>
      <c r="B301" s="68" t="str">
        <f t="shared" si="92"/>
        <v/>
      </c>
      <c r="C301" s="55" cm="1">
        <f t="array" aca="1" ref="C301" ca="1">SUM(IF(ISNUMBER(M301:U301),M301:U301,""))</f>
        <v>0</v>
      </c>
      <c r="D301" s="25" t="str">
        <f t="shared" si="93"/>
        <v/>
      </c>
      <c r="E301" s="25" t="e">
        <f t="shared" si="82"/>
        <v>#VALUE!</v>
      </c>
      <c r="F301" s="25" t="str">
        <f t="shared" si="94"/>
        <v/>
      </c>
      <c r="G301" s="25" t="str">
        <f t="shared" si="79"/>
        <v>.xlsx</v>
      </c>
      <c r="H301" s="29" t="e" cm="1">
        <f t="array" aca="1" ref="H301" ca="1">IF(AND(VALUE(E301)=INDIRECT("'["&amp;G301&amp;"]"&amp;E301&amp;"'!"&amp;$X$2),G301=INDIRECT("'["&amp;G301&amp;"]"&amp;E301&amp;"'!"&amp;$X$3)),INDIRECT("'["&amp;G301&amp;"]"&amp;E301&amp;"'!"&amp;$X$1),0)</f>
        <v>#VALUE!</v>
      </c>
      <c r="I301" s="25" t="str">
        <f t="shared" si="83"/>
        <v/>
      </c>
      <c r="J301" s="32" t="str">
        <f t="shared" si="84"/>
        <v/>
      </c>
      <c r="K301" s="25" t="str">
        <f t="shared" si="85"/>
        <v/>
      </c>
      <c r="L301" s="25" t="str">
        <f t="shared" si="86"/>
        <v/>
      </c>
      <c r="M301" s="33" t="e" cm="1">
        <f t="array" aca="1" ref="M301" ca="1">IF(AND(J301=INDIRECT("'["&amp;G301&amp;"]"&amp;E301&amp;"'!"&amp;$Y$2),G301=INDIRECT("'["&amp;G301&amp;"]"&amp;E301&amp;"'!"&amp;$AH$2)),INDIRECT("'["&amp;G301&amp;"]"&amp;E301&amp;"'!"&amp;$Y$3),0)</f>
        <v>#VALUE!</v>
      </c>
      <c r="N301" s="34" t="e" cm="1">
        <f t="array" aca="1" ref="N301" ca="1">IF(AND(G301=INDIRECT("'["&amp;G301&amp;"]"&amp;E301&amp;"'!"&amp;$AH$2),OR(K301=INDIRECT("'["&amp;G301&amp;"]"&amp;E301&amp;"'!"&amp;$Z$2))),INDIRECT("'["&amp;G301&amp;"]"&amp;E301&amp;"'!"&amp;$Z$3),0)</f>
        <v>#VALUE!</v>
      </c>
      <c r="O301" s="34" t="e" cm="1">
        <f t="array" aca="1" ref="O301" ca="1">IF(AND(G301=INDIRECT("'["&amp;G301&amp;"]"&amp;E301&amp;"'!"&amp;$AH$2),OR(L301=INDIRECT("'["&amp;G301&amp;"]"&amp;E301&amp;"'!"&amp;$AA$2))),INDIRECT("'["&amp;G301&amp;"]"&amp;E301&amp;"'!"&amp;$AA$3),0)</f>
        <v>#VALUE!</v>
      </c>
      <c r="P301" s="34" t="e" cm="1">
        <f t="array" aca="1" ref="P301" ca="1">IF(AND(G301=INDIRECT("'["&amp;G301&amp;"]"&amp;E301&amp;"'!"&amp;$AH$2),OR(VALUE(I301)=INDIRECT("'["&amp;G301&amp;"]"&amp;E301&amp;"'!"&amp;$AB$2))),INDIRECT("'["&amp;G301&amp;"]"&amp;E301&amp;"'!"&amp;$AB$3),0)</f>
        <v>#VALUE!</v>
      </c>
      <c r="Q301" s="34" t="e" cm="1">
        <f t="array" aca="1" ref="Q301" ca="1">IF(AND(G301=INDIRECT("'["&amp;G301&amp;"]"&amp;E301&amp;"'!"&amp;$AH$2),OR(VALUE(I301)=INDIRECT("'["&amp;G301&amp;"]"&amp;E301&amp;"'!"&amp;$AC$2))),INDIRECT("'["&amp;G301&amp;"]"&amp;E301&amp;"'!"&amp;$AC$3),0)</f>
        <v>#VALUE!</v>
      </c>
      <c r="R301" s="34" t="e" cm="1">
        <f t="array" aca="1" ref="R301" ca="1">IF(AND(G301=INDIRECT("'["&amp;G301&amp;"]"&amp;E301&amp;"'!"&amp;$AH$2),OR(I301=INDIRECT("'["&amp;G301&amp;"]"&amp;E301&amp;"'!"&amp;$AD$2))),INDIRECT("'["&amp;G301&amp;"]"&amp;E301&amp;"'!"&amp;$AD$3),0)</f>
        <v>#VALUE!</v>
      </c>
      <c r="S301" s="34" t="e" cm="1">
        <f t="array" aca="1" ref="S301" ca="1">IF(AND(G301=INDIRECT("'["&amp;G301&amp;"]"&amp;E301&amp;"'!"&amp;$AH$2),OR(I301=INDIRECT("'["&amp;G301&amp;"]"&amp;E301&amp;"'!"&amp;$AE$2))),INDIRECT("'["&amp;G301&amp;"]"&amp;E301&amp;"'!"&amp;$AE$3),0)</f>
        <v>#VALUE!</v>
      </c>
      <c r="T301" s="35" t="e" cm="1">
        <f t="array" aca="1" ref="T301" ca="1">IF(AND(G301=INDIRECT("'["&amp;G301&amp;"]"&amp;E301&amp;"'!"&amp;$AH$2),OR(I301=INDIRECT("'["&amp;G301&amp;"]"&amp;E301&amp;"'!"&amp;$AF$2))),INDIRECT("'["&amp;G301&amp;"]"&amp;E301&amp;"'!"&amp;$AF$3),0)</f>
        <v>#VALUE!</v>
      </c>
      <c r="U301" s="34" t="e" cm="1">
        <f t="array" aca="1" ref="U301" ca="1">IF(AND(G301=INDIRECT("'["&amp;G301&amp;"]"&amp;E301&amp;"'!"&amp;$AH$2),OR(I301=INDIRECT("'["&amp;G301&amp;"]"&amp;E301&amp;"'!"&amp;$AG$2))),INDIRECT("'["&amp;G301&amp;"]"&amp;E301&amp;"'!"&amp;$AG$3),0)</f>
        <v>#VALUE!</v>
      </c>
      <c r="V301" s="25" t="str">
        <f t="shared" si="87"/>
        <v/>
      </c>
      <c r="W301" s="36" t="e" cm="1">
        <f t="array" aca="1" ref="W301" ca="1">IF(AND(G301=INDIRECT("'["&amp;G301&amp;"]"&amp;E301&amp;"'!"&amp;$AH$2),OR(V301=INDIRECT("'["&amp;G301&amp;"]"&amp;E301&amp;"'!"&amp;$AI$2))),INDIRECT("'["&amp;G301&amp;"]"&amp;E301&amp;"'!"&amp;$AI$3),0)</f>
        <v>#VALUE!</v>
      </c>
      <c r="AJ301" s="25">
        <v>1</v>
      </c>
      <c r="AK301" s="38">
        <f t="shared" ca="1" si="88"/>
        <v>0</v>
      </c>
      <c r="AL301" s="38">
        <f t="shared" ca="1" si="89"/>
        <v>0</v>
      </c>
      <c r="AM301" s="54" t="str">
        <f t="shared" ca="1" si="80"/>
        <v/>
      </c>
      <c r="AN301" s="25" t="e">
        <f t="shared" ca="1" si="90"/>
        <v>#VALUE!</v>
      </c>
      <c r="AO301" s="25" t="e">
        <f t="shared" ca="1" si="91"/>
        <v>#VALUE!</v>
      </c>
      <c r="AP301" s="39" t="str">
        <f t="shared" ca="1" si="81"/>
        <v/>
      </c>
      <c r="AQ301" s="46" t="str">
        <f ca="1">IF(AND(C301&lt;&gt;0, C302=0), SUM($C$2:C301)-SUM($AQ$1:AQ300), "")</f>
        <v/>
      </c>
      <c r="AR301" s="46" t="str">
        <f ca="1">IF(AND(AK301&lt;&gt;0, AK302=0), SUM($AK$2:AK301)-SUM($AR$1:AR300), "")</f>
        <v/>
      </c>
    </row>
    <row r="302" spans="1:44" ht="13.15" customHeight="1">
      <c r="A302" s="62"/>
      <c r="B302" s="68" t="str">
        <f t="shared" si="92"/>
        <v/>
      </c>
      <c r="C302" s="55" cm="1">
        <f t="array" aca="1" ref="C302" ca="1">SUM(IF(ISNUMBER(M302:U302),M302:U302,""))</f>
        <v>0</v>
      </c>
      <c r="D302" s="25" t="str">
        <f t="shared" si="93"/>
        <v/>
      </c>
      <c r="E302" s="25" t="e">
        <f t="shared" si="82"/>
        <v>#VALUE!</v>
      </c>
      <c r="F302" s="25" t="str">
        <f t="shared" si="94"/>
        <v/>
      </c>
      <c r="G302" s="25" t="str">
        <f t="shared" si="79"/>
        <v>.xlsx</v>
      </c>
      <c r="H302" s="29" t="e" cm="1">
        <f t="array" aca="1" ref="H302" ca="1">IF(AND(VALUE(E302)=INDIRECT("'["&amp;G302&amp;"]"&amp;E302&amp;"'!"&amp;$X$2),G302=INDIRECT("'["&amp;G302&amp;"]"&amp;E302&amp;"'!"&amp;$X$3)),INDIRECT("'["&amp;G302&amp;"]"&amp;E302&amp;"'!"&amp;$X$1),0)</f>
        <v>#VALUE!</v>
      </c>
      <c r="I302" s="25" t="str">
        <f t="shared" si="83"/>
        <v/>
      </c>
      <c r="J302" s="32" t="str">
        <f t="shared" si="84"/>
        <v/>
      </c>
      <c r="K302" s="25" t="str">
        <f t="shared" si="85"/>
        <v/>
      </c>
      <c r="L302" s="25" t="str">
        <f t="shared" si="86"/>
        <v/>
      </c>
      <c r="M302" s="33" t="e" cm="1">
        <f t="array" aca="1" ref="M302" ca="1">IF(AND(J302=INDIRECT("'["&amp;G302&amp;"]"&amp;E302&amp;"'!"&amp;$Y$2),G302=INDIRECT("'["&amp;G302&amp;"]"&amp;E302&amp;"'!"&amp;$AH$2)),INDIRECT("'["&amp;G302&amp;"]"&amp;E302&amp;"'!"&amp;$Y$3),0)</f>
        <v>#VALUE!</v>
      </c>
      <c r="N302" s="34" t="e" cm="1">
        <f t="array" aca="1" ref="N302" ca="1">IF(AND(G302=INDIRECT("'["&amp;G302&amp;"]"&amp;E302&amp;"'!"&amp;$AH$2),OR(K302=INDIRECT("'["&amp;G302&amp;"]"&amp;E302&amp;"'!"&amp;$Z$2))),INDIRECT("'["&amp;G302&amp;"]"&amp;E302&amp;"'!"&amp;$Z$3),0)</f>
        <v>#VALUE!</v>
      </c>
      <c r="O302" s="34" t="e" cm="1">
        <f t="array" aca="1" ref="O302" ca="1">IF(AND(G302=INDIRECT("'["&amp;G302&amp;"]"&amp;E302&amp;"'!"&amp;$AH$2),OR(L302=INDIRECT("'["&amp;G302&amp;"]"&amp;E302&amp;"'!"&amp;$AA$2))),INDIRECT("'["&amp;G302&amp;"]"&amp;E302&amp;"'!"&amp;$AA$3),0)</f>
        <v>#VALUE!</v>
      </c>
      <c r="P302" s="34" t="e" cm="1">
        <f t="array" aca="1" ref="P302" ca="1">IF(AND(G302=INDIRECT("'["&amp;G302&amp;"]"&amp;E302&amp;"'!"&amp;$AH$2),OR(VALUE(I302)=INDIRECT("'["&amp;G302&amp;"]"&amp;E302&amp;"'!"&amp;$AB$2))),INDIRECT("'["&amp;G302&amp;"]"&amp;E302&amp;"'!"&amp;$AB$3),0)</f>
        <v>#VALUE!</v>
      </c>
      <c r="Q302" s="34" t="e" cm="1">
        <f t="array" aca="1" ref="Q302" ca="1">IF(AND(G302=INDIRECT("'["&amp;G302&amp;"]"&amp;E302&amp;"'!"&amp;$AH$2),OR(VALUE(I302)=INDIRECT("'["&amp;G302&amp;"]"&amp;E302&amp;"'!"&amp;$AC$2))),INDIRECT("'["&amp;G302&amp;"]"&amp;E302&amp;"'!"&amp;$AC$3),0)</f>
        <v>#VALUE!</v>
      </c>
      <c r="R302" s="34" t="e" cm="1">
        <f t="array" aca="1" ref="R302" ca="1">IF(AND(G302=INDIRECT("'["&amp;G302&amp;"]"&amp;E302&amp;"'!"&amp;$AH$2),OR(I302=INDIRECT("'["&amp;G302&amp;"]"&amp;E302&amp;"'!"&amp;$AD$2))),INDIRECT("'["&amp;G302&amp;"]"&amp;E302&amp;"'!"&amp;$AD$3),0)</f>
        <v>#VALUE!</v>
      </c>
      <c r="S302" s="34" t="e" cm="1">
        <f t="array" aca="1" ref="S302" ca="1">IF(AND(G302=INDIRECT("'["&amp;G302&amp;"]"&amp;E302&amp;"'!"&amp;$AH$2),OR(I302=INDIRECT("'["&amp;G302&amp;"]"&amp;E302&amp;"'!"&amp;$AE$2))),INDIRECT("'["&amp;G302&amp;"]"&amp;E302&amp;"'!"&amp;$AE$3),0)</f>
        <v>#VALUE!</v>
      </c>
      <c r="T302" s="35" t="e" cm="1">
        <f t="array" aca="1" ref="T302" ca="1">IF(AND(G302=INDIRECT("'["&amp;G302&amp;"]"&amp;E302&amp;"'!"&amp;$AH$2),OR(I302=INDIRECT("'["&amp;G302&amp;"]"&amp;E302&amp;"'!"&amp;$AF$2))),INDIRECT("'["&amp;G302&amp;"]"&amp;E302&amp;"'!"&amp;$AF$3),0)</f>
        <v>#VALUE!</v>
      </c>
      <c r="U302" s="34" t="e" cm="1">
        <f t="array" aca="1" ref="U302" ca="1">IF(AND(G302=INDIRECT("'["&amp;G302&amp;"]"&amp;E302&amp;"'!"&amp;$AH$2),OR(I302=INDIRECT("'["&amp;G302&amp;"]"&amp;E302&amp;"'!"&amp;$AG$2))),INDIRECT("'["&amp;G302&amp;"]"&amp;E302&amp;"'!"&amp;$AG$3),0)</f>
        <v>#VALUE!</v>
      </c>
      <c r="V302" s="25" t="str">
        <f t="shared" si="87"/>
        <v/>
      </c>
      <c r="W302" s="36" t="e" cm="1">
        <f t="array" aca="1" ref="W302" ca="1">IF(AND(G302=INDIRECT("'["&amp;G302&amp;"]"&amp;E302&amp;"'!"&amp;$AH$2),OR(V302=INDIRECT("'["&amp;G302&amp;"]"&amp;E302&amp;"'!"&amp;$AI$2))),INDIRECT("'["&amp;G302&amp;"]"&amp;E302&amp;"'!"&amp;$AI$3),0)</f>
        <v>#VALUE!</v>
      </c>
      <c r="AJ302" s="25">
        <v>1</v>
      </c>
      <c r="AK302" s="38">
        <f t="shared" ca="1" si="88"/>
        <v>0</v>
      </c>
      <c r="AL302" s="38">
        <f t="shared" ca="1" si="89"/>
        <v>0</v>
      </c>
      <c r="AM302" s="54" t="str">
        <f t="shared" ca="1" si="80"/>
        <v/>
      </c>
      <c r="AN302" s="25" t="e">
        <f t="shared" ca="1" si="90"/>
        <v>#VALUE!</v>
      </c>
      <c r="AO302" s="25" t="e">
        <f t="shared" ca="1" si="91"/>
        <v>#VALUE!</v>
      </c>
      <c r="AP302" s="39" t="str">
        <f t="shared" ca="1" si="81"/>
        <v/>
      </c>
      <c r="AQ302" s="46" t="str">
        <f ca="1">IF(AND(C302&lt;&gt;0, C303=0), SUM($C$2:C302)-SUM($AQ$1:AQ301), "")</f>
        <v/>
      </c>
      <c r="AR302" s="46" t="str">
        <f ca="1">IF(AND(AK302&lt;&gt;0, AK303=0), SUM($AK$2:AK302)-SUM($AR$1:AR301), "")</f>
        <v/>
      </c>
    </row>
    <row r="303" spans="1:44" ht="13.15" customHeight="1">
      <c r="A303" s="62"/>
      <c r="B303" s="68" t="str">
        <f t="shared" si="92"/>
        <v/>
      </c>
      <c r="C303" s="55" cm="1">
        <f t="array" aca="1" ref="C303" ca="1">SUM(IF(ISNUMBER(M303:U303),M303:U303,""))</f>
        <v>0</v>
      </c>
      <c r="D303" s="25" t="str">
        <f t="shared" si="93"/>
        <v/>
      </c>
      <c r="E303" s="25" t="e">
        <f t="shared" si="82"/>
        <v>#VALUE!</v>
      </c>
      <c r="F303" s="25" t="str">
        <f t="shared" si="94"/>
        <v/>
      </c>
      <c r="G303" s="25" t="str">
        <f t="shared" si="79"/>
        <v>.xlsx</v>
      </c>
      <c r="H303" s="29" t="e" cm="1">
        <f t="array" aca="1" ref="H303" ca="1">IF(AND(VALUE(E303)=INDIRECT("'["&amp;G303&amp;"]"&amp;E303&amp;"'!"&amp;$X$2),G303=INDIRECT("'["&amp;G303&amp;"]"&amp;E303&amp;"'!"&amp;$X$3)),INDIRECT("'["&amp;G303&amp;"]"&amp;E303&amp;"'!"&amp;$X$1),0)</f>
        <v>#VALUE!</v>
      </c>
      <c r="I303" s="25" t="str">
        <f t="shared" si="83"/>
        <v/>
      </c>
      <c r="J303" s="32" t="str">
        <f t="shared" si="84"/>
        <v/>
      </c>
      <c r="K303" s="25" t="str">
        <f t="shared" si="85"/>
        <v/>
      </c>
      <c r="L303" s="25" t="str">
        <f t="shared" si="86"/>
        <v/>
      </c>
      <c r="M303" s="33" t="e" cm="1">
        <f t="array" aca="1" ref="M303" ca="1">IF(AND(J303=INDIRECT("'["&amp;G303&amp;"]"&amp;E303&amp;"'!"&amp;$Y$2),G303=INDIRECT("'["&amp;G303&amp;"]"&amp;E303&amp;"'!"&amp;$AH$2)),INDIRECT("'["&amp;G303&amp;"]"&amp;E303&amp;"'!"&amp;$Y$3),0)</f>
        <v>#VALUE!</v>
      </c>
      <c r="N303" s="34" t="e" cm="1">
        <f t="array" aca="1" ref="N303" ca="1">IF(AND(G303=INDIRECT("'["&amp;G303&amp;"]"&amp;E303&amp;"'!"&amp;$AH$2),OR(K303=INDIRECT("'["&amp;G303&amp;"]"&amp;E303&amp;"'!"&amp;$Z$2))),INDIRECT("'["&amp;G303&amp;"]"&amp;E303&amp;"'!"&amp;$Z$3),0)</f>
        <v>#VALUE!</v>
      </c>
      <c r="O303" s="34" t="e" cm="1">
        <f t="array" aca="1" ref="O303" ca="1">IF(AND(G303=INDIRECT("'["&amp;G303&amp;"]"&amp;E303&amp;"'!"&amp;$AH$2),OR(L303=INDIRECT("'["&amp;G303&amp;"]"&amp;E303&amp;"'!"&amp;$AA$2))),INDIRECT("'["&amp;G303&amp;"]"&amp;E303&amp;"'!"&amp;$AA$3),0)</f>
        <v>#VALUE!</v>
      </c>
      <c r="P303" s="34" t="e" cm="1">
        <f t="array" aca="1" ref="P303" ca="1">IF(AND(G303=INDIRECT("'["&amp;G303&amp;"]"&amp;E303&amp;"'!"&amp;$AH$2),OR(VALUE(I303)=INDIRECT("'["&amp;G303&amp;"]"&amp;E303&amp;"'!"&amp;$AB$2))),INDIRECT("'["&amp;G303&amp;"]"&amp;E303&amp;"'!"&amp;$AB$3),0)</f>
        <v>#VALUE!</v>
      </c>
      <c r="Q303" s="34" t="e" cm="1">
        <f t="array" aca="1" ref="Q303" ca="1">IF(AND(G303=INDIRECT("'["&amp;G303&amp;"]"&amp;E303&amp;"'!"&amp;$AH$2),OR(VALUE(I303)=INDIRECT("'["&amp;G303&amp;"]"&amp;E303&amp;"'!"&amp;$AC$2))),INDIRECT("'["&amp;G303&amp;"]"&amp;E303&amp;"'!"&amp;$AC$3),0)</f>
        <v>#VALUE!</v>
      </c>
      <c r="R303" s="34" t="e" cm="1">
        <f t="array" aca="1" ref="R303" ca="1">IF(AND(G303=INDIRECT("'["&amp;G303&amp;"]"&amp;E303&amp;"'!"&amp;$AH$2),OR(I303=INDIRECT("'["&amp;G303&amp;"]"&amp;E303&amp;"'!"&amp;$AD$2))),INDIRECT("'["&amp;G303&amp;"]"&amp;E303&amp;"'!"&amp;$AD$3),0)</f>
        <v>#VALUE!</v>
      </c>
      <c r="S303" s="34" t="e" cm="1">
        <f t="array" aca="1" ref="S303" ca="1">IF(AND(G303=INDIRECT("'["&amp;G303&amp;"]"&amp;E303&amp;"'!"&amp;$AH$2),OR(I303=INDIRECT("'["&amp;G303&amp;"]"&amp;E303&amp;"'!"&amp;$AE$2))),INDIRECT("'["&amp;G303&amp;"]"&amp;E303&amp;"'!"&amp;$AE$3),0)</f>
        <v>#VALUE!</v>
      </c>
      <c r="T303" s="35" t="e" cm="1">
        <f t="array" aca="1" ref="T303" ca="1">IF(AND(G303=INDIRECT("'["&amp;G303&amp;"]"&amp;E303&amp;"'!"&amp;$AH$2),OR(I303=INDIRECT("'["&amp;G303&amp;"]"&amp;E303&amp;"'!"&amp;$AF$2))),INDIRECT("'["&amp;G303&amp;"]"&amp;E303&amp;"'!"&amp;$AF$3),0)</f>
        <v>#VALUE!</v>
      </c>
      <c r="U303" s="34" t="e" cm="1">
        <f t="array" aca="1" ref="U303" ca="1">IF(AND(G303=INDIRECT("'["&amp;G303&amp;"]"&amp;E303&amp;"'!"&amp;$AH$2),OR(I303=INDIRECT("'["&amp;G303&amp;"]"&amp;E303&amp;"'!"&amp;$AG$2))),INDIRECT("'["&amp;G303&amp;"]"&amp;E303&amp;"'!"&amp;$AG$3),0)</f>
        <v>#VALUE!</v>
      </c>
      <c r="V303" s="25" t="str">
        <f t="shared" si="87"/>
        <v/>
      </c>
      <c r="W303" s="36" t="e" cm="1">
        <f t="array" aca="1" ref="W303" ca="1">IF(AND(G303=INDIRECT("'["&amp;G303&amp;"]"&amp;E303&amp;"'!"&amp;$AH$2),OR(V303=INDIRECT("'["&amp;G303&amp;"]"&amp;E303&amp;"'!"&amp;$AI$2))),INDIRECT("'["&amp;G303&amp;"]"&amp;E303&amp;"'!"&amp;$AI$3),0)</f>
        <v>#VALUE!</v>
      </c>
      <c r="AJ303" s="25">
        <v>1</v>
      </c>
      <c r="AK303" s="38">
        <f t="shared" ca="1" si="88"/>
        <v>0</v>
      </c>
      <c r="AL303" s="38">
        <f t="shared" ca="1" si="89"/>
        <v>0</v>
      </c>
      <c r="AM303" s="54" t="str">
        <f t="shared" ca="1" si="80"/>
        <v/>
      </c>
      <c r="AN303" s="25" t="e">
        <f t="shared" ca="1" si="90"/>
        <v>#VALUE!</v>
      </c>
      <c r="AO303" s="25" t="e">
        <f t="shared" ca="1" si="91"/>
        <v>#VALUE!</v>
      </c>
      <c r="AP303" s="39" t="str">
        <f t="shared" ca="1" si="81"/>
        <v/>
      </c>
      <c r="AQ303" s="46" t="str">
        <f ca="1">IF(AND(C303&lt;&gt;0, C304=0), SUM($C$2:C303)-SUM($AQ$1:AQ302), "")</f>
        <v/>
      </c>
      <c r="AR303" s="46" t="str">
        <f ca="1">IF(AND(AK303&lt;&gt;0, AK304=0), SUM($AK$2:AK303)-SUM($AR$1:AR302), "")</f>
        <v/>
      </c>
    </row>
    <row r="304" spans="1:44" ht="13.15" customHeight="1">
      <c r="A304" s="62"/>
      <c r="B304" s="68" t="str">
        <f t="shared" si="92"/>
        <v/>
      </c>
      <c r="C304" s="55" cm="1">
        <f t="array" aca="1" ref="C304" ca="1">SUM(IF(ISNUMBER(M304:U304),M304:U304,""))</f>
        <v>0</v>
      </c>
      <c r="D304" s="25" t="str">
        <f t="shared" si="93"/>
        <v/>
      </c>
      <c r="E304" s="25" t="e">
        <f t="shared" si="82"/>
        <v>#VALUE!</v>
      </c>
      <c r="F304" s="25" t="str">
        <f t="shared" si="94"/>
        <v/>
      </c>
      <c r="G304" s="25" t="str">
        <f t="shared" si="79"/>
        <v>.xlsx</v>
      </c>
      <c r="H304" s="29" t="e" cm="1">
        <f t="array" aca="1" ref="H304" ca="1">IF(AND(VALUE(E304)=INDIRECT("'["&amp;G304&amp;"]"&amp;E304&amp;"'!"&amp;$X$2),G304=INDIRECT("'["&amp;G304&amp;"]"&amp;E304&amp;"'!"&amp;$X$3)),INDIRECT("'["&amp;G304&amp;"]"&amp;E304&amp;"'!"&amp;$X$1),0)</f>
        <v>#VALUE!</v>
      </c>
      <c r="I304" s="25" t="str">
        <f t="shared" si="83"/>
        <v/>
      </c>
      <c r="J304" s="32" t="str">
        <f t="shared" si="84"/>
        <v/>
      </c>
      <c r="K304" s="25" t="str">
        <f t="shared" si="85"/>
        <v/>
      </c>
      <c r="L304" s="25" t="str">
        <f t="shared" si="86"/>
        <v/>
      </c>
      <c r="M304" s="33" t="e" cm="1">
        <f t="array" aca="1" ref="M304" ca="1">IF(AND(J304=INDIRECT("'["&amp;G304&amp;"]"&amp;E304&amp;"'!"&amp;$Y$2),G304=INDIRECT("'["&amp;G304&amp;"]"&amp;E304&amp;"'!"&amp;$AH$2)),INDIRECT("'["&amp;G304&amp;"]"&amp;E304&amp;"'!"&amp;$Y$3),0)</f>
        <v>#VALUE!</v>
      </c>
      <c r="N304" s="34" t="e" cm="1">
        <f t="array" aca="1" ref="N304" ca="1">IF(AND(G304=INDIRECT("'["&amp;G304&amp;"]"&amp;E304&amp;"'!"&amp;$AH$2),OR(K304=INDIRECT("'["&amp;G304&amp;"]"&amp;E304&amp;"'!"&amp;$Z$2))),INDIRECT("'["&amp;G304&amp;"]"&amp;E304&amp;"'!"&amp;$Z$3),0)</f>
        <v>#VALUE!</v>
      </c>
      <c r="O304" s="34" t="e" cm="1">
        <f t="array" aca="1" ref="O304" ca="1">IF(AND(G304=INDIRECT("'["&amp;G304&amp;"]"&amp;E304&amp;"'!"&amp;$AH$2),OR(L304=INDIRECT("'["&amp;G304&amp;"]"&amp;E304&amp;"'!"&amp;$AA$2))),INDIRECT("'["&amp;G304&amp;"]"&amp;E304&amp;"'!"&amp;$AA$3),0)</f>
        <v>#VALUE!</v>
      </c>
      <c r="P304" s="34" t="e" cm="1">
        <f t="array" aca="1" ref="P304" ca="1">IF(AND(G304=INDIRECT("'["&amp;G304&amp;"]"&amp;E304&amp;"'!"&amp;$AH$2),OR(VALUE(I304)=INDIRECT("'["&amp;G304&amp;"]"&amp;E304&amp;"'!"&amp;$AB$2))),INDIRECT("'["&amp;G304&amp;"]"&amp;E304&amp;"'!"&amp;$AB$3),0)</f>
        <v>#VALUE!</v>
      </c>
      <c r="Q304" s="34" t="e" cm="1">
        <f t="array" aca="1" ref="Q304" ca="1">IF(AND(G304=INDIRECT("'["&amp;G304&amp;"]"&amp;E304&amp;"'!"&amp;$AH$2),OR(VALUE(I304)=INDIRECT("'["&amp;G304&amp;"]"&amp;E304&amp;"'!"&amp;$AC$2))),INDIRECT("'["&amp;G304&amp;"]"&amp;E304&amp;"'!"&amp;$AC$3),0)</f>
        <v>#VALUE!</v>
      </c>
      <c r="R304" s="34" t="e" cm="1">
        <f t="array" aca="1" ref="R304" ca="1">IF(AND(G304=INDIRECT("'["&amp;G304&amp;"]"&amp;E304&amp;"'!"&amp;$AH$2),OR(I304=INDIRECT("'["&amp;G304&amp;"]"&amp;E304&amp;"'!"&amp;$AD$2))),INDIRECT("'["&amp;G304&amp;"]"&amp;E304&amp;"'!"&amp;$AD$3),0)</f>
        <v>#VALUE!</v>
      </c>
      <c r="S304" s="34" t="e" cm="1">
        <f t="array" aca="1" ref="S304" ca="1">IF(AND(G304=INDIRECT("'["&amp;G304&amp;"]"&amp;E304&amp;"'!"&amp;$AH$2),OR(I304=INDIRECT("'["&amp;G304&amp;"]"&amp;E304&amp;"'!"&amp;$AE$2))),INDIRECT("'["&amp;G304&amp;"]"&amp;E304&amp;"'!"&amp;$AE$3),0)</f>
        <v>#VALUE!</v>
      </c>
      <c r="T304" s="35" t="e" cm="1">
        <f t="array" aca="1" ref="T304" ca="1">IF(AND(G304=INDIRECT("'["&amp;G304&amp;"]"&amp;E304&amp;"'!"&amp;$AH$2),OR(I304=INDIRECT("'["&amp;G304&amp;"]"&amp;E304&amp;"'!"&amp;$AF$2))),INDIRECT("'["&amp;G304&amp;"]"&amp;E304&amp;"'!"&amp;$AF$3),0)</f>
        <v>#VALUE!</v>
      </c>
      <c r="U304" s="34" t="e" cm="1">
        <f t="array" aca="1" ref="U304" ca="1">IF(AND(G304=INDIRECT("'["&amp;G304&amp;"]"&amp;E304&amp;"'!"&amp;$AH$2),OR(I304=INDIRECT("'["&amp;G304&amp;"]"&amp;E304&amp;"'!"&amp;$AG$2))),INDIRECT("'["&amp;G304&amp;"]"&amp;E304&amp;"'!"&amp;$AG$3),0)</f>
        <v>#VALUE!</v>
      </c>
      <c r="V304" s="25" t="str">
        <f t="shared" si="87"/>
        <v/>
      </c>
      <c r="W304" s="36" t="e" cm="1">
        <f t="array" aca="1" ref="W304" ca="1">IF(AND(G304=INDIRECT("'["&amp;G304&amp;"]"&amp;E304&amp;"'!"&amp;$AH$2),OR(V304=INDIRECT("'["&amp;G304&amp;"]"&amp;E304&amp;"'!"&amp;$AI$2))),INDIRECT("'["&amp;G304&amp;"]"&amp;E304&amp;"'!"&amp;$AI$3),0)</f>
        <v>#VALUE!</v>
      </c>
      <c r="AJ304" s="25">
        <v>1</v>
      </c>
      <c r="AK304" s="38">
        <f t="shared" ca="1" si="88"/>
        <v>0</v>
      </c>
      <c r="AL304" s="38">
        <f t="shared" ca="1" si="89"/>
        <v>0</v>
      </c>
      <c r="AM304" s="54" t="str">
        <f t="shared" ca="1" si="80"/>
        <v/>
      </c>
      <c r="AN304" s="25" t="e">
        <f t="shared" ca="1" si="90"/>
        <v>#VALUE!</v>
      </c>
      <c r="AO304" s="25" t="e">
        <f t="shared" ca="1" si="91"/>
        <v>#VALUE!</v>
      </c>
      <c r="AP304" s="39" t="str">
        <f t="shared" ca="1" si="81"/>
        <v/>
      </c>
      <c r="AQ304" s="46" t="str">
        <f ca="1">IF(AND(C304&lt;&gt;0, C305=0), SUM($C$2:C304)-SUM($AQ$1:AQ303), "")</f>
        <v/>
      </c>
      <c r="AR304" s="46" t="str">
        <f ca="1">IF(AND(AK304&lt;&gt;0, AK305=0), SUM($AK$2:AK304)-SUM($AR$1:AR303), "")</f>
        <v/>
      </c>
    </row>
    <row r="305" spans="1:46" ht="13.15" customHeight="1">
      <c r="A305" s="62"/>
      <c r="B305" s="68" t="str">
        <f t="shared" si="92"/>
        <v/>
      </c>
      <c r="C305" s="55" cm="1">
        <f t="array" aca="1" ref="C305" ca="1">SUM(IF(ISNUMBER(M305:U305),M305:U305,""))</f>
        <v>0</v>
      </c>
      <c r="D305" s="25" t="str">
        <f t="shared" si="93"/>
        <v/>
      </c>
      <c r="E305" s="25" t="e">
        <f t="shared" si="82"/>
        <v>#VALUE!</v>
      </c>
      <c r="F305" s="25" t="str">
        <f t="shared" si="94"/>
        <v/>
      </c>
      <c r="G305" s="25" t="str">
        <f t="shared" si="79"/>
        <v>.xlsx</v>
      </c>
      <c r="H305" s="29" t="e" cm="1">
        <f t="array" aca="1" ref="H305" ca="1">IF(AND(VALUE(E305)=INDIRECT("'["&amp;G305&amp;"]"&amp;E305&amp;"'!"&amp;$X$2),G305=INDIRECT("'["&amp;G305&amp;"]"&amp;E305&amp;"'!"&amp;$X$3)),INDIRECT("'["&amp;G305&amp;"]"&amp;E305&amp;"'!"&amp;$X$1),0)</f>
        <v>#VALUE!</v>
      </c>
      <c r="I305" s="25" t="str">
        <f t="shared" si="83"/>
        <v/>
      </c>
      <c r="J305" s="32" t="str">
        <f t="shared" si="84"/>
        <v/>
      </c>
      <c r="K305" s="25" t="str">
        <f t="shared" si="85"/>
        <v/>
      </c>
      <c r="L305" s="25" t="str">
        <f t="shared" si="86"/>
        <v/>
      </c>
      <c r="M305" s="33" t="e" cm="1">
        <f t="array" aca="1" ref="M305" ca="1">IF(AND(J305=INDIRECT("'["&amp;G305&amp;"]"&amp;E305&amp;"'!"&amp;$Y$2),G305=INDIRECT("'["&amp;G305&amp;"]"&amp;E305&amp;"'!"&amp;$AH$2)),INDIRECT("'["&amp;G305&amp;"]"&amp;E305&amp;"'!"&amp;$Y$3),0)</f>
        <v>#VALUE!</v>
      </c>
      <c r="N305" s="34" t="e" cm="1">
        <f t="array" aca="1" ref="N305" ca="1">IF(AND(G305=INDIRECT("'["&amp;G305&amp;"]"&amp;E305&amp;"'!"&amp;$AH$2),OR(K305=INDIRECT("'["&amp;G305&amp;"]"&amp;E305&amp;"'!"&amp;$Z$2))),INDIRECT("'["&amp;G305&amp;"]"&amp;E305&amp;"'!"&amp;$Z$3),0)</f>
        <v>#VALUE!</v>
      </c>
      <c r="O305" s="34" t="e" cm="1">
        <f t="array" aca="1" ref="O305" ca="1">IF(AND(G305=INDIRECT("'["&amp;G305&amp;"]"&amp;E305&amp;"'!"&amp;$AH$2),OR(L305=INDIRECT("'["&amp;G305&amp;"]"&amp;E305&amp;"'!"&amp;$AA$2))),INDIRECT("'["&amp;G305&amp;"]"&amp;E305&amp;"'!"&amp;$AA$3),0)</f>
        <v>#VALUE!</v>
      </c>
      <c r="P305" s="34" t="e" cm="1">
        <f t="array" aca="1" ref="P305" ca="1">IF(AND(G305=INDIRECT("'["&amp;G305&amp;"]"&amp;E305&amp;"'!"&amp;$AH$2),OR(VALUE(I305)=INDIRECT("'["&amp;G305&amp;"]"&amp;E305&amp;"'!"&amp;$AB$2))),INDIRECT("'["&amp;G305&amp;"]"&amp;E305&amp;"'!"&amp;$AB$3),0)</f>
        <v>#VALUE!</v>
      </c>
      <c r="Q305" s="34" t="e" cm="1">
        <f t="array" aca="1" ref="Q305" ca="1">IF(AND(G305=INDIRECT("'["&amp;G305&amp;"]"&amp;E305&amp;"'!"&amp;$AH$2),OR(VALUE(I305)=INDIRECT("'["&amp;G305&amp;"]"&amp;E305&amp;"'!"&amp;$AC$2))),INDIRECT("'["&amp;G305&amp;"]"&amp;E305&amp;"'!"&amp;$AC$3),0)</f>
        <v>#VALUE!</v>
      </c>
      <c r="R305" s="34" t="e" cm="1">
        <f t="array" aca="1" ref="R305" ca="1">IF(AND(G305=INDIRECT("'["&amp;G305&amp;"]"&amp;E305&amp;"'!"&amp;$AH$2),OR(I305=INDIRECT("'["&amp;G305&amp;"]"&amp;E305&amp;"'!"&amp;$AD$2))),INDIRECT("'["&amp;G305&amp;"]"&amp;E305&amp;"'!"&amp;$AD$3),0)</f>
        <v>#VALUE!</v>
      </c>
      <c r="S305" s="34" t="e" cm="1">
        <f t="array" aca="1" ref="S305" ca="1">IF(AND(G305=INDIRECT("'["&amp;G305&amp;"]"&amp;E305&amp;"'!"&amp;$AH$2),OR(I305=INDIRECT("'["&amp;G305&amp;"]"&amp;E305&amp;"'!"&amp;$AE$2))),INDIRECT("'["&amp;G305&amp;"]"&amp;E305&amp;"'!"&amp;$AE$3),0)</f>
        <v>#VALUE!</v>
      </c>
      <c r="T305" s="35" t="e" cm="1">
        <f t="array" aca="1" ref="T305" ca="1">IF(AND(G305=INDIRECT("'["&amp;G305&amp;"]"&amp;E305&amp;"'!"&amp;$AH$2),OR(I305=INDIRECT("'["&amp;G305&amp;"]"&amp;E305&amp;"'!"&amp;$AF$2))),INDIRECT("'["&amp;G305&amp;"]"&amp;E305&amp;"'!"&amp;$AF$3),0)</f>
        <v>#VALUE!</v>
      </c>
      <c r="U305" s="34" t="e" cm="1">
        <f t="array" aca="1" ref="U305" ca="1">IF(AND(G305=INDIRECT("'["&amp;G305&amp;"]"&amp;E305&amp;"'!"&amp;$AH$2),OR(I305=INDIRECT("'["&amp;G305&amp;"]"&amp;E305&amp;"'!"&amp;$AG$2))),INDIRECT("'["&amp;G305&amp;"]"&amp;E305&amp;"'!"&amp;$AG$3),0)</f>
        <v>#VALUE!</v>
      </c>
      <c r="V305" s="25" t="str">
        <f t="shared" si="87"/>
        <v/>
      </c>
      <c r="W305" s="36" t="e" cm="1">
        <f t="array" aca="1" ref="W305" ca="1">IF(AND(G305=INDIRECT("'["&amp;G305&amp;"]"&amp;E305&amp;"'!"&amp;$AH$2),OR(V305=INDIRECT("'["&amp;G305&amp;"]"&amp;E305&amp;"'!"&amp;$AI$2))),INDIRECT("'["&amp;G305&amp;"]"&amp;E305&amp;"'!"&amp;$AI$3),0)</f>
        <v>#VALUE!</v>
      </c>
      <c r="AJ305" s="25">
        <v>1</v>
      </c>
      <c r="AK305" s="38">
        <f t="shared" ca="1" si="88"/>
        <v>0</v>
      </c>
      <c r="AL305" s="38">
        <f t="shared" ca="1" si="89"/>
        <v>0</v>
      </c>
      <c r="AM305" s="54" t="str">
        <f t="shared" ca="1" si="80"/>
        <v/>
      </c>
      <c r="AN305" s="25" t="e">
        <f t="shared" ca="1" si="90"/>
        <v>#VALUE!</v>
      </c>
      <c r="AO305" s="25" t="e">
        <f t="shared" ca="1" si="91"/>
        <v>#VALUE!</v>
      </c>
      <c r="AP305" s="39" t="str">
        <f t="shared" ca="1" si="81"/>
        <v/>
      </c>
      <c r="AQ305" s="46" t="str">
        <f ca="1">IF(AND(C305&lt;&gt;0, C306=0), SUM($C$2:C305)-SUM($AQ$1:AQ304), "")</f>
        <v/>
      </c>
      <c r="AR305" s="46" t="str">
        <f ca="1">IF(AND(AK305&lt;&gt;0, AK306=0), SUM($AK$2:AK305)-SUM($AR$1:AR304), "")</f>
        <v/>
      </c>
    </row>
    <row r="306" spans="1:46" ht="13.15" customHeight="1">
      <c r="A306" s="62"/>
      <c r="B306" s="68" t="str">
        <f t="shared" si="92"/>
        <v/>
      </c>
      <c r="C306" s="55" cm="1">
        <f t="array" aca="1" ref="C306" ca="1">SUM(IF(ISNUMBER(M306:U306),M306:U306,""))</f>
        <v>0</v>
      </c>
      <c r="D306" s="25" t="str">
        <f t="shared" si="93"/>
        <v/>
      </c>
      <c r="E306" s="25" t="e">
        <f t="shared" si="82"/>
        <v>#VALUE!</v>
      </c>
      <c r="F306" s="25" t="str">
        <f t="shared" si="94"/>
        <v/>
      </c>
      <c r="G306" s="25" t="str">
        <f t="shared" si="79"/>
        <v>.xlsx</v>
      </c>
      <c r="H306" s="29" t="e" cm="1">
        <f t="array" aca="1" ref="H306" ca="1">IF(AND(VALUE(E306)=INDIRECT("'["&amp;G306&amp;"]"&amp;E306&amp;"'!"&amp;$X$2),G306=INDIRECT("'["&amp;G306&amp;"]"&amp;E306&amp;"'!"&amp;$X$3)),INDIRECT("'["&amp;G306&amp;"]"&amp;E306&amp;"'!"&amp;$X$1),0)</f>
        <v>#VALUE!</v>
      </c>
      <c r="I306" s="25" t="str">
        <f t="shared" si="83"/>
        <v/>
      </c>
      <c r="J306" s="32" t="str">
        <f t="shared" si="84"/>
        <v/>
      </c>
      <c r="K306" s="25" t="str">
        <f t="shared" si="85"/>
        <v/>
      </c>
      <c r="L306" s="25" t="str">
        <f t="shared" si="86"/>
        <v/>
      </c>
      <c r="M306" s="33" t="e" cm="1">
        <f t="array" aca="1" ref="M306" ca="1">IF(AND(J306=INDIRECT("'["&amp;G306&amp;"]"&amp;E306&amp;"'!"&amp;$Y$2),G306=INDIRECT("'["&amp;G306&amp;"]"&amp;E306&amp;"'!"&amp;$AH$2)),INDIRECT("'["&amp;G306&amp;"]"&amp;E306&amp;"'!"&amp;$Y$3),0)</f>
        <v>#VALUE!</v>
      </c>
      <c r="N306" s="34" t="e" cm="1">
        <f t="array" aca="1" ref="N306" ca="1">IF(AND(G306=INDIRECT("'["&amp;G306&amp;"]"&amp;E306&amp;"'!"&amp;$AH$2),OR(K306=INDIRECT("'["&amp;G306&amp;"]"&amp;E306&amp;"'!"&amp;$Z$2))),INDIRECT("'["&amp;G306&amp;"]"&amp;E306&amp;"'!"&amp;$Z$3),0)</f>
        <v>#VALUE!</v>
      </c>
      <c r="O306" s="34" t="e" cm="1">
        <f t="array" aca="1" ref="O306" ca="1">IF(AND(G306=INDIRECT("'["&amp;G306&amp;"]"&amp;E306&amp;"'!"&amp;$AH$2),OR(L306=INDIRECT("'["&amp;G306&amp;"]"&amp;E306&amp;"'!"&amp;$AA$2))),INDIRECT("'["&amp;G306&amp;"]"&amp;E306&amp;"'!"&amp;$AA$3),0)</f>
        <v>#VALUE!</v>
      </c>
      <c r="P306" s="34" t="e" cm="1">
        <f t="array" aca="1" ref="P306" ca="1">IF(AND(G306=INDIRECT("'["&amp;G306&amp;"]"&amp;E306&amp;"'!"&amp;$AH$2),OR(VALUE(I306)=INDIRECT("'["&amp;G306&amp;"]"&amp;E306&amp;"'!"&amp;$AB$2))),INDIRECT("'["&amp;G306&amp;"]"&amp;E306&amp;"'!"&amp;$AB$3),0)</f>
        <v>#VALUE!</v>
      </c>
      <c r="Q306" s="34" t="e" cm="1">
        <f t="array" aca="1" ref="Q306" ca="1">IF(AND(G306=INDIRECT("'["&amp;G306&amp;"]"&amp;E306&amp;"'!"&amp;$AH$2),OR(VALUE(I306)=INDIRECT("'["&amp;G306&amp;"]"&amp;E306&amp;"'!"&amp;$AC$2))),INDIRECT("'["&amp;G306&amp;"]"&amp;E306&amp;"'!"&amp;$AC$3),0)</f>
        <v>#VALUE!</v>
      </c>
      <c r="R306" s="34" t="e" cm="1">
        <f t="array" aca="1" ref="R306" ca="1">IF(AND(G306=INDIRECT("'["&amp;G306&amp;"]"&amp;E306&amp;"'!"&amp;$AH$2),OR(I306=INDIRECT("'["&amp;G306&amp;"]"&amp;E306&amp;"'!"&amp;$AD$2))),INDIRECT("'["&amp;G306&amp;"]"&amp;E306&amp;"'!"&amp;$AD$3),0)</f>
        <v>#VALUE!</v>
      </c>
      <c r="S306" s="34" t="e" cm="1">
        <f t="array" aca="1" ref="S306" ca="1">IF(AND(G306=INDIRECT("'["&amp;G306&amp;"]"&amp;E306&amp;"'!"&amp;$AH$2),OR(I306=INDIRECT("'["&amp;G306&amp;"]"&amp;E306&amp;"'!"&amp;$AE$2))),INDIRECT("'["&amp;G306&amp;"]"&amp;E306&amp;"'!"&amp;$AE$3),0)</f>
        <v>#VALUE!</v>
      </c>
      <c r="T306" s="35" t="e" cm="1">
        <f t="array" aca="1" ref="T306" ca="1">IF(AND(G306=INDIRECT("'["&amp;G306&amp;"]"&amp;E306&amp;"'!"&amp;$AH$2),OR(I306=INDIRECT("'["&amp;G306&amp;"]"&amp;E306&amp;"'!"&amp;$AF$2))),INDIRECT("'["&amp;G306&amp;"]"&amp;E306&amp;"'!"&amp;$AF$3),0)</f>
        <v>#VALUE!</v>
      </c>
      <c r="U306" s="34" t="e" cm="1">
        <f t="array" aca="1" ref="U306" ca="1">IF(AND(G306=INDIRECT("'["&amp;G306&amp;"]"&amp;E306&amp;"'!"&amp;$AH$2),OR(I306=INDIRECT("'["&amp;G306&amp;"]"&amp;E306&amp;"'!"&amp;$AG$2))),INDIRECT("'["&amp;G306&amp;"]"&amp;E306&amp;"'!"&amp;$AG$3),0)</f>
        <v>#VALUE!</v>
      </c>
      <c r="V306" s="25" t="str">
        <f t="shared" si="87"/>
        <v/>
      </c>
      <c r="W306" s="36" t="e" cm="1">
        <f t="array" aca="1" ref="W306" ca="1">IF(AND(G306=INDIRECT("'["&amp;G306&amp;"]"&amp;E306&amp;"'!"&amp;$AH$2),OR(V306=INDIRECT("'["&amp;G306&amp;"]"&amp;E306&amp;"'!"&amp;$AI$2))),INDIRECT("'["&amp;G306&amp;"]"&amp;E306&amp;"'!"&amp;$AI$3),0)</f>
        <v>#VALUE!</v>
      </c>
      <c r="AJ306" s="25">
        <v>1</v>
      </c>
      <c r="AK306" s="38">
        <f t="shared" ca="1" si="88"/>
        <v>0</v>
      </c>
      <c r="AL306" s="38">
        <f t="shared" ca="1" si="89"/>
        <v>0</v>
      </c>
      <c r="AM306" s="54" t="str">
        <f t="shared" ca="1" si="80"/>
        <v/>
      </c>
      <c r="AN306" s="25" t="e">
        <f t="shared" ca="1" si="90"/>
        <v>#VALUE!</v>
      </c>
      <c r="AO306" s="25" t="e">
        <f t="shared" ca="1" si="91"/>
        <v>#VALUE!</v>
      </c>
      <c r="AP306" s="39" t="str">
        <f t="shared" ca="1" si="81"/>
        <v/>
      </c>
      <c r="AQ306" s="46" t="str">
        <f ca="1">IF(AND(C306&lt;&gt;0, C307=0), SUM($C$2:C306)-SUM($AQ$1:AQ305), "")</f>
        <v/>
      </c>
      <c r="AR306" s="46" t="str">
        <f ca="1">IF(AND(AK306&lt;&gt;0, AK307=0), SUM($AK$2:AK306)-SUM($AR$1:AR305), "")</f>
        <v/>
      </c>
    </row>
    <row r="307" spans="1:46" ht="13.15" customHeight="1">
      <c r="A307" s="62"/>
      <c r="B307" s="68" t="str">
        <f t="shared" si="92"/>
        <v/>
      </c>
      <c r="C307" s="55" cm="1">
        <f t="array" aca="1" ref="C307" ca="1">SUM(IF(ISNUMBER(M307:U307),M307:U307,""))</f>
        <v>0</v>
      </c>
      <c r="D307" s="25" t="str">
        <f t="shared" si="93"/>
        <v/>
      </c>
      <c r="E307" s="25" t="e">
        <f t="shared" si="82"/>
        <v>#VALUE!</v>
      </c>
      <c r="F307" s="25" t="str">
        <f t="shared" si="94"/>
        <v/>
      </c>
      <c r="G307" s="25" t="str">
        <f t="shared" si="79"/>
        <v>.xlsx</v>
      </c>
      <c r="H307" s="29" t="e" cm="1">
        <f t="array" aca="1" ref="H307" ca="1">IF(AND(VALUE(E307)=INDIRECT("'["&amp;G307&amp;"]"&amp;E307&amp;"'!"&amp;$X$2),G307=INDIRECT("'["&amp;G307&amp;"]"&amp;E307&amp;"'!"&amp;$X$3)),INDIRECT("'["&amp;G307&amp;"]"&amp;E307&amp;"'!"&amp;$X$1),0)</f>
        <v>#VALUE!</v>
      </c>
      <c r="I307" s="25" t="str">
        <f t="shared" si="83"/>
        <v/>
      </c>
      <c r="J307" s="32" t="str">
        <f t="shared" si="84"/>
        <v/>
      </c>
      <c r="K307" s="25" t="str">
        <f t="shared" si="85"/>
        <v/>
      </c>
      <c r="L307" s="25" t="str">
        <f t="shared" si="86"/>
        <v/>
      </c>
      <c r="M307" s="33" t="e" cm="1">
        <f t="array" aca="1" ref="M307" ca="1">IF(AND(J307=INDIRECT("'["&amp;G307&amp;"]"&amp;E307&amp;"'!"&amp;$Y$2),G307=INDIRECT("'["&amp;G307&amp;"]"&amp;E307&amp;"'!"&amp;$AH$2)),INDIRECT("'["&amp;G307&amp;"]"&amp;E307&amp;"'!"&amp;$Y$3),0)</f>
        <v>#VALUE!</v>
      </c>
      <c r="N307" s="34" t="e" cm="1">
        <f t="array" aca="1" ref="N307" ca="1">IF(AND(G307=INDIRECT("'["&amp;G307&amp;"]"&amp;E307&amp;"'!"&amp;$AH$2),OR(K307=INDIRECT("'["&amp;G307&amp;"]"&amp;E307&amp;"'!"&amp;$Z$2))),INDIRECT("'["&amp;G307&amp;"]"&amp;E307&amp;"'!"&amp;$Z$3),0)</f>
        <v>#VALUE!</v>
      </c>
      <c r="O307" s="34" t="e" cm="1">
        <f t="array" aca="1" ref="O307" ca="1">IF(AND(G307=INDIRECT("'["&amp;G307&amp;"]"&amp;E307&amp;"'!"&amp;$AH$2),OR(L307=INDIRECT("'["&amp;G307&amp;"]"&amp;E307&amp;"'!"&amp;$AA$2))),INDIRECT("'["&amp;G307&amp;"]"&amp;E307&amp;"'!"&amp;$AA$3),0)</f>
        <v>#VALUE!</v>
      </c>
      <c r="P307" s="34" t="e" cm="1">
        <f t="array" aca="1" ref="P307" ca="1">IF(AND(G307=INDIRECT("'["&amp;G307&amp;"]"&amp;E307&amp;"'!"&amp;$AH$2),OR(VALUE(I307)=INDIRECT("'["&amp;G307&amp;"]"&amp;E307&amp;"'!"&amp;$AB$2))),INDIRECT("'["&amp;G307&amp;"]"&amp;E307&amp;"'!"&amp;$AB$3),0)</f>
        <v>#VALUE!</v>
      </c>
      <c r="Q307" s="34" t="e" cm="1">
        <f t="array" aca="1" ref="Q307" ca="1">IF(AND(G307=INDIRECT("'["&amp;G307&amp;"]"&amp;E307&amp;"'!"&amp;$AH$2),OR(VALUE(I307)=INDIRECT("'["&amp;G307&amp;"]"&amp;E307&amp;"'!"&amp;$AC$2))),INDIRECT("'["&amp;G307&amp;"]"&amp;E307&amp;"'!"&amp;$AC$3),0)</f>
        <v>#VALUE!</v>
      </c>
      <c r="R307" s="34" t="e" cm="1">
        <f t="array" aca="1" ref="R307" ca="1">IF(AND(G307=INDIRECT("'["&amp;G307&amp;"]"&amp;E307&amp;"'!"&amp;$AH$2),OR(I307=INDIRECT("'["&amp;G307&amp;"]"&amp;E307&amp;"'!"&amp;$AD$2))),INDIRECT("'["&amp;G307&amp;"]"&amp;E307&amp;"'!"&amp;$AD$3),0)</f>
        <v>#VALUE!</v>
      </c>
      <c r="S307" s="34" t="e" cm="1">
        <f t="array" aca="1" ref="S307" ca="1">IF(AND(G307=INDIRECT("'["&amp;G307&amp;"]"&amp;E307&amp;"'!"&amp;$AH$2),OR(I307=INDIRECT("'["&amp;G307&amp;"]"&amp;E307&amp;"'!"&amp;$AE$2))),INDIRECT("'["&amp;G307&amp;"]"&amp;E307&amp;"'!"&amp;$AE$3),0)</f>
        <v>#VALUE!</v>
      </c>
      <c r="T307" s="35" t="e" cm="1">
        <f t="array" aca="1" ref="T307" ca="1">IF(AND(G307=INDIRECT("'["&amp;G307&amp;"]"&amp;E307&amp;"'!"&amp;$AH$2),OR(I307=INDIRECT("'["&amp;G307&amp;"]"&amp;E307&amp;"'!"&amp;$AF$2))),INDIRECT("'["&amp;G307&amp;"]"&amp;E307&amp;"'!"&amp;$AF$3),0)</f>
        <v>#VALUE!</v>
      </c>
      <c r="U307" s="34" t="e" cm="1">
        <f t="array" aca="1" ref="U307" ca="1">IF(AND(G307=INDIRECT("'["&amp;G307&amp;"]"&amp;E307&amp;"'!"&amp;$AH$2),OR(I307=INDIRECT("'["&amp;G307&amp;"]"&amp;E307&amp;"'!"&amp;$AG$2))),INDIRECT("'["&amp;G307&amp;"]"&amp;E307&amp;"'!"&amp;$AG$3),0)</f>
        <v>#VALUE!</v>
      </c>
      <c r="V307" s="25" t="str">
        <f t="shared" si="87"/>
        <v/>
      </c>
      <c r="W307" s="36" t="e" cm="1">
        <f t="array" aca="1" ref="W307" ca="1">IF(AND(G307=INDIRECT("'["&amp;G307&amp;"]"&amp;E307&amp;"'!"&amp;$AH$2),OR(V307=INDIRECT("'["&amp;G307&amp;"]"&amp;E307&amp;"'!"&amp;$AI$2))),INDIRECT("'["&amp;G307&amp;"]"&amp;E307&amp;"'!"&amp;$AI$3),0)</f>
        <v>#VALUE!</v>
      </c>
      <c r="AJ307" s="25">
        <v>1</v>
      </c>
      <c r="AK307" s="38">
        <f t="shared" ca="1" si="88"/>
        <v>0</v>
      </c>
      <c r="AL307" s="38">
        <f t="shared" ca="1" si="89"/>
        <v>0</v>
      </c>
      <c r="AM307" s="54" t="str">
        <f t="shared" ca="1" si="80"/>
        <v/>
      </c>
      <c r="AN307" s="25" t="e">
        <f t="shared" ca="1" si="90"/>
        <v>#VALUE!</v>
      </c>
      <c r="AO307" s="25" t="e">
        <f t="shared" ca="1" si="91"/>
        <v>#VALUE!</v>
      </c>
      <c r="AP307" s="39" t="str">
        <f t="shared" ca="1" si="81"/>
        <v/>
      </c>
      <c r="AQ307" s="46" t="str">
        <f ca="1">IF(AND(C307&lt;&gt;0, C308=0), SUM($C$2:C307)-SUM($AQ$1:AQ306), "")</f>
        <v/>
      </c>
      <c r="AR307" s="46" t="str">
        <f ca="1">IF(AND(AK307&lt;&gt;0, AK308=0), SUM($AK$2:AK307)-SUM($AR$1:AR306), "")</f>
        <v/>
      </c>
    </row>
    <row r="308" spans="1:46" ht="13.15" customHeight="1">
      <c r="A308" s="62"/>
      <c r="B308" s="68" t="str">
        <f t="shared" si="92"/>
        <v/>
      </c>
      <c r="C308" s="55" cm="1">
        <f t="array" aca="1" ref="C308" ca="1">SUM(IF(ISNUMBER(M308:U308),M308:U308,""))</f>
        <v>0</v>
      </c>
      <c r="D308" s="25" t="str">
        <f t="shared" si="93"/>
        <v/>
      </c>
      <c r="E308" s="25" t="e">
        <f t="shared" si="82"/>
        <v>#VALUE!</v>
      </c>
      <c r="F308" s="25" t="str">
        <f t="shared" si="94"/>
        <v/>
      </c>
      <c r="G308" s="25" t="str">
        <f t="shared" si="79"/>
        <v>.xlsx</v>
      </c>
      <c r="H308" s="29" t="e" cm="1">
        <f t="array" aca="1" ref="H308" ca="1">IF(AND(VALUE(E308)=INDIRECT("'["&amp;G308&amp;"]"&amp;E308&amp;"'!"&amp;$X$2),G308=INDIRECT("'["&amp;G308&amp;"]"&amp;E308&amp;"'!"&amp;$X$3)),INDIRECT("'["&amp;G308&amp;"]"&amp;E308&amp;"'!"&amp;$X$1),0)</f>
        <v>#VALUE!</v>
      </c>
      <c r="I308" s="25" t="str">
        <f t="shared" si="83"/>
        <v/>
      </c>
      <c r="J308" s="32" t="str">
        <f t="shared" si="84"/>
        <v/>
      </c>
      <c r="K308" s="25" t="str">
        <f t="shared" si="85"/>
        <v/>
      </c>
      <c r="L308" s="25" t="str">
        <f t="shared" si="86"/>
        <v/>
      </c>
      <c r="M308" s="33" t="e" cm="1">
        <f t="array" aca="1" ref="M308" ca="1">IF(AND(J308=INDIRECT("'["&amp;G308&amp;"]"&amp;E308&amp;"'!"&amp;$Y$2),G308=INDIRECT("'["&amp;G308&amp;"]"&amp;E308&amp;"'!"&amp;$AH$2)),INDIRECT("'["&amp;G308&amp;"]"&amp;E308&amp;"'!"&amp;$Y$3),0)</f>
        <v>#VALUE!</v>
      </c>
      <c r="N308" s="34" t="e" cm="1">
        <f t="array" aca="1" ref="N308" ca="1">IF(AND(G308=INDIRECT("'["&amp;G308&amp;"]"&amp;E308&amp;"'!"&amp;$AH$2),OR(K308=INDIRECT("'["&amp;G308&amp;"]"&amp;E308&amp;"'!"&amp;$Z$2))),INDIRECT("'["&amp;G308&amp;"]"&amp;E308&amp;"'!"&amp;$Z$3),0)</f>
        <v>#VALUE!</v>
      </c>
      <c r="O308" s="34" t="e" cm="1">
        <f t="array" aca="1" ref="O308" ca="1">IF(AND(G308=INDIRECT("'["&amp;G308&amp;"]"&amp;E308&amp;"'!"&amp;$AH$2),OR(L308=INDIRECT("'["&amp;G308&amp;"]"&amp;E308&amp;"'!"&amp;$AA$2))),INDIRECT("'["&amp;G308&amp;"]"&amp;E308&amp;"'!"&amp;$AA$3),0)</f>
        <v>#VALUE!</v>
      </c>
      <c r="P308" s="34" t="e" cm="1">
        <f t="array" aca="1" ref="P308" ca="1">IF(AND(G308=INDIRECT("'["&amp;G308&amp;"]"&amp;E308&amp;"'!"&amp;$AH$2),OR(VALUE(I308)=INDIRECT("'["&amp;G308&amp;"]"&amp;E308&amp;"'!"&amp;$AB$2))),INDIRECT("'["&amp;G308&amp;"]"&amp;E308&amp;"'!"&amp;$AB$3),0)</f>
        <v>#VALUE!</v>
      </c>
      <c r="Q308" s="34" t="e" cm="1">
        <f t="array" aca="1" ref="Q308" ca="1">IF(AND(G308=INDIRECT("'["&amp;G308&amp;"]"&amp;E308&amp;"'!"&amp;$AH$2),OR(VALUE(I308)=INDIRECT("'["&amp;G308&amp;"]"&amp;E308&amp;"'!"&amp;$AC$2))),INDIRECT("'["&amp;G308&amp;"]"&amp;E308&amp;"'!"&amp;$AC$3),0)</f>
        <v>#VALUE!</v>
      </c>
      <c r="R308" s="34" t="e" cm="1">
        <f t="array" aca="1" ref="R308" ca="1">IF(AND(G308=INDIRECT("'["&amp;G308&amp;"]"&amp;E308&amp;"'!"&amp;$AH$2),OR(I308=INDIRECT("'["&amp;G308&amp;"]"&amp;E308&amp;"'!"&amp;$AD$2))),INDIRECT("'["&amp;G308&amp;"]"&amp;E308&amp;"'!"&amp;$AD$3),0)</f>
        <v>#VALUE!</v>
      </c>
      <c r="S308" s="34" t="e" cm="1">
        <f t="array" aca="1" ref="S308" ca="1">IF(AND(G308=INDIRECT("'["&amp;G308&amp;"]"&amp;E308&amp;"'!"&amp;$AH$2),OR(I308=INDIRECT("'["&amp;G308&amp;"]"&amp;E308&amp;"'!"&amp;$AE$2))),INDIRECT("'["&amp;G308&amp;"]"&amp;E308&amp;"'!"&amp;$AE$3),0)</f>
        <v>#VALUE!</v>
      </c>
      <c r="T308" s="35" t="e" cm="1">
        <f t="array" aca="1" ref="T308" ca="1">IF(AND(G308=INDIRECT("'["&amp;G308&amp;"]"&amp;E308&amp;"'!"&amp;$AH$2),OR(I308=INDIRECT("'["&amp;G308&amp;"]"&amp;E308&amp;"'!"&amp;$AF$2))),INDIRECT("'["&amp;G308&amp;"]"&amp;E308&amp;"'!"&amp;$AF$3),0)</f>
        <v>#VALUE!</v>
      </c>
      <c r="U308" s="34" t="e" cm="1">
        <f t="array" aca="1" ref="U308" ca="1">IF(AND(G308=INDIRECT("'["&amp;G308&amp;"]"&amp;E308&amp;"'!"&amp;$AH$2),OR(I308=INDIRECT("'["&amp;G308&amp;"]"&amp;E308&amp;"'!"&amp;$AG$2))),INDIRECT("'["&amp;G308&amp;"]"&amp;E308&amp;"'!"&amp;$AG$3),0)</f>
        <v>#VALUE!</v>
      </c>
      <c r="V308" s="25" t="str">
        <f t="shared" si="87"/>
        <v/>
      </c>
      <c r="W308" s="36" t="e" cm="1">
        <f t="array" aca="1" ref="W308" ca="1">IF(AND(G308=INDIRECT("'["&amp;G308&amp;"]"&amp;E308&amp;"'!"&amp;$AH$2),OR(V308=INDIRECT("'["&amp;G308&amp;"]"&amp;E308&amp;"'!"&amp;$AI$2))),INDIRECT("'["&amp;G308&amp;"]"&amp;E308&amp;"'!"&amp;$AI$3),0)</f>
        <v>#VALUE!</v>
      </c>
      <c r="AJ308" s="25">
        <v>1</v>
      </c>
      <c r="AK308" s="38">
        <f t="shared" ca="1" si="88"/>
        <v>0</v>
      </c>
      <c r="AL308" s="38">
        <f t="shared" ca="1" si="89"/>
        <v>0</v>
      </c>
      <c r="AM308" s="54" t="str">
        <f t="shared" ca="1" si="80"/>
        <v/>
      </c>
      <c r="AN308" s="25" t="e">
        <f t="shared" ca="1" si="90"/>
        <v>#VALUE!</v>
      </c>
      <c r="AO308" s="25" t="e">
        <f t="shared" ca="1" si="91"/>
        <v>#VALUE!</v>
      </c>
      <c r="AP308" s="39" t="str">
        <f t="shared" ca="1" si="81"/>
        <v/>
      </c>
      <c r="AQ308" s="46" t="str">
        <f ca="1">IF(AND(C308&lt;&gt;0, C309=0), SUM($C$2:C308)-SUM($AQ$1:AQ307), "")</f>
        <v/>
      </c>
      <c r="AR308" s="46" t="str">
        <f ca="1">IF(AND(AK308&lt;&gt;0, AK309=0), SUM($AK$2:AK308)-SUM($AR$1:AR307), "")</f>
        <v/>
      </c>
    </row>
    <row r="309" spans="1:46" ht="13.15" customHeight="1">
      <c r="A309" s="62"/>
      <c r="B309" s="68" t="str">
        <f t="shared" si="92"/>
        <v/>
      </c>
      <c r="C309" s="55" cm="1">
        <f t="array" aca="1" ref="C309" ca="1">SUM(IF(ISNUMBER(M309:U309),M309:U309,""))</f>
        <v>0</v>
      </c>
      <c r="D309" s="25" t="str">
        <f t="shared" si="93"/>
        <v/>
      </c>
      <c r="E309" s="25" t="e">
        <f t="shared" si="82"/>
        <v>#VALUE!</v>
      </c>
      <c r="F309" s="25" t="str">
        <f t="shared" si="94"/>
        <v/>
      </c>
      <c r="G309" s="25" t="str">
        <f t="shared" si="79"/>
        <v>.xlsx</v>
      </c>
      <c r="H309" s="29" t="e" cm="1">
        <f t="array" aca="1" ref="H309" ca="1">IF(AND(VALUE(E309)=INDIRECT("'["&amp;G309&amp;"]"&amp;E309&amp;"'!"&amp;$X$2),G309=INDIRECT("'["&amp;G309&amp;"]"&amp;E309&amp;"'!"&amp;$X$3)),INDIRECT("'["&amp;G309&amp;"]"&amp;E309&amp;"'!"&amp;$X$1),0)</f>
        <v>#VALUE!</v>
      </c>
      <c r="I309" s="25" t="str">
        <f t="shared" si="83"/>
        <v/>
      </c>
      <c r="J309" s="32" t="str">
        <f t="shared" si="84"/>
        <v/>
      </c>
      <c r="K309" s="25" t="str">
        <f t="shared" si="85"/>
        <v/>
      </c>
      <c r="L309" s="25" t="str">
        <f t="shared" si="86"/>
        <v/>
      </c>
      <c r="M309" s="33" t="e" cm="1">
        <f t="array" aca="1" ref="M309" ca="1">IF(AND(J309=INDIRECT("'["&amp;G309&amp;"]"&amp;E309&amp;"'!"&amp;$Y$2),G309=INDIRECT("'["&amp;G309&amp;"]"&amp;E309&amp;"'!"&amp;$AH$2)),INDIRECT("'["&amp;G309&amp;"]"&amp;E309&amp;"'!"&amp;$Y$3),0)</f>
        <v>#VALUE!</v>
      </c>
      <c r="N309" s="34" t="e" cm="1">
        <f t="array" aca="1" ref="N309" ca="1">IF(AND(G309=INDIRECT("'["&amp;G309&amp;"]"&amp;E309&amp;"'!"&amp;$AH$2),OR(K309=INDIRECT("'["&amp;G309&amp;"]"&amp;E309&amp;"'!"&amp;$Z$2))),INDIRECT("'["&amp;G309&amp;"]"&amp;E309&amp;"'!"&amp;$Z$3),0)</f>
        <v>#VALUE!</v>
      </c>
      <c r="O309" s="34" t="e" cm="1">
        <f t="array" aca="1" ref="O309" ca="1">IF(AND(G309=INDIRECT("'["&amp;G309&amp;"]"&amp;E309&amp;"'!"&amp;$AH$2),OR(L309=INDIRECT("'["&amp;G309&amp;"]"&amp;E309&amp;"'!"&amp;$AA$2))),INDIRECT("'["&amp;G309&amp;"]"&amp;E309&amp;"'!"&amp;$AA$3),0)</f>
        <v>#VALUE!</v>
      </c>
      <c r="P309" s="34" t="e" cm="1">
        <f t="array" aca="1" ref="P309" ca="1">IF(AND(G309=INDIRECT("'["&amp;G309&amp;"]"&amp;E309&amp;"'!"&amp;$AH$2),OR(VALUE(I309)=INDIRECT("'["&amp;G309&amp;"]"&amp;E309&amp;"'!"&amp;$AB$2))),INDIRECT("'["&amp;G309&amp;"]"&amp;E309&amp;"'!"&amp;$AB$3),0)</f>
        <v>#VALUE!</v>
      </c>
      <c r="Q309" s="34" t="e" cm="1">
        <f t="array" aca="1" ref="Q309" ca="1">IF(AND(G309=INDIRECT("'["&amp;G309&amp;"]"&amp;E309&amp;"'!"&amp;$AH$2),OR(VALUE(I309)=INDIRECT("'["&amp;G309&amp;"]"&amp;E309&amp;"'!"&amp;$AC$2))),INDIRECT("'["&amp;G309&amp;"]"&amp;E309&amp;"'!"&amp;$AC$3),0)</f>
        <v>#VALUE!</v>
      </c>
      <c r="R309" s="34" t="e" cm="1">
        <f t="array" aca="1" ref="R309" ca="1">IF(AND(G309=INDIRECT("'["&amp;G309&amp;"]"&amp;E309&amp;"'!"&amp;$AH$2),OR(I309=INDIRECT("'["&amp;G309&amp;"]"&amp;E309&amp;"'!"&amp;$AD$2))),INDIRECT("'["&amp;G309&amp;"]"&amp;E309&amp;"'!"&amp;$AD$3),0)</f>
        <v>#VALUE!</v>
      </c>
      <c r="S309" s="34" t="e" cm="1">
        <f t="array" aca="1" ref="S309" ca="1">IF(AND(G309=INDIRECT("'["&amp;G309&amp;"]"&amp;E309&amp;"'!"&amp;$AH$2),OR(I309=INDIRECT("'["&amp;G309&amp;"]"&amp;E309&amp;"'!"&amp;$AE$2))),INDIRECT("'["&amp;G309&amp;"]"&amp;E309&amp;"'!"&amp;$AE$3),0)</f>
        <v>#VALUE!</v>
      </c>
      <c r="T309" s="35" t="e" cm="1">
        <f t="array" aca="1" ref="T309" ca="1">IF(AND(G309=INDIRECT("'["&amp;G309&amp;"]"&amp;E309&amp;"'!"&amp;$AH$2),OR(I309=INDIRECT("'["&amp;G309&amp;"]"&amp;E309&amp;"'!"&amp;$AF$2))),INDIRECT("'["&amp;G309&amp;"]"&amp;E309&amp;"'!"&amp;$AF$3),0)</f>
        <v>#VALUE!</v>
      </c>
      <c r="U309" s="34" t="e" cm="1">
        <f t="array" aca="1" ref="U309" ca="1">IF(AND(G309=INDIRECT("'["&amp;G309&amp;"]"&amp;E309&amp;"'!"&amp;$AH$2),OR(I309=INDIRECT("'["&amp;G309&amp;"]"&amp;E309&amp;"'!"&amp;$AG$2))),INDIRECT("'["&amp;G309&amp;"]"&amp;E309&amp;"'!"&amp;$AG$3),0)</f>
        <v>#VALUE!</v>
      </c>
      <c r="V309" s="25" t="str">
        <f t="shared" si="87"/>
        <v/>
      </c>
      <c r="W309" s="36" t="e" cm="1">
        <f t="array" aca="1" ref="W309" ca="1">IF(AND(G309=INDIRECT("'["&amp;G309&amp;"]"&amp;E309&amp;"'!"&amp;$AH$2),OR(V309=INDIRECT("'["&amp;G309&amp;"]"&amp;E309&amp;"'!"&amp;$AI$2))),INDIRECT("'["&amp;G309&amp;"]"&amp;E309&amp;"'!"&amp;$AI$3),0)</f>
        <v>#VALUE!</v>
      </c>
      <c r="AJ309" s="25">
        <v>1</v>
      </c>
      <c r="AK309" s="38">
        <f t="shared" ca="1" si="88"/>
        <v>0</v>
      </c>
      <c r="AL309" s="38">
        <f t="shared" ca="1" si="89"/>
        <v>0</v>
      </c>
      <c r="AM309" s="54" t="str">
        <f t="shared" ca="1" si="80"/>
        <v/>
      </c>
      <c r="AN309" s="25" t="e">
        <f t="shared" ca="1" si="90"/>
        <v>#VALUE!</v>
      </c>
      <c r="AO309" s="25" t="e">
        <f t="shared" ca="1" si="91"/>
        <v>#VALUE!</v>
      </c>
      <c r="AP309" s="39" t="str">
        <f t="shared" ca="1" si="81"/>
        <v/>
      </c>
      <c r="AQ309" s="46" t="str">
        <f ca="1">IF(AND(C309&lt;&gt;0, C310=0), SUM($C$2:C309)-SUM($AQ$1:AQ308), "")</f>
        <v/>
      </c>
      <c r="AR309" s="46" t="str">
        <f ca="1">IF(AND(AK309&lt;&gt;0, AK310=0), SUM($AK$2:AK309)-SUM($AR$1:AR308), "")</f>
        <v/>
      </c>
    </row>
    <row r="310" spans="1:46" ht="13.15" customHeight="1">
      <c r="A310" s="62"/>
      <c r="B310" s="68" t="str">
        <f t="shared" si="92"/>
        <v/>
      </c>
      <c r="C310" s="55" cm="1">
        <f t="array" aca="1" ref="C310" ca="1">SUM(IF(ISNUMBER(M310:U310),M310:U310,""))</f>
        <v>0</v>
      </c>
      <c r="D310" s="25" t="str">
        <f t="shared" si="93"/>
        <v/>
      </c>
      <c r="E310" s="25" t="e">
        <f t="shared" si="82"/>
        <v>#VALUE!</v>
      </c>
      <c r="F310" s="25" t="str">
        <f t="shared" si="94"/>
        <v/>
      </c>
      <c r="G310" s="25" t="str">
        <f t="shared" si="79"/>
        <v>.xlsx</v>
      </c>
      <c r="H310" s="29" t="e" cm="1">
        <f t="array" aca="1" ref="H310" ca="1">IF(AND(VALUE(E310)=INDIRECT("'["&amp;G310&amp;"]"&amp;E310&amp;"'!"&amp;$X$2),G310=INDIRECT("'["&amp;G310&amp;"]"&amp;E310&amp;"'!"&amp;$X$3)),INDIRECT("'["&amp;G310&amp;"]"&amp;E310&amp;"'!"&amp;$X$1),0)</f>
        <v>#VALUE!</v>
      </c>
      <c r="I310" s="25" t="str">
        <f t="shared" si="83"/>
        <v/>
      </c>
      <c r="J310" s="32" t="str">
        <f t="shared" si="84"/>
        <v/>
      </c>
      <c r="K310" s="25" t="str">
        <f t="shared" si="85"/>
        <v/>
      </c>
      <c r="L310" s="25" t="str">
        <f t="shared" si="86"/>
        <v/>
      </c>
      <c r="M310" s="33" t="e" cm="1">
        <f t="array" aca="1" ref="M310" ca="1">IF(AND(J310=INDIRECT("'["&amp;G310&amp;"]"&amp;E310&amp;"'!"&amp;$Y$2),G310=INDIRECT("'["&amp;G310&amp;"]"&amp;E310&amp;"'!"&amp;$AH$2)),INDIRECT("'["&amp;G310&amp;"]"&amp;E310&amp;"'!"&amp;$Y$3),0)</f>
        <v>#VALUE!</v>
      </c>
      <c r="N310" s="34" t="e" cm="1">
        <f t="array" aca="1" ref="N310" ca="1">IF(AND(G310=INDIRECT("'["&amp;G310&amp;"]"&amp;E310&amp;"'!"&amp;$AH$2),OR(K310=INDIRECT("'["&amp;G310&amp;"]"&amp;E310&amp;"'!"&amp;$Z$2))),INDIRECT("'["&amp;G310&amp;"]"&amp;E310&amp;"'!"&amp;$Z$3),0)</f>
        <v>#VALUE!</v>
      </c>
      <c r="O310" s="34" t="e" cm="1">
        <f t="array" aca="1" ref="O310" ca="1">IF(AND(G310=INDIRECT("'["&amp;G310&amp;"]"&amp;E310&amp;"'!"&amp;$AH$2),OR(L310=INDIRECT("'["&amp;G310&amp;"]"&amp;E310&amp;"'!"&amp;$AA$2))),INDIRECT("'["&amp;G310&amp;"]"&amp;E310&amp;"'!"&amp;$AA$3),0)</f>
        <v>#VALUE!</v>
      </c>
      <c r="P310" s="34" t="e" cm="1">
        <f t="array" aca="1" ref="P310" ca="1">IF(AND(G310=INDIRECT("'["&amp;G310&amp;"]"&amp;E310&amp;"'!"&amp;$AH$2),OR(VALUE(I310)=INDIRECT("'["&amp;G310&amp;"]"&amp;E310&amp;"'!"&amp;$AB$2))),INDIRECT("'["&amp;G310&amp;"]"&amp;E310&amp;"'!"&amp;$AB$3),0)</f>
        <v>#VALUE!</v>
      </c>
      <c r="Q310" s="34" t="e" cm="1">
        <f t="array" aca="1" ref="Q310" ca="1">IF(AND(G310=INDIRECT("'["&amp;G310&amp;"]"&amp;E310&amp;"'!"&amp;$AH$2),OR(VALUE(I310)=INDIRECT("'["&amp;G310&amp;"]"&amp;E310&amp;"'!"&amp;$AC$2))),INDIRECT("'["&amp;G310&amp;"]"&amp;E310&amp;"'!"&amp;$AC$3),0)</f>
        <v>#VALUE!</v>
      </c>
      <c r="R310" s="34" t="e" cm="1">
        <f t="array" aca="1" ref="R310" ca="1">IF(AND(G310=INDIRECT("'["&amp;G310&amp;"]"&amp;E310&amp;"'!"&amp;$AH$2),OR(I310=INDIRECT("'["&amp;G310&amp;"]"&amp;E310&amp;"'!"&amp;$AD$2))),INDIRECT("'["&amp;G310&amp;"]"&amp;E310&amp;"'!"&amp;$AD$3),0)</f>
        <v>#VALUE!</v>
      </c>
      <c r="S310" s="34" t="e" cm="1">
        <f t="array" aca="1" ref="S310" ca="1">IF(AND(G310=INDIRECT("'["&amp;G310&amp;"]"&amp;E310&amp;"'!"&amp;$AH$2),OR(I310=INDIRECT("'["&amp;G310&amp;"]"&amp;E310&amp;"'!"&amp;$AE$2))),INDIRECT("'["&amp;G310&amp;"]"&amp;E310&amp;"'!"&amp;$AE$3),0)</f>
        <v>#VALUE!</v>
      </c>
      <c r="T310" s="35" t="e" cm="1">
        <f t="array" aca="1" ref="T310" ca="1">IF(AND(G310=INDIRECT("'["&amp;G310&amp;"]"&amp;E310&amp;"'!"&amp;$AH$2),OR(I310=INDIRECT("'["&amp;G310&amp;"]"&amp;E310&amp;"'!"&amp;$AF$2))),INDIRECT("'["&amp;G310&amp;"]"&amp;E310&amp;"'!"&amp;$AF$3),0)</f>
        <v>#VALUE!</v>
      </c>
      <c r="U310" s="34" t="e" cm="1">
        <f t="array" aca="1" ref="U310" ca="1">IF(AND(G310=INDIRECT("'["&amp;G310&amp;"]"&amp;E310&amp;"'!"&amp;$AH$2),OR(I310=INDIRECT("'["&amp;G310&amp;"]"&amp;E310&amp;"'!"&amp;$AG$2))),INDIRECT("'["&amp;G310&amp;"]"&amp;E310&amp;"'!"&amp;$AG$3),0)</f>
        <v>#VALUE!</v>
      </c>
      <c r="V310" s="25" t="str">
        <f t="shared" si="87"/>
        <v/>
      </c>
      <c r="W310" s="36" t="e" cm="1">
        <f t="array" aca="1" ref="W310" ca="1">IF(AND(G310=INDIRECT("'["&amp;G310&amp;"]"&amp;E310&amp;"'!"&amp;$AH$2),OR(V310=INDIRECT("'["&amp;G310&amp;"]"&amp;E310&amp;"'!"&amp;$AI$2))),INDIRECT("'["&amp;G310&amp;"]"&amp;E310&amp;"'!"&amp;$AI$3),0)</f>
        <v>#VALUE!</v>
      </c>
      <c r="AJ310" s="25">
        <v>1</v>
      </c>
      <c r="AK310" s="38">
        <f t="shared" ca="1" si="88"/>
        <v>0</v>
      </c>
      <c r="AL310" s="38">
        <f t="shared" ca="1" si="89"/>
        <v>0</v>
      </c>
      <c r="AM310" s="54" t="str">
        <f t="shared" ca="1" si="80"/>
        <v/>
      </c>
      <c r="AN310" s="25" t="e">
        <f t="shared" ca="1" si="90"/>
        <v>#VALUE!</v>
      </c>
      <c r="AO310" s="25" t="e">
        <f t="shared" ca="1" si="91"/>
        <v>#VALUE!</v>
      </c>
      <c r="AP310" s="39" t="str">
        <f t="shared" ca="1" si="81"/>
        <v/>
      </c>
      <c r="AQ310" s="46" t="str">
        <f ca="1">IF(AND(C310&lt;&gt;0, C311=0), SUM($C$2:C310)-SUM($AQ$1:AQ309), "")</f>
        <v/>
      </c>
      <c r="AR310" s="46" t="str">
        <f ca="1">IF(AND(AK310&lt;&gt;0, AK311=0), SUM($AK$2:AK310)-SUM($AR$1:AR309), "")</f>
        <v/>
      </c>
    </row>
    <row r="311" spans="1:46" ht="13.15" customHeight="1">
      <c r="A311" s="62"/>
      <c r="B311" s="68" t="str">
        <f t="shared" si="92"/>
        <v/>
      </c>
      <c r="C311" s="55" cm="1">
        <f t="array" aca="1" ref="C311" ca="1">SUM(IF(ISNUMBER(M311:U311),M311:U311,""))</f>
        <v>0</v>
      </c>
      <c r="D311" s="25" t="str">
        <f t="shared" si="93"/>
        <v/>
      </c>
      <c r="E311" s="25" t="e">
        <f t="shared" si="82"/>
        <v>#VALUE!</v>
      </c>
      <c r="F311" s="25" t="str">
        <f t="shared" si="94"/>
        <v/>
      </c>
      <c r="G311" s="25" t="str">
        <f t="shared" si="79"/>
        <v>.xlsx</v>
      </c>
      <c r="H311" s="29" t="e" cm="1">
        <f t="array" aca="1" ref="H311" ca="1">IF(AND(VALUE(E311)=INDIRECT("'["&amp;G311&amp;"]"&amp;E311&amp;"'!"&amp;$X$2),G311=INDIRECT("'["&amp;G311&amp;"]"&amp;E311&amp;"'!"&amp;$X$3)),INDIRECT("'["&amp;G311&amp;"]"&amp;E311&amp;"'!"&amp;$X$1),0)</f>
        <v>#VALUE!</v>
      </c>
      <c r="I311" s="25" t="str">
        <f t="shared" si="83"/>
        <v/>
      </c>
      <c r="J311" s="32" t="str">
        <f t="shared" si="84"/>
        <v/>
      </c>
      <c r="K311" s="25" t="str">
        <f t="shared" si="85"/>
        <v/>
      </c>
      <c r="L311" s="25" t="str">
        <f t="shared" si="86"/>
        <v/>
      </c>
      <c r="M311" s="33" t="e" cm="1">
        <f t="array" aca="1" ref="M311" ca="1">IF(AND(J311=INDIRECT("'["&amp;G311&amp;"]"&amp;E311&amp;"'!"&amp;$Y$2),G311=INDIRECT("'["&amp;G311&amp;"]"&amp;E311&amp;"'!"&amp;$AH$2)),INDIRECT("'["&amp;G311&amp;"]"&amp;E311&amp;"'!"&amp;$Y$3),0)</f>
        <v>#VALUE!</v>
      </c>
      <c r="N311" s="34" t="e" cm="1">
        <f t="array" aca="1" ref="N311" ca="1">IF(AND(G311=INDIRECT("'["&amp;G311&amp;"]"&amp;E311&amp;"'!"&amp;$AH$2),OR(K311=INDIRECT("'["&amp;G311&amp;"]"&amp;E311&amp;"'!"&amp;$Z$2))),INDIRECT("'["&amp;G311&amp;"]"&amp;E311&amp;"'!"&amp;$Z$3),0)</f>
        <v>#VALUE!</v>
      </c>
      <c r="O311" s="34" t="e" cm="1">
        <f t="array" aca="1" ref="O311" ca="1">IF(AND(G311=INDIRECT("'["&amp;G311&amp;"]"&amp;E311&amp;"'!"&amp;$AH$2),OR(L311=INDIRECT("'["&amp;G311&amp;"]"&amp;E311&amp;"'!"&amp;$AA$2))),INDIRECT("'["&amp;G311&amp;"]"&amp;E311&amp;"'!"&amp;$AA$3),0)</f>
        <v>#VALUE!</v>
      </c>
      <c r="P311" s="34" t="e" cm="1">
        <f t="array" aca="1" ref="P311" ca="1">IF(AND(G311=INDIRECT("'["&amp;G311&amp;"]"&amp;E311&amp;"'!"&amp;$AH$2),OR(VALUE(I311)=INDIRECT("'["&amp;G311&amp;"]"&amp;E311&amp;"'!"&amp;$AB$2))),INDIRECT("'["&amp;G311&amp;"]"&amp;E311&amp;"'!"&amp;$AB$3),0)</f>
        <v>#VALUE!</v>
      </c>
      <c r="Q311" s="34" t="e" cm="1">
        <f t="array" aca="1" ref="Q311" ca="1">IF(AND(G311=INDIRECT("'["&amp;G311&amp;"]"&amp;E311&amp;"'!"&amp;$AH$2),OR(VALUE(I311)=INDIRECT("'["&amp;G311&amp;"]"&amp;E311&amp;"'!"&amp;$AC$2))),INDIRECT("'["&amp;G311&amp;"]"&amp;E311&amp;"'!"&amp;$AC$3),0)</f>
        <v>#VALUE!</v>
      </c>
      <c r="R311" s="34" t="e" cm="1">
        <f t="array" aca="1" ref="R311" ca="1">IF(AND(G311=INDIRECT("'["&amp;G311&amp;"]"&amp;E311&amp;"'!"&amp;$AH$2),OR(I311=INDIRECT("'["&amp;G311&amp;"]"&amp;E311&amp;"'!"&amp;$AD$2))),INDIRECT("'["&amp;G311&amp;"]"&amp;E311&amp;"'!"&amp;$AD$3),0)</f>
        <v>#VALUE!</v>
      </c>
      <c r="S311" s="34" t="e" cm="1">
        <f t="array" aca="1" ref="S311" ca="1">IF(AND(G311=INDIRECT("'["&amp;G311&amp;"]"&amp;E311&amp;"'!"&amp;$AH$2),OR(I311=INDIRECT("'["&amp;G311&amp;"]"&amp;E311&amp;"'!"&amp;$AE$2))),INDIRECT("'["&amp;G311&amp;"]"&amp;E311&amp;"'!"&amp;$AE$3),0)</f>
        <v>#VALUE!</v>
      </c>
      <c r="T311" s="35" t="e" cm="1">
        <f t="array" aca="1" ref="T311" ca="1">IF(AND(G311=INDIRECT("'["&amp;G311&amp;"]"&amp;E311&amp;"'!"&amp;$AH$2),OR(I311=INDIRECT("'["&amp;G311&amp;"]"&amp;E311&amp;"'!"&amp;$AF$2))),INDIRECT("'["&amp;G311&amp;"]"&amp;E311&amp;"'!"&amp;$AF$3),0)</f>
        <v>#VALUE!</v>
      </c>
      <c r="U311" s="34" t="e" cm="1">
        <f t="array" aca="1" ref="U311" ca="1">IF(AND(G311=INDIRECT("'["&amp;G311&amp;"]"&amp;E311&amp;"'!"&amp;$AH$2),OR(I311=INDIRECT("'["&amp;G311&amp;"]"&amp;E311&amp;"'!"&amp;$AG$2))),INDIRECT("'["&amp;G311&amp;"]"&amp;E311&amp;"'!"&amp;$AG$3),0)</f>
        <v>#VALUE!</v>
      </c>
      <c r="V311" s="25" t="str">
        <f t="shared" si="87"/>
        <v/>
      </c>
      <c r="W311" s="36" t="e" cm="1">
        <f t="array" aca="1" ref="W311" ca="1">IF(AND(G311=INDIRECT("'["&amp;G311&amp;"]"&amp;E311&amp;"'!"&amp;$AH$2),OR(V311=INDIRECT("'["&amp;G311&amp;"]"&amp;E311&amp;"'!"&amp;$AI$2))),INDIRECT("'["&amp;G311&amp;"]"&amp;E311&amp;"'!"&amp;$AI$3),0)</f>
        <v>#VALUE!</v>
      </c>
      <c r="AJ311" s="25">
        <v>1</v>
      </c>
      <c r="AK311" s="38">
        <f t="shared" ca="1" si="88"/>
        <v>0</v>
      </c>
      <c r="AL311" s="38">
        <f t="shared" ca="1" si="89"/>
        <v>0</v>
      </c>
      <c r="AM311" s="54" t="str">
        <f t="shared" ca="1" si="80"/>
        <v/>
      </c>
      <c r="AN311" s="25" t="e">
        <f t="shared" ca="1" si="90"/>
        <v>#VALUE!</v>
      </c>
      <c r="AO311" s="25" t="e">
        <f t="shared" ca="1" si="91"/>
        <v>#VALUE!</v>
      </c>
      <c r="AP311" s="39" t="str">
        <f t="shared" ca="1" si="81"/>
        <v/>
      </c>
      <c r="AQ311" s="46" t="str">
        <f ca="1">IF(AND(C311&lt;&gt;0, C312=0), SUM($C$2:C311)-SUM($AQ$1:AQ310), "")</f>
        <v/>
      </c>
      <c r="AR311" s="46" t="str">
        <f ca="1">IF(AND(AK311&lt;&gt;0, AK312=0), SUM($AK$2:AK311)-SUM($AR$1:AR310), "")</f>
        <v/>
      </c>
    </row>
    <row r="312" spans="1:46" ht="13.15" customHeight="1">
      <c r="A312" s="62"/>
      <c r="B312" s="68" t="str">
        <f t="shared" si="92"/>
        <v/>
      </c>
      <c r="C312" s="55" cm="1">
        <f t="array" aca="1" ref="C312" ca="1">SUM(IF(ISNUMBER(M312:U312),M312:U312,""))</f>
        <v>0</v>
      </c>
      <c r="D312" s="25" t="str">
        <f t="shared" si="93"/>
        <v/>
      </c>
      <c r="E312" s="25" t="e">
        <f t="shared" si="82"/>
        <v>#VALUE!</v>
      </c>
      <c r="F312" s="25" t="str">
        <f t="shared" si="94"/>
        <v/>
      </c>
      <c r="G312" s="25" t="str">
        <f t="shared" si="79"/>
        <v>.xlsx</v>
      </c>
      <c r="H312" s="29" t="e" cm="1">
        <f t="array" aca="1" ref="H312" ca="1">IF(AND(VALUE(E312)=INDIRECT("'["&amp;G312&amp;"]"&amp;E312&amp;"'!"&amp;$X$2),G312=INDIRECT("'["&amp;G312&amp;"]"&amp;E312&amp;"'!"&amp;$X$3)),INDIRECT("'["&amp;G312&amp;"]"&amp;E312&amp;"'!"&amp;$X$1),0)</f>
        <v>#VALUE!</v>
      </c>
      <c r="I312" s="25" t="str">
        <f t="shared" si="83"/>
        <v/>
      </c>
      <c r="J312" s="32" t="str">
        <f t="shared" si="84"/>
        <v/>
      </c>
      <c r="K312" s="25" t="str">
        <f t="shared" si="85"/>
        <v/>
      </c>
      <c r="L312" s="25" t="str">
        <f t="shared" si="86"/>
        <v/>
      </c>
      <c r="M312" s="33" t="e" cm="1">
        <f t="array" aca="1" ref="M312" ca="1">IF(AND(J312=INDIRECT("'["&amp;G312&amp;"]"&amp;E312&amp;"'!"&amp;$Y$2),G312=INDIRECT("'["&amp;G312&amp;"]"&amp;E312&amp;"'!"&amp;$AH$2)),INDIRECT("'["&amp;G312&amp;"]"&amp;E312&amp;"'!"&amp;$Y$3),0)</f>
        <v>#VALUE!</v>
      </c>
      <c r="N312" s="34" t="e" cm="1">
        <f t="array" aca="1" ref="N312" ca="1">IF(AND(G312=INDIRECT("'["&amp;G312&amp;"]"&amp;E312&amp;"'!"&amp;$AH$2),OR(K312=INDIRECT("'["&amp;G312&amp;"]"&amp;E312&amp;"'!"&amp;$Z$2))),INDIRECT("'["&amp;G312&amp;"]"&amp;E312&amp;"'!"&amp;$Z$3),0)</f>
        <v>#VALUE!</v>
      </c>
      <c r="O312" s="34" t="e" cm="1">
        <f t="array" aca="1" ref="O312" ca="1">IF(AND(G312=INDIRECT("'["&amp;G312&amp;"]"&amp;E312&amp;"'!"&amp;$AH$2),OR(L312=INDIRECT("'["&amp;G312&amp;"]"&amp;E312&amp;"'!"&amp;$AA$2))),INDIRECT("'["&amp;G312&amp;"]"&amp;E312&amp;"'!"&amp;$AA$3),0)</f>
        <v>#VALUE!</v>
      </c>
      <c r="P312" s="34" t="e" cm="1">
        <f t="array" aca="1" ref="P312" ca="1">IF(AND(G312=INDIRECT("'["&amp;G312&amp;"]"&amp;E312&amp;"'!"&amp;$AH$2),OR(VALUE(I312)=INDIRECT("'["&amp;G312&amp;"]"&amp;E312&amp;"'!"&amp;$AB$2))),INDIRECT("'["&amp;G312&amp;"]"&amp;E312&amp;"'!"&amp;$AB$3),0)</f>
        <v>#VALUE!</v>
      </c>
      <c r="Q312" s="34" t="e" cm="1">
        <f t="array" aca="1" ref="Q312" ca="1">IF(AND(G312=INDIRECT("'["&amp;G312&amp;"]"&amp;E312&amp;"'!"&amp;$AH$2),OR(VALUE(I312)=INDIRECT("'["&amp;G312&amp;"]"&amp;E312&amp;"'!"&amp;$AC$2))),INDIRECT("'["&amp;G312&amp;"]"&amp;E312&amp;"'!"&amp;$AC$3),0)</f>
        <v>#VALUE!</v>
      </c>
      <c r="R312" s="34" t="e" cm="1">
        <f t="array" aca="1" ref="R312" ca="1">IF(AND(G312=INDIRECT("'["&amp;G312&amp;"]"&amp;E312&amp;"'!"&amp;$AH$2),OR(I312=INDIRECT("'["&amp;G312&amp;"]"&amp;E312&amp;"'!"&amp;$AD$2))),INDIRECT("'["&amp;G312&amp;"]"&amp;E312&amp;"'!"&amp;$AD$3),0)</f>
        <v>#VALUE!</v>
      </c>
      <c r="S312" s="34" t="e" cm="1">
        <f t="array" aca="1" ref="S312" ca="1">IF(AND(G312=INDIRECT("'["&amp;G312&amp;"]"&amp;E312&amp;"'!"&amp;$AH$2),OR(I312=INDIRECT("'["&amp;G312&amp;"]"&amp;E312&amp;"'!"&amp;$AE$2))),INDIRECT("'["&amp;G312&amp;"]"&amp;E312&amp;"'!"&amp;$AE$3),0)</f>
        <v>#VALUE!</v>
      </c>
      <c r="T312" s="35" t="e" cm="1">
        <f t="array" aca="1" ref="T312" ca="1">IF(AND(G312=INDIRECT("'["&amp;G312&amp;"]"&amp;E312&amp;"'!"&amp;$AH$2),OR(I312=INDIRECT("'["&amp;G312&amp;"]"&amp;E312&amp;"'!"&amp;$AF$2))),INDIRECT("'["&amp;G312&amp;"]"&amp;E312&amp;"'!"&amp;$AF$3),0)</f>
        <v>#VALUE!</v>
      </c>
      <c r="U312" s="34" t="e" cm="1">
        <f t="array" aca="1" ref="U312" ca="1">IF(AND(G312=INDIRECT("'["&amp;G312&amp;"]"&amp;E312&amp;"'!"&amp;$AH$2),OR(I312=INDIRECT("'["&amp;G312&amp;"]"&amp;E312&amp;"'!"&amp;$AG$2))),INDIRECT("'["&amp;G312&amp;"]"&amp;E312&amp;"'!"&amp;$AG$3),0)</f>
        <v>#VALUE!</v>
      </c>
      <c r="V312" s="25" t="str">
        <f t="shared" si="87"/>
        <v/>
      </c>
      <c r="W312" s="36" t="e" cm="1">
        <f t="array" aca="1" ref="W312" ca="1">IF(AND(G312=INDIRECT("'["&amp;G312&amp;"]"&amp;E312&amp;"'!"&amp;$AH$2),OR(V312=INDIRECT("'["&amp;G312&amp;"]"&amp;E312&amp;"'!"&amp;$AI$2))),INDIRECT("'["&amp;G312&amp;"]"&amp;E312&amp;"'!"&amp;$AI$3),0)</f>
        <v>#VALUE!</v>
      </c>
      <c r="AJ312" s="25">
        <v>1</v>
      </c>
      <c r="AK312" s="38">
        <f t="shared" ca="1" si="88"/>
        <v>0</v>
      </c>
      <c r="AL312" s="38">
        <f t="shared" ca="1" si="89"/>
        <v>0</v>
      </c>
      <c r="AM312" s="54" t="str">
        <f t="shared" ca="1" si="80"/>
        <v/>
      </c>
      <c r="AN312" s="25" t="e">
        <f t="shared" ca="1" si="90"/>
        <v>#VALUE!</v>
      </c>
      <c r="AO312" s="25" t="e">
        <f t="shared" ca="1" si="91"/>
        <v>#VALUE!</v>
      </c>
      <c r="AP312" s="39" t="str">
        <f t="shared" ca="1" si="81"/>
        <v/>
      </c>
      <c r="AQ312" s="46" t="str">
        <f ca="1">IF(AND(C312&lt;&gt;0, C313=0), SUM($C$2:C312)-SUM($AQ$1:AQ311), "")</f>
        <v/>
      </c>
      <c r="AR312" s="46" t="str">
        <f ca="1">IF(AND(AK312&lt;&gt;0, AK313=0), SUM($AK$2:AK312)-SUM($AR$1:AR311), "")</f>
        <v/>
      </c>
    </row>
    <row r="313" spans="1:46" ht="13.15" customHeight="1">
      <c r="A313" s="62"/>
      <c r="B313" s="68" t="str">
        <f t="shared" si="92"/>
        <v/>
      </c>
      <c r="C313" s="55" cm="1">
        <f t="array" aca="1" ref="C313" ca="1">SUM(IF(ISNUMBER(M313:U313),M313:U313,""))</f>
        <v>0</v>
      </c>
      <c r="D313" s="25" t="str">
        <f t="shared" si="93"/>
        <v/>
      </c>
      <c r="E313" s="25" t="e">
        <f t="shared" si="82"/>
        <v>#VALUE!</v>
      </c>
      <c r="F313" s="25" t="str">
        <f t="shared" si="94"/>
        <v/>
      </c>
      <c r="G313" s="25" t="str">
        <f t="shared" si="79"/>
        <v>.xlsx</v>
      </c>
      <c r="H313" s="29" t="e" cm="1">
        <f t="array" aca="1" ref="H313" ca="1">IF(AND(VALUE(E313)=INDIRECT("'["&amp;G313&amp;"]"&amp;E313&amp;"'!"&amp;$X$2),G313=INDIRECT("'["&amp;G313&amp;"]"&amp;E313&amp;"'!"&amp;$X$3)),INDIRECT("'["&amp;G313&amp;"]"&amp;E313&amp;"'!"&amp;$X$1),0)</f>
        <v>#VALUE!</v>
      </c>
      <c r="I313" s="25" t="str">
        <f t="shared" si="83"/>
        <v/>
      </c>
      <c r="J313" s="32" t="str">
        <f t="shared" si="84"/>
        <v/>
      </c>
      <c r="K313" s="25" t="str">
        <f t="shared" si="85"/>
        <v/>
      </c>
      <c r="L313" s="25" t="str">
        <f t="shared" si="86"/>
        <v/>
      </c>
      <c r="M313" s="33" t="e" cm="1">
        <f t="array" aca="1" ref="M313" ca="1">IF(AND(J313=INDIRECT("'["&amp;G313&amp;"]"&amp;E313&amp;"'!"&amp;$Y$2),G313=INDIRECT("'["&amp;G313&amp;"]"&amp;E313&amp;"'!"&amp;$AH$2)),INDIRECT("'["&amp;G313&amp;"]"&amp;E313&amp;"'!"&amp;$Y$3),0)</f>
        <v>#VALUE!</v>
      </c>
      <c r="N313" s="34" t="e" cm="1">
        <f t="array" aca="1" ref="N313" ca="1">IF(AND(G313=INDIRECT("'["&amp;G313&amp;"]"&amp;E313&amp;"'!"&amp;$AH$2),OR(K313=INDIRECT("'["&amp;G313&amp;"]"&amp;E313&amp;"'!"&amp;$Z$2))),INDIRECT("'["&amp;G313&amp;"]"&amp;E313&amp;"'!"&amp;$Z$3),0)</f>
        <v>#VALUE!</v>
      </c>
      <c r="O313" s="34" t="e" cm="1">
        <f t="array" aca="1" ref="O313" ca="1">IF(AND(G313=INDIRECT("'["&amp;G313&amp;"]"&amp;E313&amp;"'!"&amp;$AH$2),OR(L313=INDIRECT("'["&amp;G313&amp;"]"&amp;E313&amp;"'!"&amp;$AA$2))),INDIRECT("'["&amp;G313&amp;"]"&amp;E313&amp;"'!"&amp;$AA$3),0)</f>
        <v>#VALUE!</v>
      </c>
      <c r="P313" s="34" t="e" cm="1">
        <f t="array" aca="1" ref="P313" ca="1">IF(AND(G313=INDIRECT("'["&amp;G313&amp;"]"&amp;E313&amp;"'!"&amp;$AH$2),OR(VALUE(I313)=INDIRECT("'["&amp;G313&amp;"]"&amp;E313&amp;"'!"&amp;$AB$2))),INDIRECT("'["&amp;G313&amp;"]"&amp;E313&amp;"'!"&amp;$AB$3),0)</f>
        <v>#VALUE!</v>
      </c>
      <c r="Q313" s="34" t="e" cm="1">
        <f t="array" aca="1" ref="Q313" ca="1">IF(AND(G313=INDIRECT("'["&amp;G313&amp;"]"&amp;E313&amp;"'!"&amp;$AH$2),OR(VALUE(I313)=INDIRECT("'["&amp;G313&amp;"]"&amp;E313&amp;"'!"&amp;$AC$2))),INDIRECT("'["&amp;G313&amp;"]"&amp;E313&amp;"'!"&amp;$AC$3),0)</f>
        <v>#VALUE!</v>
      </c>
      <c r="R313" s="34" t="e" cm="1">
        <f t="array" aca="1" ref="R313" ca="1">IF(AND(G313=INDIRECT("'["&amp;G313&amp;"]"&amp;E313&amp;"'!"&amp;$AH$2),OR(I313=INDIRECT("'["&amp;G313&amp;"]"&amp;E313&amp;"'!"&amp;$AD$2))),INDIRECT("'["&amp;G313&amp;"]"&amp;E313&amp;"'!"&amp;$AD$3),0)</f>
        <v>#VALUE!</v>
      </c>
      <c r="S313" s="34" t="e" cm="1">
        <f t="array" aca="1" ref="S313" ca="1">IF(AND(G313=INDIRECT("'["&amp;G313&amp;"]"&amp;E313&amp;"'!"&amp;$AH$2),OR(I313=INDIRECT("'["&amp;G313&amp;"]"&amp;E313&amp;"'!"&amp;$AE$2))),INDIRECT("'["&amp;G313&amp;"]"&amp;E313&amp;"'!"&amp;$AE$3),0)</f>
        <v>#VALUE!</v>
      </c>
      <c r="T313" s="35" t="e" cm="1">
        <f t="array" aca="1" ref="T313" ca="1">IF(AND(G313=INDIRECT("'["&amp;G313&amp;"]"&amp;E313&amp;"'!"&amp;$AH$2),OR(I313=INDIRECT("'["&amp;G313&amp;"]"&amp;E313&amp;"'!"&amp;$AF$2))),INDIRECT("'["&amp;G313&amp;"]"&amp;E313&amp;"'!"&amp;$AF$3),0)</f>
        <v>#VALUE!</v>
      </c>
      <c r="U313" s="34" t="e" cm="1">
        <f t="array" aca="1" ref="U313" ca="1">IF(AND(G313=INDIRECT("'["&amp;G313&amp;"]"&amp;E313&amp;"'!"&amp;$AH$2),OR(I313=INDIRECT("'["&amp;G313&amp;"]"&amp;E313&amp;"'!"&amp;$AG$2))),INDIRECT("'["&amp;G313&amp;"]"&amp;E313&amp;"'!"&amp;$AG$3),0)</f>
        <v>#VALUE!</v>
      </c>
      <c r="V313" s="25" t="str">
        <f t="shared" si="87"/>
        <v/>
      </c>
      <c r="W313" s="36" t="e" cm="1">
        <f t="array" aca="1" ref="W313" ca="1">IF(AND(G313=INDIRECT("'["&amp;G313&amp;"]"&amp;E313&amp;"'!"&amp;$AH$2),OR(V313=INDIRECT("'["&amp;G313&amp;"]"&amp;E313&amp;"'!"&amp;$AI$2))),INDIRECT("'["&amp;G313&amp;"]"&amp;E313&amp;"'!"&amp;$AI$3),0)</f>
        <v>#VALUE!</v>
      </c>
      <c r="AJ313" s="25">
        <v>1</v>
      </c>
      <c r="AK313" s="38">
        <f t="shared" ca="1" si="88"/>
        <v>0</v>
      </c>
      <c r="AL313" s="38">
        <f t="shared" ca="1" si="89"/>
        <v>0</v>
      </c>
      <c r="AM313" s="54" t="str">
        <f t="shared" ca="1" si="80"/>
        <v/>
      </c>
      <c r="AN313" s="25" t="e">
        <f t="shared" ca="1" si="90"/>
        <v>#VALUE!</v>
      </c>
      <c r="AO313" s="25" t="e">
        <f t="shared" ca="1" si="91"/>
        <v>#VALUE!</v>
      </c>
      <c r="AP313" s="39" t="str">
        <f t="shared" ca="1" si="81"/>
        <v/>
      </c>
      <c r="AQ313" s="46" t="str">
        <f ca="1">IF(AND(C313&lt;&gt;0, C314=0), SUM($C$2:C313)-SUM($AQ$1:AQ312), "")</f>
        <v/>
      </c>
      <c r="AR313" s="46" t="str">
        <f ca="1">IF(AND(AK313&lt;&gt;0, AK314=0), SUM($AK$2:AK313)-SUM($AR$1:AR312), "")</f>
        <v/>
      </c>
    </row>
    <row r="314" spans="1:46" ht="13.15" customHeight="1">
      <c r="A314" s="62"/>
      <c r="B314" s="68" t="str">
        <f t="shared" si="92"/>
        <v/>
      </c>
      <c r="C314" s="55" cm="1">
        <f t="array" aca="1" ref="C314" ca="1">SUM(IF(ISNUMBER(M314:U314),M314:U314,""))</f>
        <v>0</v>
      </c>
      <c r="D314" s="25" t="str">
        <f t="shared" si="93"/>
        <v/>
      </c>
      <c r="E314" s="25" t="e">
        <f t="shared" si="82"/>
        <v>#VALUE!</v>
      </c>
      <c r="F314" s="25" t="str">
        <f t="shared" si="94"/>
        <v/>
      </c>
      <c r="G314" s="25" t="str">
        <f t="shared" si="79"/>
        <v>.xlsx</v>
      </c>
      <c r="H314" s="29" t="e" cm="1">
        <f t="array" aca="1" ref="H314" ca="1">IF(AND(VALUE(E314)=INDIRECT("'["&amp;G314&amp;"]"&amp;E314&amp;"'!"&amp;$X$2),G314=INDIRECT("'["&amp;G314&amp;"]"&amp;E314&amp;"'!"&amp;$X$3)),INDIRECT("'["&amp;G314&amp;"]"&amp;E314&amp;"'!"&amp;$X$1),0)</f>
        <v>#VALUE!</v>
      </c>
      <c r="I314" s="25" t="str">
        <f t="shared" si="83"/>
        <v/>
      </c>
      <c r="J314" s="32" t="str">
        <f t="shared" si="84"/>
        <v/>
      </c>
      <c r="K314" s="25" t="str">
        <f t="shared" si="85"/>
        <v/>
      </c>
      <c r="L314" s="25" t="str">
        <f t="shared" si="86"/>
        <v/>
      </c>
      <c r="M314" s="33" t="e" cm="1">
        <f t="array" aca="1" ref="M314" ca="1">IF(AND(J314=INDIRECT("'["&amp;G314&amp;"]"&amp;E314&amp;"'!"&amp;$Y$2),G314=INDIRECT("'["&amp;G314&amp;"]"&amp;E314&amp;"'!"&amp;$AH$2)),INDIRECT("'["&amp;G314&amp;"]"&amp;E314&amp;"'!"&amp;$Y$3),0)</f>
        <v>#VALUE!</v>
      </c>
      <c r="N314" s="34" t="e" cm="1">
        <f t="array" aca="1" ref="N314" ca="1">IF(AND(G314=INDIRECT("'["&amp;G314&amp;"]"&amp;E314&amp;"'!"&amp;$AH$2),OR(K314=INDIRECT("'["&amp;G314&amp;"]"&amp;E314&amp;"'!"&amp;$Z$2))),INDIRECT("'["&amp;G314&amp;"]"&amp;E314&amp;"'!"&amp;$Z$3),0)</f>
        <v>#VALUE!</v>
      </c>
      <c r="O314" s="34" t="e" cm="1">
        <f t="array" aca="1" ref="O314" ca="1">IF(AND(G314=INDIRECT("'["&amp;G314&amp;"]"&amp;E314&amp;"'!"&amp;$AH$2),OR(L314=INDIRECT("'["&amp;G314&amp;"]"&amp;E314&amp;"'!"&amp;$AA$2))),INDIRECT("'["&amp;G314&amp;"]"&amp;E314&amp;"'!"&amp;$AA$3),0)</f>
        <v>#VALUE!</v>
      </c>
      <c r="P314" s="34" t="e" cm="1">
        <f t="array" aca="1" ref="P314" ca="1">IF(AND(G314=INDIRECT("'["&amp;G314&amp;"]"&amp;E314&amp;"'!"&amp;$AH$2),OR(VALUE(I314)=INDIRECT("'["&amp;G314&amp;"]"&amp;E314&amp;"'!"&amp;$AB$2))),INDIRECT("'["&amp;G314&amp;"]"&amp;E314&amp;"'!"&amp;$AB$3),0)</f>
        <v>#VALUE!</v>
      </c>
      <c r="Q314" s="34" t="e" cm="1">
        <f t="array" aca="1" ref="Q314" ca="1">IF(AND(G314=INDIRECT("'["&amp;G314&amp;"]"&amp;E314&amp;"'!"&amp;$AH$2),OR(VALUE(I314)=INDIRECT("'["&amp;G314&amp;"]"&amp;E314&amp;"'!"&amp;$AC$2))),INDIRECT("'["&amp;G314&amp;"]"&amp;E314&amp;"'!"&amp;$AC$3),0)</f>
        <v>#VALUE!</v>
      </c>
      <c r="R314" s="34" t="e" cm="1">
        <f t="array" aca="1" ref="R314" ca="1">IF(AND(G314=INDIRECT("'["&amp;G314&amp;"]"&amp;E314&amp;"'!"&amp;$AH$2),OR(I314=INDIRECT("'["&amp;G314&amp;"]"&amp;E314&amp;"'!"&amp;$AD$2))),INDIRECT("'["&amp;G314&amp;"]"&amp;E314&amp;"'!"&amp;$AD$3),0)</f>
        <v>#VALUE!</v>
      </c>
      <c r="S314" s="34" t="e" cm="1">
        <f t="array" aca="1" ref="S314" ca="1">IF(AND(G314=INDIRECT("'["&amp;G314&amp;"]"&amp;E314&amp;"'!"&amp;$AH$2),OR(I314=INDIRECT("'["&amp;G314&amp;"]"&amp;E314&amp;"'!"&amp;$AE$2))),INDIRECT("'["&amp;G314&amp;"]"&amp;E314&amp;"'!"&amp;$AE$3),0)</f>
        <v>#VALUE!</v>
      </c>
      <c r="T314" s="35" t="e" cm="1">
        <f t="array" aca="1" ref="T314" ca="1">IF(AND(G314=INDIRECT("'["&amp;G314&amp;"]"&amp;E314&amp;"'!"&amp;$AH$2),OR(I314=INDIRECT("'["&amp;G314&amp;"]"&amp;E314&amp;"'!"&amp;$AF$2))),INDIRECT("'["&amp;G314&amp;"]"&amp;E314&amp;"'!"&amp;$AF$3),0)</f>
        <v>#VALUE!</v>
      </c>
      <c r="U314" s="34" t="e" cm="1">
        <f t="array" aca="1" ref="U314" ca="1">IF(AND(G314=INDIRECT("'["&amp;G314&amp;"]"&amp;E314&amp;"'!"&amp;$AH$2),OR(I314=INDIRECT("'["&amp;G314&amp;"]"&amp;E314&amp;"'!"&amp;$AG$2))),INDIRECT("'["&amp;G314&amp;"]"&amp;E314&amp;"'!"&amp;$AG$3),0)</f>
        <v>#VALUE!</v>
      </c>
      <c r="V314" s="25" t="str">
        <f t="shared" si="87"/>
        <v/>
      </c>
      <c r="W314" s="36" t="e" cm="1">
        <f t="array" aca="1" ref="W314" ca="1">IF(AND(G314=INDIRECT("'["&amp;G314&amp;"]"&amp;E314&amp;"'!"&amp;$AH$2),OR(V314=INDIRECT("'["&amp;G314&amp;"]"&amp;E314&amp;"'!"&amp;$AI$2))),INDIRECT("'["&amp;G314&amp;"]"&amp;E314&amp;"'!"&amp;$AI$3),0)</f>
        <v>#VALUE!</v>
      </c>
      <c r="AJ314" s="25">
        <v>1</v>
      </c>
      <c r="AK314" s="38">
        <f t="shared" ca="1" si="88"/>
        <v>0</v>
      </c>
      <c r="AL314" s="38">
        <f t="shared" ca="1" si="89"/>
        <v>0</v>
      </c>
      <c r="AM314" s="54" t="str">
        <f t="shared" ca="1" si="80"/>
        <v/>
      </c>
      <c r="AN314" s="25" t="e">
        <f t="shared" ca="1" si="90"/>
        <v>#VALUE!</v>
      </c>
      <c r="AO314" s="25" t="e">
        <f t="shared" ca="1" si="91"/>
        <v>#VALUE!</v>
      </c>
      <c r="AP314" s="39" t="str">
        <f t="shared" ca="1" si="81"/>
        <v/>
      </c>
      <c r="AQ314" s="46" t="str">
        <f ca="1">IF(AND(C314&lt;&gt;0, C315=0), SUM($C$2:C314)-SUM($AQ$1:AQ313), "")</f>
        <v/>
      </c>
      <c r="AR314" s="46" t="str">
        <f ca="1">IF(AND(AK314&lt;&gt;0, AK315=0), SUM($AK$2:AK314)-SUM($AR$1:AR313), "")</f>
        <v/>
      </c>
    </row>
    <row r="315" spans="1:46" ht="13.15" customHeight="1">
      <c r="A315" s="62"/>
      <c r="B315" s="68" t="str">
        <f t="shared" si="92"/>
        <v/>
      </c>
      <c r="C315" s="55" cm="1">
        <f t="array" aca="1" ref="C315" ca="1">SUM(IF(ISNUMBER(M315:U315),M315:U315,""))</f>
        <v>0</v>
      </c>
      <c r="D315" s="25" t="str">
        <f t="shared" si="93"/>
        <v/>
      </c>
      <c r="E315" s="25" t="e">
        <f t="shared" si="82"/>
        <v>#VALUE!</v>
      </c>
      <c r="F315" s="25" t="str">
        <f t="shared" si="94"/>
        <v/>
      </c>
      <c r="G315" s="25" t="str">
        <f t="shared" si="79"/>
        <v>.xlsx</v>
      </c>
      <c r="H315" s="29" t="e" cm="1">
        <f t="array" aca="1" ref="H315" ca="1">IF(AND(VALUE(E315)=INDIRECT("'["&amp;G315&amp;"]"&amp;E315&amp;"'!"&amp;$X$2),G315=INDIRECT("'["&amp;G315&amp;"]"&amp;E315&amp;"'!"&amp;$X$3)),INDIRECT("'["&amp;G315&amp;"]"&amp;E315&amp;"'!"&amp;$X$1),0)</f>
        <v>#VALUE!</v>
      </c>
      <c r="I315" s="25" t="str">
        <f t="shared" si="83"/>
        <v/>
      </c>
      <c r="J315" s="32" t="str">
        <f t="shared" si="84"/>
        <v/>
      </c>
      <c r="K315" s="25" t="str">
        <f t="shared" si="85"/>
        <v/>
      </c>
      <c r="L315" s="25" t="str">
        <f t="shared" si="86"/>
        <v/>
      </c>
      <c r="M315" s="33" t="e" cm="1">
        <f t="array" aca="1" ref="M315" ca="1">IF(AND(J315=INDIRECT("'["&amp;G315&amp;"]"&amp;E315&amp;"'!"&amp;$Y$2),G315=INDIRECT("'["&amp;G315&amp;"]"&amp;E315&amp;"'!"&amp;$AH$2)),INDIRECT("'["&amp;G315&amp;"]"&amp;E315&amp;"'!"&amp;$Y$3),0)</f>
        <v>#VALUE!</v>
      </c>
      <c r="N315" s="34" t="e" cm="1">
        <f t="array" aca="1" ref="N315" ca="1">IF(AND(G315=INDIRECT("'["&amp;G315&amp;"]"&amp;E315&amp;"'!"&amp;$AH$2),OR(K315=INDIRECT("'["&amp;G315&amp;"]"&amp;E315&amp;"'!"&amp;$Z$2))),INDIRECT("'["&amp;G315&amp;"]"&amp;E315&amp;"'!"&amp;$Z$3),0)</f>
        <v>#VALUE!</v>
      </c>
      <c r="O315" s="34" t="e" cm="1">
        <f t="array" aca="1" ref="O315" ca="1">IF(AND(G315=INDIRECT("'["&amp;G315&amp;"]"&amp;E315&amp;"'!"&amp;$AH$2),OR(L315=INDIRECT("'["&amp;G315&amp;"]"&amp;E315&amp;"'!"&amp;$AA$2))),INDIRECT("'["&amp;G315&amp;"]"&amp;E315&amp;"'!"&amp;$AA$3),0)</f>
        <v>#VALUE!</v>
      </c>
      <c r="P315" s="34" t="e" cm="1">
        <f t="array" aca="1" ref="P315" ca="1">IF(AND(G315=INDIRECT("'["&amp;G315&amp;"]"&amp;E315&amp;"'!"&amp;$AH$2),OR(VALUE(I315)=INDIRECT("'["&amp;G315&amp;"]"&amp;E315&amp;"'!"&amp;$AB$2))),INDIRECT("'["&amp;G315&amp;"]"&amp;E315&amp;"'!"&amp;$AB$3),0)</f>
        <v>#VALUE!</v>
      </c>
      <c r="Q315" s="34" t="e" cm="1">
        <f t="array" aca="1" ref="Q315" ca="1">IF(AND(G315=INDIRECT("'["&amp;G315&amp;"]"&amp;E315&amp;"'!"&amp;$AH$2),OR(VALUE(I315)=INDIRECT("'["&amp;G315&amp;"]"&amp;E315&amp;"'!"&amp;$AC$2))),INDIRECT("'["&amp;G315&amp;"]"&amp;E315&amp;"'!"&amp;$AC$3),0)</f>
        <v>#VALUE!</v>
      </c>
      <c r="R315" s="34" t="e" cm="1">
        <f t="array" aca="1" ref="R315" ca="1">IF(AND(G315=INDIRECT("'["&amp;G315&amp;"]"&amp;E315&amp;"'!"&amp;$AH$2),OR(I315=INDIRECT("'["&amp;G315&amp;"]"&amp;E315&amp;"'!"&amp;$AD$2))),INDIRECT("'["&amp;G315&amp;"]"&amp;E315&amp;"'!"&amp;$AD$3),0)</f>
        <v>#VALUE!</v>
      </c>
      <c r="S315" s="34" t="e" cm="1">
        <f t="array" aca="1" ref="S315" ca="1">IF(AND(G315=INDIRECT("'["&amp;G315&amp;"]"&amp;E315&amp;"'!"&amp;$AH$2),OR(I315=INDIRECT("'["&amp;G315&amp;"]"&amp;E315&amp;"'!"&amp;$AE$2))),INDIRECT("'["&amp;G315&amp;"]"&amp;E315&amp;"'!"&amp;$AE$3),0)</f>
        <v>#VALUE!</v>
      </c>
      <c r="T315" s="35" t="e" cm="1">
        <f t="array" aca="1" ref="T315" ca="1">IF(AND(G315=INDIRECT("'["&amp;G315&amp;"]"&amp;E315&amp;"'!"&amp;$AH$2),OR(I315=INDIRECT("'["&amp;G315&amp;"]"&amp;E315&amp;"'!"&amp;$AF$2))),INDIRECT("'["&amp;G315&amp;"]"&amp;E315&amp;"'!"&amp;$AF$3),0)</f>
        <v>#VALUE!</v>
      </c>
      <c r="U315" s="34" t="e" cm="1">
        <f t="array" aca="1" ref="U315" ca="1">IF(AND(G315=INDIRECT("'["&amp;G315&amp;"]"&amp;E315&amp;"'!"&amp;$AH$2),OR(I315=INDIRECT("'["&amp;G315&amp;"]"&amp;E315&amp;"'!"&amp;$AG$2))),INDIRECT("'["&amp;G315&amp;"]"&amp;E315&amp;"'!"&amp;$AG$3),0)</f>
        <v>#VALUE!</v>
      </c>
      <c r="V315" s="25" t="str">
        <f t="shared" si="87"/>
        <v/>
      </c>
      <c r="W315" s="36" t="e" cm="1">
        <f t="array" aca="1" ref="W315" ca="1">IF(AND(G315=INDIRECT("'["&amp;G315&amp;"]"&amp;E315&amp;"'!"&amp;$AH$2),OR(V315=INDIRECT("'["&amp;G315&amp;"]"&amp;E315&amp;"'!"&amp;$AI$2))),INDIRECT("'["&amp;G315&amp;"]"&amp;E315&amp;"'!"&amp;$AI$3),0)</f>
        <v>#VALUE!</v>
      </c>
      <c r="AJ315" s="25">
        <v>1</v>
      </c>
      <c r="AK315" s="38">
        <f t="shared" ca="1" si="88"/>
        <v>0</v>
      </c>
      <c r="AL315" s="38">
        <f t="shared" ca="1" si="89"/>
        <v>0</v>
      </c>
      <c r="AM315" s="54" t="str">
        <f t="shared" ca="1" si="80"/>
        <v/>
      </c>
      <c r="AN315" s="25" t="e">
        <f t="shared" ca="1" si="90"/>
        <v>#VALUE!</v>
      </c>
      <c r="AO315" s="25" t="e">
        <f t="shared" ca="1" si="91"/>
        <v>#VALUE!</v>
      </c>
      <c r="AP315" s="39" t="str">
        <f t="shared" ca="1" si="81"/>
        <v/>
      </c>
      <c r="AQ315" s="46" t="str">
        <f ca="1">IF(AND(C315&lt;&gt;0, C316=0), SUM($C$2:C315)-SUM($AQ$1:AQ314), "")</f>
        <v/>
      </c>
      <c r="AR315" s="46" t="str">
        <f ca="1">IF(AND(AK315&lt;&gt;0, AK316=0), SUM($AK$2:AK315)-SUM($AR$1:AR314), "")</f>
        <v/>
      </c>
    </row>
    <row r="316" spans="1:46" ht="13.15" customHeight="1">
      <c r="A316" s="62"/>
      <c r="B316" s="68" t="str">
        <f t="shared" si="92"/>
        <v/>
      </c>
      <c r="C316" s="55" cm="1">
        <f t="array" aca="1" ref="C316" ca="1">SUM(IF(ISNUMBER(M316:U316),M316:U316,""))</f>
        <v>0</v>
      </c>
      <c r="D316" s="25" t="str">
        <f t="shared" si="93"/>
        <v/>
      </c>
      <c r="E316" s="25" t="e">
        <f t="shared" si="82"/>
        <v>#VALUE!</v>
      </c>
      <c r="F316" s="25" t="str">
        <f t="shared" si="94"/>
        <v/>
      </c>
      <c r="G316" s="25" t="str">
        <f t="shared" si="79"/>
        <v>.xlsx</v>
      </c>
      <c r="H316" s="29" t="e" cm="1">
        <f t="array" aca="1" ref="H316" ca="1">IF(AND(VALUE(E316)=INDIRECT("'["&amp;G316&amp;"]"&amp;E316&amp;"'!"&amp;$X$2),G316=INDIRECT("'["&amp;G316&amp;"]"&amp;E316&amp;"'!"&amp;$X$3)),INDIRECT("'["&amp;G316&amp;"]"&amp;E316&amp;"'!"&amp;$X$1),0)</f>
        <v>#VALUE!</v>
      </c>
      <c r="I316" s="25" t="str">
        <f t="shared" si="83"/>
        <v/>
      </c>
      <c r="J316" s="32" t="str">
        <f t="shared" si="84"/>
        <v/>
      </c>
      <c r="K316" s="25" t="str">
        <f t="shared" si="85"/>
        <v/>
      </c>
      <c r="L316" s="25" t="str">
        <f t="shared" si="86"/>
        <v/>
      </c>
      <c r="M316" s="33" t="e" cm="1">
        <f t="array" aca="1" ref="M316" ca="1">IF(AND(J316=INDIRECT("'["&amp;G316&amp;"]"&amp;E316&amp;"'!"&amp;$Y$2),G316=INDIRECT("'["&amp;G316&amp;"]"&amp;E316&amp;"'!"&amp;$AH$2)),INDIRECT("'["&amp;G316&amp;"]"&amp;E316&amp;"'!"&amp;$Y$3),0)</f>
        <v>#VALUE!</v>
      </c>
      <c r="N316" s="34" t="e" cm="1">
        <f t="array" aca="1" ref="N316" ca="1">IF(AND(G316=INDIRECT("'["&amp;G316&amp;"]"&amp;E316&amp;"'!"&amp;$AH$2),OR(K316=INDIRECT("'["&amp;G316&amp;"]"&amp;E316&amp;"'!"&amp;$Z$2))),INDIRECT("'["&amp;G316&amp;"]"&amp;E316&amp;"'!"&amp;$Z$3),0)</f>
        <v>#VALUE!</v>
      </c>
      <c r="O316" s="34" t="e" cm="1">
        <f t="array" aca="1" ref="O316" ca="1">IF(AND(G316=INDIRECT("'["&amp;G316&amp;"]"&amp;E316&amp;"'!"&amp;$AH$2),OR(L316=INDIRECT("'["&amp;G316&amp;"]"&amp;E316&amp;"'!"&amp;$AA$2))),INDIRECT("'["&amp;G316&amp;"]"&amp;E316&amp;"'!"&amp;$AA$3),0)</f>
        <v>#VALUE!</v>
      </c>
      <c r="P316" s="34" t="e" cm="1">
        <f t="array" aca="1" ref="P316" ca="1">IF(AND(G316=INDIRECT("'["&amp;G316&amp;"]"&amp;E316&amp;"'!"&amp;$AH$2),OR(VALUE(I316)=INDIRECT("'["&amp;G316&amp;"]"&amp;E316&amp;"'!"&amp;$AB$2))),INDIRECT("'["&amp;G316&amp;"]"&amp;E316&amp;"'!"&amp;$AB$3),0)</f>
        <v>#VALUE!</v>
      </c>
      <c r="Q316" s="34" t="e" cm="1">
        <f t="array" aca="1" ref="Q316" ca="1">IF(AND(G316=INDIRECT("'["&amp;G316&amp;"]"&amp;E316&amp;"'!"&amp;$AH$2),OR(VALUE(I316)=INDIRECT("'["&amp;G316&amp;"]"&amp;E316&amp;"'!"&amp;$AC$2))),INDIRECT("'["&amp;G316&amp;"]"&amp;E316&amp;"'!"&amp;$AC$3),0)</f>
        <v>#VALUE!</v>
      </c>
      <c r="R316" s="34" t="e" cm="1">
        <f t="array" aca="1" ref="R316" ca="1">IF(AND(G316=INDIRECT("'["&amp;G316&amp;"]"&amp;E316&amp;"'!"&amp;$AH$2),OR(I316=INDIRECT("'["&amp;G316&amp;"]"&amp;E316&amp;"'!"&amp;$AD$2))),INDIRECT("'["&amp;G316&amp;"]"&amp;E316&amp;"'!"&amp;$AD$3),0)</f>
        <v>#VALUE!</v>
      </c>
      <c r="S316" s="34" t="e" cm="1">
        <f t="array" aca="1" ref="S316" ca="1">IF(AND(G316=INDIRECT("'["&amp;G316&amp;"]"&amp;E316&amp;"'!"&amp;$AH$2),OR(I316=INDIRECT("'["&amp;G316&amp;"]"&amp;E316&amp;"'!"&amp;$AE$2))),INDIRECT("'["&amp;G316&amp;"]"&amp;E316&amp;"'!"&amp;$AE$3),0)</f>
        <v>#VALUE!</v>
      </c>
      <c r="T316" s="35" t="e" cm="1">
        <f t="array" aca="1" ref="T316" ca="1">IF(AND(G316=INDIRECT("'["&amp;G316&amp;"]"&amp;E316&amp;"'!"&amp;$AH$2),OR(I316=INDIRECT("'["&amp;G316&amp;"]"&amp;E316&amp;"'!"&amp;$AF$2))),INDIRECT("'["&amp;G316&amp;"]"&amp;E316&amp;"'!"&amp;$AF$3),0)</f>
        <v>#VALUE!</v>
      </c>
      <c r="U316" s="34" t="e" cm="1">
        <f t="array" aca="1" ref="U316" ca="1">IF(AND(G316=INDIRECT("'["&amp;G316&amp;"]"&amp;E316&amp;"'!"&amp;$AH$2),OR(I316=INDIRECT("'["&amp;G316&amp;"]"&amp;E316&amp;"'!"&amp;$AG$2))),INDIRECT("'["&amp;G316&amp;"]"&amp;E316&amp;"'!"&amp;$AG$3),0)</f>
        <v>#VALUE!</v>
      </c>
      <c r="V316" s="25" t="str">
        <f t="shared" si="87"/>
        <v/>
      </c>
      <c r="W316" s="36" t="e" cm="1">
        <f t="array" aca="1" ref="W316" ca="1">IF(AND(G316=INDIRECT("'["&amp;G316&amp;"]"&amp;E316&amp;"'!"&amp;$AH$2),OR(V316=INDIRECT("'["&amp;G316&amp;"]"&amp;E316&amp;"'!"&amp;$AI$2))),INDIRECT("'["&amp;G316&amp;"]"&amp;E316&amp;"'!"&amp;$AI$3),0)</f>
        <v>#VALUE!</v>
      </c>
      <c r="AJ316" s="25">
        <v>1</v>
      </c>
      <c r="AK316" s="38">
        <f t="shared" ref="AK316:AK379" ca="1" si="95">(C316*AJ316%)</f>
        <v>0</v>
      </c>
      <c r="AL316" s="38">
        <f t="shared" ref="AL316:AL379" ca="1" si="96">C316-AK316</f>
        <v>0</v>
      </c>
      <c r="AM316" s="54" t="str">
        <f t="shared" ref="AM316:AM379" ca="1" si="97">IF(A316&lt;&gt;"",IF(AM316="",NOW(),AM316),"")</f>
        <v/>
      </c>
      <c r="AN316" s="25" t="e">
        <f t="shared" ref="AN316:AN379" ca="1" si="98">IF(VALUE(N316),"/","")</f>
        <v>#VALUE!</v>
      </c>
      <c r="AO316" s="25" t="e">
        <f t="shared" ref="AO316:AO379" ca="1" si="99">IF(VALUE(O316),"/","")</f>
        <v>#VALUE!</v>
      </c>
      <c r="AP316" s="39" t="str">
        <f t="shared" ref="AP316:AP379" ca="1" si="100">IF(ISTEXT(W316),"อายัด","")</f>
        <v/>
      </c>
      <c r="AQ316" s="46" t="str">
        <f ca="1">IF(AND(C316&lt;&gt;0, C317=0), SUM($C$2:C316)-SUM($AQ$1:AQ315), "")</f>
        <v/>
      </c>
      <c r="AR316" s="46" t="str">
        <f ca="1">IF(AND(AK316&lt;&gt;0, AK317=0), SUM($AK$2:AK316)-SUM($AR$1:AR315), "")</f>
        <v/>
      </c>
    </row>
    <row r="317" spans="1:46" ht="13.15" customHeight="1">
      <c r="A317" s="62"/>
      <c r="B317" s="68" t="str">
        <f t="shared" ref="B317:B380" si="101">LEFT(A317,15)</f>
        <v/>
      </c>
      <c r="C317" s="55" cm="1">
        <f t="array" aca="1" ref="C317" ca="1">SUM(IF(ISNUMBER(M317:U317),M317:U317,""))</f>
        <v>0</v>
      </c>
      <c r="D317" s="25" t="str">
        <f t="shared" ref="D317:D380" si="102">MID(A317,4,2)</f>
        <v/>
      </c>
      <c r="E317" s="25" t="e">
        <f t="shared" ref="E317:E380" si="103">IF(ISEVEN(D317),D317-1,VALUE(D317))</f>
        <v>#VALUE!</v>
      </c>
      <c r="F317" s="25" t="str">
        <f t="shared" ref="F317:F380" si="104">LEFT(A317,2)</f>
        <v/>
      </c>
      <c r="G317" s="25" t="str">
        <f t="shared" ref="G317:G380" si="105">CONCATENATE(F317,".xlsx")</f>
        <v>.xlsx</v>
      </c>
      <c r="H317" s="29" t="e" cm="1">
        <f t="array" aca="1" ref="H317" ca="1">IF(AND(VALUE(E317)=INDIRECT("'["&amp;G317&amp;"]"&amp;E317&amp;"'!"&amp;$X$2),G317=INDIRECT("'["&amp;G317&amp;"]"&amp;E317&amp;"'!"&amp;$X$3)),INDIRECT("'["&amp;G317&amp;"]"&amp;E317&amp;"'!"&amp;$X$1),0)</f>
        <v>#VALUE!</v>
      </c>
      <c r="I317" s="25" t="str">
        <f t="shared" ref="I317:I380" si="106">MID(A317,10,6)</f>
        <v/>
      </c>
      <c r="J317" s="32" t="str">
        <f t="shared" ref="J317:J380" si="107">RIGHT(I317,2)</f>
        <v/>
      </c>
      <c r="K317" s="25" t="str">
        <f t="shared" ref="K317:K380" si="108">LEFT(I317,3)</f>
        <v/>
      </c>
      <c r="L317" s="25" t="str">
        <f t="shared" ref="L317:L380" si="109">RIGHT(I317,3)</f>
        <v/>
      </c>
      <c r="M317" s="33" t="e" cm="1">
        <f t="array" aca="1" ref="M317" ca="1">IF(AND(J317=INDIRECT("'["&amp;G317&amp;"]"&amp;E317&amp;"'!"&amp;$Y$2),G317=INDIRECT("'["&amp;G317&amp;"]"&amp;E317&amp;"'!"&amp;$AH$2)),INDIRECT("'["&amp;G317&amp;"]"&amp;E317&amp;"'!"&amp;$Y$3),0)</f>
        <v>#VALUE!</v>
      </c>
      <c r="N317" s="34" t="e" cm="1">
        <f t="array" aca="1" ref="N317" ca="1">IF(AND(G317=INDIRECT("'["&amp;G317&amp;"]"&amp;E317&amp;"'!"&amp;$AH$2),OR(K317=INDIRECT("'["&amp;G317&amp;"]"&amp;E317&amp;"'!"&amp;$Z$2))),INDIRECT("'["&amp;G317&amp;"]"&amp;E317&amp;"'!"&amp;$Z$3),0)</f>
        <v>#VALUE!</v>
      </c>
      <c r="O317" s="34" t="e" cm="1">
        <f t="array" aca="1" ref="O317" ca="1">IF(AND(G317=INDIRECT("'["&amp;G317&amp;"]"&amp;E317&amp;"'!"&amp;$AH$2),OR(L317=INDIRECT("'["&amp;G317&amp;"]"&amp;E317&amp;"'!"&amp;$AA$2))),INDIRECT("'["&amp;G317&amp;"]"&amp;E317&amp;"'!"&amp;$AA$3),0)</f>
        <v>#VALUE!</v>
      </c>
      <c r="P317" s="34" t="e" cm="1">
        <f t="array" aca="1" ref="P317" ca="1">IF(AND(G317=INDIRECT("'["&amp;G317&amp;"]"&amp;E317&amp;"'!"&amp;$AH$2),OR(VALUE(I317)=INDIRECT("'["&amp;G317&amp;"]"&amp;E317&amp;"'!"&amp;$AB$2))),INDIRECT("'["&amp;G317&amp;"]"&amp;E317&amp;"'!"&amp;$AB$3),0)</f>
        <v>#VALUE!</v>
      </c>
      <c r="Q317" s="34" t="e" cm="1">
        <f t="array" aca="1" ref="Q317" ca="1">IF(AND(G317=INDIRECT("'["&amp;G317&amp;"]"&amp;E317&amp;"'!"&amp;$AH$2),OR(VALUE(I317)=INDIRECT("'["&amp;G317&amp;"]"&amp;E317&amp;"'!"&amp;$AC$2))),INDIRECT("'["&amp;G317&amp;"]"&amp;E317&amp;"'!"&amp;$AC$3),0)</f>
        <v>#VALUE!</v>
      </c>
      <c r="R317" s="34" t="e" cm="1">
        <f t="array" aca="1" ref="R317" ca="1">IF(AND(G317=INDIRECT("'["&amp;G317&amp;"]"&amp;E317&amp;"'!"&amp;$AH$2),OR(I317=INDIRECT("'["&amp;G317&amp;"]"&amp;E317&amp;"'!"&amp;$AD$2))),INDIRECT("'["&amp;G317&amp;"]"&amp;E317&amp;"'!"&amp;$AD$3),0)</f>
        <v>#VALUE!</v>
      </c>
      <c r="S317" s="34" t="e" cm="1">
        <f t="array" aca="1" ref="S317" ca="1">IF(AND(G317=INDIRECT("'["&amp;G317&amp;"]"&amp;E317&amp;"'!"&amp;$AH$2),OR(I317=INDIRECT("'["&amp;G317&amp;"]"&amp;E317&amp;"'!"&amp;$AE$2))),INDIRECT("'["&amp;G317&amp;"]"&amp;E317&amp;"'!"&amp;$AE$3),0)</f>
        <v>#VALUE!</v>
      </c>
      <c r="T317" s="35" t="e" cm="1">
        <f t="array" aca="1" ref="T317" ca="1">IF(AND(G317=INDIRECT("'["&amp;G317&amp;"]"&amp;E317&amp;"'!"&amp;$AH$2),OR(I317=INDIRECT("'["&amp;G317&amp;"]"&amp;E317&amp;"'!"&amp;$AF$2))),INDIRECT("'["&amp;G317&amp;"]"&amp;E317&amp;"'!"&amp;$AF$3),0)</f>
        <v>#VALUE!</v>
      </c>
      <c r="U317" s="34" t="e" cm="1">
        <f t="array" aca="1" ref="U317" ca="1">IF(AND(G317=INDIRECT("'["&amp;G317&amp;"]"&amp;E317&amp;"'!"&amp;$AH$2),OR(I317=INDIRECT("'["&amp;G317&amp;"]"&amp;E317&amp;"'!"&amp;$AG$2))),INDIRECT("'["&amp;G317&amp;"]"&amp;E317&amp;"'!"&amp;$AG$3),0)</f>
        <v>#VALUE!</v>
      </c>
      <c r="V317" s="25" t="str">
        <f t="shared" ref="V317:V380" si="110">MID(B317,7,9)</f>
        <v/>
      </c>
      <c r="W317" s="36" t="e" cm="1">
        <f t="array" aca="1" ref="W317" ca="1">IF(AND(G317=INDIRECT("'["&amp;G317&amp;"]"&amp;E317&amp;"'!"&amp;$AH$2),OR(V317=INDIRECT("'["&amp;G317&amp;"]"&amp;E317&amp;"'!"&amp;$AI$2))),INDIRECT("'["&amp;G317&amp;"]"&amp;E317&amp;"'!"&amp;$AI$3),0)</f>
        <v>#VALUE!</v>
      </c>
      <c r="AJ317" s="25">
        <v>1</v>
      </c>
      <c r="AK317" s="38">
        <f t="shared" ca="1" si="95"/>
        <v>0</v>
      </c>
      <c r="AL317" s="38">
        <f t="shared" ca="1" si="96"/>
        <v>0</v>
      </c>
      <c r="AM317" s="54" t="str">
        <f t="shared" ca="1" si="97"/>
        <v/>
      </c>
      <c r="AN317" s="25" t="e">
        <f t="shared" ca="1" si="98"/>
        <v>#VALUE!</v>
      </c>
      <c r="AO317" s="25" t="e">
        <f t="shared" ca="1" si="99"/>
        <v>#VALUE!</v>
      </c>
      <c r="AP317" s="39" t="str">
        <f t="shared" ca="1" si="100"/>
        <v/>
      </c>
      <c r="AQ317" s="46" t="str">
        <f ca="1">IF(AND(C317&lt;&gt;0, C318=0), SUM($C$2:C317)-SUM($AQ$1:AQ316), "")</f>
        <v/>
      </c>
      <c r="AR317" s="46" t="str">
        <f ca="1">IF(AND(AK317&lt;&gt;0, AK318=0), SUM($AK$2:AK317)-SUM($AR$1:AR316), "")</f>
        <v/>
      </c>
      <c r="AS317" s="40"/>
      <c r="AT317" s="40"/>
    </row>
    <row r="318" spans="1:46" ht="13.15" customHeight="1">
      <c r="A318" s="62"/>
      <c r="B318" s="68" t="str">
        <f t="shared" si="101"/>
        <v/>
      </c>
      <c r="C318" s="55" cm="1">
        <f t="array" aca="1" ref="C318" ca="1">SUM(IF(ISNUMBER(M318:U318),M318:U318,""))</f>
        <v>0</v>
      </c>
      <c r="D318" s="25" t="str">
        <f t="shared" si="102"/>
        <v/>
      </c>
      <c r="E318" s="25" t="e">
        <f t="shared" si="103"/>
        <v>#VALUE!</v>
      </c>
      <c r="F318" s="25" t="str">
        <f t="shared" si="104"/>
        <v/>
      </c>
      <c r="G318" s="25" t="str">
        <f t="shared" si="105"/>
        <v>.xlsx</v>
      </c>
      <c r="H318" s="29" t="e" cm="1">
        <f t="array" aca="1" ref="H318" ca="1">IF(AND(VALUE(E318)=INDIRECT("'["&amp;G318&amp;"]"&amp;E318&amp;"'!"&amp;$X$2),G318=INDIRECT("'["&amp;G318&amp;"]"&amp;E318&amp;"'!"&amp;$X$3)),INDIRECT("'["&amp;G318&amp;"]"&amp;E318&amp;"'!"&amp;$X$1),0)</f>
        <v>#VALUE!</v>
      </c>
      <c r="I318" s="25" t="str">
        <f t="shared" si="106"/>
        <v/>
      </c>
      <c r="J318" s="32" t="str">
        <f t="shared" si="107"/>
        <v/>
      </c>
      <c r="K318" s="25" t="str">
        <f t="shared" si="108"/>
        <v/>
      </c>
      <c r="L318" s="25" t="str">
        <f t="shared" si="109"/>
        <v/>
      </c>
      <c r="M318" s="33" t="e" cm="1">
        <f t="array" aca="1" ref="M318" ca="1">IF(AND(J318=INDIRECT("'["&amp;G318&amp;"]"&amp;E318&amp;"'!"&amp;$Y$2),G318=INDIRECT("'["&amp;G318&amp;"]"&amp;E318&amp;"'!"&amp;$AH$2)),INDIRECT("'["&amp;G318&amp;"]"&amp;E318&amp;"'!"&amp;$Y$3),0)</f>
        <v>#VALUE!</v>
      </c>
      <c r="N318" s="34" t="e" cm="1">
        <f t="array" aca="1" ref="N318" ca="1">IF(AND(G318=INDIRECT("'["&amp;G318&amp;"]"&amp;E318&amp;"'!"&amp;$AH$2),OR(K318=INDIRECT("'["&amp;G318&amp;"]"&amp;E318&amp;"'!"&amp;$Z$2))),INDIRECT("'["&amp;G318&amp;"]"&amp;E318&amp;"'!"&amp;$Z$3),0)</f>
        <v>#VALUE!</v>
      </c>
      <c r="O318" s="34" t="e" cm="1">
        <f t="array" aca="1" ref="O318" ca="1">IF(AND(G318=INDIRECT("'["&amp;G318&amp;"]"&amp;E318&amp;"'!"&amp;$AH$2),OR(L318=INDIRECT("'["&amp;G318&amp;"]"&amp;E318&amp;"'!"&amp;$AA$2))),INDIRECT("'["&amp;G318&amp;"]"&amp;E318&amp;"'!"&amp;$AA$3),0)</f>
        <v>#VALUE!</v>
      </c>
      <c r="P318" s="34" t="e" cm="1">
        <f t="array" aca="1" ref="P318" ca="1">IF(AND(G318=INDIRECT("'["&amp;G318&amp;"]"&amp;E318&amp;"'!"&amp;$AH$2),OR(VALUE(I318)=INDIRECT("'["&amp;G318&amp;"]"&amp;E318&amp;"'!"&amp;$AB$2))),INDIRECT("'["&amp;G318&amp;"]"&amp;E318&amp;"'!"&amp;$AB$3),0)</f>
        <v>#VALUE!</v>
      </c>
      <c r="Q318" s="34" t="e" cm="1">
        <f t="array" aca="1" ref="Q318" ca="1">IF(AND(G318=INDIRECT("'["&amp;G318&amp;"]"&amp;E318&amp;"'!"&amp;$AH$2),OR(VALUE(I318)=INDIRECT("'["&amp;G318&amp;"]"&amp;E318&amp;"'!"&amp;$AC$2))),INDIRECT("'["&amp;G318&amp;"]"&amp;E318&amp;"'!"&amp;$AC$3),0)</f>
        <v>#VALUE!</v>
      </c>
      <c r="R318" s="34" t="e" cm="1">
        <f t="array" aca="1" ref="R318" ca="1">IF(AND(G318=INDIRECT("'["&amp;G318&amp;"]"&amp;E318&amp;"'!"&amp;$AH$2),OR(I318=INDIRECT("'["&amp;G318&amp;"]"&amp;E318&amp;"'!"&amp;$AD$2))),INDIRECT("'["&amp;G318&amp;"]"&amp;E318&amp;"'!"&amp;$AD$3),0)</f>
        <v>#VALUE!</v>
      </c>
      <c r="S318" s="34" t="e" cm="1">
        <f t="array" aca="1" ref="S318" ca="1">IF(AND(G318=INDIRECT("'["&amp;G318&amp;"]"&amp;E318&amp;"'!"&amp;$AH$2),OR(I318=INDIRECT("'["&amp;G318&amp;"]"&amp;E318&amp;"'!"&amp;$AE$2))),INDIRECT("'["&amp;G318&amp;"]"&amp;E318&amp;"'!"&amp;$AE$3),0)</f>
        <v>#VALUE!</v>
      </c>
      <c r="T318" s="35" t="e" cm="1">
        <f t="array" aca="1" ref="T318" ca="1">IF(AND(G318=INDIRECT("'["&amp;G318&amp;"]"&amp;E318&amp;"'!"&amp;$AH$2),OR(I318=INDIRECT("'["&amp;G318&amp;"]"&amp;E318&amp;"'!"&amp;$AF$2))),INDIRECT("'["&amp;G318&amp;"]"&amp;E318&amp;"'!"&amp;$AF$3),0)</f>
        <v>#VALUE!</v>
      </c>
      <c r="U318" s="34" t="e" cm="1">
        <f t="array" aca="1" ref="U318" ca="1">IF(AND(G318=INDIRECT("'["&amp;G318&amp;"]"&amp;E318&amp;"'!"&amp;$AH$2),OR(I318=INDIRECT("'["&amp;G318&amp;"]"&amp;E318&amp;"'!"&amp;$AG$2))),INDIRECT("'["&amp;G318&amp;"]"&amp;E318&amp;"'!"&amp;$AG$3),0)</f>
        <v>#VALUE!</v>
      </c>
      <c r="V318" s="25" t="str">
        <f t="shared" si="110"/>
        <v/>
      </c>
      <c r="W318" s="36" t="e" cm="1">
        <f t="array" aca="1" ref="W318" ca="1">IF(AND(G318=INDIRECT("'["&amp;G318&amp;"]"&amp;E318&amp;"'!"&amp;$AH$2),OR(V318=INDIRECT("'["&amp;G318&amp;"]"&amp;E318&amp;"'!"&amp;$AI$2))),INDIRECT("'["&amp;G318&amp;"]"&amp;E318&amp;"'!"&amp;$AI$3),0)</f>
        <v>#VALUE!</v>
      </c>
      <c r="AJ318" s="25">
        <v>1</v>
      </c>
      <c r="AK318" s="38">
        <f t="shared" ca="1" si="95"/>
        <v>0</v>
      </c>
      <c r="AL318" s="38">
        <f t="shared" ca="1" si="96"/>
        <v>0</v>
      </c>
      <c r="AM318" s="54" t="str">
        <f t="shared" ca="1" si="97"/>
        <v/>
      </c>
      <c r="AN318" s="25" t="e">
        <f t="shared" ca="1" si="98"/>
        <v>#VALUE!</v>
      </c>
      <c r="AO318" s="25" t="e">
        <f t="shared" ca="1" si="99"/>
        <v>#VALUE!</v>
      </c>
      <c r="AP318" s="39" t="str">
        <f t="shared" ca="1" si="100"/>
        <v/>
      </c>
      <c r="AQ318" s="46" t="str">
        <f ca="1">IF(AND(C318&lt;&gt;0, C319=0), SUM($C$2:C318)-SUM($AQ$1:AQ317), "")</f>
        <v/>
      </c>
      <c r="AR318" s="46" t="str">
        <f ca="1">IF(AND(AK318&lt;&gt;0, AK319=0), SUM($AK$2:AK318)-SUM($AR$1:AR317), "")</f>
        <v/>
      </c>
    </row>
    <row r="319" spans="1:46" ht="13.15" customHeight="1" thickBot="1">
      <c r="A319" s="62"/>
      <c r="B319" s="68" t="str">
        <f t="shared" si="101"/>
        <v/>
      </c>
      <c r="C319" s="55" cm="1">
        <f t="array" aca="1" ref="C319" ca="1">SUM(IF(ISNUMBER(M319:U319),M319:U319,""))</f>
        <v>0</v>
      </c>
      <c r="D319" s="25" t="str">
        <f t="shared" si="102"/>
        <v/>
      </c>
      <c r="E319" s="25" t="e">
        <f t="shared" si="103"/>
        <v>#VALUE!</v>
      </c>
      <c r="F319" s="25" t="str">
        <f t="shared" si="104"/>
        <v/>
      </c>
      <c r="G319" s="25" t="str">
        <f t="shared" si="105"/>
        <v>.xlsx</v>
      </c>
      <c r="H319" s="29" t="e" cm="1">
        <f t="array" aca="1" ref="H319" ca="1">IF(AND(VALUE(E319)=INDIRECT("'["&amp;G319&amp;"]"&amp;E319&amp;"'!"&amp;$X$2),G319=INDIRECT("'["&amp;G319&amp;"]"&amp;E319&amp;"'!"&amp;$X$3)),INDIRECT("'["&amp;G319&amp;"]"&amp;E319&amp;"'!"&amp;$X$1),0)</f>
        <v>#VALUE!</v>
      </c>
      <c r="I319" s="25" t="str">
        <f t="shared" si="106"/>
        <v/>
      </c>
      <c r="J319" s="32" t="str">
        <f t="shared" si="107"/>
        <v/>
      </c>
      <c r="K319" s="25" t="str">
        <f t="shared" si="108"/>
        <v/>
      </c>
      <c r="L319" s="25" t="str">
        <f t="shared" si="109"/>
        <v/>
      </c>
      <c r="M319" s="33" t="e" cm="1">
        <f t="array" aca="1" ref="M319" ca="1">IF(AND(J319=INDIRECT("'["&amp;G319&amp;"]"&amp;E319&amp;"'!"&amp;$Y$2),G319=INDIRECT("'["&amp;G319&amp;"]"&amp;E319&amp;"'!"&amp;$AH$2)),INDIRECT("'["&amp;G319&amp;"]"&amp;E319&amp;"'!"&amp;$Y$3),0)</f>
        <v>#VALUE!</v>
      </c>
      <c r="N319" s="34" t="e" cm="1">
        <f t="array" aca="1" ref="N319" ca="1">IF(AND(G319=INDIRECT("'["&amp;G319&amp;"]"&amp;E319&amp;"'!"&amp;$AH$2),OR(K319=INDIRECT("'["&amp;G319&amp;"]"&amp;E319&amp;"'!"&amp;$Z$2))),INDIRECT("'["&amp;G319&amp;"]"&amp;E319&amp;"'!"&amp;$Z$3),0)</f>
        <v>#VALUE!</v>
      </c>
      <c r="O319" s="34" t="e" cm="1">
        <f t="array" aca="1" ref="O319" ca="1">IF(AND(G319=INDIRECT("'["&amp;G319&amp;"]"&amp;E319&amp;"'!"&amp;$AH$2),OR(L319=INDIRECT("'["&amp;G319&amp;"]"&amp;E319&amp;"'!"&amp;$AA$2))),INDIRECT("'["&amp;G319&amp;"]"&amp;E319&amp;"'!"&amp;$AA$3),0)</f>
        <v>#VALUE!</v>
      </c>
      <c r="P319" s="34" t="e" cm="1">
        <f t="array" aca="1" ref="P319" ca="1">IF(AND(G319=INDIRECT("'["&amp;G319&amp;"]"&amp;E319&amp;"'!"&amp;$AH$2),OR(VALUE(I319)=INDIRECT("'["&amp;G319&amp;"]"&amp;E319&amp;"'!"&amp;$AB$2))),INDIRECT("'["&amp;G319&amp;"]"&amp;E319&amp;"'!"&amp;$AB$3),0)</f>
        <v>#VALUE!</v>
      </c>
      <c r="Q319" s="34" t="e" cm="1">
        <f t="array" aca="1" ref="Q319" ca="1">IF(AND(G319=INDIRECT("'["&amp;G319&amp;"]"&amp;E319&amp;"'!"&amp;$AH$2),OR(VALUE(I319)=INDIRECT("'["&amp;G319&amp;"]"&amp;E319&amp;"'!"&amp;$AC$2))),INDIRECT("'["&amp;G319&amp;"]"&amp;E319&amp;"'!"&amp;$AC$3),0)</f>
        <v>#VALUE!</v>
      </c>
      <c r="R319" s="34" t="e" cm="1">
        <f t="array" aca="1" ref="R319" ca="1">IF(AND(G319=INDIRECT("'["&amp;G319&amp;"]"&amp;E319&amp;"'!"&amp;$AH$2),OR(I319=INDIRECT("'["&amp;G319&amp;"]"&amp;E319&amp;"'!"&amp;$AD$2))),INDIRECT("'["&amp;G319&amp;"]"&amp;E319&amp;"'!"&amp;$AD$3),0)</f>
        <v>#VALUE!</v>
      </c>
      <c r="S319" s="34" t="e" cm="1">
        <f t="array" aca="1" ref="S319" ca="1">IF(AND(G319=INDIRECT("'["&amp;G319&amp;"]"&amp;E319&amp;"'!"&amp;$AH$2),OR(I319=INDIRECT("'["&amp;G319&amp;"]"&amp;E319&amp;"'!"&amp;$AE$2))),INDIRECT("'["&amp;G319&amp;"]"&amp;E319&amp;"'!"&amp;$AE$3),0)</f>
        <v>#VALUE!</v>
      </c>
      <c r="T319" s="35" t="e" cm="1">
        <f t="array" aca="1" ref="T319" ca="1">IF(AND(G319=INDIRECT("'["&amp;G319&amp;"]"&amp;E319&amp;"'!"&amp;$AH$2),OR(I319=INDIRECT("'["&amp;G319&amp;"]"&amp;E319&amp;"'!"&amp;$AF$2))),INDIRECT("'["&amp;G319&amp;"]"&amp;E319&amp;"'!"&amp;$AF$3),0)</f>
        <v>#VALUE!</v>
      </c>
      <c r="U319" s="34" t="e" cm="1">
        <f t="array" aca="1" ref="U319" ca="1">IF(AND(G319=INDIRECT("'["&amp;G319&amp;"]"&amp;E319&amp;"'!"&amp;$AH$2),OR(I319=INDIRECT("'["&amp;G319&amp;"]"&amp;E319&amp;"'!"&amp;$AG$2))),INDIRECT("'["&amp;G319&amp;"]"&amp;E319&amp;"'!"&amp;$AG$3),0)</f>
        <v>#VALUE!</v>
      </c>
      <c r="V319" s="25" t="str">
        <f t="shared" si="110"/>
        <v/>
      </c>
      <c r="W319" s="36" t="e" cm="1">
        <f t="array" aca="1" ref="W319" ca="1">IF(AND(G319=INDIRECT("'["&amp;G319&amp;"]"&amp;E319&amp;"'!"&amp;$AH$2),OR(V319=INDIRECT("'["&amp;G319&amp;"]"&amp;E319&amp;"'!"&amp;$AI$2))),INDIRECT("'["&amp;G319&amp;"]"&amp;E319&amp;"'!"&amp;$AI$3),0)</f>
        <v>#VALUE!</v>
      </c>
      <c r="AJ319" s="25">
        <v>1</v>
      </c>
      <c r="AK319" s="38">
        <f t="shared" ca="1" si="95"/>
        <v>0</v>
      </c>
      <c r="AL319" s="38">
        <f t="shared" ca="1" si="96"/>
        <v>0</v>
      </c>
      <c r="AM319" s="54" t="str">
        <f t="shared" ca="1" si="97"/>
        <v/>
      </c>
      <c r="AN319" s="25" t="e">
        <f t="shared" ca="1" si="98"/>
        <v>#VALUE!</v>
      </c>
      <c r="AO319" s="25" t="e">
        <f t="shared" ca="1" si="99"/>
        <v>#VALUE!</v>
      </c>
      <c r="AP319" s="39" t="str">
        <f t="shared" ca="1" si="100"/>
        <v/>
      </c>
      <c r="AQ319" s="46" t="str">
        <f ca="1">IF(AND(C319&lt;&gt;0, C320=0), SUM($C$2:C319)-SUM($AQ$1:AQ318), "")</f>
        <v/>
      </c>
      <c r="AR319" s="46" t="str">
        <f ca="1">IF(AND(AK319&lt;&gt;0, AK320=0), SUM($AK$2:AK319)-SUM($AR$1:AR318), "")</f>
        <v/>
      </c>
    </row>
    <row r="320" spans="1:46" ht="13.15" customHeight="1">
      <c r="A320" s="62"/>
      <c r="B320" s="68" t="str">
        <f t="shared" si="101"/>
        <v/>
      </c>
      <c r="C320" s="55" cm="1">
        <f t="array" aca="1" ref="C320" ca="1">SUM(IF(ISNUMBER(M320:U320),M320:U320,""))</f>
        <v>0</v>
      </c>
      <c r="D320" s="25" t="str">
        <f t="shared" si="102"/>
        <v/>
      </c>
      <c r="E320" s="25" t="e">
        <f t="shared" si="103"/>
        <v>#VALUE!</v>
      </c>
      <c r="F320" s="25" t="str">
        <f t="shared" si="104"/>
        <v/>
      </c>
      <c r="G320" s="25" t="str">
        <f t="shared" si="105"/>
        <v>.xlsx</v>
      </c>
      <c r="H320" s="29" t="e" cm="1">
        <f t="array" aca="1" ref="H320" ca="1">IF(AND(VALUE(E320)=INDIRECT("'["&amp;G320&amp;"]"&amp;E320&amp;"'!"&amp;$X$2),G320=INDIRECT("'["&amp;G320&amp;"]"&amp;E320&amp;"'!"&amp;$X$3)),INDIRECT("'["&amp;G320&amp;"]"&amp;E320&amp;"'!"&amp;$X$1),0)</f>
        <v>#VALUE!</v>
      </c>
      <c r="I320" s="25" t="str">
        <f t="shared" si="106"/>
        <v/>
      </c>
      <c r="J320" s="32" t="str">
        <f t="shared" si="107"/>
        <v/>
      </c>
      <c r="K320" s="25" t="str">
        <f t="shared" si="108"/>
        <v/>
      </c>
      <c r="L320" s="25" t="str">
        <f t="shared" si="109"/>
        <v/>
      </c>
      <c r="M320" s="33" t="e" cm="1">
        <f t="array" aca="1" ref="M320" ca="1">IF(AND(J320=INDIRECT("'["&amp;G320&amp;"]"&amp;E320&amp;"'!"&amp;$Y$2),G320=INDIRECT("'["&amp;G320&amp;"]"&amp;E320&amp;"'!"&amp;$AH$2)),INDIRECT("'["&amp;G320&amp;"]"&amp;E320&amp;"'!"&amp;$Y$3),0)</f>
        <v>#VALUE!</v>
      </c>
      <c r="N320" s="34" t="e" cm="1">
        <f t="array" aca="1" ref="N320" ca="1">IF(AND(G320=INDIRECT("'["&amp;G320&amp;"]"&amp;E320&amp;"'!"&amp;$AH$2),OR(K320=INDIRECT("'["&amp;G320&amp;"]"&amp;E320&amp;"'!"&amp;$Z$2))),INDIRECT("'["&amp;G320&amp;"]"&amp;E320&amp;"'!"&amp;$Z$3),0)</f>
        <v>#VALUE!</v>
      </c>
      <c r="O320" s="34" t="e" cm="1">
        <f t="array" aca="1" ref="O320" ca="1">IF(AND(G320=INDIRECT("'["&amp;G320&amp;"]"&amp;E320&amp;"'!"&amp;$AH$2),OR(L320=INDIRECT("'["&amp;G320&amp;"]"&amp;E320&amp;"'!"&amp;$AA$2))),INDIRECT("'["&amp;G320&amp;"]"&amp;E320&amp;"'!"&amp;$AA$3),0)</f>
        <v>#VALUE!</v>
      </c>
      <c r="P320" s="34" t="e" cm="1">
        <f t="array" aca="1" ref="P320" ca="1">IF(AND(G320=INDIRECT("'["&amp;G320&amp;"]"&amp;E320&amp;"'!"&amp;$AH$2),OR(VALUE(I320)=INDIRECT("'["&amp;G320&amp;"]"&amp;E320&amp;"'!"&amp;$AB$2))),INDIRECT("'["&amp;G320&amp;"]"&amp;E320&amp;"'!"&amp;$AB$3),0)</f>
        <v>#VALUE!</v>
      </c>
      <c r="Q320" s="34" t="e" cm="1">
        <f t="array" aca="1" ref="Q320" ca="1">IF(AND(G320=INDIRECT("'["&amp;G320&amp;"]"&amp;E320&amp;"'!"&amp;$AH$2),OR(VALUE(I320)=INDIRECT("'["&amp;G320&amp;"]"&amp;E320&amp;"'!"&amp;$AC$2))),INDIRECT("'["&amp;G320&amp;"]"&amp;E320&amp;"'!"&amp;$AC$3),0)</f>
        <v>#VALUE!</v>
      </c>
      <c r="R320" s="34" t="e" cm="1">
        <f t="array" aca="1" ref="R320" ca="1">IF(AND(G320=INDIRECT("'["&amp;G320&amp;"]"&amp;E320&amp;"'!"&amp;$AH$2),OR(I320=INDIRECT("'["&amp;G320&amp;"]"&amp;E320&amp;"'!"&amp;$AD$2))),INDIRECT("'["&amp;G320&amp;"]"&amp;E320&amp;"'!"&amp;$AD$3),0)</f>
        <v>#VALUE!</v>
      </c>
      <c r="S320" s="34" t="e" cm="1">
        <f t="array" aca="1" ref="S320" ca="1">IF(AND(G320=INDIRECT("'["&amp;G320&amp;"]"&amp;E320&amp;"'!"&amp;$AH$2),OR(I320=INDIRECT("'["&amp;G320&amp;"]"&amp;E320&amp;"'!"&amp;$AE$2))),INDIRECT("'["&amp;G320&amp;"]"&amp;E320&amp;"'!"&amp;$AE$3),0)</f>
        <v>#VALUE!</v>
      </c>
      <c r="T320" s="35" t="e" cm="1">
        <f t="array" aca="1" ref="T320" ca="1">IF(AND(G320=INDIRECT("'["&amp;G320&amp;"]"&amp;E320&amp;"'!"&amp;$AH$2),OR(I320=INDIRECT("'["&amp;G320&amp;"]"&amp;E320&amp;"'!"&amp;$AF$2))),INDIRECT("'["&amp;G320&amp;"]"&amp;E320&amp;"'!"&amp;$AF$3),0)</f>
        <v>#VALUE!</v>
      </c>
      <c r="U320" s="34" t="e" cm="1">
        <f t="array" aca="1" ref="U320" ca="1">IF(AND(G320=INDIRECT("'["&amp;G320&amp;"]"&amp;E320&amp;"'!"&amp;$AH$2),OR(I320=INDIRECT("'["&amp;G320&amp;"]"&amp;E320&amp;"'!"&amp;$AG$2))),INDIRECT("'["&amp;G320&amp;"]"&amp;E320&amp;"'!"&amp;$AG$3),0)</f>
        <v>#VALUE!</v>
      </c>
      <c r="V320" s="25" t="str">
        <f t="shared" si="110"/>
        <v/>
      </c>
      <c r="W320" s="36" t="e" cm="1">
        <f t="array" aca="1" ref="W320" ca="1">IF(AND(G320=INDIRECT("'["&amp;G320&amp;"]"&amp;E320&amp;"'!"&amp;$AH$2),OR(V320=INDIRECT("'["&amp;G320&amp;"]"&amp;E320&amp;"'!"&amp;$AI$2))),INDIRECT("'["&amp;G320&amp;"]"&amp;E320&amp;"'!"&amp;$AI$3),0)</f>
        <v>#VALUE!</v>
      </c>
      <c r="X320" s="48" t="s">
        <v>16</v>
      </c>
      <c r="AJ320" s="25">
        <v>1</v>
      </c>
      <c r="AK320" s="38">
        <f t="shared" ca="1" si="95"/>
        <v>0</v>
      </c>
      <c r="AL320" s="38">
        <f t="shared" ca="1" si="96"/>
        <v>0</v>
      </c>
      <c r="AM320" s="54" t="str">
        <f t="shared" ca="1" si="97"/>
        <v/>
      </c>
      <c r="AN320" s="25" t="e">
        <f t="shared" ca="1" si="98"/>
        <v>#VALUE!</v>
      </c>
      <c r="AO320" s="25" t="e">
        <f t="shared" ca="1" si="99"/>
        <v>#VALUE!</v>
      </c>
      <c r="AP320" s="39" t="str">
        <f t="shared" ca="1" si="100"/>
        <v/>
      </c>
      <c r="AQ320" s="46" t="str">
        <f ca="1">IF(AND(C320&lt;&gt;0, C321=0), SUM($C$2:C320)-SUM($AQ$1:AQ319), "")</f>
        <v/>
      </c>
      <c r="AR320" s="46" t="str">
        <f ca="1">IF(AND(AK320&lt;&gt;0, AK321=0), SUM($AK$2:AK320)-SUM($AR$1:AR319), "")</f>
        <v/>
      </c>
    </row>
    <row r="321" spans="1:52" ht="13.15" customHeight="1" thickBot="1">
      <c r="A321" s="62"/>
      <c r="B321" s="68" t="str">
        <f t="shared" si="101"/>
        <v/>
      </c>
      <c r="C321" s="55" cm="1">
        <f t="array" aca="1" ref="C321" ca="1">SUM(IF(ISNUMBER(M321:U321),M321:U321,""))</f>
        <v>0</v>
      </c>
      <c r="D321" s="25" t="str">
        <f t="shared" si="102"/>
        <v/>
      </c>
      <c r="E321" s="25" t="e">
        <f t="shared" si="103"/>
        <v>#VALUE!</v>
      </c>
      <c r="F321" s="25" t="str">
        <f t="shared" si="104"/>
        <v/>
      </c>
      <c r="G321" s="25" t="str">
        <f t="shared" si="105"/>
        <v>.xlsx</v>
      </c>
      <c r="H321" s="29" t="e" cm="1">
        <f t="array" aca="1" ref="H321" ca="1">IF(AND(VALUE(E321)=INDIRECT("'["&amp;G321&amp;"]"&amp;E321&amp;"'!"&amp;$X$2),G321=INDIRECT("'["&amp;G321&amp;"]"&amp;E321&amp;"'!"&amp;$X$3)),INDIRECT("'["&amp;G321&amp;"]"&amp;E321&amp;"'!"&amp;$X$1),0)</f>
        <v>#VALUE!</v>
      </c>
      <c r="I321" s="25" t="str">
        <f t="shared" si="106"/>
        <v/>
      </c>
      <c r="J321" s="32" t="str">
        <f t="shared" si="107"/>
        <v/>
      </c>
      <c r="K321" s="25" t="str">
        <f t="shared" si="108"/>
        <v/>
      </c>
      <c r="L321" s="25" t="str">
        <f t="shared" si="109"/>
        <v/>
      </c>
      <c r="M321" s="33" t="e" cm="1">
        <f t="array" aca="1" ref="M321" ca="1">IF(AND(J321=INDIRECT("'["&amp;G321&amp;"]"&amp;E321&amp;"'!"&amp;$Y$2),G321=INDIRECT("'["&amp;G321&amp;"]"&amp;E321&amp;"'!"&amp;$AH$2)),INDIRECT("'["&amp;G321&amp;"]"&amp;E321&amp;"'!"&amp;$Y$3),0)</f>
        <v>#VALUE!</v>
      </c>
      <c r="N321" s="34" t="e" cm="1">
        <f t="array" aca="1" ref="N321" ca="1">IF(AND(G321=INDIRECT("'["&amp;G321&amp;"]"&amp;E321&amp;"'!"&amp;$AH$2),OR(K321=INDIRECT("'["&amp;G321&amp;"]"&amp;E321&amp;"'!"&amp;$Z$2))),INDIRECT("'["&amp;G321&amp;"]"&amp;E321&amp;"'!"&amp;$Z$3),0)</f>
        <v>#VALUE!</v>
      </c>
      <c r="O321" s="34" t="e" cm="1">
        <f t="array" aca="1" ref="O321" ca="1">IF(AND(G321=INDIRECT("'["&amp;G321&amp;"]"&amp;E321&amp;"'!"&amp;$AH$2),OR(L321=INDIRECT("'["&amp;G321&amp;"]"&amp;E321&amp;"'!"&amp;$AA$2))),INDIRECT("'["&amp;G321&amp;"]"&amp;E321&amp;"'!"&amp;$AA$3),0)</f>
        <v>#VALUE!</v>
      </c>
      <c r="P321" s="34" t="e" cm="1">
        <f t="array" aca="1" ref="P321" ca="1">IF(AND(G321=INDIRECT("'["&amp;G321&amp;"]"&amp;E321&amp;"'!"&amp;$AH$2),OR(VALUE(I321)=INDIRECT("'["&amp;G321&amp;"]"&amp;E321&amp;"'!"&amp;$AB$2))),INDIRECT("'["&amp;G321&amp;"]"&amp;E321&amp;"'!"&amp;$AB$3),0)</f>
        <v>#VALUE!</v>
      </c>
      <c r="Q321" s="34" t="e" cm="1">
        <f t="array" aca="1" ref="Q321" ca="1">IF(AND(G321=INDIRECT("'["&amp;G321&amp;"]"&amp;E321&amp;"'!"&amp;$AH$2),OR(VALUE(I321)=INDIRECT("'["&amp;G321&amp;"]"&amp;E321&amp;"'!"&amp;$AC$2))),INDIRECT("'["&amp;G321&amp;"]"&amp;E321&amp;"'!"&amp;$AC$3),0)</f>
        <v>#VALUE!</v>
      </c>
      <c r="R321" s="34" t="e" cm="1">
        <f t="array" aca="1" ref="R321" ca="1">IF(AND(G321=INDIRECT("'["&amp;G321&amp;"]"&amp;E321&amp;"'!"&amp;$AH$2),OR(I321=INDIRECT("'["&amp;G321&amp;"]"&amp;E321&amp;"'!"&amp;$AD$2))),INDIRECT("'["&amp;G321&amp;"]"&amp;E321&amp;"'!"&amp;$AD$3),0)</f>
        <v>#VALUE!</v>
      </c>
      <c r="S321" s="34" t="e" cm="1">
        <f t="array" aca="1" ref="S321" ca="1">IF(AND(G321=INDIRECT("'["&amp;G321&amp;"]"&amp;E321&amp;"'!"&amp;$AH$2),OR(I321=INDIRECT("'["&amp;G321&amp;"]"&amp;E321&amp;"'!"&amp;$AE$2))),INDIRECT("'["&amp;G321&amp;"]"&amp;E321&amp;"'!"&amp;$AE$3),0)</f>
        <v>#VALUE!</v>
      </c>
      <c r="T321" s="35" t="e" cm="1">
        <f t="array" aca="1" ref="T321" ca="1">IF(AND(G321=INDIRECT("'["&amp;G321&amp;"]"&amp;E321&amp;"'!"&amp;$AH$2),OR(I321=INDIRECT("'["&amp;G321&amp;"]"&amp;E321&amp;"'!"&amp;$AF$2))),INDIRECT("'["&amp;G321&amp;"]"&amp;E321&amp;"'!"&amp;$AF$3),0)</f>
        <v>#VALUE!</v>
      </c>
      <c r="U321" s="34" t="e" cm="1">
        <f t="array" aca="1" ref="U321" ca="1">IF(AND(G321=INDIRECT("'["&amp;G321&amp;"]"&amp;E321&amp;"'!"&amp;$AH$2),OR(I321=INDIRECT("'["&amp;G321&amp;"]"&amp;E321&amp;"'!"&amp;$AG$2))),INDIRECT("'["&amp;G321&amp;"]"&amp;E321&amp;"'!"&amp;$AG$3),0)</f>
        <v>#VALUE!</v>
      </c>
      <c r="V321" s="25" t="str">
        <f t="shared" si="110"/>
        <v/>
      </c>
      <c r="W321" s="36" t="e" cm="1">
        <f t="array" aca="1" ref="W321" ca="1">IF(AND(G321=INDIRECT("'["&amp;G321&amp;"]"&amp;E321&amp;"'!"&amp;$AH$2),OR(V321=INDIRECT("'["&amp;G321&amp;"]"&amp;E321&amp;"'!"&amp;$AI$2))),INDIRECT("'["&amp;G321&amp;"]"&amp;E321&amp;"'!"&amp;$AI$3),0)</f>
        <v>#VALUE!</v>
      </c>
      <c r="X321" s="49" cm="1">
        <f t="array" aca="1" ref="X321" ca="1">SUM(IF(ISNUMBER(C162:C321),C162:C321,""))</f>
        <v>0</v>
      </c>
      <c r="AJ321" s="25">
        <v>1</v>
      </c>
      <c r="AK321" s="38">
        <f t="shared" ca="1" si="95"/>
        <v>0</v>
      </c>
      <c r="AL321" s="38">
        <f t="shared" ca="1" si="96"/>
        <v>0</v>
      </c>
      <c r="AM321" s="54" t="str">
        <f t="shared" ca="1" si="97"/>
        <v/>
      </c>
      <c r="AN321" s="25" t="e">
        <f t="shared" ca="1" si="98"/>
        <v>#VALUE!</v>
      </c>
      <c r="AO321" s="25" t="e">
        <f t="shared" ca="1" si="99"/>
        <v>#VALUE!</v>
      </c>
      <c r="AP321" s="39" t="str">
        <f t="shared" ca="1" si="100"/>
        <v/>
      </c>
      <c r="AQ321" s="46" t="str">
        <f ca="1">IF(AND(C321&lt;&gt;0, C322=0), SUM($C$2:C321)-SUM($AQ$1:AQ320), "")</f>
        <v/>
      </c>
      <c r="AR321" s="46" t="str">
        <f ca="1">IF(AND(AK321&lt;&gt;0, AK322=0), SUM($AK$2:AK321)-SUM($AR$1:AR320), "")</f>
        <v/>
      </c>
    </row>
    <row r="322" spans="1:52" ht="13.15" customHeight="1">
      <c r="A322" s="62"/>
      <c r="B322" s="68" t="str">
        <f t="shared" si="101"/>
        <v/>
      </c>
      <c r="C322" s="55" cm="1">
        <f t="array" aca="1" ref="C322" ca="1">SUM(IF(ISNUMBER(M322:U322),M322:U322,""))</f>
        <v>0</v>
      </c>
      <c r="D322" s="25" t="str">
        <f t="shared" si="102"/>
        <v/>
      </c>
      <c r="E322" s="25" t="e">
        <f t="shared" si="103"/>
        <v>#VALUE!</v>
      </c>
      <c r="F322" s="25" t="str">
        <f t="shared" si="104"/>
        <v/>
      </c>
      <c r="G322" s="25" t="str">
        <f t="shared" si="105"/>
        <v>.xlsx</v>
      </c>
      <c r="H322" s="29" t="e" cm="1">
        <f t="array" aca="1" ref="H322" ca="1">IF(AND(VALUE(E322)=INDIRECT("'["&amp;G322&amp;"]"&amp;E322&amp;"'!"&amp;$X$2),G322=INDIRECT("'["&amp;G322&amp;"]"&amp;E322&amp;"'!"&amp;$X$3)),INDIRECT("'["&amp;G322&amp;"]"&amp;E322&amp;"'!"&amp;$X$1),0)</f>
        <v>#VALUE!</v>
      </c>
      <c r="I322" s="25" t="str">
        <f t="shared" si="106"/>
        <v/>
      </c>
      <c r="J322" s="32" t="str">
        <f t="shared" si="107"/>
        <v/>
      </c>
      <c r="K322" s="25" t="str">
        <f t="shared" si="108"/>
        <v/>
      </c>
      <c r="L322" s="25" t="str">
        <f t="shared" si="109"/>
        <v/>
      </c>
      <c r="M322" s="33" t="e" cm="1">
        <f t="array" aca="1" ref="M322" ca="1">IF(AND(J322=INDIRECT("'["&amp;G322&amp;"]"&amp;E322&amp;"'!"&amp;$Y$2),G322=INDIRECT("'["&amp;G322&amp;"]"&amp;E322&amp;"'!"&amp;$AH$2)),INDIRECT("'["&amp;G322&amp;"]"&amp;E322&amp;"'!"&amp;$Y$3),0)</f>
        <v>#VALUE!</v>
      </c>
      <c r="N322" s="34" t="e" cm="1">
        <f t="array" aca="1" ref="N322" ca="1">IF(AND(G322=INDIRECT("'["&amp;G322&amp;"]"&amp;E322&amp;"'!"&amp;$AH$2),OR(K322=INDIRECT("'["&amp;G322&amp;"]"&amp;E322&amp;"'!"&amp;$Z$2))),INDIRECT("'["&amp;G322&amp;"]"&amp;E322&amp;"'!"&amp;$Z$3),0)</f>
        <v>#VALUE!</v>
      </c>
      <c r="O322" s="34" t="e" cm="1">
        <f t="array" aca="1" ref="O322" ca="1">IF(AND(G322=INDIRECT("'["&amp;G322&amp;"]"&amp;E322&amp;"'!"&amp;$AH$2),OR(L322=INDIRECT("'["&amp;G322&amp;"]"&amp;E322&amp;"'!"&amp;$AA$2))),INDIRECT("'["&amp;G322&amp;"]"&amp;E322&amp;"'!"&amp;$AA$3),0)</f>
        <v>#VALUE!</v>
      </c>
      <c r="P322" s="34" t="e" cm="1">
        <f t="array" aca="1" ref="P322" ca="1">IF(AND(G322=INDIRECT("'["&amp;G322&amp;"]"&amp;E322&amp;"'!"&amp;$AH$2),OR(VALUE(I322)=INDIRECT("'["&amp;G322&amp;"]"&amp;E322&amp;"'!"&amp;$AB$2))),INDIRECT("'["&amp;G322&amp;"]"&amp;E322&amp;"'!"&amp;$AB$3),0)</f>
        <v>#VALUE!</v>
      </c>
      <c r="Q322" s="34" t="e" cm="1">
        <f t="array" aca="1" ref="Q322" ca="1">IF(AND(G322=INDIRECT("'["&amp;G322&amp;"]"&amp;E322&amp;"'!"&amp;$AH$2),OR(VALUE(I322)=INDIRECT("'["&amp;G322&amp;"]"&amp;E322&amp;"'!"&amp;$AC$2))),INDIRECT("'["&amp;G322&amp;"]"&amp;E322&amp;"'!"&amp;$AC$3),0)</f>
        <v>#VALUE!</v>
      </c>
      <c r="R322" s="34" t="e" cm="1">
        <f t="array" aca="1" ref="R322" ca="1">IF(AND(G322=INDIRECT("'["&amp;G322&amp;"]"&amp;E322&amp;"'!"&amp;$AH$2),OR(I322=INDIRECT("'["&amp;G322&amp;"]"&amp;E322&amp;"'!"&amp;$AD$2))),INDIRECT("'["&amp;G322&amp;"]"&amp;E322&amp;"'!"&amp;$AD$3),0)</f>
        <v>#VALUE!</v>
      </c>
      <c r="S322" s="34" t="e" cm="1">
        <f t="array" aca="1" ref="S322" ca="1">IF(AND(G322=INDIRECT("'["&amp;G322&amp;"]"&amp;E322&amp;"'!"&amp;$AH$2),OR(I322=INDIRECT("'["&amp;G322&amp;"]"&amp;E322&amp;"'!"&amp;$AE$2))),INDIRECT("'["&amp;G322&amp;"]"&amp;E322&amp;"'!"&amp;$AE$3),0)</f>
        <v>#VALUE!</v>
      </c>
      <c r="T322" s="35" t="e" cm="1">
        <f t="array" aca="1" ref="T322" ca="1">IF(AND(G322=INDIRECT("'["&amp;G322&amp;"]"&amp;E322&amp;"'!"&amp;$AH$2),OR(I322=INDIRECT("'["&amp;G322&amp;"]"&amp;E322&amp;"'!"&amp;$AF$2))),INDIRECT("'["&amp;G322&amp;"]"&amp;E322&amp;"'!"&amp;$AF$3),0)</f>
        <v>#VALUE!</v>
      </c>
      <c r="U322" s="34" t="e" cm="1">
        <f t="array" aca="1" ref="U322" ca="1">IF(AND(G322=INDIRECT("'["&amp;G322&amp;"]"&amp;E322&amp;"'!"&amp;$AH$2),OR(I322=INDIRECT("'["&amp;G322&amp;"]"&amp;E322&amp;"'!"&amp;$AG$2))),INDIRECT("'["&amp;G322&amp;"]"&amp;E322&amp;"'!"&amp;$AG$3),0)</f>
        <v>#VALUE!</v>
      </c>
      <c r="V322" s="25" t="str">
        <f t="shared" si="110"/>
        <v/>
      </c>
      <c r="W322" s="36" t="e" cm="1">
        <f t="array" aca="1" ref="W322" ca="1">IF(AND(G322=INDIRECT("'["&amp;G322&amp;"]"&amp;E322&amp;"'!"&amp;$AH$2),OR(V322=INDIRECT("'["&amp;G322&amp;"]"&amp;E322&amp;"'!"&amp;$AI$2))),INDIRECT("'["&amp;G322&amp;"]"&amp;E322&amp;"'!"&amp;$AI$3),0)</f>
        <v>#VALUE!</v>
      </c>
      <c r="X322" s="27"/>
      <c r="Y322" s="27"/>
      <c r="Z322" s="27"/>
      <c r="AJ322" s="25">
        <v>1</v>
      </c>
      <c r="AK322" s="38">
        <f t="shared" ca="1" si="95"/>
        <v>0</v>
      </c>
      <c r="AL322" s="38">
        <f t="shared" ca="1" si="96"/>
        <v>0</v>
      </c>
      <c r="AM322" s="54" t="str">
        <f t="shared" ca="1" si="97"/>
        <v/>
      </c>
      <c r="AN322" s="25" t="e">
        <f t="shared" ca="1" si="98"/>
        <v>#VALUE!</v>
      </c>
      <c r="AO322" s="25" t="e">
        <f t="shared" ca="1" si="99"/>
        <v>#VALUE!</v>
      </c>
      <c r="AP322" s="39" t="str">
        <f t="shared" ca="1" si="100"/>
        <v/>
      </c>
      <c r="AQ322" s="46" t="str">
        <f ca="1">IF(AND(C322&lt;&gt;0, C323=0), SUM($C$2:C322)-SUM($AQ$1:AQ321), "")</f>
        <v/>
      </c>
      <c r="AR322" s="46" t="str">
        <f ca="1">IF(AND(AK322&lt;&gt;0, AK323=0), SUM($AK$2:AK322)-SUM($AR$1:AR321), "")</f>
        <v/>
      </c>
    </row>
    <row r="323" spans="1:52" ht="13.15" customHeight="1">
      <c r="A323" s="62"/>
      <c r="B323" s="68" t="str">
        <f t="shared" si="101"/>
        <v/>
      </c>
      <c r="C323" s="55" cm="1">
        <f t="array" aca="1" ref="C323" ca="1">SUM(IF(ISNUMBER(M323:U323),M323:U323,""))</f>
        <v>0</v>
      </c>
      <c r="D323" s="25" t="str">
        <f t="shared" si="102"/>
        <v/>
      </c>
      <c r="E323" s="25" t="e">
        <f t="shared" si="103"/>
        <v>#VALUE!</v>
      </c>
      <c r="F323" s="25" t="str">
        <f t="shared" si="104"/>
        <v/>
      </c>
      <c r="G323" s="25" t="str">
        <f t="shared" si="105"/>
        <v>.xlsx</v>
      </c>
      <c r="H323" s="29" t="e" cm="1">
        <f t="array" aca="1" ref="H323" ca="1">IF(AND(VALUE(E323)=INDIRECT("'["&amp;G323&amp;"]"&amp;E323&amp;"'!"&amp;$X$2),G323=INDIRECT("'["&amp;G323&amp;"]"&amp;E323&amp;"'!"&amp;$X$3)),INDIRECT("'["&amp;G323&amp;"]"&amp;E323&amp;"'!"&amp;$X$1),0)</f>
        <v>#VALUE!</v>
      </c>
      <c r="I323" s="25" t="str">
        <f t="shared" si="106"/>
        <v/>
      </c>
      <c r="J323" s="32" t="str">
        <f t="shared" si="107"/>
        <v/>
      </c>
      <c r="K323" s="25" t="str">
        <f t="shared" si="108"/>
        <v/>
      </c>
      <c r="L323" s="25" t="str">
        <f t="shared" si="109"/>
        <v/>
      </c>
      <c r="M323" s="33" t="e" cm="1">
        <f t="array" aca="1" ref="M323" ca="1">IF(AND(J323=INDIRECT("'["&amp;G323&amp;"]"&amp;E323&amp;"'!"&amp;$Y$2),G323=INDIRECT("'["&amp;G323&amp;"]"&amp;E323&amp;"'!"&amp;$AH$2)),INDIRECT("'["&amp;G323&amp;"]"&amp;E323&amp;"'!"&amp;$Y$3),0)</f>
        <v>#VALUE!</v>
      </c>
      <c r="N323" s="34" t="e" cm="1">
        <f t="array" aca="1" ref="N323" ca="1">IF(AND(G323=INDIRECT("'["&amp;G323&amp;"]"&amp;E323&amp;"'!"&amp;$AH$2),OR(K323=INDIRECT("'["&amp;G323&amp;"]"&amp;E323&amp;"'!"&amp;$Z$2))),INDIRECT("'["&amp;G323&amp;"]"&amp;E323&amp;"'!"&amp;$Z$3),0)</f>
        <v>#VALUE!</v>
      </c>
      <c r="O323" s="34" t="e" cm="1">
        <f t="array" aca="1" ref="O323" ca="1">IF(AND(G323=INDIRECT("'["&amp;G323&amp;"]"&amp;E323&amp;"'!"&amp;$AH$2),OR(L323=INDIRECT("'["&amp;G323&amp;"]"&amp;E323&amp;"'!"&amp;$AA$2))),INDIRECT("'["&amp;G323&amp;"]"&amp;E323&amp;"'!"&amp;$AA$3),0)</f>
        <v>#VALUE!</v>
      </c>
      <c r="P323" s="34" t="e" cm="1">
        <f t="array" aca="1" ref="P323" ca="1">IF(AND(G323=INDIRECT("'["&amp;G323&amp;"]"&amp;E323&amp;"'!"&amp;$AH$2),OR(VALUE(I323)=INDIRECT("'["&amp;G323&amp;"]"&amp;E323&amp;"'!"&amp;$AB$2))),INDIRECT("'["&amp;G323&amp;"]"&amp;E323&amp;"'!"&amp;$AB$3),0)</f>
        <v>#VALUE!</v>
      </c>
      <c r="Q323" s="34" t="e" cm="1">
        <f t="array" aca="1" ref="Q323" ca="1">IF(AND(G323=INDIRECT("'["&amp;G323&amp;"]"&amp;E323&amp;"'!"&amp;$AH$2),OR(VALUE(I323)=INDIRECT("'["&amp;G323&amp;"]"&amp;E323&amp;"'!"&amp;$AC$2))),INDIRECT("'["&amp;G323&amp;"]"&amp;E323&amp;"'!"&amp;$AC$3),0)</f>
        <v>#VALUE!</v>
      </c>
      <c r="R323" s="34" t="e" cm="1">
        <f t="array" aca="1" ref="R323" ca="1">IF(AND(G323=INDIRECT("'["&amp;G323&amp;"]"&amp;E323&amp;"'!"&amp;$AH$2),OR(I323=INDIRECT("'["&amp;G323&amp;"]"&amp;E323&amp;"'!"&amp;$AD$2))),INDIRECT("'["&amp;G323&amp;"]"&amp;E323&amp;"'!"&amp;$AD$3),0)</f>
        <v>#VALUE!</v>
      </c>
      <c r="S323" s="34" t="e" cm="1">
        <f t="array" aca="1" ref="S323" ca="1">IF(AND(G323=INDIRECT("'["&amp;G323&amp;"]"&amp;E323&amp;"'!"&amp;$AH$2),OR(I323=INDIRECT("'["&amp;G323&amp;"]"&amp;E323&amp;"'!"&amp;$AE$2))),INDIRECT("'["&amp;G323&amp;"]"&amp;E323&amp;"'!"&amp;$AE$3),0)</f>
        <v>#VALUE!</v>
      </c>
      <c r="T323" s="35" t="e" cm="1">
        <f t="array" aca="1" ref="T323" ca="1">IF(AND(G323=INDIRECT("'["&amp;G323&amp;"]"&amp;E323&amp;"'!"&amp;$AH$2),OR(I323=INDIRECT("'["&amp;G323&amp;"]"&amp;E323&amp;"'!"&amp;$AF$2))),INDIRECT("'["&amp;G323&amp;"]"&amp;E323&amp;"'!"&amp;$AF$3),0)</f>
        <v>#VALUE!</v>
      </c>
      <c r="U323" s="34" t="e" cm="1">
        <f t="array" aca="1" ref="U323" ca="1">IF(AND(G323=INDIRECT("'["&amp;G323&amp;"]"&amp;E323&amp;"'!"&amp;$AH$2),OR(I323=INDIRECT("'["&amp;G323&amp;"]"&amp;E323&amp;"'!"&amp;$AG$2))),INDIRECT("'["&amp;G323&amp;"]"&amp;E323&amp;"'!"&amp;$AG$3),0)</f>
        <v>#VALUE!</v>
      </c>
      <c r="V323" s="25" t="str">
        <f t="shared" si="110"/>
        <v/>
      </c>
      <c r="W323" s="36" t="e" cm="1">
        <f t="array" aca="1" ref="W323" ca="1">IF(AND(G323=INDIRECT("'["&amp;G323&amp;"]"&amp;E323&amp;"'!"&amp;$AH$2),OR(V323=INDIRECT("'["&amp;G323&amp;"]"&amp;E323&amp;"'!"&amp;$AI$2))),INDIRECT("'["&amp;G323&amp;"]"&amp;E323&amp;"'!"&amp;$AI$3),0)</f>
        <v>#VALUE!</v>
      </c>
      <c r="AJ323" s="25">
        <v>1</v>
      </c>
      <c r="AK323" s="38">
        <f t="shared" ca="1" si="95"/>
        <v>0</v>
      </c>
      <c r="AL323" s="38">
        <f t="shared" ca="1" si="96"/>
        <v>0</v>
      </c>
      <c r="AM323" s="54" t="str">
        <f t="shared" ca="1" si="97"/>
        <v/>
      </c>
      <c r="AN323" s="25" t="e">
        <f t="shared" ca="1" si="98"/>
        <v>#VALUE!</v>
      </c>
      <c r="AO323" s="25" t="e">
        <f t="shared" ca="1" si="99"/>
        <v>#VALUE!</v>
      </c>
      <c r="AP323" s="39" t="str">
        <f t="shared" ca="1" si="100"/>
        <v/>
      </c>
      <c r="AQ323" s="46" t="str">
        <f ca="1">IF(AND(C323&lt;&gt;0, C324=0), SUM($C$2:C323)-SUM($AQ$1:AQ322), "")</f>
        <v/>
      </c>
      <c r="AR323" s="46" t="str">
        <f ca="1">IF(AND(AK323&lt;&gt;0, AK324=0), SUM($AK$2:AK323)-SUM($AR$1:AR322), "")</f>
        <v/>
      </c>
    </row>
    <row r="324" spans="1:52" ht="13.15" customHeight="1">
      <c r="A324" s="62"/>
      <c r="B324" s="68" t="str">
        <f t="shared" si="101"/>
        <v/>
      </c>
      <c r="C324" s="55" cm="1">
        <f t="array" aca="1" ref="C324" ca="1">SUM(IF(ISNUMBER(M324:U324),M324:U324,""))</f>
        <v>0</v>
      </c>
      <c r="D324" s="25" t="str">
        <f t="shared" si="102"/>
        <v/>
      </c>
      <c r="E324" s="25" t="e">
        <f t="shared" si="103"/>
        <v>#VALUE!</v>
      </c>
      <c r="F324" s="25" t="str">
        <f t="shared" si="104"/>
        <v/>
      </c>
      <c r="G324" s="25" t="str">
        <f t="shared" si="105"/>
        <v>.xlsx</v>
      </c>
      <c r="H324" s="29" t="e" cm="1">
        <f t="array" aca="1" ref="H324" ca="1">IF(AND(VALUE(E324)=INDIRECT("'["&amp;G324&amp;"]"&amp;E324&amp;"'!"&amp;$X$2),G324=INDIRECT("'["&amp;G324&amp;"]"&amp;E324&amp;"'!"&amp;$X$3)),INDIRECT("'["&amp;G324&amp;"]"&amp;E324&amp;"'!"&amp;$X$1),0)</f>
        <v>#VALUE!</v>
      </c>
      <c r="I324" s="25" t="str">
        <f t="shared" si="106"/>
        <v/>
      </c>
      <c r="J324" s="32" t="str">
        <f t="shared" si="107"/>
        <v/>
      </c>
      <c r="K324" s="25" t="str">
        <f t="shared" si="108"/>
        <v/>
      </c>
      <c r="L324" s="25" t="str">
        <f t="shared" si="109"/>
        <v/>
      </c>
      <c r="M324" s="33" t="e" cm="1">
        <f t="array" aca="1" ref="M324" ca="1">IF(AND(J324=INDIRECT("'["&amp;G324&amp;"]"&amp;E324&amp;"'!"&amp;$Y$2),G324=INDIRECT("'["&amp;G324&amp;"]"&amp;E324&amp;"'!"&amp;$AH$2)),INDIRECT("'["&amp;G324&amp;"]"&amp;E324&amp;"'!"&amp;$Y$3),0)</f>
        <v>#VALUE!</v>
      </c>
      <c r="N324" s="34" t="e" cm="1">
        <f t="array" aca="1" ref="N324" ca="1">IF(AND(G324=INDIRECT("'["&amp;G324&amp;"]"&amp;E324&amp;"'!"&amp;$AH$2),OR(K324=INDIRECT("'["&amp;G324&amp;"]"&amp;E324&amp;"'!"&amp;$Z$2))),INDIRECT("'["&amp;G324&amp;"]"&amp;E324&amp;"'!"&amp;$Z$3),0)</f>
        <v>#VALUE!</v>
      </c>
      <c r="O324" s="34" t="e" cm="1">
        <f t="array" aca="1" ref="O324" ca="1">IF(AND(G324=INDIRECT("'["&amp;G324&amp;"]"&amp;E324&amp;"'!"&amp;$AH$2),OR(L324=INDIRECT("'["&amp;G324&amp;"]"&amp;E324&amp;"'!"&amp;$AA$2))),INDIRECT("'["&amp;G324&amp;"]"&amp;E324&amp;"'!"&amp;$AA$3),0)</f>
        <v>#VALUE!</v>
      </c>
      <c r="P324" s="34" t="e" cm="1">
        <f t="array" aca="1" ref="P324" ca="1">IF(AND(G324=INDIRECT("'["&amp;G324&amp;"]"&amp;E324&amp;"'!"&amp;$AH$2),OR(VALUE(I324)=INDIRECT("'["&amp;G324&amp;"]"&amp;E324&amp;"'!"&amp;$AB$2))),INDIRECT("'["&amp;G324&amp;"]"&amp;E324&amp;"'!"&amp;$AB$3),0)</f>
        <v>#VALUE!</v>
      </c>
      <c r="Q324" s="34" t="e" cm="1">
        <f t="array" aca="1" ref="Q324" ca="1">IF(AND(G324=INDIRECT("'["&amp;G324&amp;"]"&amp;E324&amp;"'!"&amp;$AH$2),OR(VALUE(I324)=INDIRECT("'["&amp;G324&amp;"]"&amp;E324&amp;"'!"&amp;$AC$2))),INDIRECT("'["&amp;G324&amp;"]"&amp;E324&amp;"'!"&amp;$AC$3),0)</f>
        <v>#VALUE!</v>
      </c>
      <c r="R324" s="34" t="e" cm="1">
        <f t="array" aca="1" ref="R324" ca="1">IF(AND(G324=INDIRECT("'["&amp;G324&amp;"]"&amp;E324&amp;"'!"&amp;$AH$2),OR(I324=INDIRECT("'["&amp;G324&amp;"]"&amp;E324&amp;"'!"&amp;$AD$2))),INDIRECT("'["&amp;G324&amp;"]"&amp;E324&amp;"'!"&amp;$AD$3),0)</f>
        <v>#VALUE!</v>
      </c>
      <c r="S324" s="34" t="e" cm="1">
        <f t="array" aca="1" ref="S324" ca="1">IF(AND(G324=INDIRECT("'["&amp;G324&amp;"]"&amp;E324&amp;"'!"&amp;$AH$2),OR(I324=INDIRECT("'["&amp;G324&amp;"]"&amp;E324&amp;"'!"&amp;$AE$2))),INDIRECT("'["&amp;G324&amp;"]"&amp;E324&amp;"'!"&amp;$AE$3),0)</f>
        <v>#VALUE!</v>
      </c>
      <c r="T324" s="35" t="e" cm="1">
        <f t="array" aca="1" ref="T324" ca="1">IF(AND(G324=INDIRECT("'["&amp;G324&amp;"]"&amp;E324&amp;"'!"&amp;$AH$2),OR(I324=INDIRECT("'["&amp;G324&amp;"]"&amp;E324&amp;"'!"&amp;$AF$2))),INDIRECT("'["&amp;G324&amp;"]"&amp;E324&amp;"'!"&amp;$AF$3),0)</f>
        <v>#VALUE!</v>
      </c>
      <c r="U324" s="34" t="e" cm="1">
        <f t="array" aca="1" ref="U324" ca="1">IF(AND(G324=INDIRECT("'["&amp;G324&amp;"]"&amp;E324&amp;"'!"&amp;$AH$2),OR(I324=INDIRECT("'["&amp;G324&amp;"]"&amp;E324&amp;"'!"&amp;$AG$2))),INDIRECT("'["&amp;G324&amp;"]"&amp;E324&amp;"'!"&amp;$AG$3),0)</f>
        <v>#VALUE!</v>
      </c>
      <c r="V324" s="25" t="str">
        <f t="shared" si="110"/>
        <v/>
      </c>
      <c r="W324" s="36" t="e" cm="1">
        <f t="array" aca="1" ref="W324" ca="1">IF(AND(G324=INDIRECT("'["&amp;G324&amp;"]"&amp;E324&amp;"'!"&amp;$AH$2),OR(V324=INDIRECT("'["&amp;G324&amp;"]"&amp;E324&amp;"'!"&amp;$AI$2))),INDIRECT("'["&amp;G324&amp;"]"&amp;E324&amp;"'!"&amp;$AI$3),0)</f>
        <v>#VALUE!</v>
      </c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25">
        <v>1</v>
      </c>
      <c r="AK324" s="38">
        <f t="shared" ca="1" si="95"/>
        <v>0</v>
      </c>
      <c r="AL324" s="38">
        <f t="shared" ca="1" si="96"/>
        <v>0</v>
      </c>
      <c r="AM324" s="54" t="str">
        <f t="shared" ca="1" si="97"/>
        <v/>
      </c>
      <c r="AN324" s="25" t="e">
        <f t="shared" ca="1" si="98"/>
        <v>#VALUE!</v>
      </c>
      <c r="AO324" s="25" t="e">
        <f t="shared" ca="1" si="99"/>
        <v>#VALUE!</v>
      </c>
      <c r="AP324" s="39" t="str">
        <f t="shared" ca="1" si="100"/>
        <v/>
      </c>
      <c r="AQ324" s="46" t="str">
        <f ca="1">IF(AND(C324&lt;&gt;0, C325=0), SUM($C$2:C324)-SUM($AQ$1:AQ323), "")</f>
        <v/>
      </c>
      <c r="AR324" s="46" t="str">
        <f ca="1">IF(AND(AK324&lt;&gt;0, AK325=0), SUM($AK$2:AK324)-SUM($AR$1:AR323), "")</f>
        <v/>
      </c>
      <c r="AS324" s="51"/>
      <c r="AT324" s="51"/>
      <c r="AU324" s="51"/>
      <c r="AV324" s="51"/>
      <c r="AW324" s="51"/>
      <c r="AX324" s="51"/>
    </row>
    <row r="325" spans="1:52" ht="13.15" customHeight="1">
      <c r="A325" s="62"/>
      <c r="B325" s="68" t="str">
        <f t="shared" si="101"/>
        <v/>
      </c>
      <c r="C325" s="55" cm="1">
        <f t="array" aca="1" ref="C325" ca="1">SUM(IF(ISNUMBER(M325:U325),M325:U325,""))</f>
        <v>0</v>
      </c>
      <c r="D325" s="25" t="str">
        <f t="shared" si="102"/>
        <v/>
      </c>
      <c r="E325" s="25" t="e">
        <f t="shared" si="103"/>
        <v>#VALUE!</v>
      </c>
      <c r="F325" s="25" t="str">
        <f t="shared" si="104"/>
        <v/>
      </c>
      <c r="G325" s="25" t="str">
        <f t="shared" si="105"/>
        <v>.xlsx</v>
      </c>
      <c r="H325" s="29" t="e" cm="1">
        <f t="array" aca="1" ref="H325" ca="1">IF(AND(VALUE(E325)=INDIRECT("'["&amp;G325&amp;"]"&amp;E325&amp;"'!"&amp;$X$2),G325=INDIRECT("'["&amp;G325&amp;"]"&amp;E325&amp;"'!"&amp;$X$3)),INDIRECT("'["&amp;G325&amp;"]"&amp;E325&amp;"'!"&amp;$X$1),0)</f>
        <v>#VALUE!</v>
      </c>
      <c r="I325" s="25" t="str">
        <f t="shared" si="106"/>
        <v/>
      </c>
      <c r="J325" s="32" t="str">
        <f t="shared" si="107"/>
        <v/>
      </c>
      <c r="K325" s="25" t="str">
        <f t="shared" si="108"/>
        <v/>
      </c>
      <c r="L325" s="25" t="str">
        <f t="shared" si="109"/>
        <v/>
      </c>
      <c r="M325" s="33" t="e" cm="1">
        <f t="array" aca="1" ref="M325" ca="1">IF(AND(J325=INDIRECT("'["&amp;G325&amp;"]"&amp;E325&amp;"'!"&amp;$Y$2),G325=INDIRECT("'["&amp;G325&amp;"]"&amp;E325&amp;"'!"&amp;$AH$2)),INDIRECT("'["&amp;G325&amp;"]"&amp;E325&amp;"'!"&amp;$Y$3),0)</f>
        <v>#VALUE!</v>
      </c>
      <c r="N325" s="34" t="e" cm="1">
        <f t="array" aca="1" ref="N325" ca="1">IF(AND(G325=INDIRECT("'["&amp;G325&amp;"]"&amp;E325&amp;"'!"&amp;$AH$2),OR(K325=INDIRECT("'["&amp;G325&amp;"]"&amp;E325&amp;"'!"&amp;$Z$2))),INDIRECT("'["&amp;G325&amp;"]"&amp;E325&amp;"'!"&amp;$Z$3),0)</f>
        <v>#VALUE!</v>
      </c>
      <c r="O325" s="34" t="e" cm="1">
        <f t="array" aca="1" ref="O325" ca="1">IF(AND(G325=INDIRECT("'["&amp;G325&amp;"]"&amp;E325&amp;"'!"&amp;$AH$2),OR(L325=INDIRECT("'["&amp;G325&amp;"]"&amp;E325&amp;"'!"&amp;$AA$2))),INDIRECT("'["&amp;G325&amp;"]"&amp;E325&amp;"'!"&amp;$AA$3),0)</f>
        <v>#VALUE!</v>
      </c>
      <c r="P325" s="34" t="e" cm="1">
        <f t="array" aca="1" ref="P325" ca="1">IF(AND(G325=INDIRECT("'["&amp;G325&amp;"]"&amp;E325&amp;"'!"&amp;$AH$2),OR(VALUE(I325)=INDIRECT("'["&amp;G325&amp;"]"&amp;E325&amp;"'!"&amp;$AB$2))),INDIRECT("'["&amp;G325&amp;"]"&amp;E325&amp;"'!"&amp;$AB$3),0)</f>
        <v>#VALUE!</v>
      </c>
      <c r="Q325" s="34" t="e" cm="1">
        <f t="array" aca="1" ref="Q325" ca="1">IF(AND(G325=INDIRECT("'["&amp;G325&amp;"]"&amp;E325&amp;"'!"&amp;$AH$2),OR(VALUE(I325)=INDIRECT("'["&amp;G325&amp;"]"&amp;E325&amp;"'!"&amp;$AC$2))),INDIRECT("'["&amp;G325&amp;"]"&amp;E325&amp;"'!"&amp;$AC$3),0)</f>
        <v>#VALUE!</v>
      </c>
      <c r="R325" s="34" t="e" cm="1">
        <f t="array" aca="1" ref="R325" ca="1">IF(AND(G325=INDIRECT("'["&amp;G325&amp;"]"&amp;E325&amp;"'!"&amp;$AH$2),OR(I325=INDIRECT("'["&amp;G325&amp;"]"&amp;E325&amp;"'!"&amp;$AD$2))),INDIRECT("'["&amp;G325&amp;"]"&amp;E325&amp;"'!"&amp;$AD$3),0)</f>
        <v>#VALUE!</v>
      </c>
      <c r="S325" s="34" t="e" cm="1">
        <f t="array" aca="1" ref="S325" ca="1">IF(AND(G325=INDIRECT("'["&amp;G325&amp;"]"&amp;E325&amp;"'!"&amp;$AH$2),OR(I325=INDIRECT("'["&amp;G325&amp;"]"&amp;E325&amp;"'!"&amp;$AE$2))),INDIRECT("'["&amp;G325&amp;"]"&amp;E325&amp;"'!"&amp;$AE$3),0)</f>
        <v>#VALUE!</v>
      </c>
      <c r="T325" s="35" t="e" cm="1">
        <f t="array" aca="1" ref="T325" ca="1">IF(AND(G325=INDIRECT("'["&amp;G325&amp;"]"&amp;E325&amp;"'!"&amp;$AH$2),OR(I325=INDIRECT("'["&amp;G325&amp;"]"&amp;E325&amp;"'!"&amp;$AF$2))),INDIRECT("'["&amp;G325&amp;"]"&amp;E325&amp;"'!"&amp;$AF$3),0)</f>
        <v>#VALUE!</v>
      </c>
      <c r="U325" s="34" t="e" cm="1">
        <f t="array" aca="1" ref="U325" ca="1">IF(AND(G325=INDIRECT("'["&amp;G325&amp;"]"&amp;E325&amp;"'!"&amp;$AH$2),OR(I325=INDIRECT("'["&amp;G325&amp;"]"&amp;E325&amp;"'!"&amp;$AG$2))),INDIRECT("'["&amp;G325&amp;"]"&amp;E325&amp;"'!"&amp;$AG$3),0)</f>
        <v>#VALUE!</v>
      </c>
      <c r="V325" s="25" t="str">
        <f t="shared" si="110"/>
        <v/>
      </c>
      <c r="W325" s="36" t="e" cm="1">
        <f t="array" aca="1" ref="W325" ca="1">IF(AND(G325=INDIRECT("'["&amp;G325&amp;"]"&amp;E325&amp;"'!"&amp;$AH$2),OR(V325=INDIRECT("'["&amp;G325&amp;"]"&amp;E325&amp;"'!"&amp;$AI$2))),INDIRECT("'["&amp;G325&amp;"]"&amp;E325&amp;"'!"&amp;$AI$3),0)</f>
        <v>#VALUE!</v>
      </c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25">
        <v>1</v>
      </c>
      <c r="AK325" s="38">
        <f t="shared" ca="1" si="95"/>
        <v>0</v>
      </c>
      <c r="AL325" s="38">
        <f t="shared" ca="1" si="96"/>
        <v>0</v>
      </c>
      <c r="AM325" s="54" t="str">
        <f t="shared" ca="1" si="97"/>
        <v/>
      </c>
      <c r="AN325" s="25" t="e">
        <f t="shared" ca="1" si="98"/>
        <v>#VALUE!</v>
      </c>
      <c r="AO325" s="25" t="e">
        <f t="shared" ca="1" si="99"/>
        <v>#VALUE!</v>
      </c>
      <c r="AP325" s="39" t="str">
        <f t="shared" ca="1" si="100"/>
        <v/>
      </c>
      <c r="AQ325" s="46" t="str">
        <f ca="1">IF(AND(C325&lt;&gt;0, C326=0), SUM($C$2:C325)-SUM($AQ$1:AQ324), "")</f>
        <v/>
      </c>
      <c r="AR325" s="46" t="str">
        <f ca="1">IF(AND(AK325&lt;&gt;0, AK326=0), SUM($AK$2:AK325)-SUM($AR$1:AR324), "")</f>
        <v/>
      </c>
      <c r="AS325" s="51"/>
      <c r="AT325" s="51"/>
      <c r="AU325" s="51"/>
      <c r="AV325" s="51"/>
      <c r="AW325" s="51"/>
      <c r="AX325" s="51"/>
      <c r="AZ325" s="46"/>
    </row>
    <row r="326" spans="1:52" ht="13.15" customHeight="1">
      <c r="A326" s="62"/>
      <c r="B326" s="68" t="str">
        <f t="shared" si="101"/>
        <v/>
      </c>
      <c r="C326" s="55" cm="1">
        <f t="array" aca="1" ref="C326" ca="1">SUM(IF(ISNUMBER(M326:U326),M326:U326,""))</f>
        <v>0</v>
      </c>
      <c r="D326" s="25" t="str">
        <f t="shared" si="102"/>
        <v/>
      </c>
      <c r="E326" s="25" t="e">
        <f t="shared" si="103"/>
        <v>#VALUE!</v>
      </c>
      <c r="F326" s="25" t="str">
        <f t="shared" si="104"/>
        <v/>
      </c>
      <c r="G326" s="25" t="str">
        <f t="shared" si="105"/>
        <v>.xlsx</v>
      </c>
      <c r="H326" s="29" t="e" cm="1">
        <f t="array" aca="1" ref="H326" ca="1">IF(AND(VALUE(E326)=INDIRECT("'["&amp;G326&amp;"]"&amp;E326&amp;"'!"&amp;$X$2),G326=INDIRECT("'["&amp;G326&amp;"]"&amp;E326&amp;"'!"&amp;$X$3)),INDIRECT("'["&amp;G326&amp;"]"&amp;E326&amp;"'!"&amp;$X$1),0)</f>
        <v>#VALUE!</v>
      </c>
      <c r="I326" s="25" t="str">
        <f t="shared" si="106"/>
        <v/>
      </c>
      <c r="J326" s="32" t="str">
        <f t="shared" si="107"/>
        <v/>
      </c>
      <c r="K326" s="25" t="str">
        <f t="shared" si="108"/>
        <v/>
      </c>
      <c r="L326" s="25" t="str">
        <f t="shared" si="109"/>
        <v/>
      </c>
      <c r="M326" s="33" t="e" cm="1">
        <f t="array" aca="1" ref="M326" ca="1">IF(AND(J326=INDIRECT("'["&amp;G326&amp;"]"&amp;E326&amp;"'!"&amp;$Y$2),G326=INDIRECT("'["&amp;G326&amp;"]"&amp;E326&amp;"'!"&amp;$AH$2)),INDIRECT("'["&amp;G326&amp;"]"&amp;E326&amp;"'!"&amp;$Y$3),0)</f>
        <v>#VALUE!</v>
      </c>
      <c r="N326" s="34" t="e" cm="1">
        <f t="array" aca="1" ref="N326" ca="1">IF(AND(G326=INDIRECT("'["&amp;G326&amp;"]"&amp;E326&amp;"'!"&amp;$AH$2),OR(K326=INDIRECT("'["&amp;G326&amp;"]"&amp;E326&amp;"'!"&amp;$Z$2))),INDIRECT("'["&amp;G326&amp;"]"&amp;E326&amp;"'!"&amp;$Z$3),0)</f>
        <v>#VALUE!</v>
      </c>
      <c r="O326" s="34" t="e" cm="1">
        <f t="array" aca="1" ref="O326" ca="1">IF(AND(G326=INDIRECT("'["&amp;G326&amp;"]"&amp;E326&amp;"'!"&amp;$AH$2),OR(L326=INDIRECT("'["&amp;G326&amp;"]"&amp;E326&amp;"'!"&amp;$AA$2))),INDIRECT("'["&amp;G326&amp;"]"&amp;E326&amp;"'!"&amp;$AA$3),0)</f>
        <v>#VALUE!</v>
      </c>
      <c r="P326" s="34" t="e" cm="1">
        <f t="array" aca="1" ref="P326" ca="1">IF(AND(G326=INDIRECT("'["&amp;G326&amp;"]"&amp;E326&amp;"'!"&amp;$AH$2),OR(VALUE(I326)=INDIRECT("'["&amp;G326&amp;"]"&amp;E326&amp;"'!"&amp;$AB$2))),INDIRECT("'["&amp;G326&amp;"]"&amp;E326&amp;"'!"&amp;$AB$3),0)</f>
        <v>#VALUE!</v>
      </c>
      <c r="Q326" s="34" t="e" cm="1">
        <f t="array" aca="1" ref="Q326" ca="1">IF(AND(G326=INDIRECT("'["&amp;G326&amp;"]"&amp;E326&amp;"'!"&amp;$AH$2),OR(VALUE(I326)=INDIRECT("'["&amp;G326&amp;"]"&amp;E326&amp;"'!"&amp;$AC$2))),INDIRECT("'["&amp;G326&amp;"]"&amp;E326&amp;"'!"&amp;$AC$3),0)</f>
        <v>#VALUE!</v>
      </c>
      <c r="R326" s="34" t="e" cm="1">
        <f t="array" aca="1" ref="R326" ca="1">IF(AND(G326=INDIRECT("'["&amp;G326&amp;"]"&amp;E326&amp;"'!"&amp;$AH$2),OR(I326=INDIRECT("'["&amp;G326&amp;"]"&amp;E326&amp;"'!"&amp;$AD$2))),INDIRECT("'["&amp;G326&amp;"]"&amp;E326&amp;"'!"&amp;$AD$3),0)</f>
        <v>#VALUE!</v>
      </c>
      <c r="S326" s="34" t="e" cm="1">
        <f t="array" aca="1" ref="S326" ca="1">IF(AND(G326=INDIRECT("'["&amp;G326&amp;"]"&amp;E326&amp;"'!"&amp;$AH$2),OR(I326=INDIRECT("'["&amp;G326&amp;"]"&amp;E326&amp;"'!"&amp;$AE$2))),INDIRECT("'["&amp;G326&amp;"]"&amp;E326&amp;"'!"&amp;$AE$3),0)</f>
        <v>#VALUE!</v>
      </c>
      <c r="T326" s="35" t="e" cm="1">
        <f t="array" aca="1" ref="T326" ca="1">IF(AND(G326=INDIRECT("'["&amp;G326&amp;"]"&amp;E326&amp;"'!"&amp;$AH$2),OR(I326=INDIRECT("'["&amp;G326&amp;"]"&amp;E326&amp;"'!"&amp;$AF$2))),INDIRECT("'["&amp;G326&amp;"]"&amp;E326&amp;"'!"&amp;$AF$3),0)</f>
        <v>#VALUE!</v>
      </c>
      <c r="U326" s="34" t="e" cm="1">
        <f t="array" aca="1" ref="U326" ca="1">IF(AND(G326=INDIRECT("'["&amp;G326&amp;"]"&amp;E326&amp;"'!"&amp;$AH$2),OR(I326=INDIRECT("'["&amp;G326&amp;"]"&amp;E326&amp;"'!"&amp;$AG$2))),INDIRECT("'["&amp;G326&amp;"]"&amp;E326&amp;"'!"&amp;$AG$3),0)</f>
        <v>#VALUE!</v>
      </c>
      <c r="V326" s="25" t="str">
        <f t="shared" si="110"/>
        <v/>
      </c>
      <c r="W326" s="36" t="e" cm="1">
        <f t="array" aca="1" ref="W326" ca="1">IF(AND(G326=INDIRECT("'["&amp;G326&amp;"]"&amp;E326&amp;"'!"&amp;$AH$2),OR(V326=INDIRECT("'["&amp;G326&amp;"]"&amp;E326&amp;"'!"&amp;$AI$2))),INDIRECT("'["&amp;G326&amp;"]"&amp;E326&amp;"'!"&amp;$AI$3),0)</f>
        <v>#VALUE!</v>
      </c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25">
        <v>1</v>
      </c>
      <c r="AK326" s="38">
        <f t="shared" ca="1" si="95"/>
        <v>0</v>
      </c>
      <c r="AL326" s="38">
        <f t="shared" ca="1" si="96"/>
        <v>0</v>
      </c>
      <c r="AM326" s="54" t="str">
        <f t="shared" ca="1" si="97"/>
        <v/>
      </c>
      <c r="AN326" s="25" t="e">
        <f t="shared" ca="1" si="98"/>
        <v>#VALUE!</v>
      </c>
      <c r="AO326" s="25" t="e">
        <f t="shared" ca="1" si="99"/>
        <v>#VALUE!</v>
      </c>
      <c r="AP326" s="39" t="str">
        <f t="shared" ca="1" si="100"/>
        <v/>
      </c>
      <c r="AQ326" s="46" t="str">
        <f ca="1">IF(AND(C326&lt;&gt;0, C327=0), SUM($C$2:C326)-SUM($AQ$1:AQ325), "")</f>
        <v/>
      </c>
      <c r="AR326" s="46" t="str">
        <f ca="1">IF(AND(AK326&lt;&gt;0, AK327=0), SUM($AK$2:AK326)-SUM($AR$1:AR325), "")</f>
        <v/>
      </c>
      <c r="AS326" s="51"/>
      <c r="AT326" s="51"/>
      <c r="AU326" s="51"/>
      <c r="AV326" s="51"/>
      <c r="AW326" s="51"/>
      <c r="AX326" s="51"/>
      <c r="AZ326" s="46"/>
    </row>
    <row r="327" spans="1:52" ht="13.15" customHeight="1">
      <c r="A327" s="62"/>
      <c r="B327" s="68" t="str">
        <f t="shared" si="101"/>
        <v/>
      </c>
      <c r="C327" s="55" cm="1">
        <f t="array" aca="1" ref="C327" ca="1">SUM(IF(ISNUMBER(M327:U327),M327:U327,""))</f>
        <v>0</v>
      </c>
      <c r="D327" s="25" t="str">
        <f t="shared" si="102"/>
        <v/>
      </c>
      <c r="E327" s="25" t="e">
        <f t="shared" si="103"/>
        <v>#VALUE!</v>
      </c>
      <c r="F327" s="25" t="str">
        <f t="shared" si="104"/>
        <v/>
      </c>
      <c r="G327" s="25" t="str">
        <f t="shared" si="105"/>
        <v>.xlsx</v>
      </c>
      <c r="H327" s="29" t="e" cm="1">
        <f t="array" aca="1" ref="H327" ca="1">IF(AND(VALUE(E327)=INDIRECT("'["&amp;G327&amp;"]"&amp;E327&amp;"'!"&amp;$X$2),G327=INDIRECT("'["&amp;G327&amp;"]"&amp;E327&amp;"'!"&amp;$X$3)),INDIRECT("'["&amp;G327&amp;"]"&amp;E327&amp;"'!"&amp;$X$1),0)</f>
        <v>#VALUE!</v>
      </c>
      <c r="I327" s="25" t="str">
        <f t="shared" si="106"/>
        <v/>
      </c>
      <c r="J327" s="32" t="str">
        <f t="shared" si="107"/>
        <v/>
      </c>
      <c r="K327" s="25" t="str">
        <f t="shared" si="108"/>
        <v/>
      </c>
      <c r="L327" s="25" t="str">
        <f t="shared" si="109"/>
        <v/>
      </c>
      <c r="M327" s="33" t="e" cm="1">
        <f t="array" aca="1" ref="M327" ca="1">IF(AND(J327=INDIRECT("'["&amp;G327&amp;"]"&amp;E327&amp;"'!"&amp;$Y$2),G327=INDIRECT("'["&amp;G327&amp;"]"&amp;E327&amp;"'!"&amp;$AH$2)),INDIRECT("'["&amp;G327&amp;"]"&amp;E327&amp;"'!"&amp;$Y$3),0)</f>
        <v>#VALUE!</v>
      </c>
      <c r="N327" s="34" t="e" cm="1">
        <f t="array" aca="1" ref="N327" ca="1">IF(AND(G327=INDIRECT("'["&amp;G327&amp;"]"&amp;E327&amp;"'!"&amp;$AH$2),OR(K327=INDIRECT("'["&amp;G327&amp;"]"&amp;E327&amp;"'!"&amp;$Z$2))),INDIRECT("'["&amp;G327&amp;"]"&amp;E327&amp;"'!"&amp;$Z$3),0)</f>
        <v>#VALUE!</v>
      </c>
      <c r="O327" s="34" t="e" cm="1">
        <f t="array" aca="1" ref="O327" ca="1">IF(AND(G327=INDIRECT("'["&amp;G327&amp;"]"&amp;E327&amp;"'!"&amp;$AH$2),OR(L327=INDIRECT("'["&amp;G327&amp;"]"&amp;E327&amp;"'!"&amp;$AA$2))),INDIRECT("'["&amp;G327&amp;"]"&amp;E327&amp;"'!"&amp;$AA$3),0)</f>
        <v>#VALUE!</v>
      </c>
      <c r="P327" s="34" t="e" cm="1">
        <f t="array" aca="1" ref="P327" ca="1">IF(AND(G327=INDIRECT("'["&amp;G327&amp;"]"&amp;E327&amp;"'!"&amp;$AH$2),OR(VALUE(I327)=INDIRECT("'["&amp;G327&amp;"]"&amp;E327&amp;"'!"&amp;$AB$2))),INDIRECT("'["&amp;G327&amp;"]"&amp;E327&amp;"'!"&amp;$AB$3),0)</f>
        <v>#VALUE!</v>
      </c>
      <c r="Q327" s="34" t="e" cm="1">
        <f t="array" aca="1" ref="Q327" ca="1">IF(AND(G327=INDIRECT("'["&amp;G327&amp;"]"&amp;E327&amp;"'!"&amp;$AH$2),OR(VALUE(I327)=INDIRECT("'["&amp;G327&amp;"]"&amp;E327&amp;"'!"&amp;$AC$2))),INDIRECT("'["&amp;G327&amp;"]"&amp;E327&amp;"'!"&amp;$AC$3),0)</f>
        <v>#VALUE!</v>
      </c>
      <c r="R327" s="34" t="e" cm="1">
        <f t="array" aca="1" ref="R327" ca="1">IF(AND(G327=INDIRECT("'["&amp;G327&amp;"]"&amp;E327&amp;"'!"&amp;$AH$2),OR(I327=INDIRECT("'["&amp;G327&amp;"]"&amp;E327&amp;"'!"&amp;$AD$2))),INDIRECT("'["&amp;G327&amp;"]"&amp;E327&amp;"'!"&amp;$AD$3),0)</f>
        <v>#VALUE!</v>
      </c>
      <c r="S327" s="34" t="e" cm="1">
        <f t="array" aca="1" ref="S327" ca="1">IF(AND(G327=INDIRECT("'["&amp;G327&amp;"]"&amp;E327&amp;"'!"&amp;$AH$2),OR(I327=INDIRECT("'["&amp;G327&amp;"]"&amp;E327&amp;"'!"&amp;$AE$2))),INDIRECT("'["&amp;G327&amp;"]"&amp;E327&amp;"'!"&amp;$AE$3),0)</f>
        <v>#VALUE!</v>
      </c>
      <c r="T327" s="35" t="e" cm="1">
        <f t="array" aca="1" ref="T327" ca="1">IF(AND(G327=INDIRECT("'["&amp;G327&amp;"]"&amp;E327&amp;"'!"&amp;$AH$2),OR(I327=INDIRECT("'["&amp;G327&amp;"]"&amp;E327&amp;"'!"&amp;$AF$2))),INDIRECT("'["&amp;G327&amp;"]"&amp;E327&amp;"'!"&amp;$AF$3),0)</f>
        <v>#VALUE!</v>
      </c>
      <c r="U327" s="34" t="e" cm="1">
        <f t="array" aca="1" ref="U327" ca="1">IF(AND(G327=INDIRECT("'["&amp;G327&amp;"]"&amp;E327&amp;"'!"&amp;$AH$2),OR(I327=INDIRECT("'["&amp;G327&amp;"]"&amp;E327&amp;"'!"&amp;$AG$2))),INDIRECT("'["&amp;G327&amp;"]"&amp;E327&amp;"'!"&amp;$AG$3),0)</f>
        <v>#VALUE!</v>
      </c>
      <c r="V327" s="25" t="str">
        <f t="shared" si="110"/>
        <v/>
      </c>
      <c r="W327" s="36" t="e" cm="1">
        <f t="array" aca="1" ref="W327" ca="1">IF(AND(G327=INDIRECT("'["&amp;G327&amp;"]"&amp;E327&amp;"'!"&amp;$AH$2),OR(V327=INDIRECT("'["&amp;G327&amp;"]"&amp;E327&amp;"'!"&amp;$AI$2))),INDIRECT("'["&amp;G327&amp;"]"&amp;E327&amp;"'!"&amp;$AI$3),0)</f>
        <v>#VALUE!</v>
      </c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25">
        <v>1</v>
      </c>
      <c r="AK327" s="38">
        <f t="shared" ca="1" si="95"/>
        <v>0</v>
      </c>
      <c r="AL327" s="38">
        <f t="shared" ca="1" si="96"/>
        <v>0</v>
      </c>
      <c r="AM327" s="54" t="str">
        <f t="shared" ca="1" si="97"/>
        <v/>
      </c>
      <c r="AN327" s="25" t="e">
        <f t="shared" ca="1" si="98"/>
        <v>#VALUE!</v>
      </c>
      <c r="AO327" s="25" t="e">
        <f t="shared" ca="1" si="99"/>
        <v>#VALUE!</v>
      </c>
      <c r="AP327" s="39" t="str">
        <f t="shared" ca="1" si="100"/>
        <v/>
      </c>
      <c r="AQ327" s="46" t="str">
        <f ca="1">IF(AND(C327&lt;&gt;0, C328=0), SUM($C$2:C327)-SUM($AQ$1:AQ326), "")</f>
        <v/>
      </c>
      <c r="AR327" s="46" t="str">
        <f ca="1">IF(AND(AK327&lt;&gt;0, AK328=0), SUM($AK$2:AK327)-SUM($AR$1:AR326), "")</f>
        <v/>
      </c>
      <c r="AS327" s="51"/>
      <c r="AT327" s="51"/>
      <c r="AU327" s="51"/>
      <c r="AV327" s="51"/>
      <c r="AW327" s="51"/>
      <c r="AX327" s="51"/>
      <c r="AZ327" s="46"/>
    </row>
    <row r="328" spans="1:52" ht="13.15" customHeight="1">
      <c r="A328" s="62"/>
      <c r="B328" s="68" t="str">
        <f t="shared" si="101"/>
        <v/>
      </c>
      <c r="C328" s="55" cm="1">
        <f t="array" aca="1" ref="C328" ca="1">SUM(IF(ISNUMBER(M328:U328),M328:U328,""))</f>
        <v>0</v>
      </c>
      <c r="D328" s="25" t="str">
        <f t="shared" si="102"/>
        <v/>
      </c>
      <c r="E328" s="25" t="e">
        <f t="shared" si="103"/>
        <v>#VALUE!</v>
      </c>
      <c r="F328" s="25" t="str">
        <f t="shared" si="104"/>
        <v/>
      </c>
      <c r="G328" s="25" t="str">
        <f t="shared" si="105"/>
        <v>.xlsx</v>
      </c>
      <c r="H328" s="29" t="e" cm="1">
        <f t="array" aca="1" ref="H328" ca="1">IF(AND(VALUE(E328)=INDIRECT("'["&amp;G328&amp;"]"&amp;E328&amp;"'!"&amp;$X$2),G328=INDIRECT("'["&amp;G328&amp;"]"&amp;E328&amp;"'!"&amp;$X$3)),INDIRECT("'["&amp;G328&amp;"]"&amp;E328&amp;"'!"&amp;$X$1),0)</f>
        <v>#VALUE!</v>
      </c>
      <c r="I328" s="25" t="str">
        <f t="shared" si="106"/>
        <v/>
      </c>
      <c r="J328" s="32" t="str">
        <f t="shared" si="107"/>
        <v/>
      </c>
      <c r="K328" s="25" t="str">
        <f t="shared" si="108"/>
        <v/>
      </c>
      <c r="L328" s="25" t="str">
        <f t="shared" si="109"/>
        <v/>
      </c>
      <c r="M328" s="33" t="e" cm="1">
        <f t="array" aca="1" ref="M328" ca="1">IF(AND(J328=INDIRECT("'["&amp;G328&amp;"]"&amp;E328&amp;"'!"&amp;$Y$2),G328=INDIRECT("'["&amp;G328&amp;"]"&amp;E328&amp;"'!"&amp;$AH$2)),INDIRECT("'["&amp;G328&amp;"]"&amp;E328&amp;"'!"&amp;$Y$3),0)</f>
        <v>#VALUE!</v>
      </c>
      <c r="N328" s="34" t="e" cm="1">
        <f t="array" aca="1" ref="N328" ca="1">IF(AND(G328=INDIRECT("'["&amp;G328&amp;"]"&amp;E328&amp;"'!"&amp;$AH$2),OR(K328=INDIRECT("'["&amp;G328&amp;"]"&amp;E328&amp;"'!"&amp;$Z$2))),INDIRECT("'["&amp;G328&amp;"]"&amp;E328&amp;"'!"&amp;$Z$3),0)</f>
        <v>#VALUE!</v>
      </c>
      <c r="O328" s="34" t="e" cm="1">
        <f t="array" aca="1" ref="O328" ca="1">IF(AND(G328=INDIRECT("'["&amp;G328&amp;"]"&amp;E328&amp;"'!"&amp;$AH$2),OR(L328=INDIRECT("'["&amp;G328&amp;"]"&amp;E328&amp;"'!"&amp;$AA$2))),INDIRECT("'["&amp;G328&amp;"]"&amp;E328&amp;"'!"&amp;$AA$3),0)</f>
        <v>#VALUE!</v>
      </c>
      <c r="P328" s="34" t="e" cm="1">
        <f t="array" aca="1" ref="P328" ca="1">IF(AND(G328=INDIRECT("'["&amp;G328&amp;"]"&amp;E328&amp;"'!"&amp;$AH$2),OR(VALUE(I328)=INDIRECT("'["&amp;G328&amp;"]"&amp;E328&amp;"'!"&amp;$AB$2))),INDIRECT("'["&amp;G328&amp;"]"&amp;E328&amp;"'!"&amp;$AB$3),0)</f>
        <v>#VALUE!</v>
      </c>
      <c r="Q328" s="34" t="e" cm="1">
        <f t="array" aca="1" ref="Q328" ca="1">IF(AND(G328=INDIRECT("'["&amp;G328&amp;"]"&amp;E328&amp;"'!"&amp;$AH$2),OR(VALUE(I328)=INDIRECT("'["&amp;G328&amp;"]"&amp;E328&amp;"'!"&amp;$AC$2))),INDIRECT("'["&amp;G328&amp;"]"&amp;E328&amp;"'!"&amp;$AC$3),0)</f>
        <v>#VALUE!</v>
      </c>
      <c r="R328" s="34" t="e" cm="1">
        <f t="array" aca="1" ref="R328" ca="1">IF(AND(G328=INDIRECT("'["&amp;G328&amp;"]"&amp;E328&amp;"'!"&amp;$AH$2),OR(I328=INDIRECT("'["&amp;G328&amp;"]"&amp;E328&amp;"'!"&amp;$AD$2))),INDIRECT("'["&amp;G328&amp;"]"&amp;E328&amp;"'!"&amp;$AD$3),0)</f>
        <v>#VALUE!</v>
      </c>
      <c r="S328" s="34" t="e" cm="1">
        <f t="array" aca="1" ref="S328" ca="1">IF(AND(G328=INDIRECT("'["&amp;G328&amp;"]"&amp;E328&amp;"'!"&amp;$AH$2),OR(I328=INDIRECT("'["&amp;G328&amp;"]"&amp;E328&amp;"'!"&amp;$AE$2))),INDIRECT("'["&amp;G328&amp;"]"&amp;E328&amp;"'!"&amp;$AE$3),0)</f>
        <v>#VALUE!</v>
      </c>
      <c r="T328" s="35" t="e" cm="1">
        <f t="array" aca="1" ref="T328" ca="1">IF(AND(G328=INDIRECT("'["&amp;G328&amp;"]"&amp;E328&amp;"'!"&amp;$AH$2),OR(I328=INDIRECT("'["&amp;G328&amp;"]"&amp;E328&amp;"'!"&amp;$AF$2))),INDIRECT("'["&amp;G328&amp;"]"&amp;E328&amp;"'!"&amp;$AF$3),0)</f>
        <v>#VALUE!</v>
      </c>
      <c r="U328" s="34" t="e" cm="1">
        <f t="array" aca="1" ref="U328" ca="1">IF(AND(G328=INDIRECT("'["&amp;G328&amp;"]"&amp;E328&amp;"'!"&amp;$AH$2),OR(I328=INDIRECT("'["&amp;G328&amp;"]"&amp;E328&amp;"'!"&amp;$AG$2))),INDIRECT("'["&amp;G328&amp;"]"&amp;E328&amp;"'!"&amp;$AG$3),0)</f>
        <v>#VALUE!</v>
      </c>
      <c r="V328" s="25" t="str">
        <f t="shared" si="110"/>
        <v/>
      </c>
      <c r="W328" s="36" t="e" cm="1">
        <f t="array" aca="1" ref="W328" ca="1">IF(AND(G328=INDIRECT("'["&amp;G328&amp;"]"&amp;E328&amp;"'!"&amp;$AH$2),OR(V328=INDIRECT("'["&amp;G328&amp;"]"&amp;E328&amp;"'!"&amp;$AI$2))),INDIRECT("'["&amp;G328&amp;"]"&amp;E328&amp;"'!"&amp;$AI$3),0)</f>
        <v>#VALUE!</v>
      </c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25">
        <v>1</v>
      </c>
      <c r="AK328" s="38">
        <f t="shared" ca="1" si="95"/>
        <v>0</v>
      </c>
      <c r="AL328" s="38">
        <f t="shared" ca="1" si="96"/>
        <v>0</v>
      </c>
      <c r="AM328" s="54" t="str">
        <f t="shared" ca="1" si="97"/>
        <v/>
      </c>
      <c r="AN328" s="25" t="e">
        <f t="shared" ca="1" si="98"/>
        <v>#VALUE!</v>
      </c>
      <c r="AO328" s="25" t="e">
        <f t="shared" ca="1" si="99"/>
        <v>#VALUE!</v>
      </c>
      <c r="AP328" s="39" t="str">
        <f t="shared" ca="1" si="100"/>
        <v/>
      </c>
      <c r="AQ328" s="46" t="str">
        <f ca="1">IF(AND(C328&lt;&gt;0, C329=0), SUM($C$2:C328)-SUM($AQ$1:AQ327), "")</f>
        <v/>
      </c>
      <c r="AR328" s="46" t="str">
        <f ca="1">IF(AND(AK328&lt;&gt;0, AK329=0), SUM($AK$2:AK328)-SUM($AR$1:AR327), "")</f>
        <v/>
      </c>
      <c r="AS328" s="51"/>
      <c r="AT328" s="51"/>
      <c r="AU328" s="51"/>
      <c r="AV328" s="51"/>
      <c r="AW328" s="51"/>
      <c r="AX328" s="51"/>
      <c r="AZ328" s="46"/>
    </row>
    <row r="329" spans="1:52" ht="13.15" customHeight="1">
      <c r="A329" s="62"/>
      <c r="B329" s="68" t="str">
        <f t="shared" si="101"/>
        <v/>
      </c>
      <c r="C329" s="55" cm="1">
        <f t="array" aca="1" ref="C329" ca="1">SUM(IF(ISNUMBER(M329:U329),M329:U329,""))</f>
        <v>0</v>
      </c>
      <c r="D329" s="25" t="str">
        <f t="shared" si="102"/>
        <v/>
      </c>
      <c r="E329" s="25" t="e">
        <f t="shared" si="103"/>
        <v>#VALUE!</v>
      </c>
      <c r="F329" s="25" t="str">
        <f t="shared" si="104"/>
        <v/>
      </c>
      <c r="G329" s="25" t="str">
        <f t="shared" si="105"/>
        <v>.xlsx</v>
      </c>
      <c r="H329" s="29" t="e" cm="1">
        <f t="array" aca="1" ref="H329" ca="1">IF(AND(VALUE(E329)=INDIRECT("'["&amp;G329&amp;"]"&amp;E329&amp;"'!"&amp;$X$2),G329=INDIRECT("'["&amp;G329&amp;"]"&amp;E329&amp;"'!"&amp;$X$3)),INDIRECT("'["&amp;G329&amp;"]"&amp;E329&amp;"'!"&amp;$X$1),0)</f>
        <v>#VALUE!</v>
      </c>
      <c r="I329" s="25" t="str">
        <f t="shared" si="106"/>
        <v/>
      </c>
      <c r="J329" s="32" t="str">
        <f t="shared" si="107"/>
        <v/>
      </c>
      <c r="K329" s="25" t="str">
        <f t="shared" si="108"/>
        <v/>
      </c>
      <c r="L329" s="25" t="str">
        <f t="shared" si="109"/>
        <v/>
      </c>
      <c r="M329" s="33" t="e" cm="1">
        <f t="array" aca="1" ref="M329" ca="1">IF(AND(J329=INDIRECT("'["&amp;G329&amp;"]"&amp;E329&amp;"'!"&amp;$Y$2),G329=INDIRECT("'["&amp;G329&amp;"]"&amp;E329&amp;"'!"&amp;$AH$2)),INDIRECT("'["&amp;G329&amp;"]"&amp;E329&amp;"'!"&amp;$Y$3),0)</f>
        <v>#VALUE!</v>
      </c>
      <c r="N329" s="34" t="e" cm="1">
        <f t="array" aca="1" ref="N329" ca="1">IF(AND(G329=INDIRECT("'["&amp;G329&amp;"]"&amp;E329&amp;"'!"&amp;$AH$2),OR(K329=INDIRECT("'["&amp;G329&amp;"]"&amp;E329&amp;"'!"&amp;$Z$2))),INDIRECT("'["&amp;G329&amp;"]"&amp;E329&amp;"'!"&amp;$Z$3),0)</f>
        <v>#VALUE!</v>
      </c>
      <c r="O329" s="34" t="e" cm="1">
        <f t="array" aca="1" ref="O329" ca="1">IF(AND(G329=INDIRECT("'["&amp;G329&amp;"]"&amp;E329&amp;"'!"&amp;$AH$2),OR(L329=INDIRECT("'["&amp;G329&amp;"]"&amp;E329&amp;"'!"&amp;$AA$2))),INDIRECT("'["&amp;G329&amp;"]"&amp;E329&amp;"'!"&amp;$AA$3),0)</f>
        <v>#VALUE!</v>
      </c>
      <c r="P329" s="34" t="e" cm="1">
        <f t="array" aca="1" ref="P329" ca="1">IF(AND(G329=INDIRECT("'["&amp;G329&amp;"]"&amp;E329&amp;"'!"&amp;$AH$2),OR(VALUE(I329)=INDIRECT("'["&amp;G329&amp;"]"&amp;E329&amp;"'!"&amp;$AB$2))),INDIRECT("'["&amp;G329&amp;"]"&amp;E329&amp;"'!"&amp;$AB$3),0)</f>
        <v>#VALUE!</v>
      </c>
      <c r="Q329" s="34" t="e" cm="1">
        <f t="array" aca="1" ref="Q329" ca="1">IF(AND(G329=INDIRECT("'["&amp;G329&amp;"]"&amp;E329&amp;"'!"&amp;$AH$2),OR(VALUE(I329)=INDIRECT("'["&amp;G329&amp;"]"&amp;E329&amp;"'!"&amp;$AC$2))),INDIRECT("'["&amp;G329&amp;"]"&amp;E329&amp;"'!"&amp;$AC$3),0)</f>
        <v>#VALUE!</v>
      </c>
      <c r="R329" s="34" t="e" cm="1">
        <f t="array" aca="1" ref="R329" ca="1">IF(AND(G329=INDIRECT("'["&amp;G329&amp;"]"&amp;E329&amp;"'!"&amp;$AH$2),OR(I329=INDIRECT("'["&amp;G329&amp;"]"&amp;E329&amp;"'!"&amp;$AD$2))),INDIRECT("'["&amp;G329&amp;"]"&amp;E329&amp;"'!"&amp;$AD$3),0)</f>
        <v>#VALUE!</v>
      </c>
      <c r="S329" s="34" t="e" cm="1">
        <f t="array" aca="1" ref="S329" ca="1">IF(AND(G329=INDIRECT("'["&amp;G329&amp;"]"&amp;E329&amp;"'!"&amp;$AH$2),OR(I329=INDIRECT("'["&amp;G329&amp;"]"&amp;E329&amp;"'!"&amp;$AE$2))),INDIRECT("'["&amp;G329&amp;"]"&amp;E329&amp;"'!"&amp;$AE$3),0)</f>
        <v>#VALUE!</v>
      </c>
      <c r="T329" s="35" t="e" cm="1">
        <f t="array" aca="1" ref="T329" ca="1">IF(AND(G329=INDIRECT("'["&amp;G329&amp;"]"&amp;E329&amp;"'!"&amp;$AH$2),OR(I329=INDIRECT("'["&amp;G329&amp;"]"&amp;E329&amp;"'!"&amp;$AF$2))),INDIRECT("'["&amp;G329&amp;"]"&amp;E329&amp;"'!"&amp;$AF$3),0)</f>
        <v>#VALUE!</v>
      </c>
      <c r="U329" s="34" t="e" cm="1">
        <f t="array" aca="1" ref="U329" ca="1">IF(AND(G329=INDIRECT("'["&amp;G329&amp;"]"&amp;E329&amp;"'!"&amp;$AH$2),OR(I329=INDIRECT("'["&amp;G329&amp;"]"&amp;E329&amp;"'!"&amp;$AG$2))),INDIRECT("'["&amp;G329&amp;"]"&amp;E329&amp;"'!"&amp;$AG$3),0)</f>
        <v>#VALUE!</v>
      </c>
      <c r="V329" s="25" t="str">
        <f t="shared" si="110"/>
        <v/>
      </c>
      <c r="W329" s="36" t="e" cm="1">
        <f t="array" aca="1" ref="W329" ca="1">IF(AND(G329=INDIRECT("'["&amp;G329&amp;"]"&amp;E329&amp;"'!"&amp;$AH$2),OR(V329=INDIRECT("'["&amp;G329&amp;"]"&amp;E329&amp;"'!"&amp;$AI$2))),INDIRECT("'["&amp;G329&amp;"]"&amp;E329&amp;"'!"&amp;$AI$3),0)</f>
        <v>#VALUE!</v>
      </c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25">
        <v>1</v>
      </c>
      <c r="AK329" s="38">
        <f t="shared" ca="1" si="95"/>
        <v>0</v>
      </c>
      <c r="AL329" s="38">
        <f t="shared" ca="1" si="96"/>
        <v>0</v>
      </c>
      <c r="AM329" s="54" t="str">
        <f t="shared" ca="1" si="97"/>
        <v/>
      </c>
      <c r="AN329" s="25" t="e">
        <f t="shared" ca="1" si="98"/>
        <v>#VALUE!</v>
      </c>
      <c r="AO329" s="25" t="e">
        <f t="shared" ca="1" si="99"/>
        <v>#VALUE!</v>
      </c>
      <c r="AP329" s="39" t="str">
        <f t="shared" ca="1" si="100"/>
        <v/>
      </c>
      <c r="AQ329" s="46" t="str">
        <f ca="1">IF(AND(C329&lt;&gt;0, C330=0), SUM($C$2:C329)-SUM($AQ$1:AQ328), "")</f>
        <v/>
      </c>
      <c r="AR329" s="46" t="str">
        <f ca="1">IF(AND(AK329&lt;&gt;0, AK330=0), SUM($AK$2:AK329)-SUM($AR$1:AR328), "")</f>
        <v/>
      </c>
      <c r="AS329" s="51"/>
      <c r="AT329" s="51"/>
      <c r="AU329" s="51"/>
      <c r="AV329" s="51"/>
      <c r="AW329" s="51"/>
      <c r="AX329" s="51"/>
      <c r="AZ329" s="46"/>
    </row>
    <row r="330" spans="1:52" ht="13.15" customHeight="1">
      <c r="A330" s="62"/>
      <c r="B330" s="68" t="str">
        <f t="shared" si="101"/>
        <v/>
      </c>
      <c r="C330" s="55" cm="1">
        <f t="array" aca="1" ref="C330" ca="1">SUM(IF(ISNUMBER(M330:U330),M330:U330,""))</f>
        <v>0</v>
      </c>
      <c r="D330" s="25" t="str">
        <f t="shared" si="102"/>
        <v/>
      </c>
      <c r="E330" s="25" t="e">
        <f t="shared" si="103"/>
        <v>#VALUE!</v>
      </c>
      <c r="F330" s="25" t="str">
        <f t="shared" si="104"/>
        <v/>
      </c>
      <c r="G330" s="25" t="str">
        <f t="shared" si="105"/>
        <v>.xlsx</v>
      </c>
      <c r="H330" s="29" t="e" cm="1">
        <f t="array" aca="1" ref="H330" ca="1">IF(AND(VALUE(E330)=INDIRECT("'["&amp;G330&amp;"]"&amp;E330&amp;"'!"&amp;$X$2),G330=INDIRECT("'["&amp;G330&amp;"]"&amp;E330&amp;"'!"&amp;$X$3)),INDIRECT("'["&amp;G330&amp;"]"&amp;E330&amp;"'!"&amp;$X$1),0)</f>
        <v>#VALUE!</v>
      </c>
      <c r="I330" s="25" t="str">
        <f t="shared" si="106"/>
        <v/>
      </c>
      <c r="J330" s="32" t="str">
        <f t="shared" si="107"/>
        <v/>
      </c>
      <c r="K330" s="25" t="str">
        <f t="shared" si="108"/>
        <v/>
      </c>
      <c r="L330" s="25" t="str">
        <f t="shared" si="109"/>
        <v/>
      </c>
      <c r="M330" s="33" t="e" cm="1">
        <f t="array" aca="1" ref="M330" ca="1">IF(AND(J330=INDIRECT("'["&amp;G330&amp;"]"&amp;E330&amp;"'!"&amp;$Y$2),G330=INDIRECT("'["&amp;G330&amp;"]"&amp;E330&amp;"'!"&amp;$AH$2)),INDIRECT("'["&amp;G330&amp;"]"&amp;E330&amp;"'!"&amp;$Y$3),0)</f>
        <v>#VALUE!</v>
      </c>
      <c r="N330" s="34" t="e" cm="1">
        <f t="array" aca="1" ref="N330" ca="1">IF(AND(G330=INDIRECT("'["&amp;G330&amp;"]"&amp;E330&amp;"'!"&amp;$AH$2),OR(K330=INDIRECT("'["&amp;G330&amp;"]"&amp;E330&amp;"'!"&amp;$Z$2))),INDIRECT("'["&amp;G330&amp;"]"&amp;E330&amp;"'!"&amp;$Z$3),0)</f>
        <v>#VALUE!</v>
      </c>
      <c r="O330" s="34" t="e" cm="1">
        <f t="array" aca="1" ref="O330" ca="1">IF(AND(G330=INDIRECT("'["&amp;G330&amp;"]"&amp;E330&amp;"'!"&amp;$AH$2),OR(L330=INDIRECT("'["&amp;G330&amp;"]"&amp;E330&amp;"'!"&amp;$AA$2))),INDIRECT("'["&amp;G330&amp;"]"&amp;E330&amp;"'!"&amp;$AA$3),0)</f>
        <v>#VALUE!</v>
      </c>
      <c r="P330" s="34" t="e" cm="1">
        <f t="array" aca="1" ref="P330" ca="1">IF(AND(G330=INDIRECT("'["&amp;G330&amp;"]"&amp;E330&amp;"'!"&amp;$AH$2),OR(VALUE(I330)=INDIRECT("'["&amp;G330&amp;"]"&amp;E330&amp;"'!"&amp;$AB$2))),INDIRECT("'["&amp;G330&amp;"]"&amp;E330&amp;"'!"&amp;$AB$3),0)</f>
        <v>#VALUE!</v>
      </c>
      <c r="Q330" s="34" t="e" cm="1">
        <f t="array" aca="1" ref="Q330" ca="1">IF(AND(G330=INDIRECT("'["&amp;G330&amp;"]"&amp;E330&amp;"'!"&amp;$AH$2),OR(VALUE(I330)=INDIRECT("'["&amp;G330&amp;"]"&amp;E330&amp;"'!"&amp;$AC$2))),INDIRECT("'["&amp;G330&amp;"]"&amp;E330&amp;"'!"&amp;$AC$3),0)</f>
        <v>#VALUE!</v>
      </c>
      <c r="R330" s="34" t="e" cm="1">
        <f t="array" aca="1" ref="R330" ca="1">IF(AND(G330=INDIRECT("'["&amp;G330&amp;"]"&amp;E330&amp;"'!"&amp;$AH$2),OR(I330=INDIRECT("'["&amp;G330&amp;"]"&amp;E330&amp;"'!"&amp;$AD$2))),INDIRECT("'["&amp;G330&amp;"]"&amp;E330&amp;"'!"&amp;$AD$3),0)</f>
        <v>#VALUE!</v>
      </c>
      <c r="S330" s="34" t="e" cm="1">
        <f t="array" aca="1" ref="S330" ca="1">IF(AND(G330=INDIRECT("'["&amp;G330&amp;"]"&amp;E330&amp;"'!"&amp;$AH$2),OR(I330=INDIRECT("'["&amp;G330&amp;"]"&amp;E330&amp;"'!"&amp;$AE$2))),INDIRECT("'["&amp;G330&amp;"]"&amp;E330&amp;"'!"&amp;$AE$3),0)</f>
        <v>#VALUE!</v>
      </c>
      <c r="T330" s="35" t="e" cm="1">
        <f t="array" aca="1" ref="T330" ca="1">IF(AND(G330=INDIRECT("'["&amp;G330&amp;"]"&amp;E330&amp;"'!"&amp;$AH$2),OR(I330=INDIRECT("'["&amp;G330&amp;"]"&amp;E330&amp;"'!"&amp;$AF$2))),INDIRECT("'["&amp;G330&amp;"]"&amp;E330&amp;"'!"&amp;$AF$3),0)</f>
        <v>#VALUE!</v>
      </c>
      <c r="U330" s="34" t="e" cm="1">
        <f t="array" aca="1" ref="U330" ca="1">IF(AND(G330=INDIRECT("'["&amp;G330&amp;"]"&amp;E330&amp;"'!"&amp;$AH$2),OR(I330=INDIRECT("'["&amp;G330&amp;"]"&amp;E330&amp;"'!"&amp;$AG$2))),INDIRECT("'["&amp;G330&amp;"]"&amp;E330&amp;"'!"&amp;$AG$3),0)</f>
        <v>#VALUE!</v>
      </c>
      <c r="V330" s="25" t="str">
        <f t="shared" si="110"/>
        <v/>
      </c>
      <c r="W330" s="36" t="e" cm="1">
        <f t="array" aca="1" ref="W330" ca="1">IF(AND(G330=INDIRECT("'["&amp;G330&amp;"]"&amp;E330&amp;"'!"&amp;$AH$2),OR(V330=INDIRECT("'["&amp;G330&amp;"]"&amp;E330&amp;"'!"&amp;$AI$2))),INDIRECT("'["&amp;G330&amp;"]"&amp;E330&amp;"'!"&amp;$AI$3),0)</f>
        <v>#VALUE!</v>
      </c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25">
        <v>1</v>
      </c>
      <c r="AK330" s="38">
        <f t="shared" ca="1" si="95"/>
        <v>0</v>
      </c>
      <c r="AL330" s="38">
        <f t="shared" ca="1" si="96"/>
        <v>0</v>
      </c>
      <c r="AM330" s="54" t="str">
        <f t="shared" ca="1" si="97"/>
        <v/>
      </c>
      <c r="AN330" s="25" t="e">
        <f t="shared" ca="1" si="98"/>
        <v>#VALUE!</v>
      </c>
      <c r="AO330" s="25" t="e">
        <f t="shared" ca="1" si="99"/>
        <v>#VALUE!</v>
      </c>
      <c r="AP330" s="39" t="str">
        <f t="shared" ca="1" si="100"/>
        <v/>
      </c>
      <c r="AQ330" s="46" t="str">
        <f ca="1">IF(AND(C330&lt;&gt;0, C331=0), SUM($C$2:C330)-SUM($AQ$1:AQ329), "")</f>
        <v/>
      </c>
      <c r="AR330" s="46" t="str">
        <f ca="1">IF(AND(AK330&lt;&gt;0, AK331=0), SUM($AK$2:AK330)-SUM($AR$1:AR329), "")</f>
        <v/>
      </c>
      <c r="AS330" s="51"/>
      <c r="AT330" s="51"/>
      <c r="AU330" s="51"/>
      <c r="AV330" s="51"/>
      <c r="AW330" s="51"/>
      <c r="AX330" s="51"/>
      <c r="AZ330" s="46"/>
    </row>
    <row r="331" spans="1:52" ht="13.15" customHeight="1">
      <c r="A331" s="62"/>
      <c r="B331" s="68" t="str">
        <f t="shared" si="101"/>
        <v/>
      </c>
      <c r="C331" s="55" cm="1">
        <f t="array" aca="1" ref="C331" ca="1">SUM(IF(ISNUMBER(M331:U331),M331:U331,""))</f>
        <v>0</v>
      </c>
      <c r="D331" s="25" t="str">
        <f t="shared" si="102"/>
        <v/>
      </c>
      <c r="E331" s="25" t="e">
        <f t="shared" si="103"/>
        <v>#VALUE!</v>
      </c>
      <c r="F331" s="25" t="str">
        <f t="shared" si="104"/>
        <v/>
      </c>
      <c r="G331" s="25" t="str">
        <f t="shared" si="105"/>
        <v>.xlsx</v>
      </c>
      <c r="H331" s="29" t="e" cm="1">
        <f t="array" aca="1" ref="H331" ca="1">IF(AND(VALUE(E331)=INDIRECT("'["&amp;G331&amp;"]"&amp;E331&amp;"'!"&amp;$X$2),G331=INDIRECT("'["&amp;G331&amp;"]"&amp;E331&amp;"'!"&amp;$X$3)),INDIRECT("'["&amp;G331&amp;"]"&amp;E331&amp;"'!"&amp;$X$1),0)</f>
        <v>#VALUE!</v>
      </c>
      <c r="I331" s="25" t="str">
        <f t="shared" si="106"/>
        <v/>
      </c>
      <c r="J331" s="32" t="str">
        <f t="shared" si="107"/>
        <v/>
      </c>
      <c r="K331" s="25" t="str">
        <f t="shared" si="108"/>
        <v/>
      </c>
      <c r="L331" s="25" t="str">
        <f t="shared" si="109"/>
        <v/>
      </c>
      <c r="M331" s="33" t="e" cm="1">
        <f t="array" aca="1" ref="M331" ca="1">IF(AND(J331=INDIRECT("'["&amp;G331&amp;"]"&amp;E331&amp;"'!"&amp;$Y$2),G331=INDIRECT("'["&amp;G331&amp;"]"&amp;E331&amp;"'!"&amp;$AH$2)),INDIRECT("'["&amp;G331&amp;"]"&amp;E331&amp;"'!"&amp;$Y$3),0)</f>
        <v>#VALUE!</v>
      </c>
      <c r="N331" s="34" t="e" cm="1">
        <f t="array" aca="1" ref="N331" ca="1">IF(AND(G331=INDIRECT("'["&amp;G331&amp;"]"&amp;E331&amp;"'!"&amp;$AH$2),OR(K331=INDIRECT("'["&amp;G331&amp;"]"&amp;E331&amp;"'!"&amp;$Z$2))),INDIRECT("'["&amp;G331&amp;"]"&amp;E331&amp;"'!"&amp;$Z$3),0)</f>
        <v>#VALUE!</v>
      </c>
      <c r="O331" s="34" t="e" cm="1">
        <f t="array" aca="1" ref="O331" ca="1">IF(AND(G331=INDIRECT("'["&amp;G331&amp;"]"&amp;E331&amp;"'!"&amp;$AH$2),OR(L331=INDIRECT("'["&amp;G331&amp;"]"&amp;E331&amp;"'!"&amp;$AA$2))),INDIRECT("'["&amp;G331&amp;"]"&amp;E331&amp;"'!"&amp;$AA$3),0)</f>
        <v>#VALUE!</v>
      </c>
      <c r="P331" s="34" t="e" cm="1">
        <f t="array" aca="1" ref="P331" ca="1">IF(AND(G331=INDIRECT("'["&amp;G331&amp;"]"&amp;E331&amp;"'!"&amp;$AH$2),OR(VALUE(I331)=INDIRECT("'["&amp;G331&amp;"]"&amp;E331&amp;"'!"&amp;$AB$2))),INDIRECT("'["&amp;G331&amp;"]"&amp;E331&amp;"'!"&amp;$AB$3),0)</f>
        <v>#VALUE!</v>
      </c>
      <c r="Q331" s="34" t="e" cm="1">
        <f t="array" aca="1" ref="Q331" ca="1">IF(AND(G331=INDIRECT("'["&amp;G331&amp;"]"&amp;E331&amp;"'!"&amp;$AH$2),OR(VALUE(I331)=INDIRECT("'["&amp;G331&amp;"]"&amp;E331&amp;"'!"&amp;$AC$2))),INDIRECT("'["&amp;G331&amp;"]"&amp;E331&amp;"'!"&amp;$AC$3),0)</f>
        <v>#VALUE!</v>
      </c>
      <c r="R331" s="34" t="e" cm="1">
        <f t="array" aca="1" ref="R331" ca="1">IF(AND(G331=INDIRECT("'["&amp;G331&amp;"]"&amp;E331&amp;"'!"&amp;$AH$2),OR(I331=INDIRECT("'["&amp;G331&amp;"]"&amp;E331&amp;"'!"&amp;$AD$2))),INDIRECT("'["&amp;G331&amp;"]"&amp;E331&amp;"'!"&amp;$AD$3),0)</f>
        <v>#VALUE!</v>
      </c>
      <c r="S331" s="34" t="e" cm="1">
        <f t="array" aca="1" ref="S331" ca="1">IF(AND(G331=INDIRECT("'["&amp;G331&amp;"]"&amp;E331&amp;"'!"&amp;$AH$2),OR(I331=INDIRECT("'["&amp;G331&amp;"]"&amp;E331&amp;"'!"&amp;$AE$2))),INDIRECT("'["&amp;G331&amp;"]"&amp;E331&amp;"'!"&amp;$AE$3),0)</f>
        <v>#VALUE!</v>
      </c>
      <c r="T331" s="35" t="e" cm="1">
        <f t="array" aca="1" ref="T331" ca="1">IF(AND(G331=INDIRECT("'["&amp;G331&amp;"]"&amp;E331&amp;"'!"&amp;$AH$2),OR(I331=INDIRECT("'["&amp;G331&amp;"]"&amp;E331&amp;"'!"&amp;$AF$2))),INDIRECT("'["&amp;G331&amp;"]"&amp;E331&amp;"'!"&amp;$AF$3),0)</f>
        <v>#VALUE!</v>
      </c>
      <c r="U331" s="34" t="e" cm="1">
        <f t="array" aca="1" ref="U331" ca="1">IF(AND(G331=INDIRECT("'["&amp;G331&amp;"]"&amp;E331&amp;"'!"&amp;$AH$2),OR(I331=INDIRECT("'["&amp;G331&amp;"]"&amp;E331&amp;"'!"&amp;$AG$2))),INDIRECT("'["&amp;G331&amp;"]"&amp;E331&amp;"'!"&amp;$AG$3),0)</f>
        <v>#VALUE!</v>
      </c>
      <c r="V331" s="25" t="str">
        <f t="shared" si="110"/>
        <v/>
      </c>
      <c r="W331" s="36" t="e" cm="1">
        <f t="array" aca="1" ref="W331" ca="1">IF(AND(G331=INDIRECT("'["&amp;G331&amp;"]"&amp;E331&amp;"'!"&amp;$AH$2),OR(V331=INDIRECT("'["&amp;G331&amp;"]"&amp;E331&amp;"'!"&amp;$AI$2))),INDIRECT("'["&amp;G331&amp;"]"&amp;E331&amp;"'!"&amp;$AI$3),0)</f>
        <v>#VALUE!</v>
      </c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25">
        <v>1</v>
      </c>
      <c r="AK331" s="38">
        <f t="shared" ca="1" si="95"/>
        <v>0</v>
      </c>
      <c r="AL331" s="38">
        <f t="shared" ca="1" si="96"/>
        <v>0</v>
      </c>
      <c r="AM331" s="54" t="str">
        <f t="shared" ca="1" si="97"/>
        <v/>
      </c>
      <c r="AN331" s="25" t="e">
        <f t="shared" ca="1" si="98"/>
        <v>#VALUE!</v>
      </c>
      <c r="AO331" s="25" t="e">
        <f t="shared" ca="1" si="99"/>
        <v>#VALUE!</v>
      </c>
      <c r="AP331" s="39" t="str">
        <f t="shared" ca="1" si="100"/>
        <v/>
      </c>
      <c r="AQ331" s="46" t="str">
        <f ca="1">IF(AND(C331&lt;&gt;0, C332=0), SUM($C$2:C331)-SUM($AQ$1:AQ330), "")</f>
        <v/>
      </c>
      <c r="AR331" s="46" t="str">
        <f ca="1">IF(AND(AK331&lt;&gt;0, AK332=0), SUM($AK$2:AK331)-SUM($AR$1:AR330), "")</f>
        <v/>
      </c>
      <c r="AS331" s="51"/>
      <c r="AT331" s="51"/>
      <c r="AU331" s="51"/>
      <c r="AV331" s="51"/>
      <c r="AW331" s="51"/>
      <c r="AX331" s="51"/>
      <c r="AZ331" s="46"/>
    </row>
    <row r="332" spans="1:52" ht="13.15" customHeight="1">
      <c r="A332" s="62"/>
      <c r="B332" s="68" t="str">
        <f t="shared" si="101"/>
        <v/>
      </c>
      <c r="C332" s="55" cm="1">
        <f t="array" aca="1" ref="C332" ca="1">SUM(IF(ISNUMBER(M332:U332),M332:U332,""))</f>
        <v>0</v>
      </c>
      <c r="D332" s="25" t="str">
        <f t="shared" si="102"/>
        <v/>
      </c>
      <c r="E332" s="25" t="e">
        <f t="shared" si="103"/>
        <v>#VALUE!</v>
      </c>
      <c r="F332" s="25" t="str">
        <f t="shared" si="104"/>
        <v/>
      </c>
      <c r="G332" s="25" t="str">
        <f t="shared" si="105"/>
        <v>.xlsx</v>
      </c>
      <c r="H332" s="29" t="e" cm="1">
        <f t="array" aca="1" ref="H332" ca="1">IF(AND(VALUE(E332)=INDIRECT("'["&amp;G332&amp;"]"&amp;E332&amp;"'!"&amp;$X$2),G332=INDIRECT("'["&amp;G332&amp;"]"&amp;E332&amp;"'!"&amp;$X$3)),INDIRECT("'["&amp;G332&amp;"]"&amp;E332&amp;"'!"&amp;$X$1),0)</f>
        <v>#VALUE!</v>
      </c>
      <c r="I332" s="25" t="str">
        <f t="shared" si="106"/>
        <v/>
      </c>
      <c r="J332" s="32" t="str">
        <f t="shared" si="107"/>
        <v/>
      </c>
      <c r="K332" s="25" t="str">
        <f t="shared" si="108"/>
        <v/>
      </c>
      <c r="L332" s="25" t="str">
        <f t="shared" si="109"/>
        <v/>
      </c>
      <c r="M332" s="33" t="e" cm="1">
        <f t="array" aca="1" ref="M332" ca="1">IF(AND(J332=INDIRECT("'["&amp;G332&amp;"]"&amp;E332&amp;"'!"&amp;$Y$2),G332=INDIRECT("'["&amp;G332&amp;"]"&amp;E332&amp;"'!"&amp;$AH$2)),INDIRECT("'["&amp;G332&amp;"]"&amp;E332&amp;"'!"&amp;$Y$3),0)</f>
        <v>#VALUE!</v>
      </c>
      <c r="N332" s="34" t="e" cm="1">
        <f t="array" aca="1" ref="N332" ca="1">IF(AND(G332=INDIRECT("'["&amp;G332&amp;"]"&amp;E332&amp;"'!"&amp;$AH$2),OR(K332=INDIRECT("'["&amp;G332&amp;"]"&amp;E332&amp;"'!"&amp;$Z$2))),INDIRECT("'["&amp;G332&amp;"]"&amp;E332&amp;"'!"&amp;$Z$3),0)</f>
        <v>#VALUE!</v>
      </c>
      <c r="O332" s="34" t="e" cm="1">
        <f t="array" aca="1" ref="O332" ca="1">IF(AND(G332=INDIRECT("'["&amp;G332&amp;"]"&amp;E332&amp;"'!"&amp;$AH$2),OR(L332=INDIRECT("'["&amp;G332&amp;"]"&amp;E332&amp;"'!"&amp;$AA$2))),INDIRECT("'["&amp;G332&amp;"]"&amp;E332&amp;"'!"&amp;$AA$3),0)</f>
        <v>#VALUE!</v>
      </c>
      <c r="P332" s="34" t="e" cm="1">
        <f t="array" aca="1" ref="P332" ca="1">IF(AND(G332=INDIRECT("'["&amp;G332&amp;"]"&amp;E332&amp;"'!"&amp;$AH$2),OR(VALUE(I332)=INDIRECT("'["&amp;G332&amp;"]"&amp;E332&amp;"'!"&amp;$AB$2))),INDIRECT("'["&amp;G332&amp;"]"&amp;E332&amp;"'!"&amp;$AB$3),0)</f>
        <v>#VALUE!</v>
      </c>
      <c r="Q332" s="34" t="e" cm="1">
        <f t="array" aca="1" ref="Q332" ca="1">IF(AND(G332=INDIRECT("'["&amp;G332&amp;"]"&amp;E332&amp;"'!"&amp;$AH$2),OR(VALUE(I332)=INDIRECT("'["&amp;G332&amp;"]"&amp;E332&amp;"'!"&amp;$AC$2))),INDIRECT("'["&amp;G332&amp;"]"&amp;E332&amp;"'!"&amp;$AC$3),0)</f>
        <v>#VALUE!</v>
      </c>
      <c r="R332" s="34" t="e" cm="1">
        <f t="array" aca="1" ref="R332" ca="1">IF(AND(G332=INDIRECT("'["&amp;G332&amp;"]"&amp;E332&amp;"'!"&amp;$AH$2),OR(I332=INDIRECT("'["&amp;G332&amp;"]"&amp;E332&amp;"'!"&amp;$AD$2))),INDIRECT("'["&amp;G332&amp;"]"&amp;E332&amp;"'!"&amp;$AD$3),0)</f>
        <v>#VALUE!</v>
      </c>
      <c r="S332" s="34" t="e" cm="1">
        <f t="array" aca="1" ref="S332" ca="1">IF(AND(G332=INDIRECT("'["&amp;G332&amp;"]"&amp;E332&amp;"'!"&amp;$AH$2),OR(I332=INDIRECT("'["&amp;G332&amp;"]"&amp;E332&amp;"'!"&amp;$AE$2))),INDIRECT("'["&amp;G332&amp;"]"&amp;E332&amp;"'!"&amp;$AE$3),0)</f>
        <v>#VALUE!</v>
      </c>
      <c r="T332" s="35" t="e" cm="1">
        <f t="array" aca="1" ref="T332" ca="1">IF(AND(G332=INDIRECT("'["&amp;G332&amp;"]"&amp;E332&amp;"'!"&amp;$AH$2),OR(I332=INDIRECT("'["&amp;G332&amp;"]"&amp;E332&amp;"'!"&amp;$AF$2))),INDIRECT("'["&amp;G332&amp;"]"&amp;E332&amp;"'!"&amp;$AF$3),0)</f>
        <v>#VALUE!</v>
      </c>
      <c r="U332" s="34" t="e" cm="1">
        <f t="array" aca="1" ref="U332" ca="1">IF(AND(G332=INDIRECT("'["&amp;G332&amp;"]"&amp;E332&amp;"'!"&amp;$AH$2),OR(I332=INDIRECT("'["&amp;G332&amp;"]"&amp;E332&amp;"'!"&amp;$AG$2))),INDIRECT("'["&amp;G332&amp;"]"&amp;E332&amp;"'!"&amp;$AG$3),0)</f>
        <v>#VALUE!</v>
      </c>
      <c r="V332" s="25" t="str">
        <f t="shared" si="110"/>
        <v/>
      </c>
      <c r="W332" s="36" t="e" cm="1">
        <f t="array" aca="1" ref="W332" ca="1">IF(AND(G332=INDIRECT("'["&amp;G332&amp;"]"&amp;E332&amp;"'!"&amp;$AH$2),OR(V332=INDIRECT("'["&amp;G332&amp;"]"&amp;E332&amp;"'!"&amp;$AI$2))),INDIRECT("'["&amp;G332&amp;"]"&amp;E332&amp;"'!"&amp;$AI$3),0)</f>
        <v>#VALUE!</v>
      </c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25">
        <v>1</v>
      </c>
      <c r="AK332" s="38">
        <f t="shared" ca="1" si="95"/>
        <v>0</v>
      </c>
      <c r="AL332" s="38">
        <f t="shared" ca="1" si="96"/>
        <v>0</v>
      </c>
      <c r="AM332" s="54" t="str">
        <f t="shared" ca="1" si="97"/>
        <v/>
      </c>
      <c r="AN332" s="25" t="e">
        <f t="shared" ca="1" si="98"/>
        <v>#VALUE!</v>
      </c>
      <c r="AO332" s="25" t="e">
        <f t="shared" ca="1" si="99"/>
        <v>#VALUE!</v>
      </c>
      <c r="AP332" s="39" t="str">
        <f t="shared" ca="1" si="100"/>
        <v/>
      </c>
      <c r="AQ332" s="46" t="str">
        <f ca="1">IF(AND(C332&lt;&gt;0, C333=0), SUM($C$2:C332)-SUM($AQ$1:AQ331), "")</f>
        <v/>
      </c>
      <c r="AR332" s="46" t="str">
        <f ca="1">IF(AND(AK332&lt;&gt;0, AK333=0), SUM($AK$2:AK332)-SUM($AR$1:AR331), "")</f>
        <v/>
      </c>
      <c r="AS332" s="51"/>
      <c r="AT332" s="51"/>
      <c r="AU332" s="51"/>
      <c r="AV332" s="51"/>
      <c r="AW332" s="51"/>
      <c r="AX332" s="51"/>
      <c r="AZ332" s="46"/>
    </row>
    <row r="333" spans="1:52" ht="13.15" customHeight="1">
      <c r="A333" s="62"/>
      <c r="B333" s="68" t="str">
        <f t="shared" si="101"/>
        <v/>
      </c>
      <c r="C333" s="55" cm="1">
        <f t="array" aca="1" ref="C333" ca="1">SUM(IF(ISNUMBER(M333:U333),M333:U333,""))</f>
        <v>0</v>
      </c>
      <c r="D333" s="25" t="str">
        <f t="shared" si="102"/>
        <v/>
      </c>
      <c r="E333" s="25" t="e">
        <f t="shared" si="103"/>
        <v>#VALUE!</v>
      </c>
      <c r="F333" s="25" t="str">
        <f t="shared" si="104"/>
        <v/>
      </c>
      <c r="G333" s="25" t="str">
        <f t="shared" si="105"/>
        <v>.xlsx</v>
      </c>
      <c r="H333" s="29" t="e" cm="1">
        <f t="array" aca="1" ref="H333" ca="1">IF(AND(VALUE(E333)=INDIRECT("'["&amp;G333&amp;"]"&amp;E333&amp;"'!"&amp;$X$2),G333=INDIRECT("'["&amp;G333&amp;"]"&amp;E333&amp;"'!"&amp;$X$3)),INDIRECT("'["&amp;G333&amp;"]"&amp;E333&amp;"'!"&amp;$X$1),0)</f>
        <v>#VALUE!</v>
      </c>
      <c r="I333" s="25" t="str">
        <f t="shared" si="106"/>
        <v/>
      </c>
      <c r="J333" s="32" t="str">
        <f t="shared" si="107"/>
        <v/>
      </c>
      <c r="K333" s="25" t="str">
        <f t="shared" si="108"/>
        <v/>
      </c>
      <c r="L333" s="25" t="str">
        <f t="shared" si="109"/>
        <v/>
      </c>
      <c r="M333" s="33" t="e" cm="1">
        <f t="array" aca="1" ref="M333" ca="1">IF(AND(J333=INDIRECT("'["&amp;G333&amp;"]"&amp;E333&amp;"'!"&amp;$Y$2),G333=INDIRECT("'["&amp;G333&amp;"]"&amp;E333&amp;"'!"&amp;$AH$2)),INDIRECT("'["&amp;G333&amp;"]"&amp;E333&amp;"'!"&amp;$Y$3),0)</f>
        <v>#VALUE!</v>
      </c>
      <c r="N333" s="34" t="e" cm="1">
        <f t="array" aca="1" ref="N333" ca="1">IF(AND(G333=INDIRECT("'["&amp;G333&amp;"]"&amp;E333&amp;"'!"&amp;$AH$2),OR(K333=INDIRECT("'["&amp;G333&amp;"]"&amp;E333&amp;"'!"&amp;$Z$2))),INDIRECT("'["&amp;G333&amp;"]"&amp;E333&amp;"'!"&amp;$Z$3),0)</f>
        <v>#VALUE!</v>
      </c>
      <c r="O333" s="34" t="e" cm="1">
        <f t="array" aca="1" ref="O333" ca="1">IF(AND(G333=INDIRECT("'["&amp;G333&amp;"]"&amp;E333&amp;"'!"&amp;$AH$2),OR(L333=INDIRECT("'["&amp;G333&amp;"]"&amp;E333&amp;"'!"&amp;$AA$2))),INDIRECT("'["&amp;G333&amp;"]"&amp;E333&amp;"'!"&amp;$AA$3),0)</f>
        <v>#VALUE!</v>
      </c>
      <c r="P333" s="34" t="e" cm="1">
        <f t="array" aca="1" ref="P333" ca="1">IF(AND(G333=INDIRECT("'["&amp;G333&amp;"]"&amp;E333&amp;"'!"&amp;$AH$2),OR(VALUE(I333)=INDIRECT("'["&amp;G333&amp;"]"&amp;E333&amp;"'!"&amp;$AB$2))),INDIRECT("'["&amp;G333&amp;"]"&amp;E333&amp;"'!"&amp;$AB$3),0)</f>
        <v>#VALUE!</v>
      </c>
      <c r="Q333" s="34" t="e" cm="1">
        <f t="array" aca="1" ref="Q333" ca="1">IF(AND(G333=INDIRECT("'["&amp;G333&amp;"]"&amp;E333&amp;"'!"&amp;$AH$2),OR(VALUE(I333)=INDIRECT("'["&amp;G333&amp;"]"&amp;E333&amp;"'!"&amp;$AC$2))),INDIRECT("'["&amp;G333&amp;"]"&amp;E333&amp;"'!"&amp;$AC$3),0)</f>
        <v>#VALUE!</v>
      </c>
      <c r="R333" s="34" t="e" cm="1">
        <f t="array" aca="1" ref="R333" ca="1">IF(AND(G333=INDIRECT("'["&amp;G333&amp;"]"&amp;E333&amp;"'!"&amp;$AH$2),OR(I333=INDIRECT("'["&amp;G333&amp;"]"&amp;E333&amp;"'!"&amp;$AD$2))),INDIRECT("'["&amp;G333&amp;"]"&amp;E333&amp;"'!"&amp;$AD$3),0)</f>
        <v>#VALUE!</v>
      </c>
      <c r="S333" s="34" t="e" cm="1">
        <f t="array" aca="1" ref="S333" ca="1">IF(AND(G333=INDIRECT("'["&amp;G333&amp;"]"&amp;E333&amp;"'!"&amp;$AH$2),OR(I333=INDIRECT("'["&amp;G333&amp;"]"&amp;E333&amp;"'!"&amp;$AE$2))),INDIRECT("'["&amp;G333&amp;"]"&amp;E333&amp;"'!"&amp;$AE$3),0)</f>
        <v>#VALUE!</v>
      </c>
      <c r="T333" s="35" t="e" cm="1">
        <f t="array" aca="1" ref="T333" ca="1">IF(AND(G333=INDIRECT("'["&amp;G333&amp;"]"&amp;E333&amp;"'!"&amp;$AH$2),OR(I333=INDIRECT("'["&amp;G333&amp;"]"&amp;E333&amp;"'!"&amp;$AF$2))),INDIRECT("'["&amp;G333&amp;"]"&amp;E333&amp;"'!"&amp;$AF$3),0)</f>
        <v>#VALUE!</v>
      </c>
      <c r="U333" s="34" t="e" cm="1">
        <f t="array" aca="1" ref="U333" ca="1">IF(AND(G333=INDIRECT("'["&amp;G333&amp;"]"&amp;E333&amp;"'!"&amp;$AH$2),OR(I333=INDIRECT("'["&amp;G333&amp;"]"&amp;E333&amp;"'!"&amp;$AG$2))),INDIRECT("'["&amp;G333&amp;"]"&amp;E333&amp;"'!"&amp;$AG$3),0)</f>
        <v>#VALUE!</v>
      </c>
      <c r="V333" s="25" t="str">
        <f t="shared" si="110"/>
        <v/>
      </c>
      <c r="W333" s="36" t="e" cm="1">
        <f t="array" aca="1" ref="W333" ca="1">IF(AND(G333=INDIRECT("'["&amp;G333&amp;"]"&amp;E333&amp;"'!"&amp;$AH$2),OR(V333=INDIRECT("'["&amp;G333&amp;"]"&amp;E333&amp;"'!"&amp;$AI$2))),INDIRECT("'["&amp;G333&amp;"]"&amp;E333&amp;"'!"&amp;$AI$3),0)</f>
        <v>#VALUE!</v>
      </c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25">
        <v>1</v>
      </c>
      <c r="AK333" s="38">
        <f t="shared" ca="1" si="95"/>
        <v>0</v>
      </c>
      <c r="AL333" s="38">
        <f t="shared" ca="1" si="96"/>
        <v>0</v>
      </c>
      <c r="AM333" s="54" t="str">
        <f t="shared" ca="1" si="97"/>
        <v/>
      </c>
      <c r="AN333" s="25" t="e">
        <f t="shared" ca="1" si="98"/>
        <v>#VALUE!</v>
      </c>
      <c r="AO333" s="25" t="e">
        <f t="shared" ca="1" si="99"/>
        <v>#VALUE!</v>
      </c>
      <c r="AP333" s="39" t="str">
        <f t="shared" ca="1" si="100"/>
        <v/>
      </c>
      <c r="AQ333" s="46" t="str">
        <f ca="1">IF(AND(C333&lt;&gt;0, C334=0), SUM($C$2:C333)-SUM($AQ$1:AQ332), "")</f>
        <v/>
      </c>
      <c r="AR333" s="46" t="str">
        <f ca="1">IF(AND(AK333&lt;&gt;0, AK334=0), SUM($AK$2:AK333)-SUM($AR$1:AR332), "")</f>
        <v/>
      </c>
      <c r="AS333" s="51"/>
      <c r="AT333" s="51"/>
      <c r="AU333" s="51"/>
      <c r="AV333" s="51"/>
      <c r="AW333" s="51"/>
      <c r="AX333" s="51"/>
      <c r="AZ333" s="38"/>
    </row>
    <row r="334" spans="1:52" ht="13.15" customHeight="1">
      <c r="A334" s="62"/>
      <c r="B334" s="68" t="str">
        <f t="shared" si="101"/>
        <v/>
      </c>
      <c r="C334" s="55" cm="1">
        <f t="array" aca="1" ref="C334" ca="1">SUM(IF(ISNUMBER(M334:U334),M334:U334,""))</f>
        <v>0</v>
      </c>
      <c r="D334" s="25" t="str">
        <f t="shared" si="102"/>
        <v/>
      </c>
      <c r="E334" s="25" t="e">
        <f t="shared" si="103"/>
        <v>#VALUE!</v>
      </c>
      <c r="F334" s="25" t="str">
        <f t="shared" si="104"/>
        <v/>
      </c>
      <c r="G334" s="25" t="str">
        <f t="shared" si="105"/>
        <v>.xlsx</v>
      </c>
      <c r="H334" s="29" t="e" cm="1">
        <f t="array" aca="1" ref="H334" ca="1">IF(AND(VALUE(E334)=INDIRECT("'["&amp;G334&amp;"]"&amp;E334&amp;"'!"&amp;$X$2),G334=INDIRECT("'["&amp;G334&amp;"]"&amp;E334&amp;"'!"&amp;$X$3)),INDIRECT("'["&amp;G334&amp;"]"&amp;E334&amp;"'!"&amp;$X$1),0)</f>
        <v>#VALUE!</v>
      </c>
      <c r="I334" s="25" t="str">
        <f t="shared" si="106"/>
        <v/>
      </c>
      <c r="J334" s="32" t="str">
        <f t="shared" si="107"/>
        <v/>
      </c>
      <c r="K334" s="25" t="str">
        <f t="shared" si="108"/>
        <v/>
      </c>
      <c r="L334" s="25" t="str">
        <f t="shared" si="109"/>
        <v/>
      </c>
      <c r="M334" s="33" t="e" cm="1">
        <f t="array" aca="1" ref="M334" ca="1">IF(AND(J334=INDIRECT("'["&amp;G334&amp;"]"&amp;E334&amp;"'!"&amp;$Y$2),G334=INDIRECT("'["&amp;G334&amp;"]"&amp;E334&amp;"'!"&amp;$AH$2)),INDIRECT("'["&amp;G334&amp;"]"&amp;E334&amp;"'!"&amp;$Y$3),0)</f>
        <v>#VALUE!</v>
      </c>
      <c r="N334" s="34" t="e" cm="1">
        <f t="array" aca="1" ref="N334" ca="1">IF(AND(G334=INDIRECT("'["&amp;G334&amp;"]"&amp;E334&amp;"'!"&amp;$AH$2),OR(K334=INDIRECT("'["&amp;G334&amp;"]"&amp;E334&amp;"'!"&amp;$Z$2))),INDIRECT("'["&amp;G334&amp;"]"&amp;E334&amp;"'!"&amp;$Z$3),0)</f>
        <v>#VALUE!</v>
      </c>
      <c r="O334" s="34" t="e" cm="1">
        <f t="array" aca="1" ref="O334" ca="1">IF(AND(G334=INDIRECT("'["&amp;G334&amp;"]"&amp;E334&amp;"'!"&amp;$AH$2),OR(L334=INDIRECT("'["&amp;G334&amp;"]"&amp;E334&amp;"'!"&amp;$AA$2))),INDIRECT("'["&amp;G334&amp;"]"&amp;E334&amp;"'!"&amp;$AA$3),0)</f>
        <v>#VALUE!</v>
      </c>
      <c r="P334" s="34" t="e" cm="1">
        <f t="array" aca="1" ref="P334" ca="1">IF(AND(G334=INDIRECT("'["&amp;G334&amp;"]"&amp;E334&amp;"'!"&amp;$AH$2),OR(VALUE(I334)=INDIRECT("'["&amp;G334&amp;"]"&amp;E334&amp;"'!"&amp;$AB$2))),INDIRECT("'["&amp;G334&amp;"]"&amp;E334&amp;"'!"&amp;$AB$3),0)</f>
        <v>#VALUE!</v>
      </c>
      <c r="Q334" s="34" t="e" cm="1">
        <f t="array" aca="1" ref="Q334" ca="1">IF(AND(G334=INDIRECT("'["&amp;G334&amp;"]"&amp;E334&amp;"'!"&amp;$AH$2),OR(VALUE(I334)=INDIRECT("'["&amp;G334&amp;"]"&amp;E334&amp;"'!"&amp;$AC$2))),INDIRECT("'["&amp;G334&amp;"]"&amp;E334&amp;"'!"&amp;$AC$3),0)</f>
        <v>#VALUE!</v>
      </c>
      <c r="R334" s="34" t="e" cm="1">
        <f t="array" aca="1" ref="R334" ca="1">IF(AND(G334=INDIRECT("'["&amp;G334&amp;"]"&amp;E334&amp;"'!"&amp;$AH$2),OR(I334=INDIRECT("'["&amp;G334&amp;"]"&amp;E334&amp;"'!"&amp;$AD$2))),INDIRECT("'["&amp;G334&amp;"]"&amp;E334&amp;"'!"&amp;$AD$3),0)</f>
        <v>#VALUE!</v>
      </c>
      <c r="S334" s="34" t="e" cm="1">
        <f t="array" aca="1" ref="S334" ca="1">IF(AND(G334=INDIRECT("'["&amp;G334&amp;"]"&amp;E334&amp;"'!"&amp;$AH$2),OR(I334=INDIRECT("'["&amp;G334&amp;"]"&amp;E334&amp;"'!"&amp;$AE$2))),INDIRECT("'["&amp;G334&amp;"]"&amp;E334&amp;"'!"&amp;$AE$3),0)</f>
        <v>#VALUE!</v>
      </c>
      <c r="T334" s="35" t="e" cm="1">
        <f t="array" aca="1" ref="T334" ca="1">IF(AND(G334=INDIRECT("'["&amp;G334&amp;"]"&amp;E334&amp;"'!"&amp;$AH$2),OR(I334=INDIRECT("'["&amp;G334&amp;"]"&amp;E334&amp;"'!"&amp;$AF$2))),INDIRECT("'["&amp;G334&amp;"]"&amp;E334&amp;"'!"&amp;$AF$3),0)</f>
        <v>#VALUE!</v>
      </c>
      <c r="U334" s="34" t="e" cm="1">
        <f t="array" aca="1" ref="U334" ca="1">IF(AND(G334=INDIRECT("'["&amp;G334&amp;"]"&amp;E334&amp;"'!"&amp;$AH$2),OR(I334=INDIRECT("'["&amp;G334&amp;"]"&amp;E334&amp;"'!"&amp;$AG$2))),INDIRECT("'["&amp;G334&amp;"]"&amp;E334&amp;"'!"&amp;$AG$3),0)</f>
        <v>#VALUE!</v>
      </c>
      <c r="V334" s="25" t="str">
        <f t="shared" si="110"/>
        <v/>
      </c>
      <c r="W334" s="36" t="e" cm="1">
        <f t="array" aca="1" ref="W334" ca="1">IF(AND(G334=INDIRECT("'["&amp;G334&amp;"]"&amp;E334&amp;"'!"&amp;$AH$2),OR(V334=INDIRECT("'["&amp;G334&amp;"]"&amp;E334&amp;"'!"&amp;$AI$2))),INDIRECT("'["&amp;G334&amp;"]"&amp;E334&amp;"'!"&amp;$AI$3),0)</f>
        <v>#VALUE!</v>
      </c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25">
        <v>1</v>
      </c>
      <c r="AK334" s="38">
        <f t="shared" ca="1" si="95"/>
        <v>0</v>
      </c>
      <c r="AL334" s="38">
        <f t="shared" ca="1" si="96"/>
        <v>0</v>
      </c>
      <c r="AM334" s="54" t="str">
        <f t="shared" ca="1" si="97"/>
        <v/>
      </c>
      <c r="AN334" s="25" t="e">
        <f t="shared" ca="1" si="98"/>
        <v>#VALUE!</v>
      </c>
      <c r="AO334" s="25" t="e">
        <f t="shared" ca="1" si="99"/>
        <v>#VALUE!</v>
      </c>
      <c r="AP334" s="39" t="str">
        <f t="shared" ca="1" si="100"/>
        <v/>
      </c>
      <c r="AQ334" s="46" t="str">
        <f ca="1">IF(AND(C334&lt;&gt;0, C335=0), SUM($C$2:C334)-SUM($AQ$1:AQ333), "")</f>
        <v/>
      </c>
      <c r="AR334" s="46" t="str">
        <f ca="1">IF(AND(AK334&lt;&gt;0, AK335=0), SUM($AK$2:AK334)-SUM($AR$1:AR333), "")</f>
        <v/>
      </c>
      <c r="AS334" s="51"/>
      <c r="AT334" s="51"/>
      <c r="AU334" s="51"/>
      <c r="AV334" s="51"/>
      <c r="AW334" s="51"/>
      <c r="AX334" s="51"/>
    </row>
    <row r="335" spans="1:52" ht="13.15" customHeight="1">
      <c r="A335" s="62"/>
      <c r="B335" s="68" t="str">
        <f t="shared" si="101"/>
        <v/>
      </c>
      <c r="C335" s="55" cm="1">
        <f t="array" aca="1" ref="C335" ca="1">SUM(IF(ISNUMBER(M335:U335),M335:U335,""))</f>
        <v>0</v>
      </c>
      <c r="D335" s="25" t="str">
        <f t="shared" si="102"/>
        <v/>
      </c>
      <c r="E335" s="25" t="e">
        <f t="shared" si="103"/>
        <v>#VALUE!</v>
      </c>
      <c r="F335" s="25" t="str">
        <f t="shared" si="104"/>
        <v/>
      </c>
      <c r="G335" s="25" t="str">
        <f t="shared" si="105"/>
        <v>.xlsx</v>
      </c>
      <c r="H335" s="29" t="e" cm="1">
        <f t="array" aca="1" ref="H335" ca="1">IF(AND(VALUE(E335)=INDIRECT("'["&amp;G335&amp;"]"&amp;E335&amp;"'!"&amp;$X$2),G335=INDIRECT("'["&amp;G335&amp;"]"&amp;E335&amp;"'!"&amp;$X$3)),INDIRECT("'["&amp;G335&amp;"]"&amp;E335&amp;"'!"&amp;$X$1),0)</f>
        <v>#VALUE!</v>
      </c>
      <c r="I335" s="25" t="str">
        <f t="shared" si="106"/>
        <v/>
      </c>
      <c r="J335" s="32" t="str">
        <f t="shared" si="107"/>
        <v/>
      </c>
      <c r="K335" s="25" t="str">
        <f t="shared" si="108"/>
        <v/>
      </c>
      <c r="L335" s="25" t="str">
        <f t="shared" si="109"/>
        <v/>
      </c>
      <c r="M335" s="33" t="e" cm="1">
        <f t="array" aca="1" ref="M335" ca="1">IF(AND(J335=INDIRECT("'["&amp;G335&amp;"]"&amp;E335&amp;"'!"&amp;$Y$2),G335=INDIRECT("'["&amp;G335&amp;"]"&amp;E335&amp;"'!"&amp;$AH$2)),INDIRECT("'["&amp;G335&amp;"]"&amp;E335&amp;"'!"&amp;$Y$3),0)</f>
        <v>#VALUE!</v>
      </c>
      <c r="N335" s="34" t="e" cm="1">
        <f t="array" aca="1" ref="N335" ca="1">IF(AND(G335=INDIRECT("'["&amp;G335&amp;"]"&amp;E335&amp;"'!"&amp;$AH$2),OR(K335=INDIRECT("'["&amp;G335&amp;"]"&amp;E335&amp;"'!"&amp;$Z$2))),INDIRECT("'["&amp;G335&amp;"]"&amp;E335&amp;"'!"&amp;$Z$3),0)</f>
        <v>#VALUE!</v>
      </c>
      <c r="O335" s="34" t="e" cm="1">
        <f t="array" aca="1" ref="O335" ca="1">IF(AND(G335=INDIRECT("'["&amp;G335&amp;"]"&amp;E335&amp;"'!"&amp;$AH$2),OR(L335=INDIRECT("'["&amp;G335&amp;"]"&amp;E335&amp;"'!"&amp;$AA$2))),INDIRECT("'["&amp;G335&amp;"]"&amp;E335&amp;"'!"&amp;$AA$3),0)</f>
        <v>#VALUE!</v>
      </c>
      <c r="P335" s="34" t="e" cm="1">
        <f t="array" aca="1" ref="P335" ca="1">IF(AND(G335=INDIRECT("'["&amp;G335&amp;"]"&amp;E335&amp;"'!"&amp;$AH$2),OR(VALUE(I335)=INDIRECT("'["&amp;G335&amp;"]"&amp;E335&amp;"'!"&amp;$AB$2))),INDIRECT("'["&amp;G335&amp;"]"&amp;E335&amp;"'!"&amp;$AB$3),0)</f>
        <v>#VALUE!</v>
      </c>
      <c r="Q335" s="34" t="e" cm="1">
        <f t="array" aca="1" ref="Q335" ca="1">IF(AND(G335=INDIRECT("'["&amp;G335&amp;"]"&amp;E335&amp;"'!"&amp;$AH$2),OR(VALUE(I335)=INDIRECT("'["&amp;G335&amp;"]"&amp;E335&amp;"'!"&amp;$AC$2))),INDIRECT("'["&amp;G335&amp;"]"&amp;E335&amp;"'!"&amp;$AC$3),0)</f>
        <v>#VALUE!</v>
      </c>
      <c r="R335" s="34" t="e" cm="1">
        <f t="array" aca="1" ref="R335" ca="1">IF(AND(G335=INDIRECT("'["&amp;G335&amp;"]"&amp;E335&amp;"'!"&amp;$AH$2),OR(I335=INDIRECT("'["&amp;G335&amp;"]"&amp;E335&amp;"'!"&amp;$AD$2))),INDIRECT("'["&amp;G335&amp;"]"&amp;E335&amp;"'!"&amp;$AD$3),0)</f>
        <v>#VALUE!</v>
      </c>
      <c r="S335" s="34" t="e" cm="1">
        <f t="array" aca="1" ref="S335" ca="1">IF(AND(G335=INDIRECT("'["&amp;G335&amp;"]"&amp;E335&amp;"'!"&amp;$AH$2),OR(I335=INDIRECT("'["&amp;G335&amp;"]"&amp;E335&amp;"'!"&amp;$AE$2))),INDIRECT("'["&amp;G335&amp;"]"&amp;E335&amp;"'!"&amp;$AE$3),0)</f>
        <v>#VALUE!</v>
      </c>
      <c r="T335" s="35" t="e" cm="1">
        <f t="array" aca="1" ref="T335" ca="1">IF(AND(G335=INDIRECT("'["&amp;G335&amp;"]"&amp;E335&amp;"'!"&amp;$AH$2),OR(I335=INDIRECT("'["&amp;G335&amp;"]"&amp;E335&amp;"'!"&amp;$AF$2))),INDIRECT("'["&amp;G335&amp;"]"&amp;E335&amp;"'!"&amp;$AF$3),0)</f>
        <v>#VALUE!</v>
      </c>
      <c r="U335" s="34" t="e" cm="1">
        <f t="array" aca="1" ref="U335" ca="1">IF(AND(G335=INDIRECT("'["&amp;G335&amp;"]"&amp;E335&amp;"'!"&amp;$AH$2),OR(I335=INDIRECT("'["&amp;G335&amp;"]"&amp;E335&amp;"'!"&amp;$AG$2))),INDIRECT("'["&amp;G335&amp;"]"&amp;E335&amp;"'!"&amp;$AG$3),0)</f>
        <v>#VALUE!</v>
      </c>
      <c r="V335" s="25" t="str">
        <f t="shared" si="110"/>
        <v/>
      </c>
      <c r="W335" s="36" t="e" cm="1">
        <f t="array" aca="1" ref="W335" ca="1">IF(AND(G335=INDIRECT("'["&amp;G335&amp;"]"&amp;E335&amp;"'!"&amp;$AH$2),OR(V335=INDIRECT("'["&amp;G335&amp;"]"&amp;E335&amp;"'!"&amp;$AI$2))),INDIRECT("'["&amp;G335&amp;"]"&amp;E335&amp;"'!"&amp;$AI$3),0)</f>
        <v>#VALUE!</v>
      </c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25">
        <v>1</v>
      </c>
      <c r="AK335" s="38">
        <f t="shared" ca="1" si="95"/>
        <v>0</v>
      </c>
      <c r="AL335" s="38">
        <f t="shared" ca="1" si="96"/>
        <v>0</v>
      </c>
      <c r="AM335" s="54" t="str">
        <f t="shared" ca="1" si="97"/>
        <v/>
      </c>
      <c r="AN335" s="25" t="e">
        <f t="shared" ca="1" si="98"/>
        <v>#VALUE!</v>
      </c>
      <c r="AO335" s="25" t="e">
        <f t="shared" ca="1" si="99"/>
        <v>#VALUE!</v>
      </c>
      <c r="AP335" s="39" t="str">
        <f t="shared" ca="1" si="100"/>
        <v/>
      </c>
      <c r="AQ335" s="46" t="str">
        <f ca="1">IF(AND(C335&lt;&gt;0, C336=0), SUM($C$2:C335)-SUM($AQ$1:AQ334), "")</f>
        <v/>
      </c>
      <c r="AR335" s="46" t="str">
        <f ca="1">IF(AND(AK335&lt;&gt;0, AK336=0), SUM($AK$2:AK335)-SUM($AR$1:AR334), "")</f>
        <v/>
      </c>
      <c r="AS335" s="51"/>
      <c r="AT335" s="51"/>
      <c r="AU335" s="51"/>
      <c r="AV335" s="51"/>
      <c r="AW335" s="51"/>
      <c r="AX335" s="51"/>
    </row>
    <row r="336" spans="1:52" ht="13.15" customHeight="1">
      <c r="A336" s="62"/>
      <c r="B336" s="68" t="str">
        <f t="shared" si="101"/>
        <v/>
      </c>
      <c r="C336" s="55" cm="1">
        <f t="array" aca="1" ref="C336" ca="1">SUM(IF(ISNUMBER(M336:U336),M336:U336,""))</f>
        <v>0</v>
      </c>
      <c r="D336" s="25" t="str">
        <f t="shared" si="102"/>
        <v/>
      </c>
      <c r="E336" s="25" t="e">
        <f t="shared" si="103"/>
        <v>#VALUE!</v>
      </c>
      <c r="F336" s="25" t="str">
        <f t="shared" si="104"/>
        <v/>
      </c>
      <c r="G336" s="25" t="str">
        <f t="shared" si="105"/>
        <v>.xlsx</v>
      </c>
      <c r="H336" s="29" t="e" cm="1">
        <f t="array" aca="1" ref="H336" ca="1">IF(AND(VALUE(E336)=INDIRECT("'["&amp;G336&amp;"]"&amp;E336&amp;"'!"&amp;$X$2),G336=INDIRECT("'["&amp;G336&amp;"]"&amp;E336&amp;"'!"&amp;$X$3)),INDIRECT("'["&amp;G336&amp;"]"&amp;E336&amp;"'!"&amp;$X$1),0)</f>
        <v>#VALUE!</v>
      </c>
      <c r="I336" s="25" t="str">
        <f t="shared" si="106"/>
        <v/>
      </c>
      <c r="J336" s="32" t="str">
        <f t="shared" si="107"/>
        <v/>
      </c>
      <c r="K336" s="25" t="str">
        <f t="shared" si="108"/>
        <v/>
      </c>
      <c r="L336" s="25" t="str">
        <f t="shared" si="109"/>
        <v/>
      </c>
      <c r="M336" s="33" t="e" cm="1">
        <f t="array" aca="1" ref="M336" ca="1">IF(AND(J336=INDIRECT("'["&amp;G336&amp;"]"&amp;E336&amp;"'!"&amp;$Y$2),G336=INDIRECT("'["&amp;G336&amp;"]"&amp;E336&amp;"'!"&amp;$AH$2)),INDIRECT("'["&amp;G336&amp;"]"&amp;E336&amp;"'!"&amp;$Y$3),0)</f>
        <v>#VALUE!</v>
      </c>
      <c r="N336" s="34" t="e" cm="1">
        <f t="array" aca="1" ref="N336" ca="1">IF(AND(G336=INDIRECT("'["&amp;G336&amp;"]"&amp;E336&amp;"'!"&amp;$AH$2),OR(K336=INDIRECT("'["&amp;G336&amp;"]"&amp;E336&amp;"'!"&amp;$Z$2))),INDIRECT("'["&amp;G336&amp;"]"&amp;E336&amp;"'!"&amp;$Z$3),0)</f>
        <v>#VALUE!</v>
      </c>
      <c r="O336" s="34" t="e" cm="1">
        <f t="array" aca="1" ref="O336" ca="1">IF(AND(G336=INDIRECT("'["&amp;G336&amp;"]"&amp;E336&amp;"'!"&amp;$AH$2),OR(L336=INDIRECT("'["&amp;G336&amp;"]"&amp;E336&amp;"'!"&amp;$AA$2))),INDIRECT("'["&amp;G336&amp;"]"&amp;E336&amp;"'!"&amp;$AA$3),0)</f>
        <v>#VALUE!</v>
      </c>
      <c r="P336" s="34" t="e" cm="1">
        <f t="array" aca="1" ref="P336" ca="1">IF(AND(G336=INDIRECT("'["&amp;G336&amp;"]"&amp;E336&amp;"'!"&amp;$AH$2),OR(VALUE(I336)=INDIRECT("'["&amp;G336&amp;"]"&amp;E336&amp;"'!"&amp;$AB$2))),INDIRECT("'["&amp;G336&amp;"]"&amp;E336&amp;"'!"&amp;$AB$3),0)</f>
        <v>#VALUE!</v>
      </c>
      <c r="Q336" s="34" t="e" cm="1">
        <f t="array" aca="1" ref="Q336" ca="1">IF(AND(G336=INDIRECT("'["&amp;G336&amp;"]"&amp;E336&amp;"'!"&amp;$AH$2),OR(VALUE(I336)=INDIRECT("'["&amp;G336&amp;"]"&amp;E336&amp;"'!"&amp;$AC$2))),INDIRECT("'["&amp;G336&amp;"]"&amp;E336&amp;"'!"&amp;$AC$3),0)</f>
        <v>#VALUE!</v>
      </c>
      <c r="R336" s="34" t="e" cm="1">
        <f t="array" aca="1" ref="R336" ca="1">IF(AND(G336=INDIRECT("'["&amp;G336&amp;"]"&amp;E336&amp;"'!"&amp;$AH$2),OR(I336=INDIRECT("'["&amp;G336&amp;"]"&amp;E336&amp;"'!"&amp;$AD$2))),INDIRECT("'["&amp;G336&amp;"]"&amp;E336&amp;"'!"&amp;$AD$3),0)</f>
        <v>#VALUE!</v>
      </c>
      <c r="S336" s="34" t="e" cm="1">
        <f t="array" aca="1" ref="S336" ca="1">IF(AND(G336=INDIRECT("'["&amp;G336&amp;"]"&amp;E336&amp;"'!"&amp;$AH$2),OR(I336=INDIRECT("'["&amp;G336&amp;"]"&amp;E336&amp;"'!"&amp;$AE$2))),INDIRECT("'["&amp;G336&amp;"]"&amp;E336&amp;"'!"&amp;$AE$3),0)</f>
        <v>#VALUE!</v>
      </c>
      <c r="T336" s="35" t="e" cm="1">
        <f t="array" aca="1" ref="T336" ca="1">IF(AND(G336=INDIRECT("'["&amp;G336&amp;"]"&amp;E336&amp;"'!"&amp;$AH$2),OR(I336=INDIRECT("'["&amp;G336&amp;"]"&amp;E336&amp;"'!"&amp;$AF$2))),INDIRECT("'["&amp;G336&amp;"]"&amp;E336&amp;"'!"&amp;$AF$3),0)</f>
        <v>#VALUE!</v>
      </c>
      <c r="U336" s="34" t="e" cm="1">
        <f t="array" aca="1" ref="U336" ca="1">IF(AND(G336=INDIRECT("'["&amp;G336&amp;"]"&amp;E336&amp;"'!"&amp;$AH$2),OR(I336=INDIRECT("'["&amp;G336&amp;"]"&amp;E336&amp;"'!"&amp;$AG$2))),INDIRECT("'["&amp;G336&amp;"]"&amp;E336&amp;"'!"&amp;$AG$3),0)</f>
        <v>#VALUE!</v>
      </c>
      <c r="V336" s="25" t="str">
        <f t="shared" si="110"/>
        <v/>
      </c>
      <c r="W336" s="36" t="e" cm="1">
        <f t="array" aca="1" ref="W336" ca="1">IF(AND(G336=INDIRECT("'["&amp;G336&amp;"]"&amp;E336&amp;"'!"&amp;$AH$2),OR(V336=INDIRECT("'["&amp;G336&amp;"]"&amp;E336&amp;"'!"&amp;$AI$2))),INDIRECT("'["&amp;G336&amp;"]"&amp;E336&amp;"'!"&amp;$AI$3),0)</f>
        <v>#VALUE!</v>
      </c>
      <c r="AJ336" s="25">
        <v>1</v>
      </c>
      <c r="AK336" s="38">
        <f t="shared" ca="1" si="95"/>
        <v>0</v>
      </c>
      <c r="AL336" s="38">
        <f t="shared" ca="1" si="96"/>
        <v>0</v>
      </c>
      <c r="AM336" s="54" t="str">
        <f t="shared" ca="1" si="97"/>
        <v/>
      </c>
      <c r="AN336" s="25" t="e">
        <f t="shared" ca="1" si="98"/>
        <v>#VALUE!</v>
      </c>
      <c r="AO336" s="25" t="e">
        <f t="shared" ca="1" si="99"/>
        <v>#VALUE!</v>
      </c>
      <c r="AP336" s="39" t="str">
        <f t="shared" ca="1" si="100"/>
        <v/>
      </c>
      <c r="AQ336" s="46" t="str">
        <f ca="1">IF(AND(C336&lt;&gt;0, C337=0), SUM($C$2:C336)-SUM($AQ$1:AQ335), "")</f>
        <v/>
      </c>
      <c r="AR336" s="46" t="str">
        <f ca="1">IF(AND(AK336&lt;&gt;0, AK337=0), SUM($AK$2:AK336)-SUM($AR$1:AR335), "")</f>
        <v/>
      </c>
    </row>
    <row r="337" spans="1:44" ht="13.15" customHeight="1">
      <c r="A337" s="62"/>
      <c r="B337" s="68" t="str">
        <f t="shared" si="101"/>
        <v/>
      </c>
      <c r="C337" s="55" cm="1">
        <f t="array" aca="1" ref="C337" ca="1">SUM(IF(ISNUMBER(M337:U337),M337:U337,""))</f>
        <v>0</v>
      </c>
      <c r="D337" s="25" t="str">
        <f t="shared" si="102"/>
        <v/>
      </c>
      <c r="E337" s="25" t="e">
        <f t="shared" si="103"/>
        <v>#VALUE!</v>
      </c>
      <c r="F337" s="25" t="str">
        <f t="shared" si="104"/>
        <v/>
      </c>
      <c r="G337" s="25" t="str">
        <f t="shared" si="105"/>
        <v>.xlsx</v>
      </c>
      <c r="H337" s="29" t="e" cm="1">
        <f t="array" aca="1" ref="H337" ca="1">IF(AND(VALUE(E337)=INDIRECT("'["&amp;G337&amp;"]"&amp;E337&amp;"'!"&amp;$X$2),G337=INDIRECT("'["&amp;G337&amp;"]"&amp;E337&amp;"'!"&amp;$X$3)),INDIRECT("'["&amp;G337&amp;"]"&amp;E337&amp;"'!"&amp;$X$1),0)</f>
        <v>#VALUE!</v>
      </c>
      <c r="I337" s="25" t="str">
        <f t="shared" si="106"/>
        <v/>
      </c>
      <c r="J337" s="32" t="str">
        <f t="shared" si="107"/>
        <v/>
      </c>
      <c r="K337" s="25" t="str">
        <f t="shared" si="108"/>
        <v/>
      </c>
      <c r="L337" s="25" t="str">
        <f t="shared" si="109"/>
        <v/>
      </c>
      <c r="M337" s="33" t="e" cm="1">
        <f t="array" aca="1" ref="M337" ca="1">IF(AND(J337=INDIRECT("'["&amp;G337&amp;"]"&amp;E337&amp;"'!"&amp;$Y$2),G337=INDIRECT("'["&amp;G337&amp;"]"&amp;E337&amp;"'!"&amp;$AH$2)),INDIRECT("'["&amp;G337&amp;"]"&amp;E337&amp;"'!"&amp;$Y$3),0)</f>
        <v>#VALUE!</v>
      </c>
      <c r="N337" s="34" t="e" cm="1">
        <f t="array" aca="1" ref="N337" ca="1">IF(AND(G337=INDIRECT("'["&amp;G337&amp;"]"&amp;E337&amp;"'!"&amp;$AH$2),OR(K337=INDIRECT("'["&amp;G337&amp;"]"&amp;E337&amp;"'!"&amp;$Z$2))),INDIRECT("'["&amp;G337&amp;"]"&amp;E337&amp;"'!"&amp;$Z$3),0)</f>
        <v>#VALUE!</v>
      </c>
      <c r="O337" s="34" t="e" cm="1">
        <f t="array" aca="1" ref="O337" ca="1">IF(AND(G337=INDIRECT("'["&amp;G337&amp;"]"&amp;E337&amp;"'!"&amp;$AH$2),OR(L337=INDIRECT("'["&amp;G337&amp;"]"&amp;E337&amp;"'!"&amp;$AA$2))),INDIRECT("'["&amp;G337&amp;"]"&amp;E337&amp;"'!"&amp;$AA$3),0)</f>
        <v>#VALUE!</v>
      </c>
      <c r="P337" s="34" t="e" cm="1">
        <f t="array" aca="1" ref="P337" ca="1">IF(AND(G337=INDIRECT("'["&amp;G337&amp;"]"&amp;E337&amp;"'!"&amp;$AH$2),OR(VALUE(I337)=INDIRECT("'["&amp;G337&amp;"]"&amp;E337&amp;"'!"&amp;$AB$2))),INDIRECT("'["&amp;G337&amp;"]"&amp;E337&amp;"'!"&amp;$AB$3),0)</f>
        <v>#VALUE!</v>
      </c>
      <c r="Q337" s="34" t="e" cm="1">
        <f t="array" aca="1" ref="Q337" ca="1">IF(AND(G337=INDIRECT("'["&amp;G337&amp;"]"&amp;E337&amp;"'!"&amp;$AH$2),OR(VALUE(I337)=INDIRECT("'["&amp;G337&amp;"]"&amp;E337&amp;"'!"&amp;$AC$2))),INDIRECT("'["&amp;G337&amp;"]"&amp;E337&amp;"'!"&amp;$AC$3),0)</f>
        <v>#VALUE!</v>
      </c>
      <c r="R337" s="34" t="e" cm="1">
        <f t="array" aca="1" ref="R337" ca="1">IF(AND(G337=INDIRECT("'["&amp;G337&amp;"]"&amp;E337&amp;"'!"&amp;$AH$2),OR(I337=INDIRECT("'["&amp;G337&amp;"]"&amp;E337&amp;"'!"&amp;$AD$2))),INDIRECT("'["&amp;G337&amp;"]"&amp;E337&amp;"'!"&amp;$AD$3),0)</f>
        <v>#VALUE!</v>
      </c>
      <c r="S337" s="34" t="e" cm="1">
        <f t="array" aca="1" ref="S337" ca="1">IF(AND(G337=INDIRECT("'["&amp;G337&amp;"]"&amp;E337&amp;"'!"&amp;$AH$2),OR(I337=INDIRECT("'["&amp;G337&amp;"]"&amp;E337&amp;"'!"&amp;$AE$2))),INDIRECT("'["&amp;G337&amp;"]"&amp;E337&amp;"'!"&amp;$AE$3),0)</f>
        <v>#VALUE!</v>
      </c>
      <c r="T337" s="35" t="e" cm="1">
        <f t="array" aca="1" ref="T337" ca="1">IF(AND(G337=INDIRECT("'["&amp;G337&amp;"]"&amp;E337&amp;"'!"&amp;$AH$2),OR(I337=INDIRECT("'["&amp;G337&amp;"]"&amp;E337&amp;"'!"&amp;$AF$2))),INDIRECT("'["&amp;G337&amp;"]"&amp;E337&amp;"'!"&amp;$AF$3),0)</f>
        <v>#VALUE!</v>
      </c>
      <c r="U337" s="34" t="e" cm="1">
        <f t="array" aca="1" ref="U337" ca="1">IF(AND(G337=INDIRECT("'["&amp;G337&amp;"]"&amp;E337&amp;"'!"&amp;$AH$2),OR(I337=INDIRECT("'["&amp;G337&amp;"]"&amp;E337&amp;"'!"&amp;$AG$2))),INDIRECT("'["&amp;G337&amp;"]"&amp;E337&amp;"'!"&amp;$AG$3),0)</f>
        <v>#VALUE!</v>
      </c>
      <c r="V337" s="25" t="str">
        <f t="shared" si="110"/>
        <v/>
      </c>
      <c r="W337" s="36" t="e" cm="1">
        <f t="array" aca="1" ref="W337" ca="1">IF(AND(G337=INDIRECT("'["&amp;G337&amp;"]"&amp;E337&amp;"'!"&amp;$AH$2),OR(V337=INDIRECT("'["&amp;G337&amp;"]"&amp;E337&amp;"'!"&amp;$AI$2))),INDIRECT("'["&amp;G337&amp;"]"&amp;E337&amp;"'!"&amp;$AI$3),0)</f>
        <v>#VALUE!</v>
      </c>
      <c r="AJ337" s="25">
        <v>1</v>
      </c>
      <c r="AK337" s="38">
        <f t="shared" ca="1" si="95"/>
        <v>0</v>
      </c>
      <c r="AL337" s="38">
        <f t="shared" ca="1" si="96"/>
        <v>0</v>
      </c>
      <c r="AM337" s="54" t="str">
        <f t="shared" ca="1" si="97"/>
        <v/>
      </c>
      <c r="AN337" s="25" t="e">
        <f t="shared" ca="1" si="98"/>
        <v>#VALUE!</v>
      </c>
      <c r="AO337" s="25" t="e">
        <f t="shared" ca="1" si="99"/>
        <v>#VALUE!</v>
      </c>
      <c r="AP337" s="39" t="str">
        <f t="shared" ca="1" si="100"/>
        <v/>
      </c>
      <c r="AQ337" s="46" t="str">
        <f ca="1">IF(AND(C337&lt;&gt;0, C338=0), SUM($C$2:C337)-SUM($AQ$1:AQ336), "")</f>
        <v/>
      </c>
      <c r="AR337" s="46" t="str">
        <f ca="1">IF(AND(AK337&lt;&gt;0, AK338=0), SUM($AK$2:AK337)-SUM($AR$1:AR336), "")</f>
        <v/>
      </c>
    </row>
    <row r="338" spans="1:44" ht="13.15" customHeight="1">
      <c r="A338" s="62"/>
      <c r="B338" s="68" t="str">
        <f t="shared" si="101"/>
        <v/>
      </c>
      <c r="C338" s="55" cm="1">
        <f t="array" aca="1" ref="C338" ca="1">SUM(IF(ISNUMBER(M338:U338),M338:U338,""))</f>
        <v>0</v>
      </c>
      <c r="D338" s="25" t="str">
        <f t="shared" si="102"/>
        <v/>
      </c>
      <c r="E338" s="25" t="e">
        <f t="shared" si="103"/>
        <v>#VALUE!</v>
      </c>
      <c r="F338" s="25" t="str">
        <f t="shared" si="104"/>
        <v/>
      </c>
      <c r="G338" s="25" t="str">
        <f t="shared" si="105"/>
        <v>.xlsx</v>
      </c>
      <c r="H338" s="29" t="e" cm="1">
        <f t="array" aca="1" ref="H338" ca="1">IF(AND(VALUE(E338)=INDIRECT("'["&amp;G338&amp;"]"&amp;E338&amp;"'!"&amp;$X$2),G338=INDIRECT("'["&amp;G338&amp;"]"&amp;E338&amp;"'!"&amp;$X$3)),INDIRECT("'["&amp;G338&amp;"]"&amp;E338&amp;"'!"&amp;$X$1),0)</f>
        <v>#VALUE!</v>
      </c>
      <c r="I338" s="25" t="str">
        <f t="shared" si="106"/>
        <v/>
      </c>
      <c r="J338" s="32" t="str">
        <f t="shared" si="107"/>
        <v/>
      </c>
      <c r="K338" s="25" t="str">
        <f t="shared" si="108"/>
        <v/>
      </c>
      <c r="L338" s="25" t="str">
        <f t="shared" si="109"/>
        <v/>
      </c>
      <c r="M338" s="33" t="e" cm="1">
        <f t="array" aca="1" ref="M338" ca="1">IF(AND(J338=INDIRECT("'["&amp;G338&amp;"]"&amp;E338&amp;"'!"&amp;$Y$2),G338=INDIRECT("'["&amp;G338&amp;"]"&amp;E338&amp;"'!"&amp;$AH$2)),INDIRECT("'["&amp;G338&amp;"]"&amp;E338&amp;"'!"&amp;$Y$3),0)</f>
        <v>#VALUE!</v>
      </c>
      <c r="N338" s="34" t="e" cm="1">
        <f t="array" aca="1" ref="N338" ca="1">IF(AND(G338=INDIRECT("'["&amp;G338&amp;"]"&amp;E338&amp;"'!"&amp;$AH$2),OR(K338=INDIRECT("'["&amp;G338&amp;"]"&amp;E338&amp;"'!"&amp;$Z$2))),INDIRECT("'["&amp;G338&amp;"]"&amp;E338&amp;"'!"&amp;$Z$3),0)</f>
        <v>#VALUE!</v>
      </c>
      <c r="O338" s="34" t="e" cm="1">
        <f t="array" aca="1" ref="O338" ca="1">IF(AND(G338=INDIRECT("'["&amp;G338&amp;"]"&amp;E338&amp;"'!"&amp;$AH$2),OR(L338=INDIRECT("'["&amp;G338&amp;"]"&amp;E338&amp;"'!"&amp;$AA$2))),INDIRECT("'["&amp;G338&amp;"]"&amp;E338&amp;"'!"&amp;$AA$3),0)</f>
        <v>#VALUE!</v>
      </c>
      <c r="P338" s="34" t="e" cm="1">
        <f t="array" aca="1" ref="P338" ca="1">IF(AND(G338=INDIRECT("'["&amp;G338&amp;"]"&amp;E338&amp;"'!"&amp;$AH$2),OR(VALUE(I338)=INDIRECT("'["&amp;G338&amp;"]"&amp;E338&amp;"'!"&amp;$AB$2))),INDIRECT("'["&amp;G338&amp;"]"&amp;E338&amp;"'!"&amp;$AB$3),0)</f>
        <v>#VALUE!</v>
      </c>
      <c r="Q338" s="34" t="e" cm="1">
        <f t="array" aca="1" ref="Q338" ca="1">IF(AND(G338=INDIRECT("'["&amp;G338&amp;"]"&amp;E338&amp;"'!"&amp;$AH$2),OR(VALUE(I338)=INDIRECT("'["&amp;G338&amp;"]"&amp;E338&amp;"'!"&amp;$AC$2))),INDIRECT("'["&amp;G338&amp;"]"&amp;E338&amp;"'!"&amp;$AC$3),0)</f>
        <v>#VALUE!</v>
      </c>
      <c r="R338" s="34" t="e" cm="1">
        <f t="array" aca="1" ref="R338" ca="1">IF(AND(G338=INDIRECT("'["&amp;G338&amp;"]"&amp;E338&amp;"'!"&amp;$AH$2),OR(I338=INDIRECT("'["&amp;G338&amp;"]"&amp;E338&amp;"'!"&amp;$AD$2))),INDIRECT("'["&amp;G338&amp;"]"&amp;E338&amp;"'!"&amp;$AD$3),0)</f>
        <v>#VALUE!</v>
      </c>
      <c r="S338" s="34" t="e" cm="1">
        <f t="array" aca="1" ref="S338" ca="1">IF(AND(G338=INDIRECT("'["&amp;G338&amp;"]"&amp;E338&amp;"'!"&amp;$AH$2),OR(I338=INDIRECT("'["&amp;G338&amp;"]"&amp;E338&amp;"'!"&amp;$AE$2))),INDIRECT("'["&amp;G338&amp;"]"&amp;E338&amp;"'!"&amp;$AE$3),0)</f>
        <v>#VALUE!</v>
      </c>
      <c r="T338" s="35" t="e" cm="1">
        <f t="array" aca="1" ref="T338" ca="1">IF(AND(G338=INDIRECT("'["&amp;G338&amp;"]"&amp;E338&amp;"'!"&amp;$AH$2),OR(I338=INDIRECT("'["&amp;G338&amp;"]"&amp;E338&amp;"'!"&amp;$AF$2))),INDIRECT("'["&amp;G338&amp;"]"&amp;E338&amp;"'!"&amp;$AF$3),0)</f>
        <v>#VALUE!</v>
      </c>
      <c r="U338" s="34" t="e" cm="1">
        <f t="array" aca="1" ref="U338" ca="1">IF(AND(G338=INDIRECT("'["&amp;G338&amp;"]"&amp;E338&amp;"'!"&amp;$AH$2),OR(I338=INDIRECT("'["&amp;G338&amp;"]"&amp;E338&amp;"'!"&amp;$AG$2))),INDIRECT("'["&amp;G338&amp;"]"&amp;E338&amp;"'!"&amp;$AG$3),0)</f>
        <v>#VALUE!</v>
      </c>
      <c r="V338" s="25" t="str">
        <f t="shared" si="110"/>
        <v/>
      </c>
      <c r="W338" s="36" t="e" cm="1">
        <f t="array" aca="1" ref="W338" ca="1">IF(AND(G338=INDIRECT("'["&amp;G338&amp;"]"&amp;E338&amp;"'!"&amp;$AH$2),OR(V338=INDIRECT("'["&amp;G338&amp;"]"&amp;E338&amp;"'!"&amp;$AI$2))),INDIRECT("'["&amp;G338&amp;"]"&amp;E338&amp;"'!"&amp;$AI$3),0)</f>
        <v>#VALUE!</v>
      </c>
      <c r="AJ338" s="25">
        <v>1</v>
      </c>
      <c r="AK338" s="38">
        <f t="shared" ca="1" si="95"/>
        <v>0</v>
      </c>
      <c r="AL338" s="38">
        <f t="shared" ca="1" si="96"/>
        <v>0</v>
      </c>
      <c r="AM338" s="54" t="str">
        <f t="shared" ca="1" si="97"/>
        <v/>
      </c>
      <c r="AN338" s="25" t="e">
        <f t="shared" ca="1" si="98"/>
        <v>#VALUE!</v>
      </c>
      <c r="AO338" s="25" t="e">
        <f t="shared" ca="1" si="99"/>
        <v>#VALUE!</v>
      </c>
      <c r="AP338" s="39" t="str">
        <f t="shared" ca="1" si="100"/>
        <v/>
      </c>
      <c r="AQ338" s="46" t="str">
        <f ca="1">IF(AND(C338&lt;&gt;0, C339=0), SUM($C$2:C338)-SUM($AQ$1:AQ337), "")</f>
        <v/>
      </c>
      <c r="AR338" s="46" t="str">
        <f ca="1">IF(AND(AK338&lt;&gt;0, AK339=0), SUM($AK$2:AK338)-SUM($AR$1:AR337), "")</f>
        <v/>
      </c>
    </row>
    <row r="339" spans="1:44" ht="13.15" customHeight="1">
      <c r="A339" s="62"/>
      <c r="B339" s="68" t="str">
        <f t="shared" si="101"/>
        <v/>
      </c>
      <c r="C339" s="55" cm="1">
        <f t="array" aca="1" ref="C339" ca="1">SUM(IF(ISNUMBER(M339:U339),M339:U339,""))</f>
        <v>0</v>
      </c>
      <c r="D339" s="25" t="str">
        <f t="shared" si="102"/>
        <v/>
      </c>
      <c r="E339" s="25" t="e">
        <f t="shared" si="103"/>
        <v>#VALUE!</v>
      </c>
      <c r="F339" s="25" t="str">
        <f t="shared" si="104"/>
        <v/>
      </c>
      <c r="G339" s="25" t="str">
        <f t="shared" si="105"/>
        <v>.xlsx</v>
      </c>
      <c r="H339" s="29" t="e" cm="1">
        <f t="array" aca="1" ref="H339" ca="1">IF(AND(VALUE(E339)=INDIRECT("'["&amp;G339&amp;"]"&amp;E339&amp;"'!"&amp;$X$2),G339=INDIRECT("'["&amp;G339&amp;"]"&amp;E339&amp;"'!"&amp;$X$3)),INDIRECT("'["&amp;G339&amp;"]"&amp;E339&amp;"'!"&amp;$X$1),0)</f>
        <v>#VALUE!</v>
      </c>
      <c r="I339" s="25" t="str">
        <f t="shared" si="106"/>
        <v/>
      </c>
      <c r="J339" s="32" t="str">
        <f t="shared" si="107"/>
        <v/>
      </c>
      <c r="K339" s="25" t="str">
        <f t="shared" si="108"/>
        <v/>
      </c>
      <c r="L339" s="25" t="str">
        <f t="shared" si="109"/>
        <v/>
      </c>
      <c r="M339" s="33" t="e" cm="1">
        <f t="array" aca="1" ref="M339" ca="1">IF(AND(J339=INDIRECT("'["&amp;G339&amp;"]"&amp;E339&amp;"'!"&amp;$Y$2),G339=INDIRECT("'["&amp;G339&amp;"]"&amp;E339&amp;"'!"&amp;$AH$2)),INDIRECT("'["&amp;G339&amp;"]"&amp;E339&amp;"'!"&amp;$Y$3),0)</f>
        <v>#VALUE!</v>
      </c>
      <c r="N339" s="34" t="e" cm="1">
        <f t="array" aca="1" ref="N339" ca="1">IF(AND(G339=INDIRECT("'["&amp;G339&amp;"]"&amp;E339&amp;"'!"&amp;$AH$2),OR(K339=INDIRECT("'["&amp;G339&amp;"]"&amp;E339&amp;"'!"&amp;$Z$2))),INDIRECT("'["&amp;G339&amp;"]"&amp;E339&amp;"'!"&amp;$Z$3),0)</f>
        <v>#VALUE!</v>
      </c>
      <c r="O339" s="34" t="e" cm="1">
        <f t="array" aca="1" ref="O339" ca="1">IF(AND(G339=INDIRECT("'["&amp;G339&amp;"]"&amp;E339&amp;"'!"&amp;$AH$2),OR(L339=INDIRECT("'["&amp;G339&amp;"]"&amp;E339&amp;"'!"&amp;$AA$2))),INDIRECT("'["&amp;G339&amp;"]"&amp;E339&amp;"'!"&amp;$AA$3),0)</f>
        <v>#VALUE!</v>
      </c>
      <c r="P339" s="34" t="e" cm="1">
        <f t="array" aca="1" ref="P339" ca="1">IF(AND(G339=INDIRECT("'["&amp;G339&amp;"]"&amp;E339&amp;"'!"&amp;$AH$2),OR(VALUE(I339)=INDIRECT("'["&amp;G339&amp;"]"&amp;E339&amp;"'!"&amp;$AB$2))),INDIRECT("'["&amp;G339&amp;"]"&amp;E339&amp;"'!"&amp;$AB$3),0)</f>
        <v>#VALUE!</v>
      </c>
      <c r="Q339" s="34" t="e" cm="1">
        <f t="array" aca="1" ref="Q339" ca="1">IF(AND(G339=INDIRECT("'["&amp;G339&amp;"]"&amp;E339&amp;"'!"&amp;$AH$2),OR(VALUE(I339)=INDIRECT("'["&amp;G339&amp;"]"&amp;E339&amp;"'!"&amp;$AC$2))),INDIRECT("'["&amp;G339&amp;"]"&amp;E339&amp;"'!"&amp;$AC$3),0)</f>
        <v>#VALUE!</v>
      </c>
      <c r="R339" s="34" t="e" cm="1">
        <f t="array" aca="1" ref="R339" ca="1">IF(AND(G339=INDIRECT("'["&amp;G339&amp;"]"&amp;E339&amp;"'!"&amp;$AH$2),OR(I339=INDIRECT("'["&amp;G339&amp;"]"&amp;E339&amp;"'!"&amp;$AD$2))),INDIRECT("'["&amp;G339&amp;"]"&amp;E339&amp;"'!"&amp;$AD$3),0)</f>
        <v>#VALUE!</v>
      </c>
      <c r="S339" s="34" t="e" cm="1">
        <f t="array" aca="1" ref="S339" ca="1">IF(AND(G339=INDIRECT("'["&amp;G339&amp;"]"&amp;E339&amp;"'!"&amp;$AH$2),OR(I339=INDIRECT("'["&amp;G339&amp;"]"&amp;E339&amp;"'!"&amp;$AE$2))),INDIRECT("'["&amp;G339&amp;"]"&amp;E339&amp;"'!"&amp;$AE$3),0)</f>
        <v>#VALUE!</v>
      </c>
      <c r="T339" s="35" t="e" cm="1">
        <f t="array" aca="1" ref="T339" ca="1">IF(AND(G339=INDIRECT("'["&amp;G339&amp;"]"&amp;E339&amp;"'!"&amp;$AH$2),OR(I339=INDIRECT("'["&amp;G339&amp;"]"&amp;E339&amp;"'!"&amp;$AF$2))),INDIRECT("'["&amp;G339&amp;"]"&amp;E339&amp;"'!"&amp;$AF$3),0)</f>
        <v>#VALUE!</v>
      </c>
      <c r="U339" s="34" t="e" cm="1">
        <f t="array" aca="1" ref="U339" ca="1">IF(AND(G339=INDIRECT("'["&amp;G339&amp;"]"&amp;E339&amp;"'!"&amp;$AH$2),OR(I339=INDIRECT("'["&amp;G339&amp;"]"&amp;E339&amp;"'!"&amp;$AG$2))),INDIRECT("'["&amp;G339&amp;"]"&amp;E339&amp;"'!"&amp;$AG$3),0)</f>
        <v>#VALUE!</v>
      </c>
      <c r="V339" s="25" t="str">
        <f t="shared" si="110"/>
        <v/>
      </c>
      <c r="W339" s="36" t="e" cm="1">
        <f t="array" aca="1" ref="W339" ca="1">IF(AND(G339=INDIRECT("'["&amp;G339&amp;"]"&amp;E339&amp;"'!"&amp;$AH$2),OR(V339=INDIRECT("'["&amp;G339&amp;"]"&amp;E339&amp;"'!"&amp;$AI$2))),INDIRECT("'["&amp;G339&amp;"]"&amp;E339&amp;"'!"&amp;$AI$3),0)</f>
        <v>#VALUE!</v>
      </c>
      <c r="AJ339" s="25">
        <v>1</v>
      </c>
      <c r="AK339" s="38">
        <f t="shared" ca="1" si="95"/>
        <v>0</v>
      </c>
      <c r="AL339" s="38">
        <f t="shared" ca="1" si="96"/>
        <v>0</v>
      </c>
      <c r="AM339" s="54" t="str">
        <f t="shared" ca="1" si="97"/>
        <v/>
      </c>
      <c r="AN339" s="25" t="e">
        <f t="shared" ca="1" si="98"/>
        <v>#VALUE!</v>
      </c>
      <c r="AO339" s="25" t="e">
        <f t="shared" ca="1" si="99"/>
        <v>#VALUE!</v>
      </c>
      <c r="AP339" s="39" t="str">
        <f t="shared" ca="1" si="100"/>
        <v/>
      </c>
      <c r="AQ339" s="46" t="str">
        <f ca="1">IF(AND(C339&lt;&gt;0, C340=0), SUM($C$2:C339)-SUM($AQ$1:AQ338), "")</f>
        <v/>
      </c>
      <c r="AR339" s="46" t="str">
        <f ca="1">IF(AND(AK339&lt;&gt;0, AK340=0), SUM($AK$2:AK339)-SUM($AR$1:AR338), "")</f>
        <v/>
      </c>
    </row>
    <row r="340" spans="1:44" ht="13.15" customHeight="1">
      <c r="A340" s="62"/>
      <c r="B340" s="68" t="str">
        <f t="shared" si="101"/>
        <v/>
      </c>
      <c r="C340" s="55" cm="1">
        <f t="array" aca="1" ref="C340" ca="1">SUM(IF(ISNUMBER(M340:U340),M340:U340,""))</f>
        <v>0</v>
      </c>
      <c r="D340" s="25" t="str">
        <f t="shared" si="102"/>
        <v/>
      </c>
      <c r="E340" s="25" t="e">
        <f t="shared" si="103"/>
        <v>#VALUE!</v>
      </c>
      <c r="F340" s="25" t="str">
        <f t="shared" si="104"/>
        <v/>
      </c>
      <c r="G340" s="25" t="str">
        <f t="shared" si="105"/>
        <v>.xlsx</v>
      </c>
      <c r="H340" s="29" t="e" cm="1">
        <f t="array" aca="1" ref="H340" ca="1">IF(AND(VALUE(E340)=INDIRECT("'["&amp;G340&amp;"]"&amp;E340&amp;"'!"&amp;$X$2),G340=INDIRECT("'["&amp;G340&amp;"]"&amp;E340&amp;"'!"&amp;$X$3)),INDIRECT("'["&amp;G340&amp;"]"&amp;E340&amp;"'!"&amp;$X$1),0)</f>
        <v>#VALUE!</v>
      </c>
      <c r="I340" s="25" t="str">
        <f t="shared" si="106"/>
        <v/>
      </c>
      <c r="J340" s="32" t="str">
        <f t="shared" si="107"/>
        <v/>
      </c>
      <c r="K340" s="25" t="str">
        <f t="shared" si="108"/>
        <v/>
      </c>
      <c r="L340" s="25" t="str">
        <f t="shared" si="109"/>
        <v/>
      </c>
      <c r="M340" s="33" t="e" cm="1">
        <f t="array" aca="1" ref="M340" ca="1">IF(AND(J340=INDIRECT("'["&amp;G340&amp;"]"&amp;E340&amp;"'!"&amp;$Y$2),G340=INDIRECT("'["&amp;G340&amp;"]"&amp;E340&amp;"'!"&amp;$AH$2)),INDIRECT("'["&amp;G340&amp;"]"&amp;E340&amp;"'!"&amp;$Y$3),0)</f>
        <v>#VALUE!</v>
      </c>
      <c r="N340" s="34" t="e" cm="1">
        <f t="array" aca="1" ref="N340" ca="1">IF(AND(G340=INDIRECT("'["&amp;G340&amp;"]"&amp;E340&amp;"'!"&amp;$AH$2),OR(K340=INDIRECT("'["&amp;G340&amp;"]"&amp;E340&amp;"'!"&amp;$Z$2))),INDIRECT("'["&amp;G340&amp;"]"&amp;E340&amp;"'!"&amp;$Z$3),0)</f>
        <v>#VALUE!</v>
      </c>
      <c r="O340" s="34" t="e" cm="1">
        <f t="array" aca="1" ref="O340" ca="1">IF(AND(G340=INDIRECT("'["&amp;G340&amp;"]"&amp;E340&amp;"'!"&amp;$AH$2),OR(L340=INDIRECT("'["&amp;G340&amp;"]"&amp;E340&amp;"'!"&amp;$AA$2))),INDIRECT("'["&amp;G340&amp;"]"&amp;E340&amp;"'!"&amp;$AA$3),0)</f>
        <v>#VALUE!</v>
      </c>
      <c r="P340" s="34" t="e" cm="1">
        <f t="array" aca="1" ref="P340" ca="1">IF(AND(G340=INDIRECT("'["&amp;G340&amp;"]"&amp;E340&amp;"'!"&amp;$AH$2),OR(VALUE(I340)=INDIRECT("'["&amp;G340&amp;"]"&amp;E340&amp;"'!"&amp;$AB$2))),INDIRECT("'["&amp;G340&amp;"]"&amp;E340&amp;"'!"&amp;$AB$3),0)</f>
        <v>#VALUE!</v>
      </c>
      <c r="Q340" s="34" t="e" cm="1">
        <f t="array" aca="1" ref="Q340" ca="1">IF(AND(G340=INDIRECT("'["&amp;G340&amp;"]"&amp;E340&amp;"'!"&amp;$AH$2),OR(VALUE(I340)=INDIRECT("'["&amp;G340&amp;"]"&amp;E340&amp;"'!"&amp;$AC$2))),INDIRECT("'["&amp;G340&amp;"]"&amp;E340&amp;"'!"&amp;$AC$3),0)</f>
        <v>#VALUE!</v>
      </c>
      <c r="R340" s="34" t="e" cm="1">
        <f t="array" aca="1" ref="R340" ca="1">IF(AND(G340=INDIRECT("'["&amp;G340&amp;"]"&amp;E340&amp;"'!"&amp;$AH$2),OR(I340=INDIRECT("'["&amp;G340&amp;"]"&amp;E340&amp;"'!"&amp;$AD$2))),INDIRECT("'["&amp;G340&amp;"]"&amp;E340&amp;"'!"&amp;$AD$3),0)</f>
        <v>#VALUE!</v>
      </c>
      <c r="S340" s="34" t="e" cm="1">
        <f t="array" aca="1" ref="S340" ca="1">IF(AND(G340=INDIRECT("'["&amp;G340&amp;"]"&amp;E340&amp;"'!"&amp;$AH$2),OR(I340=INDIRECT("'["&amp;G340&amp;"]"&amp;E340&amp;"'!"&amp;$AE$2))),INDIRECT("'["&amp;G340&amp;"]"&amp;E340&amp;"'!"&amp;$AE$3),0)</f>
        <v>#VALUE!</v>
      </c>
      <c r="T340" s="35" t="e" cm="1">
        <f t="array" aca="1" ref="T340" ca="1">IF(AND(G340=INDIRECT("'["&amp;G340&amp;"]"&amp;E340&amp;"'!"&amp;$AH$2),OR(I340=INDIRECT("'["&amp;G340&amp;"]"&amp;E340&amp;"'!"&amp;$AF$2))),INDIRECT("'["&amp;G340&amp;"]"&amp;E340&amp;"'!"&amp;$AF$3),0)</f>
        <v>#VALUE!</v>
      </c>
      <c r="U340" s="34" t="e" cm="1">
        <f t="array" aca="1" ref="U340" ca="1">IF(AND(G340=INDIRECT("'["&amp;G340&amp;"]"&amp;E340&amp;"'!"&amp;$AH$2),OR(I340=INDIRECT("'["&amp;G340&amp;"]"&amp;E340&amp;"'!"&amp;$AG$2))),INDIRECT("'["&amp;G340&amp;"]"&amp;E340&amp;"'!"&amp;$AG$3),0)</f>
        <v>#VALUE!</v>
      </c>
      <c r="V340" s="25" t="str">
        <f t="shared" si="110"/>
        <v/>
      </c>
      <c r="W340" s="36" t="e" cm="1">
        <f t="array" aca="1" ref="W340" ca="1">IF(AND(G340=INDIRECT("'["&amp;G340&amp;"]"&amp;E340&amp;"'!"&amp;$AH$2),OR(V340=INDIRECT("'["&amp;G340&amp;"]"&amp;E340&amp;"'!"&amp;$AI$2))),INDIRECT("'["&amp;G340&amp;"]"&amp;E340&amp;"'!"&amp;$AI$3),0)</f>
        <v>#VALUE!</v>
      </c>
      <c r="AJ340" s="25">
        <v>1</v>
      </c>
      <c r="AK340" s="38">
        <f t="shared" ca="1" si="95"/>
        <v>0</v>
      </c>
      <c r="AL340" s="38">
        <f t="shared" ca="1" si="96"/>
        <v>0</v>
      </c>
      <c r="AM340" s="54" t="str">
        <f t="shared" ca="1" si="97"/>
        <v/>
      </c>
      <c r="AN340" s="25" t="e">
        <f t="shared" ca="1" si="98"/>
        <v>#VALUE!</v>
      </c>
      <c r="AO340" s="25" t="e">
        <f t="shared" ca="1" si="99"/>
        <v>#VALUE!</v>
      </c>
      <c r="AP340" s="39" t="str">
        <f t="shared" ca="1" si="100"/>
        <v/>
      </c>
      <c r="AQ340" s="46" t="str">
        <f ca="1">IF(AND(C340&lt;&gt;0, C341=0), SUM($C$2:C340)-SUM($AQ$1:AQ339), "")</f>
        <v/>
      </c>
      <c r="AR340" s="46" t="str">
        <f ca="1">IF(AND(AK340&lt;&gt;0, AK341=0), SUM($AK$2:AK340)-SUM($AR$1:AR339), "")</f>
        <v/>
      </c>
    </row>
    <row r="341" spans="1:44" ht="13.15" customHeight="1">
      <c r="A341" s="62"/>
      <c r="B341" s="68" t="str">
        <f t="shared" si="101"/>
        <v/>
      </c>
      <c r="C341" s="55" cm="1">
        <f t="array" aca="1" ref="C341" ca="1">SUM(IF(ISNUMBER(M341:U341),M341:U341,""))</f>
        <v>0</v>
      </c>
      <c r="D341" s="25" t="str">
        <f t="shared" si="102"/>
        <v/>
      </c>
      <c r="E341" s="25" t="e">
        <f t="shared" si="103"/>
        <v>#VALUE!</v>
      </c>
      <c r="F341" s="25" t="str">
        <f t="shared" si="104"/>
        <v/>
      </c>
      <c r="G341" s="25" t="str">
        <f t="shared" si="105"/>
        <v>.xlsx</v>
      </c>
      <c r="H341" s="29" t="e" cm="1">
        <f t="array" aca="1" ref="H341" ca="1">IF(AND(VALUE(E341)=INDIRECT("'["&amp;G341&amp;"]"&amp;E341&amp;"'!"&amp;$X$2),G341=INDIRECT("'["&amp;G341&amp;"]"&amp;E341&amp;"'!"&amp;$X$3)),INDIRECT("'["&amp;G341&amp;"]"&amp;E341&amp;"'!"&amp;$X$1),0)</f>
        <v>#VALUE!</v>
      </c>
      <c r="I341" s="25" t="str">
        <f t="shared" si="106"/>
        <v/>
      </c>
      <c r="J341" s="32" t="str">
        <f t="shared" si="107"/>
        <v/>
      </c>
      <c r="K341" s="25" t="str">
        <f t="shared" si="108"/>
        <v/>
      </c>
      <c r="L341" s="25" t="str">
        <f t="shared" si="109"/>
        <v/>
      </c>
      <c r="M341" s="33" t="e" cm="1">
        <f t="array" aca="1" ref="M341" ca="1">IF(AND(J341=INDIRECT("'["&amp;G341&amp;"]"&amp;E341&amp;"'!"&amp;$Y$2),G341=INDIRECT("'["&amp;G341&amp;"]"&amp;E341&amp;"'!"&amp;$AH$2)),INDIRECT("'["&amp;G341&amp;"]"&amp;E341&amp;"'!"&amp;$Y$3),0)</f>
        <v>#VALUE!</v>
      </c>
      <c r="N341" s="34" t="e" cm="1">
        <f t="array" aca="1" ref="N341" ca="1">IF(AND(G341=INDIRECT("'["&amp;G341&amp;"]"&amp;E341&amp;"'!"&amp;$AH$2),OR(K341=INDIRECT("'["&amp;G341&amp;"]"&amp;E341&amp;"'!"&amp;$Z$2))),INDIRECT("'["&amp;G341&amp;"]"&amp;E341&amp;"'!"&amp;$Z$3),0)</f>
        <v>#VALUE!</v>
      </c>
      <c r="O341" s="34" t="e" cm="1">
        <f t="array" aca="1" ref="O341" ca="1">IF(AND(G341=INDIRECT("'["&amp;G341&amp;"]"&amp;E341&amp;"'!"&amp;$AH$2),OR(L341=INDIRECT("'["&amp;G341&amp;"]"&amp;E341&amp;"'!"&amp;$AA$2))),INDIRECT("'["&amp;G341&amp;"]"&amp;E341&amp;"'!"&amp;$AA$3),0)</f>
        <v>#VALUE!</v>
      </c>
      <c r="P341" s="34" t="e" cm="1">
        <f t="array" aca="1" ref="P341" ca="1">IF(AND(G341=INDIRECT("'["&amp;G341&amp;"]"&amp;E341&amp;"'!"&amp;$AH$2),OR(VALUE(I341)=INDIRECT("'["&amp;G341&amp;"]"&amp;E341&amp;"'!"&amp;$AB$2))),INDIRECT("'["&amp;G341&amp;"]"&amp;E341&amp;"'!"&amp;$AB$3),0)</f>
        <v>#VALUE!</v>
      </c>
      <c r="Q341" s="34" t="e" cm="1">
        <f t="array" aca="1" ref="Q341" ca="1">IF(AND(G341=INDIRECT("'["&amp;G341&amp;"]"&amp;E341&amp;"'!"&amp;$AH$2),OR(VALUE(I341)=INDIRECT("'["&amp;G341&amp;"]"&amp;E341&amp;"'!"&amp;$AC$2))),INDIRECT("'["&amp;G341&amp;"]"&amp;E341&amp;"'!"&amp;$AC$3),0)</f>
        <v>#VALUE!</v>
      </c>
      <c r="R341" s="34" t="e" cm="1">
        <f t="array" aca="1" ref="R341" ca="1">IF(AND(G341=INDIRECT("'["&amp;G341&amp;"]"&amp;E341&amp;"'!"&amp;$AH$2),OR(I341=INDIRECT("'["&amp;G341&amp;"]"&amp;E341&amp;"'!"&amp;$AD$2))),INDIRECT("'["&amp;G341&amp;"]"&amp;E341&amp;"'!"&amp;$AD$3),0)</f>
        <v>#VALUE!</v>
      </c>
      <c r="S341" s="34" t="e" cm="1">
        <f t="array" aca="1" ref="S341" ca="1">IF(AND(G341=INDIRECT("'["&amp;G341&amp;"]"&amp;E341&amp;"'!"&amp;$AH$2),OR(I341=INDIRECT("'["&amp;G341&amp;"]"&amp;E341&amp;"'!"&amp;$AE$2))),INDIRECT("'["&amp;G341&amp;"]"&amp;E341&amp;"'!"&amp;$AE$3),0)</f>
        <v>#VALUE!</v>
      </c>
      <c r="T341" s="35" t="e" cm="1">
        <f t="array" aca="1" ref="T341" ca="1">IF(AND(G341=INDIRECT("'["&amp;G341&amp;"]"&amp;E341&amp;"'!"&amp;$AH$2),OR(I341=INDIRECT("'["&amp;G341&amp;"]"&amp;E341&amp;"'!"&amp;$AF$2))),INDIRECT("'["&amp;G341&amp;"]"&amp;E341&amp;"'!"&amp;$AF$3),0)</f>
        <v>#VALUE!</v>
      </c>
      <c r="U341" s="34" t="e" cm="1">
        <f t="array" aca="1" ref="U341" ca="1">IF(AND(G341=INDIRECT("'["&amp;G341&amp;"]"&amp;E341&amp;"'!"&amp;$AH$2),OR(I341=INDIRECT("'["&amp;G341&amp;"]"&amp;E341&amp;"'!"&amp;$AG$2))),INDIRECT("'["&amp;G341&amp;"]"&amp;E341&amp;"'!"&amp;$AG$3),0)</f>
        <v>#VALUE!</v>
      </c>
      <c r="V341" s="25" t="str">
        <f t="shared" si="110"/>
        <v/>
      </c>
      <c r="W341" s="36" t="e" cm="1">
        <f t="array" aca="1" ref="W341" ca="1">IF(AND(G341=INDIRECT("'["&amp;G341&amp;"]"&amp;E341&amp;"'!"&amp;$AH$2),OR(V341=INDIRECT("'["&amp;G341&amp;"]"&amp;E341&amp;"'!"&amp;$AI$2))),INDIRECT("'["&amp;G341&amp;"]"&amp;E341&amp;"'!"&amp;$AI$3),0)</f>
        <v>#VALUE!</v>
      </c>
      <c r="AJ341" s="25">
        <v>1</v>
      </c>
      <c r="AK341" s="38">
        <f t="shared" ca="1" si="95"/>
        <v>0</v>
      </c>
      <c r="AL341" s="38">
        <f t="shared" ca="1" si="96"/>
        <v>0</v>
      </c>
      <c r="AM341" s="54" t="str">
        <f t="shared" ca="1" si="97"/>
        <v/>
      </c>
      <c r="AN341" s="25" t="e">
        <f t="shared" ca="1" si="98"/>
        <v>#VALUE!</v>
      </c>
      <c r="AO341" s="25" t="e">
        <f t="shared" ca="1" si="99"/>
        <v>#VALUE!</v>
      </c>
      <c r="AP341" s="39" t="str">
        <f t="shared" ca="1" si="100"/>
        <v/>
      </c>
      <c r="AQ341" s="46" t="str">
        <f ca="1">IF(AND(C341&lt;&gt;0, C342=0), SUM($C$2:C341)-SUM($AQ$1:AQ340), "")</f>
        <v/>
      </c>
      <c r="AR341" s="46" t="str">
        <f ca="1">IF(AND(AK341&lt;&gt;0, AK342=0), SUM($AK$2:AK341)-SUM($AR$1:AR340), "")</f>
        <v/>
      </c>
    </row>
    <row r="342" spans="1:44" ht="13.15" customHeight="1">
      <c r="A342" s="62"/>
      <c r="B342" s="68" t="str">
        <f t="shared" si="101"/>
        <v/>
      </c>
      <c r="C342" s="55" cm="1">
        <f t="array" aca="1" ref="C342" ca="1">SUM(IF(ISNUMBER(M342:U342),M342:U342,""))</f>
        <v>0</v>
      </c>
      <c r="D342" s="25" t="str">
        <f t="shared" si="102"/>
        <v/>
      </c>
      <c r="E342" s="25" t="e">
        <f t="shared" si="103"/>
        <v>#VALUE!</v>
      </c>
      <c r="F342" s="25" t="str">
        <f t="shared" si="104"/>
        <v/>
      </c>
      <c r="G342" s="25" t="str">
        <f t="shared" si="105"/>
        <v>.xlsx</v>
      </c>
      <c r="H342" s="29" t="e" cm="1">
        <f t="array" aca="1" ref="H342" ca="1">IF(AND(VALUE(E342)=INDIRECT("'["&amp;G342&amp;"]"&amp;E342&amp;"'!"&amp;$X$2),G342=INDIRECT("'["&amp;G342&amp;"]"&amp;E342&amp;"'!"&amp;$X$3)),INDIRECT("'["&amp;G342&amp;"]"&amp;E342&amp;"'!"&amp;$X$1),0)</f>
        <v>#VALUE!</v>
      </c>
      <c r="I342" s="25" t="str">
        <f t="shared" si="106"/>
        <v/>
      </c>
      <c r="J342" s="32" t="str">
        <f t="shared" si="107"/>
        <v/>
      </c>
      <c r="K342" s="25" t="str">
        <f t="shared" si="108"/>
        <v/>
      </c>
      <c r="L342" s="25" t="str">
        <f t="shared" si="109"/>
        <v/>
      </c>
      <c r="M342" s="33" t="e" cm="1">
        <f t="array" aca="1" ref="M342" ca="1">IF(AND(J342=INDIRECT("'["&amp;G342&amp;"]"&amp;E342&amp;"'!"&amp;$Y$2),G342=INDIRECT("'["&amp;G342&amp;"]"&amp;E342&amp;"'!"&amp;$AH$2)),INDIRECT("'["&amp;G342&amp;"]"&amp;E342&amp;"'!"&amp;$Y$3),0)</f>
        <v>#VALUE!</v>
      </c>
      <c r="N342" s="34" t="e" cm="1">
        <f t="array" aca="1" ref="N342" ca="1">IF(AND(G342=INDIRECT("'["&amp;G342&amp;"]"&amp;E342&amp;"'!"&amp;$AH$2),OR(K342=INDIRECT("'["&amp;G342&amp;"]"&amp;E342&amp;"'!"&amp;$Z$2))),INDIRECT("'["&amp;G342&amp;"]"&amp;E342&amp;"'!"&amp;$Z$3),0)</f>
        <v>#VALUE!</v>
      </c>
      <c r="O342" s="34" t="e" cm="1">
        <f t="array" aca="1" ref="O342" ca="1">IF(AND(G342=INDIRECT("'["&amp;G342&amp;"]"&amp;E342&amp;"'!"&amp;$AH$2),OR(L342=INDIRECT("'["&amp;G342&amp;"]"&amp;E342&amp;"'!"&amp;$AA$2))),INDIRECT("'["&amp;G342&amp;"]"&amp;E342&amp;"'!"&amp;$AA$3),0)</f>
        <v>#VALUE!</v>
      </c>
      <c r="P342" s="34" t="e" cm="1">
        <f t="array" aca="1" ref="P342" ca="1">IF(AND(G342=INDIRECT("'["&amp;G342&amp;"]"&amp;E342&amp;"'!"&amp;$AH$2),OR(VALUE(I342)=INDIRECT("'["&amp;G342&amp;"]"&amp;E342&amp;"'!"&amp;$AB$2))),INDIRECT("'["&amp;G342&amp;"]"&amp;E342&amp;"'!"&amp;$AB$3),0)</f>
        <v>#VALUE!</v>
      </c>
      <c r="Q342" s="34" t="e" cm="1">
        <f t="array" aca="1" ref="Q342" ca="1">IF(AND(G342=INDIRECT("'["&amp;G342&amp;"]"&amp;E342&amp;"'!"&amp;$AH$2),OR(VALUE(I342)=INDIRECT("'["&amp;G342&amp;"]"&amp;E342&amp;"'!"&amp;$AC$2))),INDIRECT("'["&amp;G342&amp;"]"&amp;E342&amp;"'!"&amp;$AC$3),0)</f>
        <v>#VALUE!</v>
      </c>
      <c r="R342" s="34" t="e" cm="1">
        <f t="array" aca="1" ref="R342" ca="1">IF(AND(G342=INDIRECT("'["&amp;G342&amp;"]"&amp;E342&amp;"'!"&amp;$AH$2),OR(I342=INDIRECT("'["&amp;G342&amp;"]"&amp;E342&amp;"'!"&amp;$AD$2))),INDIRECT("'["&amp;G342&amp;"]"&amp;E342&amp;"'!"&amp;$AD$3),0)</f>
        <v>#VALUE!</v>
      </c>
      <c r="S342" s="34" t="e" cm="1">
        <f t="array" aca="1" ref="S342" ca="1">IF(AND(G342=INDIRECT("'["&amp;G342&amp;"]"&amp;E342&amp;"'!"&amp;$AH$2),OR(I342=INDIRECT("'["&amp;G342&amp;"]"&amp;E342&amp;"'!"&amp;$AE$2))),INDIRECT("'["&amp;G342&amp;"]"&amp;E342&amp;"'!"&amp;$AE$3),0)</f>
        <v>#VALUE!</v>
      </c>
      <c r="T342" s="35" t="e" cm="1">
        <f t="array" aca="1" ref="T342" ca="1">IF(AND(G342=INDIRECT("'["&amp;G342&amp;"]"&amp;E342&amp;"'!"&amp;$AH$2),OR(I342=INDIRECT("'["&amp;G342&amp;"]"&amp;E342&amp;"'!"&amp;$AF$2))),INDIRECT("'["&amp;G342&amp;"]"&amp;E342&amp;"'!"&amp;$AF$3),0)</f>
        <v>#VALUE!</v>
      </c>
      <c r="U342" s="34" t="e" cm="1">
        <f t="array" aca="1" ref="U342" ca="1">IF(AND(G342=INDIRECT("'["&amp;G342&amp;"]"&amp;E342&amp;"'!"&amp;$AH$2),OR(I342=INDIRECT("'["&amp;G342&amp;"]"&amp;E342&amp;"'!"&amp;$AG$2))),INDIRECT("'["&amp;G342&amp;"]"&amp;E342&amp;"'!"&amp;$AG$3),0)</f>
        <v>#VALUE!</v>
      </c>
      <c r="V342" s="25" t="str">
        <f t="shared" si="110"/>
        <v/>
      </c>
      <c r="W342" s="36" t="e" cm="1">
        <f t="array" aca="1" ref="W342" ca="1">IF(AND(G342=INDIRECT("'["&amp;G342&amp;"]"&amp;E342&amp;"'!"&amp;$AH$2),OR(V342=INDIRECT("'["&amp;G342&amp;"]"&amp;E342&amp;"'!"&amp;$AI$2))),INDIRECT("'["&amp;G342&amp;"]"&amp;E342&amp;"'!"&amp;$AI$3),0)</f>
        <v>#VALUE!</v>
      </c>
      <c r="AJ342" s="25">
        <v>1</v>
      </c>
      <c r="AK342" s="38">
        <f t="shared" ca="1" si="95"/>
        <v>0</v>
      </c>
      <c r="AL342" s="38">
        <f t="shared" ca="1" si="96"/>
        <v>0</v>
      </c>
      <c r="AM342" s="54" t="str">
        <f t="shared" ca="1" si="97"/>
        <v/>
      </c>
      <c r="AN342" s="25" t="e">
        <f t="shared" ca="1" si="98"/>
        <v>#VALUE!</v>
      </c>
      <c r="AO342" s="25" t="e">
        <f t="shared" ca="1" si="99"/>
        <v>#VALUE!</v>
      </c>
      <c r="AP342" s="39" t="str">
        <f t="shared" ca="1" si="100"/>
        <v/>
      </c>
      <c r="AQ342" s="46" t="str">
        <f ca="1">IF(AND(C342&lt;&gt;0, C343=0), SUM($C$2:C342)-SUM($AQ$1:AQ341), "")</f>
        <v/>
      </c>
      <c r="AR342" s="46" t="str">
        <f ca="1">IF(AND(AK342&lt;&gt;0, AK343=0), SUM($AK$2:AK342)-SUM($AR$1:AR341), "")</f>
        <v/>
      </c>
    </row>
    <row r="343" spans="1:44" ht="13.15" customHeight="1">
      <c r="A343" s="62"/>
      <c r="B343" s="68" t="str">
        <f t="shared" si="101"/>
        <v/>
      </c>
      <c r="C343" s="55" cm="1">
        <f t="array" aca="1" ref="C343" ca="1">SUM(IF(ISNUMBER(M343:U343),M343:U343,""))</f>
        <v>0</v>
      </c>
      <c r="D343" s="25" t="str">
        <f t="shared" si="102"/>
        <v/>
      </c>
      <c r="E343" s="25" t="e">
        <f t="shared" si="103"/>
        <v>#VALUE!</v>
      </c>
      <c r="F343" s="25" t="str">
        <f t="shared" si="104"/>
        <v/>
      </c>
      <c r="G343" s="25" t="str">
        <f t="shared" si="105"/>
        <v>.xlsx</v>
      </c>
      <c r="H343" s="29" t="e" cm="1">
        <f t="array" aca="1" ref="H343" ca="1">IF(AND(VALUE(E343)=INDIRECT("'["&amp;G343&amp;"]"&amp;E343&amp;"'!"&amp;$X$2),G343=INDIRECT("'["&amp;G343&amp;"]"&amp;E343&amp;"'!"&amp;$X$3)),INDIRECT("'["&amp;G343&amp;"]"&amp;E343&amp;"'!"&amp;$X$1),0)</f>
        <v>#VALUE!</v>
      </c>
      <c r="I343" s="25" t="str">
        <f t="shared" si="106"/>
        <v/>
      </c>
      <c r="J343" s="32" t="str">
        <f t="shared" si="107"/>
        <v/>
      </c>
      <c r="K343" s="25" t="str">
        <f t="shared" si="108"/>
        <v/>
      </c>
      <c r="L343" s="25" t="str">
        <f t="shared" si="109"/>
        <v/>
      </c>
      <c r="M343" s="33" t="e" cm="1">
        <f t="array" aca="1" ref="M343" ca="1">IF(AND(J343=INDIRECT("'["&amp;G343&amp;"]"&amp;E343&amp;"'!"&amp;$Y$2),G343=INDIRECT("'["&amp;G343&amp;"]"&amp;E343&amp;"'!"&amp;$AH$2)),INDIRECT("'["&amp;G343&amp;"]"&amp;E343&amp;"'!"&amp;$Y$3),0)</f>
        <v>#VALUE!</v>
      </c>
      <c r="N343" s="34" t="e" cm="1">
        <f t="array" aca="1" ref="N343" ca="1">IF(AND(G343=INDIRECT("'["&amp;G343&amp;"]"&amp;E343&amp;"'!"&amp;$AH$2),OR(K343=INDIRECT("'["&amp;G343&amp;"]"&amp;E343&amp;"'!"&amp;$Z$2))),INDIRECT("'["&amp;G343&amp;"]"&amp;E343&amp;"'!"&amp;$Z$3),0)</f>
        <v>#VALUE!</v>
      </c>
      <c r="O343" s="34" t="e" cm="1">
        <f t="array" aca="1" ref="O343" ca="1">IF(AND(G343=INDIRECT("'["&amp;G343&amp;"]"&amp;E343&amp;"'!"&amp;$AH$2),OR(L343=INDIRECT("'["&amp;G343&amp;"]"&amp;E343&amp;"'!"&amp;$AA$2))),INDIRECT("'["&amp;G343&amp;"]"&amp;E343&amp;"'!"&amp;$AA$3),0)</f>
        <v>#VALUE!</v>
      </c>
      <c r="P343" s="34" t="e" cm="1">
        <f t="array" aca="1" ref="P343" ca="1">IF(AND(G343=INDIRECT("'["&amp;G343&amp;"]"&amp;E343&amp;"'!"&amp;$AH$2),OR(VALUE(I343)=INDIRECT("'["&amp;G343&amp;"]"&amp;E343&amp;"'!"&amp;$AB$2))),INDIRECT("'["&amp;G343&amp;"]"&amp;E343&amp;"'!"&amp;$AB$3),0)</f>
        <v>#VALUE!</v>
      </c>
      <c r="Q343" s="34" t="e" cm="1">
        <f t="array" aca="1" ref="Q343" ca="1">IF(AND(G343=INDIRECT("'["&amp;G343&amp;"]"&amp;E343&amp;"'!"&amp;$AH$2),OR(VALUE(I343)=INDIRECT("'["&amp;G343&amp;"]"&amp;E343&amp;"'!"&amp;$AC$2))),INDIRECT("'["&amp;G343&amp;"]"&amp;E343&amp;"'!"&amp;$AC$3),0)</f>
        <v>#VALUE!</v>
      </c>
      <c r="R343" s="34" t="e" cm="1">
        <f t="array" aca="1" ref="R343" ca="1">IF(AND(G343=INDIRECT("'["&amp;G343&amp;"]"&amp;E343&amp;"'!"&amp;$AH$2),OR(I343=INDIRECT("'["&amp;G343&amp;"]"&amp;E343&amp;"'!"&amp;$AD$2))),INDIRECT("'["&amp;G343&amp;"]"&amp;E343&amp;"'!"&amp;$AD$3),0)</f>
        <v>#VALUE!</v>
      </c>
      <c r="S343" s="34" t="e" cm="1">
        <f t="array" aca="1" ref="S343" ca="1">IF(AND(G343=INDIRECT("'["&amp;G343&amp;"]"&amp;E343&amp;"'!"&amp;$AH$2),OR(I343=INDIRECT("'["&amp;G343&amp;"]"&amp;E343&amp;"'!"&amp;$AE$2))),INDIRECT("'["&amp;G343&amp;"]"&amp;E343&amp;"'!"&amp;$AE$3),0)</f>
        <v>#VALUE!</v>
      </c>
      <c r="T343" s="35" t="e" cm="1">
        <f t="array" aca="1" ref="T343" ca="1">IF(AND(G343=INDIRECT("'["&amp;G343&amp;"]"&amp;E343&amp;"'!"&amp;$AH$2),OR(I343=INDIRECT("'["&amp;G343&amp;"]"&amp;E343&amp;"'!"&amp;$AF$2))),INDIRECT("'["&amp;G343&amp;"]"&amp;E343&amp;"'!"&amp;$AF$3),0)</f>
        <v>#VALUE!</v>
      </c>
      <c r="U343" s="34" t="e" cm="1">
        <f t="array" aca="1" ref="U343" ca="1">IF(AND(G343=INDIRECT("'["&amp;G343&amp;"]"&amp;E343&amp;"'!"&amp;$AH$2),OR(I343=INDIRECT("'["&amp;G343&amp;"]"&amp;E343&amp;"'!"&amp;$AG$2))),INDIRECT("'["&amp;G343&amp;"]"&amp;E343&amp;"'!"&amp;$AG$3),0)</f>
        <v>#VALUE!</v>
      </c>
      <c r="V343" s="25" t="str">
        <f t="shared" si="110"/>
        <v/>
      </c>
      <c r="W343" s="36" t="e" cm="1">
        <f t="array" aca="1" ref="W343" ca="1">IF(AND(G343=INDIRECT("'["&amp;G343&amp;"]"&amp;E343&amp;"'!"&amp;$AH$2),OR(V343=INDIRECT("'["&amp;G343&amp;"]"&amp;E343&amp;"'!"&amp;$AI$2))),INDIRECT("'["&amp;G343&amp;"]"&amp;E343&amp;"'!"&amp;$AI$3),0)</f>
        <v>#VALUE!</v>
      </c>
      <c r="AJ343" s="25">
        <v>1</v>
      </c>
      <c r="AK343" s="38">
        <f t="shared" ca="1" si="95"/>
        <v>0</v>
      </c>
      <c r="AL343" s="38">
        <f t="shared" ca="1" si="96"/>
        <v>0</v>
      </c>
      <c r="AM343" s="54" t="str">
        <f t="shared" ca="1" si="97"/>
        <v/>
      </c>
      <c r="AN343" s="25" t="e">
        <f t="shared" ca="1" si="98"/>
        <v>#VALUE!</v>
      </c>
      <c r="AO343" s="25" t="e">
        <f t="shared" ca="1" si="99"/>
        <v>#VALUE!</v>
      </c>
      <c r="AP343" s="39" t="str">
        <f t="shared" ca="1" si="100"/>
        <v/>
      </c>
      <c r="AQ343" s="46" t="str">
        <f ca="1">IF(AND(C343&lt;&gt;0, C344=0), SUM($C$2:C343)-SUM($AQ$1:AQ342), "")</f>
        <v/>
      </c>
      <c r="AR343" s="46" t="str">
        <f ca="1">IF(AND(AK343&lt;&gt;0, AK344=0), SUM($AK$2:AK343)-SUM($AR$1:AR342), "")</f>
        <v/>
      </c>
    </row>
    <row r="344" spans="1:44" ht="13.15" customHeight="1">
      <c r="A344" s="62"/>
      <c r="B344" s="68" t="str">
        <f t="shared" si="101"/>
        <v/>
      </c>
      <c r="C344" s="55" cm="1">
        <f t="array" aca="1" ref="C344" ca="1">SUM(IF(ISNUMBER(M344:U344),M344:U344,""))</f>
        <v>0</v>
      </c>
      <c r="D344" s="25" t="str">
        <f t="shared" si="102"/>
        <v/>
      </c>
      <c r="E344" s="25" t="e">
        <f t="shared" si="103"/>
        <v>#VALUE!</v>
      </c>
      <c r="F344" s="25" t="str">
        <f t="shared" si="104"/>
        <v/>
      </c>
      <c r="G344" s="25" t="str">
        <f t="shared" si="105"/>
        <v>.xlsx</v>
      </c>
      <c r="H344" s="29" t="e" cm="1">
        <f t="array" aca="1" ref="H344" ca="1">IF(AND(VALUE(E344)=INDIRECT("'["&amp;G344&amp;"]"&amp;E344&amp;"'!"&amp;$X$2),G344=INDIRECT("'["&amp;G344&amp;"]"&amp;E344&amp;"'!"&amp;$X$3)),INDIRECT("'["&amp;G344&amp;"]"&amp;E344&amp;"'!"&amp;$X$1),0)</f>
        <v>#VALUE!</v>
      </c>
      <c r="I344" s="25" t="str">
        <f t="shared" si="106"/>
        <v/>
      </c>
      <c r="J344" s="32" t="str">
        <f t="shared" si="107"/>
        <v/>
      </c>
      <c r="K344" s="25" t="str">
        <f t="shared" si="108"/>
        <v/>
      </c>
      <c r="L344" s="25" t="str">
        <f t="shared" si="109"/>
        <v/>
      </c>
      <c r="M344" s="33" t="e" cm="1">
        <f t="array" aca="1" ref="M344" ca="1">IF(AND(J344=INDIRECT("'["&amp;G344&amp;"]"&amp;E344&amp;"'!"&amp;$Y$2),G344=INDIRECT("'["&amp;G344&amp;"]"&amp;E344&amp;"'!"&amp;$AH$2)),INDIRECT("'["&amp;G344&amp;"]"&amp;E344&amp;"'!"&amp;$Y$3),0)</f>
        <v>#VALUE!</v>
      </c>
      <c r="N344" s="34" t="e" cm="1">
        <f t="array" aca="1" ref="N344" ca="1">IF(AND(G344=INDIRECT("'["&amp;G344&amp;"]"&amp;E344&amp;"'!"&amp;$AH$2),OR(K344=INDIRECT("'["&amp;G344&amp;"]"&amp;E344&amp;"'!"&amp;$Z$2))),INDIRECT("'["&amp;G344&amp;"]"&amp;E344&amp;"'!"&amp;$Z$3),0)</f>
        <v>#VALUE!</v>
      </c>
      <c r="O344" s="34" t="e" cm="1">
        <f t="array" aca="1" ref="O344" ca="1">IF(AND(G344=INDIRECT("'["&amp;G344&amp;"]"&amp;E344&amp;"'!"&amp;$AH$2),OR(L344=INDIRECT("'["&amp;G344&amp;"]"&amp;E344&amp;"'!"&amp;$AA$2))),INDIRECT("'["&amp;G344&amp;"]"&amp;E344&amp;"'!"&amp;$AA$3),0)</f>
        <v>#VALUE!</v>
      </c>
      <c r="P344" s="34" t="e" cm="1">
        <f t="array" aca="1" ref="P344" ca="1">IF(AND(G344=INDIRECT("'["&amp;G344&amp;"]"&amp;E344&amp;"'!"&amp;$AH$2),OR(VALUE(I344)=INDIRECT("'["&amp;G344&amp;"]"&amp;E344&amp;"'!"&amp;$AB$2))),INDIRECT("'["&amp;G344&amp;"]"&amp;E344&amp;"'!"&amp;$AB$3),0)</f>
        <v>#VALUE!</v>
      </c>
      <c r="Q344" s="34" t="e" cm="1">
        <f t="array" aca="1" ref="Q344" ca="1">IF(AND(G344=INDIRECT("'["&amp;G344&amp;"]"&amp;E344&amp;"'!"&amp;$AH$2),OR(VALUE(I344)=INDIRECT("'["&amp;G344&amp;"]"&amp;E344&amp;"'!"&amp;$AC$2))),INDIRECT("'["&amp;G344&amp;"]"&amp;E344&amp;"'!"&amp;$AC$3),0)</f>
        <v>#VALUE!</v>
      </c>
      <c r="R344" s="34" t="e" cm="1">
        <f t="array" aca="1" ref="R344" ca="1">IF(AND(G344=INDIRECT("'["&amp;G344&amp;"]"&amp;E344&amp;"'!"&amp;$AH$2),OR(I344=INDIRECT("'["&amp;G344&amp;"]"&amp;E344&amp;"'!"&amp;$AD$2))),INDIRECT("'["&amp;G344&amp;"]"&amp;E344&amp;"'!"&amp;$AD$3),0)</f>
        <v>#VALUE!</v>
      </c>
      <c r="S344" s="34" t="e" cm="1">
        <f t="array" aca="1" ref="S344" ca="1">IF(AND(G344=INDIRECT("'["&amp;G344&amp;"]"&amp;E344&amp;"'!"&amp;$AH$2),OR(I344=INDIRECT("'["&amp;G344&amp;"]"&amp;E344&amp;"'!"&amp;$AE$2))),INDIRECT("'["&amp;G344&amp;"]"&amp;E344&amp;"'!"&amp;$AE$3),0)</f>
        <v>#VALUE!</v>
      </c>
      <c r="T344" s="35" t="e" cm="1">
        <f t="array" aca="1" ref="T344" ca="1">IF(AND(G344=INDIRECT("'["&amp;G344&amp;"]"&amp;E344&amp;"'!"&amp;$AH$2),OR(I344=INDIRECT("'["&amp;G344&amp;"]"&amp;E344&amp;"'!"&amp;$AF$2))),INDIRECT("'["&amp;G344&amp;"]"&amp;E344&amp;"'!"&amp;$AF$3),0)</f>
        <v>#VALUE!</v>
      </c>
      <c r="U344" s="34" t="e" cm="1">
        <f t="array" aca="1" ref="U344" ca="1">IF(AND(G344=INDIRECT("'["&amp;G344&amp;"]"&amp;E344&amp;"'!"&amp;$AH$2),OR(I344=INDIRECT("'["&amp;G344&amp;"]"&amp;E344&amp;"'!"&amp;$AG$2))),INDIRECT("'["&amp;G344&amp;"]"&amp;E344&amp;"'!"&amp;$AG$3),0)</f>
        <v>#VALUE!</v>
      </c>
      <c r="V344" s="25" t="str">
        <f t="shared" si="110"/>
        <v/>
      </c>
      <c r="W344" s="36" t="e" cm="1">
        <f t="array" aca="1" ref="W344" ca="1">IF(AND(G344=INDIRECT("'["&amp;G344&amp;"]"&amp;E344&amp;"'!"&amp;$AH$2),OR(V344=INDIRECT("'["&amp;G344&amp;"]"&amp;E344&amp;"'!"&amp;$AI$2))),INDIRECT("'["&amp;G344&amp;"]"&amp;E344&amp;"'!"&amp;$AI$3),0)</f>
        <v>#VALUE!</v>
      </c>
      <c r="AJ344" s="25">
        <v>1</v>
      </c>
      <c r="AK344" s="38">
        <f t="shared" ca="1" si="95"/>
        <v>0</v>
      </c>
      <c r="AL344" s="38">
        <f t="shared" ca="1" si="96"/>
        <v>0</v>
      </c>
      <c r="AM344" s="54" t="str">
        <f t="shared" ca="1" si="97"/>
        <v/>
      </c>
      <c r="AN344" s="25" t="e">
        <f t="shared" ca="1" si="98"/>
        <v>#VALUE!</v>
      </c>
      <c r="AO344" s="25" t="e">
        <f t="shared" ca="1" si="99"/>
        <v>#VALUE!</v>
      </c>
      <c r="AP344" s="39" t="str">
        <f t="shared" ca="1" si="100"/>
        <v/>
      </c>
      <c r="AQ344" s="46" t="str">
        <f ca="1">IF(AND(C344&lt;&gt;0, C345=0), SUM($C$2:C344)-SUM($AQ$1:AQ343), "")</f>
        <v/>
      </c>
      <c r="AR344" s="46" t="str">
        <f ca="1">IF(AND(AK344&lt;&gt;0, AK345=0), SUM($AK$2:AK344)-SUM($AR$1:AR343), "")</f>
        <v/>
      </c>
    </row>
    <row r="345" spans="1:44" ht="13.15" customHeight="1">
      <c r="A345" s="62"/>
      <c r="B345" s="68" t="str">
        <f t="shared" si="101"/>
        <v/>
      </c>
      <c r="C345" s="55" cm="1">
        <f t="array" aca="1" ref="C345" ca="1">SUM(IF(ISNUMBER(M345:U345),M345:U345,""))</f>
        <v>0</v>
      </c>
      <c r="D345" s="25" t="str">
        <f t="shared" si="102"/>
        <v/>
      </c>
      <c r="E345" s="25" t="e">
        <f t="shared" si="103"/>
        <v>#VALUE!</v>
      </c>
      <c r="F345" s="25" t="str">
        <f t="shared" si="104"/>
        <v/>
      </c>
      <c r="G345" s="25" t="str">
        <f t="shared" si="105"/>
        <v>.xlsx</v>
      </c>
      <c r="H345" s="29" t="e" cm="1">
        <f t="array" aca="1" ref="H345" ca="1">IF(AND(VALUE(E345)=INDIRECT("'["&amp;G345&amp;"]"&amp;E345&amp;"'!"&amp;$X$2),G345=INDIRECT("'["&amp;G345&amp;"]"&amp;E345&amp;"'!"&amp;$X$3)),INDIRECT("'["&amp;G345&amp;"]"&amp;E345&amp;"'!"&amp;$X$1),0)</f>
        <v>#VALUE!</v>
      </c>
      <c r="I345" s="25" t="str">
        <f t="shared" si="106"/>
        <v/>
      </c>
      <c r="J345" s="32" t="str">
        <f t="shared" si="107"/>
        <v/>
      </c>
      <c r="K345" s="25" t="str">
        <f t="shared" si="108"/>
        <v/>
      </c>
      <c r="L345" s="25" t="str">
        <f t="shared" si="109"/>
        <v/>
      </c>
      <c r="M345" s="33" t="e" cm="1">
        <f t="array" aca="1" ref="M345" ca="1">IF(AND(J345=INDIRECT("'["&amp;G345&amp;"]"&amp;E345&amp;"'!"&amp;$Y$2),G345=INDIRECT("'["&amp;G345&amp;"]"&amp;E345&amp;"'!"&amp;$AH$2)),INDIRECT("'["&amp;G345&amp;"]"&amp;E345&amp;"'!"&amp;$Y$3),0)</f>
        <v>#VALUE!</v>
      </c>
      <c r="N345" s="34" t="e" cm="1">
        <f t="array" aca="1" ref="N345" ca="1">IF(AND(G345=INDIRECT("'["&amp;G345&amp;"]"&amp;E345&amp;"'!"&amp;$AH$2),OR(K345=INDIRECT("'["&amp;G345&amp;"]"&amp;E345&amp;"'!"&amp;$Z$2))),INDIRECT("'["&amp;G345&amp;"]"&amp;E345&amp;"'!"&amp;$Z$3),0)</f>
        <v>#VALUE!</v>
      </c>
      <c r="O345" s="34" t="e" cm="1">
        <f t="array" aca="1" ref="O345" ca="1">IF(AND(G345=INDIRECT("'["&amp;G345&amp;"]"&amp;E345&amp;"'!"&amp;$AH$2),OR(L345=INDIRECT("'["&amp;G345&amp;"]"&amp;E345&amp;"'!"&amp;$AA$2))),INDIRECT("'["&amp;G345&amp;"]"&amp;E345&amp;"'!"&amp;$AA$3),0)</f>
        <v>#VALUE!</v>
      </c>
      <c r="P345" s="34" t="e" cm="1">
        <f t="array" aca="1" ref="P345" ca="1">IF(AND(G345=INDIRECT("'["&amp;G345&amp;"]"&amp;E345&amp;"'!"&amp;$AH$2),OR(VALUE(I345)=INDIRECT("'["&amp;G345&amp;"]"&amp;E345&amp;"'!"&amp;$AB$2))),INDIRECT("'["&amp;G345&amp;"]"&amp;E345&amp;"'!"&amp;$AB$3),0)</f>
        <v>#VALUE!</v>
      </c>
      <c r="Q345" s="34" t="e" cm="1">
        <f t="array" aca="1" ref="Q345" ca="1">IF(AND(G345=INDIRECT("'["&amp;G345&amp;"]"&amp;E345&amp;"'!"&amp;$AH$2),OR(VALUE(I345)=INDIRECT("'["&amp;G345&amp;"]"&amp;E345&amp;"'!"&amp;$AC$2))),INDIRECT("'["&amp;G345&amp;"]"&amp;E345&amp;"'!"&amp;$AC$3),0)</f>
        <v>#VALUE!</v>
      </c>
      <c r="R345" s="34" t="e" cm="1">
        <f t="array" aca="1" ref="R345" ca="1">IF(AND(G345=INDIRECT("'["&amp;G345&amp;"]"&amp;E345&amp;"'!"&amp;$AH$2),OR(I345=INDIRECT("'["&amp;G345&amp;"]"&amp;E345&amp;"'!"&amp;$AD$2))),INDIRECT("'["&amp;G345&amp;"]"&amp;E345&amp;"'!"&amp;$AD$3),0)</f>
        <v>#VALUE!</v>
      </c>
      <c r="S345" s="34" t="e" cm="1">
        <f t="array" aca="1" ref="S345" ca="1">IF(AND(G345=INDIRECT("'["&amp;G345&amp;"]"&amp;E345&amp;"'!"&amp;$AH$2),OR(I345=INDIRECT("'["&amp;G345&amp;"]"&amp;E345&amp;"'!"&amp;$AE$2))),INDIRECT("'["&amp;G345&amp;"]"&amp;E345&amp;"'!"&amp;$AE$3),0)</f>
        <v>#VALUE!</v>
      </c>
      <c r="T345" s="35" t="e" cm="1">
        <f t="array" aca="1" ref="T345" ca="1">IF(AND(G345=INDIRECT("'["&amp;G345&amp;"]"&amp;E345&amp;"'!"&amp;$AH$2),OR(I345=INDIRECT("'["&amp;G345&amp;"]"&amp;E345&amp;"'!"&amp;$AF$2))),INDIRECT("'["&amp;G345&amp;"]"&amp;E345&amp;"'!"&amp;$AF$3),0)</f>
        <v>#VALUE!</v>
      </c>
      <c r="U345" s="34" t="e" cm="1">
        <f t="array" aca="1" ref="U345" ca="1">IF(AND(G345=INDIRECT("'["&amp;G345&amp;"]"&amp;E345&amp;"'!"&amp;$AH$2),OR(I345=INDIRECT("'["&amp;G345&amp;"]"&amp;E345&amp;"'!"&amp;$AG$2))),INDIRECT("'["&amp;G345&amp;"]"&amp;E345&amp;"'!"&amp;$AG$3),0)</f>
        <v>#VALUE!</v>
      </c>
      <c r="V345" s="25" t="str">
        <f t="shared" si="110"/>
        <v/>
      </c>
      <c r="W345" s="36" t="e" cm="1">
        <f t="array" aca="1" ref="W345" ca="1">IF(AND(G345=INDIRECT("'["&amp;G345&amp;"]"&amp;E345&amp;"'!"&amp;$AH$2),OR(V345=INDIRECT("'["&amp;G345&amp;"]"&amp;E345&amp;"'!"&amp;$AI$2))),INDIRECT("'["&amp;G345&amp;"]"&amp;E345&amp;"'!"&amp;$AI$3),0)</f>
        <v>#VALUE!</v>
      </c>
      <c r="AJ345" s="25">
        <v>1</v>
      </c>
      <c r="AK345" s="38">
        <f t="shared" ca="1" si="95"/>
        <v>0</v>
      </c>
      <c r="AL345" s="38">
        <f t="shared" ca="1" si="96"/>
        <v>0</v>
      </c>
      <c r="AM345" s="54" t="str">
        <f t="shared" ca="1" si="97"/>
        <v/>
      </c>
      <c r="AN345" s="25" t="e">
        <f t="shared" ca="1" si="98"/>
        <v>#VALUE!</v>
      </c>
      <c r="AO345" s="25" t="e">
        <f t="shared" ca="1" si="99"/>
        <v>#VALUE!</v>
      </c>
      <c r="AP345" s="39" t="str">
        <f t="shared" ca="1" si="100"/>
        <v/>
      </c>
      <c r="AQ345" s="46" t="str">
        <f ca="1">IF(AND(C345&lt;&gt;0, C346=0), SUM($C$2:C345)-SUM($AQ$1:AQ344), "")</f>
        <v/>
      </c>
      <c r="AR345" s="46" t="str">
        <f ca="1">IF(AND(AK345&lt;&gt;0, AK346=0), SUM($AK$2:AK345)-SUM($AR$1:AR344), "")</f>
        <v/>
      </c>
    </row>
    <row r="346" spans="1:44" ht="13.15" customHeight="1">
      <c r="A346" s="62"/>
      <c r="B346" s="68" t="str">
        <f t="shared" si="101"/>
        <v/>
      </c>
      <c r="C346" s="55" cm="1">
        <f t="array" aca="1" ref="C346" ca="1">SUM(IF(ISNUMBER(M346:U346),M346:U346,""))</f>
        <v>0</v>
      </c>
      <c r="D346" s="25" t="str">
        <f t="shared" si="102"/>
        <v/>
      </c>
      <c r="E346" s="25" t="e">
        <f t="shared" si="103"/>
        <v>#VALUE!</v>
      </c>
      <c r="F346" s="25" t="str">
        <f t="shared" si="104"/>
        <v/>
      </c>
      <c r="G346" s="25" t="str">
        <f t="shared" si="105"/>
        <v>.xlsx</v>
      </c>
      <c r="H346" s="29" t="e" cm="1">
        <f t="array" aca="1" ref="H346" ca="1">IF(AND(VALUE(E346)=INDIRECT("'["&amp;G346&amp;"]"&amp;E346&amp;"'!"&amp;$X$2),G346=INDIRECT("'["&amp;G346&amp;"]"&amp;E346&amp;"'!"&amp;$X$3)),INDIRECT("'["&amp;G346&amp;"]"&amp;E346&amp;"'!"&amp;$X$1),0)</f>
        <v>#VALUE!</v>
      </c>
      <c r="I346" s="25" t="str">
        <f t="shared" si="106"/>
        <v/>
      </c>
      <c r="J346" s="32" t="str">
        <f t="shared" si="107"/>
        <v/>
      </c>
      <c r="K346" s="25" t="str">
        <f t="shared" si="108"/>
        <v/>
      </c>
      <c r="L346" s="25" t="str">
        <f t="shared" si="109"/>
        <v/>
      </c>
      <c r="M346" s="33" t="e" cm="1">
        <f t="array" aca="1" ref="M346" ca="1">IF(AND(J346=INDIRECT("'["&amp;G346&amp;"]"&amp;E346&amp;"'!"&amp;$Y$2),G346=INDIRECT("'["&amp;G346&amp;"]"&amp;E346&amp;"'!"&amp;$AH$2)),INDIRECT("'["&amp;G346&amp;"]"&amp;E346&amp;"'!"&amp;$Y$3),0)</f>
        <v>#VALUE!</v>
      </c>
      <c r="N346" s="34" t="e" cm="1">
        <f t="array" aca="1" ref="N346" ca="1">IF(AND(G346=INDIRECT("'["&amp;G346&amp;"]"&amp;E346&amp;"'!"&amp;$AH$2),OR(K346=INDIRECT("'["&amp;G346&amp;"]"&amp;E346&amp;"'!"&amp;$Z$2))),INDIRECT("'["&amp;G346&amp;"]"&amp;E346&amp;"'!"&amp;$Z$3),0)</f>
        <v>#VALUE!</v>
      </c>
      <c r="O346" s="34" t="e" cm="1">
        <f t="array" aca="1" ref="O346" ca="1">IF(AND(G346=INDIRECT("'["&amp;G346&amp;"]"&amp;E346&amp;"'!"&amp;$AH$2),OR(L346=INDIRECT("'["&amp;G346&amp;"]"&amp;E346&amp;"'!"&amp;$AA$2))),INDIRECT("'["&amp;G346&amp;"]"&amp;E346&amp;"'!"&amp;$AA$3),0)</f>
        <v>#VALUE!</v>
      </c>
      <c r="P346" s="34" t="e" cm="1">
        <f t="array" aca="1" ref="P346" ca="1">IF(AND(G346=INDIRECT("'["&amp;G346&amp;"]"&amp;E346&amp;"'!"&amp;$AH$2),OR(VALUE(I346)=INDIRECT("'["&amp;G346&amp;"]"&amp;E346&amp;"'!"&amp;$AB$2))),INDIRECT("'["&amp;G346&amp;"]"&amp;E346&amp;"'!"&amp;$AB$3),0)</f>
        <v>#VALUE!</v>
      </c>
      <c r="Q346" s="34" t="e" cm="1">
        <f t="array" aca="1" ref="Q346" ca="1">IF(AND(G346=INDIRECT("'["&amp;G346&amp;"]"&amp;E346&amp;"'!"&amp;$AH$2),OR(VALUE(I346)=INDIRECT("'["&amp;G346&amp;"]"&amp;E346&amp;"'!"&amp;$AC$2))),INDIRECT("'["&amp;G346&amp;"]"&amp;E346&amp;"'!"&amp;$AC$3),0)</f>
        <v>#VALUE!</v>
      </c>
      <c r="R346" s="34" t="e" cm="1">
        <f t="array" aca="1" ref="R346" ca="1">IF(AND(G346=INDIRECT("'["&amp;G346&amp;"]"&amp;E346&amp;"'!"&amp;$AH$2),OR(I346=INDIRECT("'["&amp;G346&amp;"]"&amp;E346&amp;"'!"&amp;$AD$2))),INDIRECT("'["&amp;G346&amp;"]"&amp;E346&amp;"'!"&amp;$AD$3),0)</f>
        <v>#VALUE!</v>
      </c>
      <c r="S346" s="34" t="e" cm="1">
        <f t="array" aca="1" ref="S346" ca="1">IF(AND(G346=INDIRECT("'["&amp;G346&amp;"]"&amp;E346&amp;"'!"&amp;$AH$2),OR(I346=INDIRECT("'["&amp;G346&amp;"]"&amp;E346&amp;"'!"&amp;$AE$2))),INDIRECT("'["&amp;G346&amp;"]"&amp;E346&amp;"'!"&amp;$AE$3),0)</f>
        <v>#VALUE!</v>
      </c>
      <c r="T346" s="35" t="e" cm="1">
        <f t="array" aca="1" ref="T346" ca="1">IF(AND(G346=INDIRECT("'["&amp;G346&amp;"]"&amp;E346&amp;"'!"&amp;$AH$2),OR(I346=INDIRECT("'["&amp;G346&amp;"]"&amp;E346&amp;"'!"&amp;$AF$2))),INDIRECT("'["&amp;G346&amp;"]"&amp;E346&amp;"'!"&amp;$AF$3),0)</f>
        <v>#VALUE!</v>
      </c>
      <c r="U346" s="34" t="e" cm="1">
        <f t="array" aca="1" ref="U346" ca="1">IF(AND(G346=INDIRECT("'["&amp;G346&amp;"]"&amp;E346&amp;"'!"&amp;$AH$2),OR(I346=INDIRECT("'["&amp;G346&amp;"]"&amp;E346&amp;"'!"&amp;$AG$2))),INDIRECT("'["&amp;G346&amp;"]"&amp;E346&amp;"'!"&amp;$AG$3),0)</f>
        <v>#VALUE!</v>
      </c>
      <c r="V346" s="25" t="str">
        <f t="shared" si="110"/>
        <v/>
      </c>
      <c r="W346" s="36" t="e" cm="1">
        <f t="array" aca="1" ref="W346" ca="1">IF(AND(G346=INDIRECT("'["&amp;G346&amp;"]"&amp;E346&amp;"'!"&amp;$AH$2),OR(V346=INDIRECT("'["&amp;G346&amp;"]"&amp;E346&amp;"'!"&amp;$AI$2))),INDIRECT("'["&amp;G346&amp;"]"&amp;E346&amp;"'!"&amp;$AI$3),0)</f>
        <v>#VALUE!</v>
      </c>
      <c r="AJ346" s="25">
        <v>1</v>
      </c>
      <c r="AK346" s="38">
        <f t="shared" ca="1" si="95"/>
        <v>0</v>
      </c>
      <c r="AL346" s="38">
        <f t="shared" ca="1" si="96"/>
        <v>0</v>
      </c>
      <c r="AM346" s="54" t="str">
        <f t="shared" ca="1" si="97"/>
        <v/>
      </c>
      <c r="AN346" s="25" t="e">
        <f t="shared" ca="1" si="98"/>
        <v>#VALUE!</v>
      </c>
      <c r="AO346" s="25" t="e">
        <f t="shared" ca="1" si="99"/>
        <v>#VALUE!</v>
      </c>
      <c r="AP346" s="39" t="str">
        <f t="shared" ca="1" si="100"/>
        <v/>
      </c>
      <c r="AQ346" s="46" t="str">
        <f ca="1">IF(AND(C346&lt;&gt;0, C347=0), SUM($C$2:C346)-SUM($AQ$1:AQ345), "")</f>
        <v/>
      </c>
      <c r="AR346" s="46" t="str">
        <f ca="1">IF(AND(AK346&lt;&gt;0, AK347=0), SUM($AK$2:AK346)-SUM($AR$1:AR345), "")</f>
        <v/>
      </c>
    </row>
    <row r="347" spans="1:44" ht="13.15" customHeight="1">
      <c r="A347" s="62"/>
      <c r="B347" s="68" t="str">
        <f t="shared" si="101"/>
        <v/>
      </c>
      <c r="C347" s="55" cm="1">
        <f t="array" aca="1" ref="C347" ca="1">SUM(IF(ISNUMBER(M347:U347),M347:U347,""))</f>
        <v>0</v>
      </c>
      <c r="D347" s="25" t="str">
        <f t="shared" si="102"/>
        <v/>
      </c>
      <c r="E347" s="25" t="e">
        <f t="shared" si="103"/>
        <v>#VALUE!</v>
      </c>
      <c r="F347" s="25" t="str">
        <f t="shared" si="104"/>
        <v/>
      </c>
      <c r="G347" s="25" t="str">
        <f t="shared" si="105"/>
        <v>.xlsx</v>
      </c>
      <c r="H347" s="29" t="e" cm="1">
        <f t="array" aca="1" ref="H347" ca="1">IF(AND(VALUE(E347)=INDIRECT("'["&amp;G347&amp;"]"&amp;E347&amp;"'!"&amp;$X$2),G347=INDIRECT("'["&amp;G347&amp;"]"&amp;E347&amp;"'!"&amp;$X$3)),INDIRECT("'["&amp;G347&amp;"]"&amp;E347&amp;"'!"&amp;$X$1),0)</f>
        <v>#VALUE!</v>
      </c>
      <c r="I347" s="25" t="str">
        <f t="shared" si="106"/>
        <v/>
      </c>
      <c r="J347" s="32" t="str">
        <f t="shared" si="107"/>
        <v/>
      </c>
      <c r="K347" s="25" t="str">
        <f t="shared" si="108"/>
        <v/>
      </c>
      <c r="L347" s="25" t="str">
        <f t="shared" si="109"/>
        <v/>
      </c>
      <c r="M347" s="33" t="e" cm="1">
        <f t="array" aca="1" ref="M347" ca="1">IF(AND(J347=INDIRECT("'["&amp;G347&amp;"]"&amp;E347&amp;"'!"&amp;$Y$2),G347=INDIRECT("'["&amp;G347&amp;"]"&amp;E347&amp;"'!"&amp;$AH$2)),INDIRECT("'["&amp;G347&amp;"]"&amp;E347&amp;"'!"&amp;$Y$3),0)</f>
        <v>#VALUE!</v>
      </c>
      <c r="N347" s="34" t="e" cm="1">
        <f t="array" aca="1" ref="N347" ca="1">IF(AND(G347=INDIRECT("'["&amp;G347&amp;"]"&amp;E347&amp;"'!"&amp;$AH$2),OR(K347=INDIRECT("'["&amp;G347&amp;"]"&amp;E347&amp;"'!"&amp;$Z$2))),INDIRECT("'["&amp;G347&amp;"]"&amp;E347&amp;"'!"&amp;$Z$3),0)</f>
        <v>#VALUE!</v>
      </c>
      <c r="O347" s="34" t="e" cm="1">
        <f t="array" aca="1" ref="O347" ca="1">IF(AND(G347=INDIRECT("'["&amp;G347&amp;"]"&amp;E347&amp;"'!"&amp;$AH$2),OR(L347=INDIRECT("'["&amp;G347&amp;"]"&amp;E347&amp;"'!"&amp;$AA$2))),INDIRECT("'["&amp;G347&amp;"]"&amp;E347&amp;"'!"&amp;$AA$3),0)</f>
        <v>#VALUE!</v>
      </c>
      <c r="P347" s="34" t="e" cm="1">
        <f t="array" aca="1" ref="P347" ca="1">IF(AND(G347=INDIRECT("'["&amp;G347&amp;"]"&amp;E347&amp;"'!"&amp;$AH$2),OR(VALUE(I347)=INDIRECT("'["&amp;G347&amp;"]"&amp;E347&amp;"'!"&amp;$AB$2))),INDIRECT("'["&amp;G347&amp;"]"&amp;E347&amp;"'!"&amp;$AB$3),0)</f>
        <v>#VALUE!</v>
      </c>
      <c r="Q347" s="34" t="e" cm="1">
        <f t="array" aca="1" ref="Q347" ca="1">IF(AND(G347=INDIRECT("'["&amp;G347&amp;"]"&amp;E347&amp;"'!"&amp;$AH$2),OR(VALUE(I347)=INDIRECT("'["&amp;G347&amp;"]"&amp;E347&amp;"'!"&amp;$AC$2))),INDIRECT("'["&amp;G347&amp;"]"&amp;E347&amp;"'!"&amp;$AC$3),0)</f>
        <v>#VALUE!</v>
      </c>
      <c r="R347" s="34" t="e" cm="1">
        <f t="array" aca="1" ref="R347" ca="1">IF(AND(G347=INDIRECT("'["&amp;G347&amp;"]"&amp;E347&amp;"'!"&amp;$AH$2),OR(I347=INDIRECT("'["&amp;G347&amp;"]"&amp;E347&amp;"'!"&amp;$AD$2))),INDIRECT("'["&amp;G347&amp;"]"&amp;E347&amp;"'!"&amp;$AD$3),0)</f>
        <v>#VALUE!</v>
      </c>
      <c r="S347" s="34" t="e" cm="1">
        <f t="array" aca="1" ref="S347" ca="1">IF(AND(G347=INDIRECT("'["&amp;G347&amp;"]"&amp;E347&amp;"'!"&amp;$AH$2),OR(I347=INDIRECT("'["&amp;G347&amp;"]"&amp;E347&amp;"'!"&amp;$AE$2))),INDIRECT("'["&amp;G347&amp;"]"&amp;E347&amp;"'!"&amp;$AE$3),0)</f>
        <v>#VALUE!</v>
      </c>
      <c r="T347" s="35" t="e" cm="1">
        <f t="array" aca="1" ref="T347" ca="1">IF(AND(G347=INDIRECT("'["&amp;G347&amp;"]"&amp;E347&amp;"'!"&amp;$AH$2),OR(I347=INDIRECT("'["&amp;G347&amp;"]"&amp;E347&amp;"'!"&amp;$AF$2))),INDIRECT("'["&amp;G347&amp;"]"&amp;E347&amp;"'!"&amp;$AF$3),0)</f>
        <v>#VALUE!</v>
      </c>
      <c r="U347" s="34" t="e" cm="1">
        <f t="array" aca="1" ref="U347" ca="1">IF(AND(G347=INDIRECT("'["&amp;G347&amp;"]"&amp;E347&amp;"'!"&amp;$AH$2),OR(I347=INDIRECT("'["&amp;G347&amp;"]"&amp;E347&amp;"'!"&amp;$AG$2))),INDIRECT("'["&amp;G347&amp;"]"&amp;E347&amp;"'!"&amp;$AG$3),0)</f>
        <v>#VALUE!</v>
      </c>
      <c r="V347" s="25" t="str">
        <f t="shared" si="110"/>
        <v/>
      </c>
      <c r="W347" s="36" t="e" cm="1">
        <f t="array" aca="1" ref="W347" ca="1">IF(AND(G347=INDIRECT("'["&amp;G347&amp;"]"&amp;E347&amp;"'!"&amp;$AH$2),OR(V347=INDIRECT("'["&amp;G347&amp;"]"&amp;E347&amp;"'!"&amp;$AI$2))),INDIRECT("'["&amp;G347&amp;"]"&amp;E347&amp;"'!"&amp;$AI$3),0)</f>
        <v>#VALUE!</v>
      </c>
      <c r="AJ347" s="25">
        <v>1</v>
      </c>
      <c r="AK347" s="38">
        <f t="shared" ca="1" si="95"/>
        <v>0</v>
      </c>
      <c r="AL347" s="38">
        <f t="shared" ca="1" si="96"/>
        <v>0</v>
      </c>
      <c r="AM347" s="54" t="str">
        <f t="shared" ca="1" si="97"/>
        <v/>
      </c>
      <c r="AN347" s="25" t="e">
        <f t="shared" ca="1" si="98"/>
        <v>#VALUE!</v>
      </c>
      <c r="AO347" s="25" t="e">
        <f t="shared" ca="1" si="99"/>
        <v>#VALUE!</v>
      </c>
      <c r="AP347" s="39" t="str">
        <f t="shared" ca="1" si="100"/>
        <v/>
      </c>
      <c r="AQ347" s="46" t="str">
        <f ca="1">IF(AND(C347&lt;&gt;0, C348=0), SUM($C$2:C347)-SUM($AQ$1:AQ346), "")</f>
        <v/>
      </c>
      <c r="AR347" s="46" t="str">
        <f ca="1">IF(AND(AK347&lt;&gt;0, AK348=0), SUM($AK$2:AK347)-SUM($AR$1:AR346), "")</f>
        <v/>
      </c>
    </row>
    <row r="348" spans="1:44" ht="13.15" customHeight="1">
      <c r="A348" s="62"/>
      <c r="B348" s="68" t="str">
        <f t="shared" si="101"/>
        <v/>
      </c>
      <c r="C348" s="55" cm="1">
        <f t="array" aca="1" ref="C348" ca="1">SUM(IF(ISNUMBER(M348:U348),M348:U348,""))</f>
        <v>0</v>
      </c>
      <c r="D348" s="25" t="str">
        <f t="shared" si="102"/>
        <v/>
      </c>
      <c r="E348" s="25" t="e">
        <f t="shared" si="103"/>
        <v>#VALUE!</v>
      </c>
      <c r="F348" s="25" t="str">
        <f t="shared" si="104"/>
        <v/>
      </c>
      <c r="G348" s="25" t="str">
        <f t="shared" si="105"/>
        <v>.xlsx</v>
      </c>
      <c r="H348" s="29" t="e" cm="1">
        <f t="array" aca="1" ref="H348" ca="1">IF(AND(VALUE(E348)=INDIRECT("'["&amp;G348&amp;"]"&amp;E348&amp;"'!"&amp;$X$2),G348=INDIRECT("'["&amp;G348&amp;"]"&amp;E348&amp;"'!"&amp;$X$3)),INDIRECT("'["&amp;G348&amp;"]"&amp;E348&amp;"'!"&amp;$X$1),0)</f>
        <v>#VALUE!</v>
      </c>
      <c r="I348" s="25" t="str">
        <f t="shared" si="106"/>
        <v/>
      </c>
      <c r="J348" s="32" t="str">
        <f t="shared" si="107"/>
        <v/>
      </c>
      <c r="K348" s="25" t="str">
        <f t="shared" si="108"/>
        <v/>
      </c>
      <c r="L348" s="25" t="str">
        <f t="shared" si="109"/>
        <v/>
      </c>
      <c r="M348" s="33" t="e" cm="1">
        <f t="array" aca="1" ref="M348" ca="1">IF(AND(J348=INDIRECT("'["&amp;G348&amp;"]"&amp;E348&amp;"'!"&amp;$Y$2),G348=INDIRECT("'["&amp;G348&amp;"]"&amp;E348&amp;"'!"&amp;$AH$2)),INDIRECT("'["&amp;G348&amp;"]"&amp;E348&amp;"'!"&amp;$Y$3),0)</f>
        <v>#VALUE!</v>
      </c>
      <c r="N348" s="34" t="e" cm="1">
        <f t="array" aca="1" ref="N348" ca="1">IF(AND(G348=INDIRECT("'["&amp;G348&amp;"]"&amp;E348&amp;"'!"&amp;$AH$2),OR(K348=INDIRECT("'["&amp;G348&amp;"]"&amp;E348&amp;"'!"&amp;$Z$2))),INDIRECT("'["&amp;G348&amp;"]"&amp;E348&amp;"'!"&amp;$Z$3),0)</f>
        <v>#VALUE!</v>
      </c>
      <c r="O348" s="34" t="e" cm="1">
        <f t="array" aca="1" ref="O348" ca="1">IF(AND(G348=INDIRECT("'["&amp;G348&amp;"]"&amp;E348&amp;"'!"&amp;$AH$2),OR(L348=INDIRECT("'["&amp;G348&amp;"]"&amp;E348&amp;"'!"&amp;$AA$2))),INDIRECT("'["&amp;G348&amp;"]"&amp;E348&amp;"'!"&amp;$AA$3),0)</f>
        <v>#VALUE!</v>
      </c>
      <c r="P348" s="34" t="e" cm="1">
        <f t="array" aca="1" ref="P348" ca="1">IF(AND(G348=INDIRECT("'["&amp;G348&amp;"]"&amp;E348&amp;"'!"&amp;$AH$2),OR(VALUE(I348)=INDIRECT("'["&amp;G348&amp;"]"&amp;E348&amp;"'!"&amp;$AB$2))),INDIRECT("'["&amp;G348&amp;"]"&amp;E348&amp;"'!"&amp;$AB$3),0)</f>
        <v>#VALUE!</v>
      </c>
      <c r="Q348" s="34" t="e" cm="1">
        <f t="array" aca="1" ref="Q348" ca="1">IF(AND(G348=INDIRECT("'["&amp;G348&amp;"]"&amp;E348&amp;"'!"&amp;$AH$2),OR(VALUE(I348)=INDIRECT("'["&amp;G348&amp;"]"&amp;E348&amp;"'!"&amp;$AC$2))),INDIRECT("'["&amp;G348&amp;"]"&amp;E348&amp;"'!"&amp;$AC$3),0)</f>
        <v>#VALUE!</v>
      </c>
      <c r="R348" s="34" t="e" cm="1">
        <f t="array" aca="1" ref="R348" ca="1">IF(AND(G348=INDIRECT("'["&amp;G348&amp;"]"&amp;E348&amp;"'!"&amp;$AH$2),OR(I348=INDIRECT("'["&amp;G348&amp;"]"&amp;E348&amp;"'!"&amp;$AD$2))),INDIRECT("'["&amp;G348&amp;"]"&amp;E348&amp;"'!"&amp;$AD$3),0)</f>
        <v>#VALUE!</v>
      </c>
      <c r="S348" s="34" t="e" cm="1">
        <f t="array" aca="1" ref="S348" ca="1">IF(AND(G348=INDIRECT("'["&amp;G348&amp;"]"&amp;E348&amp;"'!"&amp;$AH$2),OR(I348=INDIRECT("'["&amp;G348&amp;"]"&amp;E348&amp;"'!"&amp;$AE$2))),INDIRECT("'["&amp;G348&amp;"]"&amp;E348&amp;"'!"&amp;$AE$3),0)</f>
        <v>#VALUE!</v>
      </c>
      <c r="T348" s="35" t="e" cm="1">
        <f t="array" aca="1" ref="T348" ca="1">IF(AND(G348=INDIRECT("'["&amp;G348&amp;"]"&amp;E348&amp;"'!"&amp;$AH$2),OR(I348=INDIRECT("'["&amp;G348&amp;"]"&amp;E348&amp;"'!"&amp;$AF$2))),INDIRECT("'["&amp;G348&amp;"]"&amp;E348&amp;"'!"&amp;$AF$3),0)</f>
        <v>#VALUE!</v>
      </c>
      <c r="U348" s="34" t="e" cm="1">
        <f t="array" aca="1" ref="U348" ca="1">IF(AND(G348=INDIRECT("'["&amp;G348&amp;"]"&amp;E348&amp;"'!"&amp;$AH$2),OR(I348=INDIRECT("'["&amp;G348&amp;"]"&amp;E348&amp;"'!"&amp;$AG$2))),INDIRECT("'["&amp;G348&amp;"]"&amp;E348&amp;"'!"&amp;$AG$3),0)</f>
        <v>#VALUE!</v>
      </c>
      <c r="V348" s="25" t="str">
        <f t="shared" si="110"/>
        <v/>
      </c>
      <c r="W348" s="36" t="e" cm="1">
        <f t="array" aca="1" ref="W348" ca="1">IF(AND(G348=INDIRECT("'["&amp;G348&amp;"]"&amp;E348&amp;"'!"&amp;$AH$2),OR(V348=INDIRECT("'["&amp;G348&amp;"]"&amp;E348&amp;"'!"&amp;$AI$2))),INDIRECT("'["&amp;G348&amp;"]"&amp;E348&amp;"'!"&amp;$AI$3),0)</f>
        <v>#VALUE!</v>
      </c>
      <c r="AJ348" s="25">
        <v>1</v>
      </c>
      <c r="AK348" s="38">
        <f t="shared" ca="1" si="95"/>
        <v>0</v>
      </c>
      <c r="AL348" s="38">
        <f t="shared" ca="1" si="96"/>
        <v>0</v>
      </c>
      <c r="AM348" s="54" t="str">
        <f t="shared" ca="1" si="97"/>
        <v/>
      </c>
      <c r="AN348" s="25" t="e">
        <f t="shared" ca="1" si="98"/>
        <v>#VALUE!</v>
      </c>
      <c r="AO348" s="25" t="e">
        <f t="shared" ca="1" si="99"/>
        <v>#VALUE!</v>
      </c>
      <c r="AP348" s="39" t="str">
        <f t="shared" ca="1" si="100"/>
        <v/>
      </c>
      <c r="AQ348" s="46" t="str">
        <f ca="1">IF(AND(C348&lt;&gt;0, C349=0), SUM($C$2:C348)-SUM($AQ$1:AQ347), "")</f>
        <v/>
      </c>
      <c r="AR348" s="46" t="str">
        <f ca="1">IF(AND(AK348&lt;&gt;0, AK349=0), SUM($AK$2:AK348)-SUM($AR$1:AR347), "")</f>
        <v/>
      </c>
    </row>
    <row r="349" spans="1:44" ht="13.15" customHeight="1">
      <c r="A349" s="62"/>
      <c r="B349" s="68" t="str">
        <f t="shared" si="101"/>
        <v/>
      </c>
      <c r="C349" s="55" cm="1">
        <f t="array" aca="1" ref="C349" ca="1">SUM(IF(ISNUMBER(M349:U349),M349:U349,""))</f>
        <v>0</v>
      </c>
      <c r="D349" s="25" t="str">
        <f t="shared" si="102"/>
        <v/>
      </c>
      <c r="E349" s="25" t="e">
        <f t="shared" si="103"/>
        <v>#VALUE!</v>
      </c>
      <c r="F349" s="25" t="str">
        <f t="shared" si="104"/>
        <v/>
      </c>
      <c r="G349" s="25" t="str">
        <f t="shared" si="105"/>
        <v>.xlsx</v>
      </c>
      <c r="H349" s="29" t="e" cm="1">
        <f t="array" aca="1" ref="H349" ca="1">IF(AND(VALUE(E349)=INDIRECT("'["&amp;G349&amp;"]"&amp;E349&amp;"'!"&amp;$X$2),G349=INDIRECT("'["&amp;G349&amp;"]"&amp;E349&amp;"'!"&amp;$X$3)),INDIRECT("'["&amp;G349&amp;"]"&amp;E349&amp;"'!"&amp;$X$1),0)</f>
        <v>#VALUE!</v>
      </c>
      <c r="I349" s="25" t="str">
        <f t="shared" si="106"/>
        <v/>
      </c>
      <c r="J349" s="32" t="str">
        <f t="shared" si="107"/>
        <v/>
      </c>
      <c r="K349" s="25" t="str">
        <f t="shared" si="108"/>
        <v/>
      </c>
      <c r="L349" s="25" t="str">
        <f t="shared" si="109"/>
        <v/>
      </c>
      <c r="M349" s="33" t="e" cm="1">
        <f t="array" aca="1" ref="M349" ca="1">IF(AND(J349=INDIRECT("'["&amp;G349&amp;"]"&amp;E349&amp;"'!"&amp;$Y$2),G349=INDIRECT("'["&amp;G349&amp;"]"&amp;E349&amp;"'!"&amp;$AH$2)),INDIRECT("'["&amp;G349&amp;"]"&amp;E349&amp;"'!"&amp;$Y$3),0)</f>
        <v>#VALUE!</v>
      </c>
      <c r="N349" s="34" t="e" cm="1">
        <f t="array" aca="1" ref="N349" ca="1">IF(AND(G349=INDIRECT("'["&amp;G349&amp;"]"&amp;E349&amp;"'!"&amp;$AH$2),OR(K349=INDIRECT("'["&amp;G349&amp;"]"&amp;E349&amp;"'!"&amp;$Z$2))),INDIRECT("'["&amp;G349&amp;"]"&amp;E349&amp;"'!"&amp;$Z$3),0)</f>
        <v>#VALUE!</v>
      </c>
      <c r="O349" s="34" t="e" cm="1">
        <f t="array" aca="1" ref="O349" ca="1">IF(AND(G349=INDIRECT("'["&amp;G349&amp;"]"&amp;E349&amp;"'!"&amp;$AH$2),OR(L349=INDIRECT("'["&amp;G349&amp;"]"&amp;E349&amp;"'!"&amp;$AA$2))),INDIRECT("'["&amp;G349&amp;"]"&amp;E349&amp;"'!"&amp;$AA$3),0)</f>
        <v>#VALUE!</v>
      </c>
      <c r="P349" s="34" t="e" cm="1">
        <f t="array" aca="1" ref="P349" ca="1">IF(AND(G349=INDIRECT("'["&amp;G349&amp;"]"&amp;E349&amp;"'!"&amp;$AH$2),OR(VALUE(I349)=INDIRECT("'["&amp;G349&amp;"]"&amp;E349&amp;"'!"&amp;$AB$2))),INDIRECT("'["&amp;G349&amp;"]"&amp;E349&amp;"'!"&amp;$AB$3),0)</f>
        <v>#VALUE!</v>
      </c>
      <c r="Q349" s="34" t="e" cm="1">
        <f t="array" aca="1" ref="Q349" ca="1">IF(AND(G349=INDIRECT("'["&amp;G349&amp;"]"&amp;E349&amp;"'!"&amp;$AH$2),OR(VALUE(I349)=INDIRECT("'["&amp;G349&amp;"]"&amp;E349&amp;"'!"&amp;$AC$2))),INDIRECT("'["&amp;G349&amp;"]"&amp;E349&amp;"'!"&amp;$AC$3),0)</f>
        <v>#VALUE!</v>
      </c>
      <c r="R349" s="34" t="e" cm="1">
        <f t="array" aca="1" ref="R349" ca="1">IF(AND(G349=INDIRECT("'["&amp;G349&amp;"]"&amp;E349&amp;"'!"&amp;$AH$2),OR(I349=INDIRECT("'["&amp;G349&amp;"]"&amp;E349&amp;"'!"&amp;$AD$2))),INDIRECT("'["&amp;G349&amp;"]"&amp;E349&amp;"'!"&amp;$AD$3),0)</f>
        <v>#VALUE!</v>
      </c>
      <c r="S349" s="34" t="e" cm="1">
        <f t="array" aca="1" ref="S349" ca="1">IF(AND(G349=INDIRECT("'["&amp;G349&amp;"]"&amp;E349&amp;"'!"&amp;$AH$2),OR(I349=INDIRECT("'["&amp;G349&amp;"]"&amp;E349&amp;"'!"&amp;$AE$2))),INDIRECT("'["&amp;G349&amp;"]"&amp;E349&amp;"'!"&amp;$AE$3),0)</f>
        <v>#VALUE!</v>
      </c>
      <c r="T349" s="35" t="e" cm="1">
        <f t="array" aca="1" ref="T349" ca="1">IF(AND(G349=INDIRECT("'["&amp;G349&amp;"]"&amp;E349&amp;"'!"&amp;$AH$2),OR(I349=INDIRECT("'["&amp;G349&amp;"]"&amp;E349&amp;"'!"&amp;$AF$2))),INDIRECT("'["&amp;G349&amp;"]"&amp;E349&amp;"'!"&amp;$AF$3),0)</f>
        <v>#VALUE!</v>
      </c>
      <c r="U349" s="34" t="e" cm="1">
        <f t="array" aca="1" ref="U349" ca="1">IF(AND(G349=INDIRECT("'["&amp;G349&amp;"]"&amp;E349&amp;"'!"&amp;$AH$2),OR(I349=INDIRECT("'["&amp;G349&amp;"]"&amp;E349&amp;"'!"&amp;$AG$2))),INDIRECT("'["&amp;G349&amp;"]"&amp;E349&amp;"'!"&amp;$AG$3),0)</f>
        <v>#VALUE!</v>
      </c>
      <c r="V349" s="25" t="str">
        <f t="shared" si="110"/>
        <v/>
      </c>
      <c r="W349" s="36" t="e" cm="1">
        <f t="array" aca="1" ref="W349" ca="1">IF(AND(G349=INDIRECT("'["&amp;G349&amp;"]"&amp;E349&amp;"'!"&amp;$AH$2),OR(V349=INDIRECT("'["&amp;G349&amp;"]"&amp;E349&amp;"'!"&amp;$AI$2))),INDIRECT("'["&amp;G349&amp;"]"&amp;E349&amp;"'!"&amp;$AI$3),0)</f>
        <v>#VALUE!</v>
      </c>
      <c r="AJ349" s="25">
        <v>1</v>
      </c>
      <c r="AK349" s="38">
        <f t="shared" ca="1" si="95"/>
        <v>0</v>
      </c>
      <c r="AL349" s="38">
        <f t="shared" ca="1" si="96"/>
        <v>0</v>
      </c>
      <c r="AM349" s="54" t="str">
        <f t="shared" ca="1" si="97"/>
        <v/>
      </c>
      <c r="AN349" s="25" t="e">
        <f t="shared" ca="1" si="98"/>
        <v>#VALUE!</v>
      </c>
      <c r="AO349" s="25" t="e">
        <f t="shared" ca="1" si="99"/>
        <v>#VALUE!</v>
      </c>
      <c r="AP349" s="39" t="str">
        <f t="shared" ca="1" si="100"/>
        <v/>
      </c>
      <c r="AQ349" s="46" t="str">
        <f ca="1">IF(AND(C349&lt;&gt;0, C350=0), SUM($C$2:C349)-SUM($AQ$1:AQ348), "")</f>
        <v/>
      </c>
      <c r="AR349" s="46" t="str">
        <f ca="1">IF(AND(AK349&lt;&gt;0, AK350=0), SUM($AK$2:AK349)-SUM($AR$1:AR348), "")</f>
        <v/>
      </c>
    </row>
    <row r="350" spans="1:44" ht="13.15" customHeight="1">
      <c r="A350" s="62"/>
      <c r="B350" s="68" t="str">
        <f t="shared" si="101"/>
        <v/>
      </c>
      <c r="C350" s="55" cm="1">
        <f t="array" aca="1" ref="C350" ca="1">SUM(IF(ISNUMBER(M350:U350),M350:U350,""))</f>
        <v>0</v>
      </c>
      <c r="D350" s="25" t="str">
        <f t="shared" si="102"/>
        <v/>
      </c>
      <c r="E350" s="25" t="e">
        <f t="shared" si="103"/>
        <v>#VALUE!</v>
      </c>
      <c r="F350" s="25" t="str">
        <f t="shared" si="104"/>
        <v/>
      </c>
      <c r="G350" s="25" t="str">
        <f t="shared" si="105"/>
        <v>.xlsx</v>
      </c>
      <c r="H350" s="29" t="e" cm="1">
        <f t="array" aca="1" ref="H350" ca="1">IF(AND(VALUE(E350)=INDIRECT("'["&amp;G350&amp;"]"&amp;E350&amp;"'!"&amp;$X$2),G350=INDIRECT("'["&amp;G350&amp;"]"&amp;E350&amp;"'!"&amp;$X$3)),INDIRECT("'["&amp;G350&amp;"]"&amp;E350&amp;"'!"&amp;$X$1),0)</f>
        <v>#VALUE!</v>
      </c>
      <c r="I350" s="25" t="str">
        <f t="shared" si="106"/>
        <v/>
      </c>
      <c r="J350" s="32" t="str">
        <f t="shared" si="107"/>
        <v/>
      </c>
      <c r="K350" s="25" t="str">
        <f t="shared" si="108"/>
        <v/>
      </c>
      <c r="L350" s="25" t="str">
        <f t="shared" si="109"/>
        <v/>
      </c>
      <c r="M350" s="33" t="e" cm="1">
        <f t="array" aca="1" ref="M350" ca="1">IF(AND(J350=INDIRECT("'["&amp;G350&amp;"]"&amp;E350&amp;"'!"&amp;$Y$2),G350=INDIRECT("'["&amp;G350&amp;"]"&amp;E350&amp;"'!"&amp;$AH$2)),INDIRECT("'["&amp;G350&amp;"]"&amp;E350&amp;"'!"&amp;$Y$3),0)</f>
        <v>#VALUE!</v>
      </c>
      <c r="N350" s="34" t="e" cm="1">
        <f t="array" aca="1" ref="N350" ca="1">IF(AND(G350=INDIRECT("'["&amp;G350&amp;"]"&amp;E350&amp;"'!"&amp;$AH$2),OR(K350=INDIRECT("'["&amp;G350&amp;"]"&amp;E350&amp;"'!"&amp;$Z$2))),INDIRECT("'["&amp;G350&amp;"]"&amp;E350&amp;"'!"&amp;$Z$3),0)</f>
        <v>#VALUE!</v>
      </c>
      <c r="O350" s="34" t="e" cm="1">
        <f t="array" aca="1" ref="O350" ca="1">IF(AND(G350=INDIRECT("'["&amp;G350&amp;"]"&amp;E350&amp;"'!"&amp;$AH$2),OR(L350=INDIRECT("'["&amp;G350&amp;"]"&amp;E350&amp;"'!"&amp;$AA$2))),INDIRECT("'["&amp;G350&amp;"]"&amp;E350&amp;"'!"&amp;$AA$3),0)</f>
        <v>#VALUE!</v>
      </c>
      <c r="P350" s="34" t="e" cm="1">
        <f t="array" aca="1" ref="P350" ca="1">IF(AND(G350=INDIRECT("'["&amp;G350&amp;"]"&amp;E350&amp;"'!"&amp;$AH$2),OR(VALUE(I350)=INDIRECT("'["&amp;G350&amp;"]"&amp;E350&amp;"'!"&amp;$AB$2))),INDIRECT("'["&amp;G350&amp;"]"&amp;E350&amp;"'!"&amp;$AB$3),0)</f>
        <v>#VALUE!</v>
      </c>
      <c r="Q350" s="34" t="e" cm="1">
        <f t="array" aca="1" ref="Q350" ca="1">IF(AND(G350=INDIRECT("'["&amp;G350&amp;"]"&amp;E350&amp;"'!"&amp;$AH$2),OR(VALUE(I350)=INDIRECT("'["&amp;G350&amp;"]"&amp;E350&amp;"'!"&amp;$AC$2))),INDIRECT("'["&amp;G350&amp;"]"&amp;E350&amp;"'!"&amp;$AC$3),0)</f>
        <v>#VALUE!</v>
      </c>
      <c r="R350" s="34" t="e" cm="1">
        <f t="array" aca="1" ref="R350" ca="1">IF(AND(G350=INDIRECT("'["&amp;G350&amp;"]"&amp;E350&amp;"'!"&amp;$AH$2),OR(I350=INDIRECT("'["&amp;G350&amp;"]"&amp;E350&amp;"'!"&amp;$AD$2))),INDIRECT("'["&amp;G350&amp;"]"&amp;E350&amp;"'!"&amp;$AD$3),0)</f>
        <v>#VALUE!</v>
      </c>
      <c r="S350" s="34" t="e" cm="1">
        <f t="array" aca="1" ref="S350" ca="1">IF(AND(G350=INDIRECT("'["&amp;G350&amp;"]"&amp;E350&amp;"'!"&amp;$AH$2),OR(I350=INDIRECT("'["&amp;G350&amp;"]"&amp;E350&amp;"'!"&amp;$AE$2))),INDIRECT("'["&amp;G350&amp;"]"&amp;E350&amp;"'!"&amp;$AE$3),0)</f>
        <v>#VALUE!</v>
      </c>
      <c r="T350" s="35" t="e" cm="1">
        <f t="array" aca="1" ref="T350" ca="1">IF(AND(G350=INDIRECT("'["&amp;G350&amp;"]"&amp;E350&amp;"'!"&amp;$AH$2),OR(I350=INDIRECT("'["&amp;G350&amp;"]"&amp;E350&amp;"'!"&amp;$AF$2))),INDIRECT("'["&amp;G350&amp;"]"&amp;E350&amp;"'!"&amp;$AF$3),0)</f>
        <v>#VALUE!</v>
      </c>
      <c r="U350" s="34" t="e" cm="1">
        <f t="array" aca="1" ref="U350" ca="1">IF(AND(G350=INDIRECT("'["&amp;G350&amp;"]"&amp;E350&amp;"'!"&amp;$AH$2),OR(I350=INDIRECT("'["&amp;G350&amp;"]"&amp;E350&amp;"'!"&amp;$AG$2))),INDIRECT("'["&amp;G350&amp;"]"&amp;E350&amp;"'!"&amp;$AG$3),0)</f>
        <v>#VALUE!</v>
      </c>
      <c r="V350" s="25" t="str">
        <f t="shared" si="110"/>
        <v/>
      </c>
      <c r="W350" s="36" t="e" cm="1">
        <f t="array" aca="1" ref="W350" ca="1">IF(AND(G350=INDIRECT("'["&amp;G350&amp;"]"&amp;E350&amp;"'!"&amp;$AH$2),OR(V350=INDIRECT("'["&amp;G350&amp;"]"&amp;E350&amp;"'!"&amp;$AI$2))),INDIRECT("'["&amp;G350&amp;"]"&amp;E350&amp;"'!"&amp;$AI$3),0)</f>
        <v>#VALUE!</v>
      </c>
      <c r="AI350" s="52">
        <v>35.5</v>
      </c>
      <c r="AJ350" s="25">
        <v>1</v>
      </c>
      <c r="AK350" s="38">
        <f t="shared" ca="1" si="95"/>
        <v>0</v>
      </c>
      <c r="AL350" s="38">
        <f t="shared" ca="1" si="96"/>
        <v>0</v>
      </c>
      <c r="AM350" s="54" t="str">
        <f t="shared" ca="1" si="97"/>
        <v/>
      </c>
      <c r="AN350" s="25" t="e">
        <f t="shared" ca="1" si="98"/>
        <v>#VALUE!</v>
      </c>
      <c r="AO350" s="25" t="e">
        <f t="shared" ca="1" si="99"/>
        <v>#VALUE!</v>
      </c>
      <c r="AP350" s="39" t="str">
        <f t="shared" ca="1" si="100"/>
        <v/>
      </c>
      <c r="AQ350" s="46" t="str">
        <f ca="1">IF(AND(C350&lt;&gt;0, C351=0), SUM($C$2:C350)-SUM($AQ$1:AQ349), "")</f>
        <v/>
      </c>
      <c r="AR350" s="46" t="str">
        <f ca="1">IF(AND(AK350&lt;&gt;0, AK351=0), SUM($AK$2:AK350)-SUM($AR$1:AR349), "")</f>
        <v/>
      </c>
    </row>
    <row r="351" spans="1:44" ht="13.15" customHeight="1">
      <c r="A351" s="62"/>
      <c r="B351" s="68" t="str">
        <f t="shared" si="101"/>
        <v/>
      </c>
      <c r="C351" s="55" cm="1">
        <f t="array" aca="1" ref="C351" ca="1">SUM(IF(ISNUMBER(M351:U351),M351:U351,""))</f>
        <v>0</v>
      </c>
      <c r="D351" s="25" t="str">
        <f t="shared" si="102"/>
        <v/>
      </c>
      <c r="E351" s="25" t="e">
        <f t="shared" si="103"/>
        <v>#VALUE!</v>
      </c>
      <c r="F351" s="25" t="str">
        <f t="shared" si="104"/>
        <v/>
      </c>
      <c r="G351" s="25" t="str">
        <f t="shared" si="105"/>
        <v>.xlsx</v>
      </c>
      <c r="H351" s="29" t="e" cm="1">
        <f t="array" aca="1" ref="H351" ca="1">IF(AND(VALUE(E351)=INDIRECT("'["&amp;G351&amp;"]"&amp;E351&amp;"'!"&amp;$X$2),G351=INDIRECT("'["&amp;G351&amp;"]"&amp;E351&amp;"'!"&amp;$X$3)),INDIRECT("'["&amp;G351&amp;"]"&amp;E351&amp;"'!"&amp;$X$1),0)</f>
        <v>#VALUE!</v>
      </c>
      <c r="I351" s="25" t="str">
        <f t="shared" si="106"/>
        <v/>
      </c>
      <c r="J351" s="32" t="str">
        <f t="shared" si="107"/>
        <v/>
      </c>
      <c r="K351" s="25" t="str">
        <f t="shared" si="108"/>
        <v/>
      </c>
      <c r="L351" s="25" t="str">
        <f t="shared" si="109"/>
        <v/>
      </c>
      <c r="M351" s="33" t="e" cm="1">
        <f t="array" aca="1" ref="M351" ca="1">IF(AND(J351=INDIRECT("'["&amp;G351&amp;"]"&amp;E351&amp;"'!"&amp;$Y$2),G351=INDIRECT("'["&amp;G351&amp;"]"&amp;E351&amp;"'!"&amp;$AH$2)),INDIRECT("'["&amp;G351&amp;"]"&amp;E351&amp;"'!"&amp;$Y$3),0)</f>
        <v>#VALUE!</v>
      </c>
      <c r="N351" s="34" t="e" cm="1">
        <f t="array" aca="1" ref="N351" ca="1">IF(AND(G351=INDIRECT("'["&amp;G351&amp;"]"&amp;E351&amp;"'!"&amp;$AH$2),OR(K351=INDIRECT("'["&amp;G351&amp;"]"&amp;E351&amp;"'!"&amp;$Z$2))),INDIRECT("'["&amp;G351&amp;"]"&amp;E351&amp;"'!"&amp;$Z$3),0)</f>
        <v>#VALUE!</v>
      </c>
      <c r="O351" s="34" t="e" cm="1">
        <f t="array" aca="1" ref="O351" ca="1">IF(AND(G351=INDIRECT("'["&amp;G351&amp;"]"&amp;E351&amp;"'!"&amp;$AH$2),OR(L351=INDIRECT("'["&amp;G351&amp;"]"&amp;E351&amp;"'!"&amp;$AA$2))),INDIRECT("'["&amp;G351&amp;"]"&amp;E351&amp;"'!"&amp;$AA$3),0)</f>
        <v>#VALUE!</v>
      </c>
      <c r="P351" s="34" t="e" cm="1">
        <f t="array" aca="1" ref="P351" ca="1">IF(AND(G351=INDIRECT("'["&amp;G351&amp;"]"&amp;E351&amp;"'!"&amp;$AH$2),OR(VALUE(I351)=INDIRECT("'["&amp;G351&amp;"]"&amp;E351&amp;"'!"&amp;$AB$2))),INDIRECT("'["&amp;G351&amp;"]"&amp;E351&amp;"'!"&amp;$AB$3),0)</f>
        <v>#VALUE!</v>
      </c>
      <c r="Q351" s="34" t="e" cm="1">
        <f t="array" aca="1" ref="Q351" ca="1">IF(AND(G351=INDIRECT("'["&amp;G351&amp;"]"&amp;E351&amp;"'!"&amp;$AH$2),OR(VALUE(I351)=INDIRECT("'["&amp;G351&amp;"]"&amp;E351&amp;"'!"&amp;$AC$2))),INDIRECT("'["&amp;G351&amp;"]"&amp;E351&amp;"'!"&amp;$AC$3),0)</f>
        <v>#VALUE!</v>
      </c>
      <c r="R351" s="34" t="e" cm="1">
        <f t="array" aca="1" ref="R351" ca="1">IF(AND(G351=INDIRECT("'["&amp;G351&amp;"]"&amp;E351&amp;"'!"&amp;$AH$2),OR(I351=INDIRECT("'["&amp;G351&amp;"]"&amp;E351&amp;"'!"&amp;$AD$2))),INDIRECT("'["&amp;G351&amp;"]"&amp;E351&amp;"'!"&amp;$AD$3),0)</f>
        <v>#VALUE!</v>
      </c>
      <c r="S351" s="34" t="e" cm="1">
        <f t="array" aca="1" ref="S351" ca="1">IF(AND(G351=INDIRECT("'["&amp;G351&amp;"]"&amp;E351&amp;"'!"&amp;$AH$2),OR(I351=INDIRECT("'["&amp;G351&amp;"]"&amp;E351&amp;"'!"&amp;$AE$2))),INDIRECT("'["&amp;G351&amp;"]"&amp;E351&amp;"'!"&amp;$AE$3),0)</f>
        <v>#VALUE!</v>
      </c>
      <c r="T351" s="35" t="e" cm="1">
        <f t="array" aca="1" ref="T351" ca="1">IF(AND(G351=INDIRECT("'["&amp;G351&amp;"]"&amp;E351&amp;"'!"&amp;$AH$2),OR(I351=INDIRECT("'["&amp;G351&amp;"]"&amp;E351&amp;"'!"&amp;$AF$2))),INDIRECT("'["&amp;G351&amp;"]"&amp;E351&amp;"'!"&amp;$AF$3),0)</f>
        <v>#VALUE!</v>
      </c>
      <c r="U351" s="34" t="e" cm="1">
        <f t="array" aca="1" ref="U351" ca="1">IF(AND(G351=INDIRECT("'["&amp;G351&amp;"]"&amp;E351&amp;"'!"&amp;$AH$2),OR(I351=INDIRECT("'["&amp;G351&amp;"]"&amp;E351&amp;"'!"&amp;$AG$2))),INDIRECT("'["&amp;G351&amp;"]"&amp;E351&amp;"'!"&amp;$AG$3),0)</f>
        <v>#VALUE!</v>
      </c>
      <c r="V351" s="25" t="str">
        <f t="shared" si="110"/>
        <v/>
      </c>
      <c r="W351" s="36" t="e" cm="1">
        <f t="array" aca="1" ref="W351" ca="1">IF(AND(G351=INDIRECT("'["&amp;G351&amp;"]"&amp;E351&amp;"'!"&amp;$AH$2),OR(V351=INDIRECT("'["&amp;G351&amp;"]"&amp;E351&amp;"'!"&amp;$AI$2))),INDIRECT("'["&amp;G351&amp;"]"&amp;E351&amp;"'!"&amp;$AI$3),0)</f>
        <v>#VALUE!</v>
      </c>
      <c r="AI351" s="52">
        <v>35.56</v>
      </c>
      <c r="AJ351" s="25">
        <v>1</v>
      </c>
      <c r="AK351" s="38">
        <f t="shared" ca="1" si="95"/>
        <v>0</v>
      </c>
      <c r="AL351" s="38">
        <f t="shared" ca="1" si="96"/>
        <v>0</v>
      </c>
      <c r="AM351" s="54" t="str">
        <f t="shared" ca="1" si="97"/>
        <v/>
      </c>
      <c r="AN351" s="25" t="e">
        <f t="shared" ca="1" si="98"/>
        <v>#VALUE!</v>
      </c>
      <c r="AO351" s="25" t="e">
        <f t="shared" ca="1" si="99"/>
        <v>#VALUE!</v>
      </c>
      <c r="AP351" s="39" t="str">
        <f t="shared" ca="1" si="100"/>
        <v/>
      </c>
      <c r="AQ351" s="46" t="str">
        <f ca="1">IF(AND(C351&lt;&gt;0, C352=0), SUM($C$2:C351)-SUM($AQ$1:AQ350), "")</f>
        <v/>
      </c>
      <c r="AR351" s="46" t="str">
        <f ca="1">IF(AND(AK351&lt;&gt;0, AK352=0), SUM($AK$2:AK351)-SUM($AR$1:AR350), "")</f>
        <v/>
      </c>
    </row>
    <row r="352" spans="1:44" ht="13.15" customHeight="1">
      <c r="A352" s="62"/>
      <c r="B352" s="68" t="str">
        <f t="shared" si="101"/>
        <v/>
      </c>
      <c r="C352" s="55" cm="1">
        <f t="array" aca="1" ref="C352" ca="1">SUM(IF(ISNUMBER(M352:U352),M352:U352,""))</f>
        <v>0</v>
      </c>
      <c r="D352" s="25" t="str">
        <f t="shared" si="102"/>
        <v/>
      </c>
      <c r="E352" s="25" t="e">
        <f t="shared" si="103"/>
        <v>#VALUE!</v>
      </c>
      <c r="F352" s="25" t="str">
        <f t="shared" si="104"/>
        <v/>
      </c>
      <c r="G352" s="25" t="str">
        <f t="shared" si="105"/>
        <v>.xlsx</v>
      </c>
      <c r="H352" s="29" t="e" cm="1">
        <f t="array" aca="1" ref="H352" ca="1">IF(AND(VALUE(E352)=INDIRECT("'["&amp;G352&amp;"]"&amp;E352&amp;"'!"&amp;$X$2),G352=INDIRECT("'["&amp;G352&amp;"]"&amp;E352&amp;"'!"&amp;$X$3)),INDIRECT("'["&amp;G352&amp;"]"&amp;E352&amp;"'!"&amp;$X$1),0)</f>
        <v>#VALUE!</v>
      </c>
      <c r="I352" s="25" t="str">
        <f t="shared" si="106"/>
        <v/>
      </c>
      <c r="J352" s="32" t="str">
        <f t="shared" si="107"/>
        <v/>
      </c>
      <c r="K352" s="25" t="str">
        <f t="shared" si="108"/>
        <v/>
      </c>
      <c r="L352" s="25" t="str">
        <f t="shared" si="109"/>
        <v/>
      </c>
      <c r="M352" s="33" t="e" cm="1">
        <f t="array" aca="1" ref="M352" ca="1">IF(AND(J352=INDIRECT("'["&amp;G352&amp;"]"&amp;E352&amp;"'!"&amp;$Y$2),G352=INDIRECT("'["&amp;G352&amp;"]"&amp;E352&amp;"'!"&amp;$AH$2)),INDIRECT("'["&amp;G352&amp;"]"&amp;E352&amp;"'!"&amp;$Y$3),0)</f>
        <v>#VALUE!</v>
      </c>
      <c r="N352" s="34" t="e" cm="1">
        <f t="array" aca="1" ref="N352" ca="1">IF(AND(G352=INDIRECT("'["&amp;G352&amp;"]"&amp;E352&amp;"'!"&amp;$AH$2),OR(K352=INDIRECT("'["&amp;G352&amp;"]"&amp;E352&amp;"'!"&amp;$Z$2))),INDIRECT("'["&amp;G352&amp;"]"&amp;E352&amp;"'!"&amp;$Z$3),0)</f>
        <v>#VALUE!</v>
      </c>
      <c r="O352" s="34" t="e" cm="1">
        <f t="array" aca="1" ref="O352" ca="1">IF(AND(G352=INDIRECT("'["&amp;G352&amp;"]"&amp;E352&amp;"'!"&amp;$AH$2),OR(L352=INDIRECT("'["&amp;G352&amp;"]"&amp;E352&amp;"'!"&amp;$AA$2))),INDIRECT("'["&amp;G352&amp;"]"&amp;E352&amp;"'!"&amp;$AA$3),0)</f>
        <v>#VALUE!</v>
      </c>
      <c r="P352" s="34" t="e" cm="1">
        <f t="array" aca="1" ref="P352" ca="1">IF(AND(G352=INDIRECT("'["&amp;G352&amp;"]"&amp;E352&amp;"'!"&amp;$AH$2),OR(VALUE(I352)=INDIRECT("'["&amp;G352&amp;"]"&amp;E352&amp;"'!"&amp;$AB$2))),INDIRECT("'["&amp;G352&amp;"]"&amp;E352&amp;"'!"&amp;$AB$3),0)</f>
        <v>#VALUE!</v>
      </c>
      <c r="Q352" s="34" t="e" cm="1">
        <f t="array" aca="1" ref="Q352" ca="1">IF(AND(G352=INDIRECT("'["&amp;G352&amp;"]"&amp;E352&amp;"'!"&amp;$AH$2),OR(VALUE(I352)=INDIRECT("'["&amp;G352&amp;"]"&amp;E352&amp;"'!"&amp;$AC$2))),INDIRECT("'["&amp;G352&amp;"]"&amp;E352&amp;"'!"&amp;$AC$3),0)</f>
        <v>#VALUE!</v>
      </c>
      <c r="R352" s="34" t="e" cm="1">
        <f t="array" aca="1" ref="R352" ca="1">IF(AND(G352=INDIRECT("'["&amp;G352&amp;"]"&amp;E352&amp;"'!"&amp;$AH$2),OR(I352=INDIRECT("'["&amp;G352&amp;"]"&amp;E352&amp;"'!"&amp;$AD$2))),INDIRECT("'["&amp;G352&amp;"]"&amp;E352&amp;"'!"&amp;$AD$3),0)</f>
        <v>#VALUE!</v>
      </c>
      <c r="S352" s="34" t="e" cm="1">
        <f t="array" aca="1" ref="S352" ca="1">IF(AND(G352=INDIRECT("'["&amp;G352&amp;"]"&amp;E352&amp;"'!"&amp;$AH$2),OR(I352=INDIRECT("'["&amp;G352&amp;"]"&amp;E352&amp;"'!"&amp;$AE$2))),INDIRECT("'["&amp;G352&amp;"]"&amp;E352&amp;"'!"&amp;$AE$3),0)</f>
        <v>#VALUE!</v>
      </c>
      <c r="T352" s="35" t="e" cm="1">
        <f t="array" aca="1" ref="T352" ca="1">IF(AND(G352=INDIRECT("'["&amp;G352&amp;"]"&amp;E352&amp;"'!"&amp;$AH$2),OR(I352=INDIRECT("'["&amp;G352&amp;"]"&amp;E352&amp;"'!"&amp;$AF$2))),INDIRECT("'["&amp;G352&amp;"]"&amp;E352&amp;"'!"&amp;$AF$3),0)</f>
        <v>#VALUE!</v>
      </c>
      <c r="U352" s="34" t="e" cm="1">
        <f t="array" aca="1" ref="U352" ca="1">IF(AND(G352=INDIRECT("'["&amp;G352&amp;"]"&amp;E352&amp;"'!"&amp;$AH$2),OR(I352=INDIRECT("'["&amp;G352&amp;"]"&amp;E352&amp;"'!"&amp;$AG$2))),INDIRECT("'["&amp;G352&amp;"]"&amp;E352&amp;"'!"&amp;$AG$3),0)</f>
        <v>#VALUE!</v>
      </c>
      <c r="V352" s="25" t="str">
        <f t="shared" si="110"/>
        <v/>
      </c>
      <c r="W352" s="36" t="e" cm="1">
        <f t="array" aca="1" ref="W352" ca="1">IF(AND(G352=INDIRECT("'["&amp;G352&amp;"]"&amp;E352&amp;"'!"&amp;$AH$2),OR(V352=INDIRECT("'["&amp;G352&amp;"]"&amp;E352&amp;"'!"&amp;$AI$2))),INDIRECT("'["&amp;G352&amp;"]"&amp;E352&amp;"'!"&amp;$AI$3),0)</f>
        <v>#VALUE!</v>
      </c>
      <c r="AI352" s="52">
        <v>35.659999999999997</v>
      </c>
      <c r="AJ352" s="25">
        <v>1</v>
      </c>
      <c r="AK352" s="38">
        <f t="shared" ca="1" si="95"/>
        <v>0</v>
      </c>
      <c r="AL352" s="38">
        <f t="shared" ca="1" si="96"/>
        <v>0</v>
      </c>
      <c r="AM352" s="54" t="str">
        <f t="shared" ca="1" si="97"/>
        <v/>
      </c>
      <c r="AN352" s="25" t="e">
        <f t="shared" ca="1" si="98"/>
        <v>#VALUE!</v>
      </c>
      <c r="AO352" s="25" t="e">
        <f t="shared" ca="1" si="99"/>
        <v>#VALUE!</v>
      </c>
      <c r="AP352" s="39" t="str">
        <f t="shared" ca="1" si="100"/>
        <v/>
      </c>
      <c r="AQ352" s="46" t="str">
        <f ca="1">IF(AND(C352&lt;&gt;0, C353=0), SUM($C$2:C352)-SUM($AQ$1:AQ351), "")</f>
        <v/>
      </c>
      <c r="AR352" s="46" t="str">
        <f ca="1">IF(AND(AK352&lt;&gt;0, AK353=0), SUM($AK$2:AK352)-SUM($AR$1:AR351), "")</f>
        <v/>
      </c>
    </row>
    <row r="353" spans="1:47" ht="13.15" customHeight="1">
      <c r="A353" s="62"/>
      <c r="B353" s="68" t="str">
        <f t="shared" si="101"/>
        <v/>
      </c>
      <c r="C353" s="55" cm="1">
        <f t="array" aca="1" ref="C353" ca="1">SUM(IF(ISNUMBER(M353:U353),M353:U353,""))</f>
        <v>0</v>
      </c>
      <c r="D353" s="25" t="str">
        <f t="shared" si="102"/>
        <v/>
      </c>
      <c r="E353" s="25" t="e">
        <f t="shared" si="103"/>
        <v>#VALUE!</v>
      </c>
      <c r="F353" s="25" t="str">
        <f t="shared" si="104"/>
        <v/>
      </c>
      <c r="G353" s="25" t="str">
        <f t="shared" si="105"/>
        <v>.xlsx</v>
      </c>
      <c r="H353" s="29" t="e" cm="1">
        <f t="array" aca="1" ref="H353" ca="1">IF(AND(VALUE(E353)=INDIRECT("'["&amp;G353&amp;"]"&amp;E353&amp;"'!"&amp;$X$2),G353=INDIRECT("'["&amp;G353&amp;"]"&amp;E353&amp;"'!"&amp;$X$3)),INDIRECT("'["&amp;G353&amp;"]"&amp;E353&amp;"'!"&amp;$X$1),0)</f>
        <v>#VALUE!</v>
      </c>
      <c r="I353" s="25" t="str">
        <f t="shared" si="106"/>
        <v/>
      </c>
      <c r="J353" s="32" t="str">
        <f t="shared" si="107"/>
        <v/>
      </c>
      <c r="K353" s="25" t="str">
        <f t="shared" si="108"/>
        <v/>
      </c>
      <c r="L353" s="25" t="str">
        <f t="shared" si="109"/>
        <v/>
      </c>
      <c r="M353" s="33" t="e" cm="1">
        <f t="array" aca="1" ref="M353" ca="1">IF(AND(J353=INDIRECT("'["&amp;G353&amp;"]"&amp;E353&amp;"'!"&amp;$Y$2),G353=INDIRECT("'["&amp;G353&amp;"]"&amp;E353&amp;"'!"&amp;$AH$2)),INDIRECT("'["&amp;G353&amp;"]"&amp;E353&amp;"'!"&amp;$Y$3),0)</f>
        <v>#VALUE!</v>
      </c>
      <c r="N353" s="34" t="e" cm="1">
        <f t="array" aca="1" ref="N353" ca="1">IF(AND(G353=INDIRECT("'["&amp;G353&amp;"]"&amp;E353&amp;"'!"&amp;$AH$2),OR(K353=INDIRECT("'["&amp;G353&amp;"]"&amp;E353&amp;"'!"&amp;$Z$2))),INDIRECT("'["&amp;G353&amp;"]"&amp;E353&amp;"'!"&amp;$Z$3),0)</f>
        <v>#VALUE!</v>
      </c>
      <c r="O353" s="34" t="e" cm="1">
        <f t="array" aca="1" ref="O353" ca="1">IF(AND(G353=INDIRECT("'["&amp;G353&amp;"]"&amp;E353&amp;"'!"&amp;$AH$2),OR(L353=INDIRECT("'["&amp;G353&amp;"]"&amp;E353&amp;"'!"&amp;$AA$2))),INDIRECT("'["&amp;G353&amp;"]"&amp;E353&amp;"'!"&amp;$AA$3),0)</f>
        <v>#VALUE!</v>
      </c>
      <c r="P353" s="34" t="e" cm="1">
        <f t="array" aca="1" ref="P353" ca="1">IF(AND(G353=INDIRECT("'["&amp;G353&amp;"]"&amp;E353&amp;"'!"&amp;$AH$2),OR(VALUE(I353)=INDIRECT("'["&amp;G353&amp;"]"&amp;E353&amp;"'!"&amp;$AB$2))),INDIRECT("'["&amp;G353&amp;"]"&amp;E353&amp;"'!"&amp;$AB$3),0)</f>
        <v>#VALUE!</v>
      </c>
      <c r="Q353" s="34" t="e" cm="1">
        <f t="array" aca="1" ref="Q353" ca="1">IF(AND(G353=INDIRECT("'["&amp;G353&amp;"]"&amp;E353&amp;"'!"&amp;$AH$2),OR(VALUE(I353)=INDIRECT("'["&amp;G353&amp;"]"&amp;E353&amp;"'!"&amp;$AC$2))),INDIRECT("'["&amp;G353&amp;"]"&amp;E353&amp;"'!"&amp;$AC$3),0)</f>
        <v>#VALUE!</v>
      </c>
      <c r="R353" s="34" t="e" cm="1">
        <f t="array" aca="1" ref="R353" ca="1">IF(AND(G353=INDIRECT("'["&amp;G353&amp;"]"&amp;E353&amp;"'!"&amp;$AH$2),OR(I353=INDIRECT("'["&amp;G353&amp;"]"&amp;E353&amp;"'!"&amp;$AD$2))),INDIRECT("'["&amp;G353&amp;"]"&amp;E353&amp;"'!"&amp;$AD$3),0)</f>
        <v>#VALUE!</v>
      </c>
      <c r="S353" s="34" t="e" cm="1">
        <f t="array" aca="1" ref="S353" ca="1">IF(AND(G353=INDIRECT("'["&amp;G353&amp;"]"&amp;E353&amp;"'!"&amp;$AH$2),OR(I353=INDIRECT("'["&amp;G353&amp;"]"&amp;E353&amp;"'!"&amp;$AE$2))),INDIRECT("'["&amp;G353&amp;"]"&amp;E353&amp;"'!"&amp;$AE$3),0)</f>
        <v>#VALUE!</v>
      </c>
      <c r="T353" s="35" t="e" cm="1">
        <f t="array" aca="1" ref="T353" ca="1">IF(AND(G353=INDIRECT("'["&amp;G353&amp;"]"&amp;E353&amp;"'!"&amp;$AH$2),OR(I353=INDIRECT("'["&amp;G353&amp;"]"&amp;E353&amp;"'!"&amp;$AF$2))),INDIRECT("'["&amp;G353&amp;"]"&amp;E353&amp;"'!"&amp;$AF$3),0)</f>
        <v>#VALUE!</v>
      </c>
      <c r="U353" s="34" t="e" cm="1">
        <f t="array" aca="1" ref="U353" ca="1">IF(AND(G353=INDIRECT("'["&amp;G353&amp;"]"&amp;E353&amp;"'!"&amp;$AH$2),OR(I353=INDIRECT("'["&amp;G353&amp;"]"&amp;E353&amp;"'!"&amp;$AG$2))),INDIRECT("'["&amp;G353&amp;"]"&amp;E353&amp;"'!"&amp;$AG$3),0)</f>
        <v>#VALUE!</v>
      </c>
      <c r="V353" s="25" t="str">
        <f t="shared" si="110"/>
        <v/>
      </c>
      <c r="W353" s="36" t="e" cm="1">
        <f t="array" aca="1" ref="W353" ca="1">IF(AND(G353=INDIRECT("'["&amp;G353&amp;"]"&amp;E353&amp;"'!"&amp;$AH$2),OR(V353=INDIRECT("'["&amp;G353&amp;"]"&amp;E353&amp;"'!"&amp;$AI$2))),INDIRECT("'["&amp;G353&amp;"]"&amp;E353&amp;"'!"&amp;$AI$3),0)</f>
        <v>#VALUE!</v>
      </c>
      <c r="AI353" s="52"/>
      <c r="AJ353" s="25">
        <v>1</v>
      </c>
      <c r="AK353" s="38">
        <f t="shared" ca="1" si="95"/>
        <v>0</v>
      </c>
      <c r="AL353" s="38">
        <f t="shared" ca="1" si="96"/>
        <v>0</v>
      </c>
      <c r="AM353" s="54" t="str">
        <f t="shared" ca="1" si="97"/>
        <v/>
      </c>
      <c r="AN353" s="25" t="e">
        <f t="shared" ca="1" si="98"/>
        <v>#VALUE!</v>
      </c>
      <c r="AO353" s="25" t="e">
        <f t="shared" ca="1" si="99"/>
        <v>#VALUE!</v>
      </c>
      <c r="AP353" s="39" t="str">
        <f t="shared" ca="1" si="100"/>
        <v/>
      </c>
      <c r="AQ353" s="46" t="str">
        <f ca="1">IF(AND(C353&lt;&gt;0, C354=0), SUM($C$2:C353)-SUM($AQ$1:AQ352), "")</f>
        <v/>
      </c>
      <c r="AR353" s="46" t="str">
        <f ca="1">IF(AND(AK353&lt;&gt;0, AK354=0), SUM($AK$2:AK353)-SUM($AR$1:AR352), "")</f>
        <v/>
      </c>
      <c r="AS353" s="52"/>
      <c r="AT353" s="52"/>
      <c r="AU353" s="52"/>
    </row>
    <row r="354" spans="1:47" ht="13.15" customHeight="1">
      <c r="A354" s="62"/>
      <c r="B354" s="68" t="str">
        <f t="shared" si="101"/>
        <v/>
      </c>
      <c r="C354" s="55" cm="1">
        <f t="array" aca="1" ref="C354" ca="1">SUM(IF(ISNUMBER(M354:U354),M354:U354,""))</f>
        <v>0</v>
      </c>
      <c r="D354" s="25" t="str">
        <f t="shared" si="102"/>
        <v/>
      </c>
      <c r="E354" s="25" t="e">
        <f t="shared" si="103"/>
        <v>#VALUE!</v>
      </c>
      <c r="F354" s="25" t="str">
        <f t="shared" si="104"/>
        <v/>
      </c>
      <c r="G354" s="25" t="str">
        <f t="shared" si="105"/>
        <v>.xlsx</v>
      </c>
      <c r="H354" s="29" t="e" cm="1">
        <f t="array" aca="1" ref="H354" ca="1">IF(AND(VALUE(E354)=INDIRECT("'["&amp;G354&amp;"]"&amp;E354&amp;"'!"&amp;$X$2),G354=INDIRECT("'["&amp;G354&amp;"]"&amp;E354&amp;"'!"&amp;$X$3)),INDIRECT("'["&amp;G354&amp;"]"&amp;E354&amp;"'!"&amp;$X$1),0)</f>
        <v>#VALUE!</v>
      </c>
      <c r="I354" s="25" t="str">
        <f t="shared" si="106"/>
        <v/>
      </c>
      <c r="J354" s="32" t="str">
        <f t="shared" si="107"/>
        <v/>
      </c>
      <c r="K354" s="25" t="str">
        <f t="shared" si="108"/>
        <v/>
      </c>
      <c r="L354" s="25" t="str">
        <f t="shared" si="109"/>
        <v/>
      </c>
      <c r="M354" s="33" t="e" cm="1">
        <f t="array" aca="1" ref="M354" ca="1">IF(AND(J354=INDIRECT("'["&amp;G354&amp;"]"&amp;E354&amp;"'!"&amp;$Y$2),G354=INDIRECT("'["&amp;G354&amp;"]"&amp;E354&amp;"'!"&amp;$AH$2)),INDIRECT("'["&amp;G354&amp;"]"&amp;E354&amp;"'!"&amp;$Y$3),0)</f>
        <v>#VALUE!</v>
      </c>
      <c r="N354" s="34" t="e" cm="1">
        <f t="array" aca="1" ref="N354" ca="1">IF(AND(G354=INDIRECT("'["&amp;G354&amp;"]"&amp;E354&amp;"'!"&amp;$AH$2),OR(K354=INDIRECT("'["&amp;G354&amp;"]"&amp;E354&amp;"'!"&amp;$Z$2))),INDIRECT("'["&amp;G354&amp;"]"&amp;E354&amp;"'!"&amp;$Z$3),0)</f>
        <v>#VALUE!</v>
      </c>
      <c r="O354" s="34" t="e" cm="1">
        <f t="array" aca="1" ref="O354" ca="1">IF(AND(G354=INDIRECT("'["&amp;G354&amp;"]"&amp;E354&amp;"'!"&amp;$AH$2),OR(L354=INDIRECT("'["&amp;G354&amp;"]"&amp;E354&amp;"'!"&amp;$AA$2))),INDIRECT("'["&amp;G354&amp;"]"&amp;E354&amp;"'!"&amp;$AA$3),0)</f>
        <v>#VALUE!</v>
      </c>
      <c r="P354" s="34" t="e" cm="1">
        <f t="array" aca="1" ref="P354" ca="1">IF(AND(G354=INDIRECT("'["&amp;G354&amp;"]"&amp;E354&amp;"'!"&amp;$AH$2),OR(VALUE(I354)=INDIRECT("'["&amp;G354&amp;"]"&amp;E354&amp;"'!"&amp;$AB$2))),INDIRECT("'["&amp;G354&amp;"]"&amp;E354&amp;"'!"&amp;$AB$3),0)</f>
        <v>#VALUE!</v>
      </c>
      <c r="Q354" s="34" t="e" cm="1">
        <f t="array" aca="1" ref="Q354" ca="1">IF(AND(G354=INDIRECT("'["&amp;G354&amp;"]"&amp;E354&amp;"'!"&amp;$AH$2),OR(VALUE(I354)=INDIRECT("'["&amp;G354&amp;"]"&amp;E354&amp;"'!"&amp;$AC$2))),INDIRECT("'["&amp;G354&amp;"]"&amp;E354&amp;"'!"&amp;$AC$3),0)</f>
        <v>#VALUE!</v>
      </c>
      <c r="R354" s="34" t="e" cm="1">
        <f t="array" aca="1" ref="R354" ca="1">IF(AND(G354=INDIRECT("'["&amp;G354&amp;"]"&amp;E354&amp;"'!"&amp;$AH$2),OR(I354=INDIRECT("'["&amp;G354&amp;"]"&amp;E354&amp;"'!"&amp;$AD$2))),INDIRECT("'["&amp;G354&amp;"]"&amp;E354&amp;"'!"&amp;$AD$3),0)</f>
        <v>#VALUE!</v>
      </c>
      <c r="S354" s="34" t="e" cm="1">
        <f t="array" aca="1" ref="S354" ca="1">IF(AND(G354=INDIRECT("'["&amp;G354&amp;"]"&amp;E354&amp;"'!"&amp;$AH$2),OR(I354=INDIRECT("'["&amp;G354&amp;"]"&amp;E354&amp;"'!"&amp;$AE$2))),INDIRECT("'["&amp;G354&amp;"]"&amp;E354&amp;"'!"&amp;$AE$3),0)</f>
        <v>#VALUE!</v>
      </c>
      <c r="T354" s="35" t="e" cm="1">
        <f t="array" aca="1" ref="T354" ca="1">IF(AND(G354=INDIRECT("'["&amp;G354&amp;"]"&amp;E354&amp;"'!"&amp;$AH$2),OR(I354=INDIRECT("'["&amp;G354&amp;"]"&amp;E354&amp;"'!"&amp;$AF$2))),INDIRECT("'["&amp;G354&amp;"]"&amp;E354&amp;"'!"&amp;$AF$3),0)</f>
        <v>#VALUE!</v>
      </c>
      <c r="U354" s="34" t="e" cm="1">
        <f t="array" aca="1" ref="U354" ca="1">IF(AND(G354=INDIRECT("'["&amp;G354&amp;"]"&amp;E354&amp;"'!"&amp;$AH$2),OR(I354=INDIRECT("'["&amp;G354&amp;"]"&amp;E354&amp;"'!"&amp;$AG$2))),INDIRECT("'["&amp;G354&amp;"]"&amp;E354&amp;"'!"&amp;$AG$3),0)</f>
        <v>#VALUE!</v>
      </c>
      <c r="V354" s="25" t="str">
        <f t="shared" si="110"/>
        <v/>
      </c>
      <c r="W354" s="36" t="e" cm="1">
        <f t="array" aca="1" ref="W354" ca="1">IF(AND(G354=INDIRECT("'["&amp;G354&amp;"]"&amp;E354&amp;"'!"&amp;$AH$2),OR(V354=INDIRECT("'["&amp;G354&amp;"]"&amp;E354&amp;"'!"&amp;$AI$2))),INDIRECT("'["&amp;G354&amp;"]"&amp;E354&amp;"'!"&amp;$AI$3),0)</f>
        <v>#VALUE!</v>
      </c>
      <c r="AI354" s="52"/>
      <c r="AJ354" s="25">
        <v>1</v>
      </c>
      <c r="AK354" s="38">
        <f t="shared" ca="1" si="95"/>
        <v>0</v>
      </c>
      <c r="AL354" s="38">
        <f t="shared" ca="1" si="96"/>
        <v>0</v>
      </c>
      <c r="AM354" s="54" t="str">
        <f t="shared" ca="1" si="97"/>
        <v/>
      </c>
      <c r="AN354" s="25" t="e">
        <f t="shared" ca="1" si="98"/>
        <v>#VALUE!</v>
      </c>
      <c r="AO354" s="25" t="e">
        <f t="shared" ca="1" si="99"/>
        <v>#VALUE!</v>
      </c>
      <c r="AP354" s="39" t="str">
        <f t="shared" ca="1" si="100"/>
        <v/>
      </c>
      <c r="AQ354" s="46" t="str">
        <f ca="1">IF(AND(C354&lt;&gt;0, C355=0), SUM($C$2:C354)-SUM($AQ$1:AQ353), "")</f>
        <v/>
      </c>
      <c r="AR354" s="46" t="str">
        <f ca="1">IF(AND(AK354&lt;&gt;0, AK355=0), SUM($AK$2:AK354)-SUM($AR$1:AR353), "")</f>
        <v/>
      </c>
      <c r="AS354" s="52"/>
      <c r="AT354" s="52"/>
      <c r="AU354" s="52"/>
    </row>
    <row r="355" spans="1:47" ht="13.15" customHeight="1">
      <c r="A355" s="62"/>
      <c r="B355" s="68" t="str">
        <f t="shared" si="101"/>
        <v/>
      </c>
      <c r="C355" s="55" cm="1">
        <f t="array" aca="1" ref="C355" ca="1">SUM(IF(ISNUMBER(M355:U355),M355:U355,""))</f>
        <v>0</v>
      </c>
      <c r="D355" s="25" t="str">
        <f t="shared" si="102"/>
        <v/>
      </c>
      <c r="E355" s="25" t="e">
        <f t="shared" si="103"/>
        <v>#VALUE!</v>
      </c>
      <c r="F355" s="25" t="str">
        <f t="shared" si="104"/>
        <v/>
      </c>
      <c r="G355" s="25" t="str">
        <f t="shared" si="105"/>
        <v>.xlsx</v>
      </c>
      <c r="H355" s="29" t="e" cm="1">
        <f t="array" aca="1" ref="H355" ca="1">IF(AND(VALUE(E355)=INDIRECT("'["&amp;G355&amp;"]"&amp;E355&amp;"'!"&amp;$X$2),G355=INDIRECT("'["&amp;G355&amp;"]"&amp;E355&amp;"'!"&amp;$X$3)),INDIRECT("'["&amp;G355&amp;"]"&amp;E355&amp;"'!"&amp;$X$1),0)</f>
        <v>#VALUE!</v>
      </c>
      <c r="I355" s="25" t="str">
        <f t="shared" si="106"/>
        <v/>
      </c>
      <c r="J355" s="32" t="str">
        <f t="shared" si="107"/>
        <v/>
      </c>
      <c r="K355" s="25" t="str">
        <f t="shared" si="108"/>
        <v/>
      </c>
      <c r="L355" s="25" t="str">
        <f t="shared" si="109"/>
        <v/>
      </c>
      <c r="M355" s="33" t="e" cm="1">
        <f t="array" aca="1" ref="M355" ca="1">IF(AND(J355=INDIRECT("'["&amp;G355&amp;"]"&amp;E355&amp;"'!"&amp;$Y$2),G355=INDIRECT("'["&amp;G355&amp;"]"&amp;E355&amp;"'!"&amp;$AH$2)),INDIRECT("'["&amp;G355&amp;"]"&amp;E355&amp;"'!"&amp;$Y$3),0)</f>
        <v>#VALUE!</v>
      </c>
      <c r="N355" s="34" t="e" cm="1">
        <f t="array" aca="1" ref="N355" ca="1">IF(AND(G355=INDIRECT("'["&amp;G355&amp;"]"&amp;E355&amp;"'!"&amp;$AH$2),OR(K355=INDIRECT("'["&amp;G355&amp;"]"&amp;E355&amp;"'!"&amp;$Z$2))),INDIRECT("'["&amp;G355&amp;"]"&amp;E355&amp;"'!"&amp;$Z$3),0)</f>
        <v>#VALUE!</v>
      </c>
      <c r="O355" s="34" t="e" cm="1">
        <f t="array" aca="1" ref="O355" ca="1">IF(AND(G355=INDIRECT("'["&amp;G355&amp;"]"&amp;E355&amp;"'!"&amp;$AH$2),OR(L355=INDIRECT("'["&amp;G355&amp;"]"&amp;E355&amp;"'!"&amp;$AA$2))),INDIRECT("'["&amp;G355&amp;"]"&amp;E355&amp;"'!"&amp;$AA$3),0)</f>
        <v>#VALUE!</v>
      </c>
      <c r="P355" s="34" t="e" cm="1">
        <f t="array" aca="1" ref="P355" ca="1">IF(AND(G355=INDIRECT("'["&amp;G355&amp;"]"&amp;E355&amp;"'!"&amp;$AH$2),OR(VALUE(I355)=INDIRECT("'["&amp;G355&amp;"]"&amp;E355&amp;"'!"&amp;$AB$2))),INDIRECT("'["&amp;G355&amp;"]"&amp;E355&amp;"'!"&amp;$AB$3),0)</f>
        <v>#VALUE!</v>
      </c>
      <c r="Q355" s="34" t="e" cm="1">
        <f t="array" aca="1" ref="Q355" ca="1">IF(AND(G355=INDIRECT("'["&amp;G355&amp;"]"&amp;E355&amp;"'!"&amp;$AH$2),OR(VALUE(I355)=INDIRECT("'["&amp;G355&amp;"]"&amp;E355&amp;"'!"&amp;$AC$2))),INDIRECT("'["&amp;G355&amp;"]"&amp;E355&amp;"'!"&amp;$AC$3),0)</f>
        <v>#VALUE!</v>
      </c>
      <c r="R355" s="34" t="e" cm="1">
        <f t="array" aca="1" ref="R355" ca="1">IF(AND(G355=INDIRECT("'["&amp;G355&amp;"]"&amp;E355&amp;"'!"&amp;$AH$2),OR(I355=INDIRECT("'["&amp;G355&amp;"]"&amp;E355&amp;"'!"&amp;$AD$2))),INDIRECT("'["&amp;G355&amp;"]"&amp;E355&amp;"'!"&amp;$AD$3),0)</f>
        <v>#VALUE!</v>
      </c>
      <c r="S355" s="34" t="e" cm="1">
        <f t="array" aca="1" ref="S355" ca="1">IF(AND(G355=INDIRECT("'["&amp;G355&amp;"]"&amp;E355&amp;"'!"&amp;$AH$2),OR(I355=INDIRECT("'["&amp;G355&amp;"]"&amp;E355&amp;"'!"&amp;$AE$2))),INDIRECT("'["&amp;G355&amp;"]"&amp;E355&amp;"'!"&amp;$AE$3),0)</f>
        <v>#VALUE!</v>
      </c>
      <c r="T355" s="35" t="e" cm="1">
        <f t="array" aca="1" ref="T355" ca="1">IF(AND(G355=INDIRECT("'["&amp;G355&amp;"]"&amp;E355&amp;"'!"&amp;$AH$2),OR(I355=INDIRECT("'["&amp;G355&amp;"]"&amp;E355&amp;"'!"&amp;$AF$2))),INDIRECT("'["&amp;G355&amp;"]"&amp;E355&amp;"'!"&amp;$AF$3),0)</f>
        <v>#VALUE!</v>
      </c>
      <c r="U355" s="34" t="e" cm="1">
        <f t="array" aca="1" ref="U355" ca="1">IF(AND(G355=INDIRECT("'["&amp;G355&amp;"]"&amp;E355&amp;"'!"&amp;$AH$2),OR(I355=INDIRECT("'["&amp;G355&amp;"]"&amp;E355&amp;"'!"&amp;$AG$2))),INDIRECT("'["&amp;G355&amp;"]"&amp;E355&amp;"'!"&amp;$AG$3),0)</f>
        <v>#VALUE!</v>
      </c>
      <c r="V355" s="25" t="str">
        <f t="shared" si="110"/>
        <v/>
      </c>
      <c r="W355" s="36" t="e" cm="1">
        <f t="array" aca="1" ref="W355" ca="1">IF(AND(G355=INDIRECT("'["&amp;G355&amp;"]"&amp;E355&amp;"'!"&amp;$AH$2),OR(V355=INDIRECT("'["&amp;G355&amp;"]"&amp;E355&amp;"'!"&amp;$AI$2))),INDIRECT("'["&amp;G355&amp;"]"&amp;E355&amp;"'!"&amp;$AI$3),0)</f>
        <v>#VALUE!</v>
      </c>
      <c r="AI355" s="52"/>
      <c r="AJ355" s="25">
        <v>1</v>
      </c>
      <c r="AK355" s="38">
        <f t="shared" ca="1" si="95"/>
        <v>0</v>
      </c>
      <c r="AL355" s="38">
        <f t="shared" ca="1" si="96"/>
        <v>0</v>
      </c>
      <c r="AM355" s="54" t="str">
        <f t="shared" ca="1" si="97"/>
        <v/>
      </c>
      <c r="AN355" s="25" t="e">
        <f t="shared" ca="1" si="98"/>
        <v>#VALUE!</v>
      </c>
      <c r="AO355" s="25" t="e">
        <f t="shared" ca="1" si="99"/>
        <v>#VALUE!</v>
      </c>
      <c r="AP355" s="39" t="str">
        <f t="shared" ca="1" si="100"/>
        <v/>
      </c>
      <c r="AQ355" s="46" t="str">
        <f ca="1">IF(AND(C355&lt;&gt;0, C356=0), SUM($C$2:C355)-SUM($AQ$1:AQ354), "")</f>
        <v/>
      </c>
      <c r="AR355" s="46" t="str">
        <f ca="1">IF(AND(AK355&lt;&gt;0, AK356=0), SUM($AK$2:AK355)-SUM($AR$1:AR354), "")</f>
        <v/>
      </c>
      <c r="AS355" s="52"/>
      <c r="AT355" s="52"/>
      <c r="AU355" s="52"/>
    </row>
    <row r="356" spans="1:47" ht="13.15" customHeight="1">
      <c r="A356" s="62"/>
      <c r="B356" s="68" t="str">
        <f t="shared" si="101"/>
        <v/>
      </c>
      <c r="C356" s="55" cm="1">
        <f t="array" aca="1" ref="C356" ca="1">SUM(IF(ISNUMBER(M356:U356),M356:U356,""))</f>
        <v>0</v>
      </c>
      <c r="D356" s="25" t="str">
        <f t="shared" si="102"/>
        <v/>
      </c>
      <c r="E356" s="25" t="e">
        <f t="shared" si="103"/>
        <v>#VALUE!</v>
      </c>
      <c r="F356" s="25" t="str">
        <f t="shared" si="104"/>
        <v/>
      </c>
      <c r="G356" s="25" t="str">
        <f t="shared" si="105"/>
        <v>.xlsx</v>
      </c>
      <c r="H356" s="29" t="e" cm="1">
        <f t="array" aca="1" ref="H356" ca="1">IF(AND(VALUE(E356)=INDIRECT("'["&amp;G356&amp;"]"&amp;E356&amp;"'!"&amp;$X$2),G356=INDIRECT("'["&amp;G356&amp;"]"&amp;E356&amp;"'!"&amp;$X$3)),INDIRECT("'["&amp;G356&amp;"]"&amp;E356&amp;"'!"&amp;$X$1),0)</f>
        <v>#VALUE!</v>
      </c>
      <c r="I356" s="25" t="str">
        <f t="shared" si="106"/>
        <v/>
      </c>
      <c r="J356" s="32" t="str">
        <f t="shared" si="107"/>
        <v/>
      </c>
      <c r="K356" s="25" t="str">
        <f t="shared" si="108"/>
        <v/>
      </c>
      <c r="L356" s="25" t="str">
        <f t="shared" si="109"/>
        <v/>
      </c>
      <c r="M356" s="33" t="e" cm="1">
        <f t="array" aca="1" ref="M356" ca="1">IF(AND(J356=INDIRECT("'["&amp;G356&amp;"]"&amp;E356&amp;"'!"&amp;$Y$2),G356=INDIRECT("'["&amp;G356&amp;"]"&amp;E356&amp;"'!"&amp;$AH$2)),INDIRECT("'["&amp;G356&amp;"]"&amp;E356&amp;"'!"&amp;$Y$3),0)</f>
        <v>#VALUE!</v>
      </c>
      <c r="N356" s="34" t="e" cm="1">
        <f t="array" aca="1" ref="N356" ca="1">IF(AND(G356=INDIRECT("'["&amp;G356&amp;"]"&amp;E356&amp;"'!"&amp;$AH$2),OR(K356=INDIRECT("'["&amp;G356&amp;"]"&amp;E356&amp;"'!"&amp;$Z$2))),INDIRECT("'["&amp;G356&amp;"]"&amp;E356&amp;"'!"&amp;$Z$3),0)</f>
        <v>#VALUE!</v>
      </c>
      <c r="O356" s="34" t="e" cm="1">
        <f t="array" aca="1" ref="O356" ca="1">IF(AND(G356=INDIRECT("'["&amp;G356&amp;"]"&amp;E356&amp;"'!"&amp;$AH$2),OR(L356=INDIRECT("'["&amp;G356&amp;"]"&amp;E356&amp;"'!"&amp;$AA$2))),INDIRECT("'["&amp;G356&amp;"]"&amp;E356&amp;"'!"&amp;$AA$3),0)</f>
        <v>#VALUE!</v>
      </c>
      <c r="P356" s="34" t="e" cm="1">
        <f t="array" aca="1" ref="P356" ca="1">IF(AND(G356=INDIRECT("'["&amp;G356&amp;"]"&amp;E356&amp;"'!"&amp;$AH$2),OR(VALUE(I356)=INDIRECT("'["&amp;G356&amp;"]"&amp;E356&amp;"'!"&amp;$AB$2))),INDIRECT("'["&amp;G356&amp;"]"&amp;E356&amp;"'!"&amp;$AB$3),0)</f>
        <v>#VALUE!</v>
      </c>
      <c r="Q356" s="34" t="e" cm="1">
        <f t="array" aca="1" ref="Q356" ca="1">IF(AND(G356=INDIRECT("'["&amp;G356&amp;"]"&amp;E356&amp;"'!"&amp;$AH$2),OR(VALUE(I356)=INDIRECT("'["&amp;G356&amp;"]"&amp;E356&amp;"'!"&amp;$AC$2))),INDIRECT("'["&amp;G356&amp;"]"&amp;E356&amp;"'!"&amp;$AC$3),0)</f>
        <v>#VALUE!</v>
      </c>
      <c r="R356" s="34" t="e" cm="1">
        <f t="array" aca="1" ref="R356" ca="1">IF(AND(G356=INDIRECT("'["&amp;G356&amp;"]"&amp;E356&amp;"'!"&amp;$AH$2),OR(I356=INDIRECT("'["&amp;G356&amp;"]"&amp;E356&amp;"'!"&amp;$AD$2))),INDIRECT("'["&amp;G356&amp;"]"&amp;E356&amp;"'!"&amp;$AD$3),0)</f>
        <v>#VALUE!</v>
      </c>
      <c r="S356" s="34" t="e" cm="1">
        <f t="array" aca="1" ref="S356" ca="1">IF(AND(G356=INDIRECT("'["&amp;G356&amp;"]"&amp;E356&amp;"'!"&amp;$AH$2),OR(I356=INDIRECT("'["&amp;G356&amp;"]"&amp;E356&amp;"'!"&amp;$AE$2))),INDIRECT("'["&amp;G356&amp;"]"&amp;E356&amp;"'!"&amp;$AE$3),0)</f>
        <v>#VALUE!</v>
      </c>
      <c r="T356" s="35" t="e" cm="1">
        <f t="array" aca="1" ref="T356" ca="1">IF(AND(G356=INDIRECT("'["&amp;G356&amp;"]"&amp;E356&amp;"'!"&amp;$AH$2),OR(I356=INDIRECT("'["&amp;G356&amp;"]"&amp;E356&amp;"'!"&amp;$AF$2))),INDIRECT("'["&amp;G356&amp;"]"&amp;E356&amp;"'!"&amp;$AF$3),0)</f>
        <v>#VALUE!</v>
      </c>
      <c r="U356" s="34" t="e" cm="1">
        <f t="array" aca="1" ref="U356" ca="1">IF(AND(G356=INDIRECT("'["&amp;G356&amp;"]"&amp;E356&amp;"'!"&amp;$AH$2),OR(I356=INDIRECT("'["&amp;G356&amp;"]"&amp;E356&amp;"'!"&amp;$AG$2))),INDIRECT("'["&amp;G356&amp;"]"&amp;E356&amp;"'!"&amp;$AG$3),0)</f>
        <v>#VALUE!</v>
      </c>
      <c r="V356" s="25" t="str">
        <f t="shared" si="110"/>
        <v/>
      </c>
      <c r="W356" s="36" t="e" cm="1">
        <f t="array" aca="1" ref="W356" ca="1">IF(AND(G356=INDIRECT("'["&amp;G356&amp;"]"&amp;E356&amp;"'!"&amp;$AH$2),OR(V356=INDIRECT("'["&amp;G356&amp;"]"&amp;E356&amp;"'!"&amp;$AI$2))),INDIRECT("'["&amp;G356&amp;"]"&amp;E356&amp;"'!"&amp;$AI$3),0)</f>
        <v>#VALUE!</v>
      </c>
      <c r="AI356" s="52"/>
      <c r="AJ356" s="25">
        <v>1</v>
      </c>
      <c r="AK356" s="38">
        <f t="shared" ca="1" si="95"/>
        <v>0</v>
      </c>
      <c r="AL356" s="38">
        <f t="shared" ca="1" si="96"/>
        <v>0</v>
      </c>
      <c r="AM356" s="54" t="str">
        <f t="shared" ca="1" si="97"/>
        <v/>
      </c>
      <c r="AN356" s="25" t="e">
        <f t="shared" ca="1" si="98"/>
        <v>#VALUE!</v>
      </c>
      <c r="AO356" s="25" t="e">
        <f t="shared" ca="1" si="99"/>
        <v>#VALUE!</v>
      </c>
      <c r="AP356" s="39" t="str">
        <f t="shared" ca="1" si="100"/>
        <v/>
      </c>
      <c r="AQ356" s="46" t="str">
        <f ca="1">IF(AND(C356&lt;&gt;0, C357=0), SUM($C$2:C356)-SUM($AQ$1:AQ355), "")</f>
        <v/>
      </c>
      <c r="AR356" s="46" t="str">
        <f ca="1">IF(AND(AK356&lt;&gt;0, AK357=0), SUM($AK$2:AK356)-SUM($AR$1:AR355), "")</f>
        <v/>
      </c>
      <c r="AS356" s="52"/>
      <c r="AT356" s="52"/>
      <c r="AU356" s="52"/>
    </row>
    <row r="357" spans="1:47" ht="13.15" customHeight="1">
      <c r="A357" s="62"/>
      <c r="B357" s="68" t="str">
        <f t="shared" si="101"/>
        <v/>
      </c>
      <c r="C357" s="55" cm="1">
        <f t="array" aca="1" ref="C357" ca="1">SUM(IF(ISNUMBER(M357:U357),M357:U357,""))</f>
        <v>0</v>
      </c>
      <c r="D357" s="25" t="str">
        <f t="shared" si="102"/>
        <v/>
      </c>
      <c r="E357" s="25" t="e">
        <f t="shared" si="103"/>
        <v>#VALUE!</v>
      </c>
      <c r="F357" s="25" t="str">
        <f t="shared" si="104"/>
        <v/>
      </c>
      <c r="G357" s="25" t="str">
        <f t="shared" si="105"/>
        <v>.xlsx</v>
      </c>
      <c r="H357" s="29" t="e" cm="1">
        <f t="array" aca="1" ref="H357" ca="1">IF(AND(VALUE(E357)=INDIRECT("'["&amp;G357&amp;"]"&amp;E357&amp;"'!"&amp;$X$2),G357=INDIRECT("'["&amp;G357&amp;"]"&amp;E357&amp;"'!"&amp;$X$3)),INDIRECT("'["&amp;G357&amp;"]"&amp;E357&amp;"'!"&amp;$X$1),0)</f>
        <v>#VALUE!</v>
      </c>
      <c r="I357" s="25" t="str">
        <f t="shared" si="106"/>
        <v/>
      </c>
      <c r="J357" s="32" t="str">
        <f t="shared" si="107"/>
        <v/>
      </c>
      <c r="K357" s="25" t="str">
        <f t="shared" si="108"/>
        <v/>
      </c>
      <c r="L357" s="25" t="str">
        <f t="shared" si="109"/>
        <v/>
      </c>
      <c r="M357" s="33" t="e" cm="1">
        <f t="array" aca="1" ref="M357" ca="1">IF(AND(J357=INDIRECT("'["&amp;G357&amp;"]"&amp;E357&amp;"'!"&amp;$Y$2),G357=INDIRECT("'["&amp;G357&amp;"]"&amp;E357&amp;"'!"&amp;$AH$2)),INDIRECT("'["&amp;G357&amp;"]"&amp;E357&amp;"'!"&amp;$Y$3),0)</f>
        <v>#VALUE!</v>
      </c>
      <c r="N357" s="34" t="e" cm="1">
        <f t="array" aca="1" ref="N357" ca="1">IF(AND(G357=INDIRECT("'["&amp;G357&amp;"]"&amp;E357&amp;"'!"&amp;$AH$2),OR(K357=INDIRECT("'["&amp;G357&amp;"]"&amp;E357&amp;"'!"&amp;$Z$2))),INDIRECT("'["&amp;G357&amp;"]"&amp;E357&amp;"'!"&amp;$Z$3),0)</f>
        <v>#VALUE!</v>
      </c>
      <c r="O357" s="34" t="e" cm="1">
        <f t="array" aca="1" ref="O357" ca="1">IF(AND(G357=INDIRECT("'["&amp;G357&amp;"]"&amp;E357&amp;"'!"&amp;$AH$2),OR(L357=INDIRECT("'["&amp;G357&amp;"]"&amp;E357&amp;"'!"&amp;$AA$2))),INDIRECT("'["&amp;G357&amp;"]"&amp;E357&amp;"'!"&amp;$AA$3),0)</f>
        <v>#VALUE!</v>
      </c>
      <c r="P357" s="34" t="e" cm="1">
        <f t="array" aca="1" ref="P357" ca="1">IF(AND(G357=INDIRECT("'["&amp;G357&amp;"]"&amp;E357&amp;"'!"&amp;$AH$2),OR(VALUE(I357)=INDIRECT("'["&amp;G357&amp;"]"&amp;E357&amp;"'!"&amp;$AB$2))),INDIRECT("'["&amp;G357&amp;"]"&amp;E357&amp;"'!"&amp;$AB$3),0)</f>
        <v>#VALUE!</v>
      </c>
      <c r="Q357" s="34" t="e" cm="1">
        <f t="array" aca="1" ref="Q357" ca="1">IF(AND(G357=INDIRECT("'["&amp;G357&amp;"]"&amp;E357&amp;"'!"&amp;$AH$2),OR(VALUE(I357)=INDIRECT("'["&amp;G357&amp;"]"&amp;E357&amp;"'!"&amp;$AC$2))),INDIRECT("'["&amp;G357&amp;"]"&amp;E357&amp;"'!"&amp;$AC$3),0)</f>
        <v>#VALUE!</v>
      </c>
      <c r="R357" s="34" t="e" cm="1">
        <f t="array" aca="1" ref="R357" ca="1">IF(AND(G357=INDIRECT("'["&amp;G357&amp;"]"&amp;E357&amp;"'!"&amp;$AH$2),OR(I357=INDIRECT("'["&amp;G357&amp;"]"&amp;E357&amp;"'!"&amp;$AD$2))),INDIRECT("'["&amp;G357&amp;"]"&amp;E357&amp;"'!"&amp;$AD$3),0)</f>
        <v>#VALUE!</v>
      </c>
      <c r="S357" s="34" t="e" cm="1">
        <f t="array" aca="1" ref="S357" ca="1">IF(AND(G357=INDIRECT("'["&amp;G357&amp;"]"&amp;E357&amp;"'!"&amp;$AH$2),OR(I357=INDIRECT("'["&amp;G357&amp;"]"&amp;E357&amp;"'!"&amp;$AE$2))),INDIRECT("'["&amp;G357&amp;"]"&amp;E357&amp;"'!"&amp;$AE$3),0)</f>
        <v>#VALUE!</v>
      </c>
      <c r="T357" s="35" t="e" cm="1">
        <f t="array" aca="1" ref="T357" ca="1">IF(AND(G357=INDIRECT("'["&amp;G357&amp;"]"&amp;E357&amp;"'!"&amp;$AH$2),OR(I357=INDIRECT("'["&amp;G357&amp;"]"&amp;E357&amp;"'!"&amp;$AF$2))),INDIRECT("'["&amp;G357&amp;"]"&amp;E357&amp;"'!"&amp;$AF$3),0)</f>
        <v>#VALUE!</v>
      </c>
      <c r="U357" s="34" t="e" cm="1">
        <f t="array" aca="1" ref="U357" ca="1">IF(AND(G357=INDIRECT("'["&amp;G357&amp;"]"&amp;E357&amp;"'!"&amp;$AH$2),OR(I357=INDIRECT("'["&amp;G357&amp;"]"&amp;E357&amp;"'!"&amp;$AG$2))),INDIRECT("'["&amp;G357&amp;"]"&amp;E357&amp;"'!"&amp;$AG$3),0)</f>
        <v>#VALUE!</v>
      </c>
      <c r="V357" s="25" t="str">
        <f t="shared" si="110"/>
        <v/>
      </c>
      <c r="W357" s="36" t="e" cm="1">
        <f t="array" aca="1" ref="W357" ca="1">IF(AND(G357=INDIRECT("'["&amp;G357&amp;"]"&amp;E357&amp;"'!"&amp;$AH$2),OR(V357=INDIRECT("'["&amp;G357&amp;"]"&amp;E357&amp;"'!"&amp;$AI$2))),INDIRECT("'["&amp;G357&amp;"]"&amp;E357&amp;"'!"&amp;$AI$3),0)</f>
        <v>#VALUE!</v>
      </c>
      <c r="AI357" s="52"/>
      <c r="AJ357" s="25">
        <v>1</v>
      </c>
      <c r="AK357" s="38">
        <f t="shared" ca="1" si="95"/>
        <v>0</v>
      </c>
      <c r="AL357" s="38">
        <f t="shared" ca="1" si="96"/>
        <v>0</v>
      </c>
      <c r="AM357" s="54" t="str">
        <f t="shared" ca="1" si="97"/>
        <v/>
      </c>
      <c r="AN357" s="25" t="e">
        <f t="shared" ca="1" si="98"/>
        <v>#VALUE!</v>
      </c>
      <c r="AO357" s="25" t="e">
        <f t="shared" ca="1" si="99"/>
        <v>#VALUE!</v>
      </c>
      <c r="AP357" s="39" t="str">
        <f t="shared" ca="1" si="100"/>
        <v/>
      </c>
      <c r="AQ357" s="46" t="str">
        <f ca="1">IF(AND(C357&lt;&gt;0, C358=0), SUM($C$2:C357)-SUM($AQ$1:AQ356), "")</f>
        <v/>
      </c>
      <c r="AR357" s="46" t="str">
        <f ca="1">IF(AND(AK357&lt;&gt;0, AK358=0), SUM($AK$2:AK357)-SUM($AR$1:AR356), "")</f>
        <v/>
      </c>
      <c r="AS357" s="53"/>
      <c r="AT357" s="52"/>
      <c r="AU357" s="53"/>
    </row>
    <row r="358" spans="1:47" ht="13.15" customHeight="1">
      <c r="A358" s="62"/>
      <c r="B358" s="68" t="str">
        <f t="shared" si="101"/>
        <v/>
      </c>
      <c r="C358" s="55" cm="1">
        <f t="array" aca="1" ref="C358" ca="1">SUM(IF(ISNUMBER(M358:U358),M358:U358,""))</f>
        <v>0</v>
      </c>
      <c r="D358" s="25" t="str">
        <f t="shared" si="102"/>
        <v/>
      </c>
      <c r="E358" s="25" t="e">
        <f t="shared" si="103"/>
        <v>#VALUE!</v>
      </c>
      <c r="F358" s="25" t="str">
        <f t="shared" si="104"/>
        <v/>
      </c>
      <c r="G358" s="25" t="str">
        <f t="shared" si="105"/>
        <v>.xlsx</v>
      </c>
      <c r="H358" s="29" t="e" cm="1">
        <f t="array" aca="1" ref="H358" ca="1">IF(AND(VALUE(E358)=INDIRECT("'["&amp;G358&amp;"]"&amp;E358&amp;"'!"&amp;$X$2),G358=INDIRECT("'["&amp;G358&amp;"]"&amp;E358&amp;"'!"&amp;$X$3)),INDIRECT("'["&amp;G358&amp;"]"&amp;E358&amp;"'!"&amp;$X$1),0)</f>
        <v>#VALUE!</v>
      </c>
      <c r="I358" s="25" t="str">
        <f t="shared" si="106"/>
        <v/>
      </c>
      <c r="J358" s="32" t="str">
        <f t="shared" si="107"/>
        <v/>
      </c>
      <c r="K358" s="25" t="str">
        <f t="shared" si="108"/>
        <v/>
      </c>
      <c r="L358" s="25" t="str">
        <f t="shared" si="109"/>
        <v/>
      </c>
      <c r="M358" s="33" t="e" cm="1">
        <f t="array" aca="1" ref="M358" ca="1">IF(AND(J358=INDIRECT("'["&amp;G358&amp;"]"&amp;E358&amp;"'!"&amp;$Y$2),G358=INDIRECT("'["&amp;G358&amp;"]"&amp;E358&amp;"'!"&amp;$AH$2)),INDIRECT("'["&amp;G358&amp;"]"&amp;E358&amp;"'!"&amp;$Y$3),0)</f>
        <v>#VALUE!</v>
      </c>
      <c r="N358" s="34" t="e" cm="1">
        <f t="array" aca="1" ref="N358" ca="1">IF(AND(G358=INDIRECT("'["&amp;G358&amp;"]"&amp;E358&amp;"'!"&amp;$AH$2),OR(K358=INDIRECT("'["&amp;G358&amp;"]"&amp;E358&amp;"'!"&amp;$Z$2))),INDIRECT("'["&amp;G358&amp;"]"&amp;E358&amp;"'!"&amp;$Z$3),0)</f>
        <v>#VALUE!</v>
      </c>
      <c r="O358" s="34" t="e" cm="1">
        <f t="array" aca="1" ref="O358" ca="1">IF(AND(G358=INDIRECT("'["&amp;G358&amp;"]"&amp;E358&amp;"'!"&amp;$AH$2),OR(L358=INDIRECT("'["&amp;G358&amp;"]"&amp;E358&amp;"'!"&amp;$AA$2))),INDIRECT("'["&amp;G358&amp;"]"&amp;E358&amp;"'!"&amp;$AA$3),0)</f>
        <v>#VALUE!</v>
      </c>
      <c r="P358" s="34" t="e" cm="1">
        <f t="array" aca="1" ref="P358" ca="1">IF(AND(G358=INDIRECT("'["&amp;G358&amp;"]"&amp;E358&amp;"'!"&amp;$AH$2),OR(VALUE(I358)=INDIRECT("'["&amp;G358&amp;"]"&amp;E358&amp;"'!"&amp;$AB$2))),INDIRECT("'["&amp;G358&amp;"]"&amp;E358&amp;"'!"&amp;$AB$3),0)</f>
        <v>#VALUE!</v>
      </c>
      <c r="Q358" s="34" t="e" cm="1">
        <f t="array" aca="1" ref="Q358" ca="1">IF(AND(G358=INDIRECT("'["&amp;G358&amp;"]"&amp;E358&amp;"'!"&amp;$AH$2),OR(VALUE(I358)=INDIRECT("'["&amp;G358&amp;"]"&amp;E358&amp;"'!"&amp;$AC$2))),INDIRECT("'["&amp;G358&amp;"]"&amp;E358&amp;"'!"&amp;$AC$3),0)</f>
        <v>#VALUE!</v>
      </c>
      <c r="R358" s="34" t="e" cm="1">
        <f t="array" aca="1" ref="R358" ca="1">IF(AND(G358=INDIRECT("'["&amp;G358&amp;"]"&amp;E358&amp;"'!"&amp;$AH$2),OR(I358=INDIRECT("'["&amp;G358&amp;"]"&amp;E358&amp;"'!"&amp;$AD$2))),INDIRECT("'["&amp;G358&amp;"]"&amp;E358&amp;"'!"&amp;$AD$3),0)</f>
        <v>#VALUE!</v>
      </c>
      <c r="S358" s="34" t="e" cm="1">
        <f t="array" aca="1" ref="S358" ca="1">IF(AND(G358=INDIRECT("'["&amp;G358&amp;"]"&amp;E358&amp;"'!"&amp;$AH$2),OR(I358=INDIRECT("'["&amp;G358&amp;"]"&amp;E358&amp;"'!"&amp;$AE$2))),INDIRECT("'["&amp;G358&amp;"]"&amp;E358&amp;"'!"&amp;$AE$3),0)</f>
        <v>#VALUE!</v>
      </c>
      <c r="T358" s="35" t="e" cm="1">
        <f t="array" aca="1" ref="T358" ca="1">IF(AND(G358=INDIRECT("'["&amp;G358&amp;"]"&amp;E358&amp;"'!"&amp;$AH$2),OR(I358=INDIRECT("'["&amp;G358&amp;"]"&amp;E358&amp;"'!"&amp;$AF$2))),INDIRECT("'["&amp;G358&amp;"]"&amp;E358&amp;"'!"&amp;$AF$3),0)</f>
        <v>#VALUE!</v>
      </c>
      <c r="U358" s="34" t="e" cm="1">
        <f t="array" aca="1" ref="U358" ca="1">IF(AND(G358=INDIRECT("'["&amp;G358&amp;"]"&amp;E358&amp;"'!"&amp;$AH$2),OR(I358=INDIRECT("'["&amp;G358&amp;"]"&amp;E358&amp;"'!"&amp;$AG$2))),INDIRECT("'["&amp;G358&amp;"]"&amp;E358&amp;"'!"&amp;$AG$3),0)</f>
        <v>#VALUE!</v>
      </c>
      <c r="V358" s="25" t="str">
        <f t="shared" si="110"/>
        <v/>
      </c>
      <c r="W358" s="36" t="e" cm="1">
        <f t="array" aca="1" ref="W358" ca="1">IF(AND(G358=INDIRECT("'["&amp;G358&amp;"]"&amp;E358&amp;"'!"&amp;$AH$2),OR(V358=INDIRECT("'["&amp;G358&amp;"]"&amp;E358&amp;"'!"&amp;$AI$2))),INDIRECT("'["&amp;G358&amp;"]"&amp;E358&amp;"'!"&amp;$AI$3),0)</f>
        <v>#VALUE!</v>
      </c>
      <c r="AI358" s="52"/>
      <c r="AJ358" s="25">
        <v>1</v>
      </c>
      <c r="AK358" s="38">
        <f t="shared" ca="1" si="95"/>
        <v>0</v>
      </c>
      <c r="AL358" s="38">
        <f t="shared" ca="1" si="96"/>
        <v>0</v>
      </c>
      <c r="AM358" s="54" t="str">
        <f t="shared" ca="1" si="97"/>
        <v/>
      </c>
      <c r="AN358" s="25" t="e">
        <f t="shared" ca="1" si="98"/>
        <v>#VALUE!</v>
      </c>
      <c r="AO358" s="25" t="e">
        <f t="shared" ca="1" si="99"/>
        <v>#VALUE!</v>
      </c>
      <c r="AP358" s="39" t="str">
        <f t="shared" ca="1" si="100"/>
        <v/>
      </c>
      <c r="AQ358" s="46" t="str">
        <f ca="1">IF(AND(C358&lt;&gt;0, C359=0), SUM($C$2:C358)-SUM($AQ$1:AQ357), "")</f>
        <v/>
      </c>
      <c r="AR358" s="46" t="str">
        <f ca="1">IF(AND(AK358&lt;&gt;0, AK359=0), SUM($AK$2:AK358)-SUM($AR$1:AR357), "")</f>
        <v/>
      </c>
      <c r="AS358" s="52"/>
      <c r="AT358" s="52"/>
      <c r="AU358" s="52"/>
    </row>
    <row r="359" spans="1:47" ht="13.15" customHeight="1">
      <c r="A359" s="62"/>
      <c r="B359" s="68" t="str">
        <f t="shared" si="101"/>
        <v/>
      </c>
      <c r="C359" s="55" cm="1">
        <f t="array" aca="1" ref="C359" ca="1">SUM(IF(ISNUMBER(M359:U359),M359:U359,""))</f>
        <v>0</v>
      </c>
      <c r="D359" s="25" t="str">
        <f t="shared" si="102"/>
        <v/>
      </c>
      <c r="E359" s="25" t="e">
        <f t="shared" si="103"/>
        <v>#VALUE!</v>
      </c>
      <c r="F359" s="25" t="str">
        <f t="shared" si="104"/>
        <v/>
      </c>
      <c r="G359" s="25" t="str">
        <f t="shared" si="105"/>
        <v>.xlsx</v>
      </c>
      <c r="H359" s="29" t="e" cm="1">
        <f t="array" aca="1" ref="H359" ca="1">IF(AND(VALUE(E359)=INDIRECT("'["&amp;G359&amp;"]"&amp;E359&amp;"'!"&amp;$X$2),G359=INDIRECT("'["&amp;G359&amp;"]"&amp;E359&amp;"'!"&amp;$X$3)),INDIRECT("'["&amp;G359&amp;"]"&amp;E359&amp;"'!"&amp;$X$1),0)</f>
        <v>#VALUE!</v>
      </c>
      <c r="I359" s="25" t="str">
        <f t="shared" si="106"/>
        <v/>
      </c>
      <c r="J359" s="32" t="str">
        <f t="shared" si="107"/>
        <v/>
      </c>
      <c r="K359" s="25" t="str">
        <f t="shared" si="108"/>
        <v/>
      </c>
      <c r="L359" s="25" t="str">
        <f t="shared" si="109"/>
        <v/>
      </c>
      <c r="M359" s="33" t="e" cm="1">
        <f t="array" aca="1" ref="M359" ca="1">IF(AND(J359=INDIRECT("'["&amp;G359&amp;"]"&amp;E359&amp;"'!"&amp;$Y$2),G359=INDIRECT("'["&amp;G359&amp;"]"&amp;E359&amp;"'!"&amp;$AH$2)),INDIRECT("'["&amp;G359&amp;"]"&amp;E359&amp;"'!"&amp;$Y$3),0)</f>
        <v>#VALUE!</v>
      </c>
      <c r="N359" s="34" t="e" cm="1">
        <f t="array" aca="1" ref="N359" ca="1">IF(AND(G359=INDIRECT("'["&amp;G359&amp;"]"&amp;E359&amp;"'!"&amp;$AH$2),OR(K359=INDIRECT("'["&amp;G359&amp;"]"&amp;E359&amp;"'!"&amp;$Z$2))),INDIRECT("'["&amp;G359&amp;"]"&amp;E359&amp;"'!"&amp;$Z$3),0)</f>
        <v>#VALUE!</v>
      </c>
      <c r="O359" s="34" t="e" cm="1">
        <f t="array" aca="1" ref="O359" ca="1">IF(AND(G359=INDIRECT("'["&amp;G359&amp;"]"&amp;E359&amp;"'!"&amp;$AH$2),OR(L359=INDIRECT("'["&amp;G359&amp;"]"&amp;E359&amp;"'!"&amp;$AA$2))),INDIRECT("'["&amp;G359&amp;"]"&amp;E359&amp;"'!"&amp;$AA$3),0)</f>
        <v>#VALUE!</v>
      </c>
      <c r="P359" s="34" t="e" cm="1">
        <f t="array" aca="1" ref="P359" ca="1">IF(AND(G359=INDIRECT("'["&amp;G359&amp;"]"&amp;E359&amp;"'!"&amp;$AH$2),OR(VALUE(I359)=INDIRECT("'["&amp;G359&amp;"]"&amp;E359&amp;"'!"&amp;$AB$2))),INDIRECT("'["&amp;G359&amp;"]"&amp;E359&amp;"'!"&amp;$AB$3),0)</f>
        <v>#VALUE!</v>
      </c>
      <c r="Q359" s="34" t="e" cm="1">
        <f t="array" aca="1" ref="Q359" ca="1">IF(AND(G359=INDIRECT("'["&amp;G359&amp;"]"&amp;E359&amp;"'!"&amp;$AH$2),OR(VALUE(I359)=INDIRECT("'["&amp;G359&amp;"]"&amp;E359&amp;"'!"&amp;$AC$2))),INDIRECT("'["&amp;G359&amp;"]"&amp;E359&amp;"'!"&amp;$AC$3),0)</f>
        <v>#VALUE!</v>
      </c>
      <c r="R359" s="34" t="e" cm="1">
        <f t="array" aca="1" ref="R359" ca="1">IF(AND(G359=INDIRECT("'["&amp;G359&amp;"]"&amp;E359&amp;"'!"&amp;$AH$2),OR(I359=INDIRECT("'["&amp;G359&amp;"]"&amp;E359&amp;"'!"&amp;$AD$2))),INDIRECT("'["&amp;G359&amp;"]"&amp;E359&amp;"'!"&amp;$AD$3),0)</f>
        <v>#VALUE!</v>
      </c>
      <c r="S359" s="34" t="e" cm="1">
        <f t="array" aca="1" ref="S359" ca="1">IF(AND(G359=INDIRECT("'["&amp;G359&amp;"]"&amp;E359&amp;"'!"&amp;$AH$2),OR(I359=INDIRECT("'["&amp;G359&amp;"]"&amp;E359&amp;"'!"&amp;$AE$2))),INDIRECT("'["&amp;G359&amp;"]"&amp;E359&amp;"'!"&amp;$AE$3),0)</f>
        <v>#VALUE!</v>
      </c>
      <c r="T359" s="35" t="e" cm="1">
        <f t="array" aca="1" ref="T359" ca="1">IF(AND(G359=INDIRECT("'["&amp;G359&amp;"]"&amp;E359&amp;"'!"&amp;$AH$2),OR(I359=INDIRECT("'["&amp;G359&amp;"]"&amp;E359&amp;"'!"&amp;$AF$2))),INDIRECT("'["&amp;G359&amp;"]"&amp;E359&amp;"'!"&amp;$AF$3),0)</f>
        <v>#VALUE!</v>
      </c>
      <c r="U359" s="34" t="e" cm="1">
        <f t="array" aca="1" ref="U359" ca="1">IF(AND(G359=INDIRECT("'["&amp;G359&amp;"]"&amp;E359&amp;"'!"&amp;$AH$2),OR(I359=INDIRECT("'["&amp;G359&amp;"]"&amp;E359&amp;"'!"&amp;$AG$2))),INDIRECT("'["&amp;G359&amp;"]"&amp;E359&amp;"'!"&amp;$AG$3),0)</f>
        <v>#VALUE!</v>
      </c>
      <c r="V359" s="25" t="str">
        <f t="shared" si="110"/>
        <v/>
      </c>
      <c r="W359" s="36" t="e" cm="1">
        <f t="array" aca="1" ref="W359" ca="1">IF(AND(G359=INDIRECT("'["&amp;G359&amp;"]"&amp;E359&amp;"'!"&amp;$AH$2),OR(V359=INDIRECT("'["&amp;G359&amp;"]"&amp;E359&amp;"'!"&amp;$AI$2))),INDIRECT("'["&amp;G359&amp;"]"&amp;E359&amp;"'!"&amp;$AI$3),0)</f>
        <v>#VALUE!</v>
      </c>
      <c r="AI359" s="53" t="e">
        <f ca="1">AQ359/AP359</f>
        <v>#VALUE!</v>
      </c>
      <c r="AJ359" s="25">
        <v>1</v>
      </c>
      <c r="AK359" s="38">
        <f t="shared" ca="1" si="95"/>
        <v>0</v>
      </c>
      <c r="AL359" s="38">
        <f t="shared" ca="1" si="96"/>
        <v>0</v>
      </c>
      <c r="AM359" s="54" t="str">
        <f t="shared" ca="1" si="97"/>
        <v/>
      </c>
      <c r="AN359" s="25" t="e">
        <f t="shared" ca="1" si="98"/>
        <v>#VALUE!</v>
      </c>
      <c r="AO359" s="25" t="e">
        <f t="shared" ca="1" si="99"/>
        <v>#VALUE!</v>
      </c>
      <c r="AP359" s="39" t="str">
        <f t="shared" ca="1" si="100"/>
        <v/>
      </c>
      <c r="AQ359" s="46" t="str">
        <f ca="1">IF(AND(C359&lt;&gt;0, C360=0), SUM($C$2:C359)-SUM($AQ$1:AQ358), "")</f>
        <v/>
      </c>
      <c r="AR359" s="46" t="str">
        <f ca="1">IF(AND(AK359&lt;&gt;0, AK360=0), SUM($AK$2:AK359)-SUM($AR$1:AR358), "")</f>
        <v/>
      </c>
      <c r="AS359" s="52"/>
      <c r="AT359" s="52"/>
      <c r="AU359" s="53"/>
    </row>
    <row r="360" spans="1:47" ht="13.15" customHeight="1">
      <c r="A360" s="62"/>
      <c r="B360" s="68" t="str">
        <f t="shared" si="101"/>
        <v/>
      </c>
      <c r="C360" s="55" cm="1">
        <f t="array" aca="1" ref="C360" ca="1">SUM(IF(ISNUMBER(M360:U360),M360:U360,""))</f>
        <v>0</v>
      </c>
      <c r="D360" s="25" t="str">
        <f t="shared" si="102"/>
        <v/>
      </c>
      <c r="E360" s="25" t="e">
        <f t="shared" si="103"/>
        <v>#VALUE!</v>
      </c>
      <c r="F360" s="25" t="str">
        <f t="shared" si="104"/>
        <v/>
      </c>
      <c r="G360" s="25" t="str">
        <f t="shared" si="105"/>
        <v>.xlsx</v>
      </c>
      <c r="H360" s="29" t="e" cm="1">
        <f t="array" aca="1" ref="H360" ca="1">IF(AND(VALUE(E360)=INDIRECT("'["&amp;G360&amp;"]"&amp;E360&amp;"'!"&amp;$X$2),G360=INDIRECT("'["&amp;G360&amp;"]"&amp;E360&amp;"'!"&amp;$X$3)),INDIRECT("'["&amp;G360&amp;"]"&amp;E360&amp;"'!"&amp;$X$1),0)</f>
        <v>#VALUE!</v>
      </c>
      <c r="I360" s="25" t="str">
        <f t="shared" si="106"/>
        <v/>
      </c>
      <c r="J360" s="32" t="str">
        <f t="shared" si="107"/>
        <v/>
      </c>
      <c r="K360" s="25" t="str">
        <f t="shared" si="108"/>
        <v/>
      </c>
      <c r="L360" s="25" t="str">
        <f t="shared" si="109"/>
        <v/>
      </c>
      <c r="M360" s="33" t="e" cm="1">
        <f t="array" aca="1" ref="M360" ca="1">IF(AND(J360=INDIRECT("'["&amp;G360&amp;"]"&amp;E360&amp;"'!"&amp;$Y$2),G360=INDIRECT("'["&amp;G360&amp;"]"&amp;E360&amp;"'!"&amp;$AH$2)),INDIRECT("'["&amp;G360&amp;"]"&amp;E360&amp;"'!"&amp;$Y$3),0)</f>
        <v>#VALUE!</v>
      </c>
      <c r="N360" s="34" t="e" cm="1">
        <f t="array" aca="1" ref="N360" ca="1">IF(AND(G360=INDIRECT("'["&amp;G360&amp;"]"&amp;E360&amp;"'!"&amp;$AH$2),OR(K360=INDIRECT("'["&amp;G360&amp;"]"&amp;E360&amp;"'!"&amp;$Z$2))),INDIRECT("'["&amp;G360&amp;"]"&amp;E360&amp;"'!"&amp;$Z$3),0)</f>
        <v>#VALUE!</v>
      </c>
      <c r="O360" s="34" t="e" cm="1">
        <f t="array" aca="1" ref="O360" ca="1">IF(AND(G360=INDIRECT("'["&amp;G360&amp;"]"&amp;E360&amp;"'!"&amp;$AH$2),OR(L360=INDIRECT("'["&amp;G360&amp;"]"&amp;E360&amp;"'!"&amp;$AA$2))),INDIRECT("'["&amp;G360&amp;"]"&amp;E360&amp;"'!"&amp;$AA$3),0)</f>
        <v>#VALUE!</v>
      </c>
      <c r="P360" s="34" t="e" cm="1">
        <f t="array" aca="1" ref="P360" ca="1">IF(AND(G360=INDIRECT("'["&amp;G360&amp;"]"&amp;E360&amp;"'!"&amp;$AH$2),OR(VALUE(I360)=INDIRECT("'["&amp;G360&amp;"]"&amp;E360&amp;"'!"&amp;$AB$2))),INDIRECT("'["&amp;G360&amp;"]"&amp;E360&amp;"'!"&amp;$AB$3),0)</f>
        <v>#VALUE!</v>
      </c>
      <c r="Q360" s="34" t="e" cm="1">
        <f t="array" aca="1" ref="Q360" ca="1">IF(AND(G360=INDIRECT("'["&amp;G360&amp;"]"&amp;E360&amp;"'!"&amp;$AH$2),OR(VALUE(I360)=INDIRECT("'["&amp;G360&amp;"]"&amp;E360&amp;"'!"&amp;$AC$2))),INDIRECT("'["&amp;G360&amp;"]"&amp;E360&amp;"'!"&amp;$AC$3),0)</f>
        <v>#VALUE!</v>
      </c>
      <c r="R360" s="34" t="e" cm="1">
        <f t="array" aca="1" ref="R360" ca="1">IF(AND(G360=INDIRECT("'["&amp;G360&amp;"]"&amp;E360&amp;"'!"&amp;$AH$2),OR(I360=INDIRECT("'["&amp;G360&amp;"]"&amp;E360&amp;"'!"&amp;$AD$2))),INDIRECT("'["&amp;G360&amp;"]"&amp;E360&amp;"'!"&amp;$AD$3),0)</f>
        <v>#VALUE!</v>
      </c>
      <c r="S360" s="34" t="e" cm="1">
        <f t="array" aca="1" ref="S360" ca="1">IF(AND(G360=INDIRECT("'["&amp;G360&amp;"]"&amp;E360&amp;"'!"&amp;$AH$2),OR(I360=INDIRECT("'["&amp;G360&amp;"]"&amp;E360&amp;"'!"&amp;$AE$2))),INDIRECT("'["&amp;G360&amp;"]"&amp;E360&amp;"'!"&amp;$AE$3),0)</f>
        <v>#VALUE!</v>
      </c>
      <c r="T360" s="35" t="e" cm="1">
        <f t="array" aca="1" ref="T360" ca="1">IF(AND(G360=INDIRECT("'["&amp;G360&amp;"]"&amp;E360&amp;"'!"&amp;$AH$2),OR(I360=INDIRECT("'["&amp;G360&amp;"]"&amp;E360&amp;"'!"&amp;$AF$2))),INDIRECT("'["&amp;G360&amp;"]"&amp;E360&amp;"'!"&amp;$AF$3),0)</f>
        <v>#VALUE!</v>
      </c>
      <c r="U360" s="34" t="e" cm="1">
        <f t="array" aca="1" ref="U360" ca="1">IF(AND(G360=INDIRECT("'["&amp;G360&amp;"]"&amp;E360&amp;"'!"&amp;$AH$2),OR(I360=INDIRECT("'["&amp;G360&amp;"]"&amp;E360&amp;"'!"&amp;$AG$2))),INDIRECT("'["&amp;G360&amp;"]"&amp;E360&amp;"'!"&amp;$AG$3),0)</f>
        <v>#VALUE!</v>
      </c>
      <c r="V360" s="25" t="str">
        <f t="shared" si="110"/>
        <v/>
      </c>
      <c r="W360" s="36" t="e" cm="1">
        <f t="array" aca="1" ref="W360" ca="1">IF(AND(G360=INDIRECT("'["&amp;G360&amp;"]"&amp;E360&amp;"'!"&amp;$AH$2),OR(V360=INDIRECT("'["&amp;G360&amp;"]"&amp;E360&amp;"'!"&amp;$AI$2))),INDIRECT("'["&amp;G360&amp;"]"&amp;E360&amp;"'!"&amp;$AI$3),0)</f>
        <v>#VALUE!</v>
      </c>
      <c r="AI360" s="52"/>
      <c r="AJ360" s="25">
        <v>1</v>
      </c>
      <c r="AK360" s="38">
        <f t="shared" ca="1" si="95"/>
        <v>0</v>
      </c>
      <c r="AL360" s="38">
        <f t="shared" ca="1" si="96"/>
        <v>0</v>
      </c>
      <c r="AM360" s="54" t="str">
        <f t="shared" ca="1" si="97"/>
        <v/>
      </c>
      <c r="AN360" s="25" t="e">
        <f t="shared" ca="1" si="98"/>
        <v>#VALUE!</v>
      </c>
      <c r="AO360" s="25" t="e">
        <f t="shared" ca="1" si="99"/>
        <v>#VALUE!</v>
      </c>
      <c r="AP360" s="39" t="str">
        <f t="shared" ca="1" si="100"/>
        <v/>
      </c>
      <c r="AQ360" s="46" t="str">
        <f ca="1">IF(AND(C360&lt;&gt;0, C361=0), SUM($C$2:C360)-SUM($AQ$1:AQ359), "")</f>
        <v/>
      </c>
      <c r="AR360" s="46" t="str">
        <f ca="1">IF(AND(AK360&lt;&gt;0, AK361=0), SUM($AK$2:AK360)-SUM($AR$1:AR359), "")</f>
        <v/>
      </c>
      <c r="AS360" s="52"/>
      <c r="AT360" s="52"/>
      <c r="AU360" s="52"/>
    </row>
    <row r="361" spans="1:47" ht="13.15" customHeight="1">
      <c r="A361" s="62"/>
      <c r="B361" s="68" t="str">
        <f t="shared" si="101"/>
        <v/>
      </c>
      <c r="C361" s="55" cm="1">
        <f t="array" aca="1" ref="C361" ca="1">SUM(IF(ISNUMBER(M361:U361),M361:U361,""))</f>
        <v>0</v>
      </c>
      <c r="D361" s="25" t="str">
        <f t="shared" si="102"/>
        <v/>
      </c>
      <c r="E361" s="25" t="e">
        <f t="shared" si="103"/>
        <v>#VALUE!</v>
      </c>
      <c r="F361" s="25" t="str">
        <f t="shared" si="104"/>
        <v/>
      </c>
      <c r="G361" s="25" t="str">
        <f t="shared" si="105"/>
        <v>.xlsx</v>
      </c>
      <c r="H361" s="29" t="e" cm="1">
        <f t="array" aca="1" ref="H361" ca="1">IF(AND(VALUE(E361)=INDIRECT("'["&amp;G361&amp;"]"&amp;E361&amp;"'!"&amp;$X$2),G361=INDIRECT("'["&amp;G361&amp;"]"&amp;E361&amp;"'!"&amp;$X$3)),INDIRECT("'["&amp;G361&amp;"]"&amp;E361&amp;"'!"&amp;$X$1),0)</f>
        <v>#VALUE!</v>
      </c>
      <c r="I361" s="25" t="str">
        <f t="shared" si="106"/>
        <v/>
      </c>
      <c r="J361" s="32" t="str">
        <f t="shared" si="107"/>
        <v/>
      </c>
      <c r="K361" s="25" t="str">
        <f t="shared" si="108"/>
        <v/>
      </c>
      <c r="L361" s="25" t="str">
        <f t="shared" si="109"/>
        <v/>
      </c>
      <c r="M361" s="33" t="e" cm="1">
        <f t="array" aca="1" ref="M361" ca="1">IF(AND(J361=INDIRECT("'["&amp;G361&amp;"]"&amp;E361&amp;"'!"&amp;$Y$2),G361=INDIRECT("'["&amp;G361&amp;"]"&amp;E361&amp;"'!"&amp;$AH$2)),INDIRECT("'["&amp;G361&amp;"]"&amp;E361&amp;"'!"&amp;$Y$3),0)</f>
        <v>#VALUE!</v>
      </c>
      <c r="N361" s="34" t="e" cm="1">
        <f t="array" aca="1" ref="N361" ca="1">IF(AND(G361=INDIRECT("'["&amp;G361&amp;"]"&amp;E361&amp;"'!"&amp;$AH$2),OR(K361=INDIRECT("'["&amp;G361&amp;"]"&amp;E361&amp;"'!"&amp;$Z$2))),INDIRECT("'["&amp;G361&amp;"]"&amp;E361&amp;"'!"&amp;$Z$3),0)</f>
        <v>#VALUE!</v>
      </c>
      <c r="O361" s="34" t="e" cm="1">
        <f t="array" aca="1" ref="O361" ca="1">IF(AND(G361=INDIRECT("'["&amp;G361&amp;"]"&amp;E361&amp;"'!"&amp;$AH$2),OR(L361=INDIRECT("'["&amp;G361&amp;"]"&amp;E361&amp;"'!"&amp;$AA$2))),INDIRECT("'["&amp;G361&amp;"]"&amp;E361&amp;"'!"&amp;$AA$3),0)</f>
        <v>#VALUE!</v>
      </c>
      <c r="P361" s="34" t="e" cm="1">
        <f t="array" aca="1" ref="P361" ca="1">IF(AND(G361=INDIRECT("'["&amp;G361&amp;"]"&amp;E361&amp;"'!"&amp;$AH$2),OR(VALUE(I361)=INDIRECT("'["&amp;G361&amp;"]"&amp;E361&amp;"'!"&amp;$AB$2))),INDIRECT("'["&amp;G361&amp;"]"&amp;E361&amp;"'!"&amp;$AB$3),0)</f>
        <v>#VALUE!</v>
      </c>
      <c r="Q361" s="34" t="e" cm="1">
        <f t="array" aca="1" ref="Q361" ca="1">IF(AND(G361=INDIRECT("'["&amp;G361&amp;"]"&amp;E361&amp;"'!"&amp;$AH$2),OR(VALUE(I361)=INDIRECT("'["&amp;G361&amp;"]"&amp;E361&amp;"'!"&amp;$AC$2))),INDIRECT("'["&amp;G361&amp;"]"&amp;E361&amp;"'!"&amp;$AC$3),0)</f>
        <v>#VALUE!</v>
      </c>
      <c r="R361" s="34" t="e" cm="1">
        <f t="array" aca="1" ref="R361" ca="1">IF(AND(G361=INDIRECT("'["&amp;G361&amp;"]"&amp;E361&amp;"'!"&amp;$AH$2),OR(I361=INDIRECT("'["&amp;G361&amp;"]"&amp;E361&amp;"'!"&amp;$AD$2))),INDIRECT("'["&amp;G361&amp;"]"&amp;E361&amp;"'!"&amp;$AD$3),0)</f>
        <v>#VALUE!</v>
      </c>
      <c r="S361" s="34" t="e" cm="1">
        <f t="array" aca="1" ref="S361" ca="1">IF(AND(G361=INDIRECT("'["&amp;G361&amp;"]"&amp;E361&amp;"'!"&amp;$AH$2),OR(I361=INDIRECT("'["&amp;G361&amp;"]"&amp;E361&amp;"'!"&amp;$AE$2))),INDIRECT("'["&amp;G361&amp;"]"&amp;E361&amp;"'!"&amp;$AE$3),0)</f>
        <v>#VALUE!</v>
      </c>
      <c r="T361" s="35" t="e" cm="1">
        <f t="array" aca="1" ref="T361" ca="1">IF(AND(G361=INDIRECT("'["&amp;G361&amp;"]"&amp;E361&amp;"'!"&amp;$AH$2),OR(I361=INDIRECT("'["&amp;G361&amp;"]"&amp;E361&amp;"'!"&amp;$AF$2))),INDIRECT("'["&amp;G361&amp;"]"&amp;E361&amp;"'!"&amp;$AF$3),0)</f>
        <v>#VALUE!</v>
      </c>
      <c r="U361" s="34" t="e" cm="1">
        <f t="array" aca="1" ref="U361" ca="1">IF(AND(G361=INDIRECT("'["&amp;G361&amp;"]"&amp;E361&amp;"'!"&amp;$AH$2),OR(I361=INDIRECT("'["&amp;G361&amp;"]"&amp;E361&amp;"'!"&amp;$AG$2))),INDIRECT("'["&amp;G361&amp;"]"&amp;E361&amp;"'!"&amp;$AG$3),0)</f>
        <v>#VALUE!</v>
      </c>
      <c r="V361" s="25" t="str">
        <f t="shared" si="110"/>
        <v/>
      </c>
      <c r="W361" s="36" t="e" cm="1">
        <f t="array" aca="1" ref="W361" ca="1">IF(AND(G361=INDIRECT("'["&amp;G361&amp;"]"&amp;E361&amp;"'!"&amp;$AH$2),OR(V361=INDIRECT("'["&amp;G361&amp;"]"&amp;E361&amp;"'!"&amp;$AI$2))),INDIRECT("'["&amp;G361&amp;"]"&amp;E361&amp;"'!"&amp;$AI$3),0)</f>
        <v>#VALUE!</v>
      </c>
      <c r="AI361" s="52">
        <v>33.32</v>
      </c>
      <c r="AJ361" s="25">
        <v>1</v>
      </c>
      <c r="AK361" s="38">
        <f t="shared" ca="1" si="95"/>
        <v>0</v>
      </c>
      <c r="AL361" s="38">
        <f t="shared" ca="1" si="96"/>
        <v>0</v>
      </c>
      <c r="AM361" s="54" t="str">
        <f t="shared" ca="1" si="97"/>
        <v/>
      </c>
      <c r="AN361" s="25" t="e">
        <f t="shared" ca="1" si="98"/>
        <v>#VALUE!</v>
      </c>
      <c r="AO361" s="25" t="e">
        <f t="shared" ca="1" si="99"/>
        <v>#VALUE!</v>
      </c>
      <c r="AP361" s="39" t="str">
        <f t="shared" ca="1" si="100"/>
        <v/>
      </c>
      <c r="AQ361" s="46" t="str">
        <f ca="1">IF(AND(C361&lt;&gt;0, C362=0), SUM($C$2:C361)-SUM($AQ$1:AQ360), "")</f>
        <v/>
      </c>
      <c r="AR361" s="46" t="str">
        <f ca="1">IF(AND(AK361&lt;&gt;0, AK362=0), SUM($AK$2:AK361)-SUM($AR$1:AR360), "")</f>
        <v/>
      </c>
      <c r="AS361" s="52"/>
      <c r="AT361" s="52"/>
      <c r="AU361" s="52"/>
    </row>
    <row r="362" spans="1:47" ht="13.15" customHeight="1">
      <c r="A362" s="62"/>
      <c r="B362" s="68" t="str">
        <f t="shared" si="101"/>
        <v/>
      </c>
      <c r="C362" s="55" cm="1">
        <f t="array" aca="1" ref="C362" ca="1">SUM(IF(ISNUMBER(M362:U362),M362:U362,""))</f>
        <v>0</v>
      </c>
      <c r="D362" s="25" t="str">
        <f t="shared" si="102"/>
        <v/>
      </c>
      <c r="E362" s="25" t="e">
        <f t="shared" si="103"/>
        <v>#VALUE!</v>
      </c>
      <c r="F362" s="25" t="str">
        <f t="shared" si="104"/>
        <v/>
      </c>
      <c r="G362" s="25" t="str">
        <f t="shared" si="105"/>
        <v>.xlsx</v>
      </c>
      <c r="H362" s="29" t="e" cm="1">
        <f t="array" aca="1" ref="H362" ca="1">IF(AND(VALUE(E362)=INDIRECT("'["&amp;G362&amp;"]"&amp;E362&amp;"'!"&amp;$X$2),G362=INDIRECT("'["&amp;G362&amp;"]"&amp;E362&amp;"'!"&amp;$X$3)),INDIRECT("'["&amp;G362&amp;"]"&amp;E362&amp;"'!"&amp;$X$1),0)</f>
        <v>#VALUE!</v>
      </c>
      <c r="I362" s="25" t="str">
        <f t="shared" si="106"/>
        <v/>
      </c>
      <c r="J362" s="32" t="str">
        <f t="shared" si="107"/>
        <v/>
      </c>
      <c r="K362" s="25" t="str">
        <f t="shared" si="108"/>
        <v/>
      </c>
      <c r="L362" s="25" t="str">
        <f t="shared" si="109"/>
        <v/>
      </c>
      <c r="M362" s="33" t="e" cm="1">
        <f t="array" aca="1" ref="M362" ca="1">IF(AND(J362=INDIRECT("'["&amp;G362&amp;"]"&amp;E362&amp;"'!"&amp;$Y$2),G362=INDIRECT("'["&amp;G362&amp;"]"&amp;E362&amp;"'!"&amp;$AH$2)),INDIRECT("'["&amp;G362&amp;"]"&amp;E362&amp;"'!"&amp;$Y$3),0)</f>
        <v>#VALUE!</v>
      </c>
      <c r="N362" s="34" t="e" cm="1">
        <f t="array" aca="1" ref="N362" ca="1">IF(AND(G362=INDIRECT("'["&amp;G362&amp;"]"&amp;E362&amp;"'!"&amp;$AH$2),OR(K362=INDIRECT("'["&amp;G362&amp;"]"&amp;E362&amp;"'!"&amp;$Z$2))),INDIRECT("'["&amp;G362&amp;"]"&amp;E362&amp;"'!"&amp;$Z$3),0)</f>
        <v>#VALUE!</v>
      </c>
      <c r="O362" s="34" t="e" cm="1">
        <f t="array" aca="1" ref="O362" ca="1">IF(AND(G362=INDIRECT("'["&amp;G362&amp;"]"&amp;E362&amp;"'!"&amp;$AH$2),OR(L362=INDIRECT("'["&amp;G362&amp;"]"&amp;E362&amp;"'!"&amp;$AA$2))),INDIRECT("'["&amp;G362&amp;"]"&amp;E362&amp;"'!"&amp;$AA$3),0)</f>
        <v>#VALUE!</v>
      </c>
      <c r="P362" s="34" t="e" cm="1">
        <f t="array" aca="1" ref="P362" ca="1">IF(AND(G362=INDIRECT("'["&amp;G362&amp;"]"&amp;E362&amp;"'!"&amp;$AH$2),OR(VALUE(I362)=INDIRECT("'["&amp;G362&amp;"]"&amp;E362&amp;"'!"&amp;$AB$2))),INDIRECT("'["&amp;G362&amp;"]"&amp;E362&amp;"'!"&amp;$AB$3),0)</f>
        <v>#VALUE!</v>
      </c>
      <c r="Q362" s="34" t="e" cm="1">
        <f t="array" aca="1" ref="Q362" ca="1">IF(AND(G362=INDIRECT("'["&amp;G362&amp;"]"&amp;E362&amp;"'!"&amp;$AH$2),OR(VALUE(I362)=INDIRECT("'["&amp;G362&amp;"]"&amp;E362&amp;"'!"&amp;$AC$2))),INDIRECT("'["&amp;G362&amp;"]"&amp;E362&amp;"'!"&amp;$AC$3),0)</f>
        <v>#VALUE!</v>
      </c>
      <c r="R362" s="34" t="e" cm="1">
        <f t="array" aca="1" ref="R362" ca="1">IF(AND(G362=INDIRECT("'["&amp;G362&amp;"]"&amp;E362&amp;"'!"&amp;$AH$2),OR(I362=INDIRECT("'["&amp;G362&amp;"]"&amp;E362&amp;"'!"&amp;$AD$2))),INDIRECT("'["&amp;G362&amp;"]"&amp;E362&amp;"'!"&amp;$AD$3),0)</f>
        <v>#VALUE!</v>
      </c>
      <c r="S362" s="34" t="e" cm="1">
        <f t="array" aca="1" ref="S362" ca="1">IF(AND(G362=INDIRECT("'["&amp;G362&amp;"]"&amp;E362&amp;"'!"&amp;$AH$2),OR(I362=INDIRECT("'["&amp;G362&amp;"]"&amp;E362&amp;"'!"&amp;$AE$2))),INDIRECT("'["&amp;G362&amp;"]"&amp;E362&amp;"'!"&amp;$AE$3),0)</f>
        <v>#VALUE!</v>
      </c>
      <c r="T362" s="35" t="e" cm="1">
        <f t="array" aca="1" ref="T362" ca="1">IF(AND(G362=INDIRECT("'["&amp;G362&amp;"]"&amp;E362&amp;"'!"&amp;$AH$2),OR(I362=INDIRECT("'["&amp;G362&amp;"]"&amp;E362&amp;"'!"&amp;$AF$2))),INDIRECT("'["&amp;G362&amp;"]"&amp;E362&amp;"'!"&amp;$AF$3),0)</f>
        <v>#VALUE!</v>
      </c>
      <c r="U362" s="34" t="e" cm="1">
        <f t="array" aca="1" ref="U362" ca="1">IF(AND(G362=INDIRECT("'["&amp;G362&amp;"]"&amp;E362&amp;"'!"&amp;$AH$2),OR(I362=INDIRECT("'["&amp;G362&amp;"]"&amp;E362&amp;"'!"&amp;$AG$2))),INDIRECT("'["&amp;G362&amp;"]"&amp;E362&amp;"'!"&amp;$AG$3),0)</f>
        <v>#VALUE!</v>
      </c>
      <c r="V362" s="25" t="str">
        <f t="shared" si="110"/>
        <v/>
      </c>
      <c r="W362" s="36" t="e" cm="1">
        <f t="array" aca="1" ref="W362" ca="1">IF(AND(G362=INDIRECT("'["&amp;G362&amp;"]"&amp;E362&amp;"'!"&amp;$AH$2),OR(V362=INDIRECT("'["&amp;G362&amp;"]"&amp;E362&amp;"'!"&amp;$AI$2))),INDIRECT("'["&amp;G362&amp;"]"&amp;E362&amp;"'!"&amp;$AI$3),0)</f>
        <v>#VALUE!</v>
      </c>
      <c r="AI362" s="52">
        <v>33.090000000000003</v>
      </c>
      <c r="AJ362" s="25">
        <v>1</v>
      </c>
      <c r="AK362" s="38">
        <f t="shared" ca="1" si="95"/>
        <v>0</v>
      </c>
      <c r="AL362" s="38">
        <f t="shared" ca="1" si="96"/>
        <v>0</v>
      </c>
      <c r="AM362" s="54" t="str">
        <f t="shared" ca="1" si="97"/>
        <v/>
      </c>
      <c r="AN362" s="25" t="e">
        <f t="shared" ca="1" si="98"/>
        <v>#VALUE!</v>
      </c>
      <c r="AO362" s="25" t="e">
        <f t="shared" ca="1" si="99"/>
        <v>#VALUE!</v>
      </c>
      <c r="AP362" s="39" t="str">
        <f t="shared" ca="1" si="100"/>
        <v/>
      </c>
      <c r="AQ362" s="46" t="str">
        <f ca="1">IF(AND(C362&lt;&gt;0, C363=0), SUM($C$2:C362)-SUM($AQ$1:AQ361), "")</f>
        <v/>
      </c>
      <c r="AR362" s="46" t="str">
        <f ca="1">IF(AND(AK362&lt;&gt;0, AK363=0), SUM($AK$2:AK362)-SUM($AR$1:AR361), "")</f>
        <v/>
      </c>
      <c r="AS362" s="52"/>
      <c r="AT362" s="52"/>
      <c r="AU362" s="52"/>
    </row>
    <row r="363" spans="1:47" ht="13.15" customHeight="1">
      <c r="A363" s="62"/>
      <c r="B363" s="68" t="str">
        <f t="shared" si="101"/>
        <v/>
      </c>
      <c r="C363" s="55" cm="1">
        <f t="array" aca="1" ref="C363" ca="1">SUM(IF(ISNUMBER(M363:U363),M363:U363,""))</f>
        <v>0</v>
      </c>
      <c r="D363" s="25" t="str">
        <f t="shared" si="102"/>
        <v/>
      </c>
      <c r="E363" s="25" t="e">
        <f t="shared" si="103"/>
        <v>#VALUE!</v>
      </c>
      <c r="F363" s="25" t="str">
        <f t="shared" si="104"/>
        <v/>
      </c>
      <c r="G363" s="25" t="str">
        <f t="shared" si="105"/>
        <v>.xlsx</v>
      </c>
      <c r="H363" s="29" t="e" cm="1">
        <f t="array" aca="1" ref="H363" ca="1">IF(AND(VALUE(E363)=INDIRECT("'["&amp;G363&amp;"]"&amp;E363&amp;"'!"&amp;$X$2),G363=INDIRECT("'["&amp;G363&amp;"]"&amp;E363&amp;"'!"&amp;$X$3)),INDIRECT("'["&amp;G363&amp;"]"&amp;E363&amp;"'!"&amp;$X$1),0)</f>
        <v>#VALUE!</v>
      </c>
      <c r="I363" s="25" t="str">
        <f t="shared" si="106"/>
        <v/>
      </c>
      <c r="J363" s="32" t="str">
        <f t="shared" si="107"/>
        <v/>
      </c>
      <c r="K363" s="25" t="str">
        <f t="shared" si="108"/>
        <v/>
      </c>
      <c r="L363" s="25" t="str">
        <f t="shared" si="109"/>
        <v/>
      </c>
      <c r="M363" s="33" t="e" cm="1">
        <f t="array" aca="1" ref="M363" ca="1">IF(AND(J363=INDIRECT("'["&amp;G363&amp;"]"&amp;E363&amp;"'!"&amp;$Y$2),G363=INDIRECT("'["&amp;G363&amp;"]"&amp;E363&amp;"'!"&amp;$AH$2)),INDIRECT("'["&amp;G363&amp;"]"&amp;E363&amp;"'!"&amp;$Y$3),0)</f>
        <v>#VALUE!</v>
      </c>
      <c r="N363" s="34" t="e" cm="1">
        <f t="array" aca="1" ref="N363" ca="1">IF(AND(G363=INDIRECT("'["&amp;G363&amp;"]"&amp;E363&amp;"'!"&amp;$AH$2),OR(K363=INDIRECT("'["&amp;G363&amp;"]"&amp;E363&amp;"'!"&amp;$Z$2))),INDIRECT("'["&amp;G363&amp;"]"&amp;E363&amp;"'!"&amp;$Z$3),0)</f>
        <v>#VALUE!</v>
      </c>
      <c r="O363" s="34" t="e" cm="1">
        <f t="array" aca="1" ref="O363" ca="1">IF(AND(G363=INDIRECT("'["&amp;G363&amp;"]"&amp;E363&amp;"'!"&amp;$AH$2),OR(L363=INDIRECT("'["&amp;G363&amp;"]"&amp;E363&amp;"'!"&amp;$AA$2))),INDIRECT("'["&amp;G363&amp;"]"&amp;E363&amp;"'!"&amp;$AA$3),0)</f>
        <v>#VALUE!</v>
      </c>
      <c r="P363" s="34" t="e" cm="1">
        <f t="array" aca="1" ref="P363" ca="1">IF(AND(G363=INDIRECT("'["&amp;G363&amp;"]"&amp;E363&amp;"'!"&amp;$AH$2),OR(VALUE(I363)=INDIRECT("'["&amp;G363&amp;"]"&amp;E363&amp;"'!"&amp;$AB$2))),INDIRECT("'["&amp;G363&amp;"]"&amp;E363&amp;"'!"&amp;$AB$3),0)</f>
        <v>#VALUE!</v>
      </c>
      <c r="Q363" s="34" t="e" cm="1">
        <f t="array" aca="1" ref="Q363" ca="1">IF(AND(G363=INDIRECT("'["&amp;G363&amp;"]"&amp;E363&amp;"'!"&amp;$AH$2),OR(VALUE(I363)=INDIRECT("'["&amp;G363&amp;"]"&amp;E363&amp;"'!"&amp;$AC$2))),INDIRECT("'["&amp;G363&amp;"]"&amp;E363&amp;"'!"&amp;$AC$3),0)</f>
        <v>#VALUE!</v>
      </c>
      <c r="R363" s="34" t="e" cm="1">
        <f t="array" aca="1" ref="R363" ca="1">IF(AND(G363=INDIRECT("'["&amp;G363&amp;"]"&amp;E363&amp;"'!"&amp;$AH$2),OR(I363=INDIRECT("'["&amp;G363&amp;"]"&amp;E363&amp;"'!"&amp;$AD$2))),INDIRECT("'["&amp;G363&amp;"]"&amp;E363&amp;"'!"&amp;$AD$3),0)</f>
        <v>#VALUE!</v>
      </c>
      <c r="S363" s="34" t="e" cm="1">
        <f t="array" aca="1" ref="S363" ca="1">IF(AND(G363=INDIRECT("'["&amp;G363&amp;"]"&amp;E363&amp;"'!"&amp;$AH$2),OR(I363=INDIRECT("'["&amp;G363&amp;"]"&amp;E363&amp;"'!"&amp;$AE$2))),INDIRECT("'["&amp;G363&amp;"]"&amp;E363&amp;"'!"&amp;$AE$3),0)</f>
        <v>#VALUE!</v>
      </c>
      <c r="T363" s="35" t="e" cm="1">
        <f t="array" aca="1" ref="T363" ca="1">IF(AND(G363=INDIRECT("'["&amp;G363&amp;"]"&amp;E363&amp;"'!"&amp;$AH$2),OR(I363=INDIRECT("'["&amp;G363&amp;"]"&amp;E363&amp;"'!"&amp;$AF$2))),INDIRECT("'["&amp;G363&amp;"]"&amp;E363&amp;"'!"&amp;$AF$3),0)</f>
        <v>#VALUE!</v>
      </c>
      <c r="U363" s="34" t="e" cm="1">
        <f t="array" aca="1" ref="U363" ca="1">IF(AND(G363=INDIRECT("'["&amp;G363&amp;"]"&amp;E363&amp;"'!"&amp;$AH$2),OR(I363=INDIRECT("'["&amp;G363&amp;"]"&amp;E363&amp;"'!"&amp;$AG$2))),INDIRECT("'["&amp;G363&amp;"]"&amp;E363&amp;"'!"&amp;$AG$3),0)</f>
        <v>#VALUE!</v>
      </c>
      <c r="V363" s="25" t="str">
        <f t="shared" si="110"/>
        <v/>
      </c>
      <c r="W363" s="36" t="e" cm="1">
        <f t="array" aca="1" ref="W363" ca="1">IF(AND(G363=INDIRECT("'["&amp;G363&amp;"]"&amp;E363&amp;"'!"&amp;$AH$2),OR(V363=INDIRECT("'["&amp;G363&amp;"]"&amp;E363&amp;"'!"&amp;$AI$2))),INDIRECT("'["&amp;G363&amp;"]"&amp;E363&amp;"'!"&amp;$AI$3),0)</f>
        <v>#VALUE!</v>
      </c>
      <c r="AI363" s="52">
        <v>33.090000000000003</v>
      </c>
      <c r="AJ363" s="25">
        <v>1</v>
      </c>
      <c r="AK363" s="38">
        <f t="shared" ca="1" si="95"/>
        <v>0</v>
      </c>
      <c r="AL363" s="38">
        <f t="shared" ca="1" si="96"/>
        <v>0</v>
      </c>
      <c r="AM363" s="54" t="str">
        <f t="shared" ca="1" si="97"/>
        <v/>
      </c>
      <c r="AN363" s="25" t="e">
        <f t="shared" ca="1" si="98"/>
        <v>#VALUE!</v>
      </c>
      <c r="AO363" s="25" t="e">
        <f t="shared" ca="1" si="99"/>
        <v>#VALUE!</v>
      </c>
      <c r="AP363" s="39" t="str">
        <f t="shared" ca="1" si="100"/>
        <v/>
      </c>
      <c r="AQ363" s="46" t="str">
        <f ca="1">IF(AND(C363&lt;&gt;0, C364=0), SUM($C$2:C363)-SUM($AQ$1:AQ362), "")</f>
        <v/>
      </c>
      <c r="AR363" s="46" t="str">
        <f ca="1">IF(AND(AK363&lt;&gt;0, AK364=0), SUM($AK$2:AK363)-SUM($AR$1:AR362), "")</f>
        <v/>
      </c>
      <c r="AS363" s="52"/>
      <c r="AT363" s="52"/>
      <c r="AU363" s="52"/>
    </row>
    <row r="364" spans="1:47" ht="13.15" customHeight="1">
      <c r="A364" s="62"/>
      <c r="B364" s="68" t="str">
        <f t="shared" si="101"/>
        <v/>
      </c>
      <c r="C364" s="55" cm="1">
        <f t="array" aca="1" ref="C364" ca="1">SUM(IF(ISNUMBER(M364:U364),M364:U364,""))</f>
        <v>0</v>
      </c>
      <c r="D364" s="25" t="str">
        <f t="shared" si="102"/>
        <v/>
      </c>
      <c r="E364" s="25" t="e">
        <f t="shared" si="103"/>
        <v>#VALUE!</v>
      </c>
      <c r="F364" s="25" t="str">
        <f t="shared" si="104"/>
        <v/>
      </c>
      <c r="G364" s="25" t="str">
        <f t="shared" si="105"/>
        <v>.xlsx</v>
      </c>
      <c r="H364" s="29" t="e" cm="1">
        <f t="array" aca="1" ref="H364" ca="1">IF(AND(VALUE(E364)=INDIRECT("'["&amp;G364&amp;"]"&amp;E364&amp;"'!"&amp;$X$2),G364=INDIRECT("'["&amp;G364&amp;"]"&amp;E364&amp;"'!"&amp;$X$3)),INDIRECT("'["&amp;G364&amp;"]"&amp;E364&amp;"'!"&amp;$X$1),0)</f>
        <v>#VALUE!</v>
      </c>
      <c r="I364" s="25" t="str">
        <f t="shared" si="106"/>
        <v/>
      </c>
      <c r="J364" s="32" t="str">
        <f t="shared" si="107"/>
        <v/>
      </c>
      <c r="K364" s="25" t="str">
        <f t="shared" si="108"/>
        <v/>
      </c>
      <c r="L364" s="25" t="str">
        <f t="shared" si="109"/>
        <v/>
      </c>
      <c r="M364" s="33" t="e" cm="1">
        <f t="array" aca="1" ref="M364" ca="1">IF(AND(J364=INDIRECT("'["&amp;G364&amp;"]"&amp;E364&amp;"'!"&amp;$Y$2),G364=INDIRECT("'["&amp;G364&amp;"]"&amp;E364&amp;"'!"&amp;$AH$2)),INDIRECT("'["&amp;G364&amp;"]"&amp;E364&amp;"'!"&amp;$Y$3),0)</f>
        <v>#VALUE!</v>
      </c>
      <c r="N364" s="34" t="e" cm="1">
        <f t="array" aca="1" ref="N364" ca="1">IF(AND(G364=INDIRECT("'["&amp;G364&amp;"]"&amp;E364&amp;"'!"&amp;$AH$2),OR(K364=INDIRECT("'["&amp;G364&amp;"]"&amp;E364&amp;"'!"&amp;$Z$2))),INDIRECT("'["&amp;G364&amp;"]"&amp;E364&amp;"'!"&amp;$Z$3),0)</f>
        <v>#VALUE!</v>
      </c>
      <c r="O364" s="34" t="e" cm="1">
        <f t="array" aca="1" ref="O364" ca="1">IF(AND(G364=INDIRECT("'["&amp;G364&amp;"]"&amp;E364&amp;"'!"&amp;$AH$2),OR(L364=INDIRECT("'["&amp;G364&amp;"]"&amp;E364&amp;"'!"&amp;$AA$2))),INDIRECT("'["&amp;G364&amp;"]"&amp;E364&amp;"'!"&amp;$AA$3),0)</f>
        <v>#VALUE!</v>
      </c>
      <c r="P364" s="34" t="e" cm="1">
        <f t="array" aca="1" ref="P364" ca="1">IF(AND(G364=INDIRECT("'["&amp;G364&amp;"]"&amp;E364&amp;"'!"&amp;$AH$2),OR(VALUE(I364)=INDIRECT("'["&amp;G364&amp;"]"&amp;E364&amp;"'!"&amp;$AB$2))),INDIRECT("'["&amp;G364&amp;"]"&amp;E364&amp;"'!"&amp;$AB$3),0)</f>
        <v>#VALUE!</v>
      </c>
      <c r="Q364" s="34" t="e" cm="1">
        <f t="array" aca="1" ref="Q364" ca="1">IF(AND(G364=INDIRECT("'["&amp;G364&amp;"]"&amp;E364&amp;"'!"&amp;$AH$2),OR(VALUE(I364)=INDIRECT("'["&amp;G364&amp;"]"&amp;E364&amp;"'!"&amp;$AC$2))),INDIRECT("'["&amp;G364&amp;"]"&amp;E364&amp;"'!"&amp;$AC$3),0)</f>
        <v>#VALUE!</v>
      </c>
      <c r="R364" s="34" t="e" cm="1">
        <f t="array" aca="1" ref="R364" ca="1">IF(AND(G364=INDIRECT("'["&amp;G364&amp;"]"&amp;E364&amp;"'!"&amp;$AH$2),OR(I364=INDIRECT("'["&amp;G364&amp;"]"&amp;E364&amp;"'!"&amp;$AD$2))),INDIRECT("'["&amp;G364&amp;"]"&amp;E364&amp;"'!"&amp;$AD$3),0)</f>
        <v>#VALUE!</v>
      </c>
      <c r="S364" s="34" t="e" cm="1">
        <f t="array" aca="1" ref="S364" ca="1">IF(AND(G364=INDIRECT("'["&amp;G364&amp;"]"&amp;E364&amp;"'!"&amp;$AH$2),OR(I364=INDIRECT("'["&amp;G364&amp;"]"&amp;E364&amp;"'!"&amp;$AE$2))),INDIRECT("'["&amp;G364&amp;"]"&amp;E364&amp;"'!"&amp;$AE$3),0)</f>
        <v>#VALUE!</v>
      </c>
      <c r="T364" s="35" t="e" cm="1">
        <f t="array" aca="1" ref="T364" ca="1">IF(AND(G364=INDIRECT("'["&amp;G364&amp;"]"&amp;E364&amp;"'!"&amp;$AH$2),OR(I364=INDIRECT("'["&amp;G364&amp;"]"&amp;E364&amp;"'!"&amp;$AF$2))),INDIRECT("'["&amp;G364&amp;"]"&amp;E364&amp;"'!"&amp;$AF$3),0)</f>
        <v>#VALUE!</v>
      </c>
      <c r="U364" s="34" t="e" cm="1">
        <f t="array" aca="1" ref="U364" ca="1">IF(AND(G364=INDIRECT("'["&amp;G364&amp;"]"&amp;E364&amp;"'!"&amp;$AH$2),OR(I364=INDIRECT("'["&amp;G364&amp;"]"&amp;E364&amp;"'!"&amp;$AG$2))),INDIRECT("'["&amp;G364&amp;"]"&amp;E364&amp;"'!"&amp;$AG$3),0)</f>
        <v>#VALUE!</v>
      </c>
      <c r="V364" s="25" t="str">
        <f t="shared" si="110"/>
        <v/>
      </c>
      <c r="W364" s="36" t="e" cm="1">
        <f t="array" aca="1" ref="W364" ca="1">IF(AND(G364=INDIRECT("'["&amp;G364&amp;"]"&amp;E364&amp;"'!"&amp;$AH$2),OR(V364=INDIRECT("'["&amp;G364&amp;"]"&amp;E364&amp;"'!"&amp;$AI$2))),INDIRECT("'["&amp;G364&amp;"]"&amp;E364&amp;"'!"&amp;$AI$3),0)</f>
        <v>#VALUE!</v>
      </c>
      <c r="AI364" s="52">
        <v>33.15</v>
      </c>
      <c r="AJ364" s="25">
        <v>1</v>
      </c>
      <c r="AK364" s="38">
        <f t="shared" ca="1" si="95"/>
        <v>0</v>
      </c>
      <c r="AL364" s="38">
        <f t="shared" ca="1" si="96"/>
        <v>0</v>
      </c>
      <c r="AM364" s="54" t="str">
        <f t="shared" ca="1" si="97"/>
        <v/>
      </c>
      <c r="AN364" s="25" t="e">
        <f t="shared" ca="1" si="98"/>
        <v>#VALUE!</v>
      </c>
      <c r="AO364" s="25" t="e">
        <f t="shared" ca="1" si="99"/>
        <v>#VALUE!</v>
      </c>
      <c r="AP364" s="39" t="str">
        <f t="shared" ca="1" si="100"/>
        <v/>
      </c>
      <c r="AQ364" s="46" t="str">
        <f ca="1">IF(AND(C364&lt;&gt;0, C365=0), SUM($C$2:C364)-SUM($AQ$1:AQ363), "")</f>
        <v/>
      </c>
      <c r="AR364" s="46" t="str">
        <f ca="1">IF(AND(AK364&lt;&gt;0, AK365=0), SUM($AK$2:AK364)-SUM($AR$1:AR363), "")</f>
        <v/>
      </c>
      <c r="AS364" s="52"/>
      <c r="AT364" s="52"/>
      <c r="AU364" s="52"/>
    </row>
    <row r="365" spans="1:47" ht="13.15" customHeight="1">
      <c r="A365" s="62"/>
      <c r="B365" s="68" t="str">
        <f t="shared" si="101"/>
        <v/>
      </c>
      <c r="C365" s="55" cm="1">
        <f t="array" aca="1" ref="C365" ca="1">SUM(IF(ISNUMBER(M365:U365),M365:U365,""))</f>
        <v>0</v>
      </c>
      <c r="D365" s="25" t="str">
        <f t="shared" si="102"/>
        <v/>
      </c>
      <c r="E365" s="25" t="e">
        <f t="shared" si="103"/>
        <v>#VALUE!</v>
      </c>
      <c r="F365" s="25" t="str">
        <f t="shared" si="104"/>
        <v/>
      </c>
      <c r="G365" s="25" t="str">
        <f t="shared" si="105"/>
        <v>.xlsx</v>
      </c>
      <c r="H365" s="29" t="e" cm="1">
        <f t="array" aca="1" ref="H365" ca="1">IF(AND(VALUE(E365)=INDIRECT("'["&amp;G365&amp;"]"&amp;E365&amp;"'!"&amp;$X$2),G365=INDIRECT("'["&amp;G365&amp;"]"&amp;E365&amp;"'!"&amp;$X$3)),INDIRECT("'["&amp;G365&amp;"]"&amp;E365&amp;"'!"&amp;$X$1),0)</f>
        <v>#VALUE!</v>
      </c>
      <c r="I365" s="25" t="str">
        <f t="shared" si="106"/>
        <v/>
      </c>
      <c r="J365" s="32" t="str">
        <f t="shared" si="107"/>
        <v/>
      </c>
      <c r="K365" s="25" t="str">
        <f t="shared" si="108"/>
        <v/>
      </c>
      <c r="L365" s="25" t="str">
        <f t="shared" si="109"/>
        <v/>
      </c>
      <c r="M365" s="33" t="e" cm="1">
        <f t="array" aca="1" ref="M365" ca="1">IF(AND(J365=INDIRECT("'["&amp;G365&amp;"]"&amp;E365&amp;"'!"&amp;$Y$2),G365=INDIRECT("'["&amp;G365&amp;"]"&amp;E365&amp;"'!"&amp;$AH$2)),INDIRECT("'["&amp;G365&amp;"]"&amp;E365&amp;"'!"&amp;$Y$3),0)</f>
        <v>#VALUE!</v>
      </c>
      <c r="N365" s="34" t="e" cm="1">
        <f t="array" aca="1" ref="N365" ca="1">IF(AND(G365=INDIRECT("'["&amp;G365&amp;"]"&amp;E365&amp;"'!"&amp;$AH$2),OR(K365=INDIRECT("'["&amp;G365&amp;"]"&amp;E365&amp;"'!"&amp;$Z$2))),INDIRECT("'["&amp;G365&amp;"]"&amp;E365&amp;"'!"&amp;$Z$3),0)</f>
        <v>#VALUE!</v>
      </c>
      <c r="O365" s="34" t="e" cm="1">
        <f t="array" aca="1" ref="O365" ca="1">IF(AND(G365=INDIRECT("'["&amp;G365&amp;"]"&amp;E365&amp;"'!"&amp;$AH$2),OR(L365=INDIRECT("'["&amp;G365&amp;"]"&amp;E365&amp;"'!"&amp;$AA$2))),INDIRECT("'["&amp;G365&amp;"]"&amp;E365&amp;"'!"&amp;$AA$3),0)</f>
        <v>#VALUE!</v>
      </c>
      <c r="P365" s="34" t="e" cm="1">
        <f t="array" aca="1" ref="P365" ca="1">IF(AND(G365=INDIRECT("'["&amp;G365&amp;"]"&amp;E365&amp;"'!"&amp;$AH$2),OR(VALUE(I365)=INDIRECT("'["&amp;G365&amp;"]"&amp;E365&amp;"'!"&amp;$AB$2))),INDIRECT("'["&amp;G365&amp;"]"&amp;E365&amp;"'!"&amp;$AB$3),0)</f>
        <v>#VALUE!</v>
      </c>
      <c r="Q365" s="34" t="e" cm="1">
        <f t="array" aca="1" ref="Q365" ca="1">IF(AND(G365=INDIRECT("'["&amp;G365&amp;"]"&amp;E365&amp;"'!"&amp;$AH$2),OR(VALUE(I365)=INDIRECT("'["&amp;G365&amp;"]"&amp;E365&amp;"'!"&amp;$AC$2))),INDIRECT("'["&amp;G365&amp;"]"&amp;E365&amp;"'!"&amp;$AC$3),0)</f>
        <v>#VALUE!</v>
      </c>
      <c r="R365" s="34" t="e" cm="1">
        <f t="array" aca="1" ref="R365" ca="1">IF(AND(G365=INDIRECT("'["&amp;G365&amp;"]"&amp;E365&amp;"'!"&amp;$AH$2),OR(I365=INDIRECT("'["&amp;G365&amp;"]"&amp;E365&amp;"'!"&amp;$AD$2))),INDIRECT("'["&amp;G365&amp;"]"&amp;E365&amp;"'!"&amp;$AD$3),0)</f>
        <v>#VALUE!</v>
      </c>
      <c r="S365" s="34" t="e" cm="1">
        <f t="array" aca="1" ref="S365" ca="1">IF(AND(G365=INDIRECT("'["&amp;G365&amp;"]"&amp;E365&amp;"'!"&amp;$AH$2),OR(I365=INDIRECT("'["&amp;G365&amp;"]"&amp;E365&amp;"'!"&amp;$AE$2))),INDIRECT("'["&amp;G365&amp;"]"&amp;E365&amp;"'!"&amp;$AE$3),0)</f>
        <v>#VALUE!</v>
      </c>
      <c r="T365" s="35" t="e" cm="1">
        <f t="array" aca="1" ref="T365" ca="1">IF(AND(G365=INDIRECT("'["&amp;G365&amp;"]"&amp;E365&amp;"'!"&amp;$AH$2),OR(I365=INDIRECT("'["&amp;G365&amp;"]"&amp;E365&amp;"'!"&amp;$AF$2))),INDIRECT("'["&amp;G365&amp;"]"&amp;E365&amp;"'!"&amp;$AF$3),0)</f>
        <v>#VALUE!</v>
      </c>
      <c r="U365" s="34" t="e" cm="1">
        <f t="array" aca="1" ref="U365" ca="1">IF(AND(G365=INDIRECT("'["&amp;G365&amp;"]"&amp;E365&amp;"'!"&amp;$AH$2),OR(I365=INDIRECT("'["&amp;G365&amp;"]"&amp;E365&amp;"'!"&amp;$AG$2))),INDIRECT("'["&amp;G365&amp;"]"&amp;E365&amp;"'!"&amp;$AG$3),0)</f>
        <v>#VALUE!</v>
      </c>
      <c r="V365" s="25" t="str">
        <f t="shared" si="110"/>
        <v/>
      </c>
      <c r="W365" s="36" t="e" cm="1">
        <f t="array" aca="1" ref="W365" ca="1">IF(AND(G365=INDIRECT("'["&amp;G365&amp;"]"&amp;E365&amp;"'!"&amp;$AH$2),OR(V365=INDIRECT("'["&amp;G365&amp;"]"&amp;E365&amp;"'!"&amp;$AI$2))),INDIRECT("'["&amp;G365&amp;"]"&amp;E365&amp;"'!"&amp;$AI$3),0)</f>
        <v>#VALUE!</v>
      </c>
      <c r="AI365" s="52">
        <v>33.159999999999997</v>
      </c>
      <c r="AJ365" s="25">
        <v>1</v>
      </c>
      <c r="AK365" s="38">
        <f t="shared" ca="1" si="95"/>
        <v>0</v>
      </c>
      <c r="AL365" s="38">
        <f t="shared" ca="1" si="96"/>
        <v>0</v>
      </c>
      <c r="AM365" s="54" t="str">
        <f t="shared" ca="1" si="97"/>
        <v/>
      </c>
      <c r="AN365" s="25" t="e">
        <f t="shared" ca="1" si="98"/>
        <v>#VALUE!</v>
      </c>
      <c r="AO365" s="25" t="e">
        <f t="shared" ca="1" si="99"/>
        <v>#VALUE!</v>
      </c>
      <c r="AP365" s="39" t="str">
        <f t="shared" ca="1" si="100"/>
        <v/>
      </c>
      <c r="AQ365" s="46" t="str">
        <f ca="1">IF(AND(C365&lt;&gt;0, C366=0), SUM($C$2:C365)-SUM($AQ$1:AQ364), "")</f>
        <v/>
      </c>
      <c r="AR365" s="46" t="str">
        <f ca="1">IF(AND(AK365&lt;&gt;0, AK366=0), SUM($AK$2:AK365)-SUM($AR$1:AR364), "")</f>
        <v/>
      </c>
      <c r="AS365" s="52"/>
      <c r="AT365" s="52"/>
      <c r="AU365" s="52"/>
    </row>
    <row r="366" spans="1:47" ht="13.15" customHeight="1">
      <c r="A366" s="62"/>
      <c r="B366" s="68" t="str">
        <f t="shared" si="101"/>
        <v/>
      </c>
      <c r="C366" s="55" cm="1">
        <f t="array" aca="1" ref="C366" ca="1">SUM(IF(ISNUMBER(M366:U366),M366:U366,""))</f>
        <v>0</v>
      </c>
      <c r="D366" s="25" t="str">
        <f t="shared" si="102"/>
        <v/>
      </c>
      <c r="E366" s="25" t="e">
        <f t="shared" si="103"/>
        <v>#VALUE!</v>
      </c>
      <c r="F366" s="25" t="str">
        <f t="shared" si="104"/>
        <v/>
      </c>
      <c r="G366" s="25" t="str">
        <f t="shared" si="105"/>
        <v>.xlsx</v>
      </c>
      <c r="H366" s="29" t="e" cm="1">
        <f t="array" aca="1" ref="H366" ca="1">IF(AND(VALUE(E366)=INDIRECT("'["&amp;G366&amp;"]"&amp;E366&amp;"'!"&amp;$X$2),G366=INDIRECT("'["&amp;G366&amp;"]"&amp;E366&amp;"'!"&amp;$X$3)),INDIRECT("'["&amp;G366&amp;"]"&amp;E366&amp;"'!"&amp;$X$1),0)</f>
        <v>#VALUE!</v>
      </c>
      <c r="I366" s="25" t="str">
        <f t="shared" si="106"/>
        <v/>
      </c>
      <c r="J366" s="32" t="str">
        <f t="shared" si="107"/>
        <v/>
      </c>
      <c r="K366" s="25" t="str">
        <f t="shared" si="108"/>
        <v/>
      </c>
      <c r="L366" s="25" t="str">
        <f t="shared" si="109"/>
        <v/>
      </c>
      <c r="M366" s="33" t="e" cm="1">
        <f t="array" aca="1" ref="M366" ca="1">IF(AND(J366=INDIRECT("'["&amp;G366&amp;"]"&amp;E366&amp;"'!"&amp;$Y$2),G366=INDIRECT("'["&amp;G366&amp;"]"&amp;E366&amp;"'!"&amp;$AH$2)),INDIRECT("'["&amp;G366&amp;"]"&amp;E366&amp;"'!"&amp;$Y$3),0)</f>
        <v>#VALUE!</v>
      </c>
      <c r="N366" s="34" t="e" cm="1">
        <f t="array" aca="1" ref="N366" ca="1">IF(AND(G366=INDIRECT("'["&amp;G366&amp;"]"&amp;E366&amp;"'!"&amp;$AH$2),OR(K366=INDIRECT("'["&amp;G366&amp;"]"&amp;E366&amp;"'!"&amp;$Z$2))),INDIRECT("'["&amp;G366&amp;"]"&amp;E366&amp;"'!"&amp;$Z$3),0)</f>
        <v>#VALUE!</v>
      </c>
      <c r="O366" s="34" t="e" cm="1">
        <f t="array" aca="1" ref="O366" ca="1">IF(AND(G366=INDIRECT("'["&amp;G366&amp;"]"&amp;E366&amp;"'!"&amp;$AH$2),OR(L366=INDIRECT("'["&amp;G366&amp;"]"&amp;E366&amp;"'!"&amp;$AA$2))),INDIRECT("'["&amp;G366&amp;"]"&amp;E366&amp;"'!"&amp;$AA$3),0)</f>
        <v>#VALUE!</v>
      </c>
      <c r="P366" s="34" t="e" cm="1">
        <f t="array" aca="1" ref="P366" ca="1">IF(AND(G366=INDIRECT("'["&amp;G366&amp;"]"&amp;E366&amp;"'!"&amp;$AH$2),OR(VALUE(I366)=INDIRECT("'["&amp;G366&amp;"]"&amp;E366&amp;"'!"&amp;$AB$2))),INDIRECT("'["&amp;G366&amp;"]"&amp;E366&amp;"'!"&amp;$AB$3),0)</f>
        <v>#VALUE!</v>
      </c>
      <c r="Q366" s="34" t="e" cm="1">
        <f t="array" aca="1" ref="Q366" ca="1">IF(AND(G366=INDIRECT("'["&amp;G366&amp;"]"&amp;E366&amp;"'!"&amp;$AH$2),OR(VALUE(I366)=INDIRECT("'["&amp;G366&amp;"]"&amp;E366&amp;"'!"&amp;$AC$2))),INDIRECT("'["&amp;G366&amp;"]"&amp;E366&amp;"'!"&amp;$AC$3),0)</f>
        <v>#VALUE!</v>
      </c>
      <c r="R366" s="34" t="e" cm="1">
        <f t="array" aca="1" ref="R366" ca="1">IF(AND(G366=INDIRECT("'["&amp;G366&amp;"]"&amp;E366&amp;"'!"&amp;$AH$2),OR(I366=INDIRECT("'["&amp;G366&amp;"]"&amp;E366&amp;"'!"&amp;$AD$2))),INDIRECT("'["&amp;G366&amp;"]"&amp;E366&amp;"'!"&amp;$AD$3),0)</f>
        <v>#VALUE!</v>
      </c>
      <c r="S366" s="34" t="e" cm="1">
        <f t="array" aca="1" ref="S366" ca="1">IF(AND(G366=INDIRECT("'["&amp;G366&amp;"]"&amp;E366&amp;"'!"&amp;$AH$2),OR(I366=INDIRECT("'["&amp;G366&amp;"]"&amp;E366&amp;"'!"&amp;$AE$2))),INDIRECT("'["&amp;G366&amp;"]"&amp;E366&amp;"'!"&amp;$AE$3),0)</f>
        <v>#VALUE!</v>
      </c>
      <c r="T366" s="35" t="e" cm="1">
        <f t="array" aca="1" ref="T366" ca="1">IF(AND(G366=INDIRECT("'["&amp;G366&amp;"]"&amp;E366&amp;"'!"&amp;$AH$2),OR(I366=INDIRECT("'["&amp;G366&amp;"]"&amp;E366&amp;"'!"&amp;$AF$2))),INDIRECT("'["&amp;G366&amp;"]"&amp;E366&amp;"'!"&amp;$AF$3),0)</f>
        <v>#VALUE!</v>
      </c>
      <c r="U366" s="34" t="e" cm="1">
        <f t="array" aca="1" ref="U366" ca="1">IF(AND(G366=INDIRECT("'["&amp;G366&amp;"]"&amp;E366&amp;"'!"&amp;$AH$2),OR(I366=INDIRECT("'["&amp;G366&amp;"]"&amp;E366&amp;"'!"&amp;$AG$2))),INDIRECT("'["&amp;G366&amp;"]"&amp;E366&amp;"'!"&amp;$AG$3),0)</f>
        <v>#VALUE!</v>
      </c>
      <c r="V366" s="25" t="str">
        <f t="shared" si="110"/>
        <v/>
      </c>
      <c r="W366" s="36" t="e" cm="1">
        <f t="array" aca="1" ref="W366" ca="1">IF(AND(G366=INDIRECT("'["&amp;G366&amp;"]"&amp;E366&amp;"'!"&amp;$AH$2),OR(V366=INDIRECT("'["&amp;G366&amp;"]"&amp;E366&amp;"'!"&amp;$AI$2))),INDIRECT("'["&amp;G366&amp;"]"&amp;E366&amp;"'!"&amp;$AI$3),0)</f>
        <v>#VALUE!</v>
      </c>
      <c r="AI366" s="52"/>
      <c r="AJ366" s="25">
        <v>1</v>
      </c>
      <c r="AK366" s="38">
        <f t="shared" ca="1" si="95"/>
        <v>0</v>
      </c>
      <c r="AL366" s="38">
        <f t="shared" ca="1" si="96"/>
        <v>0</v>
      </c>
      <c r="AM366" s="54" t="str">
        <f t="shared" ca="1" si="97"/>
        <v/>
      </c>
      <c r="AN366" s="25" t="e">
        <f t="shared" ca="1" si="98"/>
        <v>#VALUE!</v>
      </c>
      <c r="AO366" s="25" t="e">
        <f t="shared" ca="1" si="99"/>
        <v>#VALUE!</v>
      </c>
      <c r="AP366" s="39" t="str">
        <f t="shared" ca="1" si="100"/>
        <v/>
      </c>
      <c r="AQ366" s="46" t="str">
        <f ca="1">IF(AND(C366&lt;&gt;0, C367=0), SUM($C$2:C366)-SUM($AQ$1:AQ365), "")</f>
        <v/>
      </c>
      <c r="AR366" s="46" t="str">
        <f ca="1">IF(AND(AK366&lt;&gt;0, AK367=0), SUM($AK$2:AK366)-SUM($AR$1:AR365), "")</f>
        <v/>
      </c>
      <c r="AS366" s="52"/>
      <c r="AT366" s="52"/>
      <c r="AU366" s="52"/>
    </row>
    <row r="367" spans="1:47" ht="13.15" customHeight="1">
      <c r="A367" s="62"/>
      <c r="B367" s="68" t="str">
        <f t="shared" si="101"/>
        <v/>
      </c>
      <c r="C367" s="55" cm="1">
        <f t="array" aca="1" ref="C367" ca="1">SUM(IF(ISNUMBER(M367:U367),M367:U367,""))</f>
        <v>0</v>
      </c>
      <c r="D367" s="25" t="str">
        <f t="shared" si="102"/>
        <v/>
      </c>
      <c r="E367" s="25" t="e">
        <f t="shared" si="103"/>
        <v>#VALUE!</v>
      </c>
      <c r="F367" s="25" t="str">
        <f t="shared" si="104"/>
        <v/>
      </c>
      <c r="G367" s="25" t="str">
        <f t="shared" si="105"/>
        <v>.xlsx</v>
      </c>
      <c r="H367" s="29" t="e" cm="1">
        <f t="array" aca="1" ref="H367" ca="1">IF(AND(VALUE(E367)=INDIRECT("'["&amp;G367&amp;"]"&amp;E367&amp;"'!"&amp;$X$2),G367=INDIRECT("'["&amp;G367&amp;"]"&amp;E367&amp;"'!"&amp;$X$3)),INDIRECT("'["&amp;G367&amp;"]"&amp;E367&amp;"'!"&amp;$X$1),0)</f>
        <v>#VALUE!</v>
      </c>
      <c r="I367" s="25" t="str">
        <f t="shared" si="106"/>
        <v/>
      </c>
      <c r="J367" s="32" t="str">
        <f t="shared" si="107"/>
        <v/>
      </c>
      <c r="K367" s="25" t="str">
        <f t="shared" si="108"/>
        <v/>
      </c>
      <c r="L367" s="25" t="str">
        <f t="shared" si="109"/>
        <v/>
      </c>
      <c r="M367" s="33" t="e" cm="1">
        <f t="array" aca="1" ref="M367" ca="1">IF(AND(J367=INDIRECT("'["&amp;G367&amp;"]"&amp;E367&amp;"'!"&amp;$Y$2),G367=INDIRECT("'["&amp;G367&amp;"]"&amp;E367&amp;"'!"&amp;$AH$2)),INDIRECT("'["&amp;G367&amp;"]"&amp;E367&amp;"'!"&amp;$Y$3),0)</f>
        <v>#VALUE!</v>
      </c>
      <c r="N367" s="34" t="e" cm="1">
        <f t="array" aca="1" ref="N367" ca="1">IF(AND(G367=INDIRECT("'["&amp;G367&amp;"]"&amp;E367&amp;"'!"&amp;$AH$2),OR(K367=INDIRECT("'["&amp;G367&amp;"]"&amp;E367&amp;"'!"&amp;$Z$2))),INDIRECT("'["&amp;G367&amp;"]"&amp;E367&amp;"'!"&amp;$Z$3),0)</f>
        <v>#VALUE!</v>
      </c>
      <c r="O367" s="34" t="e" cm="1">
        <f t="array" aca="1" ref="O367" ca="1">IF(AND(G367=INDIRECT("'["&amp;G367&amp;"]"&amp;E367&amp;"'!"&amp;$AH$2),OR(L367=INDIRECT("'["&amp;G367&amp;"]"&amp;E367&amp;"'!"&amp;$AA$2))),INDIRECT("'["&amp;G367&amp;"]"&amp;E367&amp;"'!"&amp;$AA$3),0)</f>
        <v>#VALUE!</v>
      </c>
      <c r="P367" s="34" t="e" cm="1">
        <f t="array" aca="1" ref="P367" ca="1">IF(AND(G367=INDIRECT("'["&amp;G367&amp;"]"&amp;E367&amp;"'!"&amp;$AH$2),OR(VALUE(I367)=INDIRECT("'["&amp;G367&amp;"]"&amp;E367&amp;"'!"&amp;$AB$2))),INDIRECT("'["&amp;G367&amp;"]"&amp;E367&amp;"'!"&amp;$AB$3),0)</f>
        <v>#VALUE!</v>
      </c>
      <c r="Q367" s="34" t="e" cm="1">
        <f t="array" aca="1" ref="Q367" ca="1">IF(AND(G367=INDIRECT("'["&amp;G367&amp;"]"&amp;E367&amp;"'!"&amp;$AH$2),OR(VALUE(I367)=INDIRECT("'["&amp;G367&amp;"]"&amp;E367&amp;"'!"&amp;$AC$2))),INDIRECT("'["&amp;G367&amp;"]"&amp;E367&amp;"'!"&amp;$AC$3),0)</f>
        <v>#VALUE!</v>
      </c>
      <c r="R367" s="34" t="e" cm="1">
        <f t="array" aca="1" ref="R367" ca="1">IF(AND(G367=INDIRECT("'["&amp;G367&amp;"]"&amp;E367&amp;"'!"&amp;$AH$2),OR(I367=INDIRECT("'["&amp;G367&amp;"]"&amp;E367&amp;"'!"&amp;$AD$2))),INDIRECT("'["&amp;G367&amp;"]"&amp;E367&amp;"'!"&amp;$AD$3),0)</f>
        <v>#VALUE!</v>
      </c>
      <c r="S367" s="34" t="e" cm="1">
        <f t="array" aca="1" ref="S367" ca="1">IF(AND(G367=INDIRECT("'["&amp;G367&amp;"]"&amp;E367&amp;"'!"&amp;$AH$2),OR(I367=INDIRECT("'["&amp;G367&amp;"]"&amp;E367&amp;"'!"&amp;$AE$2))),INDIRECT("'["&amp;G367&amp;"]"&amp;E367&amp;"'!"&amp;$AE$3),0)</f>
        <v>#VALUE!</v>
      </c>
      <c r="T367" s="35" t="e" cm="1">
        <f t="array" aca="1" ref="T367" ca="1">IF(AND(G367=INDIRECT("'["&amp;G367&amp;"]"&amp;E367&amp;"'!"&amp;$AH$2),OR(I367=INDIRECT("'["&amp;G367&amp;"]"&amp;E367&amp;"'!"&amp;$AF$2))),INDIRECT("'["&amp;G367&amp;"]"&amp;E367&amp;"'!"&amp;$AF$3),0)</f>
        <v>#VALUE!</v>
      </c>
      <c r="U367" s="34" t="e" cm="1">
        <f t="array" aca="1" ref="U367" ca="1">IF(AND(G367=INDIRECT("'["&amp;G367&amp;"]"&amp;E367&amp;"'!"&amp;$AH$2),OR(I367=INDIRECT("'["&amp;G367&amp;"]"&amp;E367&amp;"'!"&amp;$AG$2))),INDIRECT("'["&amp;G367&amp;"]"&amp;E367&amp;"'!"&amp;$AG$3),0)</f>
        <v>#VALUE!</v>
      </c>
      <c r="V367" s="25" t="str">
        <f t="shared" si="110"/>
        <v/>
      </c>
      <c r="W367" s="36" t="e" cm="1">
        <f t="array" aca="1" ref="W367" ca="1">IF(AND(G367=INDIRECT("'["&amp;G367&amp;"]"&amp;E367&amp;"'!"&amp;$AH$2),OR(V367=INDIRECT("'["&amp;G367&amp;"]"&amp;E367&amp;"'!"&amp;$AI$2))),INDIRECT("'["&amp;G367&amp;"]"&amp;E367&amp;"'!"&amp;$AI$3),0)</f>
        <v>#VALUE!</v>
      </c>
      <c r="AI367" s="53" t="e">
        <f ca="1">AQ367/AP367</f>
        <v>#VALUE!</v>
      </c>
      <c r="AJ367" s="25">
        <v>1</v>
      </c>
      <c r="AK367" s="38">
        <f t="shared" ca="1" si="95"/>
        <v>0</v>
      </c>
      <c r="AL367" s="38">
        <f t="shared" ca="1" si="96"/>
        <v>0</v>
      </c>
      <c r="AM367" s="54" t="str">
        <f t="shared" ca="1" si="97"/>
        <v/>
      </c>
      <c r="AN367" s="25" t="e">
        <f t="shared" ca="1" si="98"/>
        <v>#VALUE!</v>
      </c>
      <c r="AO367" s="25" t="e">
        <f t="shared" ca="1" si="99"/>
        <v>#VALUE!</v>
      </c>
      <c r="AP367" s="39" t="str">
        <f t="shared" ca="1" si="100"/>
        <v/>
      </c>
      <c r="AQ367" s="46" t="str">
        <f ca="1">IF(AND(C367&lt;&gt;0, C368=0), SUM($C$2:C367)-SUM($AQ$1:AQ366), "")</f>
        <v/>
      </c>
      <c r="AR367" s="46" t="str">
        <f ca="1">IF(AND(AK367&lt;&gt;0, AK368=0), SUM($AK$2:AK367)-SUM($AR$1:AR366), "")</f>
        <v/>
      </c>
      <c r="AS367" s="52"/>
      <c r="AT367" s="52"/>
      <c r="AU367" s="52"/>
    </row>
    <row r="368" spans="1:47" ht="13.15" customHeight="1">
      <c r="A368" s="62"/>
      <c r="B368" s="68" t="str">
        <f t="shared" si="101"/>
        <v/>
      </c>
      <c r="C368" s="55" cm="1">
        <f t="array" aca="1" ref="C368" ca="1">SUM(IF(ISNUMBER(M368:U368),M368:U368,""))</f>
        <v>0</v>
      </c>
      <c r="D368" s="25" t="str">
        <f t="shared" si="102"/>
        <v/>
      </c>
      <c r="E368" s="25" t="e">
        <f t="shared" si="103"/>
        <v>#VALUE!</v>
      </c>
      <c r="F368" s="25" t="str">
        <f t="shared" si="104"/>
        <v/>
      </c>
      <c r="G368" s="25" t="str">
        <f t="shared" si="105"/>
        <v>.xlsx</v>
      </c>
      <c r="H368" s="29" t="e" cm="1">
        <f t="array" aca="1" ref="H368" ca="1">IF(AND(VALUE(E368)=INDIRECT("'["&amp;G368&amp;"]"&amp;E368&amp;"'!"&amp;$X$2),G368=INDIRECT("'["&amp;G368&amp;"]"&amp;E368&amp;"'!"&amp;$X$3)),INDIRECT("'["&amp;G368&amp;"]"&amp;E368&amp;"'!"&amp;$X$1),0)</f>
        <v>#VALUE!</v>
      </c>
      <c r="I368" s="25" t="str">
        <f t="shared" si="106"/>
        <v/>
      </c>
      <c r="J368" s="32" t="str">
        <f t="shared" si="107"/>
        <v/>
      </c>
      <c r="K368" s="25" t="str">
        <f t="shared" si="108"/>
        <v/>
      </c>
      <c r="L368" s="25" t="str">
        <f t="shared" si="109"/>
        <v/>
      </c>
      <c r="M368" s="33" t="e" cm="1">
        <f t="array" aca="1" ref="M368" ca="1">IF(AND(J368=INDIRECT("'["&amp;G368&amp;"]"&amp;E368&amp;"'!"&amp;$Y$2),G368=INDIRECT("'["&amp;G368&amp;"]"&amp;E368&amp;"'!"&amp;$AH$2)),INDIRECT("'["&amp;G368&amp;"]"&amp;E368&amp;"'!"&amp;$Y$3),0)</f>
        <v>#VALUE!</v>
      </c>
      <c r="N368" s="34" t="e" cm="1">
        <f t="array" aca="1" ref="N368" ca="1">IF(AND(G368=INDIRECT("'["&amp;G368&amp;"]"&amp;E368&amp;"'!"&amp;$AH$2),OR(K368=INDIRECT("'["&amp;G368&amp;"]"&amp;E368&amp;"'!"&amp;$Z$2))),INDIRECT("'["&amp;G368&amp;"]"&amp;E368&amp;"'!"&amp;$Z$3),0)</f>
        <v>#VALUE!</v>
      </c>
      <c r="O368" s="34" t="e" cm="1">
        <f t="array" aca="1" ref="O368" ca="1">IF(AND(G368=INDIRECT("'["&amp;G368&amp;"]"&amp;E368&amp;"'!"&amp;$AH$2),OR(L368=INDIRECT("'["&amp;G368&amp;"]"&amp;E368&amp;"'!"&amp;$AA$2))),INDIRECT("'["&amp;G368&amp;"]"&amp;E368&amp;"'!"&amp;$AA$3),0)</f>
        <v>#VALUE!</v>
      </c>
      <c r="P368" s="34" t="e" cm="1">
        <f t="array" aca="1" ref="P368" ca="1">IF(AND(G368=INDIRECT("'["&amp;G368&amp;"]"&amp;E368&amp;"'!"&amp;$AH$2),OR(VALUE(I368)=INDIRECT("'["&amp;G368&amp;"]"&amp;E368&amp;"'!"&amp;$AB$2))),INDIRECT("'["&amp;G368&amp;"]"&amp;E368&amp;"'!"&amp;$AB$3),0)</f>
        <v>#VALUE!</v>
      </c>
      <c r="Q368" s="34" t="e" cm="1">
        <f t="array" aca="1" ref="Q368" ca="1">IF(AND(G368=INDIRECT("'["&amp;G368&amp;"]"&amp;E368&amp;"'!"&amp;$AH$2),OR(VALUE(I368)=INDIRECT("'["&amp;G368&amp;"]"&amp;E368&amp;"'!"&amp;$AC$2))),INDIRECT("'["&amp;G368&amp;"]"&amp;E368&amp;"'!"&amp;$AC$3),0)</f>
        <v>#VALUE!</v>
      </c>
      <c r="R368" s="34" t="e" cm="1">
        <f t="array" aca="1" ref="R368" ca="1">IF(AND(G368=INDIRECT("'["&amp;G368&amp;"]"&amp;E368&amp;"'!"&amp;$AH$2),OR(I368=INDIRECT("'["&amp;G368&amp;"]"&amp;E368&amp;"'!"&amp;$AD$2))),INDIRECT("'["&amp;G368&amp;"]"&amp;E368&amp;"'!"&amp;$AD$3),0)</f>
        <v>#VALUE!</v>
      </c>
      <c r="S368" s="34" t="e" cm="1">
        <f t="array" aca="1" ref="S368" ca="1">IF(AND(G368=INDIRECT("'["&amp;G368&amp;"]"&amp;E368&amp;"'!"&amp;$AH$2),OR(I368=INDIRECT("'["&amp;G368&amp;"]"&amp;E368&amp;"'!"&amp;$AE$2))),INDIRECT("'["&amp;G368&amp;"]"&amp;E368&amp;"'!"&amp;$AE$3),0)</f>
        <v>#VALUE!</v>
      </c>
      <c r="T368" s="35" t="e" cm="1">
        <f t="array" aca="1" ref="T368" ca="1">IF(AND(G368=INDIRECT("'["&amp;G368&amp;"]"&amp;E368&amp;"'!"&amp;$AH$2),OR(I368=INDIRECT("'["&amp;G368&amp;"]"&amp;E368&amp;"'!"&amp;$AF$2))),INDIRECT("'["&amp;G368&amp;"]"&amp;E368&amp;"'!"&amp;$AF$3),0)</f>
        <v>#VALUE!</v>
      </c>
      <c r="U368" s="34" t="e" cm="1">
        <f t="array" aca="1" ref="U368" ca="1">IF(AND(G368=INDIRECT("'["&amp;G368&amp;"]"&amp;E368&amp;"'!"&amp;$AH$2),OR(I368=INDIRECT("'["&amp;G368&amp;"]"&amp;E368&amp;"'!"&amp;$AG$2))),INDIRECT("'["&amp;G368&amp;"]"&amp;E368&amp;"'!"&amp;$AG$3),0)</f>
        <v>#VALUE!</v>
      </c>
      <c r="V368" s="25" t="str">
        <f t="shared" si="110"/>
        <v/>
      </c>
      <c r="W368" s="36" t="e" cm="1">
        <f t="array" aca="1" ref="W368" ca="1">IF(AND(G368=INDIRECT("'["&amp;G368&amp;"]"&amp;E368&amp;"'!"&amp;$AH$2),OR(V368=INDIRECT("'["&amp;G368&amp;"]"&amp;E368&amp;"'!"&amp;$AI$2))),INDIRECT("'["&amp;G368&amp;"]"&amp;E368&amp;"'!"&amp;$AI$3),0)</f>
        <v>#VALUE!</v>
      </c>
      <c r="AJ368" s="25">
        <v>1</v>
      </c>
      <c r="AK368" s="38">
        <f t="shared" ca="1" si="95"/>
        <v>0</v>
      </c>
      <c r="AL368" s="38">
        <f t="shared" ca="1" si="96"/>
        <v>0</v>
      </c>
      <c r="AM368" s="54" t="str">
        <f t="shared" ca="1" si="97"/>
        <v/>
      </c>
      <c r="AN368" s="25" t="e">
        <f t="shared" ca="1" si="98"/>
        <v>#VALUE!</v>
      </c>
      <c r="AO368" s="25" t="e">
        <f t="shared" ca="1" si="99"/>
        <v>#VALUE!</v>
      </c>
      <c r="AP368" s="39" t="str">
        <f t="shared" ca="1" si="100"/>
        <v/>
      </c>
      <c r="AQ368" s="46" t="str">
        <f ca="1">IF(AND(C368&lt;&gt;0, C369=0), SUM($C$2:C368)-SUM($AQ$1:AQ367), "")</f>
        <v/>
      </c>
      <c r="AR368" s="46" t="str">
        <f ca="1">IF(AND(AK368&lt;&gt;0, AK369=0), SUM($AK$2:AK368)-SUM($AR$1:AR367), "")</f>
        <v/>
      </c>
    </row>
    <row r="369" spans="1:44" ht="13.15" customHeight="1">
      <c r="A369" s="62"/>
      <c r="B369" s="68" t="str">
        <f t="shared" si="101"/>
        <v/>
      </c>
      <c r="C369" s="55" cm="1">
        <f t="array" aca="1" ref="C369" ca="1">SUM(IF(ISNUMBER(M369:U369),M369:U369,""))</f>
        <v>0</v>
      </c>
      <c r="D369" s="25" t="str">
        <f t="shared" si="102"/>
        <v/>
      </c>
      <c r="E369" s="25" t="e">
        <f t="shared" si="103"/>
        <v>#VALUE!</v>
      </c>
      <c r="F369" s="25" t="str">
        <f t="shared" si="104"/>
        <v/>
      </c>
      <c r="G369" s="25" t="str">
        <f t="shared" si="105"/>
        <v>.xlsx</v>
      </c>
      <c r="H369" s="29" t="e" cm="1">
        <f t="array" aca="1" ref="H369" ca="1">IF(AND(VALUE(E369)=INDIRECT("'["&amp;G369&amp;"]"&amp;E369&amp;"'!"&amp;$X$2),G369=INDIRECT("'["&amp;G369&amp;"]"&amp;E369&amp;"'!"&amp;$X$3)),INDIRECT("'["&amp;G369&amp;"]"&amp;E369&amp;"'!"&amp;$X$1),0)</f>
        <v>#VALUE!</v>
      </c>
      <c r="I369" s="25" t="str">
        <f t="shared" si="106"/>
        <v/>
      </c>
      <c r="J369" s="32" t="str">
        <f t="shared" si="107"/>
        <v/>
      </c>
      <c r="K369" s="25" t="str">
        <f t="shared" si="108"/>
        <v/>
      </c>
      <c r="L369" s="25" t="str">
        <f t="shared" si="109"/>
        <v/>
      </c>
      <c r="M369" s="33" t="e" cm="1">
        <f t="array" aca="1" ref="M369" ca="1">IF(AND(J369=INDIRECT("'["&amp;G369&amp;"]"&amp;E369&amp;"'!"&amp;$Y$2),G369=INDIRECT("'["&amp;G369&amp;"]"&amp;E369&amp;"'!"&amp;$AH$2)),INDIRECT("'["&amp;G369&amp;"]"&amp;E369&amp;"'!"&amp;$Y$3),0)</f>
        <v>#VALUE!</v>
      </c>
      <c r="N369" s="34" t="e" cm="1">
        <f t="array" aca="1" ref="N369" ca="1">IF(AND(G369=INDIRECT("'["&amp;G369&amp;"]"&amp;E369&amp;"'!"&amp;$AH$2),OR(K369=INDIRECT("'["&amp;G369&amp;"]"&amp;E369&amp;"'!"&amp;$Z$2))),INDIRECT("'["&amp;G369&amp;"]"&amp;E369&amp;"'!"&amp;$Z$3),0)</f>
        <v>#VALUE!</v>
      </c>
      <c r="O369" s="34" t="e" cm="1">
        <f t="array" aca="1" ref="O369" ca="1">IF(AND(G369=INDIRECT("'["&amp;G369&amp;"]"&amp;E369&amp;"'!"&amp;$AH$2),OR(L369=INDIRECT("'["&amp;G369&amp;"]"&amp;E369&amp;"'!"&amp;$AA$2))),INDIRECT("'["&amp;G369&amp;"]"&amp;E369&amp;"'!"&amp;$AA$3),0)</f>
        <v>#VALUE!</v>
      </c>
      <c r="P369" s="34" t="e" cm="1">
        <f t="array" aca="1" ref="P369" ca="1">IF(AND(G369=INDIRECT("'["&amp;G369&amp;"]"&amp;E369&amp;"'!"&amp;$AH$2),OR(VALUE(I369)=INDIRECT("'["&amp;G369&amp;"]"&amp;E369&amp;"'!"&amp;$AB$2))),INDIRECT("'["&amp;G369&amp;"]"&amp;E369&amp;"'!"&amp;$AB$3),0)</f>
        <v>#VALUE!</v>
      </c>
      <c r="Q369" s="34" t="e" cm="1">
        <f t="array" aca="1" ref="Q369" ca="1">IF(AND(G369=INDIRECT("'["&amp;G369&amp;"]"&amp;E369&amp;"'!"&amp;$AH$2),OR(VALUE(I369)=INDIRECT("'["&amp;G369&amp;"]"&amp;E369&amp;"'!"&amp;$AC$2))),INDIRECT("'["&amp;G369&amp;"]"&amp;E369&amp;"'!"&amp;$AC$3),0)</f>
        <v>#VALUE!</v>
      </c>
      <c r="R369" s="34" t="e" cm="1">
        <f t="array" aca="1" ref="R369" ca="1">IF(AND(G369=INDIRECT("'["&amp;G369&amp;"]"&amp;E369&amp;"'!"&amp;$AH$2),OR(I369=INDIRECT("'["&amp;G369&amp;"]"&amp;E369&amp;"'!"&amp;$AD$2))),INDIRECT("'["&amp;G369&amp;"]"&amp;E369&amp;"'!"&amp;$AD$3),0)</f>
        <v>#VALUE!</v>
      </c>
      <c r="S369" s="34" t="e" cm="1">
        <f t="array" aca="1" ref="S369" ca="1">IF(AND(G369=INDIRECT("'["&amp;G369&amp;"]"&amp;E369&amp;"'!"&amp;$AH$2),OR(I369=INDIRECT("'["&amp;G369&amp;"]"&amp;E369&amp;"'!"&amp;$AE$2))),INDIRECT("'["&amp;G369&amp;"]"&amp;E369&amp;"'!"&amp;$AE$3),0)</f>
        <v>#VALUE!</v>
      </c>
      <c r="T369" s="35" t="e" cm="1">
        <f t="array" aca="1" ref="T369" ca="1">IF(AND(G369=INDIRECT("'["&amp;G369&amp;"]"&amp;E369&amp;"'!"&amp;$AH$2),OR(I369=INDIRECT("'["&amp;G369&amp;"]"&amp;E369&amp;"'!"&amp;$AF$2))),INDIRECT("'["&amp;G369&amp;"]"&amp;E369&amp;"'!"&amp;$AF$3),0)</f>
        <v>#VALUE!</v>
      </c>
      <c r="U369" s="34" t="e" cm="1">
        <f t="array" aca="1" ref="U369" ca="1">IF(AND(G369=INDIRECT("'["&amp;G369&amp;"]"&amp;E369&amp;"'!"&amp;$AH$2),OR(I369=INDIRECT("'["&amp;G369&amp;"]"&amp;E369&amp;"'!"&amp;$AG$2))),INDIRECT("'["&amp;G369&amp;"]"&amp;E369&amp;"'!"&amp;$AG$3),0)</f>
        <v>#VALUE!</v>
      </c>
      <c r="V369" s="25" t="str">
        <f t="shared" si="110"/>
        <v/>
      </c>
      <c r="W369" s="36" t="e" cm="1">
        <f t="array" aca="1" ref="W369" ca="1">IF(AND(G369=INDIRECT("'["&amp;G369&amp;"]"&amp;E369&amp;"'!"&amp;$AH$2),OR(V369=INDIRECT("'["&amp;G369&amp;"]"&amp;E369&amp;"'!"&amp;$AI$2))),INDIRECT("'["&amp;G369&amp;"]"&amp;E369&amp;"'!"&amp;$AI$3),0)</f>
        <v>#VALUE!</v>
      </c>
      <c r="AJ369" s="25">
        <v>1</v>
      </c>
      <c r="AK369" s="38">
        <f t="shared" ca="1" si="95"/>
        <v>0</v>
      </c>
      <c r="AL369" s="38">
        <f t="shared" ca="1" si="96"/>
        <v>0</v>
      </c>
      <c r="AM369" s="54" t="str">
        <f t="shared" ca="1" si="97"/>
        <v/>
      </c>
      <c r="AN369" s="25" t="e">
        <f t="shared" ca="1" si="98"/>
        <v>#VALUE!</v>
      </c>
      <c r="AO369" s="25" t="e">
        <f t="shared" ca="1" si="99"/>
        <v>#VALUE!</v>
      </c>
      <c r="AP369" s="39" t="str">
        <f t="shared" ca="1" si="100"/>
        <v/>
      </c>
      <c r="AQ369" s="46" t="str">
        <f ca="1">IF(AND(C369&lt;&gt;0, C370=0), SUM($C$2:C369)-SUM($AQ$1:AQ368), "")</f>
        <v/>
      </c>
      <c r="AR369" s="46" t="str">
        <f ca="1">IF(AND(AK369&lt;&gt;0, AK370=0), SUM($AK$2:AK369)-SUM($AR$1:AR368), "")</f>
        <v/>
      </c>
    </row>
    <row r="370" spans="1:44" ht="13.15" customHeight="1">
      <c r="A370" s="62"/>
      <c r="B370" s="68" t="str">
        <f t="shared" si="101"/>
        <v/>
      </c>
      <c r="C370" s="55" cm="1">
        <f t="array" aca="1" ref="C370" ca="1">SUM(IF(ISNUMBER(M370:U370),M370:U370,""))</f>
        <v>0</v>
      </c>
      <c r="D370" s="25" t="str">
        <f t="shared" si="102"/>
        <v/>
      </c>
      <c r="E370" s="25" t="e">
        <f t="shared" si="103"/>
        <v>#VALUE!</v>
      </c>
      <c r="F370" s="25" t="str">
        <f t="shared" si="104"/>
        <v/>
      </c>
      <c r="G370" s="25" t="str">
        <f t="shared" si="105"/>
        <v>.xlsx</v>
      </c>
      <c r="H370" s="29" t="e" cm="1">
        <f t="array" aca="1" ref="H370" ca="1">IF(AND(VALUE(E370)=INDIRECT("'["&amp;G370&amp;"]"&amp;E370&amp;"'!"&amp;$X$2),G370=INDIRECT("'["&amp;G370&amp;"]"&amp;E370&amp;"'!"&amp;$X$3)),INDIRECT("'["&amp;G370&amp;"]"&amp;E370&amp;"'!"&amp;$X$1),0)</f>
        <v>#VALUE!</v>
      </c>
      <c r="I370" s="25" t="str">
        <f t="shared" si="106"/>
        <v/>
      </c>
      <c r="J370" s="32" t="str">
        <f t="shared" si="107"/>
        <v/>
      </c>
      <c r="K370" s="25" t="str">
        <f t="shared" si="108"/>
        <v/>
      </c>
      <c r="L370" s="25" t="str">
        <f t="shared" si="109"/>
        <v/>
      </c>
      <c r="M370" s="33" t="e" cm="1">
        <f t="array" aca="1" ref="M370" ca="1">IF(AND(J370=INDIRECT("'["&amp;G370&amp;"]"&amp;E370&amp;"'!"&amp;$Y$2),G370=INDIRECT("'["&amp;G370&amp;"]"&amp;E370&amp;"'!"&amp;$AH$2)),INDIRECT("'["&amp;G370&amp;"]"&amp;E370&amp;"'!"&amp;$Y$3),0)</f>
        <v>#VALUE!</v>
      </c>
      <c r="N370" s="34" t="e" cm="1">
        <f t="array" aca="1" ref="N370" ca="1">IF(AND(G370=INDIRECT("'["&amp;G370&amp;"]"&amp;E370&amp;"'!"&amp;$AH$2),OR(K370=INDIRECT("'["&amp;G370&amp;"]"&amp;E370&amp;"'!"&amp;$Z$2))),INDIRECT("'["&amp;G370&amp;"]"&amp;E370&amp;"'!"&amp;$Z$3),0)</f>
        <v>#VALUE!</v>
      </c>
      <c r="O370" s="34" t="e" cm="1">
        <f t="array" aca="1" ref="O370" ca="1">IF(AND(G370=INDIRECT("'["&amp;G370&amp;"]"&amp;E370&amp;"'!"&amp;$AH$2),OR(L370=INDIRECT("'["&amp;G370&amp;"]"&amp;E370&amp;"'!"&amp;$AA$2))),INDIRECT("'["&amp;G370&amp;"]"&amp;E370&amp;"'!"&amp;$AA$3),0)</f>
        <v>#VALUE!</v>
      </c>
      <c r="P370" s="34" t="e" cm="1">
        <f t="array" aca="1" ref="P370" ca="1">IF(AND(G370=INDIRECT("'["&amp;G370&amp;"]"&amp;E370&amp;"'!"&amp;$AH$2),OR(VALUE(I370)=INDIRECT("'["&amp;G370&amp;"]"&amp;E370&amp;"'!"&amp;$AB$2))),INDIRECT("'["&amp;G370&amp;"]"&amp;E370&amp;"'!"&amp;$AB$3),0)</f>
        <v>#VALUE!</v>
      </c>
      <c r="Q370" s="34" t="e" cm="1">
        <f t="array" aca="1" ref="Q370" ca="1">IF(AND(G370=INDIRECT("'["&amp;G370&amp;"]"&amp;E370&amp;"'!"&amp;$AH$2),OR(VALUE(I370)=INDIRECT("'["&amp;G370&amp;"]"&amp;E370&amp;"'!"&amp;$AC$2))),INDIRECT("'["&amp;G370&amp;"]"&amp;E370&amp;"'!"&amp;$AC$3),0)</f>
        <v>#VALUE!</v>
      </c>
      <c r="R370" s="34" t="e" cm="1">
        <f t="array" aca="1" ref="R370" ca="1">IF(AND(G370=INDIRECT("'["&amp;G370&amp;"]"&amp;E370&amp;"'!"&amp;$AH$2),OR(I370=INDIRECT("'["&amp;G370&amp;"]"&amp;E370&amp;"'!"&amp;$AD$2))),INDIRECT("'["&amp;G370&amp;"]"&amp;E370&amp;"'!"&amp;$AD$3),0)</f>
        <v>#VALUE!</v>
      </c>
      <c r="S370" s="34" t="e" cm="1">
        <f t="array" aca="1" ref="S370" ca="1">IF(AND(G370=INDIRECT("'["&amp;G370&amp;"]"&amp;E370&amp;"'!"&amp;$AH$2),OR(I370=INDIRECT("'["&amp;G370&amp;"]"&amp;E370&amp;"'!"&amp;$AE$2))),INDIRECT("'["&amp;G370&amp;"]"&amp;E370&amp;"'!"&amp;$AE$3),0)</f>
        <v>#VALUE!</v>
      </c>
      <c r="T370" s="35" t="e" cm="1">
        <f t="array" aca="1" ref="T370" ca="1">IF(AND(G370=INDIRECT("'["&amp;G370&amp;"]"&amp;E370&amp;"'!"&amp;$AH$2),OR(I370=INDIRECT("'["&amp;G370&amp;"]"&amp;E370&amp;"'!"&amp;$AF$2))),INDIRECT("'["&amp;G370&amp;"]"&amp;E370&amp;"'!"&amp;$AF$3),0)</f>
        <v>#VALUE!</v>
      </c>
      <c r="U370" s="34" t="e" cm="1">
        <f t="array" aca="1" ref="U370" ca="1">IF(AND(G370=INDIRECT("'["&amp;G370&amp;"]"&amp;E370&amp;"'!"&amp;$AH$2),OR(I370=INDIRECT("'["&amp;G370&amp;"]"&amp;E370&amp;"'!"&amp;$AG$2))),INDIRECT("'["&amp;G370&amp;"]"&amp;E370&amp;"'!"&amp;$AG$3),0)</f>
        <v>#VALUE!</v>
      </c>
      <c r="V370" s="25" t="str">
        <f t="shared" si="110"/>
        <v/>
      </c>
      <c r="W370" s="36" t="e" cm="1">
        <f t="array" aca="1" ref="W370" ca="1">IF(AND(G370=INDIRECT("'["&amp;G370&amp;"]"&amp;E370&amp;"'!"&amp;$AH$2),OR(V370=INDIRECT("'["&amp;G370&amp;"]"&amp;E370&amp;"'!"&amp;$AI$2))),INDIRECT("'["&amp;G370&amp;"]"&amp;E370&amp;"'!"&amp;$AI$3),0)</f>
        <v>#VALUE!</v>
      </c>
      <c r="AJ370" s="25">
        <v>1</v>
      </c>
      <c r="AK370" s="38">
        <f t="shared" ca="1" si="95"/>
        <v>0</v>
      </c>
      <c r="AL370" s="38">
        <f t="shared" ca="1" si="96"/>
        <v>0</v>
      </c>
      <c r="AM370" s="54" t="str">
        <f t="shared" ca="1" si="97"/>
        <v/>
      </c>
      <c r="AN370" s="25" t="e">
        <f t="shared" ca="1" si="98"/>
        <v>#VALUE!</v>
      </c>
      <c r="AO370" s="25" t="e">
        <f t="shared" ca="1" si="99"/>
        <v>#VALUE!</v>
      </c>
      <c r="AP370" s="39" t="str">
        <f t="shared" ca="1" si="100"/>
        <v/>
      </c>
      <c r="AQ370" s="46" t="str">
        <f ca="1">IF(AND(C370&lt;&gt;0, C371=0), SUM($C$2:C370)-SUM($AQ$1:AQ369), "")</f>
        <v/>
      </c>
      <c r="AR370" s="46" t="str">
        <f ca="1">IF(AND(AK370&lt;&gt;0, AK371=0), SUM($AK$2:AK370)-SUM($AR$1:AR369), "")</f>
        <v/>
      </c>
    </row>
    <row r="371" spans="1:44" ht="13.15" customHeight="1">
      <c r="A371" s="62"/>
      <c r="B371" s="68" t="str">
        <f t="shared" si="101"/>
        <v/>
      </c>
      <c r="C371" s="55" cm="1">
        <f t="array" aca="1" ref="C371" ca="1">SUM(IF(ISNUMBER(M371:U371),M371:U371,""))</f>
        <v>0</v>
      </c>
      <c r="D371" s="25" t="str">
        <f t="shared" si="102"/>
        <v/>
      </c>
      <c r="E371" s="25" t="e">
        <f t="shared" si="103"/>
        <v>#VALUE!</v>
      </c>
      <c r="F371" s="25" t="str">
        <f t="shared" si="104"/>
        <v/>
      </c>
      <c r="G371" s="25" t="str">
        <f t="shared" si="105"/>
        <v>.xlsx</v>
      </c>
      <c r="H371" s="29" t="e" cm="1">
        <f t="array" aca="1" ref="H371" ca="1">IF(AND(VALUE(E371)=INDIRECT("'["&amp;G371&amp;"]"&amp;E371&amp;"'!"&amp;$X$2),G371=INDIRECT("'["&amp;G371&amp;"]"&amp;E371&amp;"'!"&amp;$X$3)),INDIRECT("'["&amp;G371&amp;"]"&amp;E371&amp;"'!"&amp;$X$1),0)</f>
        <v>#VALUE!</v>
      </c>
      <c r="I371" s="25" t="str">
        <f t="shared" si="106"/>
        <v/>
      </c>
      <c r="J371" s="32" t="str">
        <f t="shared" si="107"/>
        <v/>
      </c>
      <c r="K371" s="25" t="str">
        <f t="shared" si="108"/>
        <v/>
      </c>
      <c r="L371" s="25" t="str">
        <f t="shared" si="109"/>
        <v/>
      </c>
      <c r="M371" s="33" t="e" cm="1">
        <f t="array" aca="1" ref="M371" ca="1">IF(AND(J371=INDIRECT("'["&amp;G371&amp;"]"&amp;E371&amp;"'!"&amp;$Y$2),G371=INDIRECT("'["&amp;G371&amp;"]"&amp;E371&amp;"'!"&amp;$AH$2)),INDIRECT("'["&amp;G371&amp;"]"&amp;E371&amp;"'!"&amp;$Y$3),0)</f>
        <v>#VALUE!</v>
      </c>
      <c r="N371" s="34" t="e" cm="1">
        <f t="array" aca="1" ref="N371" ca="1">IF(AND(G371=INDIRECT("'["&amp;G371&amp;"]"&amp;E371&amp;"'!"&amp;$AH$2),OR(K371=INDIRECT("'["&amp;G371&amp;"]"&amp;E371&amp;"'!"&amp;$Z$2))),INDIRECT("'["&amp;G371&amp;"]"&amp;E371&amp;"'!"&amp;$Z$3),0)</f>
        <v>#VALUE!</v>
      </c>
      <c r="O371" s="34" t="e" cm="1">
        <f t="array" aca="1" ref="O371" ca="1">IF(AND(G371=INDIRECT("'["&amp;G371&amp;"]"&amp;E371&amp;"'!"&amp;$AH$2),OR(L371=INDIRECT("'["&amp;G371&amp;"]"&amp;E371&amp;"'!"&amp;$AA$2))),INDIRECT("'["&amp;G371&amp;"]"&amp;E371&amp;"'!"&amp;$AA$3),0)</f>
        <v>#VALUE!</v>
      </c>
      <c r="P371" s="34" t="e" cm="1">
        <f t="array" aca="1" ref="P371" ca="1">IF(AND(G371=INDIRECT("'["&amp;G371&amp;"]"&amp;E371&amp;"'!"&amp;$AH$2),OR(VALUE(I371)=INDIRECT("'["&amp;G371&amp;"]"&amp;E371&amp;"'!"&amp;$AB$2))),INDIRECT("'["&amp;G371&amp;"]"&amp;E371&amp;"'!"&amp;$AB$3),0)</f>
        <v>#VALUE!</v>
      </c>
      <c r="Q371" s="34" t="e" cm="1">
        <f t="array" aca="1" ref="Q371" ca="1">IF(AND(G371=INDIRECT("'["&amp;G371&amp;"]"&amp;E371&amp;"'!"&amp;$AH$2),OR(VALUE(I371)=INDIRECT("'["&amp;G371&amp;"]"&amp;E371&amp;"'!"&amp;$AC$2))),INDIRECT("'["&amp;G371&amp;"]"&amp;E371&amp;"'!"&amp;$AC$3),0)</f>
        <v>#VALUE!</v>
      </c>
      <c r="R371" s="34" t="e" cm="1">
        <f t="array" aca="1" ref="R371" ca="1">IF(AND(G371=INDIRECT("'["&amp;G371&amp;"]"&amp;E371&amp;"'!"&amp;$AH$2),OR(I371=INDIRECT("'["&amp;G371&amp;"]"&amp;E371&amp;"'!"&amp;$AD$2))),INDIRECT("'["&amp;G371&amp;"]"&amp;E371&amp;"'!"&amp;$AD$3),0)</f>
        <v>#VALUE!</v>
      </c>
      <c r="S371" s="34" t="e" cm="1">
        <f t="array" aca="1" ref="S371" ca="1">IF(AND(G371=INDIRECT("'["&amp;G371&amp;"]"&amp;E371&amp;"'!"&amp;$AH$2),OR(I371=INDIRECT("'["&amp;G371&amp;"]"&amp;E371&amp;"'!"&amp;$AE$2))),INDIRECT("'["&amp;G371&amp;"]"&amp;E371&amp;"'!"&amp;$AE$3),0)</f>
        <v>#VALUE!</v>
      </c>
      <c r="T371" s="35" t="e" cm="1">
        <f t="array" aca="1" ref="T371" ca="1">IF(AND(G371=INDIRECT("'["&amp;G371&amp;"]"&amp;E371&amp;"'!"&amp;$AH$2),OR(I371=INDIRECT("'["&amp;G371&amp;"]"&amp;E371&amp;"'!"&amp;$AF$2))),INDIRECT("'["&amp;G371&amp;"]"&amp;E371&amp;"'!"&amp;$AF$3),0)</f>
        <v>#VALUE!</v>
      </c>
      <c r="U371" s="34" t="e" cm="1">
        <f t="array" aca="1" ref="U371" ca="1">IF(AND(G371=INDIRECT("'["&amp;G371&amp;"]"&amp;E371&amp;"'!"&amp;$AH$2),OR(I371=INDIRECT("'["&amp;G371&amp;"]"&amp;E371&amp;"'!"&amp;$AG$2))),INDIRECT("'["&amp;G371&amp;"]"&amp;E371&amp;"'!"&amp;$AG$3),0)</f>
        <v>#VALUE!</v>
      </c>
      <c r="V371" s="25" t="str">
        <f t="shared" si="110"/>
        <v/>
      </c>
      <c r="W371" s="36" t="e" cm="1">
        <f t="array" aca="1" ref="W371" ca="1">IF(AND(G371=INDIRECT("'["&amp;G371&amp;"]"&amp;E371&amp;"'!"&amp;$AH$2),OR(V371=INDIRECT("'["&amp;G371&amp;"]"&amp;E371&amp;"'!"&amp;$AI$2))),INDIRECT("'["&amp;G371&amp;"]"&amp;E371&amp;"'!"&amp;$AI$3),0)</f>
        <v>#VALUE!</v>
      </c>
      <c r="AJ371" s="25">
        <v>1</v>
      </c>
      <c r="AK371" s="38">
        <f t="shared" ca="1" si="95"/>
        <v>0</v>
      </c>
      <c r="AL371" s="38">
        <f t="shared" ca="1" si="96"/>
        <v>0</v>
      </c>
      <c r="AM371" s="54" t="str">
        <f t="shared" ca="1" si="97"/>
        <v/>
      </c>
      <c r="AN371" s="25" t="e">
        <f t="shared" ca="1" si="98"/>
        <v>#VALUE!</v>
      </c>
      <c r="AO371" s="25" t="e">
        <f t="shared" ca="1" si="99"/>
        <v>#VALUE!</v>
      </c>
      <c r="AP371" s="39" t="str">
        <f t="shared" ca="1" si="100"/>
        <v/>
      </c>
      <c r="AQ371" s="46" t="str">
        <f ca="1">IF(AND(C371&lt;&gt;0, C372=0), SUM($C$2:C371)-SUM($AQ$1:AQ370), "")</f>
        <v/>
      </c>
      <c r="AR371" s="46" t="str">
        <f ca="1">IF(AND(AK371&lt;&gt;0, AK372=0), SUM($AK$2:AK371)-SUM($AR$1:AR370), "")</f>
        <v/>
      </c>
    </row>
    <row r="372" spans="1:44" ht="13.15" customHeight="1">
      <c r="A372" s="62"/>
      <c r="B372" s="68" t="str">
        <f t="shared" si="101"/>
        <v/>
      </c>
      <c r="C372" s="55" cm="1">
        <f t="array" aca="1" ref="C372" ca="1">SUM(IF(ISNUMBER(M372:U372),M372:U372,""))</f>
        <v>0</v>
      </c>
      <c r="D372" s="25" t="str">
        <f t="shared" si="102"/>
        <v/>
      </c>
      <c r="E372" s="25" t="e">
        <f t="shared" si="103"/>
        <v>#VALUE!</v>
      </c>
      <c r="F372" s="25" t="str">
        <f t="shared" si="104"/>
        <v/>
      </c>
      <c r="G372" s="25" t="str">
        <f t="shared" si="105"/>
        <v>.xlsx</v>
      </c>
      <c r="H372" s="29" t="e" cm="1">
        <f t="array" aca="1" ref="H372" ca="1">IF(AND(VALUE(E372)=INDIRECT("'["&amp;G372&amp;"]"&amp;E372&amp;"'!"&amp;$X$2),G372=INDIRECT("'["&amp;G372&amp;"]"&amp;E372&amp;"'!"&amp;$X$3)),INDIRECT("'["&amp;G372&amp;"]"&amp;E372&amp;"'!"&amp;$X$1),0)</f>
        <v>#VALUE!</v>
      </c>
      <c r="I372" s="25" t="str">
        <f t="shared" si="106"/>
        <v/>
      </c>
      <c r="J372" s="32" t="str">
        <f t="shared" si="107"/>
        <v/>
      </c>
      <c r="K372" s="25" t="str">
        <f t="shared" si="108"/>
        <v/>
      </c>
      <c r="L372" s="25" t="str">
        <f t="shared" si="109"/>
        <v/>
      </c>
      <c r="M372" s="33" t="e" cm="1">
        <f t="array" aca="1" ref="M372" ca="1">IF(AND(J372=INDIRECT("'["&amp;G372&amp;"]"&amp;E372&amp;"'!"&amp;$Y$2),G372=INDIRECT("'["&amp;G372&amp;"]"&amp;E372&amp;"'!"&amp;$AH$2)),INDIRECT("'["&amp;G372&amp;"]"&amp;E372&amp;"'!"&amp;$Y$3),0)</f>
        <v>#VALUE!</v>
      </c>
      <c r="N372" s="34" t="e" cm="1">
        <f t="array" aca="1" ref="N372" ca="1">IF(AND(G372=INDIRECT("'["&amp;G372&amp;"]"&amp;E372&amp;"'!"&amp;$AH$2),OR(K372=INDIRECT("'["&amp;G372&amp;"]"&amp;E372&amp;"'!"&amp;$Z$2))),INDIRECT("'["&amp;G372&amp;"]"&amp;E372&amp;"'!"&amp;$Z$3),0)</f>
        <v>#VALUE!</v>
      </c>
      <c r="O372" s="34" t="e" cm="1">
        <f t="array" aca="1" ref="O372" ca="1">IF(AND(G372=INDIRECT("'["&amp;G372&amp;"]"&amp;E372&amp;"'!"&amp;$AH$2),OR(L372=INDIRECT("'["&amp;G372&amp;"]"&amp;E372&amp;"'!"&amp;$AA$2))),INDIRECT("'["&amp;G372&amp;"]"&amp;E372&amp;"'!"&amp;$AA$3),0)</f>
        <v>#VALUE!</v>
      </c>
      <c r="P372" s="34" t="e" cm="1">
        <f t="array" aca="1" ref="P372" ca="1">IF(AND(G372=INDIRECT("'["&amp;G372&amp;"]"&amp;E372&amp;"'!"&amp;$AH$2),OR(VALUE(I372)=INDIRECT("'["&amp;G372&amp;"]"&amp;E372&amp;"'!"&amp;$AB$2))),INDIRECT("'["&amp;G372&amp;"]"&amp;E372&amp;"'!"&amp;$AB$3),0)</f>
        <v>#VALUE!</v>
      </c>
      <c r="Q372" s="34" t="e" cm="1">
        <f t="array" aca="1" ref="Q372" ca="1">IF(AND(G372=INDIRECT("'["&amp;G372&amp;"]"&amp;E372&amp;"'!"&amp;$AH$2),OR(VALUE(I372)=INDIRECT("'["&amp;G372&amp;"]"&amp;E372&amp;"'!"&amp;$AC$2))),INDIRECT("'["&amp;G372&amp;"]"&amp;E372&amp;"'!"&amp;$AC$3),0)</f>
        <v>#VALUE!</v>
      </c>
      <c r="R372" s="34" t="e" cm="1">
        <f t="array" aca="1" ref="R372" ca="1">IF(AND(G372=INDIRECT("'["&amp;G372&amp;"]"&amp;E372&amp;"'!"&amp;$AH$2),OR(I372=INDIRECT("'["&amp;G372&amp;"]"&amp;E372&amp;"'!"&amp;$AD$2))),INDIRECT("'["&amp;G372&amp;"]"&amp;E372&amp;"'!"&amp;$AD$3),0)</f>
        <v>#VALUE!</v>
      </c>
      <c r="S372" s="34" t="e" cm="1">
        <f t="array" aca="1" ref="S372" ca="1">IF(AND(G372=INDIRECT("'["&amp;G372&amp;"]"&amp;E372&amp;"'!"&amp;$AH$2),OR(I372=INDIRECT("'["&amp;G372&amp;"]"&amp;E372&amp;"'!"&amp;$AE$2))),INDIRECT("'["&amp;G372&amp;"]"&amp;E372&amp;"'!"&amp;$AE$3),0)</f>
        <v>#VALUE!</v>
      </c>
      <c r="T372" s="35" t="e" cm="1">
        <f t="array" aca="1" ref="T372" ca="1">IF(AND(G372=INDIRECT("'["&amp;G372&amp;"]"&amp;E372&amp;"'!"&amp;$AH$2),OR(I372=INDIRECT("'["&amp;G372&amp;"]"&amp;E372&amp;"'!"&amp;$AF$2))),INDIRECT("'["&amp;G372&amp;"]"&amp;E372&amp;"'!"&amp;$AF$3),0)</f>
        <v>#VALUE!</v>
      </c>
      <c r="U372" s="34" t="e" cm="1">
        <f t="array" aca="1" ref="U372" ca="1">IF(AND(G372=INDIRECT("'["&amp;G372&amp;"]"&amp;E372&amp;"'!"&amp;$AH$2),OR(I372=INDIRECT("'["&amp;G372&amp;"]"&amp;E372&amp;"'!"&amp;$AG$2))),INDIRECT("'["&amp;G372&amp;"]"&amp;E372&amp;"'!"&amp;$AG$3),0)</f>
        <v>#VALUE!</v>
      </c>
      <c r="V372" s="25" t="str">
        <f t="shared" si="110"/>
        <v/>
      </c>
      <c r="W372" s="36" t="e" cm="1">
        <f t="array" aca="1" ref="W372" ca="1">IF(AND(G372=INDIRECT("'["&amp;G372&amp;"]"&amp;E372&amp;"'!"&amp;$AH$2),OR(V372=INDIRECT("'["&amp;G372&amp;"]"&amp;E372&amp;"'!"&amp;$AI$2))),INDIRECT("'["&amp;G372&amp;"]"&amp;E372&amp;"'!"&amp;$AI$3),0)</f>
        <v>#VALUE!</v>
      </c>
      <c r="AJ372" s="25">
        <v>1</v>
      </c>
      <c r="AK372" s="38">
        <f t="shared" ca="1" si="95"/>
        <v>0</v>
      </c>
      <c r="AL372" s="38">
        <f t="shared" ca="1" si="96"/>
        <v>0</v>
      </c>
      <c r="AM372" s="54" t="str">
        <f t="shared" ca="1" si="97"/>
        <v/>
      </c>
      <c r="AN372" s="25" t="e">
        <f t="shared" ca="1" si="98"/>
        <v>#VALUE!</v>
      </c>
      <c r="AO372" s="25" t="e">
        <f t="shared" ca="1" si="99"/>
        <v>#VALUE!</v>
      </c>
      <c r="AP372" s="39" t="str">
        <f t="shared" ca="1" si="100"/>
        <v/>
      </c>
      <c r="AQ372" s="46" t="str">
        <f ca="1">IF(AND(C372&lt;&gt;0, C373=0), SUM($C$2:C372)-SUM($AQ$1:AQ371), "")</f>
        <v/>
      </c>
      <c r="AR372" s="46" t="str">
        <f ca="1">IF(AND(AK372&lt;&gt;0, AK373=0), SUM($AK$2:AK372)-SUM($AR$1:AR371), "")</f>
        <v/>
      </c>
    </row>
    <row r="373" spans="1:44" ht="13.15" customHeight="1">
      <c r="A373" s="62"/>
      <c r="B373" s="68" t="str">
        <f t="shared" si="101"/>
        <v/>
      </c>
      <c r="C373" s="55" cm="1">
        <f t="array" aca="1" ref="C373" ca="1">SUM(IF(ISNUMBER(M373:U373),M373:U373,""))</f>
        <v>0</v>
      </c>
      <c r="D373" s="25" t="str">
        <f t="shared" si="102"/>
        <v/>
      </c>
      <c r="E373" s="25" t="e">
        <f t="shared" si="103"/>
        <v>#VALUE!</v>
      </c>
      <c r="F373" s="25" t="str">
        <f t="shared" si="104"/>
        <v/>
      </c>
      <c r="G373" s="25" t="str">
        <f t="shared" si="105"/>
        <v>.xlsx</v>
      </c>
      <c r="H373" s="29" t="e" cm="1">
        <f t="array" aca="1" ref="H373" ca="1">IF(AND(VALUE(E373)=INDIRECT("'["&amp;G373&amp;"]"&amp;E373&amp;"'!"&amp;$X$2),G373=INDIRECT("'["&amp;G373&amp;"]"&amp;E373&amp;"'!"&amp;$X$3)),INDIRECT("'["&amp;G373&amp;"]"&amp;E373&amp;"'!"&amp;$X$1),0)</f>
        <v>#VALUE!</v>
      </c>
      <c r="I373" s="25" t="str">
        <f t="shared" si="106"/>
        <v/>
      </c>
      <c r="J373" s="32" t="str">
        <f t="shared" si="107"/>
        <v/>
      </c>
      <c r="K373" s="25" t="str">
        <f t="shared" si="108"/>
        <v/>
      </c>
      <c r="L373" s="25" t="str">
        <f t="shared" si="109"/>
        <v/>
      </c>
      <c r="M373" s="33" t="e" cm="1">
        <f t="array" aca="1" ref="M373" ca="1">IF(AND(J373=INDIRECT("'["&amp;G373&amp;"]"&amp;E373&amp;"'!"&amp;$Y$2),G373=INDIRECT("'["&amp;G373&amp;"]"&amp;E373&amp;"'!"&amp;$AH$2)),INDIRECT("'["&amp;G373&amp;"]"&amp;E373&amp;"'!"&amp;$Y$3),0)</f>
        <v>#VALUE!</v>
      </c>
      <c r="N373" s="34" t="e" cm="1">
        <f t="array" aca="1" ref="N373" ca="1">IF(AND(G373=INDIRECT("'["&amp;G373&amp;"]"&amp;E373&amp;"'!"&amp;$AH$2),OR(K373=INDIRECT("'["&amp;G373&amp;"]"&amp;E373&amp;"'!"&amp;$Z$2))),INDIRECT("'["&amp;G373&amp;"]"&amp;E373&amp;"'!"&amp;$Z$3),0)</f>
        <v>#VALUE!</v>
      </c>
      <c r="O373" s="34" t="e" cm="1">
        <f t="array" aca="1" ref="O373" ca="1">IF(AND(G373=INDIRECT("'["&amp;G373&amp;"]"&amp;E373&amp;"'!"&amp;$AH$2),OR(L373=INDIRECT("'["&amp;G373&amp;"]"&amp;E373&amp;"'!"&amp;$AA$2))),INDIRECT("'["&amp;G373&amp;"]"&amp;E373&amp;"'!"&amp;$AA$3),0)</f>
        <v>#VALUE!</v>
      </c>
      <c r="P373" s="34" t="e" cm="1">
        <f t="array" aca="1" ref="P373" ca="1">IF(AND(G373=INDIRECT("'["&amp;G373&amp;"]"&amp;E373&amp;"'!"&amp;$AH$2),OR(VALUE(I373)=INDIRECT("'["&amp;G373&amp;"]"&amp;E373&amp;"'!"&amp;$AB$2))),INDIRECT("'["&amp;G373&amp;"]"&amp;E373&amp;"'!"&amp;$AB$3),0)</f>
        <v>#VALUE!</v>
      </c>
      <c r="Q373" s="34" t="e" cm="1">
        <f t="array" aca="1" ref="Q373" ca="1">IF(AND(G373=INDIRECT("'["&amp;G373&amp;"]"&amp;E373&amp;"'!"&amp;$AH$2),OR(VALUE(I373)=INDIRECT("'["&amp;G373&amp;"]"&amp;E373&amp;"'!"&amp;$AC$2))),INDIRECT("'["&amp;G373&amp;"]"&amp;E373&amp;"'!"&amp;$AC$3),0)</f>
        <v>#VALUE!</v>
      </c>
      <c r="R373" s="34" t="e" cm="1">
        <f t="array" aca="1" ref="R373" ca="1">IF(AND(G373=INDIRECT("'["&amp;G373&amp;"]"&amp;E373&amp;"'!"&amp;$AH$2),OR(I373=INDIRECT("'["&amp;G373&amp;"]"&amp;E373&amp;"'!"&amp;$AD$2))),INDIRECT("'["&amp;G373&amp;"]"&amp;E373&amp;"'!"&amp;$AD$3),0)</f>
        <v>#VALUE!</v>
      </c>
      <c r="S373" s="34" t="e" cm="1">
        <f t="array" aca="1" ref="S373" ca="1">IF(AND(G373=INDIRECT("'["&amp;G373&amp;"]"&amp;E373&amp;"'!"&amp;$AH$2),OR(I373=INDIRECT("'["&amp;G373&amp;"]"&amp;E373&amp;"'!"&amp;$AE$2))),INDIRECT("'["&amp;G373&amp;"]"&amp;E373&amp;"'!"&amp;$AE$3),0)</f>
        <v>#VALUE!</v>
      </c>
      <c r="T373" s="35" t="e" cm="1">
        <f t="array" aca="1" ref="T373" ca="1">IF(AND(G373=INDIRECT("'["&amp;G373&amp;"]"&amp;E373&amp;"'!"&amp;$AH$2),OR(I373=INDIRECT("'["&amp;G373&amp;"]"&amp;E373&amp;"'!"&amp;$AF$2))),INDIRECT("'["&amp;G373&amp;"]"&amp;E373&amp;"'!"&amp;$AF$3),0)</f>
        <v>#VALUE!</v>
      </c>
      <c r="U373" s="34" t="e" cm="1">
        <f t="array" aca="1" ref="U373" ca="1">IF(AND(G373=INDIRECT("'["&amp;G373&amp;"]"&amp;E373&amp;"'!"&amp;$AH$2),OR(I373=INDIRECT("'["&amp;G373&amp;"]"&amp;E373&amp;"'!"&amp;$AG$2))),INDIRECT("'["&amp;G373&amp;"]"&amp;E373&amp;"'!"&amp;$AG$3),0)</f>
        <v>#VALUE!</v>
      </c>
      <c r="V373" s="25" t="str">
        <f t="shared" si="110"/>
        <v/>
      </c>
      <c r="W373" s="36" t="e" cm="1">
        <f t="array" aca="1" ref="W373" ca="1">IF(AND(G373=INDIRECT("'["&amp;G373&amp;"]"&amp;E373&amp;"'!"&amp;$AH$2),OR(V373=INDIRECT("'["&amp;G373&amp;"]"&amp;E373&amp;"'!"&amp;$AI$2))),INDIRECT("'["&amp;G373&amp;"]"&amp;E373&amp;"'!"&amp;$AI$3),0)</f>
        <v>#VALUE!</v>
      </c>
      <c r="AJ373" s="25">
        <v>1</v>
      </c>
      <c r="AK373" s="38">
        <f t="shared" ca="1" si="95"/>
        <v>0</v>
      </c>
      <c r="AL373" s="38">
        <f t="shared" ca="1" si="96"/>
        <v>0</v>
      </c>
      <c r="AM373" s="54" t="str">
        <f t="shared" ca="1" si="97"/>
        <v/>
      </c>
      <c r="AN373" s="25" t="e">
        <f t="shared" ca="1" si="98"/>
        <v>#VALUE!</v>
      </c>
      <c r="AO373" s="25" t="e">
        <f t="shared" ca="1" si="99"/>
        <v>#VALUE!</v>
      </c>
      <c r="AP373" s="39" t="str">
        <f t="shared" ca="1" si="100"/>
        <v/>
      </c>
      <c r="AQ373" s="46" t="str">
        <f ca="1">IF(AND(C373&lt;&gt;0, C374=0), SUM($C$2:C373)-SUM($AQ$1:AQ372), "")</f>
        <v/>
      </c>
      <c r="AR373" s="46" t="str">
        <f ca="1">IF(AND(AK373&lt;&gt;0, AK374=0), SUM($AK$2:AK373)-SUM($AR$1:AR372), "")</f>
        <v/>
      </c>
    </row>
    <row r="374" spans="1:44" ht="13.15" customHeight="1">
      <c r="A374" s="62"/>
      <c r="B374" s="68" t="str">
        <f t="shared" si="101"/>
        <v/>
      </c>
      <c r="C374" s="55" cm="1">
        <f t="array" aca="1" ref="C374" ca="1">SUM(IF(ISNUMBER(M374:U374),M374:U374,""))</f>
        <v>0</v>
      </c>
      <c r="D374" s="25" t="str">
        <f t="shared" si="102"/>
        <v/>
      </c>
      <c r="E374" s="25" t="e">
        <f t="shared" si="103"/>
        <v>#VALUE!</v>
      </c>
      <c r="F374" s="25" t="str">
        <f t="shared" si="104"/>
        <v/>
      </c>
      <c r="G374" s="25" t="str">
        <f t="shared" si="105"/>
        <v>.xlsx</v>
      </c>
      <c r="H374" s="29" t="e" cm="1">
        <f t="array" aca="1" ref="H374" ca="1">IF(AND(VALUE(E374)=INDIRECT("'["&amp;G374&amp;"]"&amp;E374&amp;"'!"&amp;$X$2),G374=INDIRECT("'["&amp;G374&amp;"]"&amp;E374&amp;"'!"&amp;$X$3)),INDIRECT("'["&amp;G374&amp;"]"&amp;E374&amp;"'!"&amp;$X$1),0)</f>
        <v>#VALUE!</v>
      </c>
      <c r="I374" s="25" t="str">
        <f t="shared" si="106"/>
        <v/>
      </c>
      <c r="J374" s="32" t="str">
        <f t="shared" si="107"/>
        <v/>
      </c>
      <c r="K374" s="25" t="str">
        <f t="shared" si="108"/>
        <v/>
      </c>
      <c r="L374" s="25" t="str">
        <f t="shared" si="109"/>
        <v/>
      </c>
      <c r="M374" s="33" t="e" cm="1">
        <f t="array" aca="1" ref="M374" ca="1">IF(AND(J374=INDIRECT("'["&amp;G374&amp;"]"&amp;E374&amp;"'!"&amp;$Y$2),G374=INDIRECT("'["&amp;G374&amp;"]"&amp;E374&amp;"'!"&amp;$AH$2)),INDIRECT("'["&amp;G374&amp;"]"&amp;E374&amp;"'!"&amp;$Y$3),0)</f>
        <v>#VALUE!</v>
      </c>
      <c r="N374" s="34" t="e" cm="1">
        <f t="array" aca="1" ref="N374" ca="1">IF(AND(G374=INDIRECT("'["&amp;G374&amp;"]"&amp;E374&amp;"'!"&amp;$AH$2),OR(K374=INDIRECT("'["&amp;G374&amp;"]"&amp;E374&amp;"'!"&amp;$Z$2))),INDIRECT("'["&amp;G374&amp;"]"&amp;E374&amp;"'!"&amp;$Z$3),0)</f>
        <v>#VALUE!</v>
      </c>
      <c r="O374" s="34" t="e" cm="1">
        <f t="array" aca="1" ref="O374" ca="1">IF(AND(G374=INDIRECT("'["&amp;G374&amp;"]"&amp;E374&amp;"'!"&amp;$AH$2),OR(L374=INDIRECT("'["&amp;G374&amp;"]"&amp;E374&amp;"'!"&amp;$AA$2))),INDIRECT("'["&amp;G374&amp;"]"&amp;E374&amp;"'!"&amp;$AA$3),0)</f>
        <v>#VALUE!</v>
      </c>
      <c r="P374" s="34" t="e" cm="1">
        <f t="array" aca="1" ref="P374" ca="1">IF(AND(G374=INDIRECT("'["&amp;G374&amp;"]"&amp;E374&amp;"'!"&amp;$AH$2),OR(VALUE(I374)=INDIRECT("'["&amp;G374&amp;"]"&amp;E374&amp;"'!"&amp;$AB$2))),INDIRECT("'["&amp;G374&amp;"]"&amp;E374&amp;"'!"&amp;$AB$3),0)</f>
        <v>#VALUE!</v>
      </c>
      <c r="Q374" s="34" t="e" cm="1">
        <f t="array" aca="1" ref="Q374" ca="1">IF(AND(G374=INDIRECT("'["&amp;G374&amp;"]"&amp;E374&amp;"'!"&amp;$AH$2),OR(VALUE(I374)=INDIRECT("'["&amp;G374&amp;"]"&amp;E374&amp;"'!"&amp;$AC$2))),INDIRECT("'["&amp;G374&amp;"]"&amp;E374&amp;"'!"&amp;$AC$3),0)</f>
        <v>#VALUE!</v>
      </c>
      <c r="R374" s="34" t="e" cm="1">
        <f t="array" aca="1" ref="R374" ca="1">IF(AND(G374=INDIRECT("'["&amp;G374&amp;"]"&amp;E374&amp;"'!"&amp;$AH$2),OR(I374=INDIRECT("'["&amp;G374&amp;"]"&amp;E374&amp;"'!"&amp;$AD$2))),INDIRECT("'["&amp;G374&amp;"]"&amp;E374&amp;"'!"&amp;$AD$3),0)</f>
        <v>#VALUE!</v>
      </c>
      <c r="S374" s="34" t="e" cm="1">
        <f t="array" aca="1" ref="S374" ca="1">IF(AND(G374=INDIRECT("'["&amp;G374&amp;"]"&amp;E374&amp;"'!"&amp;$AH$2),OR(I374=INDIRECT("'["&amp;G374&amp;"]"&amp;E374&amp;"'!"&amp;$AE$2))),INDIRECT("'["&amp;G374&amp;"]"&amp;E374&amp;"'!"&amp;$AE$3),0)</f>
        <v>#VALUE!</v>
      </c>
      <c r="T374" s="35" t="e" cm="1">
        <f t="array" aca="1" ref="T374" ca="1">IF(AND(G374=INDIRECT("'["&amp;G374&amp;"]"&amp;E374&amp;"'!"&amp;$AH$2),OR(I374=INDIRECT("'["&amp;G374&amp;"]"&amp;E374&amp;"'!"&amp;$AF$2))),INDIRECT("'["&amp;G374&amp;"]"&amp;E374&amp;"'!"&amp;$AF$3),0)</f>
        <v>#VALUE!</v>
      </c>
      <c r="U374" s="34" t="e" cm="1">
        <f t="array" aca="1" ref="U374" ca="1">IF(AND(G374=INDIRECT("'["&amp;G374&amp;"]"&amp;E374&amp;"'!"&amp;$AH$2),OR(I374=INDIRECT("'["&amp;G374&amp;"]"&amp;E374&amp;"'!"&amp;$AG$2))),INDIRECT("'["&amp;G374&amp;"]"&amp;E374&amp;"'!"&amp;$AG$3),0)</f>
        <v>#VALUE!</v>
      </c>
      <c r="V374" s="25" t="str">
        <f t="shared" si="110"/>
        <v/>
      </c>
      <c r="W374" s="36" t="e" cm="1">
        <f t="array" aca="1" ref="W374" ca="1">IF(AND(G374=INDIRECT("'["&amp;G374&amp;"]"&amp;E374&amp;"'!"&amp;$AH$2),OR(V374=INDIRECT("'["&amp;G374&amp;"]"&amp;E374&amp;"'!"&amp;$AI$2))),INDIRECT("'["&amp;G374&amp;"]"&amp;E374&amp;"'!"&amp;$AI$3),0)</f>
        <v>#VALUE!</v>
      </c>
      <c r="AJ374" s="25">
        <v>1</v>
      </c>
      <c r="AK374" s="38">
        <f t="shared" ca="1" si="95"/>
        <v>0</v>
      </c>
      <c r="AL374" s="38">
        <f t="shared" ca="1" si="96"/>
        <v>0</v>
      </c>
      <c r="AM374" s="54" t="str">
        <f t="shared" ca="1" si="97"/>
        <v/>
      </c>
      <c r="AN374" s="25" t="e">
        <f t="shared" ca="1" si="98"/>
        <v>#VALUE!</v>
      </c>
      <c r="AO374" s="25" t="e">
        <f t="shared" ca="1" si="99"/>
        <v>#VALUE!</v>
      </c>
      <c r="AP374" s="39" t="str">
        <f t="shared" ca="1" si="100"/>
        <v/>
      </c>
      <c r="AQ374" s="46" t="str">
        <f ca="1">IF(AND(C374&lt;&gt;0, C375=0), SUM($C$2:C374)-SUM($AQ$1:AQ373), "")</f>
        <v/>
      </c>
      <c r="AR374" s="46" t="str">
        <f ca="1">IF(AND(AK374&lt;&gt;0, AK375=0), SUM($AK$2:AK374)-SUM($AR$1:AR373), "")</f>
        <v/>
      </c>
    </row>
    <row r="375" spans="1:44" ht="13.15" customHeight="1">
      <c r="A375" s="62"/>
      <c r="B375" s="68" t="str">
        <f t="shared" si="101"/>
        <v/>
      </c>
      <c r="C375" s="55" cm="1">
        <f t="array" aca="1" ref="C375" ca="1">SUM(IF(ISNUMBER(M375:U375),M375:U375,""))</f>
        <v>0</v>
      </c>
      <c r="D375" s="25" t="str">
        <f t="shared" si="102"/>
        <v/>
      </c>
      <c r="E375" s="25" t="e">
        <f t="shared" si="103"/>
        <v>#VALUE!</v>
      </c>
      <c r="F375" s="25" t="str">
        <f t="shared" si="104"/>
        <v/>
      </c>
      <c r="G375" s="25" t="str">
        <f t="shared" si="105"/>
        <v>.xlsx</v>
      </c>
      <c r="H375" s="29" t="e" cm="1">
        <f t="array" aca="1" ref="H375" ca="1">IF(AND(VALUE(E375)=INDIRECT("'["&amp;G375&amp;"]"&amp;E375&amp;"'!"&amp;$X$2),G375=INDIRECT("'["&amp;G375&amp;"]"&amp;E375&amp;"'!"&amp;$X$3)),INDIRECT("'["&amp;G375&amp;"]"&amp;E375&amp;"'!"&amp;$X$1),0)</f>
        <v>#VALUE!</v>
      </c>
      <c r="I375" s="25" t="str">
        <f t="shared" si="106"/>
        <v/>
      </c>
      <c r="J375" s="32" t="str">
        <f t="shared" si="107"/>
        <v/>
      </c>
      <c r="K375" s="25" t="str">
        <f t="shared" si="108"/>
        <v/>
      </c>
      <c r="L375" s="25" t="str">
        <f t="shared" si="109"/>
        <v/>
      </c>
      <c r="M375" s="33" t="e" cm="1">
        <f t="array" aca="1" ref="M375" ca="1">IF(AND(J375=INDIRECT("'["&amp;G375&amp;"]"&amp;E375&amp;"'!"&amp;$Y$2),G375=INDIRECT("'["&amp;G375&amp;"]"&amp;E375&amp;"'!"&amp;$AH$2)),INDIRECT("'["&amp;G375&amp;"]"&amp;E375&amp;"'!"&amp;$Y$3),0)</f>
        <v>#VALUE!</v>
      </c>
      <c r="N375" s="34" t="e" cm="1">
        <f t="array" aca="1" ref="N375" ca="1">IF(AND(G375=INDIRECT("'["&amp;G375&amp;"]"&amp;E375&amp;"'!"&amp;$AH$2),OR(K375=INDIRECT("'["&amp;G375&amp;"]"&amp;E375&amp;"'!"&amp;$Z$2))),INDIRECT("'["&amp;G375&amp;"]"&amp;E375&amp;"'!"&amp;$Z$3),0)</f>
        <v>#VALUE!</v>
      </c>
      <c r="O375" s="34" t="e" cm="1">
        <f t="array" aca="1" ref="O375" ca="1">IF(AND(G375=INDIRECT("'["&amp;G375&amp;"]"&amp;E375&amp;"'!"&amp;$AH$2),OR(L375=INDIRECT("'["&amp;G375&amp;"]"&amp;E375&amp;"'!"&amp;$AA$2))),INDIRECT("'["&amp;G375&amp;"]"&amp;E375&amp;"'!"&amp;$AA$3),0)</f>
        <v>#VALUE!</v>
      </c>
      <c r="P375" s="34" t="e" cm="1">
        <f t="array" aca="1" ref="P375" ca="1">IF(AND(G375=INDIRECT("'["&amp;G375&amp;"]"&amp;E375&amp;"'!"&amp;$AH$2),OR(VALUE(I375)=INDIRECT("'["&amp;G375&amp;"]"&amp;E375&amp;"'!"&amp;$AB$2))),INDIRECT("'["&amp;G375&amp;"]"&amp;E375&amp;"'!"&amp;$AB$3),0)</f>
        <v>#VALUE!</v>
      </c>
      <c r="Q375" s="34" t="e" cm="1">
        <f t="array" aca="1" ref="Q375" ca="1">IF(AND(G375=INDIRECT("'["&amp;G375&amp;"]"&amp;E375&amp;"'!"&amp;$AH$2),OR(VALUE(I375)=INDIRECT("'["&amp;G375&amp;"]"&amp;E375&amp;"'!"&amp;$AC$2))),INDIRECT("'["&amp;G375&amp;"]"&amp;E375&amp;"'!"&amp;$AC$3),0)</f>
        <v>#VALUE!</v>
      </c>
      <c r="R375" s="34" t="e" cm="1">
        <f t="array" aca="1" ref="R375" ca="1">IF(AND(G375=INDIRECT("'["&amp;G375&amp;"]"&amp;E375&amp;"'!"&amp;$AH$2),OR(I375=INDIRECT("'["&amp;G375&amp;"]"&amp;E375&amp;"'!"&amp;$AD$2))),INDIRECT("'["&amp;G375&amp;"]"&amp;E375&amp;"'!"&amp;$AD$3),0)</f>
        <v>#VALUE!</v>
      </c>
      <c r="S375" s="34" t="e" cm="1">
        <f t="array" aca="1" ref="S375" ca="1">IF(AND(G375=INDIRECT("'["&amp;G375&amp;"]"&amp;E375&amp;"'!"&amp;$AH$2),OR(I375=INDIRECT("'["&amp;G375&amp;"]"&amp;E375&amp;"'!"&amp;$AE$2))),INDIRECT("'["&amp;G375&amp;"]"&amp;E375&amp;"'!"&amp;$AE$3),0)</f>
        <v>#VALUE!</v>
      </c>
      <c r="T375" s="35" t="e" cm="1">
        <f t="array" aca="1" ref="T375" ca="1">IF(AND(G375=INDIRECT("'["&amp;G375&amp;"]"&amp;E375&amp;"'!"&amp;$AH$2),OR(I375=INDIRECT("'["&amp;G375&amp;"]"&amp;E375&amp;"'!"&amp;$AF$2))),INDIRECT("'["&amp;G375&amp;"]"&amp;E375&amp;"'!"&amp;$AF$3),0)</f>
        <v>#VALUE!</v>
      </c>
      <c r="U375" s="34" t="e" cm="1">
        <f t="array" aca="1" ref="U375" ca="1">IF(AND(G375=INDIRECT("'["&amp;G375&amp;"]"&amp;E375&amp;"'!"&amp;$AH$2),OR(I375=INDIRECT("'["&amp;G375&amp;"]"&amp;E375&amp;"'!"&amp;$AG$2))),INDIRECT("'["&amp;G375&amp;"]"&amp;E375&amp;"'!"&amp;$AG$3),0)</f>
        <v>#VALUE!</v>
      </c>
      <c r="V375" s="25" t="str">
        <f t="shared" si="110"/>
        <v/>
      </c>
      <c r="W375" s="36" t="e" cm="1">
        <f t="array" aca="1" ref="W375" ca="1">IF(AND(G375=INDIRECT("'["&amp;G375&amp;"]"&amp;E375&amp;"'!"&amp;$AH$2),OR(V375=INDIRECT("'["&amp;G375&amp;"]"&amp;E375&amp;"'!"&amp;$AI$2))),INDIRECT("'["&amp;G375&amp;"]"&amp;E375&amp;"'!"&amp;$AI$3),0)</f>
        <v>#VALUE!</v>
      </c>
      <c r="AJ375" s="25">
        <v>1</v>
      </c>
      <c r="AK375" s="38">
        <f t="shared" ca="1" si="95"/>
        <v>0</v>
      </c>
      <c r="AL375" s="38">
        <f t="shared" ca="1" si="96"/>
        <v>0</v>
      </c>
      <c r="AM375" s="54" t="str">
        <f t="shared" ca="1" si="97"/>
        <v/>
      </c>
      <c r="AN375" s="25" t="e">
        <f t="shared" ca="1" si="98"/>
        <v>#VALUE!</v>
      </c>
      <c r="AO375" s="25" t="e">
        <f t="shared" ca="1" si="99"/>
        <v>#VALUE!</v>
      </c>
      <c r="AP375" s="39" t="str">
        <f t="shared" ca="1" si="100"/>
        <v/>
      </c>
      <c r="AQ375" s="46" t="str">
        <f ca="1">IF(AND(C375&lt;&gt;0, C376=0), SUM($C$2:C375)-SUM($AQ$1:AQ374), "")</f>
        <v/>
      </c>
      <c r="AR375" s="46" t="str">
        <f ca="1">IF(AND(AK375&lt;&gt;0, AK376=0), SUM($AK$2:AK375)-SUM($AR$1:AR374), "")</f>
        <v/>
      </c>
    </row>
    <row r="376" spans="1:44" ht="13.15" customHeight="1">
      <c r="A376" s="62"/>
      <c r="B376" s="68" t="str">
        <f t="shared" si="101"/>
        <v/>
      </c>
      <c r="C376" s="55" cm="1">
        <f t="array" aca="1" ref="C376" ca="1">SUM(IF(ISNUMBER(M376:U376),M376:U376,""))</f>
        <v>0</v>
      </c>
      <c r="D376" s="25" t="str">
        <f t="shared" si="102"/>
        <v/>
      </c>
      <c r="E376" s="25" t="e">
        <f t="shared" si="103"/>
        <v>#VALUE!</v>
      </c>
      <c r="F376" s="25" t="str">
        <f t="shared" si="104"/>
        <v/>
      </c>
      <c r="G376" s="25" t="str">
        <f t="shared" si="105"/>
        <v>.xlsx</v>
      </c>
      <c r="H376" s="29" t="e" cm="1">
        <f t="array" aca="1" ref="H376" ca="1">IF(AND(VALUE(E376)=INDIRECT("'["&amp;G376&amp;"]"&amp;E376&amp;"'!"&amp;$X$2),G376=INDIRECT("'["&amp;G376&amp;"]"&amp;E376&amp;"'!"&amp;$X$3)),INDIRECT("'["&amp;G376&amp;"]"&amp;E376&amp;"'!"&amp;$X$1),0)</f>
        <v>#VALUE!</v>
      </c>
      <c r="I376" s="25" t="str">
        <f t="shared" si="106"/>
        <v/>
      </c>
      <c r="J376" s="32" t="str">
        <f t="shared" si="107"/>
        <v/>
      </c>
      <c r="K376" s="25" t="str">
        <f t="shared" si="108"/>
        <v/>
      </c>
      <c r="L376" s="25" t="str">
        <f t="shared" si="109"/>
        <v/>
      </c>
      <c r="M376" s="33" t="e" cm="1">
        <f t="array" aca="1" ref="M376" ca="1">IF(AND(J376=INDIRECT("'["&amp;G376&amp;"]"&amp;E376&amp;"'!"&amp;$Y$2),G376=INDIRECT("'["&amp;G376&amp;"]"&amp;E376&amp;"'!"&amp;$AH$2)),INDIRECT("'["&amp;G376&amp;"]"&amp;E376&amp;"'!"&amp;$Y$3),0)</f>
        <v>#VALUE!</v>
      </c>
      <c r="N376" s="34" t="e" cm="1">
        <f t="array" aca="1" ref="N376" ca="1">IF(AND(G376=INDIRECT("'["&amp;G376&amp;"]"&amp;E376&amp;"'!"&amp;$AH$2),OR(K376=INDIRECT("'["&amp;G376&amp;"]"&amp;E376&amp;"'!"&amp;$Z$2))),INDIRECT("'["&amp;G376&amp;"]"&amp;E376&amp;"'!"&amp;$Z$3),0)</f>
        <v>#VALUE!</v>
      </c>
      <c r="O376" s="34" t="e" cm="1">
        <f t="array" aca="1" ref="O376" ca="1">IF(AND(G376=INDIRECT("'["&amp;G376&amp;"]"&amp;E376&amp;"'!"&amp;$AH$2),OR(L376=INDIRECT("'["&amp;G376&amp;"]"&amp;E376&amp;"'!"&amp;$AA$2))),INDIRECT("'["&amp;G376&amp;"]"&amp;E376&amp;"'!"&amp;$AA$3),0)</f>
        <v>#VALUE!</v>
      </c>
      <c r="P376" s="34" t="e" cm="1">
        <f t="array" aca="1" ref="P376" ca="1">IF(AND(G376=INDIRECT("'["&amp;G376&amp;"]"&amp;E376&amp;"'!"&amp;$AH$2),OR(VALUE(I376)=INDIRECT("'["&amp;G376&amp;"]"&amp;E376&amp;"'!"&amp;$AB$2))),INDIRECT("'["&amp;G376&amp;"]"&amp;E376&amp;"'!"&amp;$AB$3),0)</f>
        <v>#VALUE!</v>
      </c>
      <c r="Q376" s="34" t="e" cm="1">
        <f t="array" aca="1" ref="Q376" ca="1">IF(AND(G376=INDIRECT("'["&amp;G376&amp;"]"&amp;E376&amp;"'!"&amp;$AH$2),OR(VALUE(I376)=INDIRECT("'["&amp;G376&amp;"]"&amp;E376&amp;"'!"&amp;$AC$2))),INDIRECT("'["&amp;G376&amp;"]"&amp;E376&amp;"'!"&amp;$AC$3),0)</f>
        <v>#VALUE!</v>
      </c>
      <c r="R376" s="34" t="e" cm="1">
        <f t="array" aca="1" ref="R376" ca="1">IF(AND(G376=INDIRECT("'["&amp;G376&amp;"]"&amp;E376&amp;"'!"&amp;$AH$2),OR(I376=INDIRECT("'["&amp;G376&amp;"]"&amp;E376&amp;"'!"&amp;$AD$2))),INDIRECT("'["&amp;G376&amp;"]"&amp;E376&amp;"'!"&amp;$AD$3),0)</f>
        <v>#VALUE!</v>
      </c>
      <c r="S376" s="34" t="e" cm="1">
        <f t="array" aca="1" ref="S376" ca="1">IF(AND(G376=INDIRECT("'["&amp;G376&amp;"]"&amp;E376&amp;"'!"&amp;$AH$2),OR(I376=INDIRECT("'["&amp;G376&amp;"]"&amp;E376&amp;"'!"&amp;$AE$2))),INDIRECT("'["&amp;G376&amp;"]"&amp;E376&amp;"'!"&amp;$AE$3),0)</f>
        <v>#VALUE!</v>
      </c>
      <c r="T376" s="35" t="e" cm="1">
        <f t="array" aca="1" ref="T376" ca="1">IF(AND(G376=INDIRECT("'["&amp;G376&amp;"]"&amp;E376&amp;"'!"&amp;$AH$2),OR(I376=INDIRECT("'["&amp;G376&amp;"]"&amp;E376&amp;"'!"&amp;$AF$2))),INDIRECT("'["&amp;G376&amp;"]"&amp;E376&amp;"'!"&amp;$AF$3),0)</f>
        <v>#VALUE!</v>
      </c>
      <c r="U376" s="34" t="e" cm="1">
        <f t="array" aca="1" ref="U376" ca="1">IF(AND(G376=INDIRECT("'["&amp;G376&amp;"]"&amp;E376&amp;"'!"&amp;$AH$2),OR(I376=INDIRECT("'["&amp;G376&amp;"]"&amp;E376&amp;"'!"&amp;$AG$2))),INDIRECT("'["&amp;G376&amp;"]"&amp;E376&amp;"'!"&amp;$AG$3),0)</f>
        <v>#VALUE!</v>
      </c>
      <c r="V376" s="25" t="str">
        <f t="shared" si="110"/>
        <v/>
      </c>
      <c r="W376" s="36" t="e" cm="1">
        <f t="array" aca="1" ref="W376" ca="1">IF(AND(G376=INDIRECT("'["&amp;G376&amp;"]"&amp;E376&amp;"'!"&amp;$AH$2),OR(V376=INDIRECT("'["&amp;G376&amp;"]"&amp;E376&amp;"'!"&amp;$AI$2))),INDIRECT("'["&amp;G376&amp;"]"&amp;E376&amp;"'!"&amp;$AI$3),0)</f>
        <v>#VALUE!</v>
      </c>
      <c r="AJ376" s="25">
        <v>1</v>
      </c>
      <c r="AK376" s="38">
        <f t="shared" ca="1" si="95"/>
        <v>0</v>
      </c>
      <c r="AL376" s="38">
        <f t="shared" ca="1" si="96"/>
        <v>0</v>
      </c>
      <c r="AM376" s="54" t="str">
        <f t="shared" ca="1" si="97"/>
        <v/>
      </c>
      <c r="AN376" s="25" t="e">
        <f t="shared" ca="1" si="98"/>
        <v>#VALUE!</v>
      </c>
      <c r="AO376" s="25" t="e">
        <f t="shared" ca="1" si="99"/>
        <v>#VALUE!</v>
      </c>
      <c r="AP376" s="39" t="str">
        <f t="shared" ca="1" si="100"/>
        <v/>
      </c>
      <c r="AQ376" s="46" t="str">
        <f ca="1">IF(AND(C376&lt;&gt;0, C377=0), SUM($C$2:C376)-SUM($AQ$1:AQ375), "")</f>
        <v/>
      </c>
      <c r="AR376" s="46" t="str">
        <f ca="1">IF(AND(AK376&lt;&gt;0, AK377=0), SUM($AK$2:AK376)-SUM($AR$1:AR375), "")</f>
        <v/>
      </c>
    </row>
    <row r="377" spans="1:44" ht="13.15" customHeight="1">
      <c r="A377" s="62"/>
      <c r="B377" s="68" t="str">
        <f t="shared" si="101"/>
        <v/>
      </c>
      <c r="C377" s="55" cm="1">
        <f t="array" aca="1" ref="C377" ca="1">SUM(IF(ISNUMBER(M377:U377),M377:U377,""))</f>
        <v>0</v>
      </c>
      <c r="D377" s="25" t="str">
        <f t="shared" si="102"/>
        <v/>
      </c>
      <c r="E377" s="25" t="e">
        <f t="shared" si="103"/>
        <v>#VALUE!</v>
      </c>
      <c r="F377" s="25" t="str">
        <f t="shared" si="104"/>
        <v/>
      </c>
      <c r="G377" s="25" t="str">
        <f t="shared" si="105"/>
        <v>.xlsx</v>
      </c>
      <c r="H377" s="29" t="e" cm="1">
        <f t="array" aca="1" ref="H377" ca="1">IF(AND(VALUE(E377)=INDIRECT("'["&amp;G377&amp;"]"&amp;E377&amp;"'!"&amp;$X$2),G377=INDIRECT("'["&amp;G377&amp;"]"&amp;E377&amp;"'!"&amp;$X$3)),INDIRECT("'["&amp;G377&amp;"]"&amp;E377&amp;"'!"&amp;$X$1),0)</f>
        <v>#VALUE!</v>
      </c>
      <c r="I377" s="25" t="str">
        <f t="shared" si="106"/>
        <v/>
      </c>
      <c r="J377" s="32" t="str">
        <f t="shared" si="107"/>
        <v/>
      </c>
      <c r="K377" s="25" t="str">
        <f t="shared" si="108"/>
        <v/>
      </c>
      <c r="L377" s="25" t="str">
        <f t="shared" si="109"/>
        <v/>
      </c>
      <c r="M377" s="33" t="e" cm="1">
        <f t="array" aca="1" ref="M377" ca="1">IF(AND(J377=INDIRECT("'["&amp;G377&amp;"]"&amp;E377&amp;"'!"&amp;$Y$2),G377=INDIRECT("'["&amp;G377&amp;"]"&amp;E377&amp;"'!"&amp;$AH$2)),INDIRECT("'["&amp;G377&amp;"]"&amp;E377&amp;"'!"&amp;$Y$3),0)</f>
        <v>#VALUE!</v>
      </c>
      <c r="N377" s="34" t="e" cm="1">
        <f t="array" aca="1" ref="N377" ca="1">IF(AND(G377=INDIRECT("'["&amp;G377&amp;"]"&amp;E377&amp;"'!"&amp;$AH$2),OR(K377=INDIRECT("'["&amp;G377&amp;"]"&amp;E377&amp;"'!"&amp;$Z$2))),INDIRECT("'["&amp;G377&amp;"]"&amp;E377&amp;"'!"&amp;$Z$3),0)</f>
        <v>#VALUE!</v>
      </c>
      <c r="O377" s="34" t="e" cm="1">
        <f t="array" aca="1" ref="O377" ca="1">IF(AND(G377=INDIRECT("'["&amp;G377&amp;"]"&amp;E377&amp;"'!"&amp;$AH$2),OR(L377=INDIRECT("'["&amp;G377&amp;"]"&amp;E377&amp;"'!"&amp;$AA$2))),INDIRECT("'["&amp;G377&amp;"]"&amp;E377&amp;"'!"&amp;$AA$3),0)</f>
        <v>#VALUE!</v>
      </c>
      <c r="P377" s="34" t="e" cm="1">
        <f t="array" aca="1" ref="P377" ca="1">IF(AND(G377=INDIRECT("'["&amp;G377&amp;"]"&amp;E377&amp;"'!"&amp;$AH$2),OR(VALUE(I377)=INDIRECT("'["&amp;G377&amp;"]"&amp;E377&amp;"'!"&amp;$AB$2))),INDIRECT("'["&amp;G377&amp;"]"&amp;E377&amp;"'!"&amp;$AB$3),0)</f>
        <v>#VALUE!</v>
      </c>
      <c r="Q377" s="34" t="e" cm="1">
        <f t="array" aca="1" ref="Q377" ca="1">IF(AND(G377=INDIRECT("'["&amp;G377&amp;"]"&amp;E377&amp;"'!"&amp;$AH$2),OR(VALUE(I377)=INDIRECT("'["&amp;G377&amp;"]"&amp;E377&amp;"'!"&amp;$AC$2))),INDIRECT("'["&amp;G377&amp;"]"&amp;E377&amp;"'!"&amp;$AC$3),0)</f>
        <v>#VALUE!</v>
      </c>
      <c r="R377" s="34" t="e" cm="1">
        <f t="array" aca="1" ref="R377" ca="1">IF(AND(G377=INDIRECT("'["&amp;G377&amp;"]"&amp;E377&amp;"'!"&amp;$AH$2),OR(I377=INDIRECT("'["&amp;G377&amp;"]"&amp;E377&amp;"'!"&amp;$AD$2))),INDIRECT("'["&amp;G377&amp;"]"&amp;E377&amp;"'!"&amp;$AD$3),0)</f>
        <v>#VALUE!</v>
      </c>
      <c r="S377" s="34" t="e" cm="1">
        <f t="array" aca="1" ref="S377" ca="1">IF(AND(G377=INDIRECT("'["&amp;G377&amp;"]"&amp;E377&amp;"'!"&amp;$AH$2),OR(I377=INDIRECT("'["&amp;G377&amp;"]"&amp;E377&amp;"'!"&amp;$AE$2))),INDIRECT("'["&amp;G377&amp;"]"&amp;E377&amp;"'!"&amp;$AE$3),0)</f>
        <v>#VALUE!</v>
      </c>
      <c r="T377" s="35" t="e" cm="1">
        <f t="array" aca="1" ref="T377" ca="1">IF(AND(G377=INDIRECT("'["&amp;G377&amp;"]"&amp;E377&amp;"'!"&amp;$AH$2),OR(I377=INDIRECT("'["&amp;G377&amp;"]"&amp;E377&amp;"'!"&amp;$AF$2))),INDIRECT("'["&amp;G377&amp;"]"&amp;E377&amp;"'!"&amp;$AF$3),0)</f>
        <v>#VALUE!</v>
      </c>
      <c r="U377" s="34" t="e" cm="1">
        <f t="array" aca="1" ref="U377" ca="1">IF(AND(G377=INDIRECT("'["&amp;G377&amp;"]"&amp;E377&amp;"'!"&amp;$AH$2),OR(I377=INDIRECT("'["&amp;G377&amp;"]"&amp;E377&amp;"'!"&amp;$AG$2))),INDIRECT("'["&amp;G377&amp;"]"&amp;E377&amp;"'!"&amp;$AG$3),0)</f>
        <v>#VALUE!</v>
      </c>
      <c r="V377" s="25" t="str">
        <f t="shared" si="110"/>
        <v/>
      </c>
      <c r="W377" s="36" t="e" cm="1">
        <f t="array" aca="1" ref="W377" ca="1">IF(AND(G377=INDIRECT("'["&amp;G377&amp;"]"&amp;E377&amp;"'!"&amp;$AH$2),OR(V377=INDIRECT("'["&amp;G377&amp;"]"&amp;E377&amp;"'!"&amp;$AI$2))),INDIRECT("'["&amp;G377&amp;"]"&amp;E377&amp;"'!"&amp;$AI$3),0)</f>
        <v>#VALUE!</v>
      </c>
      <c r="AJ377" s="25">
        <v>1</v>
      </c>
      <c r="AK377" s="38">
        <f t="shared" ca="1" si="95"/>
        <v>0</v>
      </c>
      <c r="AL377" s="38">
        <f t="shared" ca="1" si="96"/>
        <v>0</v>
      </c>
      <c r="AM377" s="54" t="str">
        <f t="shared" ca="1" si="97"/>
        <v/>
      </c>
      <c r="AN377" s="25" t="e">
        <f t="shared" ca="1" si="98"/>
        <v>#VALUE!</v>
      </c>
      <c r="AO377" s="25" t="e">
        <f t="shared" ca="1" si="99"/>
        <v>#VALUE!</v>
      </c>
      <c r="AP377" s="39" t="str">
        <f t="shared" ca="1" si="100"/>
        <v/>
      </c>
      <c r="AQ377" s="46" t="str">
        <f ca="1">IF(AND(C377&lt;&gt;0, C378=0), SUM($C$2:C377)-SUM($AQ$1:AQ376), "")</f>
        <v/>
      </c>
      <c r="AR377" s="46" t="str">
        <f ca="1">IF(AND(AK377&lt;&gt;0, AK378=0), SUM($AK$2:AK377)-SUM($AR$1:AR376), "")</f>
        <v/>
      </c>
    </row>
    <row r="378" spans="1:44" ht="13.15" customHeight="1">
      <c r="A378" s="62"/>
      <c r="B378" s="68" t="str">
        <f t="shared" si="101"/>
        <v/>
      </c>
      <c r="C378" s="55" cm="1">
        <f t="array" aca="1" ref="C378" ca="1">SUM(IF(ISNUMBER(M378:U378),M378:U378,""))</f>
        <v>0</v>
      </c>
      <c r="D378" s="25" t="str">
        <f t="shared" si="102"/>
        <v/>
      </c>
      <c r="E378" s="25" t="e">
        <f t="shared" si="103"/>
        <v>#VALUE!</v>
      </c>
      <c r="F378" s="25" t="str">
        <f t="shared" si="104"/>
        <v/>
      </c>
      <c r="G378" s="25" t="str">
        <f t="shared" si="105"/>
        <v>.xlsx</v>
      </c>
      <c r="H378" s="29" t="e" cm="1">
        <f t="array" aca="1" ref="H378" ca="1">IF(AND(VALUE(E378)=INDIRECT("'["&amp;G378&amp;"]"&amp;E378&amp;"'!"&amp;$X$2),G378=INDIRECT("'["&amp;G378&amp;"]"&amp;E378&amp;"'!"&amp;$X$3)),INDIRECT("'["&amp;G378&amp;"]"&amp;E378&amp;"'!"&amp;$X$1),0)</f>
        <v>#VALUE!</v>
      </c>
      <c r="I378" s="25" t="str">
        <f t="shared" si="106"/>
        <v/>
      </c>
      <c r="J378" s="32" t="str">
        <f t="shared" si="107"/>
        <v/>
      </c>
      <c r="K378" s="25" t="str">
        <f t="shared" si="108"/>
        <v/>
      </c>
      <c r="L378" s="25" t="str">
        <f t="shared" si="109"/>
        <v/>
      </c>
      <c r="M378" s="33" t="e" cm="1">
        <f t="array" aca="1" ref="M378" ca="1">IF(AND(J378=INDIRECT("'["&amp;G378&amp;"]"&amp;E378&amp;"'!"&amp;$Y$2),G378=INDIRECT("'["&amp;G378&amp;"]"&amp;E378&amp;"'!"&amp;$AH$2)),INDIRECT("'["&amp;G378&amp;"]"&amp;E378&amp;"'!"&amp;$Y$3),0)</f>
        <v>#VALUE!</v>
      </c>
      <c r="N378" s="34" t="e" cm="1">
        <f t="array" aca="1" ref="N378" ca="1">IF(AND(G378=INDIRECT("'["&amp;G378&amp;"]"&amp;E378&amp;"'!"&amp;$AH$2),OR(K378=INDIRECT("'["&amp;G378&amp;"]"&amp;E378&amp;"'!"&amp;$Z$2))),INDIRECT("'["&amp;G378&amp;"]"&amp;E378&amp;"'!"&amp;$Z$3),0)</f>
        <v>#VALUE!</v>
      </c>
      <c r="O378" s="34" t="e" cm="1">
        <f t="array" aca="1" ref="O378" ca="1">IF(AND(G378=INDIRECT("'["&amp;G378&amp;"]"&amp;E378&amp;"'!"&amp;$AH$2),OR(L378=INDIRECT("'["&amp;G378&amp;"]"&amp;E378&amp;"'!"&amp;$AA$2))),INDIRECT("'["&amp;G378&amp;"]"&amp;E378&amp;"'!"&amp;$AA$3),0)</f>
        <v>#VALUE!</v>
      </c>
      <c r="P378" s="34" t="e" cm="1">
        <f t="array" aca="1" ref="P378" ca="1">IF(AND(G378=INDIRECT("'["&amp;G378&amp;"]"&amp;E378&amp;"'!"&amp;$AH$2),OR(VALUE(I378)=INDIRECT("'["&amp;G378&amp;"]"&amp;E378&amp;"'!"&amp;$AB$2))),INDIRECT("'["&amp;G378&amp;"]"&amp;E378&amp;"'!"&amp;$AB$3),0)</f>
        <v>#VALUE!</v>
      </c>
      <c r="Q378" s="34" t="e" cm="1">
        <f t="array" aca="1" ref="Q378" ca="1">IF(AND(G378=INDIRECT("'["&amp;G378&amp;"]"&amp;E378&amp;"'!"&amp;$AH$2),OR(VALUE(I378)=INDIRECT("'["&amp;G378&amp;"]"&amp;E378&amp;"'!"&amp;$AC$2))),INDIRECT("'["&amp;G378&amp;"]"&amp;E378&amp;"'!"&amp;$AC$3),0)</f>
        <v>#VALUE!</v>
      </c>
      <c r="R378" s="34" t="e" cm="1">
        <f t="array" aca="1" ref="R378" ca="1">IF(AND(G378=INDIRECT("'["&amp;G378&amp;"]"&amp;E378&amp;"'!"&amp;$AH$2),OR(I378=INDIRECT("'["&amp;G378&amp;"]"&amp;E378&amp;"'!"&amp;$AD$2))),INDIRECT("'["&amp;G378&amp;"]"&amp;E378&amp;"'!"&amp;$AD$3),0)</f>
        <v>#VALUE!</v>
      </c>
      <c r="S378" s="34" t="e" cm="1">
        <f t="array" aca="1" ref="S378" ca="1">IF(AND(G378=INDIRECT("'["&amp;G378&amp;"]"&amp;E378&amp;"'!"&amp;$AH$2),OR(I378=INDIRECT("'["&amp;G378&amp;"]"&amp;E378&amp;"'!"&amp;$AE$2))),INDIRECT("'["&amp;G378&amp;"]"&amp;E378&amp;"'!"&amp;$AE$3),0)</f>
        <v>#VALUE!</v>
      </c>
      <c r="T378" s="35" t="e" cm="1">
        <f t="array" aca="1" ref="T378" ca="1">IF(AND(G378=INDIRECT("'["&amp;G378&amp;"]"&amp;E378&amp;"'!"&amp;$AH$2),OR(I378=INDIRECT("'["&amp;G378&amp;"]"&amp;E378&amp;"'!"&amp;$AF$2))),INDIRECT("'["&amp;G378&amp;"]"&amp;E378&amp;"'!"&amp;$AF$3),0)</f>
        <v>#VALUE!</v>
      </c>
      <c r="U378" s="34" t="e" cm="1">
        <f t="array" aca="1" ref="U378" ca="1">IF(AND(G378=INDIRECT("'["&amp;G378&amp;"]"&amp;E378&amp;"'!"&amp;$AH$2),OR(I378=INDIRECT("'["&amp;G378&amp;"]"&amp;E378&amp;"'!"&amp;$AG$2))),INDIRECT("'["&amp;G378&amp;"]"&amp;E378&amp;"'!"&amp;$AG$3),0)</f>
        <v>#VALUE!</v>
      </c>
      <c r="V378" s="25" t="str">
        <f t="shared" si="110"/>
        <v/>
      </c>
      <c r="W378" s="36" t="e" cm="1">
        <f t="array" aca="1" ref="W378" ca="1">IF(AND(G378=INDIRECT("'["&amp;G378&amp;"]"&amp;E378&amp;"'!"&amp;$AH$2),OR(V378=INDIRECT("'["&amp;G378&amp;"]"&amp;E378&amp;"'!"&amp;$AI$2))),INDIRECT("'["&amp;G378&amp;"]"&amp;E378&amp;"'!"&amp;$AI$3),0)</f>
        <v>#VALUE!</v>
      </c>
      <c r="AJ378" s="25">
        <v>1</v>
      </c>
      <c r="AK378" s="38">
        <f t="shared" ca="1" si="95"/>
        <v>0</v>
      </c>
      <c r="AL378" s="38">
        <f t="shared" ca="1" si="96"/>
        <v>0</v>
      </c>
      <c r="AM378" s="54" t="str">
        <f t="shared" ca="1" si="97"/>
        <v/>
      </c>
      <c r="AN378" s="25" t="e">
        <f t="shared" ca="1" si="98"/>
        <v>#VALUE!</v>
      </c>
      <c r="AO378" s="25" t="e">
        <f t="shared" ca="1" si="99"/>
        <v>#VALUE!</v>
      </c>
      <c r="AP378" s="39" t="str">
        <f t="shared" ca="1" si="100"/>
        <v/>
      </c>
      <c r="AQ378" s="46" t="str">
        <f ca="1">IF(AND(C378&lt;&gt;0, C379=0), SUM($C$2:C378)-SUM($AQ$1:AQ377), "")</f>
        <v/>
      </c>
      <c r="AR378" s="46" t="str">
        <f ca="1">IF(AND(AK378&lt;&gt;0, AK379=0), SUM($AK$2:AK378)-SUM($AR$1:AR377), "")</f>
        <v/>
      </c>
    </row>
    <row r="379" spans="1:44" ht="13.15" customHeight="1">
      <c r="A379" s="62"/>
      <c r="B379" s="68" t="str">
        <f t="shared" si="101"/>
        <v/>
      </c>
      <c r="C379" s="55" cm="1">
        <f t="array" aca="1" ref="C379" ca="1">SUM(IF(ISNUMBER(M379:U379),M379:U379,""))</f>
        <v>0</v>
      </c>
      <c r="D379" s="25" t="str">
        <f t="shared" si="102"/>
        <v/>
      </c>
      <c r="E379" s="25" t="e">
        <f t="shared" si="103"/>
        <v>#VALUE!</v>
      </c>
      <c r="F379" s="25" t="str">
        <f t="shared" si="104"/>
        <v/>
      </c>
      <c r="G379" s="25" t="str">
        <f t="shared" si="105"/>
        <v>.xlsx</v>
      </c>
      <c r="H379" s="29" t="e" cm="1">
        <f t="array" aca="1" ref="H379" ca="1">IF(AND(VALUE(E379)=INDIRECT("'["&amp;G379&amp;"]"&amp;E379&amp;"'!"&amp;$X$2),G379=INDIRECT("'["&amp;G379&amp;"]"&amp;E379&amp;"'!"&amp;$X$3)),INDIRECT("'["&amp;G379&amp;"]"&amp;E379&amp;"'!"&amp;$X$1),0)</f>
        <v>#VALUE!</v>
      </c>
      <c r="I379" s="25" t="str">
        <f t="shared" si="106"/>
        <v/>
      </c>
      <c r="J379" s="32" t="str">
        <f t="shared" si="107"/>
        <v/>
      </c>
      <c r="K379" s="25" t="str">
        <f t="shared" si="108"/>
        <v/>
      </c>
      <c r="L379" s="25" t="str">
        <f t="shared" si="109"/>
        <v/>
      </c>
      <c r="M379" s="33" t="e" cm="1">
        <f t="array" aca="1" ref="M379" ca="1">IF(AND(J379=INDIRECT("'["&amp;G379&amp;"]"&amp;E379&amp;"'!"&amp;$Y$2),G379=INDIRECT("'["&amp;G379&amp;"]"&amp;E379&amp;"'!"&amp;$AH$2)),INDIRECT("'["&amp;G379&amp;"]"&amp;E379&amp;"'!"&amp;$Y$3),0)</f>
        <v>#VALUE!</v>
      </c>
      <c r="N379" s="34" t="e" cm="1">
        <f t="array" aca="1" ref="N379" ca="1">IF(AND(G379=INDIRECT("'["&amp;G379&amp;"]"&amp;E379&amp;"'!"&amp;$AH$2),OR(K379=INDIRECT("'["&amp;G379&amp;"]"&amp;E379&amp;"'!"&amp;$Z$2))),INDIRECT("'["&amp;G379&amp;"]"&amp;E379&amp;"'!"&amp;$Z$3),0)</f>
        <v>#VALUE!</v>
      </c>
      <c r="O379" s="34" t="e" cm="1">
        <f t="array" aca="1" ref="O379" ca="1">IF(AND(G379=INDIRECT("'["&amp;G379&amp;"]"&amp;E379&amp;"'!"&amp;$AH$2),OR(L379=INDIRECT("'["&amp;G379&amp;"]"&amp;E379&amp;"'!"&amp;$AA$2))),INDIRECT("'["&amp;G379&amp;"]"&amp;E379&amp;"'!"&amp;$AA$3),0)</f>
        <v>#VALUE!</v>
      </c>
      <c r="P379" s="34" t="e" cm="1">
        <f t="array" aca="1" ref="P379" ca="1">IF(AND(G379=INDIRECT("'["&amp;G379&amp;"]"&amp;E379&amp;"'!"&amp;$AH$2),OR(VALUE(I379)=INDIRECT("'["&amp;G379&amp;"]"&amp;E379&amp;"'!"&amp;$AB$2))),INDIRECT("'["&amp;G379&amp;"]"&amp;E379&amp;"'!"&amp;$AB$3),0)</f>
        <v>#VALUE!</v>
      </c>
      <c r="Q379" s="34" t="e" cm="1">
        <f t="array" aca="1" ref="Q379" ca="1">IF(AND(G379=INDIRECT("'["&amp;G379&amp;"]"&amp;E379&amp;"'!"&amp;$AH$2),OR(VALUE(I379)=INDIRECT("'["&amp;G379&amp;"]"&amp;E379&amp;"'!"&amp;$AC$2))),INDIRECT("'["&amp;G379&amp;"]"&amp;E379&amp;"'!"&amp;$AC$3),0)</f>
        <v>#VALUE!</v>
      </c>
      <c r="R379" s="34" t="e" cm="1">
        <f t="array" aca="1" ref="R379" ca="1">IF(AND(G379=INDIRECT("'["&amp;G379&amp;"]"&amp;E379&amp;"'!"&amp;$AH$2),OR(I379=INDIRECT("'["&amp;G379&amp;"]"&amp;E379&amp;"'!"&amp;$AD$2))),INDIRECT("'["&amp;G379&amp;"]"&amp;E379&amp;"'!"&amp;$AD$3),0)</f>
        <v>#VALUE!</v>
      </c>
      <c r="S379" s="34" t="e" cm="1">
        <f t="array" aca="1" ref="S379" ca="1">IF(AND(G379=INDIRECT("'["&amp;G379&amp;"]"&amp;E379&amp;"'!"&amp;$AH$2),OR(I379=INDIRECT("'["&amp;G379&amp;"]"&amp;E379&amp;"'!"&amp;$AE$2))),INDIRECT("'["&amp;G379&amp;"]"&amp;E379&amp;"'!"&amp;$AE$3),0)</f>
        <v>#VALUE!</v>
      </c>
      <c r="T379" s="35" t="e" cm="1">
        <f t="array" aca="1" ref="T379" ca="1">IF(AND(G379=INDIRECT("'["&amp;G379&amp;"]"&amp;E379&amp;"'!"&amp;$AH$2),OR(I379=INDIRECT("'["&amp;G379&amp;"]"&amp;E379&amp;"'!"&amp;$AF$2))),INDIRECT("'["&amp;G379&amp;"]"&amp;E379&amp;"'!"&amp;$AF$3),0)</f>
        <v>#VALUE!</v>
      </c>
      <c r="U379" s="34" t="e" cm="1">
        <f t="array" aca="1" ref="U379" ca="1">IF(AND(G379=INDIRECT("'["&amp;G379&amp;"]"&amp;E379&amp;"'!"&amp;$AH$2),OR(I379=INDIRECT("'["&amp;G379&amp;"]"&amp;E379&amp;"'!"&amp;$AG$2))),INDIRECT("'["&amp;G379&amp;"]"&amp;E379&amp;"'!"&amp;$AG$3),0)</f>
        <v>#VALUE!</v>
      </c>
      <c r="V379" s="25" t="str">
        <f t="shared" si="110"/>
        <v/>
      </c>
      <c r="W379" s="36" t="e" cm="1">
        <f t="array" aca="1" ref="W379" ca="1">IF(AND(G379=INDIRECT("'["&amp;G379&amp;"]"&amp;E379&amp;"'!"&amp;$AH$2),OR(V379=INDIRECT("'["&amp;G379&amp;"]"&amp;E379&amp;"'!"&amp;$AI$2))),INDIRECT("'["&amp;G379&amp;"]"&amp;E379&amp;"'!"&amp;$AI$3),0)</f>
        <v>#VALUE!</v>
      </c>
      <c r="AJ379" s="25">
        <v>1</v>
      </c>
      <c r="AK379" s="38">
        <f t="shared" ca="1" si="95"/>
        <v>0</v>
      </c>
      <c r="AL379" s="38">
        <f t="shared" ca="1" si="96"/>
        <v>0</v>
      </c>
      <c r="AM379" s="54" t="str">
        <f t="shared" ca="1" si="97"/>
        <v/>
      </c>
      <c r="AN379" s="25" t="e">
        <f t="shared" ca="1" si="98"/>
        <v>#VALUE!</v>
      </c>
      <c r="AO379" s="25" t="e">
        <f t="shared" ca="1" si="99"/>
        <v>#VALUE!</v>
      </c>
      <c r="AP379" s="39" t="str">
        <f t="shared" ca="1" si="100"/>
        <v/>
      </c>
      <c r="AQ379" s="46" t="str">
        <f ca="1">IF(AND(C379&lt;&gt;0, C380=0), SUM($C$2:C379)-SUM($AQ$1:AQ378), "")</f>
        <v/>
      </c>
      <c r="AR379" s="46" t="str">
        <f ca="1">IF(AND(AK379&lt;&gt;0, AK380=0), SUM($AK$2:AK379)-SUM($AR$1:AR378), "")</f>
        <v/>
      </c>
    </row>
    <row r="380" spans="1:44" ht="13.15" customHeight="1">
      <c r="A380" s="62"/>
      <c r="B380" s="68" t="str">
        <f t="shared" si="101"/>
        <v/>
      </c>
      <c r="C380" s="55" cm="1">
        <f t="array" aca="1" ref="C380" ca="1">SUM(IF(ISNUMBER(M380:U380),M380:U380,""))</f>
        <v>0</v>
      </c>
      <c r="D380" s="25" t="str">
        <f t="shared" si="102"/>
        <v/>
      </c>
      <c r="E380" s="25" t="e">
        <f t="shared" si="103"/>
        <v>#VALUE!</v>
      </c>
      <c r="F380" s="25" t="str">
        <f t="shared" si="104"/>
        <v/>
      </c>
      <c r="G380" s="25" t="str">
        <f t="shared" si="105"/>
        <v>.xlsx</v>
      </c>
      <c r="H380" s="29" t="e" cm="1">
        <f t="array" aca="1" ref="H380" ca="1">IF(AND(VALUE(E380)=INDIRECT("'["&amp;G380&amp;"]"&amp;E380&amp;"'!"&amp;$X$2),G380=INDIRECT("'["&amp;G380&amp;"]"&amp;E380&amp;"'!"&amp;$X$3)),INDIRECT("'["&amp;G380&amp;"]"&amp;E380&amp;"'!"&amp;$X$1),0)</f>
        <v>#VALUE!</v>
      </c>
      <c r="I380" s="25" t="str">
        <f t="shared" si="106"/>
        <v/>
      </c>
      <c r="J380" s="32" t="str">
        <f t="shared" si="107"/>
        <v/>
      </c>
      <c r="K380" s="25" t="str">
        <f t="shared" si="108"/>
        <v/>
      </c>
      <c r="L380" s="25" t="str">
        <f t="shared" si="109"/>
        <v/>
      </c>
      <c r="M380" s="33" t="e" cm="1">
        <f t="array" aca="1" ref="M380" ca="1">IF(AND(J380=INDIRECT("'["&amp;G380&amp;"]"&amp;E380&amp;"'!"&amp;$Y$2),G380=INDIRECT("'["&amp;G380&amp;"]"&amp;E380&amp;"'!"&amp;$AH$2)),INDIRECT("'["&amp;G380&amp;"]"&amp;E380&amp;"'!"&amp;$Y$3),0)</f>
        <v>#VALUE!</v>
      </c>
      <c r="N380" s="34" t="e" cm="1">
        <f t="array" aca="1" ref="N380" ca="1">IF(AND(G380=INDIRECT("'["&amp;G380&amp;"]"&amp;E380&amp;"'!"&amp;$AH$2),OR(K380=INDIRECT("'["&amp;G380&amp;"]"&amp;E380&amp;"'!"&amp;$Z$2))),INDIRECT("'["&amp;G380&amp;"]"&amp;E380&amp;"'!"&amp;$Z$3),0)</f>
        <v>#VALUE!</v>
      </c>
      <c r="O380" s="34" t="e" cm="1">
        <f t="array" aca="1" ref="O380" ca="1">IF(AND(G380=INDIRECT("'["&amp;G380&amp;"]"&amp;E380&amp;"'!"&amp;$AH$2),OR(L380=INDIRECT("'["&amp;G380&amp;"]"&amp;E380&amp;"'!"&amp;$AA$2))),INDIRECT("'["&amp;G380&amp;"]"&amp;E380&amp;"'!"&amp;$AA$3),0)</f>
        <v>#VALUE!</v>
      </c>
      <c r="P380" s="34" t="e" cm="1">
        <f t="array" aca="1" ref="P380" ca="1">IF(AND(G380=INDIRECT("'["&amp;G380&amp;"]"&amp;E380&amp;"'!"&amp;$AH$2),OR(VALUE(I380)=INDIRECT("'["&amp;G380&amp;"]"&amp;E380&amp;"'!"&amp;$AB$2))),INDIRECT("'["&amp;G380&amp;"]"&amp;E380&amp;"'!"&amp;$AB$3),0)</f>
        <v>#VALUE!</v>
      </c>
      <c r="Q380" s="34" t="e" cm="1">
        <f t="array" aca="1" ref="Q380" ca="1">IF(AND(G380=INDIRECT("'["&amp;G380&amp;"]"&amp;E380&amp;"'!"&amp;$AH$2),OR(VALUE(I380)=INDIRECT("'["&amp;G380&amp;"]"&amp;E380&amp;"'!"&amp;$AC$2))),INDIRECT("'["&amp;G380&amp;"]"&amp;E380&amp;"'!"&amp;$AC$3),0)</f>
        <v>#VALUE!</v>
      </c>
      <c r="R380" s="34" t="e" cm="1">
        <f t="array" aca="1" ref="R380" ca="1">IF(AND(G380=INDIRECT("'["&amp;G380&amp;"]"&amp;E380&amp;"'!"&amp;$AH$2),OR(I380=INDIRECT("'["&amp;G380&amp;"]"&amp;E380&amp;"'!"&amp;$AD$2))),INDIRECT("'["&amp;G380&amp;"]"&amp;E380&amp;"'!"&amp;$AD$3),0)</f>
        <v>#VALUE!</v>
      </c>
      <c r="S380" s="34" t="e" cm="1">
        <f t="array" aca="1" ref="S380" ca="1">IF(AND(G380=INDIRECT("'["&amp;G380&amp;"]"&amp;E380&amp;"'!"&amp;$AH$2),OR(I380=INDIRECT("'["&amp;G380&amp;"]"&amp;E380&amp;"'!"&amp;$AE$2))),INDIRECT("'["&amp;G380&amp;"]"&amp;E380&amp;"'!"&amp;$AE$3),0)</f>
        <v>#VALUE!</v>
      </c>
      <c r="T380" s="35" t="e" cm="1">
        <f t="array" aca="1" ref="T380" ca="1">IF(AND(G380=INDIRECT("'["&amp;G380&amp;"]"&amp;E380&amp;"'!"&amp;$AH$2),OR(I380=INDIRECT("'["&amp;G380&amp;"]"&amp;E380&amp;"'!"&amp;$AF$2))),INDIRECT("'["&amp;G380&amp;"]"&amp;E380&amp;"'!"&amp;$AF$3),0)</f>
        <v>#VALUE!</v>
      </c>
      <c r="U380" s="34" t="e" cm="1">
        <f t="array" aca="1" ref="U380" ca="1">IF(AND(G380=INDIRECT("'["&amp;G380&amp;"]"&amp;E380&amp;"'!"&amp;$AH$2),OR(I380=INDIRECT("'["&amp;G380&amp;"]"&amp;E380&amp;"'!"&amp;$AG$2))),INDIRECT("'["&amp;G380&amp;"]"&amp;E380&amp;"'!"&amp;$AG$3),0)</f>
        <v>#VALUE!</v>
      </c>
      <c r="V380" s="25" t="str">
        <f t="shared" si="110"/>
        <v/>
      </c>
      <c r="W380" s="36" t="e" cm="1">
        <f t="array" aca="1" ref="W380" ca="1">IF(AND(G380=INDIRECT("'["&amp;G380&amp;"]"&amp;E380&amp;"'!"&amp;$AH$2),OR(V380=INDIRECT("'["&amp;G380&amp;"]"&amp;E380&amp;"'!"&amp;$AI$2))),INDIRECT("'["&amp;G380&amp;"]"&amp;E380&amp;"'!"&amp;$AI$3),0)</f>
        <v>#VALUE!</v>
      </c>
      <c r="AJ380" s="25">
        <v>1</v>
      </c>
      <c r="AK380" s="38">
        <f t="shared" ref="AK380:AK443" ca="1" si="111">(C380*AJ380%)</f>
        <v>0</v>
      </c>
      <c r="AL380" s="38">
        <f t="shared" ref="AL380:AL443" ca="1" si="112">C380-AK380</f>
        <v>0</v>
      </c>
      <c r="AM380" s="54" t="str">
        <f t="shared" ref="AM380:AM443" ca="1" si="113">IF(A380&lt;&gt;"",IF(AM380="",NOW(),AM380),"")</f>
        <v/>
      </c>
      <c r="AN380" s="25" t="e">
        <f t="shared" ref="AN380:AN443" ca="1" si="114">IF(VALUE(N380),"/","")</f>
        <v>#VALUE!</v>
      </c>
      <c r="AO380" s="25" t="e">
        <f t="shared" ref="AO380:AO443" ca="1" si="115">IF(VALUE(O380),"/","")</f>
        <v>#VALUE!</v>
      </c>
      <c r="AP380" s="39" t="str">
        <f t="shared" ref="AP380:AP443" ca="1" si="116">IF(ISTEXT(W380),"อายัด","")</f>
        <v/>
      </c>
      <c r="AQ380" s="46" t="str">
        <f ca="1">IF(AND(C380&lt;&gt;0, C381=0), SUM($C$2:C380)-SUM($AQ$1:AQ379), "")</f>
        <v/>
      </c>
      <c r="AR380" s="46" t="str">
        <f ca="1">IF(AND(AK380&lt;&gt;0, AK381=0), SUM($AK$2:AK380)-SUM($AR$1:AR379), "")</f>
        <v/>
      </c>
    </row>
    <row r="381" spans="1:44" ht="13.15" customHeight="1">
      <c r="A381" s="62"/>
      <c r="B381" s="68" t="str">
        <f t="shared" ref="B381:B444" si="117">LEFT(A381,15)</f>
        <v/>
      </c>
      <c r="C381" s="55" cm="1">
        <f t="array" aca="1" ref="C381" ca="1">SUM(IF(ISNUMBER(M381:U381),M381:U381,""))</f>
        <v>0</v>
      </c>
      <c r="D381" s="25" t="str">
        <f t="shared" ref="D381:D444" si="118">MID(A381,4,2)</f>
        <v/>
      </c>
      <c r="E381" s="25" t="e">
        <f t="shared" ref="E381:E444" si="119">IF(ISEVEN(D381),D381-1,VALUE(D381))</f>
        <v>#VALUE!</v>
      </c>
      <c r="F381" s="25" t="str">
        <f t="shared" ref="F381:F444" si="120">LEFT(A381,2)</f>
        <v/>
      </c>
      <c r="G381" s="25" t="str">
        <f t="shared" ref="G381:G444" si="121">CONCATENATE(F381,".xlsx")</f>
        <v>.xlsx</v>
      </c>
      <c r="H381" s="29" t="e" cm="1">
        <f t="array" aca="1" ref="H381" ca="1">IF(AND(VALUE(E381)=INDIRECT("'["&amp;G381&amp;"]"&amp;E381&amp;"'!"&amp;$X$2),G381=INDIRECT("'["&amp;G381&amp;"]"&amp;E381&amp;"'!"&amp;$X$3)),INDIRECT("'["&amp;G381&amp;"]"&amp;E381&amp;"'!"&amp;$X$1),0)</f>
        <v>#VALUE!</v>
      </c>
      <c r="I381" s="25" t="str">
        <f t="shared" ref="I381:I444" si="122">MID(A381,10,6)</f>
        <v/>
      </c>
      <c r="J381" s="32" t="str">
        <f t="shared" ref="J381:J444" si="123">RIGHT(I381,2)</f>
        <v/>
      </c>
      <c r="K381" s="25" t="str">
        <f t="shared" ref="K381:K444" si="124">LEFT(I381,3)</f>
        <v/>
      </c>
      <c r="L381" s="25" t="str">
        <f t="shared" ref="L381:L444" si="125">RIGHT(I381,3)</f>
        <v/>
      </c>
      <c r="M381" s="33" t="e" cm="1">
        <f t="array" aca="1" ref="M381" ca="1">IF(AND(J381=INDIRECT("'["&amp;G381&amp;"]"&amp;E381&amp;"'!"&amp;$Y$2),G381=INDIRECT("'["&amp;G381&amp;"]"&amp;E381&amp;"'!"&amp;$AH$2)),INDIRECT("'["&amp;G381&amp;"]"&amp;E381&amp;"'!"&amp;$Y$3),0)</f>
        <v>#VALUE!</v>
      </c>
      <c r="N381" s="34" t="e" cm="1">
        <f t="array" aca="1" ref="N381" ca="1">IF(AND(G381=INDIRECT("'["&amp;G381&amp;"]"&amp;E381&amp;"'!"&amp;$AH$2),OR(K381=INDIRECT("'["&amp;G381&amp;"]"&amp;E381&amp;"'!"&amp;$Z$2))),INDIRECT("'["&amp;G381&amp;"]"&amp;E381&amp;"'!"&amp;$Z$3),0)</f>
        <v>#VALUE!</v>
      </c>
      <c r="O381" s="34" t="e" cm="1">
        <f t="array" aca="1" ref="O381" ca="1">IF(AND(G381=INDIRECT("'["&amp;G381&amp;"]"&amp;E381&amp;"'!"&amp;$AH$2),OR(L381=INDIRECT("'["&amp;G381&amp;"]"&amp;E381&amp;"'!"&amp;$AA$2))),INDIRECT("'["&amp;G381&amp;"]"&amp;E381&amp;"'!"&amp;$AA$3),0)</f>
        <v>#VALUE!</v>
      </c>
      <c r="P381" s="34" t="e" cm="1">
        <f t="array" aca="1" ref="P381" ca="1">IF(AND(G381=INDIRECT("'["&amp;G381&amp;"]"&amp;E381&amp;"'!"&amp;$AH$2),OR(VALUE(I381)=INDIRECT("'["&amp;G381&amp;"]"&amp;E381&amp;"'!"&amp;$AB$2))),INDIRECT("'["&amp;G381&amp;"]"&amp;E381&amp;"'!"&amp;$AB$3),0)</f>
        <v>#VALUE!</v>
      </c>
      <c r="Q381" s="34" t="e" cm="1">
        <f t="array" aca="1" ref="Q381" ca="1">IF(AND(G381=INDIRECT("'["&amp;G381&amp;"]"&amp;E381&amp;"'!"&amp;$AH$2),OR(VALUE(I381)=INDIRECT("'["&amp;G381&amp;"]"&amp;E381&amp;"'!"&amp;$AC$2))),INDIRECT("'["&amp;G381&amp;"]"&amp;E381&amp;"'!"&amp;$AC$3),0)</f>
        <v>#VALUE!</v>
      </c>
      <c r="R381" s="34" t="e" cm="1">
        <f t="array" aca="1" ref="R381" ca="1">IF(AND(G381=INDIRECT("'["&amp;G381&amp;"]"&amp;E381&amp;"'!"&amp;$AH$2),OR(I381=INDIRECT("'["&amp;G381&amp;"]"&amp;E381&amp;"'!"&amp;$AD$2))),INDIRECT("'["&amp;G381&amp;"]"&amp;E381&amp;"'!"&amp;$AD$3),0)</f>
        <v>#VALUE!</v>
      </c>
      <c r="S381" s="34" t="e" cm="1">
        <f t="array" aca="1" ref="S381" ca="1">IF(AND(G381=INDIRECT("'["&amp;G381&amp;"]"&amp;E381&amp;"'!"&amp;$AH$2),OR(I381=INDIRECT("'["&amp;G381&amp;"]"&amp;E381&amp;"'!"&amp;$AE$2))),INDIRECT("'["&amp;G381&amp;"]"&amp;E381&amp;"'!"&amp;$AE$3),0)</f>
        <v>#VALUE!</v>
      </c>
      <c r="T381" s="35" t="e" cm="1">
        <f t="array" aca="1" ref="T381" ca="1">IF(AND(G381=INDIRECT("'["&amp;G381&amp;"]"&amp;E381&amp;"'!"&amp;$AH$2),OR(I381=INDIRECT("'["&amp;G381&amp;"]"&amp;E381&amp;"'!"&amp;$AF$2))),INDIRECT("'["&amp;G381&amp;"]"&amp;E381&amp;"'!"&amp;$AF$3),0)</f>
        <v>#VALUE!</v>
      </c>
      <c r="U381" s="34" t="e" cm="1">
        <f t="array" aca="1" ref="U381" ca="1">IF(AND(G381=INDIRECT("'["&amp;G381&amp;"]"&amp;E381&amp;"'!"&amp;$AH$2),OR(I381=INDIRECT("'["&amp;G381&amp;"]"&amp;E381&amp;"'!"&amp;$AG$2))),INDIRECT("'["&amp;G381&amp;"]"&amp;E381&amp;"'!"&amp;$AG$3),0)</f>
        <v>#VALUE!</v>
      </c>
      <c r="V381" s="25" t="str">
        <f t="shared" ref="V381:V444" si="126">MID(B381,7,9)</f>
        <v/>
      </c>
      <c r="W381" s="36" t="e" cm="1">
        <f t="array" aca="1" ref="W381" ca="1">IF(AND(G381=INDIRECT("'["&amp;G381&amp;"]"&amp;E381&amp;"'!"&amp;$AH$2),OR(V381=INDIRECT("'["&amp;G381&amp;"]"&amp;E381&amp;"'!"&amp;$AI$2))),INDIRECT("'["&amp;G381&amp;"]"&amp;E381&amp;"'!"&amp;$AI$3),0)</f>
        <v>#VALUE!</v>
      </c>
      <c r="AJ381" s="25">
        <v>1</v>
      </c>
      <c r="AK381" s="38">
        <f t="shared" ca="1" si="111"/>
        <v>0</v>
      </c>
      <c r="AL381" s="38">
        <f t="shared" ca="1" si="112"/>
        <v>0</v>
      </c>
      <c r="AM381" s="54" t="str">
        <f t="shared" ca="1" si="113"/>
        <v/>
      </c>
      <c r="AN381" s="25" t="e">
        <f t="shared" ca="1" si="114"/>
        <v>#VALUE!</v>
      </c>
      <c r="AO381" s="25" t="e">
        <f t="shared" ca="1" si="115"/>
        <v>#VALUE!</v>
      </c>
      <c r="AP381" s="39" t="str">
        <f t="shared" ca="1" si="116"/>
        <v/>
      </c>
      <c r="AQ381" s="46" t="str">
        <f ca="1">IF(AND(C381&lt;&gt;0, C382=0), SUM($C$2:C381)-SUM($AQ$1:AQ380), "")</f>
        <v/>
      </c>
      <c r="AR381" s="46" t="str">
        <f ca="1">IF(AND(AK381&lt;&gt;0, AK382=0), SUM($AK$2:AK381)-SUM($AR$1:AR380), "")</f>
        <v/>
      </c>
    </row>
    <row r="382" spans="1:44" ht="13.15" customHeight="1">
      <c r="A382" s="62"/>
      <c r="B382" s="68" t="str">
        <f t="shared" si="117"/>
        <v/>
      </c>
      <c r="C382" s="55" cm="1">
        <f t="array" aca="1" ref="C382" ca="1">SUM(IF(ISNUMBER(M382:U382),M382:U382,""))</f>
        <v>0</v>
      </c>
      <c r="D382" s="25" t="str">
        <f t="shared" si="118"/>
        <v/>
      </c>
      <c r="E382" s="25" t="e">
        <f t="shared" si="119"/>
        <v>#VALUE!</v>
      </c>
      <c r="F382" s="25" t="str">
        <f t="shared" si="120"/>
        <v/>
      </c>
      <c r="G382" s="25" t="str">
        <f t="shared" si="121"/>
        <v>.xlsx</v>
      </c>
      <c r="H382" s="29" t="e" cm="1">
        <f t="array" aca="1" ref="H382" ca="1">IF(AND(VALUE(E382)=INDIRECT("'["&amp;G382&amp;"]"&amp;E382&amp;"'!"&amp;$X$2),G382=INDIRECT("'["&amp;G382&amp;"]"&amp;E382&amp;"'!"&amp;$X$3)),INDIRECT("'["&amp;G382&amp;"]"&amp;E382&amp;"'!"&amp;$X$1),0)</f>
        <v>#VALUE!</v>
      </c>
      <c r="I382" s="25" t="str">
        <f t="shared" si="122"/>
        <v/>
      </c>
      <c r="J382" s="32" t="str">
        <f t="shared" si="123"/>
        <v/>
      </c>
      <c r="K382" s="25" t="str">
        <f t="shared" si="124"/>
        <v/>
      </c>
      <c r="L382" s="25" t="str">
        <f t="shared" si="125"/>
        <v/>
      </c>
      <c r="M382" s="33" t="e" cm="1">
        <f t="array" aca="1" ref="M382" ca="1">IF(AND(J382=INDIRECT("'["&amp;G382&amp;"]"&amp;E382&amp;"'!"&amp;$Y$2),G382=INDIRECT("'["&amp;G382&amp;"]"&amp;E382&amp;"'!"&amp;$AH$2)),INDIRECT("'["&amp;G382&amp;"]"&amp;E382&amp;"'!"&amp;$Y$3),0)</f>
        <v>#VALUE!</v>
      </c>
      <c r="N382" s="34" t="e" cm="1">
        <f t="array" aca="1" ref="N382" ca="1">IF(AND(G382=INDIRECT("'["&amp;G382&amp;"]"&amp;E382&amp;"'!"&amp;$AH$2),OR(K382=INDIRECT("'["&amp;G382&amp;"]"&amp;E382&amp;"'!"&amp;$Z$2))),INDIRECT("'["&amp;G382&amp;"]"&amp;E382&amp;"'!"&amp;$Z$3),0)</f>
        <v>#VALUE!</v>
      </c>
      <c r="O382" s="34" t="e" cm="1">
        <f t="array" aca="1" ref="O382" ca="1">IF(AND(G382=INDIRECT("'["&amp;G382&amp;"]"&amp;E382&amp;"'!"&amp;$AH$2),OR(L382=INDIRECT("'["&amp;G382&amp;"]"&amp;E382&amp;"'!"&amp;$AA$2))),INDIRECT("'["&amp;G382&amp;"]"&amp;E382&amp;"'!"&amp;$AA$3),0)</f>
        <v>#VALUE!</v>
      </c>
      <c r="P382" s="34" t="e" cm="1">
        <f t="array" aca="1" ref="P382" ca="1">IF(AND(G382=INDIRECT("'["&amp;G382&amp;"]"&amp;E382&amp;"'!"&amp;$AH$2),OR(VALUE(I382)=INDIRECT("'["&amp;G382&amp;"]"&amp;E382&amp;"'!"&amp;$AB$2))),INDIRECT("'["&amp;G382&amp;"]"&amp;E382&amp;"'!"&amp;$AB$3),0)</f>
        <v>#VALUE!</v>
      </c>
      <c r="Q382" s="34" t="e" cm="1">
        <f t="array" aca="1" ref="Q382" ca="1">IF(AND(G382=INDIRECT("'["&amp;G382&amp;"]"&amp;E382&amp;"'!"&amp;$AH$2),OR(VALUE(I382)=INDIRECT("'["&amp;G382&amp;"]"&amp;E382&amp;"'!"&amp;$AC$2))),INDIRECT("'["&amp;G382&amp;"]"&amp;E382&amp;"'!"&amp;$AC$3),0)</f>
        <v>#VALUE!</v>
      </c>
      <c r="R382" s="34" t="e" cm="1">
        <f t="array" aca="1" ref="R382" ca="1">IF(AND(G382=INDIRECT("'["&amp;G382&amp;"]"&amp;E382&amp;"'!"&amp;$AH$2),OR(I382=INDIRECT("'["&amp;G382&amp;"]"&amp;E382&amp;"'!"&amp;$AD$2))),INDIRECT("'["&amp;G382&amp;"]"&amp;E382&amp;"'!"&amp;$AD$3),0)</f>
        <v>#VALUE!</v>
      </c>
      <c r="S382" s="34" t="e" cm="1">
        <f t="array" aca="1" ref="S382" ca="1">IF(AND(G382=INDIRECT("'["&amp;G382&amp;"]"&amp;E382&amp;"'!"&amp;$AH$2),OR(I382=INDIRECT("'["&amp;G382&amp;"]"&amp;E382&amp;"'!"&amp;$AE$2))),INDIRECT("'["&amp;G382&amp;"]"&amp;E382&amp;"'!"&amp;$AE$3),0)</f>
        <v>#VALUE!</v>
      </c>
      <c r="T382" s="35" t="e" cm="1">
        <f t="array" aca="1" ref="T382" ca="1">IF(AND(G382=INDIRECT("'["&amp;G382&amp;"]"&amp;E382&amp;"'!"&amp;$AH$2),OR(I382=INDIRECT("'["&amp;G382&amp;"]"&amp;E382&amp;"'!"&amp;$AF$2))),INDIRECT("'["&amp;G382&amp;"]"&amp;E382&amp;"'!"&amp;$AF$3),0)</f>
        <v>#VALUE!</v>
      </c>
      <c r="U382" s="34" t="e" cm="1">
        <f t="array" aca="1" ref="U382" ca="1">IF(AND(G382=INDIRECT("'["&amp;G382&amp;"]"&amp;E382&amp;"'!"&amp;$AH$2),OR(I382=INDIRECT("'["&amp;G382&amp;"]"&amp;E382&amp;"'!"&amp;$AG$2))),INDIRECT("'["&amp;G382&amp;"]"&amp;E382&amp;"'!"&amp;$AG$3),0)</f>
        <v>#VALUE!</v>
      </c>
      <c r="V382" s="25" t="str">
        <f t="shared" si="126"/>
        <v/>
      </c>
      <c r="W382" s="36" t="e" cm="1">
        <f t="array" aca="1" ref="W382" ca="1">IF(AND(G382=INDIRECT("'["&amp;G382&amp;"]"&amp;E382&amp;"'!"&amp;$AH$2),OR(V382=INDIRECT("'["&amp;G382&amp;"]"&amp;E382&amp;"'!"&amp;$AI$2))),INDIRECT("'["&amp;G382&amp;"]"&amp;E382&amp;"'!"&amp;$AI$3),0)</f>
        <v>#VALUE!</v>
      </c>
      <c r="AJ382" s="25">
        <v>1</v>
      </c>
      <c r="AK382" s="38">
        <f t="shared" ca="1" si="111"/>
        <v>0</v>
      </c>
      <c r="AL382" s="38">
        <f t="shared" ca="1" si="112"/>
        <v>0</v>
      </c>
      <c r="AM382" s="54" t="str">
        <f t="shared" ca="1" si="113"/>
        <v/>
      </c>
      <c r="AN382" s="25" t="e">
        <f t="shared" ca="1" si="114"/>
        <v>#VALUE!</v>
      </c>
      <c r="AO382" s="25" t="e">
        <f t="shared" ca="1" si="115"/>
        <v>#VALUE!</v>
      </c>
      <c r="AP382" s="39" t="str">
        <f t="shared" ca="1" si="116"/>
        <v/>
      </c>
      <c r="AQ382" s="46" t="str">
        <f ca="1">IF(AND(C382&lt;&gt;0, C383=0), SUM($C$2:C382)-SUM($AQ$1:AQ381), "")</f>
        <v/>
      </c>
      <c r="AR382" s="46" t="str">
        <f ca="1">IF(AND(AK382&lt;&gt;0, AK383=0), SUM($AK$2:AK382)-SUM($AR$1:AR381), "")</f>
        <v/>
      </c>
    </row>
    <row r="383" spans="1:44" ht="13.15" customHeight="1">
      <c r="A383" s="62"/>
      <c r="B383" s="68" t="str">
        <f t="shared" si="117"/>
        <v/>
      </c>
      <c r="C383" s="55" cm="1">
        <f t="array" aca="1" ref="C383" ca="1">SUM(IF(ISNUMBER(M383:U383),M383:U383,""))</f>
        <v>0</v>
      </c>
      <c r="D383" s="25" t="str">
        <f t="shared" si="118"/>
        <v/>
      </c>
      <c r="E383" s="25" t="e">
        <f t="shared" si="119"/>
        <v>#VALUE!</v>
      </c>
      <c r="F383" s="25" t="str">
        <f t="shared" si="120"/>
        <v/>
      </c>
      <c r="G383" s="25" t="str">
        <f t="shared" si="121"/>
        <v>.xlsx</v>
      </c>
      <c r="H383" s="29" t="e" cm="1">
        <f t="array" aca="1" ref="H383" ca="1">IF(AND(VALUE(E383)=INDIRECT("'["&amp;G383&amp;"]"&amp;E383&amp;"'!"&amp;$X$2),G383=INDIRECT("'["&amp;G383&amp;"]"&amp;E383&amp;"'!"&amp;$X$3)),INDIRECT("'["&amp;G383&amp;"]"&amp;E383&amp;"'!"&amp;$X$1),0)</f>
        <v>#VALUE!</v>
      </c>
      <c r="I383" s="25" t="str">
        <f t="shared" si="122"/>
        <v/>
      </c>
      <c r="J383" s="32" t="str">
        <f t="shared" si="123"/>
        <v/>
      </c>
      <c r="K383" s="25" t="str">
        <f t="shared" si="124"/>
        <v/>
      </c>
      <c r="L383" s="25" t="str">
        <f t="shared" si="125"/>
        <v/>
      </c>
      <c r="M383" s="33" t="e" cm="1">
        <f t="array" aca="1" ref="M383" ca="1">IF(AND(J383=INDIRECT("'["&amp;G383&amp;"]"&amp;E383&amp;"'!"&amp;$Y$2),G383=INDIRECT("'["&amp;G383&amp;"]"&amp;E383&amp;"'!"&amp;$AH$2)),INDIRECT("'["&amp;G383&amp;"]"&amp;E383&amp;"'!"&amp;$Y$3),0)</f>
        <v>#VALUE!</v>
      </c>
      <c r="N383" s="34" t="e" cm="1">
        <f t="array" aca="1" ref="N383" ca="1">IF(AND(G383=INDIRECT("'["&amp;G383&amp;"]"&amp;E383&amp;"'!"&amp;$AH$2),OR(K383=INDIRECT("'["&amp;G383&amp;"]"&amp;E383&amp;"'!"&amp;$Z$2))),INDIRECT("'["&amp;G383&amp;"]"&amp;E383&amp;"'!"&amp;$Z$3),0)</f>
        <v>#VALUE!</v>
      </c>
      <c r="O383" s="34" t="e" cm="1">
        <f t="array" aca="1" ref="O383" ca="1">IF(AND(G383=INDIRECT("'["&amp;G383&amp;"]"&amp;E383&amp;"'!"&amp;$AH$2),OR(L383=INDIRECT("'["&amp;G383&amp;"]"&amp;E383&amp;"'!"&amp;$AA$2))),INDIRECT("'["&amp;G383&amp;"]"&amp;E383&amp;"'!"&amp;$AA$3),0)</f>
        <v>#VALUE!</v>
      </c>
      <c r="P383" s="34" t="e" cm="1">
        <f t="array" aca="1" ref="P383" ca="1">IF(AND(G383=INDIRECT("'["&amp;G383&amp;"]"&amp;E383&amp;"'!"&amp;$AH$2),OR(VALUE(I383)=INDIRECT("'["&amp;G383&amp;"]"&amp;E383&amp;"'!"&amp;$AB$2))),INDIRECT("'["&amp;G383&amp;"]"&amp;E383&amp;"'!"&amp;$AB$3),0)</f>
        <v>#VALUE!</v>
      </c>
      <c r="Q383" s="34" t="e" cm="1">
        <f t="array" aca="1" ref="Q383" ca="1">IF(AND(G383=INDIRECT("'["&amp;G383&amp;"]"&amp;E383&amp;"'!"&amp;$AH$2),OR(VALUE(I383)=INDIRECT("'["&amp;G383&amp;"]"&amp;E383&amp;"'!"&amp;$AC$2))),INDIRECT("'["&amp;G383&amp;"]"&amp;E383&amp;"'!"&amp;$AC$3),0)</f>
        <v>#VALUE!</v>
      </c>
      <c r="R383" s="34" t="e" cm="1">
        <f t="array" aca="1" ref="R383" ca="1">IF(AND(G383=INDIRECT("'["&amp;G383&amp;"]"&amp;E383&amp;"'!"&amp;$AH$2),OR(I383=INDIRECT("'["&amp;G383&amp;"]"&amp;E383&amp;"'!"&amp;$AD$2))),INDIRECT("'["&amp;G383&amp;"]"&amp;E383&amp;"'!"&amp;$AD$3),0)</f>
        <v>#VALUE!</v>
      </c>
      <c r="S383" s="34" t="e" cm="1">
        <f t="array" aca="1" ref="S383" ca="1">IF(AND(G383=INDIRECT("'["&amp;G383&amp;"]"&amp;E383&amp;"'!"&amp;$AH$2),OR(I383=INDIRECT("'["&amp;G383&amp;"]"&amp;E383&amp;"'!"&amp;$AE$2))),INDIRECT("'["&amp;G383&amp;"]"&amp;E383&amp;"'!"&amp;$AE$3),0)</f>
        <v>#VALUE!</v>
      </c>
      <c r="T383" s="35" t="e" cm="1">
        <f t="array" aca="1" ref="T383" ca="1">IF(AND(G383=INDIRECT("'["&amp;G383&amp;"]"&amp;E383&amp;"'!"&amp;$AH$2),OR(I383=INDIRECT("'["&amp;G383&amp;"]"&amp;E383&amp;"'!"&amp;$AF$2))),INDIRECT("'["&amp;G383&amp;"]"&amp;E383&amp;"'!"&amp;$AF$3),0)</f>
        <v>#VALUE!</v>
      </c>
      <c r="U383" s="34" t="e" cm="1">
        <f t="array" aca="1" ref="U383" ca="1">IF(AND(G383=INDIRECT("'["&amp;G383&amp;"]"&amp;E383&amp;"'!"&amp;$AH$2),OR(I383=INDIRECT("'["&amp;G383&amp;"]"&amp;E383&amp;"'!"&amp;$AG$2))),INDIRECT("'["&amp;G383&amp;"]"&amp;E383&amp;"'!"&amp;$AG$3),0)</f>
        <v>#VALUE!</v>
      </c>
      <c r="V383" s="25" t="str">
        <f t="shared" si="126"/>
        <v/>
      </c>
      <c r="W383" s="36" t="e" cm="1">
        <f t="array" aca="1" ref="W383" ca="1">IF(AND(G383=INDIRECT("'["&amp;G383&amp;"]"&amp;E383&amp;"'!"&amp;$AH$2),OR(V383=INDIRECT("'["&amp;G383&amp;"]"&amp;E383&amp;"'!"&amp;$AI$2))),INDIRECT("'["&amp;G383&amp;"]"&amp;E383&amp;"'!"&amp;$AI$3),0)</f>
        <v>#VALUE!</v>
      </c>
      <c r="AJ383" s="25">
        <v>1</v>
      </c>
      <c r="AK383" s="38">
        <f t="shared" ca="1" si="111"/>
        <v>0</v>
      </c>
      <c r="AL383" s="38">
        <f t="shared" ca="1" si="112"/>
        <v>0</v>
      </c>
      <c r="AM383" s="54" t="str">
        <f t="shared" ca="1" si="113"/>
        <v/>
      </c>
      <c r="AN383" s="25" t="e">
        <f t="shared" ca="1" si="114"/>
        <v>#VALUE!</v>
      </c>
      <c r="AO383" s="25" t="e">
        <f t="shared" ca="1" si="115"/>
        <v>#VALUE!</v>
      </c>
      <c r="AP383" s="39" t="str">
        <f t="shared" ca="1" si="116"/>
        <v/>
      </c>
      <c r="AQ383" s="46" t="str">
        <f ca="1">IF(AND(C383&lt;&gt;0, C384=0), SUM($C$2:C383)-SUM($AQ$1:AQ382), "")</f>
        <v/>
      </c>
      <c r="AR383" s="46" t="str">
        <f ca="1">IF(AND(AK383&lt;&gt;0, AK384=0), SUM($AK$2:AK383)-SUM($AR$1:AR382), "")</f>
        <v/>
      </c>
    </row>
    <row r="384" spans="1:44" ht="13.15" customHeight="1">
      <c r="A384" s="62"/>
      <c r="B384" s="68" t="str">
        <f t="shared" si="117"/>
        <v/>
      </c>
      <c r="C384" s="55" cm="1">
        <f t="array" aca="1" ref="C384" ca="1">SUM(IF(ISNUMBER(M384:U384),M384:U384,""))</f>
        <v>0</v>
      </c>
      <c r="D384" s="25" t="str">
        <f t="shared" si="118"/>
        <v/>
      </c>
      <c r="E384" s="25" t="e">
        <f t="shared" si="119"/>
        <v>#VALUE!</v>
      </c>
      <c r="F384" s="25" t="str">
        <f t="shared" si="120"/>
        <v/>
      </c>
      <c r="G384" s="25" t="str">
        <f t="shared" si="121"/>
        <v>.xlsx</v>
      </c>
      <c r="H384" s="29" t="e" cm="1">
        <f t="array" aca="1" ref="H384" ca="1">IF(AND(VALUE(E384)=INDIRECT("'["&amp;G384&amp;"]"&amp;E384&amp;"'!"&amp;$X$2),G384=INDIRECT("'["&amp;G384&amp;"]"&amp;E384&amp;"'!"&amp;$X$3)),INDIRECT("'["&amp;G384&amp;"]"&amp;E384&amp;"'!"&amp;$X$1),0)</f>
        <v>#VALUE!</v>
      </c>
      <c r="I384" s="25" t="str">
        <f t="shared" si="122"/>
        <v/>
      </c>
      <c r="J384" s="32" t="str">
        <f t="shared" si="123"/>
        <v/>
      </c>
      <c r="K384" s="25" t="str">
        <f t="shared" si="124"/>
        <v/>
      </c>
      <c r="L384" s="25" t="str">
        <f t="shared" si="125"/>
        <v/>
      </c>
      <c r="M384" s="33" t="e" cm="1">
        <f t="array" aca="1" ref="M384" ca="1">IF(AND(J384=INDIRECT("'["&amp;G384&amp;"]"&amp;E384&amp;"'!"&amp;$Y$2),G384=INDIRECT("'["&amp;G384&amp;"]"&amp;E384&amp;"'!"&amp;$AH$2)),INDIRECT("'["&amp;G384&amp;"]"&amp;E384&amp;"'!"&amp;$Y$3),0)</f>
        <v>#VALUE!</v>
      </c>
      <c r="N384" s="34" t="e" cm="1">
        <f t="array" aca="1" ref="N384" ca="1">IF(AND(G384=INDIRECT("'["&amp;G384&amp;"]"&amp;E384&amp;"'!"&amp;$AH$2),OR(K384=INDIRECT("'["&amp;G384&amp;"]"&amp;E384&amp;"'!"&amp;$Z$2))),INDIRECT("'["&amp;G384&amp;"]"&amp;E384&amp;"'!"&amp;$Z$3),0)</f>
        <v>#VALUE!</v>
      </c>
      <c r="O384" s="34" t="e" cm="1">
        <f t="array" aca="1" ref="O384" ca="1">IF(AND(G384=INDIRECT("'["&amp;G384&amp;"]"&amp;E384&amp;"'!"&amp;$AH$2),OR(L384=INDIRECT("'["&amp;G384&amp;"]"&amp;E384&amp;"'!"&amp;$AA$2))),INDIRECT("'["&amp;G384&amp;"]"&amp;E384&amp;"'!"&amp;$AA$3),0)</f>
        <v>#VALUE!</v>
      </c>
      <c r="P384" s="34" t="e" cm="1">
        <f t="array" aca="1" ref="P384" ca="1">IF(AND(G384=INDIRECT("'["&amp;G384&amp;"]"&amp;E384&amp;"'!"&amp;$AH$2),OR(VALUE(I384)=INDIRECT("'["&amp;G384&amp;"]"&amp;E384&amp;"'!"&amp;$AB$2))),INDIRECT("'["&amp;G384&amp;"]"&amp;E384&amp;"'!"&amp;$AB$3),0)</f>
        <v>#VALUE!</v>
      </c>
      <c r="Q384" s="34" t="e" cm="1">
        <f t="array" aca="1" ref="Q384" ca="1">IF(AND(G384=INDIRECT("'["&amp;G384&amp;"]"&amp;E384&amp;"'!"&amp;$AH$2),OR(VALUE(I384)=INDIRECT("'["&amp;G384&amp;"]"&amp;E384&amp;"'!"&amp;$AC$2))),INDIRECT("'["&amp;G384&amp;"]"&amp;E384&amp;"'!"&amp;$AC$3),0)</f>
        <v>#VALUE!</v>
      </c>
      <c r="R384" s="34" t="e" cm="1">
        <f t="array" aca="1" ref="R384" ca="1">IF(AND(G384=INDIRECT("'["&amp;G384&amp;"]"&amp;E384&amp;"'!"&amp;$AH$2),OR(I384=INDIRECT("'["&amp;G384&amp;"]"&amp;E384&amp;"'!"&amp;$AD$2))),INDIRECT("'["&amp;G384&amp;"]"&amp;E384&amp;"'!"&amp;$AD$3),0)</f>
        <v>#VALUE!</v>
      </c>
      <c r="S384" s="34" t="e" cm="1">
        <f t="array" aca="1" ref="S384" ca="1">IF(AND(G384=INDIRECT("'["&amp;G384&amp;"]"&amp;E384&amp;"'!"&amp;$AH$2),OR(I384=INDIRECT("'["&amp;G384&amp;"]"&amp;E384&amp;"'!"&amp;$AE$2))),INDIRECT("'["&amp;G384&amp;"]"&amp;E384&amp;"'!"&amp;$AE$3),0)</f>
        <v>#VALUE!</v>
      </c>
      <c r="T384" s="35" t="e" cm="1">
        <f t="array" aca="1" ref="T384" ca="1">IF(AND(G384=INDIRECT("'["&amp;G384&amp;"]"&amp;E384&amp;"'!"&amp;$AH$2),OR(I384=INDIRECT("'["&amp;G384&amp;"]"&amp;E384&amp;"'!"&amp;$AF$2))),INDIRECT("'["&amp;G384&amp;"]"&amp;E384&amp;"'!"&amp;$AF$3),0)</f>
        <v>#VALUE!</v>
      </c>
      <c r="U384" s="34" t="e" cm="1">
        <f t="array" aca="1" ref="U384" ca="1">IF(AND(G384=INDIRECT("'["&amp;G384&amp;"]"&amp;E384&amp;"'!"&amp;$AH$2),OR(I384=INDIRECT("'["&amp;G384&amp;"]"&amp;E384&amp;"'!"&amp;$AG$2))),INDIRECT("'["&amp;G384&amp;"]"&amp;E384&amp;"'!"&amp;$AG$3),0)</f>
        <v>#VALUE!</v>
      </c>
      <c r="V384" s="25" t="str">
        <f t="shared" si="126"/>
        <v/>
      </c>
      <c r="W384" s="36" t="e" cm="1">
        <f t="array" aca="1" ref="W384" ca="1">IF(AND(G384=INDIRECT("'["&amp;G384&amp;"]"&amp;E384&amp;"'!"&amp;$AH$2),OR(V384=INDIRECT("'["&amp;G384&amp;"]"&amp;E384&amp;"'!"&amp;$AI$2))),INDIRECT("'["&amp;G384&amp;"]"&amp;E384&amp;"'!"&amp;$AI$3),0)</f>
        <v>#VALUE!</v>
      </c>
      <c r="AJ384" s="25">
        <v>1</v>
      </c>
      <c r="AK384" s="38">
        <f t="shared" ca="1" si="111"/>
        <v>0</v>
      </c>
      <c r="AL384" s="38">
        <f t="shared" ca="1" si="112"/>
        <v>0</v>
      </c>
      <c r="AM384" s="54" t="str">
        <f t="shared" ca="1" si="113"/>
        <v/>
      </c>
      <c r="AN384" s="25" t="e">
        <f t="shared" ca="1" si="114"/>
        <v>#VALUE!</v>
      </c>
      <c r="AO384" s="25" t="e">
        <f t="shared" ca="1" si="115"/>
        <v>#VALUE!</v>
      </c>
      <c r="AP384" s="39" t="str">
        <f t="shared" ca="1" si="116"/>
        <v/>
      </c>
      <c r="AQ384" s="46" t="str">
        <f ca="1">IF(AND(C384&lt;&gt;0, C385=0), SUM($C$2:C384)-SUM($AQ$1:AQ383), "")</f>
        <v/>
      </c>
      <c r="AR384" s="46" t="str">
        <f ca="1">IF(AND(AK384&lt;&gt;0, AK385=0), SUM($AK$2:AK384)-SUM($AR$1:AR383), "")</f>
        <v/>
      </c>
    </row>
    <row r="385" spans="1:44" ht="13.15" customHeight="1">
      <c r="A385" s="62"/>
      <c r="B385" s="68" t="str">
        <f t="shared" si="117"/>
        <v/>
      </c>
      <c r="C385" s="55" cm="1">
        <f t="array" aca="1" ref="C385" ca="1">SUM(IF(ISNUMBER(M385:U385),M385:U385,""))</f>
        <v>0</v>
      </c>
      <c r="D385" s="25" t="str">
        <f t="shared" si="118"/>
        <v/>
      </c>
      <c r="E385" s="25" t="e">
        <f t="shared" si="119"/>
        <v>#VALUE!</v>
      </c>
      <c r="F385" s="25" t="str">
        <f t="shared" si="120"/>
        <v/>
      </c>
      <c r="G385" s="25" t="str">
        <f t="shared" si="121"/>
        <v>.xlsx</v>
      </c>
      <c r="H385" s="29" t="e" cm="1">
        <f t="array" aca="1" ref="H385" ca="1">IF(AND(VALUE(E385)=INDIRECT("'["&amp;G385&amp;"]"&amp;E385&amp;"'!"&amp;$X$2),G385=INDIRECT("'["&amp;G385&amp;"]"&amp;E385&amp;"'!"&amp;$X$3)),INDIRECT("'["&amp;G385&amp;"]"&amp;E385&amp;"'!"&amp;$X$1),0)</f>
        <v>#VALUE!</v>
      </c>
      <c r="I385" s="25" t="str">
        <f t="shared" si="122"/>
        <v/>
      </c>
      <c r="J385" s="32" t="str">
        <f t="shared" si="123"/>
        <v/>
      </c>
      <c r="K385" s="25" t="str">
        <f t="shared" si="124"/>
        <v/>
      </c>
      <c r="L385" s="25" t="str">
        <f t="shared" si="125"/>
        <v/>
      </c>
      <c r="M385" s="33" t="e" cm="1">
        <f t="array" aca="1" ref="M385" ca="1">IF(AND(J385=INDIRECT("'["&amp;G385&amp;"]"&amp;E385&amp;"'!"&amp;$Y$2),G385=INDIRECT("'["&amp;G385&amp;"]"&amp;E385&amp;"'!"&amp;$AH$2)),INDIRECT("'["&amp;G385&amp;"]"&amp;E385&amp;"'!"&amp;$Y$3),0)</f>
        <v>#VALUE!</v>
      </c>
      <c r="N385" s="34" t="e" cm="1">
        <f t="array" aca="1" ref="N385" ca="1">IF(AND(G385=INDIRECT("'["&amp;G385&amp;"]"&amp;E385&amp;"'!"&amp;$AH$2),OR(K385=INDIRECT("'["&amp;G385&amp;"]"&amp;E385&amp;"'!"&amp;$Z$2))),INDIRECT("'["&amp;G385&amp;"]"&amp;E385&amp;"'!"&amp;$Z$3),0)</f>
        <v>#VALUE!</v>
      </c>
      <c r="O385" s="34" t="e" cm="1">
        <f t="array" aca="1" ref="O385" ca="1">IF(AND(G385=INDIRECT("'["&amp;G385&amp;"]"&amp;E385&amp;"'!"&amp;$AH$2),OR(L385=INDIRECT("'["&amp;G385&amp;"]"&amp;E385&amp;"'!"&amp;$AA$2))),INDIRECT("'["&amp;G385&amp;"]"&amp;E385&amp;"'!"&amp;$AA$3),0)</f>
        <v>#VALUE!</v>
      </c>
      <c r="P385" s="34" t="e" cm="1">
        <f t="array" aca="1" ref="P385" ca="1">IF(AND(G385=INDIRECT("'["&amp;G385&amp;"]"&amp;E385&amp;"'!"&amp;$AH$2),OR(VALUE(I385)=INDIRECT("'["&amp;G385&amp;"]"&amp;E385&amp;"'!"&amp;$AB$2))),INDIRECT("'["&amp;G385&amp;"]"&amp;E385&amp;"'!"&amp;$AB$3),0)</f>
        <v>#VALUE!</v>
      </c>
      <c r="Q385" s="34" t="e" cm="1">
        <f t="array" aca="1" ref="Q385" ca="1">IF(AND(G385=INDIRECT("'["&amp;G385&amp;"]"&amp;E385&amp;"'!"&amp;$AH$2),OR(VALUE(I385)=INDIRECT("'["&amp;G385&amp;"]"&amp;E385&amp;"'!"&amp;$AC$2))),INDIRECT("'["&amp;G385&amp;"]"&amp;E385&amp;"'!"&amp;$AC$3),0)</f>
        <v>#VALUE!</v>
      </c>
      <c r="R385" s="34" t="e" cm="1">
        <f t="array" aca="1" ref="R385" ca="1">IF(AND(G385=INDIRECT("'["&amp;G385&amp;"]"&amp;E385&amp;"'!"&amp;$AH$2),OR(I385=INDIRECT("'["&amp;G385&amp;"]"&amp;E385&amp;"'!"&amp;$AD$2))),INDIRECT("'["&amp;G385&amp;"]"&amp;E385&amp;"'!"&amp;$AD$3),0)</f>
        <v>#VALUE!</v>
      </c>
      <c r="S385" s="34" t="e" cm="1">
        <f t="array" aca="1" ref="S385" ca="1">IF(AND(G385=INDIRECT("'["&amp;G385&amp;"]"&amp;E385&amp;"'!"&amp;$AH$2),OR(I385=INDIRECT("'["&amp;G385&amp;"]"&amp;E385&amp;"'!"&amp;$AE$2))),INDIRECT("'["&amp;G385&amp;"]"&amp;E385&amp;"'!"&amp;$AE$3),0)</f>
        <v>#VALUE!</v>
      </c>
      <c r="T385" s="35" t="e" cm="1">
        <f t="array" aca="1" ref="T385" ca="1">IF(AND(G385=INDIRECT("'["&amp;G385&amp;"]"&amp;E385&amp;"'!"&amp;$AH$2),OR(I385=INDIRECT("'["&amp;G385&amp;"]"&amp;E385&amp;"'!"&amp;$AF$2))),INDIRECT("'["&amp;G385&amp;"]"&amp;E385&amp;"'!"&amp;$AF$3),0)</f>
        <v>#VALUE!</v>
      </c>
      <c r="U385" s="34" t="e" cm="1">
        <f t="array" aca="1" ref="U385" ca="1">IF(AND(G385=INDIRECT("'["&amp;G385&amp;"]"&amp;E385&amp;"'!"&amp;$AH$2),OR(I385=INDIRECT("'["&amp;G385&amp;"]"&amp;E385&amp;"'!"&amp;$AG$2))),INDIRECT("'["&amp;G385&amp;"]"&amp;E385&amp;"'!"&amp;$AG$3),0)</f>
        <v>#VALUE!</v>
      </c>
      <c r="V385" s="25" t="str">
        <f t="shared" si="126"/>
        <v/>
      </c>
      <c r="W385" s="36" t="e" cm="1">
        <f t="array" aca="1" ref="W385" ca="1">IF(AND(G385=INDIRECT("'["&amp;G385&amp;"]"&amp;E385&amp;"'!"&amp;$AH$2),OR(V385=INDIRECT("'["&amp;G385&amp;"]"&amp;E385&amp;"'!"&amp;$AI$2))),INDIRECT("'["&amp;G385&amp;"]"&amp;E385&amp;"'!"&amp;$AI$3),0)</f>
        <v>#VALUE!</v>
      </c>
      <c r="AJ385" s="25">
        <v>1</v>
      </c>
      <c r="AK385" s="38">
        <f t="shared" ca="1" si="111"/>
        <v>0</v>
      </c>
      <c r="AL385" s="38">
        <f t="shared" ca="1" si="112"/>
        <v>0</v>
      </c>
      <c r="AM385" s="54" t="str">
        <f t="shared" ca="1" si="113"/>
        <v/>
      </c>
      <c r="AN385" s="25" t="e">
        <f t="shared" ca="1" si="114"/>
        <v>#VALUE!</v>
      </c>
      <c r="AO385" s="25" t="e">
        <f t="shared" ca="1" si="115"/>
        <v>#VALUE!</v>
      </c>
      <c r="AP385" s="39" t="str">
        <f t="shared" ca="1" si="116"/>
        <v/>
      </c>
      <c r="AQ385" s="46" t="str">
        <f ca="1">IF(AND(C385&lt;&gt;0, C386=0), SUM($C$2:C385)-SUM($AQ$1:AQ384), "")</f>
        <v/>
      </c>
      <c r="AR385" s="46" t="str">
        <f ca="1">IF(AND(AK385&lt;&gt;0, AK386=0), SUM($AK$2:AK385)-SUM($AR$1:AR384), "")</f>
        <v/>
      </c>
    </row>
    <row r="386" spans="1:44" ht="13.15" customHeight="1">
      <c r="A386" s="62"/>
      <c r="B386" s="68" t="str">
        <f t="shared" si="117"/>
        <v/>
      </c>
      <c r="C386" s="55" cm="1">
        <f t="array" aca="1" ref="C386" ca="1">SUM(IF(ISNUMBER(M386:U386),M386:U386,""))</f>
        <v>0</v>
      </c>
      <c r="D386" s="25" t="str">
        <f t="shared" si="118"/>
        <v/>
      </c>
      <c r="E386" s="25" t="e">
        <f t="shared" si="119"/>
        <v>#VALUE!</v>
      </c>
      <c r="F386" s="25" t="str">
        <f t="shared" si="120"/>
        <v/>
      </c>
      <c r="G386" s="25" t="str">
        <f t="shared" si="121"/>
        <v>.xlsx</v>
      </c>
      <c r="H386" s="29" t="e" cm="1">
        <f t="array" aca="1" ref="H386" ca="1">IF(AND(VALUE(E386)=INDIRECT("'["&amp;G386&amp;"]"&amp;E386&amp;"'!"&amp;$X$2),G386=INDIRECT("'["&amp;G386&amp;"]"&amp;E386&amp;"'!"&amp;$X$3)),INDIRECT("'["&amp;G386&amp;"]"&amp;E386&amp;"'!"&amp;$X$1),0)</f>
        <v>#VALUE!</v>
      </c>
      <c r="I386" s="25" t="str">
        <f t="shared" si="122"/>
        <v/>
      </c>
      <c r="J386" s="32" t="str">
        <f t="shared" si="123"/>
        <v/>
      </c>
      <c r="K386" s="25" t="str">
        <f t="shared" si="124"/>
        <v/>
      </c>
      <c r="L386" s="25" t="str">
        <f t="shared" si="125"/>
        <v/>
      </c>
      <c r="M386" s="33" t="e" cm="1">
        <f t="array" aca="1" ref="M386" ca="1">IF(AND(J386=INDIRECT("'["&amp;G386&amp;"]"&amp;E386&amp;"'!"&amp;$Y$2),G386=INDIRECT("'["&amp;G386&amp;"]"&amp;E386&amp;"'!"&amp;$AH$2)),INDIRECT("'["&amp;G386&amp;"]"&amp;E386&amp;"'!"&amp;$Y$3),0)</f>
        <v>#VALUE!</v>
      </c>
      <c r="N386" s="34" t="e" cm="1">
        <f t="array" aca="1" ref="N386" ca="1">IF(AND(G386=INDIRECT("'["&amp;G386&amp;"]"&amp;E386&amp;"'!"&amp;$AH$2),OR(K386=INDIRECT("'["&amp;G386&amp;"]"&amp;E386&amp;"'!"&amp;$Z$2))),INDIRECT("'["&amp;G386&amp;"]"&amp;E386&amp;"'!"&amp;$Z$3),0)</f>
        <v>#VALUE!</v>
      </c>
      <c r="O386" s="34" t="e" cm="1">
        <f t="array" aca="1" ref="O386" ca="1">IF(AND(G386=INDIRECT("'["&amp;G386&amp;"]"&amp;E386&amp;"'!"&amp;$AH$2),OR(L386=INDIRECT("'["&amp;G386&amp;"]"&amp;E386&amp;"'!"&amp;$AA$2))),INDIRECT("'["&amp;G386&amp;"]"&amp;E386&amp;"'!"&amp;$AA$3),0)</f>
        <v>#VALUE!</v>
      </c>
      <c r="P386" s="34" t="e" cm="1">
        <f t="array" aca="1" ref="P386" ca="1">IF(AND(G386=INDIRECT("'["&amp;G386&amp;"]"&amp;E386&amp;"'!"&amp;$AH$2),OR(VALUE(I386)=INDIRECT("'["&amp;G386&amp;"]"&amp;E386&amp;"'!"&amp;$AB$2))),INDIRECT("'["&amp;G386&amp;"]"&amp;E386&amp;"'!"&amp;$AB$3),0)</f>
        <v>#VALUE!</v>
      </c>
      <c r="Q386" s="34" t="e" cm="1">
        <f t="array" aca="1" ref="Q386" ca="1">IF(AND(G386=INDIRECT("'["&amp;G386&amp;"]"&amp;E386&amp;"'!"&amp;$AH$2),OR(VALUE(I386)=INDIRECT("'["&amp;G386&amp;"]"&amp;E386&amp;"'!"&amp;$AC$2))),INDIRECT("'["&amp;G386&amp;"]"&amp;E386&amp;"'!"&amp;$AC$3),0)</f>
        <v>#VALUE!</v>
      </c>
      <c r="R386" s="34" t="e" cm="1">
        <f t="array" aca="1" ref="R386" ca="1">IF(AND(G386=INDIRECT("'["&amp;G386&amp;"]"&amp;E386&amp;"'!"&amp;$AH$2),OR(I386=INDIRECT("'["&amp;G386&amp;"]"&amp;E386&amp;"'!"&amp;$AD$2))),INDIRECT("'["&amp;G386&amp;"]"&amp;E386&amp;"'!"&amp;$AD$3),0)</f>
        <v>#VALUE!</v>
      </c>
      <c r="S386" s="34" t="e" cm="1">
        <f t="array" aca="1" ref="S386" ca="1">IF(AND(G386=INDIRECT("'["&amp;G386&amp;"]"&amp;E386&amp;"'!"&amp;$AH$2),OR(I386=INDIRECT("'["&amp;G386&amp;"]"&amp;E386&amp;"'!"&amp;$AE$2))),INDIRECT("'["&amp;G386&amp;"]"&amp;E386&amp;"'!"&amp;$AE$3),0)</f>
        <v>#VALUE!</v>
      </c>
      <c r="T386" s="35" t="e" cm="1">
        <f t="array" aca="1" ref="T386" ca="1">IF(AND(G386=INDIRECT("'["&amp;G386&amp;"]"&amp;E386&amp;"'!"&amp;$AH$2),OR(I386=INDIRECT("'["&amp;G386&amp;"]"&amp;E386&amp;"'!"&amp;$AF$2))),INDIRECT("'["&amp;G386&amp;"]"&amp;E386&amp;"'!"&amp;$AF$3),0)</f>
        <v>#VALUE!</v>
      </c>
      <c r="U386" s="34" t="e" cm="1">
        <f t="array" aca="1" ref="U386" ca="1">IF(AND(G386=INDIRECT("'["&amp;G386&amp;"]"&amp;E386&amp;"'!"&amp;$AH$2),OR(I386=INDIRECT("'["&amp;G386&amp;"]"&amp;E386&amp;"'!"&amp;$AG$2))),INDIRECT("'["&amp;G386&amp;"]"&amp;E386&amp;"'!"&amp;$AG$3),0)</f>
        <v>#VALUE!</v>
      </c>
      <c r="V386" s="25" t="str">
        <f t="shared" si="126"/>
        <v/>
      </c>
      <c r="W386" s="36" t="e" cm="1">
        <f t="array" aca="1" ref="W386" ca="1">IF(AND(G386=INDIRECT("'["&amp;G386&amp;"]"&amp;E386&amp;"'!"&amp;$AH$2),OR(V386=INDIRECT("'["&amp;G386&amp;"]"&amp;E386&amp;"'!"&amp;$AI$2))),INDIRECT("'["&amp;G386&amp;"]"&amp;E386&amp;"'!"&amp;$AI$3),0)</f>
        <v>#VALUE!</v>
      </c>
      <c r="AJ386" s="25">
        <v>1</v>
      </c>
      <c r="AK386" s="38">
        <f t="shared" ca="1" si="111"/>
        <v>0</v>
      </c>
      <c r="AL386" s="38">
        <f t="shared" ca="1" si="112"/>
        <v>0</v>
      </c>
      <c r="AM386" s="54" t="str">
        <f t="shared" ca="1" si="113"/>
        <v/>
      </c>
      <c r="AN386" s="25" t="e">
        <f t="shared" ca="1" si="114"/>
        <v>#VALUE!</v>
      </c>
      <c r="AO386" s="25" t="e">
        <f t="shared" ca="1" si="115"/>
        <v>#VALUE!</v>
      </c>
      <c r="AP386" s="39" t="str">
        <f t="shared" ca="1" si="116"/>
        <v/>
      </c>
      <c r="AQ386" s="46" t="str">
        <f ca="1">IF(AND(C386&lt;&gt;0, C387=0), SUM($C$2:C386)-SUM($AQ$1:AQ385), "")</f>
        <v/>
      </c>
      <c r="AR386" s="46" t="str">
        <f ca="1">IF(AND(AK386&lt;&gt;0, AK387=0), SUM($AK$2:AK386)-SUM($AR$1:AR385), "")</f>
        <v/>
      </c>
    </row>
    <row r="387" spans="1:44" ht="13.15" customHeight="1">
      <c r="A387" s="62"/>
      <c r="B387" s="68" t="str">
        <f t="shared" si="117"/>
        <v/>
      </c>
      <c r="C387" s="55" cm="1">
        <f t="array" aca="1" ref="C387" ca="1">SUM(IF(ISNUMBER(M387:U387),M387:U387,""))</f>
        <v>0</v>
      </c>
      <c r="D387" s="25" t="str">
        <f t="shared" si="118"/>
        <v/>
      </c>
      <c r="E387" s="25" t="e">
        <f t="shared" si="119"/>
        <v>#VALUE!</v>
      </c>
      <c r="F387" s="25" t="str">
        <f t="shared" si="120"/>
        <v/>
      </c>
      <c r="G387" s="25" t="str">
        <f t="shared" si="121"/>
        <v>.xlsx</v>
      </c>
      <c r="H387" s="29" t="e" cm="1">
        <f t="array" aca="1" ref="H387" ca="1">IF(AND(VALUE(E387)=INDIRECT("'["&amp;G387&amp;"]"&amp;E387&amp;"'!"&amp;$X$2),G387=INDIRECT("'["&amp;G387&amp;"]"&amp;E387&amp;"'!"&amp;$X$3)),INDIRECT("'["&amp;G387&amp;"]"&amp;E387&amp;"'!"&amp;$X$1),0)</f>
        <v>#VALUE!</v>
      </c>
      <c r="I387" s="25" t="str">
        <f t="shared" si="122"/>
        <v/>
      </c>
      <c r="J387" s="32" t="str">
        <f t="shared" si="123"/>
        <v/>
      </c>
      <c r="K387" s="25" t="str">
        <f t="shared" si="124"/>
        <v/>
      </c>
      <c r="L387" s="25" t="str">
        <f t="shared" si="125"/>
        <v/>
      </c>
      <c r="M387" s="33" t="e" cm="1">
        <f t="array" aca="1" ref="M387" ca="1">IF(AND(J387=INDIRECT("'["&amp;G387&amp;"]"&amp;E387&amp;"'!"&amp;$Y$2),G387=INDIRECT("'["&amp;G387&amp;"]"&amp;E387&amp;"'!"&amp;$AH$2)),INDIRECT("'["&amp;G387&amp;"]"&amp;E387&amp;"'!"&amp;$Y$3),0)</f>
        <v>#VALUE!</v>
      </c>
      <c r="N387" s="34" t="e" cm="1">
        <f t="array" aca="1" ref="N387" ca="1">IF(AND(G387=INDIRECT("'["&amp;G387&amp;"]"&amp;E387&amp;"'!"&amp;$AH$2),OR(K387=INDIRECT("'["&amp;G387&amp;"]"&amp;E387&amp;"'!"&amp;$Z$2))),INDIRECT("'["&amp;G387&amp;"]"&amp;E387&amp;"'!"&amp;$Z$3),0)</f>
        <v>#VALUE!</v>
      </c>
      <c r="O387" s="34" t="e" cm="1">
        <f t="array" aca="1" ref="O387" ca="1">IF(AND(G387=INDIRECT("'["&amp;G387&amp;"]"&amp;E387&amp;"'!"&amp;$AH$2),OR(L387=INDIRECT("'["&amp;G387&amp;"]"&amp;E387&amp;"'!"&amp;$AA$2))),INDIRECT("'["&amp;G387&amp;"]"&amp;E387&amp;"'!"&amp;$AA$3),0)</f>
        <v>#VALUE!</v>
      </c>
      <c r="P387" s="34" t="e" cm="1">
        <f t="array" aca="1" ref="P387" ca="1">IF(AND(G387=INDIRECT("'["&amp;G387&amp;"]"&amp;E387&amp;"'!"&amp;$AH$2),OR(VALUE(I387)=INDIRECT("'["&amp;G387&amp;"]"&amp;E387&amp;"'!"&amp;$AB$2))),INDIRECT("'["&amp;G387&amp;"]"&amp;E387&amp;"'!"&amp;$AB$3),0)</f>
        <v>#VALUE!</v>
      </c>
      <c r="Q387" s="34" t="e" cm="1">
        <f t="array" aca="1" ref="Q387" ca="1">IF(AND(G387=INDIRECT("'["&amp;G387&amp;"]"&amp;E387&amp;"'!"&amp;$AH$2),OR(VALUE(I387)=INDIRECT("'["&amp;G387&amp;"]"&amp;E387&amp;"'!"&amp;$AC$2))),INDIRECT("'["&amp;G387&amp;"]"&amp;E387&amp;"'!"&amp;$AC$3),0)</f>
        <v>#VALUE!</v>
      </c>
      <c r="R387" s="34" t="e" cm="1">
        <f t="array" aca="1" ref="R387" ca="1">IF(AND(G387=INDIRECT("'["&amp;G387&amp;"]"&amp;E387&amp;"'!"&amp;$AH$2),OR(I387=INDIRECT("'["&amp;G387&amp;"]"&amp;E387&amp;"'!"&amp;$AD$2))),INDIRECT("'["&amp;G387&amp;"]"&amp;E387&amp;"'!"&amp;$AD$3),0)</f>
        <v>#VALUE!</v>
      </c>
      <c r="S387" s="34" t="e" cm="1">
        <f t="array" aca="1" ref="S387" ca="1">IF(AND(G387=INDIRECT("'["&amp;G387&amp;"]"&amp;E387&amp;"'!"&amp;$AH$2),OR(I387=INDIRECT("'["&amp;G387&amp;"]"&amp;E387&amp;"'!"&amp;$AE$2))),INDIRECT("'["&amp;G387&amp;"]"&amp;E387&amp;"'!"&amp;$AE$3),0)</f>
        <v>#VALUE!</v>
      </c>
      <c r="T387" s="35" t="e" cm="1">
        <f t="array" aca="1" ref="T387" ca="1">IF(AND(G387=INDIRECT("'["&amp;G387&amp;"]"&amp;E387&amp;"'!"&amp;$AH$2),OR(I387=INDIRECT("'["&amp;G387&amp;"]"&amp;E387&amp;"'!"&amp;$AF$2))),INDIRECT("'["&amp;G387&amp;"]"&amp;E387&amp;"'!"&amp;$AF$3),0)</f>
        <v>#VALUE!</v>
      </c>
      <c r="U387" s="34" t="e" cm="1">
        <f t="array" aca="1" ref="U387" ca="1">IF(AND(G387=INDIRECT("'["&amp;G387&amp;"]"&amp;E387&amp;"'!"&amp;$AH$2),OR(I387=INDIRECT("'["&amp;G387&amp;"]"&amp;E387&amp;"'!"&amp;$AG$2))),INDIRECT("'["&amp;G387&amp;"]"&amp;E387&amp;"'!"&amp;$AG$3),0)</f>
        <v>#VALUE!</v>
      </c>
      <c r="V387" s="25" t="str">
        <f t="shared" si="126"/>
        <v/>
      </c>
      <c r="W387" s="36" t="e" cm="1">
        <f t="array" aca="1" ref="W387" ca="1">IF(AND(G387=INDIRECT("'["&amp;G387&amp;"]"&amp;E387&amp;"'!"&amp;$AH$2),OR(V387=INDIRECT("'["&amp;G387&amp;"]"&amp;E387&amp;"'!"&amp;$AI$2))),INDIRECT("'["&amp;G387&amp;"]"&amp;E387&amp;"'!"&amp;$AI$3),0)</f>
        <v>#VALUE!</v>
      </c>
      <c r="AJ387" s="25">
        <v>1</v>
      </c>
      <c r="AK387" s="38">
        <f t="shared" ca="1" si="111"/>
        <v>0</v>
      </c>
      <c r="AL387" s="38">
        <f t="shared" ca="1" si="112"/>
        <v>0</v>
      </c>
      <c r="AM387" s="54" t="str">
        <f t="shared" ca="1" si="113"/>
        <v/>
      </c>
      <c r="AN387" s="25" t="e">
        <f t="shared" ca="1" si="114"/>
        <v>#VALUE!</v>
      </c>
      <c r="AO387" s="25" t="e">
        <f t="shared" ca="1" si="115"/>
        <v>#VALUE!</v>
      </c>
      <c r="AP387" s="39" t="str">
        <f t="shared" ca="1" si="116"/>
        <v/>
      </c>
      <c r="AQ387" s="46" t="str">
        <f ca="1">IF(AND(C387&lt;&gt;0, C388=0), SUM($C$2:C387)-SUM($AQ$1:AQ386), "")</f>
        <v/>
      </c>
      <c r="AR387" s="46" t="str">
        <f ca="1">IF(AND(AK387&lt;&gt;0, AK388=0), SUM($AK$2:AK387)-SUM($AR$1:AR386), "")</f>
        <v/>
      </c>
    </row>
    <row r="388" spans="1:44" ht="13.15" customHeight="1">
      <c r="A388" s="62"/>
      <c r="B388" s="68" t="str">
        <f t="shared" si="117"/>
        <v/>
      </c>
      <c r="C388" s="55" cm="1">
        <f t="array" aca="1" ref="C388" ca="1">SUM(IF(ISNUMBER(M388:U388),M388:U388,""))</f>
        <v>0</v>
      </c>
      <c r="D388" s="25" t="str">
        <f t="shared" si="118"/>
        <v/>
      </c>
      <c r="E388" s="25" t="e">
        <f t="shared" si="119"/>
        <v>#VALUE!</v>
      </c>
      <c r="F388" s="25" t="str">
        <f t="shared" si="120"/>
        <v/>
      </c>
      <c r="G388" s="25" t="str">
        <f t="shared" si="121"/>
        <v>.xlsx</v>
      </c>
      <c r="H388" s="29" t="e" cm="1">
        <f t="array" aca="1" ref="H388" ca="1">IF(AND(VALUE(E388)=INDIRECT("'["&amp;G388&amp;"]"&amp;E388&amp;"'!"&amp;$X$2),G388=INDIRECT("'["&amp;G388&amp;"]"&amp;E388&amp;"'!"&amp;$X$3)),INDIRECT("'["&amp;G388&amp;"]"&amp;E388&amp;"'!"&amp;$X$1),0)</f>
        <v>#VALUE!</v>
      </c>
      <c r="I388" s="25" t="str">
        <f t="shared" si="122"/>
        <v/>
      </c>
      <c r="J388" s="32" t="str">
        <f t="shared" si="123"/>
        <v/>
      </c>
      <c r="K388" s="25" t="str">
        <f t="shared" si="124"/>
        <v/>
      </c>
      <c r="L388" s="25" t="str">
        <f t="shared" si="125"/>
        <v/>
      </c>
      <c r="M388" s="33" t="e" cm="1">
        <f t="array" aca="1" ref="M388" ca="1">IF(AND(J388=INDIRECT("'["&amp;G388&amp;"]"&amp;E388&amp;"'!"&amp;$Y$2),G388=INDIRECT("'["&amp;G388&amp;"]"&amp;E388&amp;"'!"&amp;$AH$2)),INDIRECT("'["&amp;G388&amp;"]"&amp;E388&amp;"'!"&amp;$Y$3),0)</f>
        <v>#VALUE!</v>
      </c>
      <c r="N388" s="34" t="e" cm="1">
        <f t="array" aca="1" ref="N388" ca="1">IF(AND(G388=INDIRECT("'["&amp;G388&amp;"]"&amp;E388&amp;"'!"&amp;$AH$2),OR(K388=INDIRECT("'["&amp;G388&amp;"]"&amp;E388&amp;"'!"&amp;$Z$2))),INDIRECT("'["&amp;G388&amp;"]"&amp;E388&amp;"'!"&amp;$Z$3),0)</f>
        <v>#VALUE!</v>
      </c>
      <c r="O388" s="34" t="e" cm="1">
        <f t="array" aca="1" ref="O388" ca="1">IF(AND(G388=INDIRECT("'["&amp;G388&amp;"]"&amp;E388&amp;"'!"&amp;$AH$2),OR(L388=INDIRECT("'["&amp;G388&amp;"]"&amp;E388&amp;"'!"&amp;$AA$2))),INDIRECT("'["&amp;G388&amp;"]"&amp;E388&amp;"'!"&amp;$AA$3),0)</f>
        <v>#VALUE!</v>
      </c>
      <c r="P388" s="34" t="e" cm="1">
        <f t="array" aca="1" ref="P388" ca="1">IF(AND(G388=INDIRECT("'["&amp;G388&amp;"]"&amp;E388&amp;"'!"&amp;$AH$2),OR(VALUE(I388)=INDIRECT("'["&amp;G388&amp;"]"&amp;E388&amp;"'!"&amp;$AB$2))),INDIRECT("'["&amp;G388&amp;"]"&amp;E388&amp;"'!"&amp;$AB$3),0)</f>
        <v>#VALUE!</v>
      </c>
      <c r="Q388" s="34" t="e" cm="1">
        <f t="array" aca="1" ref="Q388" ca="1">IF(AND(G388=INDIRECT("'["&amp;G388&amp;"]"&amp;E388&amp;"'!"&amp;$AH$2),OR(VALUE(I388)=INDIRECT("'["&amp;G388&amp;"]"&amp;E388&amp;"'!"&amp;$AC$2))),INDIRECT("'["&amp;G388&amp;"]"&amp;E388&amp;"'!"&amp;$AC$3),0)</f>
        <v>#VALUE!</v>
      </c>
      <c r="R388" s="34" t="e" cm="1">
        <f t="array" aca="1" ref="R388" ca="1">IF(AND(G388=INDIRECT("'["&amp;G388&amp;"]"&amp;E388&amp;"'!"&amp;$AH$2),OR(I388=INDIRECT("'["&amp;G388&amp;"]"&amp;E388&amp;"'!"&amp;$AD$2))),INDIRECT("'["&amp;G388&amp;"]"&amp;E388&amp;"'!"&amp;$AD$3),0)</f>
        <v>#VALUE!</v>
      </c>
      <c r="S388" s="34" t="e" cm="1">
        <f t="array" aca="1" ref="S388" ca="1">IF(AND(G388=INDIRECT("'["&amp;G388&amp;"]"&amp;E388&amp;"'!"&amp;$AH$2),OR(I388=INDIRECT("'["&amp;G388&amp;"]"&amp;E388&amp;"'!"&amp;$AE$2))),INDIRECT("'["&amp;G388&amp;"]"&amp;E388&amp;"'!"&amp;$AE$3),0)</f>
        <v>#VALUE!</v>
      </c>
      <c r="T388" s="35" t="e" cm="1">
        <f t="array" aca="1" ref="T388" ca="1">IF(AND(G388=INDIRECT("'["&amp;G388&amp;"]"&amp;E388&amp;"'!"&amp;$AH$2),OR(I388=INDIRECT("'["&amp;G388&amp;"]"&amp;E388&amp;"'!"&amp;$AF$2))),INDIRECT("'["&amp;G388&amp;"]"&amp;E388&amp;"'!"&amp;$AF$3),0)</f>
        <v>#VALUE!</v>
      </c>
      <c r="U388" s="34" t="e" cm="1">
        <f t="array" aca="1" ref="U388" ca="1">IF(AND(G388=INDIRECT("'["&amp;G388&amp;"]"&amp;E388&amp;"'!"&amp;$AH$2),OR(I388=INDIRECT("'["&amp;G388&amp;"]"&amp;E388&amp;"'!"&amp;$AG$2))),INDIRECT("'["&amp;G388&amp;"]"&amp;E388&amp;"'!"&amp;$AG$3),0)</f>
        <v>#VALUE!</v>
      </c>
      <c r="V388" s="25" t="str">
        <f t="shared" si="126"/>
        <v/>
      </c>
      <c r="W388" s="36" t="e" cm="1">
        <f t="array" aca="1" ref="W388" ca="1">IF(AND(G388=INDIRECT("'["&amp;G388&amp;"]"&amp;E388&amp;"'!"&amp;$AH$2),OR(V388=INDIRECT("'["&amp;G388&amp;"]"&amp;E388&amp;"'!"&amp;$AI$2))),INDIRECT("'["&amp;G388&amp;"]"&amp;E388&amp;"'!"&amp;$AI$3),0)</f>
        <v>#VALUE!</v>
      </c>
      <c r="AJ388" s="25">
        <v>1</v>
      </c>
      <c r="AK388" s="38">
        <f t="shared" ca="1" si="111"/>
        <v>0</v>
      </c>
      <c r="AL388" s="38">
        <f t="shared" ca="1" si="112"/>
        <v>0</v>
      </c>
      <c r="AM388" s="54" t="str">
        <f t="shared" ca="1" si="113"/>
        <v/>
      </c>
      <c r="AN388" s="25" t="e">
        <f t="shared" ca="1" si="114"/>
        <v>#VALUE!</v>
      </c>
      <c r="AO388" s="25" t="e">
        <f t="shared" ca="1" si="115"/>
        <v>#VALUE!</v>
      </c>
      <c r="AP388" s="39" t="str">
        <f t="shared" ca="1" si="116"/>
        <v/>
      </c>
      <c r="AQ388" s="46" t="str">
        <f ca="1">IF(AND(C388&lt;&gt;0, C389=0), SUM($C$2:C388)-SUM($AQ$1:AQ387), "")</f>
        <v/>
      </c>
      <c r="AR388" s="46" t="str">
        <f ca="1">IF(AND(AK388&lt;&gt;0, AK389=0), SUM($AK$2:AK388)-SUM($AR$1:AR387), "")</f>
        <v/>
      </c>
    </row>
    <row r="389" spans="1:44" ht="13.15" customHeight="1">
      <c r="A389" s="62"/>
      <c r="B389" s="68" t="str">
        <f t="shared" si="117"/>
        <v/>
      </c>
      <c r="C389" s="55" cm="1">
        <f t="array" aca="1" ref="C389" ca="1">SUM(IF(ISNUMBER(M389:U389),M389:U389,""))</f>
        <v>0</v>
      </c>
      <c r="D389" s="25" t="str">
        <f t="shared" si="118"/>
        <v/>
      </c>
      <c r="E389" s="25" t="e">
        <f t="shared" si="119"/>
        <v>#VALUE!</v>
      </c>
      <c r="F389" s="25" t="str">
        <f t="shared" si="120"/>
        <v/>
      </c>
      <c r="G389" s="25" t="str">
        <f t="shared" si="121"/>
        <v>.xlsx</v>
      </c>
      <c r="H389" s="29" t="e" cm="1">
        <f t="array" aca="1" ref="H389" ca="1">IF(AND(VALUE(E389)=INDIRECT("'["&amp;G389&amp;"]"&amp;E389&amp;"'!"&amp;$X$2),G389=INDIRECT("'["&amp;G389&amp;"]"&amp;E389&amp;"'!"&amp;$X$3)),INDIRECT("'["&amp;G389&amp;"]"&amp;E389&amp;"'!"&amp;$X$1),0)</f>
        <v>#VALUE!</v>
      </c>
      <c r="I389" s="25" t="str">
        <f t="shared" si="122"/>
        <v/>
      </c>
      <c r="J389" s="32" t="str">
        <f t="shared" si="123"/>
        <v/>
      </c>
      <c r="K389" s="25" t="str">
        <f t="shared" si="124"/>
        <v/>
      </c>
      <c r="L389" s="25" t="str">
        <f t="shared" si="125"/>
        <v/>
      </c>
      <c r="M389" s="33" t="e" cm="1">
        <f t="array" aca="1" ref="M389" ca="1">IF(AND(J389=INDIRECT("'["&amp;G389&amp;"]"&amp;E389&amp;"'!"&amp;$Y$2),G389=INDIRECT("'["&amp;G389&amp;"]"&amp;E389&amp;"'!"&amp;$AH$2)),INDIRECT("'["&amp;G389&amp;"]"&amp;E389&amp;"'!"&amp;$Y$3),0)</f>
        <v>#VALUE!</v>
      </c>
      <c r="N389" s="34" t="e" cm="1">
        <f t="array" aca="1" ref="N389" ca="1">IF(AND(G389=INDIRECT("'["&amp;G389&amp;"]"&amp;E389&amp;"'!"&amp;$AH$2),OR(K389=INDIRECT("'["&amp;G389&amp;"]"&amp;E389&amp;"'!"&amp;$Z$2))),INDIRECT("'["&amp;G389&amp;"]"&amp;E389&amp;"'!"&amp;$Z$3),0)</f>
        <v>#VALUE!</v>
      </c>
      <c r="O389" s="34" t="e" cm="1">
        <f t="array" aca="1" ref="O389" ca="1">IF(AND(G389=INDIRECT("'["&amp;G389&amp;"]"&amp;E389&amp;"'!"&amp;$AH$2),OR(L389=INDIRECT("'["&amp;G389&amp;"]"&amp;E389&amp;"'!"&amp;$AA$2))),INDIRECT("'["&amp;G389&amp;"]"&amp;E389&amp;"'!"&amp;$AA$3),0)</f>
        <v>#VALUE!</v>
      </c>
      <c r="P389" s="34" t="e" cm="1">
        <f t="array" aca="1" ref="P389" ca="1">IF(AND(G389=INDIRECT("'["&amp;G389&amp;"]"&amp;E389&amp;"'!"&amp;$AH$2),OR(VALUE(I389)=INDIRECT("'["&amp;G389&amp;"]"&amp;E389&amp;"'!"&amp;$AB$2))),INDIRECT("'["&amp;G389&amp;"]"&amp;E389&amp;"'!"&amp;$AB$3),0)</f>
        <v>#VALUE!</v>
      </c>
      <c r="Q389" s="34" t="e" cm="1">
        <f t="array" aca="1" ref="Q389" ca="1">IF(AND(G389=INDIRECT("'["&amp;G389&amp;"]"&amp;E389&amp;"'!"&amp;$AH$2),OR(VALUE(I389)=INDIRECT("'["&amp;G389&amp;"]"&amp;E389&amp;"'!"&amp;$AC$2))),INDIRECT("'["&amp;G389&amp;"]"&amp;E389&amp;"'!"&amp;$AC$3),0)</f>
        <v>#VALUE!</v>
      </c>
      <c r="R389" s="34" t="e" cm="1">
        <f t="array" aca="1" ref="R389" ca="1">IF(AND(G389=INDIRECT("'["&amp;G389&amp;"]"&amp;E389&amp;"'!"&amp;$AH$2),OR(I389=INDIRECT("'["&amp;G389&amp;"]"&amp;E389&amp;"'!"&amp;$AD$2))),INDIRECT("'["&amp;G389&amp;"]"&amp;E389&amp;"'!"&amp;$AD$3),0)</f>
        <v>#VALUE!</v>
      </c>
      <c r="S389" s="34" t="e" cm="1">
        <f t="array" aca="1" ref="S389" ca="1">IF(AND(G389=INDIRECT("'["&amp;G389&amp;"]"&amp;E389&amp;"'!"&amp;$AH$2),OR(I389=INDIRECT("'["&amp;G389&amp;"]"&amp;E389&amp;"'!"&amp;$AE$2))),INDIRECT("'["&amp;G389&amp;"]"&amp;E389&amp;"'!"&amp;$AE$3),0)</f>
        <v>#VALUE!</v>
      </c>
      <c r="T389" s="35" t="e" cm="1">
        <f t="array" aca="1" ref="T389" ca="1">IF(AND(G389=INDIRECT("'["&amp;G389&amp;"]"&amp;E389&amp;"'!"&amp;$AH$2),OR(I389=INDIRECT("'["&amp;G389&amp;"]"&amp;E389&amp;"'!"&amp;$AF$2))),INDIRECT("'["&amp;G389&amp;"]"&amp;E389&amp;"'!"&amp;$AF$3),0)</f>
        <v>#VALUE!</v>
      </c>
      <c r="U389" s="34" t="e" cm="1">
        <f t="array" aca="1" ref="U389" ca="1">IF(AND(G389=INDIRECT("'["&amp;G389&amp;"]"&amp;E389&amp;"'!"&amp;$AH$2),OR(I389=INDIRECT("'["&amp;G389&amp;"]"&amp;E389&amp;"'!"&amp;$AG$2))),INDIRECT("'["&amp;G389&amp;"]"&amp;E389&amp;"'!"&amp;$AG$3),0)</f>
        <v>#VALUE!</v>
      </c>
      <c r="V389" s="25" t="str">
        <f t="shared" si="126"/>
        <v/>
      </c>
      <c r="W389" s="36" t="e" cm="1">
        <f t="array" aca="1" ref="W389" ca="1">IF(AND(G389=INDIRECT("'["&amp;G389&amp;"]"&amp;E389&amp;"'!"&amp;$AH$2),OR(V389=INDIRECT("'["&amp;G389&amp;"]"&amp;E389&amp;"'!"&amp;$AI$2))),INDIRECT("'["&amp;G389&amp;"]"&amp;E389&amp;"'!"&amp;$AI$3),0)</f>
        <v>#VALUE!</v>
      </c>
      <c r="AJ389" s="25">
        <v>1</v>
      </c>
      <c r="AK389" s="38">
        <f t="shared" ca="1" si="111"/>
        <v>0</v>
      </c>
      <c r="AL389" s="38">
        <f t="shared" ca="1" si="112"/>
        <v>0</v>
      </c>
      <c r="AM389" s="54" t="str">
        <f t="shared" ca="1" si="113"/>
        <v/>
      </c>
      <c r="AN389" s="25" t="e">
        <f t="shared" ca="1" si="114"/>
        <v>#VALUE!</v>
      </c>
      <c r="AO389" s="25" t="e">
        <f t="shared" ca="1" si="115"/>
        <v>#VALUE!</v>
      </c>
      <c r="AP389" s="39" t="str">
        <f t="shared" ca="1" si="116"/>
        <v/>
      </c>
      <c r="AQ389" s="46" t="str">
        <f ca="1">IF(AND(C389&lt;&gt;0, C390=0), SUM($C$2:C389)-SUM($AQ$1:AQ388), "")</f>
        <v/>
      </c>
      <c r="AR389" s="46" t="str">
        <f ca="1">IF(AND(AK389&lt;&gt;0, AK390=0), SUM($AK$2:AK389)-SUM($AR$1:AR388), "")</f>
        <v/>
      </c>
    </row>
    <row r="390" spans="1:44" ht="13.15" customHeight="1">
      <c r="A390" s="62"/>
      <c r="B390" s="68" t="str">
        <f t="shared" si="117"/>
        <v/>
      </c>
      <c r="C390" s="55" cm="1">
        <f t="array" aca="1" ref="C390" ca="1">SUM(IF(ISNUMBER(M390:U390),M390:U390,""))</f>
        <v>0</v>
      </c>
      <c r="D390" s="25" t="str">
        <f t="shared" si="118"/>
        <v/>
      </c>
      <c r="E390" s="25" t="e">
        <f t="shared" si="119"/>
        <v>#VALUE!</v>
      </c>
      <c r="F390" s="25" t="str">
        <f t="shared" si="120"/>
        <v/>
      </c>
      <c r="G390" s="25" t="str">
        <f t="shared" si="121"/>
        <v>.xlsx</v>
      </c>
      <c r="H390" s="29" t="e" cm="1">
        <f t="array" aca="1" ref="H390" ca="1">IF(AND(VALUE(E390)=INDIRECT("'["&amp;G390&amp;"]"&amp;E390&amp;"'!"&amp;$X$2),G390=INDIRECT("'["&amp;G390&amp;"]"&amp;E390&amp;"'!"&amp;$X$3)),INDIRECT("'["&amp;G390&amp;"]"&amp;E390&amp;"'!"&amp;$X$1),0)</f>
        <v>#VALUE!</v>
      </c>
      <c r="I390" s="25" t="str">
        <f t="shared" si="122"/>
        <v/>
      </c>
      <c r="J390" s="32" t="str">
        <f t="shared" si="123"/>
        <v/>
      </c>
      <c r="K390" s="25" t="str">
        <f t="shared" si="124"/>
        <v/>
      </c>
      <c r="L390" s="25" t="str">
        <f t="shared" si="125"/>
        <v/>
      </c>
      <c r="M390" s="33" t="e" cm="1">
        <f t="array" aca="1" ref="M390" ca="1">IF(AND(J390=INDIRECT("'["&amp;G390&amp;"]"&amp;E390&amp;"'!"&amp;$Y$2),G390=INDIRECT("'["&amp;G390&amp;"]"&amp;E390&amp;"'!"&amp;$AH$2)),INDIRECT("'["&amp;G390&amp;"]"&amp;E390&amp;"'!"&amp;$Y$3),0)</f>
        <v>#VALUE!</v>
      </c>
      <c r="N390" s="34" t="e" cm="1">
        <f t="array" aca="1" ref="N390" ca="1">IF(AND(G390=INDIRECT("'["&amp;G390&amp;"]"&amp;E390&amp;"'!"&amp;$AH$2),OR(K390=INDIRECT("'["&amp;G390&amp;"]"&amp;E390&amp;"'!"&amp;$Z$2))),INDIRECT("'["&amp;G390&amp;"]"&amp;E390&amp;"'!"&amp;$Z$3),0)</f>
        <v>#VALUE!</v>
      </c>
      <c r="O390" s="34" t="e" cm="1">
        <f t="array" aca="1" ref="O390" ca="1">IF(AND(G390=INDIRECT("'["&amp;G390&amp;"]"&amp;E390&amp;"'!"&amp;$AH$2),OR(L390=INDIRECT("'["&amp;G390&amp;"]"&amp;E390&amp;"'!"&amp;$AA$2))),INDIRECT("'["&amp;G390&amp;"]"&amp;E390&amp;"'!"&amp;$AA$3),0)</f>
        <v>#VALUE!</v>
      </c>
      <c r="P390" s="34" t="e" cm="1">
        <f t="array" aca="1" ref="P390" ca="1">IF(AND(G390=INDIRECT("'["&amp;G390&amp;"]"&amp;E390&amp;"'!"&amp;$AH$2),OR(VALUE(I390)=INDIRECT("'["&amp;G390&amp;"]"&amp;E390&amp;"'!"&amp;$AB$2))),INDIRECT("'["&amp;G390&amp;"]"&amp;E390&amp;"'!"&amp;$AB$3),0)</f>
        <v>#VALUE!</v>
      </c>
      <c r="Q390" s="34" t="e" cm="1">
        <f t="array" aca="1" ref="Q390" ca="1">IF(AND(G390=INDIRECT("'["&amp;G390&amp;"]"&amp;E390&amp;"'!"&amp;$AH$2),OR(VALUE(I390)=INDIRECT("'["&amp;G390&amp;"]"&amp;E390&amp;"'!"&amp;$AC$2))),INDIRECT("'["&amp;G390&amp;"]"&amp;E390&amp;"'!"&amp;$AC$3),0)</f>
        <v>#VALUE!</v>
      </c>
      <c r="R390" s="34" t="e" cm="1">
        <f t="array" aca="1" ref="R390" ca="1">IF(AND(G390=INDIRECT("'["&amp;G390&amp;"]"&amp;E390&amp;"'!"&amp;$AH$2),OR(I390=INDIRECT("'["&amp;G390&amp;"]"&amp;E390&amp;"'!"&amp;$AD$2))),INDIRECT("'["&amp;G390&amp;"]"&amp;E390&amp;"'!"&amp;$AD$3),0)</f>
        <v>#VALUE!</v>
      </c>
      <c r="S390" s="34" t="e" cm="1">
        <f t="array" aca="1" ref="S390" ca="1">IF(AND(G390=INDIRECT("'["&amp;G390&amp;"]"&amp;E390&amp;"'!"&amp;$AH$2),OR(I390=INDIRECT("'["&amp;G390&amp;"]"&amp;E390&amp;"'!"&amp;$AE$2))),INDIRECT("'["&amp;G390&amp;"]"&amp;E390&amp;"'!"&amp;$AE$3),0)</f>
        <v>#VALUE!</v>
      </c>
      <c r="T390" s="35" t="e" cm="1">
        <f t="array" aca="1" ref="T390" ca="1">IF(AND(G390=INDIRECT("'["&amp;G390&amp;"]"&amp;E390&amp;"'!"&amp;$AH$2),OR(I390=INDIRECT("'["&amp;G390&amp;"]"&amp;E390&amp;"'!"&amp;$AF$2))),INDIRECT("'["&amp;G390&amp;"]"&amp;E390&amp;"'!"&amp;$AF$3),0)</f>
        <v>#VALUE!</v>
      </c>
      <c r="U390" s="34" t="e" cm="1">
        <f t="array" aca="1" ref="U390" ca="1">IF(AND(G390=INDIRECT("'["&amp;G390&amp;"]"&amp;E390&amp;"'!"&amp;$AH$2),OR(I390=INDIRECT("'["&amp;G390&amp;"]"&amp;E390&amp;"'!"&amp;$AG$2))),INDIRECT("'["&amp;G390&amp;"]"&amp;E390&amp;"'!"&amp;$AG$3),0)</f>
        <v>#VALUE!</v>
      </c>
      <c r="V390" s="25" t="str">
        <f t="shared" si="126"/>
        <v/>
      </c>
      <c r="W390" s="36" t="e" cm="1">
        <f t="array" aca="1" ref="W390" ca="1">IF(AND(G390=INDIRECT("'["&amp;G390&amp;"]"&amp;E390&amp;"'!"&amp;$AH$2),OR(V390=INDIRECT("'["&amp;G390&amp;"]"&amp;E390&amp;"'!"&amp;$AI$2))),INDIRECT("'["&amp;G390&amp;"]"&amp;E390&amp;"'!"&amp;$AI$3),0)</f>
        <v>#VALUE!</v>
      </c>
      <c r="AJ390" s="25">
        <v>1</v>
      </c>
      <c r="AK390" s="38">
        <f t="shared" ca="1" si="111"/>
        <v>0</v>
      </c>
      <c r="AL390" s="38">
        <f t="shared" ca="1" si="112"/>
        <v>0</v>
      </c>
      <c r="AM390" s="54" t="str">
        <f t="shared" ca="1" si="113"/>
        <v/>
      </c>
      <c r="AN390" s="25" t="e">
        <f t="shared" ca="1" si="114"/>
        <v>#VALUE!</v>
      </c>
      <c r="AO390" s="25" t="e">
        <f t="shared" ca="1" si="115"/>
        <v>#VALUE!</v>
      </c>
      <c r="AP390" s="39" t="str">
        <f t="shared" ca="1" si="116"/>
        <v/>
      </c>
      <c r="AQ390" s="46" t="str">
        <f ca="1">IF(AND(C390&lt;&gt;0, C391=0), SUM($C$2:C390)-SUM($AQ$1:AQ389), "")</f>
        <v/>
      </c>
      <c r="AR390" s="46" t="str">
        <f ca="1">IF(AND(AK390&lt;&gt;0, AK391=0), SUM($AK$2:AK390)-SUM($AR$1:AR389), "")</f>
        <v/>
      </c>
    </row>
    <row r="391" spans="1:44" ht="13.15" customHeight="1">
      <c r="A391" s="62"/>
      <c r="B391" s="68" t="str">
        <f t="shared" si="117"/>
        <v/>
      </c>
      <c r="C391" s="55" cm="1">
        <f t="array" aca="1" ref="C391" ca="1">SUM(IF(ISNUMBER(M391:U391),M391:U391,""))</f>
        <v>0</v>
      </c>
      <c r="D391" s="25" t="str">
        <f t="shared" si="118"/>
        <v/>
      </c>
      <c r="E391" s="25" t="e">
        <f t="shared" si="119"/>
        <v>#VALUE!</v>
      </c>
      <c r="F391" s="25" t="str">
        <f t="shared" si="120"/>
        <v/>
      </c>
      <c r="G391" s="25" t="str">
        <f t="shared" si="121"/>
        <v>.xlsx</v>
      </c>
      <c r="H391" s="29" t="e" cm="1">
        <f t="array" aca="1" ref="H391" ca="1">IF(AND(VALUE(E391)=INDIRECT("'["&amp;G391&amp;"]"&amp;E391&amp;"'!"&amp;$X$2),G391=INDIRECT("'["&amp;G391&amp;"]"&amp;E391&amp;"'!"&amp;$X$3)),INDIRECT("'["&amp;G391&amp;"]"&amp;E391&amp;"'!"&amp;$X$1),0)</f>
        <v>#VALUE!</v>
      </c>
      <c r="I391" s="25" t="str">
        <f t="shared" si="122"/>
        <v/>
      </c>
      <c r="J391" s="32" t="str">
        <f t="shared" si="123"/>
        <v/>
      </c>
      <c r="K391" s="25" t="str">
        <f t="shared" si="124"/>
        <v/>
      </c>
      <c r="L391" s="25" t="str">
        <f t="shared" si="125"/>
        <v/>
      </c>
      <c r="M391" s="33" t="e" cm="1">
        <f t="array" aca="1" ref="M391" ca="1">IF(AND(J391=INDIRECT("'["&amp;G391&amp;"]"&amp;E391&amp;"'!"&amp;$Y$2),G391=INDIRECT("'["&amp;G391&amp;"]"&amp;E391&amp;"'!"&amp;$AH$2)),INDIRECT("'["&amp;G391&amp;"]"&amp;E391&amp;"'!"&amp;$Y$3),0)</f>
        <v>#VALUE!</v>
      </c>
      <c r="N391" s="34" t="e" cm="1">
        <f t="array" aca="1" ref="N391" ca="1">IF(AND(G391=INDIRECT("'["&amp;G391&amp;"]"&amp;E391&amp;"'!"&amp;$AH$2),OR(K391=INDIRECT("'["&amp;G391&amp;"]"&amp;E391&amp;"'!"&amp;$Z$2))),INDIRECT("'["&amp;G391&amp;"]"&amp;E391&amp;"'!"&amp;$Z$3),0)</f>
        <v>#VALUE!</v>
      </c>
      <c r="O391" s="34" t="e" cm="1">
        <f t="array" aca="1" ref="O391" ca="1">IF(AND(G391=INDIRECT("'["&amp;G391&amp;"]"&amp;E391&amp;"'!"&amp;$AH$2),OR(L391=INDIRECT("'["&amp;G391&amp;"]"&amp;E391&amp;"'!"&amp;$AA$2))),INDIRECT("'["&amp;G391&amp;"]"&amp;E391&amp;"'!"&amp;$AA$3),0)</f>
        <v>#VALUE!</v>
      </c>
      <c r="P391" s="34" t="e" cm="1">
        <f t="array" aca="1" ref="P391" ca="1">IF(AND(G391=INDIRECT("'["&amp;G391&amp;"]"&amp;E391&amp;"'!"&amp;$AH$2),OR(VALUE(I391)=INDIRECT("'["&amp;G391&amp;"]"&amp;E391&amp;"'!"&amp;$AB$2))),INDIRECT("'["&amp;G391&amp;"]"&amp;E391&amp;"'!"&amp;$AB$3),0)</f>
        <v>#VALUE!</v>
      </c>
      <c r="Q391" s="34" t="e" cm="1">
        <f t="array" aca="1" ref="Q391" ca="1">IF(AND(G391=INDIRECT("'["&amp;G391&amp;"]"&amp;E391&amp;"'!"&amp;$AH$2),OR(VALUE(I391)=INDIRECT("'["&amp;G391&amp;"]"&amp;E391&amp;"'!"&amp;$AC$2))),INDIRECT("'["&amp;G391&amp;"]"&amp;E391&amp;"'!"&amp;$AC$3),0)</f>
        <v>#VALUE!</v>
      </c>
      <c r="R391" s="34" t="e" cm="1">
        <f t="array" aca="1" ref="R391" ca="1">IF(AND(G391=INDIRECT("'["&amp;G391&amp;"]"&amp;E391&amp;"'!"&amp;$AH$2),OR(I391=INDIRECT("'["&amp;G391&amp;"]"&amp;E391&amp;"'!"&amp;$AD$2))),INDIRECT("'["&amp;G391&amp;"]"&amp;E391&amp;"'!"&amp;$AD$3),0)</f>
        <v>#VALUE!</v>
      </c>
      <c r="S391" s="34" t="e" cm="1">
        <f t="array" aca="1" ref="S391" ca="1">IF(AND(G391=INDIRECT("'["&amp;G391&amp;"]"&amp;E391&amp;"'!"&amp;$AH$2),OR(I391=INDIRECT("'["&amp;G391&amp;"]"&amp;E391&amp;"'!"&amp;$AE$2))),INDIRECT("'["&amp;G391&amp;"]"&amp;E391&amp;"'!"&amp;$AE$3),0)</f>
        <v>#VALUE!</v>
      </c>
      <c r="T391" s="35" t="e" cm="1">
        <f t="array" aca="1" ref="T391" ca="1">IF(AND(G391=INDIRECT("'["&amp;G391&amp;"]"&amp;E391&amp;"'!"&amp;$AH$2),OR(I391=INDIRECT("'["&amp;G391&amp;"]"&amp;E391&amp;"'!"&amp;$AF$2))),INDIRECT("'["&amp;G391&amp;"]"&amp;E391&amp;"'!"&amp;$AF$3),0)</f>
        <v>#VALUE!</v>
      </c>
      <c r="U391" s="34" t="e" cm="1">
        <f t="array" aca="1" ref="U391" ca="1">IF(AND(G391=INDIRECT("'["&amp;G391&amp;"]"&amp;E391&amp;"'!"&amp;$AH$2),OR(I391=INDIRECT("'["&amp;G391&amp;"]"&amp;E391&amp;"'!"&amp;$AG$2))),INDIRECT("'["&amp;G391&amp;"]"&amp;E391&amp;"'!"&amp;$AG$3),0)</f>
        <v>#VALUE!</v>
      </c>
      <c r="V391" s="25" t="str">
        <f t="shared" si="126"/>
        <v/>
      </c>
      <c r="W391" s="36" t="e" cm="1">
        <f t="array" aca="1" ref="W391" ca="1">IF(AND(G391=INDIRECT("'["&amp;G391&amp;"]"&amp;E391&amp;"'!"&amp;$AH$2),OR(V391=INDIRECT("'["&amp;G391&amp;"]"&amp;E391&amp;"'!"&amp;$AI$2))),INDIRECT("'["&amp;G391&amp;"]"&amp;E391&amp;"'!"&amp;$AI$3),0)</f>
        <v>#VALUE!</v>
      </c>
      <c r="AJ391" s="25">
        <v>1</v>
      </c>
      <c r="AK391" s="38">
        <f t="shared" ca="1" si="111"/>
        <v>0</v>
      </c>
      <c r="AL391" s="38">
        <f t="shared" ca="1" si="112"/>
        <v>0</v>
      </c>
      <c r="AM391" s="54" t="str">
        <f t="shared" ca="1" si="113"/>
        <v/>
      </c>
      <c r="AN391" s="25" t="e">
        <f t="shared" ca="1" si="114"/>
        <v>#VALUE!</v>
      </c>
      <c r="AO391" s="25" t="e">
        <f t="shared" ca="1" si="115"/>
        <v>#VALUE!</v>
      </c>
      <c r="AP391" s="39" t="str">
        <f t="shared" ca="1" si="116"/>
        <v/>
      </c>
      <c r="AQ391" s="46" t="str">
        <f ca="1">IF(AND(C391&lt;&gt;0, C392=0), SUM($C$2:C391)-SUM($AQ$1:AQ390), "")</f>
        <v/>
      </c>
      <c r="AR391" s="46" t="str">
        <f ca="1">IF(AND(AK391&lt;&gt;0, AK392=0), SUM($AK$2:AK391)-SUM($AR$1:AR390), "")</f>
        <v/>
      </c>
    </row>
    <row r="392" spans="1:44" ht="13.15" customHeight="1">
      <c r="A392" s="62"/>
      <c r="B392" s="68" t="str">
        <f t="shared" si="117"/>
        <v/>
      </c>
      <c r="C392" s="55" cm="1">
        <f t="array" aca="1" ref="C392" ca="1">SUM(IF(ISNUMBER(M392:U392),M392:U392,""))</f>
        <v>0</v>
      </c>
      <c r="D392" s="25" t="str">
        <f t="shared" si="118"/>
        <v/>
      </c>
      <c r="E392" s="25" t="e">
        <f t="shared" si="119"/>
        <v>#VALUE!</v>
      </c>
      <c r="F392" s="25" t="str">
        <f t="shared" si="120"/>
        <v/>
      </c>
      <c r="G392" s="25" t="str">
        <f t="shared" si="121"/>
        <v>.xlsx</v>
      </c>
      <c r="H392" s="29" t="e" cm="1">
        <f t="array" aca="1" ref="H392" ca="1">IF(AND(VALUE(E392)=INDIRECT("'["&amp;G392&amp;"]"&amp;E392&amp;"'!"&amp;$X$2),G392=INDIRECT("'["&amp;G392&amp;"]"&amp;E392&amp;"'!"&amp;$X$3)),INDIRECT("'["&amp;G392&amp;"]"&amp;E392&amp;"'!"&amp;$X$1),0)</f>
        <v>#VALUE!</v>
      </c>
      <c r="I392" s="25" t="str">
        <f t="shared" si="122"/>
        <v/>
      </c>
      <c r="J392" s="32" t="str">
        <f t="shared" si="123"/>
        <v/>
      </c>
      <c r="K392" s="25" t="str">
        <f t="shared" si="124"/>
        <v/>
      </c>
      <c r="L392" s="25" t="str">
        <f t="shared" si="125"/>
        <v/>
      </c>
      <c r="M392" s="33" t="e" cm="1">
        <f t="array" aca="1" ref="M392" ca="1">IF(AND(J392=INDIRECT("'["&amp;G392&amp;"]"&amp;E392&amp;"'!"&amp;$Y$2),G392=INDIRECT("'["&amp;G392&amp;"]"&amp;E392&amp;"'!"&amp;$AH$2)),INDIRECT("'["&amp;G392&amp;"]"&amp;E392&amp;"'!"&amp;$Y$3),0)</f>
        <v>#VALUE!</v>
      </c>
      <c r="N392" s="34" t="e" cm="1">
        <f t="array" aca="1" ref="N392" ca="1">IF(AND(G392=INDIRECT("'["&amp;G392&amp;"]"&amp;E392&amp;"'!"&amp;$AH$2),OR(K392=INDIRECT("'["&amp;G392&amp;"]"&amp;E392&amp;"'!"&amp;$Z$2))),INDIRECT("'["&amp;G392&amp;"]"&amp;E392&amp;"'!"&amp;$Z$3),0)</f>
        <v>#VALUE!</v>
      </c>
      <c r="O392" s="34" t="e" cm="1">
        <f t="array" aca="1" ref="O392" ca="1">IF(AND(G392=INDIRECT("'["&amp;G392&amp;"]"&amp;E392&amp;"'!"&amp;$AH$2),OR(L392=INDIRECT("'["&amp;G392&amp;"]"&amp;E392&amp;"'!"&amp;$AA$2))),INDIRECT("'["&amp;G392&amp;"]"&amp;E392&amp;"'!"&amp;$AA$3),0)</f>
        <v>#VALUE!</v>
      </c>
      <c r="P392" s="34" t="e" cm="1">
        <f t="array" aca="1" ref="P392" ca="1">IF(AND(G392=INDIRECT("'["&amp;G392&amp;"]"&amp;E392&amp;"'!"&amp;$AH$2),OR(VALUE(I392)=INDIRECT("'["&amp;G392&amp;"]"&amp;E392&amp;"'!"&amp;$AB$2))),INDIRECT("'["&amp;G392&amp;"]"&amp;E392&amp;"'!"&amp;$AB$3),0)</f>
        <v>#VALUE!</v>
      </c>
      <c r="Q392" s="34" t="e" cm="1">
        <f t="array" aca="1" ref="Q392" ca="1">IF(AND(G392=INDIRECT("'["&amp;G392&amp;"]"&amp;E392&amp;"'!"&amp;$AH$2),OR(VALUE(I392)=INDIRECT("'["&amp;G392&amp;"]"&amp;E392&amp;"'!"&amp;$AC$2))),INDIRECT("'["&amp;G392&amp;"]"&amp;E392&amp;"'!"&amp;$AC$3),0)</f>
        <v>#VALUE!</v>
      </c>
      <c r="R392" s="34" t="e" cm="1">
        <f t="array" aca="1" ref="R392" ca="1">IF(AND(G392=INDIRECT("'["&amp;G392&amp;"]"&amp;E392&amp;"'!"&amp;$AH$2),OR(I392=INDIRECT("'["&amp;G392&amp;"]"&amp;E392&amp;"'!"&amp;$AD$2))),INDIRECT("'["&amp;G392&amp;"]"&amp;E392&amp;"'!"&amp;$AD$3),0)</f>
        <v>#VALUE!</v>
      </c>
      <c r="S392" s="34" t="e" cm="1">
        <f t="array" aca="1" ref="S392" ca="1">IF(AND(G392=INDIRECT("'["&amp;G392&amp;"]"&amp;E392&amp;"'!"&amp;$AH$2),OR(I392=INDIRECT("'["&amp;G392&amp;"]"&amp;E392&amp;"'!"&amp;$AE$2))),INDIRECT("'["&amp;G392&amp;"]"&amp;E392&amp;"'!"&amp;$AE$3),0)</f>
        <v>#VALUE!</v>
      </c>
      <c r="T392" s="35" t="e" cm="1">
        <f t="array" aca="1" ref="T392" ca="1">IF(AND(G392=INDIRECT("'["&amp;G392&amp;"]"&amp;E392&amp;"'!"&amp;$AH$2),OR(I392=INDIRECT("'["&amp;G392&amp;"]"&amp;E392&amp;"'!"&amp;$AF$2))),INDIRECT("'["&amp;G392&amp;"]"&amp;E392&amp;"'!"&amp;$AF$3),0)</f>
        <v>#VALUE!</v>
      </c>
      <c r="U392" s="34" t="e" cm="1">
        <f t="array" aca="1" ref="U392" ca="1">IF(AND(G392=INDIRECT("'["&amp;G392&amp;"]"&amp;E392&amp;"'!"&amp;$AH$2),OR(I392=INDIRECT("'["&amp;G392&amp;"]"&amp;E392&amp;"'!"&amp;$AG$2))),INDIRECT("'["&amp;G392&amp;"]"&amp;E392&amp;"'!"&amp;$AG$3),0)</f>
        <v>#VALUE!</v>
      </c>
      <c r="V392" s="25" t="str">
        <f t="shared" si="126"/>
        <v/>
      </c>
      <c r="W392" s="36" t="e" cm="1">
        <f t="array" aca="1" ref="W392" ca="1">IF(AND(G392=INDIRECT("'["&amp;G392&amp;"]"&amp;E392&amp;"'!"&amp;$AH$2),OR(V392=INDIRECT("'["&amp;G392&amp;"]"&amp;E392&amp;"'!"&amp;$AI$2))),INDIRECT("'["&amp;G392&amp;"]"&amp;E392&amp;"'!"&amp;$AI$3),0)</f>
        <v>#VALUE!</v>
      </c>
      <c r="AJ392" s="25">
        <v>1</v>
      </c>
      <c r="AK392" s="38">
        <f t="shared" ca="1" si="111"/>
        <v>0</v>
      </c>
      <c r="AL392" s="38">
        <f t="shared" ca="1" si="112"/>
        <v>0</v>
      </c>
      <c r="AM392" s="54" t="str">
        <f t="shared" ca="1" si="113"/>
        <v/>
      </c>
      <c r="AN392" s="25" t="e">
        <f t="shared" ca="1" si="114"/>
        <v>#VALUE!</v>
      </c>
      <c r="AO392" s="25" t="e">
        <f t="shared" ca="1" si="115"/>
        <v>#VALUE!</v>
      </c>
      <c r="AP392" s="39" t="str">
        <f t="shared" ca="1" si="116"/>
        <v/>
      </c>
      <c r="AQ392" s="46" t="str">
        <f ca="1">IF(AND(C392&lt;&gt;0, C393=0), SUM($C$2:C392)-SUM($AQ$1:AQ391), "")</f>
        <v/>
      </c>
      <c r="AR392" s="46" t="str">
        <f ca="1">IF(AND(AK392&lt;&gt;0, AK393=0), SUM($AK$2:AK392)-SUM($AR$1:AR391), "")</f>
        <v/>
      </c>
    </row>
    <row r="393" spans="1:44" ht="13.15" customHeight="1">
      <c r="A393" s="62"/>
      <c r="B393" s="68" t="str">
        <f t="shared" si="117"/>
        <v/>
      </c>
      <c r="C393" s="55" cm="1">
        <f t="array" aca="1" ref="C393" ca="1">SUM(IF(ISNUMBER(M393:U393),M393:U393,""))</f>
        <v>0</v>
      </c>
      <c r="D393" s="25" t="str">
        <f t="shared" si="118"/>
        <v/>
      </c>
      <c r="E393" s="25" t="e">
        <f t="shared" si="119"/>
        <v>#VALUE!</v>
      </c>
      <c r="F393" s="25" t="str">
        <f t="shared" si="120"/>
        <v/>
      </c>
      <c r="G393" s="25" t="str">
        <f t="shared" si="121"/>
        <v>.xlsx</v>
      </c>
      <c r="H393" s="29" t="e" cm="1">
        <f t="array" aca="1" ref="H393" ca="1">IF(AND(VALUE(E393)=INDIRECT("'["&amp;G393&amp;"]"&amp;E393&amp;"'!"&amp;$X$2),G393=INDIRECT("'["&amp;G393&amp;"]"&amp;E393&amp;"'!"&amp;$X$3)),INDIRECT("'["&amp;G393&amp;"]"&amp;E393&amp;"'!"&amp;$X$1),0)</f>
        <v>#VALUE!</v>
      </c>
      <c r="I393" s="25" t="str">
        <f t="shared" si="122"/>
        <v/>
      </c>
      <c r="J393" s="32" t="str">
        <f t="shared" si="123"/>
        <v/>
      </c>
      <c r="K393" s="25" t="str">
        <f t="shared" si="124"/>
        <v/>
      </c>
      <c r="L393" s="25" t="str">
        <f t="shared" si="125"/>
        <v/>
      </c>
      <c r="M393" s="33" t="e" cm="1">
        <f t="array" aca="1" ref="M393" ca="1">IF(AND(J393=INDIRECT("'["&amp;G393&amp;"]"&amp;E393&amp;"'!"&amp;$Y$2),G393=INDIRECT("'["&amp;G393&amp;"]"&amp;E393&amp;"'!"&amp;$AH$2)),INDIRECT("'["&amp;G393&amp;"]"&amp;E393&amp;"'!"&amp;$Y$3),0)</f>
        <v>#VALUE!</v>
      </c>
      <c r="N393" s="34" t="e" cm="1">
        <f t="array" aca="1" ref="N393" ca="1">IF(AND(G393=INDIRECT("'["&amp;G393&amp;"]"&amp;E393&amp;"'!"&amp;$AH$2),OR(K393=INDIRECT("'["&amp;G393&amp;"]"&amp;E393&amp;"'!"&amp;$Z$2))),INDIRECT("'["&amp;G393&amp;"]"&amp;E393&amp;"'!"&amp;$Z$3),0)</f>
        <v>#VALUE!</v>
      </c>
      <c r="O393" s="34" t="e" cm="1">
        <f t="array" aca="1" ref="O393" ca="1">IF(AND(G393=INDIRECT("'["&amp;G393&amp;"]"&amp;E393&amp;"'!"&amp;$AH$2),OR(L393=INDIRECT("'["&amp;G393&amp;"]"&amp;E393&amp;"'!"&amp;$AA$2))),INDIRECT("'["&amp;G393&amp;"]"&amp;E393&amp;"'!"&amp;$AA$3),0)</f>
        <v>#VALUE!</v>
      </c>
      <c r="P393" s="34" t="e" cm="1">
        <f t="array" aca="1" ref="P393" ca="1">IF(AND(G393=INDIRECT("'["&amp;G393&amp;"]"&amp;E393&amp;"'!"&amp;$AH$2),OR(VALUE(I393)=INDIRECT("'["&amp;G393&amp;"]"&amp;E393&amp;"'!"&amp;$AB$2))),INDIRECT("'["&amp;G393&amp;"]"&amp;E393&amp;"'!"&amp;$AB$3),0)</f>
        <v>#VALUE!</v>
      </c>
      <c r="Q393" s="34" t="e" cm="1">
        <f t="array" aca="1" ref="Q393" ca="1">IF(AND(G393=INDIRECT("'["&amp;G393&amp;"]"&amp;E393&amp;"'!"&amp;$AH$2),OR(VALUE(I393)=INDIRECT("'["&amp;G393&amp;"]"&amp;E393&amp;"'!"&amp;$AC$2))),INDIRECT("'["&amp;G393&amp;"]"&amp;E393&amp;"'!"&amp;$AC$3),0)</f>
        <v>#VALUE!</v>
      </c>
      <c r="R393" s="34" t="e" cm="1">
        <f t="array" aca="1" ref="R393" ca="1">IF(AND(G393=INDIRECT("'["&amp;G393&amp;"]"&amp;E393&amp;"'!"&amp;$AH$2),OR(I393=INDIRECT("'["&amp;G393&amp;"]"&amp;E393&amp;"'!"&amp;$AD$2))),INDIRECT("'["&amp;G393&amp;"]"&amp;E393&amp;"'!"&amp;$AD$3),0)</f>
        <v>#VALUE!</v>
      </c>
      <c r="S393" s="34" t="e" cm="1">
        <f t="array" aca="1" ref="S393" ca="1">IF(AND(G393=INDIRECT("'["&amp;G393&amp;"]"&amp;E393&amp;"'!"&amp;$AH$2),OR(I393=INDIRECT("'["&amp;G393&amp;"]"&amp;E393&amp;"'!"&amp;$AE$2))),INDIRECT("'["&amp;G393&amp;"]"&amp;E393&amp;"'!"&amp;$AE$3),0)</f>
        <v>#VALUE!</v>
      </c>
      <c r="T393" s="35" t="e" cm="1">
        <f t="array" aca="1" ref="T393" ca="1">IF(AND(G393=INDIRECT("'["&amp;G393&amp;"]"&amp;E393&amp;"'!"&amp;$AH$2),OR(I393=INDIRECT("'["&amp;G393&amp;"]"&amp;E393&amp;"'!"&amp;$AF$2))),INDIRECT("'["&amp;G393&amp;"]"&amp;E393&amp;"'!"&amp;$AF$3),0)</f>
        <v>#VALUE!</v>
      </c>
      <c r="U393" s="34" t="e" cm="1">
        <f t="array" aca="1" ref="U393" ca="1">IF(AND(G393=INDIRECT("'["&amp;G393&amp;"]"&amp;E393&amp;"'!"&amp;$AH$2),OR(I393=INDIRECT("'["&amp;G393&amp;"]"&amp;E393&amp;"'!"&amp;$AG$2))),INDIRECT("'["&amp;G393&amp;"]"&amp;E393&amp;"'!"&amp;$AG$3),0)</f>
        <v>#VALUE!</v>
      </c>
      <c r="V393" s="25" t="str">
        <f t="shared" si="126"/>
        <v/>
      </c>
      <c r="W393" s="36" t="e" cm="1">
        <f t="array" aca="1" ref="W393" ca="1">IF(AND(G393=INDIRECT("'["&amp;G393&amp;"]"&amp;E393&amp;"'!"&amp;$AH$2),OR(V393=INDIRECT("'["&amp;G393&amp;"]"&amp;E393&amp;"'!"&amp;$AI$2))),INDIRECT("'["&amp;G393&amp;"]"&amp;E393&amp;"'!"&amp;$AI$3),0)</f>
        <v>#VALUE!</v>
      </c>
      <c r="AJ393" s="25">
        <v>1</v>
      </c>
      <c r="AK393" s="38">
        <f t="shared" ca="1" si="111"/>
        <v>0</v>
      </c>
      <c r="AL393" s="38">
        <f t="shared" ca="1" si="112"/>
        <v>0</v>
      </c>
      <c r="AM393" s="54" t="str">
        <f t="shared" ca="1" si="113"/>
        <v/>
      </c>
      <c r="AN393" s="25" t="e">
        <f t="shared" ca="1" si="114"/>
        <v>#VALUE!</v>
      </c>
      <c r="AO393" s="25" t="e">
        <f t="shared" ca="1" si="115"/>
        <v>#VALUE!</v>
      </c>
      <c r="AP393" s="39" t="str">
        <f t="shared" ca="1" si="116"/>
        <v/>
      </c>
      <c r="AQ393" s="46" t="str">
        <f ca="1">IF(AND(C393&lt;&gt;0, C394=0), SUM($C$2:C393)-SUM($AQ$1:AQ392), "")</f>
        <v/>
      </c>
      <c r="AR393" s="46" t="str">
        <f ca="1">IF(AND(AK393&lt;&gt;0, AK394=0), SUM($AK$2:AK393)-SUM($AR$1:AR392), "")</f>
        <v/>
      </c>
    </row>
    <row r="394" spans="1:44" ht="13.15" customHeight="1">
      <c r="A394" s="62"/>
      <c r="B394" s="68" t="str">
        <f t="shared" si="117"/>
        <v/>
      </c>
      <c r="C394" s="55" cm="1">
        <f t="array" aca="1" ref="C394" ca="1">SUM(IF(ISNUMBER(M394:U394),M394:U394,""))</f>
        <v>0</v>
      </c>
      <c r="D394" s="25" t="str">
        <f t="shared" si="118"/>
        <v/>
      </c>
      <c r="E394" s="25" t="e">
        <f t="shared" si="119"/>
        <v>#VALUE!</v>
      </c>
      <c r="F394" s="25" t="str">
        <f t="shared" si="120"/>
        <v/>
      </c>
      <c r="G394" s="25" t="str">
        <f t="shared" si="121"/>
        <v>.xlsx</v>
      </c>
      <c r="H394" s="29" t="e" cm="1">
        <f t="array" aca="1" ref="H394" ca="1">IF(AND(VALUE(E394)=INDIRECT("'["&amp;G394&amp;"]"&amp;E394&amp;"'!"&amp;$X$2),G394=INDIRECT("'["&amp;G394&amp;"]"&amp;E394&amp;"'!"&amp;$X$3)),INDIRECT("'["&amp;G394&amp;"]"&amp;E394&amp;"'!"&amp;$X$1),0)</f>
        <v>#VALUE!</v>
      </c>
      <c r="I394" s="25" t="str">
        <f t="shared" si="122"/>
        <v/>
      </c>
      <c r="J394" s="32" t="str">
        <f t="shared" si="123"/>
        <v/>
      </c>
      <c r="K394" s="25" t="str">
        <f t="shared" si="124"/>
        <v/>
      </c>
      <c r="L394" s="25" t="str">
        <f t="shared" si="125"/>
        <v/>
      </c>
      <c r="M394" s="33" t="e" cm="1">
        <f t="array" aca="1" ref="M394" ca="1">IF(AND(J394=INDIRECT("'["&amp;G394&amp;"]"&amp;E394&amp;"'!"&amp;$Y$2),G394=INDIRECT("'["&amp;G394&amp;"]"&amp;E394&amp;"'!"&amp;$AH$2)),INDIRECT("'["&amp;G394&amp;"]"&amp;E394&amp;"'!"&amp;$Y$3),0)</f>
        <v>#VALUE!</v>
      </c>
      <c r="N394" s="34" t="e" cm="1">
        <f t="array" aca="1" ref="N394" ca="1">IF(AND(G394=INDIRECT("'["&amp;G394&amp;"]"&amp;E394&amp;"'!"&amp;$AH$2),OR(K394=INDIRECT("'["&amp;G394&amp;"]"&amp;E394&amp;"'!"&amp;$Z$2))),INDIRECT("'["&amp;G394&amp;"]"&amp;E394&amp;"'!"&amp;$Z$3),0)</f>
        <v>#VALUE!</v>
      </c>
      <c r="O394" s="34" t="e" cm="1">
        <f t="array" aca="1" ref="O394" ca="1">IF(AND(G394=INDIRECT("'["&amp;G394&amp;"]"&amp;E394&amp;"'!"&amp;$AH$2),OR(L394=INDIRECT("'["&amp;G394&amp;"]"&amp;E394&amp;"'!"&amp;$AA$2))),INDIRECT("'["&amp;G394&amp;"]"&amp;E394&amp;"'!"&amp;$AA$3),0)</f>
        <v>#VALUE!</v>
      </c>
      <c r="P394" s="34" t="e" cm="1">
        <f t="array" aca="1" ref="P394" ca="1">IF(AND(G394=INDIRECT("'["&amp;G394&amp;"]"&amp;E394&amp;"'!"&amp;$AH$2),OR(VALUE(I394)=INDIRECT("'["&amp;G394&amp;"]"&amp;E394&amp;"'!"&amp;$AB$2))),INDIRECT("'["&amp;G394&amp;"]"&amp;E394&amp;"'!"&amp;$AB$3),0)</f>
        <v>#VALUE!</v>
      </c>
      <c r="Q394" s="34" t="e" cm="1">
        <f t="array" aca="1" ref="Q394" ca="1">IF(AND(G394=INDIRECT("'["&amp;G394&amp;"]"&amp;E394&amp;"'!"&amp;$AH$2),OR(VALUE(I394)=INDIRECT("'["&amp;G394&amp;"]"&amp;E394&amp;"'!"&amp;$AC$2))),INDIRECT("'["&amp;G394&amp;"]"&amp;E394&amp;"'!"&amp;$AC$3),0)</f>
        <v>#VALUE!</v>
      </c>
      <c r="R394" s="34" t="e" cm="1">
        <f t="array" aca="1" ref="R394" ca="1">IF(AND(G394=INDIRECT("'["&amp;G394&amp;"]"&amp;E394&amp;"'!"&amp;$AH$2),OR(I394=INDIRECT("'["&amp;G394&amp;"]"&amp;E394&amp;"'!"&amp;$AD$2))),INDIRECT("'["&amp;G394&amp;"]"&amp;E394&amp;"'!"&amp;$AD$3),0)</f>
        <v>#VALUE!</v>
      </c>
      <c r="S394" s="34" t="e" cm="1">
        <f t="array" aca="1" ref="S394" ca="1">IF(AND(G394=INDIRECT("'["&amp;G394&amp;"]"&amp;E394&amp;"'!"&amp;$AH$2),OR(I394=INDIRECT("'["&amp;G394&amp;"]"&amp;E394&amp;"'!"&amp;$AE$2))),INDIRECT("'["&amp;G394&amp;"]"&amp;E394&amp;"'!"&amp;$AE$3),0)</f>
        <v>#VALUE!</v>
      </c>
      <c r="T394" s="35" t="e" cm="1">
        <f t="array" aca="1" ref="T394" ca="1">IF(AND(G394=INDIRECT("'["&amp;G394&amp;"]"&amp;E394&amp;"'!"&amp;$AH$2),OR(I394=INDIRECT("'["&amp;G394&amp;"]"&amp;E394&amp;"'!"&amp;$AF$2))),INDIRECT("'["&amp;G394&amp;"]"&amp;E394&amp;"'!"&amp;$AF$3),0)</f>
        <v>#VALUE!</v>
      </c>
      <c r="U394" s="34" t="e" cm="1">
        <f t="array" aca="1" ref="U394" ca="1">IF(AND(G394=INDIRECT("'["&amp;G394&amp;"]"&amp;E394&amp;"'!"&amp;$AH$2),OR(I394=INDIRECT("'["&amp;G394&amp;"]"&amp;E394&amp;"'!"&amp;$AG$2))),INDIRECT("'["&amp;G394&amp;"]"&amp;E394&amp;"'!"&amp;$AG$3),0)</f>
        <v>#VALUE!</v>
      </c>
      <c r="V394" s="25" t="str">
        <f t="shared" si="126"/>
        <v/>
      </c>
      <c r="W394" s="36" t="e" cm="1">
        <f t="array" aca="1" ref="W394" ca="1">IF(AND(G394=INDIRECT("'["&amp;G394&amp;"]"&amp;E394&amp;"'!"&amp;$AH$2),OR(V394=INDIRECT("'["&amp;G394&amp;"]"&amp;E394&amp;"'!"&amp;$AI$2))),INDIRECT("'["&amp;G394&amp;"]"&amp;E394&amp;"'!"&amp;$AI$3),0)</f>
        <v>#VALUE!</v>
      </c>
      <c r="AJ394" s="25">
        <v>1</v>
      </c>
      <c r="AK394" s="38">
        <f t="shared" ca="1" si="111"/>
        <v>0</v>
      </c>
      <c r="AL394" s="38">
        <f t="shared" ca="1" si="112"/>
        <v>0</v>
      </c>
      <c r="AM394" s="54" t="str">
        <f t="shared" ca="1" si="113"/>
        <v/>
      </c>
      <c r="AN394" s="25" t="e">
        <f t="shared" ca="1" si="114"/>
        <v>#VALUE!</v>
      </c>
      <c r="AO394" s="25" t="e">
        <f t="shared" ca="1" si="115"/>
        <v>#VALUE!</v>
      </c>
      <c r="AP394" s="39" t="str">
        <f t="shared" ca="1" si="116"/>
        <v/>
      </c>
      <c r="AQ394" s="46" t="str">
        <f ca="1">IF(AND(C394&lt;&gt;0, C395=0), SUM($C$2:C394)-SUM($AQ$1:AQ393), "")</f>
        <v/>
      </c>
      <c r="AR394" s="46" t="str">
        <f ca="1">IF(AND(AK394&lt;&gt;0, AK395=0), SUM($AK$2:AK394)-SUM($AR$1:AR393), "")</f>
        <v/>
      </c>
    </row>
    <row r="395" spans="1:44" ht="13.15" customHeight="1">
      <c r="A395" s="62"/>
      <c r="B395" s="68" t="str">
        <f t="shared" si="117"/>
        <v/>
      </c>
      <c r="C395" s="55" cm="1">
        <f t="array" aca="1" ref="C395" ca="1">SUM(IF(ISNUMBER(M395:U395),M395:U395,""))</f>
        <v>0</v>
      </c>
      <c r="D395" s="25" t="str">
        <f t="shared" si="118"/>
        <v/>
      </c>
      <c r="E395" s="25" t="e">
        <f t="shared" si="119"/>
        <v>#VALUE!</v>
      </c>
      <c r="F395" s="25" t="str">
        <f t="shared" si="120"/>
        <v/>
      </c>
      <c r="G395" s="25" t="str">
        <f t="shared" si="121"/>
        <v>.xlsx</v>
      </c>
      <c r="H395" s="29" t="e" cm="1">
        <f t="array" aca="1" ref="H395" ca="1">IF(AND(VALUE(E395)=INDIRECT("'["&amp;G395&amp;"]"&amp;E395&amp;"'!"&amp;$X$2),G395=INDIRECT("'["&amp;G395&amp;"]"&amp;E395&amp;"'!"&amp;$X$3)),INDIRECT("'["&amp;G395&amp;"]"&amp;E395&amp;"'!"&amp;$X$1),0)</f>
        <v>#VALUE!</v>
      </c>
      <c r="I395" s="25" t="str">
        <f t="shared" si="122"/>
        <v/>
      </c>
      <c r="J395" s="32" t="str">
        <f t="shared" si="123"/>
        <v/>
      </c>
      <c r="K395" s="25" t="str">
        <f t="shared" si="124"/>
        <v/>
      </c>
      <c r="L395" s="25" t="str">
        <f t="shared" si="125"/>
        <v/>
      </c>
      <c r="M395" s="33" t="e" cm="1">
        <f t="array" aca="1" ref="M395" ca="1">IF(AND(J395=INDIRECT("'["&amp;G395&amp;"]"&amp;E395&amp;"'!"&amp;$Y$2),G395=INDIRECT("'["&amp;G395&amp;"]"&amp;E395&amp;"'!"&amp;$AH$2)),INDIRECT("'["&amp;G395&amp;"]"&amp;E395&amp;"'!"&amp;$Y$3),0)</f>
        <v>#VALUE!</v>
      </c>
      <c r="N395" s="34" t="e" cm="1">
        <f t="array" aca="1" ref="N395" ca="1">IF(AND(G395=INDIRECT("'["&amp;G395&amp;"]"&amp;E395&amp;"'!"&amp;$AH$2),OR(K395=INDIRECT("'["&amp;G395&amp;"]"&amp;E395&amp;"'!"&amp;$Z$2))),INDIRECT("'["&amp;G395&amp;"]"&amp;E395&amp;"'!"&amp;$Z$3),0)</f>
        <v>#VALUE!</v>
      </c>
      <c r="O395" s="34" t="e" cm="1">
        <f t="array" aca="1" ref="O395" ca="1">IF(AND(G395=INDIRECT("'["&amp;G395&amp;"]"&amp;E395&amp;"'!"&amp;$AH$2),OR(L395=INDIRECT("'["&amp;G395&amp;"]"&amp;E395&amp;"'!"&amp;$AA$2))),INDIRECT("'["&amp;G395&amp;"]"&amp;E395&amp;"'!"&amp;$AA$3),0)</f>
        <v>#VALUE!</v>
      </c>
      <c r="P395" s="34" t="e" cm="1">
        <f t="array" aca="1" ref="P395" ca="1">IF(AND(G395=INDIRECT("'["&amp;G395&amp;"]"&amp;E395&amp;"'!"&amp;$AH$2),OR(VALUE(I395)=INDIRECT("'["&amp;G395&amp;"]"&amp;E395&amp;"'!"&amp;$AB$2))),INDIRECT("'["&amp;G395&amp;"]"&amp;E395&amp;"'!"&amp;$AB$3),0)</f>
        <v>#VALUE!</v>
      </c>
      <c r="Q395" s="34" t="e" cm="1">
        <f t="array" aca="1" ref="Q395" ca="1">IF(AND(G395=INDIRECT("'["&amp;G395&amp;"]"&amp;E395&amp;"'!"&amp;$AH$2),OR(VALUE(I395)=INDIRECT("'["&amp;G395&amp;"]"&amp;E395&amp;"'!"&amp;$AC$2))),INDIRECT("'["&amp;G395&amp;"]"&amp;E395&amp;"'!"&amp;$AC$3),0)</f>
        <v>#VALUE!</v>
      </c>
      <c r="R395" s="34" t="e" cm="1">
        <f t="array" aca="1" ref="R395" ca="1">IF(AND(G395=INDIRECT("'["&amp;G395&amp;"]"&amp;E395&amp;"'!"&amp;$AH$2),OR(I395=INDIRECT("'["&amp;G395&amp;"]"&amp;E395&amp;"'!"&amp;$AD$2))),INDIRECT("'["&amp;G395&amp;"]"&amp;E395&amp;"'!"&amp;$AD$3),0)</f>
        <v>#VALUE!</v>
      </c>
      <c r="S395" s="34" t="e" cm="1">
        <f t="array" aca="1" ref="S395" ca="1">IF(AND(G395=INDIRECT("'["&amp;G395&amp;"]"&amp;E395&amp;"'!"&amp;$AH$2),OR(I395=INDIRECT("'["&amp;G395&amp;"]"&amp;E395&amp;"'!"&amp;$AE$2))),INDIRECT("'["&amp;G395&amp;"]"&amp;E395&amp;"'!"&amp;$AE$3),0)</f>
        <v>#VALUE!</v>
      </c>
      <c r="T395" s="35" t="e" cm="1">
        <f t="array" aca="1" ref="T395" ca="1">IF(AND(G395=INDIRECT("'["&amp;G395&amp;"]"&amp;E395&amp;"'!"&amp;$AH$2),OR(I395=INDIRECT("'["&amp;G395&amp;"]"&amp;E395&amp;"'!"&amp;$AF$2))),INDIRECT("'["&amp;G395&amp;"]"&amp;E395&amp;"'!"&amp;$AF$3),0)</f>
        <v>#VALUE!</v>
      </c>
      <c r="U395" s="34" t="e" cm="1">
        <f t="array" aca="1" ref="U395" ca="1">IF(AND(G395=INDIRECT("'["&amp;G395&amp;"]"&amp;E395&amp;"'!"&amp;$AH$2),OR(I395=INDIRECT("'["&amp;G395&amp;"]"&amp;E395&amp;"'!"&amp;$AG$2))),INDIRECT("'["&amp;G395&amp;"]"&amp;E395&amp;"'!"&amp;$AG$3),0)</f>
        <v>#VALUE!</v>
      </c>
      <c r="V395" s="25" t="str">
        <f t="shared" si="126"/>
        <v/>
      </c>
      <c r="W395" s="36" t="e" cm="1">
        <f t="array" aca="1" ref="W395" ca="1">IF(AND(G395=INDIRECT("'["&amp;G395&amp;"]"&amp;E395&amp;"'!"&amp;$AH$2),OR(V395=INDIRECT("'["&amp;G395&amp;"]"&amp;E395&amp;"'!"&amp;$AI$2))),INDIRECT("'["&amp;G395&amp;"]"&amp;E395&amp;"'!"&amp;$AI$3),0)</f>
        <v>#VALUE!</v>
      </c>
      <c r="AJ395" s="25">
        <v>1</v>
      </c>
      <c r="AK395" s="38">
        <f t="shared" ca="1" si="111"/>
        <v>0</v>
      </c>
      <c r="AL395" s="38">
        <f t="shared" ca="1" si="112"/>
        <v>0</v>
      </c>
      <c r="AM395" s="54" t="str">
        <f t="shared" ca="1" si="113"/>
        <v/>
      </c>
      <c r="AN395" s="25" t="e">
        <f t="shared" ca="1" si="114"/>
        <v>#VALUE!</v>
      </c>
      <c r="AO395" s="25" t="e">
        <f t="shared" ca="1" si="115"/>
        <v>#VALUE!</v>
      </c>
      <c r="AP395" s="39" t="str">
        <f t="shared" ca="1" si="116"/>
        <v/>
      </c>
      <c r="AQ395" s="46" t="str">
        <f ca="1">IF(AND(C395&lt;&gt;0, C396=0), SUM($C$2:C395)-SUM($AQ$1:AQ394), "")</f>
        <v/>
      </c>
      <c r="AR395" s="46" t="str">
        <f ca="1">IF(AND(AK395&lt;&gt;0, AK396=0), SUM($AK$2:AK395)-SUM($AR$1:AR394), "")</f>
        <v/>
      </c>
    </row>
    <row r="396" spans="1:44" ht="13.15" customHeight="1">
      <c r="A396" s="62"/>
      <c r="B396" s="68" t="str">
        <f t="shared" si="117"/>
        <v/>
      </c>
      <c r="C396" s="55" cm="1">
        <f t="array" aca="1" ref="C396" ca="1">SUM(IF(ISNUMBER(M396:U396),M396:U396,""))</f>
        <v>0</v>
      </c>
      <c r="D396" s="25" t="str">
        <f t="shared" si="118"/>
        <v/>
      </c>
      <c r="E396" s="25" t="e">
        <f t="shared" si="119"/>
        <v>#VALUE!</v>
      </c>
      <c r="F396" s="25" t="str">
        <f t="shared" si="120"/>
        <v/>
      </c>
      <c r="G396" s="25" t="str">
        <f t="shared" si="121"/>
        <v>.xlsx</v>
      </c>
      <c r="H396" s="29" t="e" cm="1">
        <f t="array" aca="1" ref="H396" ca="1">IF(AND(VALUE(E396)=INDIRECT("'["&amp;G396&amp;"]"&amp;E396&amp;"'!"&amp;$X$2),G396=INDIRECT("'["&amp;G396&amp;"]"&amp;E396&amp;"'!"&amp;$X$3)),INDIRECT("'["&amp;G396&amp;"]"&amp;E396&amp;"'!"&amp;$X$1),0)</f>
        <v>#VALUE!</v>
      </c>
      <c r="I396" s="25" t="str">
        <f t="shared" si="122"/>
        <v/>
      </c>
      <c r="J396" s="32" t="str">
        <f t="shared" si="123"/>
        <v/>
      </c>
      <c r="K396" s="25" t="str">
        <f t="shared" si="124"/>
        <v/>
      </c>
      <c r="L396" s="25" t="str">
        <f t="shared" si="125"/>
        <v/>
      </c>
      <c r="M396" s="33" t="e" cm="1">
        <f t="array" aca="1" ref="M396" ca="1">IF(AND(J396=INDIRECT("'["&amp;G396&amp;"]"&amp;E396&amp;"'!"&amp;$Y$2),G396=INDIRECT("'["&amp;G396&amp;"]"&amp;E396&amp;"'!"&amp;$AH$2)),INDIRECT("'["&amp;G396&amp;"]"&amp;E396&amp;"'!"&amp;$Y$3),0)</f>
        <v>#VALUE!</v>
      </c>
      <c r="N396" s="34" t="e" cm="1">
        <f t="array" aca="1" ref="N396" ca="1">IF(AND(G396=INDIRECT("'["&amp;G396&amp;"]"&amp;E396&amp;"'!"&amp;$AH$2),OR(K396=INDIRECT("'["&amp;G396&amp;"]"&amp;E396&amp;"'!"&amp;$Z$2))),INDIRECT("'["&amp;G396&amp;"]"&amp;E396&amp;"'!"&amp;$Z$3),0)</f>
        <v>#VALUE!</v>
      </c>
      <c r="O396" s="34" t="e" cm="1">
        <f t="array" aca="1" ref="O396" ca="1">IF(AND(G396=INDIRECT("'["&amp;G396&amp;"]"&amp;E396&amp;"'!"&amp;$AH$2),OR(L396=INDIRECT("'["&amp;G396&amp;"]"&amp;E396&amp;"'!"&amp;$AA$2))),INDIRECT("'["&amp;G396&amp;"]"&amp;E396&amp;"'!"&amp;$AA$3),0)</f>
        <v>#VALUE!</v>
      </c>
      <c r="P396" s="34" t="e" cm="1">
        <f t="array" aca="1" ref="P396" ca="1">IF(AND(G396=INDIRECT("'["&amp;G396&amp;"]"&amp;E396&amp;"'!"&amp;$AH$2),OR(VALUE(I396)=INDIRECT("'["&amp;G396&amp;"]"&amp;E396&amp;"'!"&amp;$AB$2))),INDIRECT("'["&amp;G396&amp;"]"&amp;E396&amp;"'!"&amp;$AB$3),0)</f>
        <v>#VALUE!</v>
      </c>
      <c r="Q396" s="34" t="e" cm="1">
        <f t="array" aca="1" ref="Q396" ca="1">IF(AND(G396=INDIRECT("'["&amp;G396&amp;"]"&amp;E396&amp;"'!"&amp;$AH$2),OR(VALUE(I396)=INDIRECT("'["&amp;G396&amp;"]"&amp;E396&amp;"'!"&amp;$AC$2))),INDIRECT("'["&amp;G396&amp;"]"&amp;E396&amp;"'!"&amp;$AC$3),0)</f>
        <v>#VALUE!</v>
      </c>
      <c r="R396" s="34" t="e" cm="1">
        <f t="array" aca="1" ref="R396" ca="1">IF(AND(G396=INDIRECT("'["&amp;G396&amp;"]"&amp;E396&amp;"'!"&amp;$AH$2),OR(I396=INDIRECT("'["&amp;G396&amp;"]"&amp;E396&amp;"'!"&amp;$AD$2))),INDIRECT("'["&amp;G396&amp;"]"&amp;E396&amp;"'!"&amp;$AD$3),0)</f>
        <v>#VALUE!</v>
      </c>
      <c r="S396" s="34" t="e" cm="1">
        <f t="array" aca="1" ref="S396" ca="1">IF(AND(G396=INDIRECT("'["&amp;G396&amp;"]"&amp;E396&amp;"'!"&amp;$AH$2),OR(I396=INDIRECT("'["&amp;G396&amp;"]"&amp;E396&amp;"'!"&amp;$AE$2))),INDIRECT("'["&amp;G396&amp;"]"&amp;E396&amp;"'!"&amp;$AE$3),0)</f>
        <v>#VALUE!</v>
      </c>
      <c r="T396" s="35" t="e" cm="1">
        <f t="array" aca="1" ref="T396" ca="1">IF(AND(G396=INDIRECT("'["&amp;G396&amp;"]"&amp;E396&amp;"'!"&amp;$AH$2),OR(I396=INDIRECT("'["&amp;G396&amp;"]"&amp;E396&amp;"'!"&amp;$AF$2))),INDIRECT("'["&amp;G396&amp;"]"&amp;E396&amp;"'!"&amp;$AF$3),0)</f>
        <v>#VALUE!</v>
      </c>
      <c r="U396" s="34" t="e" cm="1">
        <f t="array" aca="1" ref="U396" ca="1">IF(AND(G396=INDIRECT("'["&amp;G396&amp;"]"&amp;E396&amp;"'!"&amp;$AH$2),OR(I396=INDIRECT("'["&amp;G396&amp;"]"&amp;E396&amp;"'!"&amp;$AG$2))),INDIRECT("'["&amp;G396&amp;"]"&amp;E396&amp;"'!"&amp;$AG$3),0)</f>
        <v>#VALUE!</v>
      </c>
      <c r="V396" s="25" t="str">
        <f t="shared" si="126"/>
        <v/>
      </c>
      <c r="W396" s="36" t="e" cm="1">
        <f t="array" aca="1" ref="W396" ca="1">IF(AND(G396=INDIRECT("'["&amp;G396&amp;"]"&amp;E396&amp;"'!"&amp;$AH$2),OR(V396=INDIRECT("'["&amp;G396&amp;"]"&amp;E396&amp;"'!"&amp;$AI$2))),INDIRECT("'["&amp;G396&amp;"]"&amp;E396&amp;"'!"&amp;$AI$3),0)</f>
        <v>#VALUE!</v>
      </c>
      <c r="AJ396" s="25">
        <v>1</v>
      </c>
      <c r="AK396" s="38">
        <f t="shared" ca="1" si="111"/>
        <v>0</v>
      </c>
      <c r="AL396" s="38">
        <f t="shared" ca="1" si="112"/>
        <v>0</v>
      </c>
      <c r="AM396" s="54" t="str">
        <f t="shared" ca="1" si="113"/>
        <v/>
      </c>
      <c r="AN396" s="25" t="e">
        <f t="shared" ca="1" si="114"/>
        <v>#VALUE!</v>
      </c>
      <c r="AO396" s="25" t="e">
        <f t="shared" ca="1" si="115"/>
        <v>#VALUE!</v>
      </c>
      <c r="AP396" s="39" t="str">
        <f t="shared" ca="1" si="116"/>
        <v/>
      </c>
      <c r="AQ396" s="46" t="str">
        <f ca="1">IF(AND(C396&lt;&gt;0, C397=0), SUM($C$2:C396)-SUM($AQ$1:AQ395), "")</f>
        <v/>
      </c>
      <c r="AR396" s="46" t="str">
        <f ca="1">IF(AND(AK396&lt;&gt;0, AK397=0), SUM($AK$2:AK396)-SUM($AR$1:AR395), "")</f>
        <v/>
      </c>
    </row>
    <row r="397" spans="1:44" ht="13.15" customHeight="1">
      <c r="A397" s="62"/>
      <c r="B397" s="68" t="str">
        <f t="shared" si="117"/>
        <v/>
      </c>
      <c r="C397" s="55" cm="1">
        <f t="array" aca="1" ref="C397" ca="1">SUM(IF(ISNUMBER(M397:U397),M397:U397,""))</f>
        <v>0</v>
      </c>
      <c r="D397" s="25" t="str">
        <f t="shared" si="118"/>
        <v/>
      </c>
      <c r="E397" s="25" t="e">
        <f t="shared" si="119"/>
        <v>#VALUE!</v>
      </c>
      <c r="F397" s="25" t="str">
        <f t="shared" si="120"/>
        <v/>
      </c>
      <c r="G397" s="25" t="str">
        <f t="shared" si="121"/>
        <v>.xlsx</v>
      </c>
      <c r="H397" s="29" t="e" cm="1">
        <f t="array" aca="1" ref="H397" ca="1">IF(AND(VALUE(E397)=INDIRECT("'["&amp;G397&amp;"]"&amp;E397&amp;"'!"&amp;$X$2),G397=INDIRECT("'["&amp;G397&amp;"]"&amp;E397&amp;"'!"&amp;$X$3)),INDIRECT("'["&amp;G397&amp;"]"&amp;E397&amp;"'!"&amp;$X$1),0)</f>
        <v>#VALUE!</v>
      </c>
      <c r="I397" s="25" t="str">
        <f t="shared" si="122"/>
        <v/>
      </c>
      <c r="J397" s="32" t="str">
        <f t="shared" si="123"/>
        <v/>
      </c>
      <c r="K397" s="25" t="str">
        <f t="shared" si="124"/>
        <v/>
      </c>
      <c r="L397" s="25" t="str">
        <f t="shared" si="125"/>
        <v/>
      </c>
      <c r="M397" s="33" t="e" cm="1">
        <f t="array" aca="1" ref="M397" ca="1">IF(AND(J397=INDIRECT("'["&amp;G397&amp;"]"&amp;E397&amp;"'!"&amp;$Y$2),G397=INDIRECT("'["&amp;G397&amp;"]"&amp;E397&amp;"'!"&amp;$AH$2)),INDIRECT("'["&amp;G397&amp;"]"&amp;E397&amp;"'!"&amp;$Y$3),0)</f>
        <v>#VALUE!</v>
      </c>
      <c r="N397" s="34" t="e" cm="1">
        <f t="array" aca="1" ref="N397" ca="1">IF(AND(G397=INDIRECT("'["&amp;G397&amp;"]"&amp;E397&amp;"'!"&amp;$AH$2),OR(K397=INDIRECT("'["&amp;G397&amp;"]"&amp;E397&amp;"'!"&amp;$Z$2))),INDIRECT("'["&amp;G397&amp;"]"&amp;E397&amp;"'!"&amp;$Z$3),0)</f>
        <v>#VALUE!</v>
      </c>
      <c r="O397" s="34" t="e" cm="1">
        <f t="array" aca="1" ref="O397" ca="1">IF(AND(G397=INDIRECT("'["&amp;G397&amp;"]"&amp;E397&amp;"'!"&amp;$AH$2),OR(L397=INDIRECT("'["&amp;G397&amp;"]"&amp;E397&amp;"'!"&amp;$AA$2))),INDIRECT("'["&amp;G397&amp;"]"&amp;E397&amp;"'!"&amp;$AA$3),0)</f>
        <v>#VALUE!</v>
      </c>
      <c r="P397" s="34" t="e" cm="1">
        <f t="array" aca="1" ref="P397" ca="1">IF(AND(G397=INDIRECT("'["&amp;G397&amp;"]"&amp;E397&amp;"'!"&amp;$AH$2),OR(VALUE(I397)=INDIRECT("'["&amp;G397&amp;"]"&amp;E397&amp;"'!"&amp;$AB$2))),INDIRECT("'["&amp;G397&amp;"]"&amp;E397&amp;"'!"&amp;$AB$3),0)</f>
        <v>#VALUE!</v>
      </c>
      <c r="Q397" s="34" t="e" cm="1">
        <f t="array" aca="1" ref="Q397" ca="1">IF(AND(G397=INDIRECT("'["&amp;G397&amp;"]"&amp;E397&amp;"'!"&amp;$AH$2),OR(VALUE(I397)=INDIRECT("'["&amp;G397&amp;"]"&amp;E397&amp;"'!"&amp;$AC$2))),INDIRECT("'["&amp;G397&amp;"]"&amp;E397&amp;"'!"&amp;$AC$3),0)</f>
        <v>#VALUE!</v>
      </c>
      <c r="R397" s="34" t="e" cm="1">
        <f t="array" aca="1" ref="R397" ca="1">IF(AND(G397=INDIRECT("'["&amp;G397&amp;"]"&amp;E397&amp;"'!"&amp;$AH$2),OR(I397=INDIRECT("'["&amp;G397&amp;"]"&amp;E397&amp;"'!"&amp;$AD$2))),INDIRECT("'["&amp;G397&amp;"]"&amp;E397&amp;"'!"&amp;$AD$3),0)</f>
        <v>#VALUE!</v>
      </c>
      <c r="S397" s="34" t="e" cm="1">
        <f t="array" aca="1" ref="S397" ca="1">IF(AND(G397=INDIRECT("'["&amp;G397&amp;"]"&amp;E397&amp;"'!"&amp;$AH$2),OR(I397=INDIRECT("'["&amp;G397&amp;"]"&amp;E397&amp;"'!"&amp;$AE$2))),INDIRECT("'["&amp;G397&amp;"]"&amp;E397&amp;"'!"&amp;$AE$3),0)</f>
        <v>#VALUE!</v>
      </c>
      <c r="T397" s="35" t="e" cm="1">
        <f t="array" aca="1" ref="T397" ca="1">IF(AND(G397=INDIRECT("'["&amp;G397&amp;"]"&amp;E397&amp;"'!"&amp;$AH$2),OR(I397=INDIRECT("'["&amp;G397&amp;"]"&amp;E397&amp;"'!"&amp;$AF$2))),INDIRECT("'["&amp;G397&amp;"]"&amp;E397&amp;"'!"&amp;$AF$3),0)</f>
        <v>#VALUE!</v>
      </c>
      <c r="U397" s="34" t="e" cm="1">
        <f t="array" aca="1" ref="U397" ca="1">IF(AND(G397=INDIRECT("'["&amp;G397&amp;"]"&amp;E397&amp;"'!"&amp;$AH$2),OR(I397=INDIRECT("'["&amp;G397&amp;"]"&amp;E397&amp;"'!"&amp;$AG$2))),INDIRECT("'["&amp;G397&amp;"]"&amp;E397&amp;"'!"&amp;$AG$3),0)</f>
        <v>#VALUE!</v>
      </c>
      <c r="V397" s="25" t="str">
        <f t="shared" si="126"/>
        <v/>
      </c>
      <c r="W397" s="36" t="e" cm="1">
        <f t="array" aca="1" ref="W397" ca="1">IF(AND(G397=INDIRECT("'["&amp;G397&amp;"]"&amp;E397&amp;"'!"&amp;$AH$2),OR(V397=INDIRECT("'["&amp;G397&amp;"]"&amp;E397&amp;"'!"&amp;$AI$2))),INDIRECT("'["&amp;G397&amp;"]"&amp;E397&amp;"'!"&amp;$AI$3),0)</f>
        <v>#VALUE!</v>
      </c>
      <c r="AJ397" s="25">
        <v>1</v>
      </c>
      <c r="AK397" s="38">
        <f t="shared" ca="1" si="111"/>
        <v>0</v>
      </c>
      <c r="AL397" s="38">
        <f t="shared" ca="1" si="112"/>
        <v>0</v>
      </c>
      <c r="AM397" s="54" t="str">
        <f t="shared" ca="1" si="113"/>
        <v/>
      </c>
      <c r="AN397" s="25" t="e">
        <f t="shared" ca="1" si="114"/>
        <v>#VALUE!</v>
      </c>
      <c r="AO397" s="25" t="e">
        <f t="shared" ca="1" si="115"/>
        <v>#VALUE!</v>
      </c>
      <c r="AP397" s="39" t="str">
        <f t="shared" ca="1" si="116"/>
        <v/>
      </c>
      <c r="AQ397" s="46" t="str">
        <f ca="1">IF(AND(C397&lt;&gt;0, C398=0), SUM($C$2:C397)-SUM($AQ$1:AQ396), "")</f>
        <v/>
      </c>
      <c r="AR397" s="46" t="str">
        <f ca="1">IF(AND(AK397&lt;&gt;0, AK398=0), SUM($AK$2:AK397)-SUM($AR$1:AR396), "")</f>
        <v/>
      </c>
    </row>
    <row r="398" spans="1:44" ht="13.15" customHeight="1">
      <c r="A398" s="62"/>
      <c r="B398" s="68" t="str">
        <f t="shared" si="117"/>
        <v/>
      </c>
      <c r="C398" s="55" cm="1">
        <f t="array" aca="1" ref="C398" ca="1">SUM(IF(ISNUMBER(M398:U398),M398:U398,""))</f>
        <v>0</v>
      </c>
      <c r="D398" s="25" t="str">
        <f t="shared" si="118"/>
        <v/>
      </c>
      <c r="E398" s="25" t="e">
        <f t="shared" si="119"/>
        <v>#VALUE!</v>
      </c>
      <c r="F398" s="25" t="str">
        <f t="shared" si="120"/>
        <v/>
      </c>
      <c r="G398" s="25" t="str">
        <f t="shared" si="121"/>
        <v>.xlsx</v>
      </c>
      <c r="H398" s="29" t="e" cm="1">
        <f t="array" aca="1" ref="H398" ca="1">IF(AND(VALUE(E398)=INDIRECT("'["&amp;G398&amp;"]"&amp;E398&amp;"'!"&amp;$X$2),G398=INDIRECT("'["&amp;G398&amp;"]"&amp;E398&amp;"'!"&amp;$X$3)),INDIRECT("'["&amp;G398&amp;"]"&amp;E398&amp;"'!"&amp;$X$1),0)</f>
        <v>#VALUE!</v>
      </c>
      <c r="I398" s="25" t="str">
        <f t="shared" si="122"/>
        <v/>
      </c>
      <c r="J398" s="32" t="str">
        <f t="shared" si="123"/>
        <v/>
      </c>
      <c r="K398" s="25" t="str">
        <f t="shared" si="124"/>
        <v/>
      </c>
      <c r="L398" s="25" t="str">
        <f t="shared" si="125"/>
        <v/>
      </c>
      <c r="M398" s="33" t="e" cm="1">
        <f t="array" aca="1" ref="M398" ca="1">IF(AND(J398=INDIRECT("'["&amp;G398&amp;"]"&amp;E398&amp;"'!"&amp;$Y$2),G398=INDIRECT("'["&amp;G398&amp;"]"&amp;E398&amp;"'!"&amp;$AH$2)),INDIRECT("'["&amp;G398&amp;"]"&amp;E398&amp;"'!"&amp;$Y$3),0)</f>
        <v>#VALUE!</v>
      </c>
      <c r="N398" s="34" t="e" cm="1">
        <f t="array" aca="1" ref="N398" ca="1">IF(AND(G398=INDIRECT("'["&amp;G398&amp;"]"&amp;E398&amp;"'!"&amp;$AH$2),OR(K398=INDIRECT("'["&amp;G398&amp;"]"&amp;E398&amp;"'!"&amp;$Z$2))),INDIRECT("'["&amp;G398&amp;"]"&amp;E398&amp;"'!"&amp;$Z$3),0)</f>
        <v>#VALUE!</v>
      </c>
      <c r="O398" s="34" t="e" cm="1">
        <f t="array" aca="1" ref="O398" ca="1">IF(AND(G398=INDIRECT("'["&amp;G398&amp;"]"&amp;E398&amp;"'!"&amp;$AH$2),OR(L398=INDIRECT("'["&amp;G398&amp;"]"&amp;E398&amp;"'!"&amp;$AA$2))),INDIRECT("'["&amp;G398&amp;"]"&amp;E398&amp;"'!"&amp;$AA$3),0)</f>
        <v>#VALUE!</v>
      </c>
      <c r="P398" s="34" t="e" cm="1">
        <f t="array" aca="1" ref="P398" ca="1">IF(AND(G398=INDIRECT("'["&amp;G398&amp;"]"&amp;E398&amp;"'!"&amp;$AH$2),OR(VALUE(I398)=INDIRECT("'["&amp;G398&amp;"]"&amp;E398&amp;"'!"&amp;$AB$2))),INDIRECT("'["&amp;G398&amp;"]"&amp;E398&amp;"'!"&amp;$AB$3),0)</f>
        <v>#VALUE!</v>
      </c>
      <c r="Q398" s="34" t="e" cm="1">
        <f t="array" aca="1" ref="Q398" ca="1">IF(AND(G398=INDIRECT("'["&amp;G398&amp;"]"&amp;E398&amp;"'!"&amp;$AH$2),OR(VALUE(I398)=INDIRECT("'["&amp;G398&amp;"]"&amp;E398&amp;"'!"&amp;$AC$2))),INDIRECT("'["&amp;G398&amp;"]"&amp;E398&amp;"'!"&amp;$AC$3),0)</f>
        <v>#VALUE!</v>
      </c>
      <c r="R398" s="34" t="e" cm="1">
        <f t="array" aca="1" ref="R398" ca="1">IF(AND(G398=INDIRECT("'["&amp;G398&amp;"]"&amp;E398&amp;"'!"&amp;$AH$2),OR(I398=INDIRECT("'["&amp;G398&amp;"]"&amp;E398&amp;"'!"&amp;$AD$2))),INDIRECT("'["&amp;G398&amp;"]"&amp;E398&amp;"'!"&amp;$AD$3),0)</f>
        <v>#VALUE!</v>
      </c>
      <c r="S398" s="34" t="e" cm="1">
        <f t="array" aca="1" ref="S398" ca="1">IF(AND(G398=INDIRECT("'["&amp;G398&amp;"]"&amp;E398&amp;"'!"&amp;$AH$2),OR(I398=INDIRECT("'["&amp;G398&amp;"]"&amp;E398&amp;"'!"&amp;$AE$2))),INDIRECT("'["&amp;G398&amp;"]"&amp;E398&amp;"'!"&amp;$AE$3),0)</f>
        <v>#VALUE!</v>
      </c>
      <c r="T398" s="35" t="e" cm="1">
        <f t="array" aca="1" ref="T398" ca="1">IF(AND(G398=INDIRECT("'["&amp;G398&amp;"]"&amp;E398&amp;"'!"&amp;$AH$2),OR(I398=INDIRECT("'["&amp;G398&amp;"]"&amp;E398&amp;"'!"&amp;$AF$2))),INDIRECT("'["&amp;G398&amp;"]"&amp;E398&amp;"'!"&amp;$AF$3),0)</f>
        <v>#VALUE!</v>
      </c>
      <c r="U398" s="34" t="e" cm="1">
        <f t="array" aca="1" ref="U398" ca="1">IF(AND(G398=INDIRECT("'["&amp;G398&amp;"]"&amp;E398&amp;"'!"&amp;$AH$2),OR(I398=INDIRECT("'["&amp;G398&amp;"]"&amp;E398&amp;"'!"&amp;$AG$2))),INDIRECT("'["&amp;G398&amp;"]"&amp;E398&amp;"'!"&amp;$AG$3),0)</f>
        <v>#VALUE!</v>
      </c>
      <c r="V398" s="25" t="str">
        <f t="shared" si="126"/>
        <v/>
      </c>
      <c r="W398" s="36" t="e" cm="1">
        <f t="array" aca="1" ref="W398" ca="1">IF(AND(G398=INDIRECT("'["&amp;G398&amp;"]"&amp;E398&amp;"'!"&amp;$AH$2),OR(V398=INDIRECT("'["&amp;G398&amp;"]"&amp;E398&amp;"'!"&amp;$AI$2))),INDIRECT("'["&amp;G398&amp;"]"&amp;E398&amp;"'!"&amp;$AI$3),0)</f>
        <v>#VALUE!</v>
      </c>
      <c r="AJ398" s="25">
        <v>1</v>
      </c>
      <c r="AK398" s="38">
        <f t="shared" ca="1" si="111"/>
        <v>0</v>
      </c>
      <c r="AL398" s="38">
        <f t="shared" ca="1" si="112"/>
        <v>0</v>
      </c>
      <c r="AM398" s="54" t="str">
        <f t="shared" ca="1" si="113"/>
        <v/>
      </c>
      <c r="AN398" s="25" t="e">
        <f t="shared" ca="1" si="114"/>
        <v>#VALUE!</v>
      </c>
      <c r="AO398" s="25" t="e">
        <f t="shared" ca="1" si="115"/>
        <v>#VALUE!</v>
      </c>
      <c r="AP398" s="39" t="str">
        <f t="shared" ca="1" si="116"/>
        <v/>
      </c>
      <c r="AQ398" s="46" t="str">
        <f ca="1">IF(AND(C398&lt;&gt;0, C399=0), SUM($C$2:C398)-SUM($AQ$1:AQ397), "")</f>
        <v/>
      </c>
      <c r="AR398" s="46" t="str">
        <f ca="1">IF(AND(AK398&lt;&gt;0, AK399=0), SUM($AK$2:AK398)-SUM($AR$1:AR397), "")</f>
        <v/>
      </c>
    </row>
    <row r="399" spans="1:44" ht="13.15" customHeight="1">
      <c r="A399" s="62"/>
      <c r="B399" s="68" t="str">
        <f t="shared" si="117"/>
        <v/>
      </c>
      <c r="C399" s="55" cm="1">
        <f t="array" aca="1" ref="C399" ca="1">SUM(IF(ISNUMBER(M399:U399),M399:U399,""))</f>
        <v>0</v>
      </c>
      <c r="D399" s="25" t="str">
        <f t="shared" si="118"/>
        <v/>
      </c>
      <c r="E399" s="25" t="e">
        <f t="shared" si="119"/>
        <v>#VALUE!</v>
      </c>
      <c r="F399" s="25" t="str">
        <f t="shared" si="120"/>
        <v/>
      </c>
      <c r="G399" s="25" t="str">
        <f t="shared" si="121"/>
        <v>.xlsx</v>
      </c>
      <c r="H399" s="29" t="e" cm="1">
        <f t="array" aca="1" ref="H399" ca="1">IF(AND(VALUE(E399)=INDIRECT("'["&amp;G399&amp;"]"&amp;E399&amp;"'!"&amp;$X$2),G399=INDIRECT("'["&amp;G399&amp;"]"&amp;E399&amp;"'!"&amp;$X$3)),INDIRECT("'["&amp;G399&amp;"]"&amp;E399&amp;"'!"&amp;$X$1),0)</f>
        <v>#VALUE!</v>
      </c>
      <c r="I399" s="25" t="str">
        <f t="shared" si="122"/>
        <v/>
      </c>
      <c r="J399" s="32" t="str">
        <f t="shared" si="123"/>
        <v/>
      </c>
      <c r="K399" s="25" t="str">
        <f t="shared" si="124"/>
        <v/>
      </c>
      <c r="L399" s="25" t="str">
        <f t="shared" si="125"/>
        <v/>
      </c>
      <c r="M399" s="33" t="e" cm="1">
        <f t="array" aca="1" ref="M399" ca="1">IF(AND(J399=INDIRECT("'["&amp;G399&amp;"]"&amp;E399&amp;"'!"&amp;$Y$2),G399=INDIRECT("'["&amp;G399&amp;"]"&amp;E399&amp;"'!"&amp;$AH$2)),INDIRECT("'["&amp;G399&amp;"]"&amp;E399&amp;"'!"&amp;$Y$3),0)</f>
        <v>#VALUE!</v>
      </c>
      <c r="N399" s="34" t="e" cm="1">
        <f t="array" aca="1" ref="N399" ca="1">IF(AND(G399=INDIRECT("'["&amp;G399&amp;"]"&amp;E399&amp;"'!"&amp;$AH$2),OR(K399=INDIRECT("'["&amp;G399&amp;"]"&amp;E399&amp;"'!"&amp;$Z$2))),INDIRECT("'["&amp;G399&amp;"]"&amp;E399&amp;"'!"&amp;$Z$3),0)</f>
        <v>#VALUE!</v>
      </c>
      <c r="O399" s="34" t="e" cm="1">
        <f t="array" aca="1" ref="O399" ca="1">IF(AND(G399=INDIRECT("'["&amp;G399&amp;"]"&amp;E399&amp;"'!"&amp;$AH$2),OR(L399=INDIRECT("'["&amp;G399&amp;"]"&amp;E399&amp;"'!"&amp;$AA$2))),INDIRECT("'["&amp;G399&amp;"]"&amp;E399&amp;"'!"&amp;$AA$3),0)</f>
        <v>#VALUE!</v>
      </c>
      <c r="P399" s="34" t="e" cm="1">
        <f t="array" aca="1" ref="P399" ca="1">IF(AND(G399=INDIRECT("'["&amp;G399&amp;"]"&amp;E399&amp;"'!"&amp;$AH$2),OR(VALUE(I399)=INDIRECT("'["&amp;G399&amp;"]"&amp;E399&amp;"'!"&amp;$AB$2))),INDIRECT("'["&amp;G399&amp;"]"&amp;E399&amp;"'!"&amp;$AB$3),0)</f>
        <v>#VALUE!</v>
      </c>
      <c r="Q399" s="34" t="e" cm="1">
        <f t="array" aca="1" ref="Q399" ca="1">IF(AND(G399=INDIRECT("'["&amp;G399&amp;"]"&amp;E399&amp;"'!"&amp;$AH$2),OR(VALUE(I399)=INDIRECT("'["&amp;G399&amp;"]"&amp;E399&amp;"'!"&amp;$AC$2))),INDIRECT("'["&amp;G399&amp;"]"&amp;E399&amp;"'!"&amp;$AC$3),0)</f>
        <v>#VALUE!</v>
      </c>
      <c r="R399" s="34" t="e" cm="1">
        <f t="array" aca="1" ref="R399" ca="1">IF(AND(G399=INDIRECT("'["&amp;G399&amp;"]"&amp;E399&amp;"'!"&amp;$AH$2),OR(I399=INDIRECT("'["&amp;G399&amp;"]"&amp;E399&amp;"'!"&amp;$AD$2))),INDIRECT("'["&amp;G399&amp;"]"&amp;E399&amp;"'!"&amp;$AD$3),0)</f>
        <v>#VALUE!</v>
      </c>
      <c r="S399" s="34" t="e" cm="1">
        <f t="array" aca="1" ref="S399" ca="1">IF(AND(G399=INDIRECT("'["&amp;G399&amp;"]"&amp;E399&amp;"'!"&amp;$AH$2),OR(I399=INDIRECT("'["&amp;G399&amp;"]"&amp;E399&amp;"'!"&amp;$AE$2))),INDIRECT("'["&amp;G399&amp;"]"&amp;E399&amp;"'!"&amp;$AE$3),0)</f>
        <v>#VALUE!</v>
      </c>
      <c r="T399" s="35" t="e" cm="1">
        <f t="array" aca="1" ref="T399" ca="1">IF(AND(G399=INDIRECT("'["&amp;G399&amp;"]"&amp;E399&amp;"'!"&amp;$AH$2),OR(I399=INDIRECT("'["&amp;G399&amp;"]"&amp;E399&amp;"'!"&amp;$AF$2))),INDIRECT("'["&amp;G399&amp;"]"&amp;E399&amp;"'!"&amp;$AF$3),0)</f>
        <v>#VALUE!</v>
      </c>
      <c r="U399" s="34" t="e" cm="1">
        <f t="array" aca="1" ref="U399" ca="1">IF(AND(G399=INDIRECT("'["&amp;G399&amp;"]"&amp;E399&amp;"'!"&amp;$AH$2),OR(I399=INDIRECT("'["&amp;G399&amp;"]"&amp;E399&amp;"'!"&amp;$AG$2))),INDIRECT("'["&amp;G399&amp;"]"&amp;E399&amp;"'!"&amp;$AG$3),0)</f>
        <v>#VALUE!</v>
      </c>
      <c r="V399" s="25" t="str">
        <f t="shared" si="126"/>
        <v/>
      </c>
      <c r="W399" s="36" t="e" cm="1">
        <f t="array" aca="1" ref="W399" ca="1">IF(AND(G399=INDIRECT("'["&amp;G399&amp;"]"&amp;E399&amp;"'!"&amp;$AH$2),OR(V399=INDIRECT("'["&amp;G399&amp;"]"&amp;E399&amp;"'!"&amp;$AI$2))),INDIRECT("'["&amp;G399&amp;"]"&amp;E399&amp;"'!"&amp;$AI$3),0)</f>
        <v>#VALUE!</v>
      </c>
      <c r="AJ399" s="25">
        <v>1</v>
      </c>
      <c r="AK399" s="38">
        <f t="shared" ca="1" si="111"/>
        <v>0</v>
      </c>
      <c r="AL399" s="38">
        <f t="shared" ca="1" si="112"/>
        <v>0</v>
      </c>
      <c r="AM399" s="54" t="str">
        <f t="shared" ca="1" si="113"/>
        <v/>
      </c>
      <c r="AN399" s="25" t="e">
        <f t="shared" ca="1" si="114"/>
        <v>#VALUE!</v>
      </c>
      <c r="AO399" s="25" t="e">
        <f t="shared" ca="1" si="115"/>
        <v>#VALUE!</v>
      </c>
      <c r="AP399" s="39" t="str">
        <f t="shared" ca="1" si="116"/>
        <v/>
      </c>
      <c r="AQ399" s="46" t="str">
        <f ca="1">IF(AND(C399&lt;&gt;0, C400=0), SUM($C$2:C399)-SUM($AQ$1:AQ398), "")</f>
        <v/>
      </c>
      <c r="AR399" s="46" t="str">
        <f ca="1">IF(AND(AK399&lt;&gt;0, AK400=0), SUM($AK$2:AK399)-SUM($AR$1:AR398), "")</f>
        <v/>
      </c>
    </row>
    <row r="400" spans="1:44" ht="13.15" customHeight="1">
      <c r="A400" s="62"/>
      <c r="B400" s="68" t="str">
        <f t="shared" si="117"/>
        <v/>
      </c>
      <c r="C400" s="55" cm="1">
        <f t="array" aca="1" ref="C400" ca="1">SUM(IF(ISNUMBER(M400:U400),M400:U400,""))</f>
        <v>0</v>
      </c>
      <c r="D400" s="25" t="str">
        <f t="shared" si="118"/>
        <v/>
      </c>
      <c r="E400" s="25" t="e">
        <f t="shared" si="119"/>
        <v>#VALUE!</v>
      </c>
      <c r="F400" s="25" t="str">
        <f t="shared" si="120"/>
        <v/>
      </c>
      <c r="G400" s="25" t="str">
        <f t="shared" si="121"/>
        <v>.xlsx</v>
      </c>
      <c r="H400" s="29" t="e" cm="1">
        <f t="array" aca="1" ref="H400" ca="1">IF(AND(VALUE(E400)=INDIRECT("'["&amp;G400&amp;"]"&amp;E400&amp;"'!"&amp;$X$2),G400=INDIRECT("'["&amp;G400&amp;"]"&amp;E400&amp;"'!"&amp;$X$3)),INDIRECT("'["&amp;G400&amp;"]"&amp;E400&amp;"'!"&amp;$X$1),0)</f>
        <v>#VALUE!</v>
      </c>
      <c r="I400" s="25" t="str">
        <f t="shared" si="122"/>
        <v/>
      </c>
      <c r="J400" s="32" t="str">
        <f t="shared" si="123"/>
        <v/>
      </c>
      <c r="K400" s="25" t="str">
        <f t="shared" si="124"/>
        <v/>
      </c>
      <c r="L400" s="25" t="str">
        <f t="shared" si="125"/>
        <v/>
      </c>
      <c r="M400" s="33" t="e" cm="1">
        <f t="array" aca="1" ref="M400" ca="1">IF(AND(J400=INDIRECT("'["&amp;G400&amp;"]"&amp;E400&amp;"'!"&amp;$Y$2),G400=INDIRECT("'["&amp;G400&amp;"]"&amp;E400&amp;"'!"&amp;$AH$2)),INDIRECT("'["&amp;G400&amp;"]"&amp;E400&amp;"'!"&amp;$Y$3),0)</f>
        <v>#VALUE!</v>
      </c>
      <c r="N400" s="34" t="e" cm="1">
        <f t="array" aca="1" ref="N400" ca="1">IF(AND(G400=INDIRECT("'["&amp;G400&amp;"]"&amp;E400&amp;"'!"&amp;$AH$2),OR(K400=INDIRECT("'["&amp;G400&amp;"]"&amp;E400&amp;"'!"&amp;$Z$2))),INDIRECT("'["&amp;G400&amp;"]"&amp;E400&amp;"'!"&amp;$Z$3),0)</f>
        <v>#VALUE!</v>
      </c>
      <c r="O400" s="34" t="e" cm="1">
        <f t="array" aca="1" ref="O400" ca="1">IF(AND(G400=INDIRECT("'["&amp;G400&amp;"]"&amp;E400&amp;"'!"&amp;$AH$2),OR(L400=INDIRECT("'["&amp;G400&amp;"]"&amp;E400&amp;"'!"&amp;$AA$2))),INDIRECT("'["&amp;G400&amp;"]"&amp;E400&amp;"'!"&amp;$AA$3),0)</f>
        <v>#VALUE!</v>
      </c>
      <c r="P400" s="34" t="e" cm="1">
        <f t="array" aca="1" ref="P400" ca="1">IF(AND(G400=INDIRECT("'["&amp;G400&amp;"]"&amp;E400&amp;"'!"&amp;$AH$2),OR(VALUE(I400)=INDIRECT("'["&amp;G400&amp;"]"&amp;E400&amp;"'!"&amp;$AB$2))),INDIRECT("'["&amp;G400&amp;"]"&amp;E400&amp;"'!"&amp;$AB$3),0)</f>
        <v>#VALUE!</v>
      </c>
      <c r="Q400" s="34" t="e" cm="1">
        <f t="array" aca="1" ref="Q400" ca="1">IF(AND(G400=INDIRECT("'["&amp;G400&amp;"]"&amp;E400&amp;"'!"&amp;$AH$2),OR(VALUE(I400)=INDIRECT("'["&amp;G400&amp;"]"&amp;E400&amp;"'!"&amp;$AC$2))),INDIRECT("'["&amp;G400&amp;"]"&amp;E400&amp;"'!"&amp;$AC$3),0)</f>
        <v>#VALUE!</v>
      </c>
      <c r="R400" s="34" t="e" cm="1">
        <f t="array" aca="1" ref="R400" ca="1">IF(AND(G400=INDIRECT("'["&amp;G400&amp;"]"&amp;E400&amp;"'!"&amp;$AH$2),OR(I400=INDIRECT("'["&amp;G400&amp;"]"&amp;E400&amp;"'!"&amp;$AD$2))),INDIRECT("'["&amp;G400&amp;"]"&amp;E400&amp;"'!"&amp;$AD$3),0)</f>
        <v>#VALUE!</v>
      </c>
      <c r="S400" s="34" t="e" cm="1">
        <f t="array" aca="1" ref="S400" ca="1">IF(AND(G400=INDIRECT("'["&amp;G400&amp;"]"&amp;E400&amp;"'!"&amp;$AH$2),OR(I400=INDIRECT("'["&amp;G400&amp;"]"&amp;E400&amp;"'!"&amp;$AE$2))),INDIRECT("'["&amp;G400&amp;"]"&amp;E400&amp;"'!"&amp;$AE$3),0)</f>
        <v>#VALUE!</v>
      </c>
      <c r="T400" s="35" t="e" cm="1">
        <f t="array" aca="1" ref="T400" ca="1">IF(AND(G400=INDIRECT("'["&amp;G400&amp;"]"&amp;E400&amp;"'!"&amp;$AH$2),OR(I400=INDIRECT("'["&amp;G400&amp;"]"&amp;E400&amp;"'!"&amp;$AF$2))),INDIRECT("'["&amp;G400&amp;"]"&amp;E400&amp;"'!"&amp;$AF$3),0)</f>
        <v>#VALUE!</v>
      </c>
      <c r="U400" s="34" t="e" cm="1">
        <f t="array" aca="1" ref="U400" ca="1">IF(AND(G400=INDIRECT("'["&amp;G400&amp;"]"&amp;E400&amp;"'!"&amp;$AH$2),OR(I400=INDIRECT("'["&amp;G400&amp;"]"&amp;E400&amp;"'!"&amp;$AG$2))),INDIRECT("'["&amp;G400&amp;"]"&amp;E400&amp;"'!"&amp;$AG$3),0)</f>
        <v>#VALUE!</v>
      </c>
      <c r="V400" s="25" t="str">
        <f t="shared" si="126"/>
        <v/>
      </c>
      <c r="W400" s="36" t="e" cm="1">
        <f t="array" aca="1" ref="W400" ca="1">IF(AND(G400=INDIRECT("'["&amp;G400&amp;"]"&amp;E400&amp;"'!"&amp;$AH$2),OR(V400=INDIRECT("'["&amp;G400&amp;"]"&amp;E400&amp;"'!"&amp;$AI$2))),INDIRECT("'["&amp;G400&amp;"]"&amp;E400&amp;"'!"&amp;$AI$3),0)</f>
        <v>#VALUE!</v>
      </c>
      <c r="AJ400" s="25">
        <v>1</v>
      </c>
      <c r="AK400" s="38">
        <f t="shared" ca="1" si="111"/>
        <v>0</v>
      </c>
      <c r="AL400" s="38">
        <f t="shared" ca="1" si="112"/>
        <v>0</v>
      </c>
      <c r="AM400" s="54" t="str">
        <f t="shared" ca="1" si="113"/>
        <v/>
      </c>
      <c r="AN400" s="25" t="e">
        <f t="shared" ca="1" si="114"/>
        <v>#VALUE!</v>
      </c>
      <c r="AO400" s="25" t="e">
        <f t="shared" ca="1" si="115"/>
        <v>#VALUE!</v>
      </c>
      <c r="AP400" s="39" t="str">
        <f t="shared" ca="1" si="116"/>
        <v/>
      </c>
      <c r="AQ400" s="46" t="str">
        <f ca="1">IF(AND(C400&lt;&gt;0, C401=0), SUM($C$2:C400)-SUM($AQ$1:AQ399), "")</f>
        <v/>
      </c>
      <c r="AR400" s="46" t="str">
        <f ca="1">IF(AND(AK400&lt;&gt;0, AK401=0), SUM($AK$2:AK400)-SUM($AR$1:AR399), "")</f>
        <v/>
      </c>
    </row>
    <row r="401" spans="1:44" ht="13.15" customHeight="1">
      <c r="A401" s="62"/>
      <c r="B401" s="68" t="str">
        <f t="shared" si="117"/>
        <v/>
      </c>
      <c r="C401" s="55" cm="1">
        <f t="array" aca="1" ref="C401" ca="1">SUM(IF(ISNUMBER(M401:U401),M401:U401,""))</f>
        <v>0</v>
      </c>
      <c r="D401" s="25" t="str">
        <f t="shared" si="118"/>
        <v/>
      </c>
      <c r="E401" s="25" t="e">
        <f t="shared" si="119"/>
        <v>#VALUE!</v>
      </c>
      <c r="F401" s="25" t="str">
        <f t="shared" si="120"/>
        <v/>
      </c>
      <c r="G401" s="25" t="str">
        <f t="shared" si="121"/>
        <v>.xlsx</v>
      </c>
      <c r="H401" s="29" t="e" cm="1">
        <f t="array" aca="1" ref="H401" ca="1">IF(AND(VALUE(E401)=INDIRECT("'["&amp;G401&amp;"]"&amp;E401&amp;"'!"&amp;$X$2),G401=INDIRECT("'["&amp;G401&amp;"]"&amp;E401&amp;"'!"&amp;$X$3)),INDIRECT("'["&amp;G401&amp;"]"&amp;E401&amp;"'!"&amp;$X$1),0)</f>
        <v>#VALUE!</v>
      </c>
      <c r="I401" s="25" t="str">
        <f t="shared" si="122"/>
        <v/>
      </c>
      <c r="J401" s="32" t="str">
        <f t="shared" si="123"/>
        <v/>
      </c>
      <c r="K401" s="25" t="str">
        <f t="shared" si="124"/>
        <v/>
      </c>
      <c r="L401" s="25" t="str">
        <f t="shared" si="125"/>
        <v/>
      </c>
      <c r="M401" s="33" t="e" cm="1">
        <f t="array" aca="1" ref="M401" ca="1">IF(AND(J401=INDIRECT("'["&amp;G401&amp;"]"&amp;E401&amp;"'!"&amp;$Y$2),G401=INDIRECT("'["&amp;G401&amp;"]"&amp;E401&amp;"'!"&amp;$AH$2)),INDIRECT("'["&amp;G401&amp;"]"&amp;E401&amp;"'!"&amp;$Y$3),0)</f>
        <v>#VALUE!</v>
      </c>
      <c r="N401" s="34" t="e" cm="1">
        <f t="array" aca="1" ref="N401" ca="1">IF(AND(G401=INDIRECT("'["&amp;G401&amp;"]"&amp;E401&amp;"'!"&amp;$AH$2),OR(K401=INDIRECT("'["&amp;G401&amp;"]"&amp;E401&amp;"'!"&amp;$Z$2))),INDIRECT("'["&amp;G401&amp;"]"&amp;E401&amp;"'!"&amp;$Z$3),0)</f>
        <v>#VALUE!</v>
      </c>
      <c r="O401" s="34" t="e" cm="1">
        <f t="array" aca="1" ref="O401" ca="1">IF(AND(G401=INDIRECT("'["&amp;G401&amp;"]"&amp;E401&amp;"'!"&amp;$AH$2),OR(L401=INDIRECT("'["&amp;G401&amp;"]"&amp;E401&amp;"'!"&amp;$AA$2))),INDIRECT("'["&amp;G401&amp;"]"&amp;E401&amp;"'!"&amp;$AA$3),0)</f>
        <v>#VALUE!</v>
      </c>
      <c r="P401" s="34" t="e" cm="1">
        <f t="array" aca="1" ref="P401" ca="1">IF(AND(G401=INDIRECT("'["&amp;G401&amp;"]"&amp;E401&amp;"'!"&amp;$AH$2),OR(VALUE(I401)=INDIRECT("'["&amp;G401&amp;"]"&amp;E401&amp;"'!"&amp;$AB$2))),INDIRECT("'["&amp;G401&amp;"]"&amp;E401&amp;"'!"&amp;$AB$3),0)</f>
        <v>#VALUE!</v>
      </c>
      <c r="Q401" s="34" t="e" cm="1">
        <f t="array" aca="1" ref="Q401" ca="1">IF(AND(G401=INDIRECT("'["&amp;G401&amp;"]"&amp;E401&amp;"'!"&amp;$AH$2),OR(VALUE(I401)=INDIRECT("'["&amp;G401&amp;"]"&amp;E401&amp;"'!"&amp;$AC$2))),INDIRECT("'["&amp;G401&amp;"]"&amp;E401&amp;"'!"&amp;$AC$3),0)</f>
        <v>#VALUE!</v>
      </c>
      <c r="R401" s="34" t="e" cm="1">
        <f t="array" aca="1" ref="R401" ca="1">IF(AND(G401=INDIRECT("'["&amp;G401&amp;"]"&amp;E401&amp;"'!"&amp;$AH$2),OR(I401=INDIRECT("'["&amp;G401&amp;"]"&amp;E401&amp;"'!"&amp;$AD$2))),INDIRECT("'["&amp;G401&amp;"]"&amp;E401&amp;"'!"&amp;$AD$3),0)</f>
        <v>#VALUE!</v>
      </c>
      <c r="S401" s="34" t="e" cm="1">
        <f t="array" aca="1" ref="S401" ca="1">IF(AND(G401=INDIRECT("'["&amp;G401&amp;"]"&amp;E401&amp;"'!"&amp;$AH$2),OR(I401=INDIRECT("'["&amp;G401&amp;"]"&amp;E401&amp;"'!"&amp;$AE$2))),INDIRECT("'["&amp;G401&amp;"]"&amp;E401&amp;"'!"&amp;$AE$3),0)</f>
        <v>#VALUE!</v>
      </c>
      <c r="T401" s="35" t="e" cm="1">
        <f t="array" aca="1" ref="T401" ca="1">IF(AND(G401=INDIRECT("'["&amp;G401&amp;"]"&amp;E401&amp;"'!"&amp;$AH$2),OR(I401=INDIRECT("'["&amp;G401&amp;"]"&amp;E401&amp;"'!"&amp;$AF$2))),INDIRECT("'["&amp;G401&amp;"]"&amp;E401&amp;"'!"&amp;$AF$3),0)</f>
        <v>#VALUE!</v>
      </c>
      <c r="U401" s="34" t="e" cm="1">
        <f t="array" aca="1" ref="U401" ca="1">IF(AND(G401=INDIRECT("'["&amp;G401&amp;"]"&amp;E401&amp;"'!"&amp;$AH$2),OR(I401=INDIRECT("'["&amp;G401&amp;"]"&amp;E401&amp;"'!"&amp;$AG$2))),INDIRECT("'["&amp;G401&amp;"]"&amp;E401&amp;"'!"&amp;$AG$3),0)</f>
        <v>#VALUE!</v>
      </c>
      <c r="V401" s="25" t="str">
        <f t="shared" si="126"/>
        <v/>
      </c>
      <c r="W401" s="36" t="e" cm="1">
        <f t="array" aca="1" ref="W401" ca="1">IF(AND(G401=INDIRECT("'["&amp;G401&amp;"]"&amp;E401&amp;"'!"&amp;$AH$2),OR(V401=INDIRECT("'["&amp;G401&amp;"]"&amp;E401&amp;"'!"&amp;$AI$2))),INDIRECT("'["&amp;G401&amp;"]"&amp;E401&amp;"'!"&amp;$AI$3),0)</f>
        <v>#VALUE!</v>
      </c>
      <c r="AJ401" s="25">
        <v>1</v>
      </c>
      <c r="AK401" s="38">
        <f t="shared" ca="1" si="111"/>
        <v>0</v>
      </c>
      <c r="AL401" s="38">
        <f t="shared" ca="1" si="112"/>
        <v>0</v>
      </c>
      <c r="AM401" s="54" t="str">
        <f t="shared" ca="1" si="113"/>
        <v/>
      </c>
      <c r="AN401" s="25" t="e">
        <f t="shared" ca="1" si="114"/>
        <v>#VALUE!</v>
      </c>
      <c r="AO401" s="25" t="e">
        <f t="shared" ca="1" si="115"/>
        <v>#VALUE!</v>
      </c>
      <c r="AP401" s="39" t="str">
        <f t="shared" ca="1" si="116"/>
        <v/>
      </c>
      <c r="AQ401" s="46" t="str">
        <f ca="1">IF(AND(C401&lt;&gt;0, C402=0), SUM($C$2:C401)-SUM($AQ$1:AQ400), "")</f>
        <v/>
      </c>
      <c r="AR401" s="46" t="str">
        <f ca="1">IF(AND(AK401&lt;&gt;0, AK402=0), SUM($AK$2:AK401)-SUM($AR$1:AR400), "")</f>
        <v/>
      </c>
    </row>
    <row r="402" spans="1:44" ht="13.15" customHeight="1">
      <c r="A402" s="62"/>
      <c r="B402" s="68" t="str">
        <f t="shared" si="117"/>
        <v/>
      </c>
      <c r="C402" s="55" cm="1">
        <f t="array" aca="1" ref="C402" ca="1">SUM(IF(ISNUMBER(M402:U402),M402:U402,""))</f>
        <v>0</v>
      </c>
      <c r="D402" s="25" t="str">
        <f t="shared" si="118"/>
        <v/>
      </c>
      <c r="E402" s="25" t="e">
        <f t="shared" si="119"/>
        <v>#VALUE!</v>
      </c>
      <c r="F402" s="25" t="str">
        <f t="shared" si="120"/>
        <v/>
      </c>
      <c r="G402" s="25" t="str">
        <f t="shared" si="121"/>
        <v>.xlsx</v>
      </c>
      <c r="H402" s="29" t="e" cm="1">
        <f t="array" aca="1" ref="H402" ca="1">IF(AND(VALUE(E402)=INDIRECT("'["&amp;G402&amp;"]"&amp;E402&amp;"'!"&amp;$X$2),G402=INDIRECT("'["&amp;G402&amp;"]"&amp;E402&amp;"'!"&amp;$X$3)),INDIRECT("'["&amp;G402&amp;"]"&amp;E402&amp;"'!"&amp;$X$1),0)</f>
        <v>#VALUE!</v>
      </c>
      <c r="I402" s="25" t="str">
        <f t="shared" si="122"/>
        <v/>
      </c>
      <c r="J402" s="32" t="str">
        <f t="shared" si="123"/>
        <v/>
      </c>
      <c r="K402" s="25" t="str">
        <f t="shared" si="124"/>
        <v/>
      </c>
      <c r="L402" s="25" t="str">
        <f t="shared" si="125"/>
        <v/>
      </c>
      <c r="M402" s="33" t="e" cm="1">
        <f t="array" aca="1" ref="M402" ca="1">IF(AND(J402=INDIRECT("'["&amp;G402&amp;"]"&amp;E402&amp;"'!"&amp;$Y$2),G402=INDIRECT("'["&amp;G402&amp;"]"&amp;E402&amp;"'!"&amp;$AH$2)),INDIRECT("'["&amp;G402&amp;"]"&amp;E402&amp;"'!"&amp;$Y$3),0)</f>
        <v>#VALUE!</v>
      </c>
      <c r="N402" s="34" t="e" cm="1">
        <f t="array" aca="1" ref="N402" ca="1">IF(AND(G402=INDIRECT("'["&amp;G402&amp;"]"&amp;E402&amp;"'!"&amp;$AH$2),OR(K402=INDIRECT("'["&amp;G402&amp;"]"&amp;E402&amp;"'!"&amp;$Z$2))),INDIRECT("'["&amp;G402&amp;"]"&amp;E402&amp;"'!"&amp;$Z$3),0)</f>
        <v>#VALUE!</v>
      </c>
      <c r="O402" s="34" t="e" cm="1">
        <f t="array" aca="1" ref="O402" ca="1">IF(AND(G402=INDIRECT("'["&amp;G402&amp;"]"&amp;E402&amp;"'!"&amp;$AH$2),OR(L402=INDIRECT("'["&amp;G402&amp;"]"&amp;E402&amp;"'!"&amp;$AA$2))),INDIRECT("'["&amp;G402&amp;"]"&amp;E402&amp;"'!"&amp;$AA$3),0)</f>
        <v>#VALUE!</v>
      </c>
      <c r="P402" s="34" t="e" cm="1">
        <f t="array" aca="1" ref="P402" ca="1">IF(AND(G402=INDIRECT("'["&amp;G402&amp;"]"&amp;E402&amp;"'!"&amp;$AH$2),OR(VALUE(I402)=INDIRECT("'["&amp;G402&amp;"]"&amp;E402&amp;"'!"&amp;$AB$2))),INDIRECT("'["&amp;G402&amp;"]"&amp;E402&amp;"'!"&amp;$AB$3),0)</f>
        <v>#VALUE!</v>
      </c>
      <c r="Q402" s="34" t="e" cm="1">
        <f t="array" aca="1" ref="Q402" ca="1">IF(AND(G402=INDIRECT("'["&amp;G402&amp;"]"&amp;E402&amp;"'!"&amp;$AH$2),OR(VALUE(I402)=INDIRECT("'["&amp;G402&amp;"]"&amp;E402&amp;"'!"&amp;$AC$2))),INDIRECT("'["&amp;G402&amp;"]"&amp;E402&amp;"'!"&amp;$AC$3),0)</f>
        <v>#VALUE!</v>
      </c>
      <c r="R402" s="34" t="e" cm="1">
        <f t="array" aca="1" ref="R402" ca="1">IF(AND(G402=INDIRECT("'["&amp;G402&amp;"]"&amp;E402&amp;"'!"&amp;$AH$2),OR(I402=INDIRECT("'["&amp;G402&amp;"]"&amp;E402&amp;"'!"&amp;$AD$2))),INDIRECT("'["&amp;G402&amp;"]"&amp;E402&amp;"'!"&amp;$AD$3),0)</f>
        <v>#VALUE!</v>
      </c>
      <c r="S402" s="34" t="e" cm="1">
        <f t="array" aca="1" ref="S402" ca="1">IF(AND(G402=INDIRECT("'["&amp;G402&amp;"]"&amp;E402&amp;"'!"&amp;$AH$2),OR(I402=INDIRECT("'["&amp;G402&amp;"]"&amp;E402&amp;"'!"&amp;$AE$2))),INDIRECT("'["&amp;G402&amp;"]"&amp;E402&amp;"'!"&amp;$AE$3),0)</f>
        <v>#VALUE!</v>
      </c>
      <c r="T402" s="35" t="e" cm="1">
        <f t="array" aca="1" ref="T402" ca="1">IF(AND(G402=INDIRECT("'["&amp;G402&amp;"]"&amp;E402&amp;"'!"&amp;$AH$2),OR(I402=INDIRECT("'["&amp;G402&amp;"]"&amp;E402&amp;"'!"&amp;$AF$2))),INDIRECT("'["&amp;G402&amp;"]"&amp;E402&amp;"'!"&amp;$AF$3),0)</f>
        <v>#VALUE!</v>
      </c>
      <c r="U402" s="34" t="e" cm="1">
        <f t="array" aca="1" ref="U402" ca="1">IF(AND(G402=INDIRECT("'["&amp;G402&amp;"]"&amp;E402&amp;"'!"&amp;$AH$2),OR(I402=INDIRECT("'["&amp;G402&amp;"]"&amp;E402&amp;"'!"&amp;$AG$2))),INDIRECT("'["&amp;G402&amp;"]"&amp;E402&amp;"'!"&amp;$AG$3),0)</f>
        <v>#VALUE!</v>
      </c>
      <c r="V402" s="25" t="str">
        <f t="shared" si="126"/>
        <v/>
      </c>
      <c r="W402" s="36" t="e" cm="1">
        <f t="array" aca="1" ref="W402" ca="1">IF(AND(G402=INDIRECT("'["&amp;G402&amp;"]"&amp;E402&amp;"'!"&amp;$AH$2),OR(V402=INDIRECT("'["&amp;G402&amp;"]"&amp;E402&amp;"'!"&amp;$AI$2))),INDIRECT("'["&amp;G402&amp;"]"&amp;E402&amp;"'!"&amp;$AI$3),0)</f>
        <v>#VALUE!</v>
      </c>
      <c r="AJ402" s="25">
        <v>1</v>
      </c>
      <c r="AK402" s="38">
        <f t="shared" ca="1" si="111"/>
        <v>0</v>
      </c>
      <c r="AL402" s="38">
        <f t="shared" ca="1" si="112"/>
        <v>0</v>
      </c>
      <c r="AM402" s="54" t="str">
        <f t="shared" ca="1" si="113"/>
        <v/>
      </c>
      <c r="AN402" s="25" t="e">
        <f t="shared" ca="1" si="114"/>
        <v>#VALUE!</v>
      </c>
      <c r="AO402" s="25" t="e">
        <f t="shared" ca="1" si="115"/>
        <v>#VALUE!</v>
      </c>
      <c r="AP402" s="39" t="str">
        <f t="shared" ca="1" si="116"/>
        <v/>
      </c>
      <c r="AQ402" s="46" t="str">
        <f ca="1">IF(AND(C402&lt;&gt;0, C403=0), SUM($C$2:C402)-SUM($AQ$1:AQ401), "")</f>
        <v/>
      </c>
      <c r="AR402" s="46" t="str">
        <f ca="1">IF(AND(AK402&lt;&gt;0, AK403=0), SUM($AK$2:AK402)-SUM($AR$1:AR401), "")</f>
        <v/>
      </c>
    </row>
    <row r="403" spans="1:44" ht="13.15" customHeight="1">
      <c r="A403" s="62"/>
      <c r="B403" s="68" t="str">
        <f t="shared" si="117"/>
        <v/>
      </c>
      <c r="C403" s="55" cm="1">
        <f t="array" aca="1" ref="C403" ca="1">SUM(IF(ISNUMBER(M403:U403),M403:U403,""))</f>
        <v>0</v>
      </c>
      <c r="D403" s="25" t="str">
        <f t="shared" si="118"/>
        <v/>
      </c>
      <c r="E403" s="25" t="e">
        <f t="shared" si="119"/>
        <v>#VALUE!</v>
      </c>
      <c r="F403" s="25" t="str">
        <f t="shared" si="120"/>
        <v/>
      </c>
      <c r="G403" s="25" t="str">
        <f t="shared" si="121"/>
        <v>.xlsx</v>
      </c>
      <c r="H403" s="29" t="e" cm="1">
        <f t="array" aca="1" ref="H403" ca="1">IF(AND(VALUE(E403)=INDIRECT("'["&amp;G403&amp;"]"&amp;E403&amp;"'!"&amp;$X$2),G403=INDIRECT("'["&amp;G403&amp;"]"&amp;E403&amp;"'!"&amp;$X$3)),INDIRECT("'["&amp;G403&amp;"]"&amp;E403&amp;"'!"&amp;$X$1),0)</f>
        <v>#VALUE!</v>
      </c>
      <c r="I403" s="25" t="str">
        <f t="shared" si="122"/>
        <v/>
      </c>
      <c r="J403" s="32" t="str">
        <f t="shared" si="123"/>
        <v/>
      </c>
      <c r="K403" s="25" t="str">
        <f t="shared" si="124"/>
        <v/>
      </c>
      <c r="L403" s="25" t="str">
        <f t="shared" si="125"/>
        <v/>
      </c>
      <c r="M403" s="33" t="e" cm="1">
        <f t="array" aca="1" ref="M403" ca="1">IF(AND(J403=INDIRECT("'["&amp;G403&amp;"]"&amp;E403&amp;"'!"&amp;$Y$2),G403=INDIRECT("'["&amp;G403&amp;"]"&amp;E403&amp;"'!"&amp;$AH$2)),INDIRECT("'["&amp;G403&amp;"]"&amp;E403&amp;"'!"&amp;$Y$3),0)</f>
        <v>#VALUE!</v>
      </c>
      <c r="N403" s="34" t="e" cm="1">
        <f t="array" aca="1" ref="N403" ca="1">IF(AND(G403=INDIRECT("'["&amp;G403&amp;"]"&amp;E403&amp;"'!"&amp;$AH$2),OR(K403=INDIRECT("'["&amp;G403&amp;"]"&amp;E403&amp;"'!"&amp;$Z$2))),INDIRECT("'["&amp;G403&amp;"]"&amp;E403&amp;"'!"&amp;$Z$3),0)</f>
        <v>#VALUE!</v>
      </c>
      <c r="O403" s="34" t="e" cm="1">
        <f t="array" aca="1" ref="O403" ca="1">IF(AND(G403=INDIRECT("'["&amp;G403&amp;"]"&amp;E403&amp;"'!"&amp;$AH$2),OR(L403=INDIRECT("'["&amp;G403&amp;"]"&amp;E403&amp;"'!"&amp;$AA$2))),INDIRECT("'["&amp;G403&amp;"]"&amp;E403&amp;"'!"&amp;$AA$3),0)</f>
        <v>#VALUE!</v>
      </c>
      <c r="P403" s="34" t="e" cm="1">
        <f t="array" aca="1" ref="P403" ca="1">IF(AND(G403=INDIRECT("'["&amp;G403&amp;"]"&amp;E403&amp;"'!"&amp;$AH$2),OR(VALUE(I403)=INDIRECT("'["&amp;G403&amp;"]"&amp;E403&amp;"'!"&amp;$AB$2))),INDIRECT("'["&amp;G403&amp;"]"&amp;E403&amp;"'!"&amp;$AB$3),0)</f>
        <v>#VALUE!</v>
      </c>
      <c r="Q403" s="34" t="e" cm="1">
        <f t="array" aca="1" ref="Q403" ca="1">IF(AND(G403=INDIRECT("'["&amp;G403&amp;"]"&amp;E403&amp;"'!"&amp;$AH$2),OR(VALUE(I403)=INDIRECT("'["&amp;G403&amp;"]"&amp;E403&amp;"'!"&amp;$AC$2))),INDIRECT("'["&amp;G403&amp;"]"&amp;E403&amp;"'!"&amp;$AC$3),0)</f>
        <v>#VALUE!</v>
      </c>
      <c r="R403" s="34" t="e" cm="1">
        <f t="array" aca="1" ref="R403" ca="1">IF(AND(G403=INDIRECT("'["&amp;G403&amp;"]"&amp;E403&amp;"'!"&amp;$AH$2),OR(I403=INDIRECT("'["&amp;G403&amp;"]"&amp;E403&amp;"'!"&amp;$AD$2))),INDIRECT("'["&amp;G403&amp;"]"&amp;E403&amp;"'!"&amp;$AD$3),0)</f>
        <v>#VALUE!</v>
      </c>
      <c r="S403" s="34" t="e" cm="1">
        <f t="array" aca="1" ref="S403" ca="1">IF(AND(G403=INDIRECT("'["&amp;G403&amp;"]"&amp;E403&amp;"'!"&amp;$AH$2),OR(I403=INDIRECT("'["&amp;G403&amp;"]"&amp;E403&amp;"'!"&amp;$AE$2))),INDIRECT("'["&amp;G403&amp;"]"&amp;E403&amp;"'!"&amp;$AE$3),0)</f>
        <v>#VALUE!</v>
      </c>
      <c r="T403" s="35" t="e" cm="1">
        <f t="array" aca="1" ref="T403" ca="1">IF(AND(G403=INDIRECT("'["&amp;G403&amp;"]"&amp;E403&amp;"'!"&amp;$AH$2),OR(I403=INDIRECT("'["&amp;G403&amp;"]"&amp;E403&amp;"'!"&amp;$AF$2))),INDIRECT("'["&amp;G403&amp;"]"&amp;E403&amp;"'!"&amp;$AF$3),0)</f>
        <v>#VALUE!</v>
      </c>
      <c r="U403" s="34" t="e" cm="1">
        <f t="array" aca="1" ref="U403" ca="1">IF(AND(G403=INDIRECT("'["&amp;G403&amp;"]"&amp;E403&amp;"'!"&amp;$AH$2),OR(I403=INDIRECT("'["&amp;G403&amp;"]"&amp;E403&amp;"'!"&amp;$AG$2))),INDIRECT("'["&amp;G403&amp;"]"&amp;E403&amp;"'!"&amp;$AG$3),0)</f>
        <v>#VALUE!</v>
      </c>
      <c r="V403" s="25" t="str">
        <f t="shared" si="126"/>
        <v/>
      </c>
      <c r="W403" s="36" t="e" cm="1">
        <f t="array" aca="1" ref="W403" ca="1">IF(AND(G403=INDIRECT("'["&amp;G403&amp;"]"&amp;E403&amp;"'!"&amp;$AH$2),OR(V403=INDIRECT("'["&amp;G403&amp;"]"&amp;E403&amp;"'!"&amp;$AI$2))),INDIRECT("'["&amp;G403&amp;"]"&amp;E403&amp;"'!"&amp;$AI$3),0)</f>
        <v>#VALUE!</v>
      </c>
      <c r="AJ403" s="25">
        <v>1</v>
      </c>
      <c r="AK403" s="38">
        <f t="shared" ca="1" si="111"/>
        <v>0</v>
      </c>
      <c r="AL403" s="38">
        <f t="shared" ca="1" si="112"/>
        <v>0</v>
      </c>
      <c r="AM403" s="54" t="str">
        <f t="shared" ca="1" si="113"/>
        <v/>
      </c>
      <c r="AN403" s="25" t="e">
        <f t="shared" ca="1" si="114"/>
        <v>#VALUE!</v>
      </c>
      <c r="AO403" s="25" t="e">
        <f t="shared" ca="1" si="115"/>
        <v>#VALUE!</v>
      </c>
      <c r="AP403" s="39" t="str">
        <f t="shared" ca="1" si="116"/>
        <v/>
      </c>
      <c r="AQ403" s="46" t="str">
        <f ca="1">IF(AND(C403&lt;&gt;0, C404=0), SUM($C$2:C403)-SUM($AQ$1:AQ402), "")</f>
        <v/>
      </c>
      <c r="AR403" s="46" t="str">
        <f ca="1">IF(AND(AK403&lt;&gt;0, AK404=0), SUM($AK$2:AK403)-SUM($AR$1:AR402), "")</f>
        <v/>
      </c>
    </row>
    <row r="404" spans="1:44" ht="13.15" customHeight="1">
      <c r="A404" s="62"/>
      <c r="B404" s="68" t="str">
        <f t="shared" si="117"/>
        <v/>
      </c>
      <c r="C404" s="55" cm="1">
        <f t="array" aca="1" ref="C404" ca="1">SUM(IF(ISNUMBER(M404:U404),M404:U404,""))</f>
        <v>0</v>
      </c>
      <c r="D404" s="25" t="str">
        <f t="shared" si="118"/>
        <v/>
      </c>
      <c r="E404" s="25" t="e">
        <f t="shared" si="119"/>
        <v>#VALUE!</v>
      </c>
      <c r="F404" s="25" t="str">
        <f t="shared" si="120"/>
        <v/>
      </c>
      <c r="G404" s="25" t="str">
        <f t="shared" si="121"/>
        <v>.xlsx</v>
      </c>
      <c r="H404" s="29" t="e" cm="1">
        <f t="array" aca="1" ref="H404" ca="1">IF(AND(VALUE(E404)=INDIRECT("'["&amp;G404&amp;"]"&amp;E404&amp;"'!"&amp;$X$2),G404=INDIRECT("'["&amp;G404&amp;"]"&amp;E404&amp;"'!"&amp;$X$3)),INDIRECT("'["&amp;G404&amp;"]"&amp;E404&amp;"'!"&amp;$X$1),0)</f>
        <v>#VALUE!</v>
      </c>
      <c r="I404" s="25" t="str">
        <f t="shared" si="122"/>
        <v/>
      </c>
      <c r="J404" s="32" t="str">
        <f t="shared" si="123"/>
        <v/>
      </c>
      <c r="K404" s="25" t="str">
        <f t="shared" si="124"/>
        <v/>
      </c>
      <c r="L404" s="25" t="str">
        <f t="shared" si="125"/>
        <v/>
      </c>
      <c r="M404" s="33" t="e" cm="1">
        <f t="array" aca="1" ref="M404" ca="1">IF(AND(J404=INDIRECT("'["&amp;G404&amp;"]"&amp;E404&amp;"'!"&amp;$Y$2),G404=INDIRECT("'["&amp;G404&amp;"]"&amp;E404&amp;"'!"&amp;$AH$2)),INDIRECT("'["&amp;G404&amp;"]"&amp;E404&amp;"'!"&amp;$Y$3),0)</f>
        <v>#VALUE!</v>
      </c>
      <c r="N404" s="34" t="e" cm="1">
        <f t="array" aca="1" ref="N404" ca="1">IF(AND(G404=INDIRECT("'["&amp;G404&amp;"]"&amp;E404&amp;"'!"&amp;$AH$2),OR(K404=INDIRECT("'["&amp;G404&amp;"]"&amp;E404&amp;"'!"&amp;$Z$2))),INDIRECT("'["&amp;G404&amp;"]"&amp;E404&amp;"'!"&amp;$Z$3),0)</f>
        <v>#VALUE!</v>
      </c>
      <c r="O404" s="34" t="e" cm="1">
        <f t="array" aca="1" ref="O404" ca="1">IF(AND(G404=INDIRECT("'["&amp;G404&amp;"]"&amp;E404&amp;"'!"&amp;$AH$2),OR(L404=INDIRECT("'["&amp;G404&amp;"]"&amp;E404&amp;"'!"&amp;$AA$2))),INDIRECT("'["&amp;G404&amp;"]"&amp;E404&amp;"'!"&amp;$AA$3),0)</f>
        <v>#VALUE!</v>
      </c>
      <c r="P404" s="34" t="e" cm="1">
        <f t="array" aca="1" ref="P404" ca="1">IF(AND(G404=INDIRECT("'["&amp;G404&amp;"]"&amp;E404&amp;"'!"&amp;$AH$2),OR(VALUE(I404)=INDIRECT("'["&amp;G404&amp;"]"&amp;E404&amp;"'!"&amp;$AB$2))),INDIRECT("'["&amp;G404&amp;"]"&amp;E404&amp;"'!"&amp;$AB$3),0)</f>
        <v>#VALUE!</v>
      </c>
      <c r="Q404" s="34" t="e" cm="1">
        <f t="array" aca="1" ref="Q404" ca="1">IF(AND(G404=INDIRECT("'["&amp;G404&amp;"]"&amp;E404&amp;"'!"&amp;$AH$2),OR(VALUE(I404)=INDIRECT("'["&amp;G404&amp;"]"&amp;E404&amp;"'!"&amp;$AC$2))),INDIRECT("'["&amp;G404&amp;"]"&amp;E404&amp;"'!"&amp;$AC$3),0)</f>
        <v>#VALUE!</v>
      </c>
      <c r="R404" s="34" t="e" cm="1">
        <f t="array" aca="1" ref="R404" ca="1">IF(AND(G404=INDIRECT("'["&amp;G404&amp;"]"&amp;E404&amp;"'!"&amp;$AH$2),OR(I404=INDIRECT("'["&amp;G404&amp;"]"&amp;E404&amp;"'!"&amp;$AD$2))),INDIRECT("'["&amp;G404&amp;"]"&amp;E404&amp;"'!"&amp;$AD$3),0)</f>
        <v>#VALUE!</v>
      </c>
      <c r="S404" s="34" t="e" cm="1">
        <f t="array" aca="1" ref="S404" ca="1">IF(AND(G404=INDIRECT("'["&amp;G404&amp;"]"&amp;E404&amp;"'!"&amp;$AH$2),OR(I404=INDIRECT("'["&amp;G404&amp;"]"&amp;E404&amp;"'!"&amp;$AE$2))),INDIRECT("'["&amp;G404&amp;"]"&amp;E404&amp;"'!"&amp;$AE$3),0)</f>
        <v>#VALUE!</v>
      </c>
      <c r="T404" s="35" t="e" cm="1">
        <f t="array" aca="1" ref="T404" ca="1">IF(AND(G404=INDIRECT("'["&amp;G404&amp;"]"&amp;E404&amp;"'!"&amp;$AH$2),OR(I404=INDIRECT("'["&amp;G404&amp;"]"&amp;E404&amp;"'!"&amp;$AF$2))),INDIRECT("'["&amp;G404&amp;"]"&amp;E404&amp;"'!"&amp;$AF$3),0)</f>
        <v>#VALUE!</v>
      </c>
      <c r="U404" s="34" t="e" cm="1">
        <f t="array" aca="1" ref="U404" ca="1">IF(AND(G404=INDIRECT("'["&amp;G404&amp;"]"&amp;E404&amp;"'!"&amp;$AH$2),OR(I404=INDIRECT("'["&amp;G404&amp;"]"&amp;E404&amp;"'!"&amp;$AG$2))),INDIRECT("'["&amp;G404&amp;"]"&amp;E404&amp;"'!"&amp;$AG$3),0)</f>
        <v>#VALUE!</v>
      </c>
      <c r="V404" s="25" t="str">
        <f t="shared" si="126"/>
        <v/>
      </c>
      <c r="W404" s="36" t="e" cm="1">
        <f t="array" aca="1" ref="W404" ca="1">IF(AND(G404=INDIRECT("'["&amp;G404&amp;"]"&amp;E404&amp;"'!"&amp;$AH$2),OR(V404=INDIRECT("'["&amp;G404&amp;"]"&amp;E404&amp;"'!"&amp;$AI$2))),INDIRECT("'["&amp;G404&amp;"]"&amp;E404&amp;"'!"&amp;$AI$3),0)</f>
        <v>#VALUE!</v>
      </c>
      <c r="AJ404" s="25">
        <v>1</v>
      </c>
      <c r="AK404" s="38">
        <f t="shared" ca="1" si="111"/>
        <v>0</v>
      </c>
      <c r="AL404" s="38">
        <f t="shared" ca="1" si="112"/>
        <v>0</v>
      </c>
      <c r="AM404" s="54" t="str">
        <f t="shared" ca="1" si="113"/>
        <v/>
      </c>
      <c r="AN404" s="25" t="e">
        <f t="shared" ca="1" si="114"/>
        <v>#VALUE!</v>
      </c>
      <c r="AO404" s="25" t="e">
        <f t="shared" ca="1" si="115"/>
        <v>#VALUE!</v>
      </c>
      <c r="AP404" s="39" t="str">
        <f t="shared" ca="1" si="116"/>
        <v/>
      </c>
      <c r="AQ404" s="46" t="str">
        <f ca="1">IF(AND(C404&lt;&gt;0, C405=0), SUM($C$2:C404)-SUM($AQ$1:AQ403), "")</f>
        <v/>
      </c>
      <c r="AR404" s="46" t="str">
        <f ca="1">IF(AND(AK404&lt;&gt;0, AK405=0), SUM($AK$2:AK404)-SUM($AR$1:AR403), "")</f>
        <v/>
      </c>
    </row>
    <row r="405" spans="1:44" ht="13.15" customHeight="1">
      <c r="A405" s="62"/>
      <c r="B405" s="68" t="str">
        <f t="shared" si="117"/>
        <v/>
      </c>
      <c r="C405" s="55" cm="1">
        <f t="array" aca="1" ref="C405" ca="1">SUM(IF(ISNUMBER(M405:U405),M405:U405,""))</f>
        <v>0</v>
      </c>
      <c r="D405" s="25" t="str">
        <f t="shared" si="118"/>
        <v/>
      </c>
      <c r="E405" s="25" t="e">
        <f t="shared" si="119"/>
        <v>#VALUE!</v>
      </c>
      <c r="F405" s="25" t="str">
        <f t="shared" si="120"/>
        <v/>
      </c>
      <c r="G405" s="25" t="str">
        <f t="shared" si="121"/>
        <v>.xlsx</v>
      </c>
      <c r="H405" s="29" t="e" cm="1">
        <f t="array" aca="1" ref="H405" ca="1">IF(AND(VALUE(E405)=INDIRECT("'["&amp;G405&amp;"]"&amp;E405&amp;"'!"&amp;$X$2),G405=INDIRECT("'["&amp;G405&amp;"]"&amp;E405&amp;"'!"&amp;$X$3)),INDIRECT("'["&amp;G405&amp;"]"&amp;E405&amp;"'!"&amp;$X$1),0)</f>
        <v>#VALUE!</v>
      </c>
      <c r="I405" s="25" t="str">
        <f t="shared" si="122"/>
        <v/>
      </c>
      <c r="J405" s="32" t="str">
        <f t="shared" si="123"/>
        <v/>
      </c>
      <c r="K405" s="25" t="str">
        <f t="shared" si="124"/>
        <v/>
      </c>
      <c r="L405" s="25" t="str">
        <f t="shared" si="125"/>
        <v/>
      </c>
      <c r="M405" s="33" t="e" cm="1">
        <f t="array" aca="1" ref="M405" ca="1">IF(AND(J405=INDIRECT("'["&amp;G405&amp;"]"&amp;E405&amp;"'!"&amp;$Y$2),G405=INDIRECT("'["&amp;G405&amp;"]"&amp;E405&amp;"'!"&amp;$AH$2)),INDIRECT("'["&amp;G405&amp;"]"&amp;E405&amp;"'!"&amp;$Y$3),0)</f>
        <v>#VALUE!</v>
      </c>
      <c r="N405" s="34" t="e" cm="1">
        <f t="array" aca="1" ref="N405" ca="1">IF(AND(G405=INDIRECT("'["&amp;G405&amp;"]"&amp;E405&amp;"'!"&amp;$AH$2),OR(K405=INDIRECT("'["&amp;G405&amp;"]"&amp;E405&amp;"'!"&amp;$Z$2))),INDIRECT("'["&amp;G405&amp;"]"&amp;E405&amp;"'!"&amp;$Z$3),0)</f>
        <v>#VALUE!</v>
      </c>
      <c r="O405" s="34" t="e" cm="1">
        <f t="array" aca="1" ref="O405" ca="1">IF(AND(G405=INDIRECT("'["&amp;G405&amp;"]"&amp;E405&amp;"'!"&amp;$AH$2),OR(L405=INDIRECT("'["&amp;G405&amp;"]"&amp;E405&amp;"'!"&amp;$AA$2))),INDIRECT("'["&amp;G405&amp;"]"&amp;E405&amp;"'!"&amp;$AA$3),0)</f>
        <v>#VALUE!</v>
      </c>
      <c r="P405" s="34" t="e" cm="1">
        <f t="array" aca="1" ref="P405" ca="1">IF(AND(G405=INDIRECT("'["&amp;G405&amp;"]"&amp;E405&amp;"'!"&amp;$AH$2),OR(VALUE(I405)=INDIRECT("'["&amp;G405&amp;"]"&amp;E405&amp;"'!"&amp;$AB$2))),INDIRECT("'["&amp;G405&amp;"]"&amp;E405&amp;"'!"&amp;$AB$3),0)</f>
        <v>#VALUE!</v>
      </c>
      <c r="Q405" s="34" t="e" cm="1">
        <f t="array" aca="1" ref="Q405" ca="1">IF(AND(G405=INDIRECT("'["&amp;G405&amp;"]"&amp;E405&amp;"'!"&amp;$AH$2),OR(VALUE(I405)=INDIRECT("'["&amp;G405&amp;"]"&amp;E405&amp;"'!"&amp;$AC$2))),INDIRECT("'["&amp;G405&amp;"]"&amp;E405&amp;"'!"&amp;$AC$3),0)</f>
        <v>#VALUE!</v>
      </c>
      <c r="R405" s="34" t="e" cm="1">
        <f t="array" aca="1" ref="R405" ca="1">IF(AND(G405=INDIRECT("'["&amp;G405&amp;"]"&amp;E405&amp;"'!"&amp;$AH$2),OR(I405=INDIRECT("'["&amp;G405&amp;"]"&amp;E405&amp;"'!"&amp;$AD$2))),INDIRECT("'["&amp;G405&amp;"]"&amp;E405&amp;"'!"&amp;$AD$3),0)</f>
        <v>#VALUE!</v>
      </c>
      <c r="S405" s="34" t="e" cm="1">
        <f t="array" aca="1" ref="S405" ca="1">IF(AND(G405=INDIRECT("'["&amp;G405&amp;"]"&amp;E405&amp;"'!"&amp;$AH$2),OR(I405=INDIRECT("'["&amp;G405&amp;"]"&amp;E405&amp;"'!"&amp;$AE$2))),INDIRECT("'["&amp;G405&amp;"]"&amp;E405&amp;"'!"&amp;$AE$3),0)</f>
        <v>#VALUE!</v>
      </c>
      <c r="T405" s="35" t="e" cm="1">
        <f t="array" aca="1" ref="T405" ca="1">IF(AND(G405=INDIRECT("'["&amp;G405&amp;"]"&amp;E405&amp;"'!"&amp;$AH$2),OR(I405=INDIRECT("'["&amp;G405&amp;"]"&amp;E405&amp;"'!"&amp;$AF$2))),INDIRECT("'["&amp;G405&amp;"]"&amp;E405&amp;"'!"&amp;$AF$3),0)</f>
        <v>#VALUE!</v>
      </c>
      <c r="U405" s="34" t="e" cm="1">
        <f t="array" aca="1" ref="U405" ca="1">IF(AND(G405=INDIRECT("'["&amp;G405&amp;"]"&amp;E405&amp;"'!"&amp;$AH$2),OR(I405=INDIRECT("'["&amp;G405&amp;"]"&amp;E405&amp;"'!"&amp;$AG$2))),INDIRECT("'["&amp;G405&amp;"]"&amp;E405&amp;"'!"&amp;$AG$3),0)</f>
        <v>#VALUE!</v>
      </c>
      <c r="V405" s="25" t="str">
        <f t="shared" si="126"/>
        <v/>
      </c>
      <c r="W405" s="36" t="e" cm="1">
        <f t="array" aca="1" ref="W405" ca="1">IF(AND(G405=INDIRECT("'["&amp;G405&amp;"]"&amp;E405&amp;"'!"&amp;$AH$2),OR(V405=INDIRECT("'["&amp;G405&amp;"]"&amp;E405&amp;"'!"&amp;$AI$2))),INDIRECT("'["&amp;G405&amp;"]"&amp;E405&amp;"'!"&amp;$AI$3),0)</f>
        <v>#VALUE!</v>
      </c>
      <c r="AJ405" s="25">
        <v>1</v>
      </c>
      <c r="AK405" s="38">
        <f t="shared" ca="1" si="111"/>
        <v>0</v>
      </c>
      <c r="AL405" s="38">
        <f t="shared" ca="1" si="112"/>
        <v>0</v>
      </c>
      <c r="AM405" s="54" t="str">
        <f t="shared" ca="1" si="113"/>
        <v/>
      </c>
      <c r="AN405" s="25" t="e">
        <f t="shared" ca="1" si="114"/>
        <v>#VALUE!</v>
      </c>
      <c r="AO405" s="25" t="e">
        <f t="shared" ca="1" si="115"/>
        <v>#VALUE!</v>
      </c>
      <c r="AP405" s="39" t="str">
        <f t="shared" ca="1" si="116"/>
        <v/>
      </c>
      <c r="AQ405" s="46" t="str">
        <f ca="1">IF(AND(C405&lt;&gt;0, C406=0), SUM($C$2:C405)-SUM($AQ$1:AQ404), "")</f>
        <v/>
      </c>
      <c r="AR405" s="46" t="str">
        <f ca="1">IF(AND(AK405&lt;&gt;0, AK406=0), SUM($AK$2:AK405)-SUM($AR$1:AR404), "")</f>
        <v/>
      </c>
    </row>
    <row r="406" spans="1:44" ht="13.15" customHeight="1">
      <c r="A406" s="62"/>
      <c r="B406" s="68" t="str">
        <f t="shared" si="117"/>
        <v/>
      </c>
      <c r="C406" s="55" cm="1">
        <f t="array" aca="1" ref="C406" ca="1">SUM(IF(ISNUMBER(M406:U406),M406:U406,""))</f>
        <v>0</v>
      </c>
      <c r="D406" s="25" t="str">
        <f t="shared" si="118"/>
        <v/>
      </c>
      <c r="E406" s="25" t="e">
        <f t="shared" si="119"/>
        <v>#VALUE!</v>
      </c>
      <c r="F406" s="25" t="str">
        <f t="shared" si="120"/>
        <v/>
      </c>
      <c r="G406" s="25" t="str">
        <f t="shared" si="121"/>
        <v>.xlsx</v>
      </c>
      <c r="H406" s="29" t="e" cm="1">
        <f t="array" aca="1" ref="H406" ca="1">IF(AND(VALUE(E406)=INDIRECT("'["&amp;G406&amp;"]"&amp;E406&amp;"'!"&amp;$X$2),G406=INDIRECT("'["&amp;G406&amp;"]"&amp;E406&amp;"'!"&amp;$X$3)),INDIRECT("'["&amp;G406&amp;"]"&amp;E406&amp;"'!"&amp;$X$1),0)</f>
        <v>#VALUE!</v>
      </c>
      <c r="I406" s="25" t="str">
        <f t="shared" si="122"/>
        <v/>
      </c>
      <c r="J406" s="32" t="str">
        <f t="shared" si="123"/>
        <v/>
      </c>
      <c r="K406" s="25" t="str">
        <f t="shared" si="124"/>
        <v/>
      </c>
      <c r="L406" s="25" t="str">
        <f t="shared" si="125"/>
        <v/>
      </c>
      <c r="M406" s="33" t="e" cm="1">
        <f t="array" aca="1" ref="M406" ca="1">IF(AND(J406=INDIRECT("'["&amp;G406&amp;"]"&amp;E406&amp;"'!"&amp;$Y$2),G406=INDIRECT("'["&amp;G406&amp;"]"&amp;E406&amp;"'!"&amp;$AH$2)),INDIRECT("'["&amp;G406&amp;"]"&amp;E406&amp;"'!"&amp;$Y$3),0)</f>
        <v>#VALUE!</v>
      </c>
      <c r="N406" s="34" t="e" cm="1">
        <f t="array" aca="1" ref="N406" ca="1">IF(AND(G406=INDIRECT("'["&amp;G406&amp;"]"&amp;E406&amp;"'!"&amp;$AH$2),OR(K406=INDIRECT("'["&amp;G406&amp;"]"&amp;E406&amp;"'!"&amp;$Z$2))),INDIRECT("'["&amp;G406&amp;"]"&amp;E406&amp;"'!"&amp;$Z$3),0)</f>
        <v>#VALUE!</v>
      </c>
      <c r="O406" s="34" t="e" cm="1">
        <f t="array" aca="1" ref="O406" ca="1">IF(AND(G406=INDIRECT("'["&amp;G406&amp;"]"&amp;E406&amp;"'!"&amp;$AH$2),OR(L406=INDIRECT("'["&amp;G406&amp;"]"&amp;E406&amp;"'!"&amp;$AA$2))),INDIRECT("'["&amp;G406&amp;"]"&amp;E406&amp;"'!"&amp;$AA$3),0)</f>
        <v>#VALUE!</v>
      </c>
      <c r="P406" s="34" t="e" cm="1">
        <f t="array" aca="1" ref="P406" ca="1">IF(AND(G406=INDIRECT("'["&amp;G406&amp;"]"&amp;E406&amp;"'!"&amp;$AH$2),OR(VALUE(I406)=INDIRECT("'["&amp;G406&amp;"]"&amp;E406&amp;"'!"&amp;$AB$2))),INDIRECT("'["&amp;G406&amp;"]"&amp;E406&amp;"'!"&amp;$AB$3),0)</f>
        <v>#VALUE!</v>
      </c>
      <c r="Q406" s="34" t="e" cm="1">
        <f t="array" aca="1" ref="Q406" ca="1">IF(AND(G406=INDIRECT("'["&amp;G406&amp;"]"&amp;E406&amp;"'!"&amp;$AH$2),OR(VALUE(I406)=INDIRECT("'["&amp;G406&amp;"]"&amp;E406&amp;"'!"&amp;$AC$2))),INDIRECT("'["&amp;G406&amp;"]"&amp;E406&amp;"'!"&amp;$AC$3),0)</f>
        <v>#VALUE!</v>
      </c>
      <c r="R406" s="34" t="e" cm="1">
        <f t="array" aca="1" ref="R406" ca="1">IF(AND(G406=INDIRECT("'["&amp;G406&amp;"]"&amp;E406&amp;"'!"&amp;$AH$2),OR(I406=INDIRECT("'["&amp;G406&amp;"]"&amp;E406&amp;"'!"&amp;$AD$2))),INDIRECT("'["&amp;G406&amp;"]"&amp;E406&amp;"'!"&amp;$AD$3),0)</f>
        <v>#VALUE!</v>
      </c>
      <c r="S406" s="34" t="e" cm="1">
        <f t="array" aca="1" ref="S406" ca="1">IF(AND(G406=INDIRECT("'["&amp;G406&amp;"]"&amp;E406&amp;"'!"&amp;$AH$2),OR(I406=INDIRECT("'["&amp;G406&amp;"]"&amp;E406&amp;"'!"&amp;$AE$2))),INDIRECT("'["&amp;G406&amp;"]"&amp;E406&amp;"'!"&amp;$AE$3),0)</f>
        <v>#VALUE!</v>
      </c>
      <c r="T406" s="35" t="e" cm="1">
        <f t="array" aca="1" ref="T406" ca="1">IF(AND(G406=INDIRECT("'["&amp;G406&amp;"]"&amp;E406&amp;"'!"&amp;$AH$2),OR(I406=INDIRECT("'["&amp;G406&amp;"]"&amp;E406&amp;"'!"&amp;$AF$2))),INDIRECT("'["&amp;G406&amp;"]"&amp;E406&amp;"'!"&amp;$AF$3),0)</f>
        <v>#VALUE!</v>
      </c>
      <c r="U406" s="34" t="e" cm="1">
        <f t="array" aca="1" ref="U406" ca="1">IF(AND(G406=INDIRECT("'["&amp;G406&amp;"]"&amp;E406&amp;"'!"&amp;$AH$2),OR(I406=INDIRECT("'["&amp;G406&amp;"]"&amp;E406&amp;"'!"&amp;$AG$2))),INDIRECT("'["&amp;G406&amp;"]"&amp;E406&amp;"'!"&amp;$AG$3),0)</f>
        <v>#VALUE!</v>
      </c>
      <c r="V406" s="25" t="str">
        <f t="shared" si="126"/>
        <v/>
      </c>
      <c r="W406" s="36" t="e" cm="1">
        <f t="array" aca="1" ref="W406" ca="1">IF(AND(G406=INDIRECT("'["&amp;G406&amp;"]"&amp;E406&amp;"'!"&amp;$AH$2),OR(V406=INDIRECT("'["&amp;G406&amp;"]"&amp;E406&amp;"'!"&amp;$AI$2))),INDIRECT("'["&amp;G406&amp;"]"&amp;E406&amp;"'!"&amp;$AI$3),0)</f>
        <v>#VALUE!</v>
      </c>
      <c r="AJ406" s="25">
        <v>1</v>
      </c>
      <c r="AK406" s="38">
        <f t="shared" ca="1" si="111"/>
        <v>0</v>
      </c>
      <c r="AL406" s="38">
        <f t="shared" ca="1" si="112"/>
        <v>0</v>
      </c>
      <c r="AM406" s="54" t="str">
        <f t="shared" ca="1" si="113"/>
        <v/>
      </c>
      <c r="AN406" s="25" t="e">
        <f t="shared" ca="1" si="114"/>
        <v>#VALUE!</v>
      </c>
      <c r="AO406" s="25" t="e">
        <f t="shared" ca="1" si="115"/>
        <v>#VALUE!</v>
      </c>
      <c r="AP406" s="39" t="str">
        <f t="shared" ca="1" si="116"/>
        <v/>
      </c>
      <c r="AQ406" s="46" t="str">
        <f ca="1">IF(AND(C406&lt;&gt;0, C407=0), SUM($C$2:C406)-SUM($AQ$1:AQ405), "")</f>
        <v/>
      </c>
      <c r="AR406" s="46" t="str">
        <f ca="1">IF(AND(AK406&lt;&gt;0, AK407=0), SUM($AK$2:AK406)-SUM($AR$1:AR405), "")</f>
        <v/>
      </c>
    </row>
    <row r="407" spans="1:44" ht="13.15" customHeight="1">
      <c r="A407" s="62"/>
      <c r="B407" s="68" t="str">
        <f t="shared" si="117"/>
        <v/>
      </c>
      <c r="C407" s="55" cm="1">
        <f t="array" aca="1" ref="C407" ca="1">SUM(IF(ISNUMBER(M407:U407),M407:U407,""))</f>
        <v>0</v>
      </c>
      <c r="D407" s="25" t="str">
        <f t="shared" si="118"/>
        <v/>
      </c>
      <c r="E407" s="25" t="e">
        <f t="shared" si="119"/>
        <v>#VALUE!</v>
      </c>
      <c r="F407" s="25" t="str">
        <f t="shared" si="120"/>
        <v/>
      </c>
      <c r="G407" s="25" t="str">
        <f t="shared" si="121"/>
        <v>.xlsx</v>
      </c>
      <c r="H407" s="29" t="e" cm="1">
        <f t="array" aca="1" ref="H407" ca="1">IF(AND(VALUE(E407)=INDIRECT("'["&amp;G407&amp;"]"&amp;E407&amp;"'!"&amp;$X$2),G407=INDIRECT("'["&amp;G407&amp;"]"&amp;E407&amp;"'!"&amp;$X$3)),INDIRECT("'["&amp;G407&amp;"]"&amp;E407&amp;"'!"&amp;$X$1),0)</f>
        <v>#VALUE!</v>
      </c>
      <c r="I407" s="25" t="str">
        <f t="shared" si="122"/>
        <v/>
      </c>
      <c r="J407" s="32" t="str">
        <f t="shared" si="123"/>
        <v/>
      </c>
      <c r="K407" s="25" t="str">
        <f t="shared" si="124"/>
        <v/>
      </c>
      <c r="L407" s="25" t="str">
        <f t="shared" si="125"/>
        <v/>
      </c>
      <c r="M407" s="33" t="e" cm="1">
        <f t="array" aca="1" ref="M407" ca="1">IF(AND(J407=INDIRECT("'["&amp;G407&amp;"]"&amp;E407&amp;"'!"&amp;$Y$2),G407=INDIRECT("'["&amp;G407&amp;"]"&amp;E407&amp;"'!"&amp;$AH$2)),INDIRECT("'["&amp;G407&amp;"]"&amp;E407&amp;"'!"&amp;$Y$3),0)</f>
        <v>#VALUE!</v>
      </c>
      <c r="N407" s="34" t="e" cm="1">
        <f t="array" aca="1" ref="N407" ca="1">IF(AND(G407=INDIRECT("'["&amp;G407&amp;"]"&amp;E407&amp;"'!"&amp;$AH$2),OR(K407=INDIRECT("'["&amp;G407&amp;"]"&amp;E407&amp;"'!"&amp;$Z$2))),INDIRECT("'["&amp;G407&amp;"]"&amp;E407&amp;"'!"&amp;$Z$3),0)</f>
        <v>#VALUE!</v>
      </c>
      <c r="O407" s="34" t="e" cm="1">
        <f t="array" aca="1" ref="O407" ca="1">IF(AND(G407=INDIRECT("'["&amp;G407&amp;"]"&amp;E407&amp;"'!"&amp;$AH$2),OR(L407=INDIRECT("'["&amp;G407&amp;"]"&amp;E407&amp;"'!"&amp;$AA$2))),INDIRECT("'["&amp;G407&amp;"]"&amp;E407&amp;"'!"&amp;$AA$3),0)</f>
        <v>#VALUE!</v>
      </c>
      <c r="P407" s="34" t="e" cm="1">
        <f t="array" aca="1" ref="P407" ca="1">IF(AND(G407=INDIRECT("'["&amp;G407&amp;"]"&amp;E407&amp;"'!"&amp;$AH$2),OR(VALUE(I407)=INDIRECT("'["&amp;G407&amp;"]"&amp;E407&amp;"'!"&amp;$AB$2))),INDIRECT("'["&amp;G407&amp;"]"&amp;E407&amp;"'!"&amp;$AB$3),0)</f>
        <v>#VALUE!</v>
      </c>
      <c r="Q407" s="34" t="e" cm="1">
        <f t="array" aca="1" ref="Q407" ca="1">IF(AND(G407=INDIRECT("'["&amp;G407&amp;"]"&amp;E407&amp;"'!"&amp;$AH$2),OR(VALUE(I407)=INDIRECT("'["&amp;G407&amp;"]"&amp;E407&amp;"'!"&amp;$AC$2))),INDIRECT("'["&amp;G407&amp;"]"&amp;E407&amp;"'!"&amp;$AC$3),0)</f>
        <v>#VALUE!</v>
      </c>
      <c r="R407" s="34" t="e" cm="1">
        <f t="array" aca="1" ref="R407" ca="1">IF(AND(G407=INDIRECT("'["&amp;G407&amp;"]"&amp;E407&amp;"'!"&amp;$AH$2),OR(I407=INDIRECT("'["&amp;G407&amp;"]"&amp;E407&amp;"'!"&amp;$AD$2))),INDIRECT("'["&amp;G407&amp;"]"&amp;E407&amp;"'!"&amp;$AD$3),0)</f>
        <v>#VALUE!</v>
      </c>
      <c r="S407" s="34" t="e" cm="1">
        <f t="array" aca="1" ref="S407" ca="1">IF(AND(G407=INDIRECT("'["&amp;G407&amp;"]"&amp;E407&amp;"'!"&amp;$AH$2),OR(I407=INDIRECT("'["&amp;G407&amp;"]"&amp;E407&amp;"'!"&amp;$AE$2))),INDIRECT("'["&amp;G407&amp;"]"&amp;E407&amp;"'!"&amp;$AE$3),0)</f>
        <v>#VALUE!</v>
      </c>
      <c r="T407" s="35" t="e" cm="1">
        <f t="array" aca="1" ref="T407" ca="1">IF(AND(G407=INDIRECT("'["&amp;G407&amp;"]"&amp;E407&amp;"'!"&amp;$AH$2),OR(I407=INDIRECT("'["&amp;G407&amp;"]"&amp;E407&amp;"'!"&amp;$AF$2))),INDIRECT("'["&amp;G407&amp;"]"&amp;E407&amp;"'!"&amp;$AF$3),0)</f>
        <v>#VALUE!</v>
      </c>
      <c r="U407" s="34" t="e" cm="1">
        <f t="array" aca="1" ref="U407" ca="1">IF(AND(G407=INDIRECT("'["&amp;G407&amp;"]"&amp;E407&amp;"'!"&amp;$AH$2),OR(I407=INDIRECT("'["&amp;G407&amp;"]"&amp;E407&amp;"'!"&amp;$AG$2))),INDIRECT("'["&amp;G407&amp;"]"&amp;E407&amp;"'!"&amp;$AG$3),0)</f>
        <v>#VALUE!</v>
      </c>
      <c r="V407" s="25" t="str">
        <f t="shared" si="126"/>
        <v/>
      </c>
      <c r="W407" s="36" t="e" cm="1">
        <f t="array" aca="1" ref="W407" ca="1">IF(AND(G407=INDIRECT("'["&amp;G407&amp;"]"&amp;E407&amp;"'!"&amp;$AH$2),OR(V407=INDIRECT("'["&amp;G407&amp;"]"&amp;E407&amp;"'!"&amp;$AI$2))),INDIRECT("'["&amp;G407&amp;"]"&amp;E407&amp;"'!"&amp;$AI$3),0)</f>
        <v>#VALUE!</v>
      </c>
      <c r="AJ407" s="25">
        <v>1</v>
      </c>
      <c r="AK407" s="38">
        <f t="shared" ca="1" si="111"/>
        <v>0</v>
      </c>
      <c r="AL407" s="38">
        <f t="shared" ca="1" si="112"/>
        <v>0</v>
      </c>
      <c r="AM407" s="54" t="str">
        <f t="shared" ca="1" si="113"/>
        <v/>
      </c>
      <c r="AN407" s="25" t="e">
        <f t="shared" ca="1" si="114"/>
        <v>#VALUE!</v>
      </c>
      <c r="AO407" s="25" t="e">
        <f t="shared" ca="1" si="115"/>
        <v>#VALUE!</v>
      </c>
      <c r="AP407" s="39" t="str">
        <f t="shared" ca="1" si="116"/>
        <v/>
      </c>
      <c r="AQ407" s="46" t="str">
        <f ca="1">IF(AND(C407&lt;&gt;0, C408=0), SUM($C$2:C407)-SUM($AQ$1:AQ406), "")</f>
        <v/>
      </c>
      <c r="AR407" s="46" t="str">
        <f ca="1">IF(AND(AK407&lt;&gt;0, AK408=0), SUM($AK$2:AK407)-SUM($AR$1:AR406), "")</f>
        <v/>
      </c>
    </row>
    <row r="408" spans="1:44" ht="13.15" customHeight="1">
      <c r="A408" s="62"/>
      <c r="B408" s="68" t="str">
        <f t="shared" si="117"/>
        <v/>
      </c>
      <c r="C408" s="55" cm="1">
        <f t="array" aca="1" ref="C408" ca="1">SUM(IF(ISNUMBER(M408:U408),M408:U408,""))</f>
        <v>0</v>
      </c>
      <c r="D408" s="25" t="str">
        <f t="shared" si="118"/>
        <v/>
      </c>
      <c r="E408" s="25" t="e">
        <f t="shared" si="119"/>
        <v>#VALUE!</v>
      </c>
      <c r="F408" s="25" t="str">
        <f t="shared" si="120"/>
        <v/>
      </c>
      <c r="G408" s="25" t="str">
        <f t="shared" si="121"/>
        <v>.xlsx</v>
      </c>
      <c r="H408" s="29" t="e" cm="1">
        <f t="array" aca="1" ref="H408" ca="1">IF(AND(VALUE(E408)=INDIRECT("'["&amp;G408&amp;"]"&amp;E408&amp;"'!"&amp;$X$2),G408=INDIRECT("'["&amp;G408&amp;"]"&amp;E408&amp;"'!"&amp;$X$3)),INDIRECT("'["&amp;G408&amp;"]"&amp;E408&amp;"'!"&amp;$X$1),0)</f>
        <v>#VALUE!</v>
      </c>
      <c r="I408" s="25" t="str">
        <f t="shared" si="122"/>
        <v/>
      </c>
      <c r="J408" s="32" t="str">
        <f t="shared" si="123"/>
        <v/>
      </c>
      <c r="K408" s="25" t="str">
        <f t="shared" si="124"/>
        <v/>
      </c>
      <c r="L408" s="25" t="str">
        <f t="shared" si="125"/>
        <v/>
      </c>
      <c r="M408" s="33" t="e" cm="1">
        <f t="array" aca="1" ref="M408" ca="1">IF(AND(J408=INDIRECT("'["&amp;G408&amp;"]"&amp;E408&amp;"'!"&amp;$Y$2),G408=INDIRECT("'["&amp;G408&amp;"]"&amp;E408&amp;"'!"&amp;$AH$2)),INDIRECT("'["&amp;G408&amp;"]"&amp;E408&amp;"'!"&amp;$Y$3),0)</f>
        <v>#VALUE!</v>
      </c>
      <c r="N408" s="34" t="e" cm="1">
        <f t="array" aca="1" ref="N408" ca="1">IF(AND(G408=INDIRECT("'["&amp;G408&amp;"]"&amp;E408&amp;"'!"&amp;$AH$2),OR(K408=INDIRECT("'["&amp;G408&amp;"]"&amp;E408&amp;"'!"&amp;$Z$2))),INDIRECT("'["&amp;G408&amp;"]"&amp;E408&amp;"'!"&amp;$Z$3),0)</f>
        <v>#VALUE!</v>
      </c>
      <c r="O408" s="34" t="e" cm="1">
        <f t="array" aca="1" ref="O408" ca="1">IF(AND(G408=INDIRECT("'["&amp;G408&amp;"]"&amp;E408&amp;"'!"&amp;$AH$2),OR(L408=INDIRECT("'["&amp;G408&amp;"]"&amp;E408&amp;"'!"&amp;$AA$2))),INDIRECT("'["&amp;G408&amp;"]"&amp;E408&amp;"'!"&amp;$AA$3),0)</f>
        <v>#VALUE!</v>
      </c>
      <c r="P408" s="34" t="e" cm="1">
        <f t="array" aca="1" ref="P408" ca="1">IF(AND(G408=INDIRECT("'["&amp;G408&amp;"]"&amp;E408&amp;"'!"&amp;$AH$2),OR(VALUE(I408)=INDIRECT("'["&amp;G408&amp;"]"&amp;E408&amp;"'!"&amp;$AB$2))),INDIRECT("'["&amp;G408&amp;"]"&amp;E408&amp;"'!"&amp;$AB$3),0)</f>
        <v>#VALUE!</v>
      </c>
      <c r="Q408" s="34" t="e" cm="1">
        <f t="array" aca="1" ref="Q408" ca="1">IF(AND(G408=INDIRECT("'["&amp;G408&amp;"]"&amp;E408&amp;"'!"&amp;$AH$2),OR(VALUE(I408)=INDIRECT("'["&amp;G408&amp;"]"&amp;E408&amp;"'!"&amp;$AC$2))),INDIRECT("'["&amp;G408&amp;"]"&amp;E408&amp;"'!"&amp;$AC$3),0)</f>
        <v>#VALUE!</v>
      </c>
      <c r="R408" s="34" t="e" cm="1">
        <f t="array" aca="1" ref="R408" ca="1">IF(AND(G408=INDIRECT("'["&amp;G408&amp;"]"&amp;E408&amp;"'!"&amp;$AH$2),OR(I408=INDIRECT("'["&amp;G408&amp;"]"&amp;E408&amp;"'!"&amp;$AD$2))),INDIRECT("'["&amp;G408&amp;"]"&amp;E408&amp;"'!"&amp;$AD$3),0)</f>
        <v>#VALUE!</v>
      </c>
      <c r="S408" s="34" t="e" cm="1">
        <f t="array" aca="1" ref="S408" ca="1">IF(AND(G408=INDIRECT("'["&amp;G408&amp;"]"&amp;E408&amp;"'!"&amp;$AH$2),OR(I408=INDIRECT("'["&amp;G408&amp;"]"&amp;E408&amp;"'!"&amp;$AE$2))),INDIRECT("'["&amp;G408&amp;"]"&amp;E408&amp;"'!"&amp;$AE$3),0)</f>
        <v>#VALUE!</v>
      </c>
      <c r="T408" s="35" t="e" cm="1">
        <f t="array" aca="1" ref="T408" ca="1">IF(AND(G408=INDIRECT("'["&amp;G408&amp;"]"&amp;E408&amp;"'!"&amp;$AH$2),OR(I408=INDIRECT("'["&amp;G408&amp;"]"&amp;E408&amp;"'!"&amp;$AF$2))),INDIRECT("'["&amp;G408&amp;"]"&amp;E408&amp;"'!"&amp;$AF$3),0)</f>
        <v>#VALUE!</v>
      </c>
      <c r="U408" s="34" t="e" cm="1">
        <f t="array" aca="1" ref="U408" ca="1">IF(AND(G408=INDIRECT("'["&amp;G408&amp;"]"&amp;E408&amp;"'!"&amp;$AH$2),OR(I408=INDIRECT("'["&amp;G408&amp;"]"&amp;E408&amp;"'!"&amp;$AG$2))),INDIRECT("'["&amp;G408&amp;"]"&amp;E408&amp;"'!"&amp;$AG$3),0)</f>
        <v>#VALUE!</v>
      </c>
      <c r="V408" s="25" t="str">
        <f t="shared" si="126"/>
        <v/>
      </c>
      <c r="W408" s="36" t="e" cm="1">
        <f t="array" aca="1" ref="W408" ca="1">IF(AND(G408=INDIRECT("'["&amp;G408&amp;"]"&amp;E408&amp;"'!"&amp;$AH$2),OR(V408=INDIRECT("'["&amp;G408&amp;"]"&amp;E408&amp;"'!"&amp;$AI$2))),INDIRECT("'["&amp;G408&amp;"]"&amp;E408&amp;"'!"&amp;$AI$3),0)</f>
        <v>#VALUE!</v>
      </c>
      <c r="AJ408" s="25">
        <v>1</v>
      </c>
      <c r="AK408" s="38">
        <f t="shared" ca="1" si="111"/>
        <v>0</v>
      </c>
      <c r="AL408" s="38">
        <f t="shared" ca="1" si="112"/>
        <v>0</v>
      </c>
      <c r="AM408" s="54" t="str">
        <f t="shared" ca="1" si="113"/>
        <v/>
      </c>
      <c r="AN408" s="25" t="e">
        <f t="shared" ca="1" si="114"/>
        <v>#VALUE!</v>
      </c>
      <c r="AO408" s="25" t="e">
        <f t="shared" ca="1" si="115"/>
        <v>#VALUE!</v>
      </c>
      <c r="AP408" s="39" t="str">
        <f t="shared" ca="1" si="116"/>
        <v/>
      </c>
      <c r="AQ408" s="46" t="str">
        <f ca="1">IF(AND(C408&lt;&gt;0, C409=0), SUM($C$2:C408)-SUM($AQ$1:AQ407), "")</f>
        <v/>
      </c>
      <c r="AR408" s="46" t="str">
        <f ca="1">IF(AND(AK408&lt;&gt;0, AK409=0), SUM($AK$2:AK408)-SUM($AR$1:AR407), "")</f>
        <v/>
      </c>
    </row>
    <row r="409" spans="1:44" ht="13.15" customHeight="1">
      <c r="A409" s="62"/>
      <c r="B409" s="68" t="str">
        <f t="shared" si="117"/>
        <v/>
      </c>
      <c r="C409" s="55" cm="1">
        <f t="array" aca="1" ref="C409" ca="1">SUM(IF(ISNUMBER(M409:U409),M409:U409,""))</f>
        <v>0</v>
      </c>
      <c r="D409" s="25" t="str">
        <f t="shared" si="118"/>
        <v/>
      </c>
      <c r="E409" s="25" t="e">
        <f t="shared" si="119"/>
        <v>#VALUE!</v>
      </c>
      <c r="F409" s="25" t="str">
        <f t="shared" si="120"/>
        <v/>
      </c>
      <c r="G409" s="25" t="str">
        <f t="shared" si="121"/>
        <v>.xlsx</v>
      </c>
      <c r="H409" s="29" t="e" cm="1">
        <f t="array" aca="1" ref="H409" ca="1">IF(AND(VALUE(E409)=INDIRECT("'["&amp;G409&amp;"]"&amp;E409&amp;"'!"&amp;$X$2),G409=INDIRECT("'["&amp;G409&amp;"]"&amp;E409&amp;"'!"&amp;$X$3)),INDIRECT("'["&amp;G409&amp;"]"&amp;E409&amp;"'!"&amp;$X$1),0)</f>
        <v>#VALUE!</v>
      </c>
      <c r="I409" s="25" t="str">
        <f t="shared" si="122"/>
        <v/>
      </c>
      <c r="J409" s="32" t="str">
        <f t="shared" si="123"/>
        <v/>
      </c>
      <c r="K409" s="25" t="str">
        <f t="shared" si="124"/>
        <v/>
      </c>
      <c r="L409" s="25" t="str">
        <f t="shared" si="125"/>
        <v/>
      </c>
      <c r="M409" s="33" t="e" cm="1">
        <f t="array" aca="1" ref="M409" ca="1">IF(AND(J409=INDIRECT("'["&amp;G409&amp;"]"&amp;E409&amp;"'!"&amp;$Y$2),G409=INDIRECT("'["&amp;G409&amp;"]"&amp;E409&amp;"'!"&amp;$AH$2)),INDIRECT("'["&amp;G409&amp;"]"&amp;E409&amp;"'!"&amp;$Y$3),0)</f>
        <v>#VALUE!</v>
      </c>
      <c r="N409" s="34" t="e" cm="1">
        <f t="array" aca="1" ref="N409" ca="1">IF(AND(G409=INDIRECT("'["&amp;G409&amp;"]"&amp;E409&amp;"'!"&amp;$AH$2),OR(K409=INDIRECT("'["&amp;G409&amp;"]"&amp;E409&amp;"'!"&amp;$Z$2))),INDIRECT("'["&amp;G409&amp;"]"&amp;E409&amp;"'!"&amp;$Z$3),0)</f>
        <v>#VALUE!</v>
      </c>
      <c r="O409" s="34" t="e" cm="1">
        <f t="array" aca="1" ref="O409" ca="1">IF(AND(G409=INDIRECT("'["&amp;G409&amp;"]"&amp;E409&amp;"'!"&amp;$AH$2),OR(L409=INDIRECT("'["&amp;G409&amp;"]"&amp;E409&amp;"'!"&amp;$AA$2))),INDIRECT("'["&amp;G409&amp;"]"&amp;E409&amp;"'!"&amp;$AA$3),0)</f>
        <v>#VALUE!</v>
      </c>
      <c r="P409" s="34" t="e" cm="1">
        <f t="array" aca="1" ref="P409" ca="1">IF(AND(G409=INDIRECT("'["&amp;G409&amp;"]"&amp;E409&amp;"'!"&amp;$AH$2),OR(VALUE(I409)=INDIRECT("'["&amp;G409&amp;"]"&amp;E409&amp;"'!"&amp;$AB$2))),INDIRECT("'["&amp;G409&amp;"]"&amp;E409&amp;"'!"&amp;$AB$3),0)</f>
        <v>#VALUE!</v>
      </c>
      <c r="Q409" s="34" t="e" cm="1">
        <f t="array" aca="1" ref="Q409" ca="1">IF(AND(G409=INDIRECT("'["&amp;G409&amp;"]"&amp;E409&amp;"'!"&amp;$AH$2),OR(VALUE(I409)=INDIRECT("'["&amp;G409&amp;"]"&amp;E409&amp;"'!"&amp;$AC$2))),INDIRECT("'["&amp;G409&amp;"]"&amp;E409&amp;"'!"&amp;$AC$3),0)</f>
        <v>#VALUE!</v>
      </c>
      <c r="R409" s="34" t="e" cm="1">
        <f t="array" aca="1" ref="R409" ca="1">IF(AND(G409=INDIRECT("'["&amp;G409&amp;"]"&amp;E409&amp;"'!"&amp;$AH$2),OR(I409=INDIRECT("'["&amp;G409&amp;"]"&amp;E409&amp;"'!"&amp;$AD$2))),INDIRECT("'["&amp;G409&amp;"]"&amp;E409&amp;"'!"&amp;$AD$3),0)</f>
        <v>#VALUE!</v>
      </c>
      <c r="S409" s="34" t="e" cm="1">
        <f t="array" aca="1" ref="S409" ca="1">IF(AND(G409=INDIRECT("'["&amp;G409&amp;"]"&amp;E409&amp;"'!"&amp;$AH$2),OR(I409=INDIRECT("'["&amp;G409&amp;"]"&amp;E409&amp;"'!"&amp;$AE$2))),INDIRECT("'["&amp;G409&amp;"]"&amp;E409&amp;"'!"&amp;$AE$3),0)</f>
        <v>#VALUE!</v>
      </c>
      <c r="T409" s="35" t="e" cm="1">
        <f t="array" aca="1" ref="T409" ca="1">IF(AND(G409=INDIRECT("'["&amp;G409&amp;"]"&amp;E409&amp;"'!"&amp;$AH$2),OR(I409=INDIRECT("'["&amp;G409&amp;"]"&amp;E409&amp;"'!"&amp;$AF$2))),INDIRECT("'["&amp;G409&amp;"]"&amp;E409&amp;"'!"&amp;$AF$3),0)</f>
        <v>#VALUE!</v>
      </c>
      <c r="U409" s="34" t="e" cm="1">
        <f t="array" aca="1" ref="U409" ca="1">IF(AND(G409=INDIRECT("'["&amp;G409&amp;"]"&amp;E409&amp;"'!"&amp;$AH$2),OR(I409=INDIRECT("'["&amp;G409&amp;"]"&amp;E409&amp;"'!"&amp;$AG$2))),INDIRECT("'["&amp;G409&amp;"]"&amp;E409&amp;"'!"&amp;$AG$3),0)</f>
        <v>#VALUE!</v>
      </c>
      <c r="V409" s="25" t="str">
        <f t="shared" si="126"/>
        <v/>
      </c>
      <c r="W409" s="36" t="e" cm="1">
        <f t="array" aca="1" ref="W409" ca="1">IF(AND(G409=INDIRECT("'["&amp;G409&amp;"]"&amp;E409&amp;"'!"&amp;$AH$2),OR(V409=INDIRECT("'["&amp;G409&amp;"]"&amp;E409&amp;"'!"&amp;$AI$2))),INDIRECT("'["&amp;G409&amp;"]"&amp;E409&amp;"'!"&amp;$AI$3),0)</f>
        <v>#VALUE!</v>
      </c>
      <c r="AJ409" s="25">
        <v>1</v>
      </c>
      <c r="AK409" s="38">
        <f t="shared" ca="1" si="111"/>
        <v>0</v>
      </c>
      <c r="AL409" s="38">
        <f t="shared" ca="1" si="112"/>
        <v>0</v>
      </c>
      <c r="AM409" s="54" t="str">
        <f t="shared" ca="1" si="113"/>
        <v/>
      </c>
      <c r="AN409" s="25" t="e">
        <f t="shared" ca="1" si="114"/>
        <v>#VALUE!</v>
      </c>
      <c r="AO409" s="25" t="e">
        <f t="shared" ca="1" si="115"/>
        <v>#VALUE!</v>
      </c>
      <c r="AP409" s="39" t="str">
        <f t="shared" ca="1" si="116"/>
        <v/>
      </c>
      <c r="AQ409" s="46" t="str">
        <f ca="1">IF(AND(C409&lt;&gt;0, C410=0), SUM($C$2:C409)-SUM($AQ$1:AQ408), "")</f>
        <v/>
      </c>
      <c r="AR409" s="46" t="str">
        <f ca="1">IF(AND(AK409&lt;&gt;0, AK410=0), SUM($AK$2:AK409)-SUM($AR$1:AR408), "")</f>
        <v/>
      </c>
    </row>
    <row r="410" spans="1:44" ht="13.15" customHeight="1">
      <c r="A410" s="62"/>
      <c r="B410" s="68" t="str">
        <f t="shared" si="117"/>
        <v/>
      </c>
      <c r="C410" s="55" cm="1">
        <f t="array" aca="1" ref="C410" ca="1">SUM(IF(ISNUMBER(M410:U410),M410:U410,""))</f>
        <v>0</v>
      </c>
      <c r="D410" s="25" t="str">
        <f t="shared" si="118"/>
        <v/>
      </c>
      <c r="E410" s="25" t="e">
        <f t="shared" si="119"/>
        <v>#VALUE!</v>
      </c>
      <c r="F410" s="25" t="str">
        <f t="shared" si="120"/>
        <v/>
      </c>
      <c r="G410" s="25" t="str">
        <f t="shared" si="121"/>
        <v>.xlsx</v>
      </c>
      <c r="H410" s="29" t="e" cm="1">
        <f t="array" aca="1" ref="H410" ca="1">IF(AND(VALUE(E410)=INDIRECT("'["&amp;G410&amp;"]"&amp;E410&amp;"'!"&amp;$X$2),G410=INDIRECT("'["&amp;G410&amp;"]"&amp;E410&amp;"'!"&amp;$X$3)),INDIRECT("'["&amp;G410&amp;"]"&amp;E410&amp;"'!"&amp;$X$1),0)</f>
        <v>#VALUE!</v>
      </c>
      <c r="I410" s="25" t="str">
        <f t="shared" si="122"/>
        <v/>
      </c>
      <c r="J410" s="32" t="str">
        <f t="shared" si="123"/>
        <v/>
      </c>
      <c r="K410" s="25" t="str">
        <f t="shared" si="124"/>
        <v/>
      </c>
      <c r="L410" s="25" t="str">
        <f t="shared" si="125"/>
        <v/>
      </c>
      <c r="M410" s="33" t="e" cm="1">
        <f t="array" aca="1" ref="M410" ca="1">IF(AND(J410=INDIRECT("'["&amp;G410&amp;"]"&amp;E410&amp;"'!"&amp;$Y$2),G410=INDIRECT("'["&amp;G410&amp;"]"&amp;E410&amp;"'!"&amp;$AH$2)),INDIRECT("'["&amp;G410&amp;"]"&amp;E410&amp;"'!"&amp;$Y$3),0)</f>
        <v>#VALUE!</v>
      </c>
      <c r="N410" s="34" t="e" cm="1">
        <f t="array" aca="1" ref="N410" ca="1">IF(AND(G410=INDIRECT("'["&amp;G410&amp;"]"&amp;E410&amp;"'!"&amp;$AH$2),OR(K410=INDIRECT("'["&amp;G410&amp;"]"&amp;E410&amp;"'!"&amp;$Z$2))),INDIRECT("'["&amp;G410&amp;"]"&amp;E410&amp;"'!"&amp;$Z$3),0)</f>
        <v>#VALUE!</v>
      </c>
      <c r="O410" s="34" t="e" cm="1">
        <f t="array" aca="1" ref="O410" ca="1">IF(AND(G410=INDIRECT("'["&amp;G410&amp;"]"&amp;E410&amp;"'!"&amp;$AH$2),OR(L410=INDIRECT("'["&amp;G410&amp;"]"&amp;E410&amp;"'!"&amp;$AA$2))),INDIRECT("'["&amp;G410&amp;"]"&amp;E410&amp;"'!"&amp;$AA$3),0)</f>
        <v>#VALUE!</v>
      </c>
      <c r="P410" s="34" t="e" cm="1">
        <f t="array" aca="1" ref="P410" ca="1">IF(AND(G410=INDIRECT("'["&amp;G410&amp;"]"&amp;E410&amp;"'!"&amp;$AH$2),OR(VALUE(I410)=INDIRECT("'["&amp;G410&amp;"]"&amp;E410&amp;"'!"&amp;$AB$2))),INDIRECT("'["&amp;G410&amp;"]"&amp;E410&amp;"'!"&amp;$AB$3),0)</f>
        <v>#VALUE!</v>
      </c>
      <c r="Q410" s="34" t="e" cm="1">
        <f t="array" aca="1" ref="Q410" ca="1">IF(AND(G410=INDIRECT("'["&amp;G410&amp;"]"&amp;E410&amp;"'!"&amp;$AH$2),OR(VALUE(I410)=INDIRECT("'["&amp;G410&amp;"]"&amp;E410&amp;"'!"&amp;$AC$2))),INDIRECT("'["&amp;G410&amp;"]"&amp;E410&amp;"'!"&amp;$AC$3),0)</f>
        <v>#VALUE!</v>
      </c>
      <c r="R410" s="34" t="e" cm="1">
        <f t="array" aca="1" ref="R410" ca="1">IF(AND(G410=INDIRECT("'["&amp;G410&amp;"]"&amp;E410&amp;"'!"&amp;$AH$2),OR(I410=INDIRECT("'["&amp;G410&amp;"]"&amp;E410&amp;"'!"&amp;$AD$2))),INDIRECT("'["&amp;G410&amp;"]"&amp;E410&amp;"'!"&amp;$AD$3),0)</f>
        <v>#VALUE!</v>
      </c>
      <c r="S410" s="34" t="e" cm="1">
        <f t="array" aca="1" ref="S410" ca="1">IF(AND(G410=INDIRECT("'["&amp;G410&amp;"]"&amp;E410&amp;"'!"&amp;$AH$2),OR(I410=INDIRECT("'["&amp;G410&amp;"]"&amp;E410&amp;"'!"&amp;$AE$2))),INDIRECT("'["&amp;G410&amp;"]"&amp;E410&amp;"'!"&amp;$AE$3),0)</f>
        <v>#VALUE!</v>
      </c>
      <c r="T410" s="35" t="e" cm="1">
        <f t="array" aca="1" ref="T410" ca="1">IF(AND(G410=INDIRECT("'["&amp;G410&amp;"]"&amp;E410&amp;"'!"&amp;$AH$2),OR(I410=INDIRECT("'["&amp;G410&amp;"]"&amp;E410&amp;"'!"&amp;$AF$2))),INDIRECT("'["&amp;G410&amp;"]"&amp;E410&amp;"'!"&amp;$AF$3),0)</f>
        <v>#VALUE!</v>
      </c>
      <c r="U410" s="34" t="e" cm="1">
        <f t="array" aca="1" ref="U410" ca="1">IF(AND(G410=INDIRECT("'["&amp;G410&amp;"]"&amp;E410&amp;"'!"&amp;$AH$2),OR(I410=INDIRECT("'["&amp;G410&amp;"]"&amp;E410&amp;"'!"&amp;$AG$2))),INDIRECT("'["&amp;G410&amp;"]"&amp;E410&amp;"'!"&amp;$AG$3),0)</f>
        <v>#VALUE!</v>
      </c>
      <c r="V410" s="25" t="str">
        <f t="shared" si="126"/>
        <v/>
      </c>
      <c r="W410" s="36" t="e" cm="1">
        <f t="array" aca="1" ref="W410" ca="1">IF(AND(G410=INDIRECT("'["&amp;G410&amp;"]"&amp;E410&amp;"'!"&amp;$AH$2),OR(V410=INDIRECT("'["&amp;G410&amp;"]"&amp;E410&amp;"'!"&amp;$AI$2))),INDIRECT("'["&amp;G410&amp;"]"&amp;E410&amp;"'!"&amp;$AI$3),0)</f>
        <v>#VALUE!</v>
      </c>
      <c r="AJ410" s="25">
        <v>1</v>
      </c>
      <c r="AK410" s="38">
        <f t="shared" ca="1" si="111"/>
        <v>0</v>
      </c>
      <c r="AL410" s="38">
        <f t="shared" ca="1" si="112"/>
        <v>0</v>
      </c>
      <c r="AM410" s="54" t="str">
        <f t="shared" ca="1" si="113"/>
        <v/>
      </c>
      <c r="AN410" s="25" t="e">
        <f t="shared" ca="1" si="114"/>
        <v>#VALUE!</v>
      </c>
      <c r="AO410" s="25" t="e">
        <f t="shared" ca="1" si="115"/>
        <v>#VALUE!</v>
      </c>
      <c r="AP410" s="39" t="str">
        <f t="shared" ca="1" si="116"/>
        <v/>
      </c>
      <c r="AQ410" s="46" t="str">
        <f ca="1">IF(AND(C410&lt;&gt;0, C411=0), SUM($C$2:C410)-SUM($AQ$1:AQ409), "")</f>
        <v/>
      </c>
      <c r="AR410" s="46" t="str">
        <f ca="1">IF(AND(AK410&lt;&gt;0, AK411=0), SUM($AK$2:AK410)-SUM($AR$1:AR409), "")</f>
        <v/>
      </c>
    </row>
    <row r="411" spans="1:44" ht="13.15" customHeight="1">
      <c r="A411" s="62"/>
      <c r="B411" s="68" t="str">
        <f t="shared" si="117"/>
        <v/>
      </c>
      <c r="C411" s="55" cm="1">
        <f t="array" aca="1" ref="C411" ca="1">SUM(IF(ISNUMBER(M411:U411),M411:U411,""))</f>
        <v>0</v>
      </c>
      <c r="D411" s="25" t="str">
        <f t="shared" si="118"/>
        <v/>
      </c>
      <c r="E411" s="25" t="e">
        <f t="shared" si="119"/>
        <v>#VALUE!</v>
      </c>
      <c r="F411" s="25" t="str">
        <f t="shared" si="120"/>
        <v/>
      </c>
      <c r="G411" s="25" t="str">
        <f t="shared" si="121"/>
        <v>.xlsx</v>
      </c>
      <c r="H411" s="29" t="e" cm="1">
        <f t="array" aca="1" ref="H411" ca="1">IF(AND(VALUE(E411)=INDIRECT("'["&amp;G411&amp;"]"&amp;E411&amp;"'!"&amp;$X$2),G411=INDIRECT("'["&amp;G411&amp;"]"&amp;E411&amp;"'!"&amp;$X$3)),INDIRECT("'["&amp;G411&amp;"]"&amp;E411&amp;"'!"&amp;$X$1),0)</f>
        <v>#VALUE!</v>
      </c>
      <c r="I411" s="25" t="str">
        <f t="shared" si="122"/>
        <v/>
      </c>
      <c r="J411" s="32" t="str">
        <f t="shared" si="123"/>
        <v/>
      </c>
      <c r="K411" s="25" t="str">
        <f t="shared" si="124"/>
        <v/>
      </c>
      <c r="L411" s="25" t="str">
        <f t="shared" si="125"/>
        <v/>
      </c>
      <c r="M411" s="33" t="e" cm="1">
        <f t="array" aca="1" ref="M411" ca="1">IF(AND(J411=INDIRECT("'["&amp;G411&amp;"]"&amp;E411&amp;"'!"&amp;$Y$2),G411=INDIRECT("'["&amp;G411&amp;"]"&amp;E411&amp;"'!"&amp;$AH$2)),INDIRECT("'["&amp;G411&amp;"]"&amp;E411&amp;"'!"&amp;$Y$3),0)</f>
        <v>#VALUE!</v>
      </c>
      <c r="N411" s="34" t="e" cm="1">
        <f t="array" aca="1" ref="N411" ca="1">IF(AND(G411=INDIRECT("'["&amp;G411&amp;"]"&amp;E411&amp;"'!"&amp;$AH$2),OR(K411=INDIRECT("'["&amp;G411&amp;"]"&amp;E411&amp;"'!"&amp;$Z$2))),INDIRECT("'["&amp;G411&amp;"]"&amp;E411&amp;"'!"&amp;$Z$3),0)</f>
        <v>#VALUE!</v>
      </c>
      <c r="O411" s="34" t="e" cm="1">
        <f t="array" aca="1" ref="O411" ca="1">IF(AND(G411=INDIRECT("'["&amp;G411&amp;"]"&amp;E411&amp;"'!"&amp;$AH$2),OR(L411=INDIRECT("'["&amp;G411&amp;"]"&amp;E411&amp;"'!"&amp;$AA$2))),INDIRECT("'["&amp;G411&amp;"]"&amp;E411&amp;"'!"&amp;$AA$3),0)</f>
        <v>#VALUE!</v>
      </c>
      <c r="P411" s="34" t="e" cm="1">
        <f t="array" aca="1" ref="P411" ca="1">IF(AND(G411=INDIRECT("'["&amp;G411&amp;"]"&amp;E411&amp;"'!"&amp;$AH$2),OR(VALUE(I411)=INDIRECT("'["&amp;G411&amp;"]"&amp;E411&amp;"'!"&amp;$AB$2))),INDIRECT("'["&amp;G411&amp;"]"&amp;E411&amp;"'!"&amp;$AB$3),0)</f>
        <v>#VALUE!</v>
      </c>
      <c r="Q411" s="34" t="e" cm="1">
        <f t="array" aca="1" ref="Q411" ca="1">IF(AND(G411=INDIRECT("'["&amp;G411&amp;"]"&amp;E411&amp;"'!"&amp;$AH$2),OR(VALUE(I411)=INDIRECT("'["&amp;G411&amp;"]"&amp;E411&amp;"'!"&amp;$AC$2))),INDIRECT("'["&amp;G411&amp;"]"&amp;E411&amp;"'!"&amp;$AC$3),0)</f>
        <v>#VALUE!</v>
      </c>
      <c r="R411" s="34" t="e" cm="1">
        <f t="array" aca="1" ref="R411" ca="1">IF(AND(G411=INDIRECT("'["&amp;G411&amp;"]"&amp;E411&amp;"'!"&amp;$AH$2),OR(I411=INDIRECT("'["&amp;G411&amp;"]"&amp;E411&amp;"'!"&amp;$AD$2))),INDIRECT("'["&amp;G411&amp;"]"&amp;E411&amp;"'!"&amp;$AD$3),0)</f>
        <v>#VALUE!</v>
      </c>
      <c r="S411" s="34" t="e" cm="1">
        <f t="array" aca="1" ref="S411" ca="1">IF(AND(G411=INDIRECT("'["&amp;G411&amp;"]"&amp;E411&amp;"'!"&amp;$AH$2),OR(I411=INDIRECT("'["&amp;G411&amp;"]"&amp;E411&amp;"'!"&amp;$AE$2))),INDIRECT("'["&amp;G411&amp;"]"&amp;E411&amp;"'!"&amp;$AE$3),0)</f>
        <v>#VALUE!</v>
      </c>
      <c r="T411" s="35" t="e" cm="1">
        <f t="array" aca="1" ref="T411" ca="1">IF(AND(G411=INDIRECT("'["&amp;G411&amp;"]"&amp;E411&amp;"'!"&amp;$AH$2),OR(I411=INDIRECT("'["&amp;G411&amp;"]"&amp;E411&amp;"'!"&amp;$AF$2))),INDIRECT("'["&amp;G411&amp;"]"&amp;E411&amp;"'!"&amp;$AF$3),0)</f>
        <v>#VALUE!</v>
      </c>
      <c r="U411" s="34" t="e" cm="1">
        <f t="array" aca="1" ref="U411" ca="1">IF(AND(G411=INDIRECT("'["&amp;G411&amp;"]"&amp;E411&amp;"'!"&amp;$AH$2),OR(I411=INDIRECT("'["&amp;G411&amp;"]"&amp;E411&amp;"'!"&amp;$AG$2))),INDIRECT("'["&amp;G411&amp;"]"&amp;E411&amp;"'!"&amp;$AG$3),0)</f>
        <v>#VALUE!</v>
      </c>
      <c r="V411" s="25" t="str">
        <f t="shared" si="126"/>
        <v/>
      </c>
      <c r="W411" s="36" t="e" cm="1">
        <f t="array" aca="1" ref="W411" ca="1">IF(AND(G411=INDIRECT("'["&amp;G411&amp;"]"&amp;E411&amp;"'!"&amp;$AH$2),OR(V411=INDIRECT("'["&amp;G411&amp;"]"&amp;E411&amp;"'!"&amp;$AI$2))),INDIRECT("'["&amp;G411&amp;"]"&amp;E411&amp;"'!"&amp;$AI$3),0)</f>
        <v>#VALUE!</v>
      </c>
      <c r="AJ411" s="25">
        <v>1</v>
      </c>
      <c r="AK411" s="38">
        <f t="shared" ca="1" si="111"/>
        <v>0</v>
      </c>
      <c r="AL411" s="38">
        <f t="shared" ca="1" si="112"/>
        <v>0</v>
      </c>
      <c r="AM411" s="54" t="str">
        <f t="shared" ca="1" si="113"/>
        <v/>
      </c>
      <c r="AN411" s="25" t="e">
        <f t="shared" ca="1" si="114"/>
        <v>#VALUE!</v>
      </c>
      <c r="AO411" s="25" t="e">
        <f t="shared" ca="1" si="115"/>
        <v>#VALUE!</v>
      </c>
      <c r="AP411" s="39" t="str">
        <f t="shared" ca="1" si="116"/>
        <v/>
      </c>
      <c r="AQ411" s="46" t="str">
        <f ca="1">IF(AND(C411&lt;&gt;0, C412=0), SUM($C$2:C411)-SUM($AQ$1:AQ410), "")</f>
        <v/>
      </c>
      <c r="AR411" s="46" t="str">
        <f ca="1">IF(AND(AK411&lt;&gt;0, AK412=0), SUM($AK$2:AK411)-SUM($AR$1:AR410), "")</f>
        <v/>
      </c>
    </row>
    <row r="412" spans="1:44" ht="13.15" customHeight="1">
      <c r="A412" s="62"/>
      <c r="B412" s="68" t="str">
        <f t="shared" si="117"/>
        <v/>
      </c>
      <c r="C412" s="55" cm="1">
        <f t="array" aca="1" ref="C412" ca="1">SUM(IF(ISNUMBER(M412:U412),M412:U412,""))</f>
        <v>0</v>
      </c>
      <c r="D412" s="25" t="str">
        <f t="shared" si="118"/>
        <v/>
      </c>
      <c r="E412" s="25" t="e">
        <f t="shared" si="119"/>
        <v>#VALUE!</v>
      </c>
      <c r="F412" s="25" t="str">
        <f t="shared" si="120"/>
        <v/>
      </c>
      <c r="G412" s="25" t="str">
        <f t="shared" si="121"/>
        <v>.xlsx</v>
      </c>
      <c r="H412" s="29" t="e" cm="1">
        <f t="array" aca="1" ref="H412" ca="1">IF(AND(VALUE(E412)=INDIRECT("'["&amp;G412&amp;"]"&amp;E412&amp;"'!"&amp;$X$2),G412=INDIRECT("'["&amp;G412&amp;"]"&amp;E412&amp;"'!"&amp;$X$3)),INDIRECT("'["&amp;G412&amp;"]"&amp;E412&amp;"'!"&amp;$X$1),0)</f>
        <v>#VALUE!</v>
      </c>
      <c r="I412" s="25" t="str">
        <f t="shared" si="122"/>
        <v/>
      </c>
      <c r="J412" s="32" t="str">
        <f t="shared" si="123"/>
        <v/>
      </c>
      <c r="K412" s="25" t="str">
        <f t="shared" si="124"/>
        <v/>
      </c>
      <c r="L412" s="25" t="str">
        <f t="shared" si="125"/>
        <v/>
      </c>
      <c r="M412" s="33" t="e" cm="1">
        <f t="array" aca="1" ref="M412" ca="1">IF(AND(J412=INDIRECT("'["&amp;G412&amp;"]"&amp;E412&amp;"'!"&amp;$Y$2),G412=INDIRECT("'["&amp;G412&amp;"]"&amp;E412&amp;"'!"&amp;$AH$2)),INDIRECT("'["&amp;G412&amp;"]"&amp;E412&amp;"'!"&amp;$Y$3),0)</f>
        <v>#VALUE!</v>
      </c>
      <c r="N412" s="34" t="e" cm="1">
        <f t="array" aca="1" ref="N412" ca="1">IF(AND(G412=INDIRECT("'["&amp;G412&amp;"]"&amp;E412&amp;"'!"&amp;$AH$2),OR(K412=INDIRECT("'["&amp;G412&amp;"]"&amp;E412&amp;"'!"&amp;$Z$2))),INDIRECT("'["&amp;G412&amp;"]"&amp;E412&amp;"'!"&amp;$Z$3),0)</f>
        <v>#VALUE!</v>
      </c>
      <c r="O412" s="34" t="e" cm="1">
        <f t="array" aca="1" ref="O412" ca="1">IF(AND(G412=INDIRECT("'["&amp;G412&amp;"]"&amp;E412&amp;"'!"&amp;$AH$2),OR(L412=INDIRECT("'["&amp;G412&amp;"]"&amp;E412&amp;"'!"&amp;$AA$2))),INDIRECT("'["&amp;G412&amp;"]"&amp;E412&amp;"'!"&amp;$AA$3),0)</f>
        <v>#VALUE!</v>
      </c>
      <c r="P412" s="34" t="e" cm="1">
        <f t="array" aca="1" ref="P412" ca="1">IF(AND(G412=INDIRECT("'["&amp;G412&amp;"]"&amp;E412&amp;"'!"&amp;$AH$2),OR(VALUE(I412)=INDIRECT("'["&amp;G412&amp;"]"&amp;E412&amp;"'!"&amp;$AB$2))),INDIRECT("'["&amp;G412&amp;"]"&amp;E412&amp;"'!"&amp;$AB$3),0)</f>
        <v>#VALUE!</v>
      </c>
      <c r="Q412" s="34" t="e" cm="1">
        <f t="array" aca="1" ref="Q412" ca="1">IF(AND(G412=INDIRECT("'["&amp;G412&amp;"]"&amp;E412&amp;"'!"&amp;$AH$2),OR(VALUE(I412)=INDIRECT("'["&amp;G412&amp;"]"&amp;E412&amp;"'!"&amp;$AC$2))),INDIRECT("'["&amp;G412&amp;"]"&amp;E412&amp;"'!"&amp;$AC$3),0)</f>
        <v>#VALUE!</v>
      </c>
      <c r="R412" s="34" t="e" cm="1">
        <f t="array" aca="1" ref="R412" ca="1">IF(AND(G412=INDIRECT("'["&amp;G412&amp;"]"&amp;E412&amp;"'!"&amp;$AH$2),OR(I412=INDIRECT("'["&amp;G412&amp;"]"&amp;E412&amp;"'!"&amp;$AD$2))),INDIRECT("'["&amp;G412&amp;"]"&amp;E412&amp;"'!"&amp;$AD$3),0)</f>
        <v>#VALUE!</v>
      </c>
      <c r="S412" s="34" t="e" cm="1">
        <f t="array" aca="1" ref="S412" ca="1">IF(AND(G412=INDIRECT("'["&amp;G412&amp;"]"&amp;E412&amp;"'!"&amp;$AH$2),OR(I412=INDIRECT("'["&amp;G412&amp;"]"&amp;E412&amp;"'!"&amp;$AE$2))),INDIRECT("'["&amp;G412&amp;"]"&amp;E412&amp;"'!"&amp;$AE$3),0)</f>
        <v>#VALUE!</v>
      </c>
      <c r="T412" s="35" t="e" cm="1">
        <f t="array" aca="1" ref="T412" ca="1">IF(AND(G412=INDIRECT("'["&amp;G412&amp;"]"&amp;E412&amp;"'!"&amp;$AH$2),OR(I412=INDIRECT("'["&amp;G412&amp;"]"&amp;E412&amp;"'!"&amp;$AF$2))),INDIRECT("'["&amp;G412&amp;"]"&amp;E412&amp;"'!"&amp;$AF$3),0)</f>
        <v>#VALUE!</v>
      </c>
      <c r="U412" s="34" t="e" cm="1">
        <f t="array" aca="1" ref="U412" ca="1">IF(AND(G412=INDIRECT("'["&amp;G412&amp;"]"&amp;E412&amp;"'!"&amp;$AH$2),OR(I412=INDIRECT("'["&amp;G412&amp;"]"&amp;E412&amp;"'!"&amp;$AG$2))),INDIRECT("'["&amp;G412&amp;"]"&amp;E412&amp;"'!"&amp;$AG$3),0)</f>
        <v>#VALUE!</v>
      </c>
      <c r="V412" s="25" t="str">
        <f t="shared" si="126"/>
        <v/>
      </c>
      <c r="W412" s="36" t="e" cm="1">
        <f t="array" aca="1" ref="W412" ca="1">IF(AND(G412=INDIRECT("'["&amp;G412&amp;"]"&amp;E412&amp;"'!"&amp;$AH$2),OR(V412=INDIRECT("'["&amp;G412&amp;"]"&amp;E412&amp;"'!"&amp;$AI$2))),INDIRECT("'["&amp;G412&amp;"]"&amp;E412&amp;"'!"&amp;$AI$3),0)</f>
        <v>#VALUE!</v>
      </c>
      <c r="AJ412" s="25">
        <v>1</v>
      </c>
      <c r="AK412" s="38">
        <f t="shared" ca="1" si="111"/>
        <v>0</v>
      </c>
      <c r="AL412" s="38">
        <f t="shared" ca="1" si="112"/>
        <v>0</v>
      </c>
      <c r="AM412" s="54" t="str">
        <f t="shared" ca="1" si="113"/>
        <v/>
      </c>
      <c r="AN412" s="25" t="e">
        <f t="shared" ca="1" si="114"/>
        <v>#VALUE!</v>
      </c>
      <c r="AO412" s="25" t="e">
        <f t="shared" ca="1" si="115"/>
        <v>#VALUE!</v>
      </c>
      <c r="AP412" s="39" t="str">
        <f t="shared" ca="1" si="116"/>
        <v/>
      </c>
      <c r="AQ412" s="46" t="str">
        <f ca="1">IF(AND(C412&lt;&gt;0, C413=0), SUM($C$2:C412)-SUM($AQ$1:AQ411), "")</f>
        <v/>
      </c>
      <c r="AR412" s="46" t="str">
        <f ca="1">IF(AND(AK412&lt;&gt;0, AK413=0), SUM($AK$2:AK412)-SUM($AR$1:AR411), "")</f>
        <v/>
      </c>
    </row>
    <row r="413" spans="1:44" ht="13.15" customHeight="1">
      <c r="A413" s="62"/>
      <c r="B413" s="68" t="str">
        <f t="shared" si="117"/>
        <v/>
      </c>
      <c r="C413" s="55" cm="1">
        <f t="array" aca="1" ref="C413" ca="1">SUM(IF(ISNUMBER(M413:U413),M413:U413,""))</f>
        <v>0</v>
      </c>
      <c r="D413" s="25" t="str">
        <f t="shared" si="118"/>
        <v/>
      </c>
      <c r="E413" s="25" t="e">
        <f t="shared" si="119"/>
        <v>#VALUE!</v>
      </c>
      <c r="F413" s="25" t="str">
        <f t="shared" si="120"/>
        <v/>
      </c>
      <c r="G413" s="25" t="str">
        <f t="shared" si="121"/>
        <v>.xlsx</v>
      </c>
      <c r="H413" s="29" t="e" cm="1">
        <f t="array" aca="1" ref="H413" ca="1">IF(AND(VALUE(E413)=INDIRECT("'["&amp;G413&amp;"]"&amp;E413&amp;"'!"&amp;$X$2),G413=INDIRECT("'["&amp;G413&amp;"]"&amp;E413&amp;"'!"&amp;$X$3)),INDIRECT("'["&amp;G413&amp;"]"&amp;E413&amp;"'!"&amp;$X$1),0)</f>
        <v>#VALUE!</v>
      </c>
      <c r="I413" s="25" t="str">
        <f t="shared" si="122"/>
        <v/>
      </c>
      <c r="J413" s="32" t="str">
        <f t="shared" si="123"/>
        <v/>
      </c>
      <c r="K413" s="25" t="str">
        <f t="shared" si="124"/>
        <v/>
      </c>
      <c r="L413" s="25" t="str">
        <f t="shared" si="125"/>
        <v/>
      </c>
      <c r="M413" s="33" t="e" cm="1">
        <f t="array" aca="1" ref="M413" ca="1">IF(AND(J413=INDIRECT("'["&amp;G413&amp;"]"&amp;E413&amp;"'!"&amp;$Y$2),G413=INDIRECT("'["&amp;G413&amp;"]"&amp;E413&amp;"'!"&amp;$AH$2)),INDIRECT("'["&amp;G413&amp;"]"&amp;E413&amp;"'!"&amp;$Y$3),0)</f>
        <v>#VALUE!</v>
      </c>
      <c r="N413" s="34" t="e" cm="1">
        <f t="array" aca="1" ref="N413" ca="1">IF(AND(G413=INDIRECT("'["&amp;G413&amp;"]"&amp;E413&amp;"'!"&amp;$AH$2),OR(K413=INDIRECT("'["&amp;G413&amp;"]"&amp;E413&amp;"'!"&amp;$Z$2))),INDIRECT("'["&amp;G413&amp;"]"&amp;E413&amp;"'!"&amp;$Z$3),0)</f>
        <v>#VALUE!</v>
      </c>
      <c r="O413" s="34" t="e" cm="1">
        <f t="array" aca="1" ref="O413" ca="1">IF(AND(G413=INDIRECT("'["&amp;G413&amp;"]"&amp;E413&amp;"'!"&amp;$AH$2),OR(L413=INDIRECT("'["&amp;G413&amp;"]"&amp;E413&amp;"'!"&amp;$AA$2))),INDIRECT("'["&amp;G413&amp;"]"&amp;E413&amp;"'!"&amp;$AA$3),0)</f>
        <v>#VALUE!</v>
      </c>
      <c r="P413" s="34" t="e" cm="1">
        <f t="array" aca="1" ref="P413" ca="1">IF(AND(G413=INDIRECT("'["&amp;G413&amp;"]"&amp;E413&amp;"'!"&amp;$AH$2),OR(VALUE(I413)=INDIRECT("'["&amp;G413&amp;"]"&amp;E413&amp;"'!"&amp;$AB$2))),INDIRECT("'["&amp;G413&amp;"]"&amp;E413&amp;"'!"&amp;$AB$3),0)</f>
        <v>#VALUE!</v>
      </c>
      <c r="Q413" s="34" t="e" cm="1">
        <f t="array" aca="1" ref="Q413" ca="1">IF(AND(G413=INDIRECT("'["&amp;G413&amp;"]"&amp;E413&amp;"'!"&amp;$AH$2),OR(VALUE(I413)=INDIRECT("'["&amp;G413&amp;"]"&amp;E413&amp;"'!"&amp;$AC$2))),INDIRECT("'["&amp;G413&amp;"]"&amp;E413&amp;"'!"&amp;$AC$3),0)</f>
        <v>#VALUE!</v>
      </c>
      <c r="R413" s="34" t="e" cm="1">
        <f t="array" aca="1" ref="R413" ca="1">IF(AND(G413=INDIRECT("'["&amp;G413&amp;"]"&amp;E413&amp;"'!"&amp;$AH$2),OR(I413=INDIRECT("'["&amp;G413&amp;"]"&amp;E413&amp;"'!"&amp;$AD$2))),INDIRECT("'["&amp;G413&amp;"]"&amp;E413&amp;"'!"&amp;$AD$3),0)</f>
        <v>#VALUE!</v>
      </c>
      <c r="S413" s="34" t="e" cm="1">
        <f t="array" aca="1" ref="S413" ca="1">IF(AND(G413=INDIRECT("'["&amp;G413&amp;"]"&amp;E413&amp;"'!"&amp;$AH$2),OR(I413=INDIRECT("'["&amp;G413&amp;"]"&amp;E413&amp;"'!"&amp;$AE$2))),INDIRECT("'["&amp;G413&amp;"]"&amp;E413&amp;"'!"&amp;$AE$3),0)</f>
        <v>#VALUE!</v>
      </c>
      <c r="T413" s="35" t="e" cm="1">
        <f t="array" aca="1" ref="T413" ca="1">IF(AND(G413=INDIRECT("'["&amp;G413&amp;"]"&amp;E413&amp;"'!"&amp;$AH$2),OR(I413=INDIRECT("'["&amp;G413&amp;"]"&amp;E413&amp;"'!"&amp;$AF$2))),INDIRECT("'["&amp;G413&amp;"]"&amp;E413&amp;"'!"&amp;$AF$3),0)</f>
        <v>#VALUE!</v>
      </c>
      <c r="U413" s="34" t="e" cm="1">
        <f t="array" aca="1" ref="U413" ca="1">IF(AND(G413=INDIRECT("'["&amp;G413&amp;"]"&amp;E413&amp;"'!"&amp;$AH$2),OR(I413=INDIRECT("'["&amp;G413&amp;"]"&amp;E413&amp;"'!"&amp;$AG$2))),INDIRECT("'["&amp;G413&amp;"]"&amp;E413&amp;"'!"&amp;$AG$3),0)</f>
        <v>#VALUE!</v>
      </c>
      <c r="V413" s="25" t="str">
        <f t="shared" si="126"/>
        <v/>
      </c>
      <c r="W413" s="36" t="e" cm="1">
        <f t="array" aca="1" ref="W413" ca="1">IF(AND(G413=INDIRECT("'["&amp;G413&amp;"]"&amp;E413&amp;"'!"&amp;$AH$2),OR(V413=INDIRECT("'["&amp;G413&amp;"]"&amp;E413&amp;"'!"&amp;$AI$2))),INDIRECT("'["&amp;G413&amp;"]"&amp;E413&amp;"'!"&amp;$AI$3),0)</f>
        <v>#VALUE!</v>
      </c>
      <c r="AJ413" s="25">
        <v>1</v>
      </c>
      <c r="AK413" s="38">
        <f t="shared" ca="1" si="111"/>
        <v>0</v>
      </c>
      <c r="AL413" s="38">
        <f t="shared" ca="1" si="112"/>
        <v>0</v>
      </c>
      <c r="AM413" s="54" t="str">
        <f t="shared" ca="1" si="113"/>
        <v/>
      </c>
      <c r="AN413" s="25" t="e">
        <f t="shared" ca="1" si="114"/>
        <v>#VALUE!</v>
      </c>
      <c r="AO413" s="25" t="e">
        <f t="shared" ca="1" si="115"/>
        <v>#VALUE!</v>
      </c>
      <c r="AP413" s="39" t="str">
        <f t="shared" ca="1" si="116"/>
        <v/>
      </c>
      <c r="AQ413" s="46" t="str">
        <f ca="1">IF(AND(C413&lt;&gt;0, C414=0), SUM($C$2:C413)-SUM($AQ$1:AQ412), "")</f>
        <v/>
      </c>
      <c r="AR413" s="46" t="str">
        <f ca="1">IF(AND(AK413&lt;&gt;0, AK414=0), SUM($AK$2:AK413)-SUM($AR$1:AR412), "")</f>
        <v/>
      </c>
    </row>
    <row r="414" spans="1:44" ht="13.15" customHeight="1">
      <c r="A414" s="62"/>
      <c r="B414" s="68" t="str">
        <f t="shared" si="117"/>
        <v/>
      </c>
      <c r="C414" s="55" cm="1">
        <f t="array" aca="1" ref="C414" ca="1">SUM(IF(ISNUMBER(M414:U414),M414:U414,""))</f>
        <v>0</v>
      </c>
      <c r="D414" s="25" t="str">
        <f t="shared" si="118"/>
        <v/>
      </c>
      <c r="E414" s="25" t="e">
        <f t="shared" si="119"/>
        <v>#VALUE!</v>
      </c>
      <c r="F414" s="25" t="str">
        <f t="shared" si="120"/>
        <v/>
      </c>
      <c r="G414" s="25" t="str">
        <f t="shared" si="121"/>
        <v>.xlsx</v>
      </c>
      <c r="H414" s="29" t="e" cm="1">
        <f t="array" aca="1" ref="H414" ca="1">IF(AND(VALUE(E414)=INDIRECT("'["&amp;G414&amp;"]"&amp;E414&amp;"'!"&amp;$X$2),G414=INDIRECT("'["&amp;G414&amp;"]"&amp;E414&amp;"'!"&amp;$X$3)),INDIRECT("'["&amp;G414&amp;"]"&amp;E414&amp;"'!"&amp;$X$1),0)</f>
        <v>#VALUE!</v>
      </c>
      <c r="I414" s="25" t="str">
        <f t="shared" si="122"/>
        <v/>
      </c>
      <c r="J414" s="32" t="str">
        <f t="shared" si="123"/>
        <v/>
      </c>
      <c r="K414" s="25" t="str">
        <f t="shared" si="124"/>
        <v/>
      </c>
      <c r="L414" s="25" t="str">
        <f t="shared" si="125"/>
        <v/>
      </c>
      <c r="M414" s="33" t="e" cm="1">
        <f t="array" aca="1" ref="M414" ca="1">IF(AND(J414=INDIRECT("'["&amp;G414&amp;"]"&amp;E414&amp;"'!"&amp;$Y$2),G414=INDIRECT("'["&amp;G414&amp;"]"&amp;E414&amp;"'!"&amp;$AH$2)),INDIRECT("'["&amp;G414&amp;"]"&amp;E414&amp;"'!"&amp;$Y$3),0)</f>
        <v>#VALUE!</v>
      </c>
      <c r="N414" s="34" t="e" cm="1">
        <f t="array" aca="1" ref="N414" ca="1">IF(AND(G414=INDIRECT("'["&amp;G414&amp;"]"&amp;E414&amp;"'!"&amp;$AH$2),OR(K414=INDIRECT("'["&amp;G414&amp;"]"&amp;E414&amp;"'!"&amp;$Z$2))),INDIRECT("'["&amp;G414&amp;"]"&amp;E414&amp;"'!"&amp;$Z$3),0)</f>
        <v>#VALUE!</v>
      </c>
      <c r="O414" s="34" t="e" cm="1">
        <f t="array" aca="1" ref="O414" ca="1">IF(AND(G414=INDIRECT("'["&amp;G414&amp;"]"&amp;E414&amp;"'!"&amp;$AH$2),OR(L414=INDIRECT("'["&amp;G414&amp;"]"&amp;E414&amp;"'!"&amp;$AA$2))),INDIRECT("'["&amp;G414&amp;"]"&amp;E414&amp;"'!"&amp;$AA$3),0)</f>
        <v>#VALUE!</v>
      </c>
      <c r="P414" s="34" t="e" cm="1">
        <f t="array" aca="1" ref="P414" ca="1">IF(AND(G414=INDIRECT("'["&amp;G414&amp;"]"&amp;E414&amp;"'!"&amp;$AH$2),OR(VALUE(I414)=INDIRECT("'["&amp;G414&amp;"]"&amp;E414&amp;"'!"&amp;$AB$2))),INDIRECT("'["&amp;G414&amp;"]"&amp;E414&amp;"'!"&amp;$AB$3),0)</f>
        <v>#VALUE!</v>
      </c>
      <c r="Q414" s="34" t="e" cm="1">
        <f t="array" aca="1" ref="Q414" ca="1">IF(AND(G414=INDIRECT("'["&amp;G414&amp;"]"&amp;E414&amp;"'!"&amp;$AH$2),OR(VALUE(I414)=INDIRECT("'["&amp;G414&amp;"]"&amp;E414&amp;"'!"&amp;$AC$2))),INDIRECT("'["&amp;G414&amp;"]"&amp;E414&amp;"'!"&amp;$AC$3),0)</f>
        <v>#VALUE!</v>
      </c>
      <c r="R414" s="34" t="e" cm="1">
        <f t="array" aca="1" ref="R414" ca="1">IF(AND(G414=INDIRECT("'["&amp;G414&amp;"]"&amp;E414&amp;"'!"&amp;$AH$2),OR(I414=INDIRECT("'["&amp;G414&amp;"]"&amp;E414&amp;"'!"&amp;$AD$2))),INDIRECT("'["&amp;G414&amp;"]"&amp;E414&amp;"'!"&amp;$AD$3),0)</f>
        <v>#VALUE!</v>
      </c>
      <c r="S414" s="34" t="e" cm="1">
        <f t="array" aca="1" ref="S414" ca="1">IF(AND(G414=INDIRECT("'["&amp;G414&amp;"]"&amp;E414&amp;"'!"&amp;$AH$2),OR(I414=INDIRECT("'["&amp;G414&amp;"]"&amp;E414&amp;"'!"&amp;$AE$2))),INDIRECT("'["&amp;G414&amp;"]"&amp;E414&amp;"'!"&amp;$AE$3),0)</f>
        <v>#VALUE!</v>
      </c>
      <c r="T414" s="35" t="e" cm="1">
        <f t="array" aca="1" ref="T414" ca="1">IF(AND(G414=INDIRECT("'["&amp;G414&amp;"]"&amp;E414&amp;"'!"&amp;$AH$2),OR(I414=INDIRECT("'["&amp;G414&amp;"]"&amp;E414&amp;"'!"&amp;$AF$2))),INDIRECT("'["&amp;G414&amp;"]"&amp;E414&amp;"'!"&amp;$AF$3),0)</f>
        <v>#VALUE!</v>
      </c>
      <c r="U414" s="34" t="e" cm="1">
        <f t="array" aca="1" ref="U414" ca="1">IF(AND(G414=INDIRECT("'["&amp;G414&amp;"]"&amp;E414&amp;"'!"&amp;$AH$2),OR(I414=INDIRECT("'["&amp;G414&amp;"]"&amp;E414&amp;"'!"&amp;$AG$2))),INDIRECT("'["&amp;G414&amp;"]"&amp;E414&amp;"'!"&amp;$AG$3),0)</f>
        <v>#VALUE!</v>
      </c>
      <c r="V414" s="25" t="str">
        <f t="shared" si="126"/>
        <v/>
      </c>
      <c r="W414" s="36" t="e" cm="1">
        <f t="array" aca="1" ref="W414" ca="1">IF(AND(G414=INDIRECT("'["&amp;G414&amp;"]"&amp;E414&amp;"'!"&amp;$AH$2),OR(V414=INDIRECT("'["&amp;G414&amp;"]"&amp;E414&amp;"'!"&amp;$AI$2))),INDIRECT("'["&amp;G414&amp;"]"&amp;E414&amp;"'!"&amp;$AI$3),0)</f>
        <v>#VALUE!</v>
      </c>
      <c r="AJ414" s="25">
        <v>1</v>
      </c>
      <c r="AK414" s="38">
        <f t="shared" ca="1" si="111"/>
        <v>0</v>
      </c>
      <c r="AL414" s="38">
        <f t="shared" ca="1" si="112"/>
        <v>0</v>
      </c>
      <c r="AM414" s="54" t="str">
        <f t="shared" ca="1" si="113"/>
        <v/>
      </c>
      <c r="AN414" s="25" t="e">
        <f t="shared" ca="1" si="114"/>
        <v>#VALUE!</v>
      </c>
      <c r="AO414" s="25" t="e">
        <f t="shared" ca="1" si="115"/>
        <v>#VALUE!</v>
      </c>
      <c r="AP414" s="39" t="str">
        <f t="shared" ca="1" si="116"/>
        <v/>
      </c>
      <c r="AQ414" s="46" t="str">
        <f ca="1">IF(AND(C414&lt;&gt;0, C415=0), SUM($C$2:C414)-SUM($AQ$1:AQ413), "")</f>
        <v/>
      </c>
      <c r="AR414" s="46" t="str">
        <f ca="1">IF(AND(AK414&lt;&gt;0, AK415=0), SUM($AK$2:AK414)-SUM($AR$1:AR413), "")</f>
        <v/>
      </c>
    </row>
    <row r="415" spans="1:44" ht="13.15" customHeight="1">
      <c r="A415" s="62"/>
      <c r="B415" s="68" t="str">
        <f t="shared" si="117"/>
        <v/>
      </c>
      <c r="C415" s="55" cm="1">
        <f t="array" aca="1" ref="C415" ca="1">SUM(IF(ISNUMBER(M415:U415),M415:U415,""))</f>
        <v>0</v>
      </c>
      <c r="D415" s="25" t="str">
        <f t="shared" si="118"/>
        <v/>
      </c>
      <c r="E415" s="25" t="e">
        <f t="shared" si="119"/>
        <v>#VALUE!</v>
      </c>
      <c r="F415" s="25" t="str">
        <f t="shared" si="120"/>
        <v/>
      </c>
      <c r="G415" s="25" t="str">
        <f t="shared" si="121"/>
        <v>.xlsx</v>
      </c>
      <c r="H415" s="29" t="e" cm="1">
        <f t="array" aca="1" ref="H415" ca="1">IF(AND(VALUE(E415)=INDIRECT("'["&amp;G415&amp;"]"&amp;E415&amp;"'!"&amp;$X$2),G415=INDIRECT("'["&amp;G415&amp;"]"&amp;E415&amp;"'!"&amp;$X$3)),INDIRECT("'["&amp;G415&amp;"]"&amp;E415&amp;"'!"&amp;$X$1),0)</f>
        <v>#VALUE!</v>
      </c>
      <c r="I415" s="25" t="str">
        <f t="shared" si="122"/>
        <v/>
      </c>
      <c r="J415" s="32" t="str">
        <f t="shared" si="123"/>
        <v/>
      </c>
      <c r="K415" s="25" t="str">
        <f t="shared" si="124"/>
        <v/>
      </c>
      <c r="L415" s="25" t="str">
        <f t="shared" si="125"/>
        <v/>
      </c>
      <c r="M415" s="33" t="e" cm="1">
        <f t="array" aca="1" ref="M415" ca="1">IF(AND(J415=INDIRECT("'["&amp;G415&amp;"]"&amp;E415&amp;"'!"&amp;$Y$2),G415=INDIRECT("'["&amp;G415&amp;"]"&amp;E415&amp;"'!"&amp;$AH$2)),INDIRECT("'["&amp;G415&amp;"]"&amp;E415&amp;"'!"&amp;$Y$3),0)</f>
        <v>#VALUE!</v>
      </c>
      <c r="N415" s="34" t="e" cm="1">
        <f t="array" aca="1" ref="N415" ca="1">IF(AND(G415=INDIRECT("'["&amp;G415&amp;"]"&amp;E415&amp;"'!"&amp;$AH$2),OR(K415=INDIRECT("'["&amp;G415&amp;"]"&amp;E415&amp;"'!"&amp;$Z$2))),INDIRECT("'["&amp;G415&amp;"]"&amp;E415&amp;"'!"&amp;$Z$3),0)</f>
        <v>#VALUE!</v>
      </c>
      <c r="O415" s="34" t="e" cm="1">
        <f t="array" aca="1" ref="O415" ca="1">IF(AND(G415=INDIRECT("'["&amp;G415&amp;"]"&amp;E415&amp;"'!"&amp;$AH$2),OR(L415=INDIRECT("'["&amp;G415&amp;"]"&amp;E415&amp;"'!"&amp;$AA$2))),INDIRECT("'["&amp;G415&amp;"]"&amp;E415&amp;"'!"&amp;$AA$3),0)</f>
        <v>#VALUE!</v>
      </c>
      <c r="P415" s="34" t="e" cm="1">
        <f t="array" aca="1" ref="P415" ca="1">IF(AND(G415=INDIRECT("'["&amp;G415&amp;"]"&amp;E415&amp;"'!"&amp;$AH$2),OR(VALUE(I415)=INDIRECT("'["&amp;G415&amp;"]"&amp;E415&amp;"'!"&amp;$AB$2))),INDIRECT("'["&amp;G415&amp;"]"&amp;E415&amp;"'!"&amp;$AB$3),0)</f>
        <v>#VALUE!</v>
      </c>
      <c r="Q415" s="34" t="e" cm="1">
        <f t="array" aca="1" ref="Q415" ca="1">IF(AND(G415=INDIRECT("'["&amp;G415&amp;"]"&amp;E415&amp;"'!"&amp;$AH$2),OR(VALUE(I415)=INDIRECT("'["&amp;G415&amp;"]"&amp;E415&amp;"'!"&amp;$AC$2))),INDIRECT("'["&amp;G415&amp;"]"&amp;E415&amp;"'!"&amp;$AC$3),0)</f>
        <v>#VALUE!</v>
      </c>
      <c r="R415" s="34" t="e" cm="1">
        <f t="array" aca="1" ref="R415" ca="1">IF(AND(G415=INDIRECT("'["&amp;G415&amp;"]"&amp;E415&amp;"'!"&amp;$AH$2),OR(I415=INDIRECT("'["&amp;G415&amp;"]"&amp;E415&amp;"'!"&amp;$AD$2))),INDIRECT("'["&amp;G415&amp;"]"&amp;E415&amp;"'!"&amp;$AD$3),0)</f>
        <v>#VALUE!</v>
      </c>
      <c r="S415" s="34" t="e" cm="1">
        <f t="array" aca="1" ref="S415" ca="1">IF(AND(G415=INDIRECT("'["&amp;G415&amp;"]"&amp;E415&amp;"'!"&amp;$AH$2),OR(I415=INDIRECT("'["&amp;G415&amp;"]"&amp;E415&amp;"'!"&amp;$AE$2))),INDIRECT("'["&amp;G415&amp;"]"&amp;E415&amp;"'!"&amp;$AE$3),0)</f>
        <v>#VALUE!</v>
      </c>
      <c r="T415" s="35" t="e" cm="1">
        <f t="array" aca="1" ref="T415" ca="1">IF(AND(G415=INDIRECT("'["&amp;G415&amp;"]"&amp;E415&amp;"'!"&amp;$AH$2),OR(I415=INDIRECT("'["&amp;G415&amp;"]"&amp;E415&amp;"'!"&amp;$AF$2))),INDIRECT("'["&amp;G415&amp;"]"&amp;E415&amp;"'!"&amp;$AF$3),0)</f>
        <v>#VALUE!</v>
      </c>
      <c r="U415" s="34" t="e" cm="1">
        <f t="array" aca="1" ref="U415" ca="1">IF(AND(G415=INDIRECT("'["&amp;G415&amp;"]"&amp;E415&amp;"'!"&amp;$AH$2),OR(I415=INDIRECT("'["&amp;G415&amp;"]"&amp;E415&amp;"'!"&amp;$AG$2))),INDIRECT("'["&amp;G415&amp;"]"&amp;E415&amp;"'!"&amp;$AG$3),0)</f>
        <v>#VALUE!</v>
      </c>
      <c r="V415" s="25" t="str">
        <f t="shared" si="126"/>
        <v/>
      </c>
      <c r="W415" s="36" t="e" cm="1">
        <f t="array" aca="1" ref="W415" ca="1">IF(AND(G415=INDIRECT("'["&amp;G415&amp;"]"&amp;E415&amp;"'!"&amp;$AH$2),OR(V415=INDIRECT("'["&amp;G415&amp;"]"&amp;E415&amp;"'!"&amp;$AI$2))),INDIRECT("'["&amp;G415&amp;"]"&amp;E415&amp;"'!"&amp;$AI$3),0)</f>
        <v>#VALUE!</v>
      </c>
      <c r="AJ415" s="25">
        <v>1</v>
      </c>
      <c r="AK415" s="38">
        <f t="shared" ca="1" si="111"/>
        <v>0</v>
      </c>
      <c r="AL415" s="38">
        <f t="shared" ca="1" si="112"/>
        <v>0</v>
      </c>
      <c r="AM415" s="54" t="str">
        <f t="shared" ca="1" si="113"/>
        <v/>
      </c>
      <c r="AN415" s="25" t="e">
        <f t="shared" ca="1" si="114"/>
        <v>#VALUE!</v>
      </c>
      <c r="AO415" s="25" t="e">
        <f t="shared" ca="1" si="115"/>
        <v>#VALUE!</v>
      </c>
      <c r="AP415" s="39" t="str">
        <f t="shared" ca="1" si="116"/>
        <v/>
      </c>
      <c r="AQ415" s="46" t="str">
        <f ca="1">IF(AND(C415&lt;&gt;0, C416=0), SUM($C$2:C415)-SUM($AQ$1:AQ414), "")</f>
        <v/>
      </c>
      <c r="AR415" s="46" t="str">
        <f ca="1">IF(AND(AK415&lt;&gt;0, AK416=0), SUM($AK$2:AK415)-SUM($AR$1:AR414), "")</f>
        <v/>
      </c>
    </row>
    <row r="416" spans="1:44" ht="13.15" customHeight="1">
      <c r="A416" s="62"/>
      <c r="B416" s="68" t="str">
        <f t="shared" si="117"/>
        <v/>
      </c>
      <c r="C416" s="55" cm="1">
        <f t="array" aca="1" ref="C416" ca="1">SUM(IF(ISNUMBER(M416:U416),M416:U416,""))</f>
        <v>0</v>
      </c>
      <c r="D416" s="25" t="str">
        <f t="shared" si="118"/>
        <v/>
      </c>
      <c r="E416" s="25" t="e">
        <f t="shared" si="119"/>
        <v>#VALUE!</v>
      </c>
      <c r="F416" s="25" t="str">
        <f t="shared" si="120"/>
        <v/>
      </c>
      <c r="G416" s="25" t="str">
        <f t="shared" si="121"/>
        <v>.xlsx</v>
      </c>
      <c r="H416" s="29" t="e" cm="1">
        <f t="array" aca="1" ref="H416" ca="1">IF(AND(VALUE(E416)=INDIRECT("'["&amp;G416&amp;"]"&amp;E416&amp;"'!"&amp;$X$2),G416=INDIRECT("'["&amp;G416&amp;"]"&amp;E416&amp;"'!"&amp;$X$3)),INDIRECT("'["&amp;G416&amp;"]"&amp;E416&amp;"'!"&amp;$X$1),0)</f>
        <v>#VALUE!</v>
      </c>
      <c r="I416" s="25" t="str">
        <f t="shared" si="122"/>
        <v/>
      </c>
      <c r="J416" s="32" t="str">
        <f t="shared" si="123"/>
        <v/>
      </c>
      <c r="K416" s="25" t="str">
        <f t="shared" si="124"/>
        <v/>
      </c>
      <c r="L416" s="25" t="str">
        <f t="shared" si="125"/>
        <v/>
      </c>
      <c r="M416" s="33" t="e" cm="1">
        <f t="array" aca="1" ref="M416" ca="1">IF(AND(J416=INDIRECT("'["&amp;G416&amp;"]"&amp;E416&amp;"'!"&amp;$Y$2),G416=INDIRECT("'["&amp;G416&amp;"]"&amp;E416&amp;"'!"&amp;$AH$2)),INDIRECT("'["&amp;G416&amp;"]"&amp;E416&amp;"'!"&amp;$Y$3),0)</f>
        <v>#VALUE!</v>
      </c>
      <c r="N416" s="34" t="e" cm="1">
        <f t="array" aca="1" ref="N416" ca="1">IF(AND(G416=INDIRECT("'["&amp;G416&amp;"]"&amp;E416&amp;"'!"&amp;$AH$2),OR(K416=INDIRECT("'["&amp;G416&amp;"]"&amp;E416&amp;"'!"&amp;$Z$2))),INDIRECT("'["&amp;G416&amp;"]"&amp;E416&amp;"'!"&amp;$Z$3),0)</f>
        <v>#VALUE!</v>
      </c>
      <c r="O416" s="34" t="e" cm="1">
        <f t="array" aca="1" ref="O416" ca="1">IF(AND(G416=INDIRECT("'["&amp;G416&amp;"]"&amp;E416&amp;"'!"&amp;$AH$2),OR(L416=INDIRECT("'["&amp;G416&amp;"]"&amp;E416&amp;"'!"&amp;$AA$2))),INDIRECT("'["&amp;G416&amp;"]"&amp;E416&amp;"'!"&amp;$AA$3),0)</f>
        <v>#VALUE!</v>
      </c>
      <c r="P416" s="34" t="e" cm="1">
        <f t="array" aca="1" ref="P416" ca="1">IF(AND(G416=INDIRECT("'["&amp;G416&amp;"]"&amp;E416&amp;"'!"&amp;$AH$2),OR(VALUE(I416)=INDIRECT("'["&amp;G416&amp;"]"&amp;E416&amp;"'!"&amp;$AB$2))),INDIRECT("'["&amp;G416&amp;"]"&amp;E416&amp;"'!"&amp;$AB$3),0)</f>
        <v>#VALUE!</v>
      </c>
      <c r="Q416" s="34" t="e" cm="1">
        <f t="array" aca="1" ref="Q416" ca="1">IF(AND(G416=INDIRECT("'["&amp;G416&amp;"]"&amp;E416&amp;"'!"&amp;$AH$2),OR(VALUE(I416)=INDIRECT("'["&amp;G416&amp;"]"&amp;E416&amp;"'!"&amp;$AC$2))),INDIRECT("'["&amp;G416&amp;"]"&amp;E416&amp;"'!"&amp;$AC$3),0)</f>
        <v>#VALUE!</v>
      </c>
      <c r="R416" s="34" t="e" cm="1">
        <f t="array" aca="1" ref="R416" ca="1">IF(AND(G416=INDIRECT("'["&amp;G416&amp;"]"&amp;E416&amp;"'!"&amp;$AH$2),OR(I416=INDIRECT("'["&amp;G416&amp;"]"&amp;E416&amp;"'!"&amp;$AD$2))),INDIRECT("'["&amp;G416&amp;"]"&amp;E416&amp;"'!"&amp;$AD$3),0)</f>
        <v>#VALUE!</v>
      </c>
      <c r="S416" s="34" t="e" cm="1">
        <f t="array" aca="1" ref="S416" ca="1">IF(AND(G416=INDIRECT("'["&amp;G416&amp;"]"&amp;E416&amp;"'!"&amp;$AH$2),OR(I416=INDIRECT("'["&amp;G416&amp;"]"&amp;E416&amp;"'!"&amp;$AE$2))),INDIRECT("'["&amp;G416&amp;"]"&amp;E416&amp;"'!"&amp;$AE$3),0)</f>
        <v>#VALUE!</v>
      </c>
      <c r="T416" s="35" t="e" cm="1">
        <f t="array" aca="1" ref="T416" ca="1">IF(AND(G416=INDIRECT("'["&amp;G416&amp;"]"&amp;E416&amp;"'!"&amp;$AH$2),OR(I416=INDIRECT("'["&amp;G416&amp;"]"&amp;E416&amp;"'!"&amp;$AF$2))),INDIRECT("'["&amp;G416&amp;"]"&amp;E416&amp;"'!"&amp;$AF$3),0)</f>
        <v>#VALUE!</v>
      </c>
      <c r="U416" s="34" t="e" cm="1">
        <f t="array" aca="1" ref="U416" ca="1">IF(AND(G416=INDIRECT("'["&amp;G416&amp;"]"&amp;E416&amp;"'!"&amp;$AH$2),OR(I416=INDIRECT("'["&amp;G416&amp;"]"&amp;E416&amp;"'!"&amp;$AG$2))),INDIRECT("'["&amp;G416&amp;"]"&amp;E416&amp;"'!"&amp;$AG$3),0)</f>
        <v>#VALUE!</v>
      </c>
      <c r="V416" s="25" t="str">
        <f t="shared" si="126"/>
        <v/>
      </c>
      <c r="W416" s="36" t="e" cm="1">
        <f t="array" aca="1" ref="W416" ca="1">IF(AND(G416=INDIRECT("'["&amp;G416&amp;"]"&amp;E416&amp;"'!"&amp;$AH$2),OR(V416=INDIRECT("'["&amp;G416&amp;"]"&amp;E416&amp;"'!"&amp;$AI$2))),INDIRECT("'["&amp;G416&amp;"]"&amp;E416&amp;"'!"&amp;$AI$3),0)</f>
        <v>#VALUE!</v>
      </c>
      <c r="AJ416" s="25">
        <v>1</v>
      </c>
      <c r="AK416" s="38">
        <f t="shared" ca="1" si="111"/>
        <v>0</v>
      </c>
      <c r="AL416" s="38">
        <f t="shared" ca="1" si="112"/>
        <v>0</v>
      </c>
      <c r="AM416" s="54" t="str">
        <f t="shared" ca="1" si="113"/>
        <v/>
      </c>
      <c r="AN416" s="25" t="e">
        <f t="shared" ca="1" si="114"/>
        <v>#VALUE!</v>
      </c>
      <c r="AO416" s="25" t="e">
        <f t="shared" ca="1" si="115"/>
        <v>#VALUE!</v>
      </c>
      <c r="AP416" s="39" t="str">
        <f t="shared" ca="1" si="116"/>
        <v/>
      </c>
      <c r="AQ416" s="46" t="str">
        <f ca="1">IF(AND(C416&lt;&gt;0, C417=0), SUM($C$2:C416)-SUM($AQ$1:AQ415), "")</f>
        <v/>
      </c>
      <c r="AR416" s="46" t="str">
        <f ca="1">IF(AND(AK416&lt;&gt;0, AK417=0), SUM($AK$2:AK416)-SUM($AR$1:AR415), "")</f>
        <v/>
      </c>
    </row>
    <row r="417" spans="1:44" ht="13.15" customHeight="1">
      <c r="A417" s="62"/>
      <c r="B417" s="68" t="str">
        <f t="shared" si="117"/>
        <v/>
      </c>
      <c r="C417" s="55" cm="1">
        <f t="array" aca="1" ref="C417" ca="1">SUM(IF(ISNUMBER(M417:U417),M417:U417,""))</f>
        <v>0</v>
      </c>
      <c r="D417" s="25" t="str">
        <f t="shared" si="118"/>
        <v/>
      </c>
      <c r="E417" s="25" t="e">
        <f t="shared" si="119"/>
        <v>#VALUE!</v>
      </c>
      <c r="F417" s="25" t="str">
        <f t="shared" si="120"/>
        <v/>
      </c>
      <c r="G417" s="25" t="str">
        <f t="shared" si="121"/>
        <v>.xlsx</v>
      </c>
      <c r="H417" s="29" t="e" cm="1">
        <f t="array" aca="1" ref="H417" ca="1">IF(AND(VALUE(E417)=INDIRECT("'["&amp;G417&amp;"]"&amp;E417&amp;"'!"&amp;$X$2),G417=INDIRECT("'["&amp;G417&amp;"]"&amp;E417&amp;"'!"&amp;$X$3)),INDIRECT("'["&amp;G417&amp;"]"&amp;E417&amp;"'!"&amp;$X$1),0)</f>
        <v>#VALUE!</v>
      </c>
      <c r="I417" s="25" t="str">
        <f t="shared" si="122"/>
        <v/>
      </c>
      <c r="J417" s="32" t="str">
        <f t="shared" si="123"/>
        <v/>
      </c>
      <c r="K417" s="25" t="str">
        <f t="shared" si="124"/>
        <v/>
      </c>
      <c r="L417" s="25" t="str">
        <f t="shared" si="125"/>
        <v/>
      </c>
      <c r="M417" s="33" t="e" cm="1">
        <f t="array" aca="1" ref="M417" ca="1">IF(AND(J417=INDIRECT("'["&amp;G417&amp;"]"&amp;E417&amp;"'!"&amp;$Y$2),G417=INDIRECT("'["&amp;G417&amp;"]"&amp;E417&amp;"'!"&amp;$AH$2)),INDIRECT("'["&amp;G417&amp;"]"&amp;E417&amp;"'!"&amp;$Y$3),0)</f>
        <v>#VALUE!</v>
      </c>
      <c r="N417" s="34" t="e" cm="1">
        <f t="array" aca="1" ref="N417" ca="1">IF(AND(G417=INDIRECT("'["&amp;G417&amp;"]"&amp;E417&amp;"'!"&amp;$AH$2),OR(K417=INDIRECT("'["&amp;G417&amp;"]"&amp;E417&amp;"'!"&amp;$Z$2))),INDIRECT("'["&amp;G417&amp;"]"&amp;E417&amp;"'!"&amp;$Z$3),0)</f>
        <v>#VALUE!</v>
      </c>
      <c r="O417" s="34" t="e" cm="1">
        <f t="array" aca="1" ref="O417" ca="1">IF(AND(G417=INDIRECT("'["&amp;G417&amp;"]"&amp;E417&amp;"'!"&amp;$AH$2),OR(L417=INDIRECT("'["&amp;G417&amp;"]"&amp;E417&amp;"'!"&amp;$AA$2))),INDIRECT("'["&amp;G417&amp;"]"&amp;E417&amp;"'!"&amp;$AA$3),0)</f>
        <v>#VALUE!</v>
      </c>
      <c r="P417" s="34" t="e" cm="1">
        <f t="array" aca="1" ref="P417" ca="1">IF(AND(G417=INDIRECT("'["&amp;G417&amp;"]"&amp;E417&amp;"'!"&amp;$AH$2),OR(VALUE(I417)=INDIRECT("'["&amp;G417&amp;"]"&amp;E417&amp;"'!"&amp;$AB$2))),INDIRECT("'["&amp;G417&amp;"]"&amp;E417&amp;"'!"&amp;$AB$3),0)</f>
        <v>#VALUE!</v>
      </c>
      <c r="Q417" s="34" t="e" cm="1">
        <f t="array" aca="1" ref="Q417" ca="1">IF(AND(G417=INDIRECT("'["&amp;G417&amp;"]"&amp;E417&amp;"'!"&amp;$AH$2),OR(VALUE(I417)=INDIRECT("'["&amp;G417&amp;"]"&amp;E417&amp;"'!"&amp;$AC$2))),INDIRECT("'["&amp;G417&amp;"]"&amp;E417&amp;"'!"&amp;$AC$3),0)</f>
        <v>#VALUE!</v>
      </c>
      <c r="R417" s="34" t="e" cm="1">
        <f t="array" aca="1" ref="R417" ca="1">IF(AND(G417=INDIRECT("'["&amp;G417&amp;"]"&amp;E417&amp;"'!"&amp;$AH$2),OR(I417=INDIRECT("'["&amp;G417&amp;"]"&amp;E417&amp;"'!"&amp;$AD$2))),INDIRECT("'["&amp;G417&amp;"]"&amp;E417&amp;"'!"&amp;$AD$3),0)</f>
        <v>#VALUE!</v>
      </c>
      <c r="S417" s="34" t="e" cm="1">
        <f t="array" aca="1" ref="S417" ca="1">IF(AND(G417=INDIRECT("'["&amp;G417&amp;"]"&amp;E417&amp;"'!"&amp;$AH$2),OR(I417=INDIRECT("'["&amp;G417&amp;"]"&amp;E417&amp;"'!"&amp;$AE$2))),INDIRECT("'["&amp;G417&amp;"]"&amp;E417&amp;"'!"&amp;$AE$3),0)</f>
        <v>#VALUE!</v>
      </c>
      <c r="T417" s="35" t="e" cm="1">
        <f t="array" aca="1" ref="T417" ca="1">IF(AND(G417=INDIRECT("'["&amp;G417&amp;"]"&amp;E417&amp;"'!"&amp;$AH$2),OR(I417=INDIRECT("'["&amp;G417&amp;"]"&amp;E417&amp;"'!"&amp;$AF$2))),INDIRECT("'["&amp;G417&amp;"]"&amp;E417&amp;"'!"&amp;$AF$3),0)</f>
        <v>#VALUE!</v>
      </c>
      <c r="U417" s="34" t="e" cm="1">
        <f t="array" aca="1" ref="U417" ca="1">IF(AND(G417=INDIRECT("'["&amp;G417&amp;"]"&amp;E417&amp;"'!"&amp;$AH$2),OR(I417=INDIRECT("'["&amp;G417&amp;"]"&amp;E417&amp;"'!"&amp;$AG$2))),INDIRECT("'["&amp;G417&amp;"]"&amp;E417&amp;"'!"&amp;$AG$3),0)</f>
        <v>#VALUE!</v>
      </c>
      <c r="V417" s="25" t="str">
        <f t="shared" si="126"/>
        <v/>
      </c>
      <c r="W417" s="36" t="e" cm="1">
        <f t="array" aca="1" ref="W417" ca="1">IF(AND(G417=INDIRECT("'["&amp;G417&amp;"]"&amp;E417&amp;"'!"&amp;$AH$2),OR(V417=INDIRECT("'["&amp;G417&amp;"]"&amp;E417&amp;"'!"&amp;$AI$2))),INDIRECT("'["&amp;G417&amp;"]"&amp;E417&amp;"'!"&amp;$AI$3),0)</f>
        <v>#VALUE!</v>
      </c>
      <c r="AJ417" s="25">
        <v>1</v>
      </c>
      <c r="AK417" s="38">
        <f t="shared" ca="1" si="111"/>
        <v>0</v>
      </c>
      <c r="AL417" s="38">
        <f t="shared" ca="1" si="112"/>
        <v>0</v>
      </c>
      <c r="AM417" s="54" t="str">
        <f t="shared" ca="1" si="113"/>
        <v/>
      </c>
      <c r="AN417" s="25" t="e">
        <f t="shared" ca="1" si="114"/>
        <v>#VALUE!</v>
      </c>
      <c r="AO417" s="25" t="e">
        <f t="shared" ca="1" si="115"/>
        <v>#VALUE!</v>
      </c>
      <c r="AP417" s="39" t="str">
        <f t="shared" ca="1" si="116"/>
        <v/>
      </c>
      <c r="AQ417" s="46" t="str">
        <f ca="1">IF(AND(C417&lt;&gt;0, C418=0), SUM($C$2:C417)-SUM($AQ$1:AQ416), "")</f>
        <v/>
      </c>
      <c r="AR417" s="46" t="str">
        <f ca="1">IF(AND(AK417&lt;&gt;0, AK418=0), SUM($AK$2:AK417)-SUM($AR$1:AR416), "")</f>
        <v/>
      </c>
    </row>
    <row r="418" spans="1:44" ht="13.15" customHeight="1">
      <c r="A418" s="62"/>
      <c r="B418" s="68" t="str">
        <f t="shared" si="117"/>
        <v/>
      </c>
      <c r="C418" s="55" cm="1">
        <f t="array" aca="1" ref="C418" ca="1">SUM(IF(ISNUMBER(M418:U418),M418:U418,""))</f>
        <v>0</v>
      </c>
      <c r="D418" s="25" t="str">
        <f t="shared" si="118"/>
        <v/>
      </c>
      <c r="E418" s="25" t="e">
        <f t="shared" si="119"/>
        <v>#VALUE!</v>
      </c>
      <c r="F418" s="25" t="str">
        <f t="shared" si="120"/>
        <v/>
      </c>
      <c r="G418" s="25" t="str">
        <f t="shared" si="121"/>
        <v>.xlsx</v>
      </c>
      <c r="H418" s="29" t="e" cm="1">
        <f t="array" aca="1" ref="H418" ca="1">IF(AND(VALUE(E418)=INDIRECT("'["&amp;G418&amp;"]"&amp;E418&amp;"'!"&amp;$X$2),G418=INDIRECT("'["&amp;G418&amp;"]"&amp;E418&amp;"'!"&amp;$X$3)),INDIRECT("'["&amp;G418&amp;"]"&amp;E418&amp;"'!"&amp;$X$1),0)</f>
        <v>#VALUE!</v>
      </c>
      <c r="I418" s="25" t="str">
        <f t="shared" si="122"/>
        <v/>
      </c>
      <c r="J418" s="32" t="str">
        <f t="shared" si="123"/>
        <v/>
      </c>
      <c r="K418" s="25" t="str">
        <f t="shared" si="124"/>
        <v/>
      </c>
      <c r="L418" s="25" t="str">
        <f t="shared" si="125"/>
        <v/>
      </c>
      <c r="M418" s="33" t="e" cm="1">
        <f t="array" aca="1" ref="M418" ca="1">IF(AND(J418=INDIRECT("'["&amp;G418&amp;"]"&amp;E418&amp;"'!"&amp;$Y$2),G418=INDIRECT("'["&amp;G418&amp;"]"&amp;E418&amp;"'!"&amp;$AH$2)),INDIRECT("'["&amp;G418&amp;"]"&amp;E418&amp;"'!"&amp;$Y$3),0)</f>
        <v>#VALUE!</v>
      </c>
      <c r="N418" s="34" t="e" cm="1">
        <f t="array" aca="1" ref="N418" ca="1">IF(AND(G418=INDIRECT("'["&amp;G418&amp;"]"&amp;E418&amp;"'!"&amp;$AH$2),OR(K418=INDIRECT("'["&amp;G418&amp;"]"&amp;E418&amp;"'!"&amp;$Z$2))),INDIRECT("'["&amp;G418&amp;"]"&amp;E418&amp;"'!"&amp;$Z$3),0)</f>
        <v>#VALUE!</v>
      </c>
      <c r="O418" s="34" t="e" cm="1">
        <f t="array" aca="1" ref="O418" ca="1">IF(AND(G418=INDIRECT("'["&amp;G418&amp;"]"&amp;E418&amp;"'!"&amp;$AH$2),OR(L418=INDIRECT("'["&amp;G418&amp;"]"&amp;E418&amp;"'!"&amp;$AA$2))),INDIRECT("'["&amp;G418&amp;"]"&amp;E418&amp;"'!"&amp;$AA$3),0)</f>
        <v>#VALUE!</v>
      </c>
      <c r="P418" s="34" t="e" cm="1">
        <f t="array" aca="1" ref="P418" ca="1">IF(AND(G418=INDIRECT("'["&amp;G418&amp;"]"&amp;E418&amp;"'!"&amp;$AH$2),OR(VALUE(I418)=INDIRECT("'["&amp;G418&amp;"]"&amp;E418&amp;"'!"&amp;$AB$2))),INDIRECT("'["&amp;G418&amp;"]"&amp;E418&amp;"'!"&amp;$AB$3),0)</f>
        <v>#VALUE!</v>
      </c>
      <c r="Q418" s="34" t="e" cm="1">
        <f t="array" aca="1" ref="Q418" ca="1">IF(AND(G418=INDIRECT("'["&amp;G418&amp;"]"&amp;E418&amp;"'!"&amp;$AH$2),OR(VALUE(I418)=INDIRECT("'["&amp;G418&amp;"]"&amp;E418&amp;"'!"&amp;$AC$2))),INDIRECT("'["&amp;G418&amp;"]"&amp;E418&amp;"'!"&amp;$AC$3),0)</f>
        <v>#VALUE!</v>
      </c>
      <c r="R418" s="34" t="e" cm="1">
        <f t="array" aca="1" ref="R418" ca="1">IF(AND(G418=INDIRECT("'["&amp;G418&amp;"]"&amp;E418&amp;"'!"&amp;$AH$2),OR(I418=INDIRECT("'["&amp;G418&amp;"]"&amp;E418&amp;"'!"&amp;$AD$2))),INDIRECT("'["&amp;G418&amp;"]"&amp;E418&amp;"'!"&amp;$AD$3),0)</f>
        <v>#VALUE!</v>
      </c>
      <c r="S418" s="34" t="e" cm="1">
        <f t="array" aca="1" ref="S418" ca="1">IF(AND(G418=INDIRECT("'["&amp;G418&amp;"]"&amp;E418&amp;"'!"&amp;$AH$2),OR(I418=INDIRECT("'["&amp;G418&amp;"]"&amp;E418&amp;"'!"&amp;$AE$2))),INDIRECT("'["&amp;G418&amp;"]"&amp;E418&amp;"'!"&amp;$AE$3),0)</f>
        <v>#VALUE!</v>
      </c>
      <c r="T418" s="35" t="e" cm="1">
        <f t="array" aca="1" ref="T418" ca="1">IF(AND(G418=INDIRECT("'["&amp;G418&amp;"]"&amp;E418&amp;"'!"&amp;$AH$2),OR(I418=INDIRECT("'["&amp;G418&amp;"]"&amp;E418&amp;"'!"&amp;$AF$2))),INDIRECT("'["&amp;G418&amp;"]"&amp;E418&amp;"'!"&amp;$AF$3),0)</f>
        <v>#VALUE!</v>
      </c>
      <c r="U418" s="34" t="e" cm="1">
        <f t="array" aca="1" ref="U418" ca="1">IF(AND(G418=INDIRECT("'["&amp;G418&amp;"]"&amp;E418&amp;"'!"&amp;$AH$2),OR(I418=INDIRECT("'["&amp;G418&amp;"]"&amp;E418&amp;"'!"&amp;$AG$2))),INDIRECT("'["&amp;G418&amp;"]"&amp;E418&amp;"'!"&amp;$AG$3),0)</f>
        <v>#VALUE!</v>
      </c>
      <c r="V418" s="25" t="str">
        <f t="shared" si="126"/>
        <v/>
      </c>
      <c r="W418" s="36" t="e" cm="1">
        <f t="array" aca="1" ref="W418" ca="1">IF(AND(G418=INDIRECT("'["&amp;G418&amp;"]"&amp;E418&amp;"'!"&amp;$AH$2),OR(V418=INDIRECT("'["&amp;G418&amp;"]"&amp;E418&amp;"'!"&amp;$AI$2))),INDIRECT("'["&amp;G418&amp;"]"&amp;E418&amp;"'!"&amp;$AI$3),0)</f>
        <v>#VALUE!</v>
      </c>
      <c r="AJ418" s="25">
        <v>1</v>
      </c>
      <c r="AK418" s="38">
        <f t="shared" ca="1" si="111"/>
        <v>0</v>
      </c>
      <c r="AL418" s="38">
        <f t="shared" ca="1" si="112"/>
        <v>0</v>
      </c>
      <c r="AM418" s="54" t="str">
        <f t="shared" ca="1" si="113"/>
        <v/>
      </c>
      <c r="AN418" s="25" t="e">
        <f t="shared" ca="1" si="114"/>
        <v>#VALUE!</v>
      </c>
      <c r="AO418" s="25" t="e">
        <f t="shared" ca="1" si="115"/>
        <v>#VALUE!</v>
      </c>
      <c r="AP418" s="39" t="str">
        <f t="shared" ca="1" si="116"/>
        <v/>
      </c>
      <c r="AQ418" s="46" t="str">
        <f ca="1">IF(AND(C418&lt;&gt;0, C419=0), SUM($C$2:C418)-SUM($AQ$1:AQ417), "")</f>
        <v/>
      </c>
      <c r="AR418" s="46" t="str">
        <f ca="1">IF(AND(AK418&lt;&gt;0, AK419=0), SUM($AK$2:AK418)-SUM($AR$1:AR417), "")</f>
        <v/>
      </c>
    </row>
    <row r="419" spans="1:44" ht="13.15" customHeight="1">
      <c r="A419" s="62"/>
      <c r="B419" s="68" t="str">
        <f t="shared" si="117"/>
        <v/>
      </c>
      <c r="C419" s="55" cm="1">
        <f t="array" aca="1" ref="C419" ca="1">SUM(IF(ISNUMBER(M419:U419),M419:U419,""))</f>
        <v>0</v>
      </c>
      <c r="D419" s="25" t="str">
        <f t="shared" si="118"/>
        <v/>
      </c>
      <c r="E419" s="25" t="e">
        <f t="shared" si="119"/>
        <v>#VALUE!</v>
      </c>
      <c r="F419" s="25" t="str">
        <f t="shared" si="120"/>
        <v/>
      </c>
      <c r="G419" s="25" t="str">
        <f t="shared" si="121"/>
        <v>.xlsx</v>
      </c>
      <c r="H419" s="29" t="e" cm="1">
        <f t="array" aca="1" ref="H419" ca="1">IF(AND(VALUE(E419)=INDIRECT("'["&amp;G419&amp;"]"&amp;E419&amp;"'!"&amp;$X$2),G419=INDIRECT("'["&amp;G419&amp;"]"&amp;E419&amp;"'!"&amp;$X$3)),INDIRECT("'["&amp;G419&amp;"]"&amp;E419&amp;"'!"&amp;$X$1),0)</f>
        <v>#VALUE!</v>
      </c>
      <c r="I419" s="25" t="str">
        <f t="shared" si="122"/>
        <v/>
      </c>
      <c r="J419" s="32" t="str">
        <f t="shared" si="123"/>
        <v/>
      </c>
      <c r="K419" s="25" t="str">
        <f t="shared" si="124"/>
        <v/>
      </c>
      <c r="L419" s="25" t="str">
        <f t="shared" si="125"/>
        <v/>
      </c>
      <c r="M419" s="33" t="e" cm="1">
        <f t="array" aca="1" ref="M419" ca="1">IF(AND(J419=INDIRECT("'["&amp;G419&amp;"]"&amp;E419&amp;"'!"&amp;$Y$2),G419=INDIRECT("'["&amp;G419&amp;"]"&amp;E419&amp;"'!"&amp;$AH$2)),INDIRECT("'["&amp;G419&amp;"]"&amp;E419&amp;"'!"&amp;$Y$3),0)</f>
        <v>#VALUE!</v>
      </c>
      <c r="N419" s="34" t="e" cm="1">
        <f t="array" aca="1" ref="N419" ca="1">IF(AND(G419=INDIRECT("'["&amp;G419&amp;"]"&amp;E419&amp;"'!"&amp;$AH$2),OR(K419=INDIRECT("'["&amp;G419&amp;"]"&amp;E419&amp;"'!"&amp;$Z$2))),INDIRECT("'["&amp;G419&amp;"]"&amp;E419&amp;"'!"&amp;$Z$3),0)</f>
        <v>#VALUE!</v>
      </c>
      <c r="O419" s="34" t="e" cm="1">
        <f t="array" aca="1" ref="O419" ca="1">IF(AND(G419=INDIRECT("'["&amp;G419&amp;"]"&amp;E419&amp;"'!"&amp;$AH$2),OR(L419=INDIRECT("'["&amp;G419&amp;"]"&amp;E419&amp;"'!"&amp;$AA$2))),INDIRECT("'["&amp;G419&amp;"]"&amp;E419&amp;"'!"&amp;$AA$3),0)</f>
        <v>#VALUE!</v>
      </c>
      <c r="P419" s="34" t="e" cm="1">
        <f t="array" aca="1" ref="P419" ca="1">IF(AND(G419=INDIRECT("'["&amp;G419&amp;"]"&amp;E419&amp;"'!"&amp;$AH$2),OR(VALUE(I419)=INDIRECT("'["&amp;G419&amp;"]"&amp;E419&amp;"'!"&amp;$AB$2))),INDIRECT("'["&amp;G419&amp;"]"&amp;E419&amp;"'!"&amp;$AB$3),0)</f>
        <v>#VALUE!</v>
      </c>
      <c r="Q419" s="34" t="e" cm="1">
        <f t="array" aca="1" ref="Q419" ca="1">IF(AND(G419=INDIRECT("'["&amp;G419&amp;"]"&amp;E419&amp;"'!"&amp;$AH$2),OR(VALUE(I419)=INDIRECT("'["&amp;G419&amp;"]"&amp;E419&amp;"'!"&amp;$AC$2))),INDIRECT("'["&amp;G419&amp;"]"&amp;E419&amp;"'!"&amp;$AC$3),0)</f>
        <v>#VALUE!</v>
      </c>
      <c r="R419" s="34" t="e" cm="1">
        <f t="array" aca="1" ref="R419" ca="1">IF(AND(G419=INDIRECT("'["&amp;G419&amp;"]"&amp;E419&amp;"'!"&amp;$AH$2),OR(I419=INDIRECT("'["&amp;G419&amp;"]"&amp;E419&amp;"'!"&amp;$AD$2))),INDIRECT("'["&amp;G419&amp;"]"&amp;E419&amp;"'!"&amp;$AD$3),0)</f>
        <v>#VALUE!</v>
      </c>
      <c r="S419" s="34" t="e" cm="1">
        <f t="array" aca="1" ref="S419" ca="1">IF(AND(G419=INDIRECT("'["&amp;G419&amp;"]"&amp;E419&amp;"'!"&amp;$AH$2),OR(I419=INDIRECT("'["&amp;G419&amp;"]"&amp;E419&amp;"'!"&amp;$AE$2))),INDIRECT("'["&amp;G419&amp;"]"&amp;E419&amp;"'!"&amp;$AE$3),0)</f>
        <v>#VALUE!</v>
      </c>
      <c r="T419" s="35" t="e" cm="1">
        <f t="array" aca="1" ref="T419" ca="1">IF(AND(G419=INDIRECT("'["&amp;G419&amp;"]"&amp;E419&amp;"'!"&amp;$AH$2),OR(I419=INDIRECT("'["&amp;G419&amp;"]"&amp;E419&amp;"'!"&amp;$AF$2))),INDIRECT("'["&amp;G419&amp;"]"&amp;E419&amp;"'!"&amp;$AF$3),0)</f>
        <v>#VALUE!</v>
      </c>
      <c r="U419" s="34" t="e" cm="1">
        <f t="array" aca="1" ref="U419" ca="1">IF(AND(G419=INDIRECT("'["&amp;G419&amp;"]"&amp;E419&amp;"'!"&amp;$AH$2),OR(I419=INDIRECT("'["&amp;G419&amp;"]"&amp;E419&amp;"'!"&amp;$AG$2))),INDIRECT("'["&amp;G419&amp;"]"&amp;E419&amp;"'!"&amp;$AG$3),0)</f>
        <v>#VALUE!</v>
      </c>
      <c r="V419" s="25" t="str">
        <f t="shared" si="126"/>
        <v/>
      </c>
      <c r="W419" s="36" t="e" cm="1">
        <f t="array" aca="1" ref="W419" ca="1">IF(AND(G419=INDIRECT("'["&amp;G419&amp;"]"&amp;E419&amp;"'!"&amp;$AH$2),OR(V419=INDIRECT("'["&amp;G419&amp;"]"&amp;E419&amp;"'!"&amp;$AI$2))),INDIRECT("'["&amp;G419&amp;"]"&amp;E419&amp;"'!"&amp;$AI$3),0)</f>
        <v>#VALUE!</v>
      </c>
      <c r="AJ419" s="25">
        <v>1</v>
      </c>
      <c r="AK419" s="38">
        <f t="shared" ca="1" si="111"/>
        <v>0</v>
      </c>
      <c r="AL419" s="38">
        <f t="shared" ca="1" si="112"/>
        <v>0</v>
      </c>
      <c r="AM419" s="54" t="str">
        <f t="shared" ca="1" si="113"/>
        <v/>
      </c>
      <c r="AN419" s="25" t="e">
        <f t="shared" ca="1" si="114"/>
        <v>#VALUE!</v>
      </c>
      <c r="AO419" s="25" t="e">
        <f t="shared" ca="1" si="115"/>
        <v>#VALUE!</v>
      </c>
      <c r="AP419" s="39" t="str">
        <f t="shared" ca="1" si="116"/>
        <v/>
      </c>
      <c r="AQ419" s="46" t="str">
        <f ca="1">IF(AND(C419&lt;&gt;0, C420=0), SUM($C$2:C419)-SUM($AQ$1:AQ418), "")</f>
        <v/>
      </c>
      <c r="AR419" s="46" t="str">
        <f ca="1">IF(AND(AK419&lt;&gt;0, AK420=0), SUM($AK$2:AK419)-SUM($AR$1:AR418), "")</f>
        <v/>
      </c>
    </row>
    <row r="420" spans="1:44" ht="13.15" customHeight="1">
      <c r="A420" s="62"/>
      <c r="B420" s="68" t="str">
        <f t="shared" si="117"/>
        <v/>
      </c>
      <c r="C420" s="55" cm="1">
        <f t="array" aca="1" ref="C420" ca="1">SUM(IF(ISNUMBER(M420:U420),M420:U420,""))</f>
        <v>0</v>
      </c>
      <c r="D420" s="25" t="str">
        <f t="shared" si="118"/>
        <v/>
      </c>
      <c r="E420" s="25" t="e">
        <f t="shared" si="119"/>
        <v>#VALUE!</v>
      </c>
      <c r="F420" s="25" t="str">
        <f t="shared" si="120"/>
        <v/>
      </c>
      <c r="G420" s="25" t="str">
        <f t="shared" si="121"/>
        <v>.xlsx</v>
      </c>
      <c r="H420" s="29" t="e" cm="1">
        <f t="array" aca="1" ref="H420" ca="1">IF(AND(VALUE(E420)=INDIRECT("'["&amp;G420&amp;"]"&amp;E420&amp;"'!"&amp;$X$2),G420=INDIRECT("'["&amp;G420&amp;"]"&amp;E420&amp;"'!"&amp;$X$3)),INDIRECT("'["&amp;G420&amp;"]"&amp;E420&amp;"'!"&amp;$X$1),0)</f>
        <v>#VALUE!</v>
      </c>
      <c r="I420" s="25" t="str">
        <f t="shared" si="122"/>
        <v/>
      </c>
      <c r="J420" s="32" t="str">
        <f t="shared" si="123"/>
        <v/>
      </c>
      <c r="K420" s="25" t="str">
        <f t="shared" si="124"/>
        <v/>
      </c>
      <c r="L420" s="25" t="str">
        <f t="shared" si="125"/>
        <v/>
      </c>
      <c r="M420" s="33" t="e" cm="1">
        <f t="array" aca="1" ref="M420" ca="1">IF(AND(J420=INDIRECT("'["&amp;G420&amp;"]"&amp;E420&amp;"'!"&amp;$Y$2),G420=INDIRECT("'["&amp;G420&amp;"]"&amp;E420&amp;"'!"&amp;$AH$2)),INDIRECT("'["&amp;G420&amp;"]"&amp;E420&amp;"'!"&amp;$Y$3),0)</f>
        <v>#VALUE!</v>
      </c>
      <c r="N420" s="34" t="e" cm="1">
        <f t="array" aca="1" ref="N420" ca="1">IF(AND(G420=INDIRECT("'["&amp;G420&amp;"]"&amp;E420&amp;"'!"&amp;$AH$2),OR(K420=INDIRECT("'["&amp;G420&amp;"]"&amp;E420&amp;"'!"&amp;$Z$2))),INDIRECT("'["&amp;G420&amp;"]"&amp;E420&amp;"'!"&amp;$Z$3),0)</f>
        <v>#VALUE!</v>
      </c>
      <c r="O420" s="34" t="e" cm="1">
        <f t="array" aca="1" ref="O420" ca="1">IF(AND(G420=INDIRECT("'["&amp;G420&amp;"]"&amp;E420&amp;"'!"&amp;$AH$2),OR(L420=INDIRECT("'["&amp;G420&amp;"]"&amp;E420&amp;"'!"&amp;$AA$2))),INDIRECT("'["&amp;G420&amp;"]"&amp;E420&amp;"'!"&amp;$AA$3),0)</f>
        <v>#VALUE!</v>
      </c>
      <c r="P420" s="34" t="e" cm="1">
        <f t="array" aca="1" ref="P420" ca="1">IF(AND(G420=INDIRECT("'["&amp;G420&amp;"]"&amp;E420&amp;"'!"&amp;$AH$2),OR(VALUE(I420)=INDIRECT("'["&amp;G420&amp;"]"&amp;E420&amp;"'!"&amp;$AB$2))),INDIRECT("'["&amp;G420&amp;"]"&amp;E420&amp;"'!"&amp;$AB$3),0)</f>
        <v>#VALUE!</v>
      </c>
      <c r="Q420" s="34" t="e" cm="1">
        <f t="array" aca="1" ref="Q420" ca="1">IF(AND(G420=INDIRECT("'["&amp;G420&amp;"]"&amp;E420&amp;"'!"&amp;$AH$2),OR(VALUE(I420)=INDIRECT("'["&amp;G420&amp;"]"&amp;E420&amp;"'!"&amp;$AC$2))),INDIRECT("'["&amp;G420&amp;"]"&amp;E420&amp;"'!"&amp;$AC$3),0)</f>
        <v>#VALUE!</v>
      </c>
      <c r="R420" s="34" t="e" cm="1">
        <f t="array" aca="1" ref="R420" ca="1">IF(AND(G420=INDIRECT("'["&amp;G420&amp;"]"&amp;E420&amp;"'!"&amp;$AH$2),OR(I420=INDIRECT("'["&amp;G420&amp;"]"&amp;E420&amp;"'!"&amp;$AD$2))),INDIRECT("'["&amp;G420&amp;"]"&amp;E420&amp;"'!"&amp;$AD$3),0)</f>
        <v>#VALUE!</v>
      </c>
      <c r="S420" s="34" t="e" cm="1">
        <f t="array" aca="1" ref="S420" ca="1">IF(AND(G420=INDIRECT("'["&amp;G420&amp;"]"&amp;E420&amp;"'!"&amp;$AH$2),OR(I420=INDIRECT("'["&amp;G420&amp;"]"&amp;E420&amp;"'!"&amp;$AE$2))),INDIRECT("'["&amp;G420&amp;"]"&amp;E420&amp;"'!"&amp;$AE$3),0)</f>
        <v>#VALUE!</v>
      </c>
      <c r="T420" s="35" t="e" cm="1">
        <f t="array" aca="1" ref="T420" ca="1">IF(AND(G420=INDIRECT("'["&amp;G420&amp;"]"&amp;E420&amp;"'!"&amp;$AH$2),OR(I420=INDIRECT("'["&amp;G420&amp;"]"&amp;E420&amp;"'!"&amp;$AF$2))),INDIRECT("'["&amp;G420&amp;"]"&amp;E420&amp;"'!"&amp;$AF$3),0)</f>
        <v>#VALUE!</v>
      </c>
      <c r="U420" s="34" t="e" cm="1">
        <f t="array" aca="1" ref="U420" ca="1">IF(AND(G420=INDIRECT("'["&amp;G420&amp;"]"&amp;E420&amp;"'!"&amp;$AH$2),OR(I420=INDIRECT("'["&amp;G420&amp;"]"&amp;E420&amp;"'!"&amp;$AG$2))),INDIRECT("'["&amp;G420&amp;"]"&amp;E420&amp;"'!"&amp;$AG$3),0)</f>
        <v>#VALUE!</v>
      </c>
      <c r="V420" s="25" t="str">
        <f t="shared" si="126"/>
        <v/>
      </c>
      <c r="W420" s="36" t="e" cm="1">
        <f t="array" aca="1" ref="W420" ca="1">IF(AND(G420=INDIRECT("'["&amp;G420&amp;"]"&amp;E420&amp;"'!"&amp;$AH$2),OR(V420=INDIRECT("'["&amp;G420&amp;"]"&amp;E420&amp;"'!"&amp;$AI$2))),INDIRECT("'["&amp;G420&amp;"]"&amp;E420&amp;"'!"&amp;$AI$3),0)</f>
        <v>#VALUE!</v>
      </c>
      <c r="AJ420" s="25">
        <v>1</v>
      </c>
      <c r="AK420" s="38">
        <f t="shared" ca="1" si="111"/>
        <v>0</v>
      </c>
      <c r="AL420" s="38">
        <f t="shared" ca="1" si="112"/>
        <v>0</v>
      </c>
      <c r="AM420" s="54" t="str">
        <f t="shared" ca="1" si="113"/>
        <v/>
      </c>
      <c r="AN420" s="25" t="e">
        <f t="shared" ca="1" si="114"/>
        <v>#VALUE!</v>
      </c>
      <c r="AO420" s="25" t="e">
        <f t="shared" ca="1" si="115"/>
        <v>#VALUE!</v>
      </c>
      <c r="AP420" s="39" t="str">
        <f t="shared" ca="1" si="116"/>
        <v/>
      </c>
      <c r="AQ420" s="46" t="str">
        <f ca="1">IF(AND(C420&lt;&gt;0, C421=0), SUM($C$2:C420)-SUM($AQ$1:AQ419), "")</f>
        <v/>
      </c>
      <c r="AR420" s="46" t="str">
        <f ca="1">IF(AND(AK420&lt;&gt;0, AK421=0), SUM($AK$2:AK420)-SUM($AR$1:AR419), "")</f>
        <v/>
      </c>
    </row>
    <row r="421" spans="1:44" ht="13.15" customHeight="1">
      <c r="A421" s="62"/>
      <c r="B421" s="68" t="str">
        <f t="shared" si="117"/>
        <v/>
      </c>
      <c r="C421" s="55" cm="1">
        <f t="array" aca="1" ref="C421" ca="1">SUM(IF(ISNUMBER(M421:U421),M421:U421,""))</f>
        <v>0</v>
      </c>
      <c r="D421" s="25" t="str">
        <f t="shared" si="118"/>
        <v/>
      </c>
      <c r="E421" s="25" t="e">
        <f t="shared" si="119"/>
        <v>#VALUE!</v>
      </c>
      <c r="F421" s="25" t="str">
        <f t="shared" si="120"/>
        <v/>
      </c>
      <c r="G421" s="25" t="str">
        <f t="shared" si="121"/>
        <v>.xlsx</v>
      </c>
      <c r="H421" s="29" t="e" cm="1">
        <f t="array" aca="1" ref="H421" ca="1">IF(AND(VALUE(E421)=INDIRECT("'["&amp;G421&amp;"]"&amp;E421&amp;"'!"&amp;$X$2),G421=INDIRECT("'["&amp;G421&amp;"]"&amp;E421&amp;"'!"&amp;$X$3)),INDIRECT("'["&amp;G421&amp;"]"&amp;E421&amp;"'!"&amp;$X$1),0)</f>
        <v>#VALUE!</v>
      </c>
      <c r="I421" s="25" t="str">
        <f t="shared" si="122"/>
        <v/>
      </c>
      <c r="J421" s="32" t="str">
        <f t="shared" si="123"/>
        <v/>
      </c>
      <c r="K421" s="25" t="str">
        <f t="shared" si="124"/>
        <v/>
      </c>
      <c r="L421" s="25" t="str">
        <f t="shared" si="125"/>
        <v/>
      </c>
      <c r="M421" s="33" t="e" cm="1">
        <f t="array" aca="1" ref="M421" ca="1">IF(AND(J421=INDIRECT("'["&amp;G421&amp;"]"&amp;E421&amp;"'!"&amp;$Y$2),G421=INDIRECT("'["&amp;G421&amp;"]"&amp;E421&amp;"'!"&amp;$AH$2)),INDIRECT("'["&amp;G421&amp;"]"&amp;E421&amp;"'!"&amp;$Y$3),0)</f>
        <v>#VALUE!</v>
      </c>
      <c r="N421" s="34" t="e" cm="1">
        <f t="array" aca="1" ref="N421" ca="1">IF(AND(G421=INDIRECT("'["&amp;G421&amp;"]"&amp;E421&amp;"'!"&amp;$AH$2),OR(K421=INDIRECT("'["&amp;G421&amp;"]"&amp;E421&amp;"'!"&amp;$Z$2))),INDIRECT("'["&amp;G421&amp;"]"&amp;E421&amp;"'!"&amp;$Z$3),0)</f>
        <v>#VALUE!</v>
      </c>
      <c r="O421" s="34" t="e" cm="1">
        <f t="array" aca="1" ref="O421" ca="1">IF(AND(G421=INDIRECT("'["&amp;G421&amp;"]"&amp;E421&amp;"'!"&amp;$AH$2),OR(L421=INDIRECT("'["&amp;G421&amp;"]"&amp;E421&amp;"'!"&amp;$AA$2))),INDIRECT("'["&amp;G421&amp;"]"&amp;E421&amp;"'!"&amp;$AA$3),0)</f>
        <v>#VALUE!</v>
      </c>
      <c r="P421" s="34" t="e" cm="1">
        <f t="array" aca="1" ref="P421" ca="1">IF(AND(G421=INDIRECT("'["&amp;G421&amp;"]"&amp;E421&amp;"'!"&amp;$AH$2),OR(VALUE(I421)=INDIRECT("'["&amp;G421&amp;"]"&amp;E421&amp;"'!"&amp;$AB$2))),INDIRECT("'["&amp;G421&amp;"]"&amp;E421&amp;"'!"&amp;$AB$3),0)</f>
        <v>#VALUE!</v>
      </c>
      <c r="Q421" s="34" t="e" cm="1">
        <f t="array" aca="1" ref="Q421" ca="1">IF(AND(G421=INDIRECT("'["&amp;G421&amp;"]"&amp;E421&amp;"'!"&amp;$AH$2),OR(VALUE(I421)=INDIRECT("'["&amp;G421&amp;"]"&amp;E421&amp;"'!"&amp;$AC$2))),INDIRECT("'["&amp;G421&amp;"]"&amp;E421&amp;"'!"&amp;$AC$3),0)</f>
        <v>#VALUE!</v>
      </c>
      <c r="R421" s="34" t="e" cm="1">
        <f t="array" aca="1" ref="R421" ca="1">IF(AND(G421=INDIRECT("'["&amp;G421&amp;"]"&amp;E421&amp;"'!"&amp;$AH$2),OR(I421=INDIRECT("'["&amp;G421&amp;"]"&amp;E421&amp;"'!"&amp;$AD$2))),INDIRECT("'["&amp;G421&amp;"]"&amp;E421&amp;"'!"&amp;$AD$3),0)</f>
        <v>#VALUE!</v>
      </c>
      <c r="S421" s="34" t="e" cm="1">
        <f t="array" aca="1" ref="S421" ca="1">IF(AND(G421=INDIRECT("'["&amp;G421&amp;"]"&amp;E421&amp;"'!"&amp;$AH$2),OR(I421=INDIRECT("'["&amp;G421&amp;"]"&amp;E421&amp;"'!"&amp;$AE$2))),INDIRECT("'["&amp;G421&amp;"]"&amp;E421&amp;"'!"&amp;$AE$3),0)</f>
        <v>#VALUE!</v>
      </c>
      <c r="T421" s="35" t="e" cm="1">
        <f t="array" aca="1" ref="T421" ca="1">IF(AND(G421=INDIRECT("'["&amp;G421&amp;"]"&amp;E421&amp;"'!"&amp;$AH$2),OR(I421=INDIRECT("'["&amp;G421&amp;"]"&amp;E421&amp;"'!"&amp;$AF$2))),INDIRECT("'["&amp;G421&amp;"]"&amp;E421&amp;"'!"&amp;$AF$3),0)</f>
        <v>#VALUE!</v>
      </c>
      <c r="U421" s="34" t="e" cm="1">
        <f t="array" aca="1" ref="U421" ca="1">IF(AND(G421=INDIRECT("'["&amp;G421&amp;"]"&amp;E421&amp;"'!"&amp;$AH$2),OR(I421=INDIRECT("'["&amp;G421&amp;"]"&amp;E421&amp;"'!"&amp;$AG$2))),INDIRECT("'["&amp;G421&amp;"]"&amp;E421&amp;"'!"&amp;$AG$3),0)</f>
        <v>#VALUE!</v>
      </c>
      <c r="V421" s="25" t="str">
        <f t="shared" si="126"/>
        <v/>
      </c>
      <c r="W421" s="36" t="e" cm="1">
        <f t="array" aca="1" ref="W421" ca="1">IF(AND(G421=INDIRECT("'["&amp;G421&amp;"]"&amp;E421&amp;"'!"&amp;$AH$2),OR(V421=INDIRECT("'["&amp;G421&amp;"]"&amp;E421&amp;"'!"&amp;$AI$2))),INDIRECT("'["&amp;G421&amp;"]"&amp;E421&amp;"'!"&amp;$AI$3),0)</f>
        <v>#VALUE!</v>
      </c>
      <c r="AJ421" s="25">
        <v>1</v>
      </c>
      <c r="AK421" s="38">
        <f t="shared" ca="1" si="111"/>
        <v>0</v>
      </c>
      <c r="AL421" s="38">
        <f t="shared" ca="1" si="112"/>
        <v>0</v>
      </c>
      <c r="AM421" s="54" t="str">
        <f t="shared" ca="1" si="113"/>
        <v/>
      </c>
      <c r="AN421" s="25" t="e">
        <f t="shared" ca="1" si="114"/>
        <v>#VALUE!</v>
      </c>
      <c r="AO421" s="25" t="e">
        <f t="shared" ca="1" si="115"/>
        <v>#VALUE!</v>
      </c>
      <c r="AP421" s="39" t="str">
        <f t="shared" ca="1" si="116"/>
        <v/>
      </c>
      <c r="AQ421" s="46" t="str">
        <f ca="1">IF(AND(C421&lt;&gt;0, C422=0), SUM($C$2:C421)-SUM($AQ$1:AQ420), "")</f>
        <v/>
      </c>
      <c r="AR421" s="46" t="str">
        <f ca="1">IF(AND(AK421&lt;&gt;0, AK422=0), SUM($AK$2:AK421)-SUM($AR$1:AR420), "")</f>
        <v/>
      </c>
    </row>
    <row r="422" spans="1:44" ht="13.15" customHeight="1">
      <c r="A422" s="62"/>
      <c r="B422" s="68" t="str">
        <f t="shared" si="117"/>
        <v/>
      </c>
      <c r="C422" s="55" cm="1">
        <f t="array" aca="1" ref="C422" ca="1">SUM(IF(ISNUMBER(M422:U422),M422:U422,""))</f>
        <v>0</v>
      </c>
      <c r="D422" s="25" t="str">
        <f t="shared" si="118"/>
        <v/>
      </c>
      <c r="E422" s="25" t="e">
        <f t="shared" si="119"/>
        <v>#VALUE!</v>
      </c>
      <c r="F422" s="25" t="str">
        <f t="shared" si="120"/>
        <v/>
      </c>
      <c r="G422" s="25" t="str">
        <f t="shared" si="121"/>
        <v>.xlsx</v>
      </c>
      <c r="H422" s="29" t="e" cm="1">
        <f t="array" aca="1" ref="H422" ca="1">IF(AND(VALUE(E422)=INDIRECT("'["&amp;G422&amp;"]"&amp;E422&amp;"'!"&amp;$X$2),G422=INDIRECT("'["&amp;G422&amp;"]"&amp;E422&amp;"'!"&amp;$X$3)),INDIRECT("'["&amp;G422&amp;"]"&amp;E422&amp;"'!"&amp;$X$1),0)</f>
        <v>#VALUE!</v>
      </c>
      <c r="I422" s="25" t="str">
        <f t="shared" si="122"/>
        <v/>
      </c>
      <c r="J422" s="32" t="str">
        <f t="shared" si="123"/>
        <v/>
      </c>
      <c r="K422" s="25" t="str">
        <f t="shared" si="124"/>
        <v/>
      </c>
      <c r="L422" s="25" t="str">
        <f t="shared" si="125"/>
        <v/>
      </c>
      <c r="M422" s="33" t="e" cm="1">
        <f t="array" aca="1" ref="M422" ca="1">IF(AND(J422=INDIRECT("'["&amp;G422&amp;"]"&amp;E422&amp;"'!"&amp;$Y$2),G422=INDIRECT("'["&amp;G422&amp;"]"&amp;E422&amp;"'!"&amp;$AH$2)),INDIRECT("'["&amp;G422&amp;"]"&amp;E422&amp;"'!"&amp;$Y$3),0)</f>
        <v>#VALUE!</v>
      </c>
      <c r="N422" s="34" t="e" cm="1">
        <f t="array" aca="1" ref="N422" ca="1">IF(AND(G422=INDIRECT("'["&amp;G422&amp;"]"&amp;E422&amp;"'!"&amp;$AH$2),OR(K422=INDIRECT("'["&amp;G422&amp;"]"&amp;E422&amp;"'!"&amp;$Z$2))),INDIRECT("'["&amp;G422&amp;"]"&amp;E422&amp;"'!"&amp;$Z$3),0)</f>
        <v>#VALUE!</v>
      </c>
      <c r="O422" s="34" t="e" cm="1">
        <f t="array" aca="1" ref="O422" ca="1">IF(AND(G422=INDIRECT("'["&amp;G422&amp;"]"&amp;E422&amp;"'!"&amp;$AH$2),OR(L422=INDIRECT("'["&amp;G422&amp;"]"&amp;E422&amp;"'!"&amp;$AA$2))),INDIRECT("'["&amp;G422&amp;"]"&amp;E422&amp;"'!"&amp;$AA$3),0)</f>
        <v>#VALUE!</v>
      </c>
      <c r="P422" s="34" t="e" cm="1">
        <f t="array" aca="1" ref="P422" ca="1">IF(AND(G422=INDIRECT("'["&amp;G422&amp;"]"&amp;E422&amp;"'!"&amp;$AH$2),OR(VALUE(I422)=INDIRECT("'["&amp;G422&amp;"]"&amp;E422&amp;"'!"&amp;$AB$2))),INDIRECT("'["&amp;G422&amp;"]"&amp;E422&amp;"'!"&amp;$AB$3),0)</f>
        <v>#VALUE!</v>
      </c>
      <c r="Q422" s="34" t="e" cm="1">
        <f t="array" aca="1" ref="Q422" ca="1">IF(AND(G422=INDIRECT("'["&amp;G422&amp;"]"&amp;E422&amp;"'!"&amp;$AH$2),OR(VALUE(I422)=INDIRECT("'["&amp;G422&amp;"]"&amp;E422&amp;"'!"&amp;$AC$2))),INDIRECT("'["&amp;G422&amp;"]"&amp;E422&amp;"'!"&amp;$AC$3),0)</f>
        <v>#VALUE!</v>
      </c>
      <c r="R422" s="34" t="e" cm="1">
        <f t="array" aca="1" ref="R422" ca="1">IF(AND(G422=INDIRECT("'["&amp;G422&amp;"]"&amp;E422&amp;"'!"&amp;$AH$2),OR(I422=INDIRECT("'["&amp;G422&amp;"]"&amp;E422&amp;"'!"&amp;$AD$2))),INDIRECT("'["&amp;G422&amp;"]"&amp;E422&amp;"'!"&amp;$AD$3),0)</f>
        <v>#VALUE!</v>
      </c>
      <c r="S422" s="34" t="e" cm="1">
        <f t="array" aca="1" ref="S422" ca="1">IF(AND(G422=INDIRECT("'["&amp;G422&amp;"]"&amp;E422&amp;"'!"&amp;$AH$2),OR(I422=INDIRECT("'["&amp;G422&amp;"]"&amp;E422&amp;"'!"&amp;$AE$2))),INDIRECT("'["&amp;G422&amp;"]"&amp;E422&amp;"'!"&amp;$AE$3),0)</f>
        <v>#VALUE!</v>
      </c>
      <c r="T422" s="35" t="e" cm="1">
        <f t="array" aca="1" ref="T422" ca="1">IF(AND(G422=INDIRECT("'["&amp;G422&amp;"]"&amp;E422&amp;"'!"&amp;$AH$2),OR(I422=INDIRECT("'["&amp;G422&amp;"]"&amp;E422&amp;"'!"&amp;$AF$2))),INDIRECT("'["&amp;G422&amp;"]"&amp;E422&amp;"'!"&amp;$AF$3),0)</f>
        <v>#VALUE!</v>
      </c>
      <c r="U422" s="34" t="e" cm="1">
        <f t="array" aca="1" ref="U422" ca="1">IF(AND(G422=INDIRECT("'["&amp;G422&amp;"]"&amp;E422&amp;"'!"&amp;$AH$2),OR(I422=INDIRECT("'["&amp;G422&amp;"]"&amp;E422&amp;"'!"&amp;$AG$2))),INDIRECT("'["&amp;G422&amp;"]"&amp;E422&amp;"'!"&amp;$AG$3),0)</f>
        <v>#VALUE!</v>
      </c>
      <c r="V422" s="25" t="str">
        <f t="shared" si="126"/>
        <v/>
      </c>
      <c r="W422" s="36" t="e" cm="1">
        <f t="array" aca="1" ref="W422" ca="1">IF(AND(G422=INDIRECT("'["&amp;G422&amp;"]"&amp;E422&amp;"'!"&amp;$AH$2),OR(V422=INDIRECT("'["&amp;G422&amp;"]"&amp;E422&amp;"'!"&amp;$AI$2))),INDIRECT("'["&amp;G422&amp;"]"&amp;E422&amp;"'!"&amp;$AI$3),0)</f>
        <v>#VALUE!</v>
      </c>
      <c r="AJ422" s="25">
        <v>1</v>
      </c>
      <c r="AK422" s="38">
        <f t="shared" ca="1" si="111"/>
        <v>0</v>
      </c>
      <c r="AL422" s="38">
        <f t="shared" ca="1" si="112"/>
        <v>0</v>
      </c>
      <c r="AM422" s="54" t="str">
        <f t="shared" ca="1" si="113"/>
        <v/>
      </c>
      <c r="AN422" s="25" t="e">
        <f t="shared" ca="1" si="114"/>
        <v>#VALUE!</v>
      </c>
      <c r="AO422" s="25" t="e">
        <f t="shared" ca="1" si="115"/>
        <v>#VALUE!</v>
      </c>
      <c r="AP422" s="39" t="str">
        <f t="shared" ca="1" si="116"/>
        <v/>
      </c>
      <c r="AQ422" s="46" t="str">
        <f ca="1">IF(AND(C422&lt;&gt;0, C423=0), SUM($C$2:C422)-SUM($AQ$1:AQ421), "")</f>
        <v/>
      </c>
      <c r="AR422" s="46" t="str">
        <f ca="1">IF(AND(AK422&lt;&gt;0, AK423=0), SUM($AK$2:AK422)-SUM($AR$1:AR421), "")</f>
        <v/>
      </c>
    </row>
    <row r="423" spans="1:44" ht="13.15" customHeight="1">
      <c r="A423" s="62"/>
      <c r="B423" s="68" t="str">
        <f t="shared" si="117"/>
        <v/>
      </c>
      <c r="C423" s="55" cm="1">
        <f t="array" aca="1" ref="C423" ca="1">SUM(IF(ISNUMBER(M423:U423),M423:U423,""))</f>
        <v>0</v>
      </c>
      <c r="D423" s="25" t="str">
        <f t="shared" si="118"/>
        <v/>
      </c>
      <c r="E423" s="25" t="e">
        <f t="shared" si="119"/>
        <v>#VALUE!</v>
      </c>
      <c r="F423" s="25" t="str">
        <f t="shared" si="120"/>
        <v/>
      </c>
      <c r="G423" s="25" t="str">
        <f t="shared" si="121"/>
        <v>.xlsx</v>
      </c>
      <c r="H423" s="29" t="e" cm="1">
        <f t="array" aca="1" ref="H423" ca="1">IF(AND(VALUE(E423)=INDIRECT("'["&amp;G423&amp;"]"&amp;E423&amp;"'!"&amp;$X$2),G423=INDIRECT("'["&amp;G423&amp;"]"&amp;E423&amp;"'!"&amp;$X$3)),INDIRECT("'["&amp;G423&amp;"]"&amp;E423&amp;"'!"&amp;$X$1),0)</f>
        <v>#VALUE!</v>
      </c>
      <c r="I423" s="25" t="str">
        <f t="shared" si="122"/>
        <v/>
      </c>
      <c r="J423" s="32" t="str">
        <f t="shared" si="123"/>
        <v/>
      </c>
      <c r="K423" s="25" t="str">
        <f t="shared" si="124"/>
        <v/>
      </c>
      <c r="L423" s="25" t="str">
        <f t="shared" si="125"/>
        <v/>
      </c>
      <c r="M423" s="33" t="e" cm="1">
        <f t="array" aca="1" ref="M423" ca="1">IF(AND(J423=INDIRECT("'["&amp;G423&amp;"]"&amp;E423&amp;"'!"&amp;$Y$2),G423=INDIRECT("'["&amp;G423&amp;"]"&amp;E423&amp;"'!"&amp;$AH$2)),INDIRECT("'["&amp;G423&amp;"]"&amp;E423&amp;"'!"&amp;$Y$3),0)</f>
        <v>#VALUE!</v>
      </c>
      <c r="N423" s="34" t="e" cm="1">
        <f t="array" aca="1" ref="N423" ca="1">IF(AND(G423=INDIRECT("'["&amp;G423&amp;"]"&amp;E423&amp;"'!"&amp;$AH$2),OR(K423=INDIRECT("'["&amp;G423&amp;"]"&amp;E423&amp;"'!"&amp;$Z$2))),INDIRECT("'["&amp;G423&amp;"]"&amp;E423&amp;"'!"&amp;$Z$3),0)</f>
        <v>#VALUE!</v>
      </c>
      <c r="O423" s="34" t="e" cm="1">
        <f t="array" aca="1" ref="O423" ca="1">IF(AND(G423=INDIRECT("'["&amp;G423&amp;"]"&amp;E423&amp;"'!"&amp;$AH$2),OR(L423=INDIRECT("'["&amp;G423&amp;"]"&amp;E423&amp;"'!"&amp;$AA$2))),INDIRECT("'["&amp;G423&amp;"]"&amp;E423&amp;"'!"&amp;$AA$3),0)</f>
        <v>#VALUE!</v>
      </c>
      <c r="P423" s="34" t="e" cm="1">
        <f t="array" aca="1" ref="P423" ca="1">IF(AND(G423=INDIRECT("'["&amp;G423&amp;"]"&amp;E423&amp;"'!"&amp;$AH$2),OR(VALUE(I423)=INDIRECT("'["&amp;G423&amp;"]"&amp;E423&amp;"'!"&amp;$AB$2))),INDIRECT("'["&amp;G423&amp;"]"&amp;E423&amp;"'!"&amp;$AB$3),0)</f>
        <v>#VALUE!</v>
      </c>
      <c r="Q423" s="34" t="e" cm="1">
        <f t="array" aca="1" ref="Q423" ca="1">IF(AND(G423=INDIRECT("'["&amp;G423&amp;"]"&amp;E423&amp;"'!"&amp;$AH$2),OR(VALUE(I423)=INDIRECT("'["&amp;G423&amp;"]"&amp;E423&amp;"'!"&amp;$AC$2))),INDIRECT("'["&amp;G423&amp;"]"&amp;E423&amp;"'!"&amp;$AC$3),0)</f>
        <v>#VALUE!</v>
      </c>
      <c r="R423" s="34" t="e" cm="1">
        <f t="array" aca="1" ref="R423" ca="1">IF(AND(G423=INDIRECT("'["&amp;G423&amp;"]"&amp;E423&amp;"'!"&amp;$AH$2),OR(I423=INDIRECT("'["&amp;G423&amp;"]"&amp;E423&amp;"'!"&amp;$AD$2))),INDIRECT("'["&amp;G423&amp;"]"&amp;E423&amp;"'!"&amp;$AD$3),0)</f>
        <v>#VALUE!</v>
      </c>
      <c r="S423" s="34" t="e" cm="1">
        <f t="array" aca="1" ref="S423" ca="1">IF(AND(G423=INDIRECT("'["&amp;G423&amp;"]"&amp;E423&amp;"'!"&amp;$AH$2),OR(I423=INDIRECT("'["&amp;G423&amp;"]"&amp;E423&amp;"'!"&amp;$AE$2))),INDIRECT("'["&amp;G423&amp;"]"&amp;E423&amp;"'!"&amp;$AE$3),0)</f>
        <v>#VALUE!</v>
      </c>
      <c r="T423" s="35" t="e" cm="1">
        <f t="array" aca="1" ref="T423" ca="1">IF(AND(G423=INDIRECT("'["&amp;G423&amp;"]"&amp;E423&amp;"'!"&amp;$AH$2),OR(I423=INDIRECT("'["&amp;G423&amp;"]"&amp;E423&amp;"'!"&amp;$AF$2))),INDIRECT("'["&amp;G423&amp;"]"&amp;E423&amp;"'!"&amp;$AF$3),0)</f>
        <v>#VALUE!</v>
      </c>
      <c r="U423" s="34" t="e" cm="1">
        <f t="array" aca="1" ref="U423" ca="1">IF(AND(G423=INDIRECT("'["&amp;G423&amp;"]"&amp;E423&amp;"'!"&amp;$AH$2),OR(I423=INDIRECT("'["&amp;G423&amp;"]"&amp;E423&amp;"'!"&amp;$AG$2))),INDIRECT("'["&amp;G423&amp;"]"&amp;E423&amp;"'!"&amp;$AG$3),0)</f>
        <v>#VALUE!</v>
      </c>
      <c r="V423" s="25" t="str">
        <f t="shared" si="126"/>
        <v/>
      </c>
      <c r="W423" s="36" t="e" cm="1">
        <f t="array" aca="1" ref="W423" ca="1">IF(AND(G423=INDIRECT("'["&amp;G423&amp;"]"&amp;E423&amp;"'!"&amp;$AH$2),OR(V423=INDIRECT("'["&amp;G423&amp;"]"&amp;E423&amp;"'!"&amp;$AI$2))),INDIRECT("'["&amp;G423&amp;"]"&amp;E423&amp;"'!"&amp;$AI$3),0)</f>
        <v>#VALUE!</v>
      </c>
      <c r="AJ423" s="25">
        <v>1</v>
      </c>
      <c r="AK423" s="38">
        <f t="shared" ca="1" si="111"/>
        <v>0</v>
      </c>
      <c r="AL423" s="38">
        <f t="shared" ca="1" si="112"/>
        <v>0</v>
      </c>
      <c r="AM423" s="54" t="str">
        <f t="shared" ca="1" si="113"/>
        <v/>
      </c>
      <c r="AN423" s="25" t="e">
        <f t="shared" ca="1" si="114"/>
        <v>#VALUE!</v>
      </c>
      <c r="AO423" s="25" t="e">
        <f t="shared" ca="1" si="115"/>
        <v>#VALUE!</v>
      </c>
      <c r="AP423" s="39" t="str">
        <f t="shared" ca="1" si="116"/>
        <v/>
      </c>
      <c r="AQ423" s="46" t="str">
        <f ca="1">IF(AND(C423&lt;&gt;0, C424=0), SUM($C$2:C423)-SUM($AQ$1:AQ422), "")</f>
        <v/>
      </c>
      <c r="AR423" s="46" t="str">
        <f ca="1">IF(AND(AK423&lt;&gt;0, AK424=0), SUM($AK$2:AK423)-SUM($AR$1:AR422), "")</f>
        <v/>
      </c>
    </row>
    <row r="424" spans="1:44" ht="13.15" customHeight="1">
      <c r="A424" s="62"/>
      <c r="B424" s="68" t="str">
        <f t="shared" si="117"/>
        <v/>
      </c>
      <c r="C424" s="55" cm="1">
        <f t="array" aca="1" ref="C424" ca="1">SUM(IF(ISNUMBER(M424:U424),M424:U424,""))</f>
        <v>0</v>
      </c>
      <c r="D424" s="25" t="str">
        <f t="shared" si="118"/>
        <v/>
      </c>
      <c r="E424" s="25" t="e">
        <f t="shared" si="119"/>
        <v>#VALUE!</v>
      </c>
      <c r="F424" s="25" t="str">
        <f t="shared" si="120"/>
        <v/>
      </c>
      <c r="G424" s="25" t="str">
        <f t="shared" si="121"/>
        <v>.xlsx</v>
      </c>
      <c r="H424" s="29" t="e" cm="1">
        <f t="array" aca="1" ref="H424" ca="1">IF(AND(VALUE(E424)=INDIRECT("'["&amp;G424&amp;"]"&amp;E424&amp;"'!"&amp;$X$2),G424=INDIRECT("'["&amp;G424&amp;"]"&amp;E424&amp;"'!"&amp;$X$3)),INDIRECT("'["&amp;G424&amp;"]"&amp;E424&amp;"'!"&amp;$X$1),0)</f>
        <v>#VALUE!</v>
      </c>
      <c r="I424" s="25" t="str">
        <f t="shared" si="122"/>
        <v/>
      </c>
      <c r="J424" s="32" t="str">
        <f t="shared" si="123"/>
        <v/>
      </c>
      <c r="K424" s="25" t="str">
        <f t="shared" si="124"/>
        <v/>
      </c>
      <c r="L424" s="25" t="str">
        <f t="shared" si="125"/>
        <v/>
      </c>
      <c r="M424" s="33" t="e" cm="1">
        <f t="array" aca="1" ref="M424" ca="1">IF(AND(J424=INDIRECT("'["&amp;G424&amp;"]"&amp;E424&amp;"'!"&amp;$Y$2),G424=INDIRECT("'["&amp;G424&amp;"]"&amp;E424&amp;"'!"&amp;$AH$2)),INDIRECT("'["&amp;G424&amp;"]"&amp;E424&amp;"'!"&amp;$Y$3),0)</f>
        <v>#VALUE!</v>
      </c>
      <c r="N424" s="34" t="e" cm="1">
        <f t="array" aca="1" ref="N424" ca="1">IF(AND(G424=INDIRECT("'["&amp;G424&amp;"]"&amp;E424&amp;"'!"&amp;$AH$2),OR(K424=INDIRECT("'["&amp;G424&amp;"]"&amp;E424&amp;"'!"&amp;$Z$2))),INDIRECT("'["&amp;G424&amp;"]"&amp;E424&amp;"'!"&amp;$Z$3),0)</f>
        <v>#VALUE!</v>
      </c>
      <c r="O424" s="34" t="e" cm="1">
        <f t="array" aca="1" ref="O424" ca="1">IF(AND(G424=INDIRECT("'["&amp;G424&amp;"]"&amp;E424&amp;"'!"&amp;$AH$2),OR(L424=INDIRECT("'["&amp;G424&amp;"]"&amp;E424&amp;"'!"&amp;$AA$2))),INDIRECT("'["&amp;G424&amp;"]"&amp;E424&amp;"'!"&amp;$AA$3),0)</f>
        <v>#VALUE!</v>
      </c>
      <c r="P424" s="34" t="e" cm="1">
        <f t="array" aca="1" ref="P424" ca="1">IF(AND(G424=INDIRECT("'["&amp;G424&amp;"]"&amp;E424&amp;"'!"&amp;$AH$2),OR(VALUE(I424)=INDIRECT("'["&amp;G424&amp;"]"&amp;E424&amp;"'!"&amp;$AB$2))),INDIRECT("'["&amp;G424&amp;"]"&amp;E424&amp;"'!"&amp;$AB$3),0)</f>
        <v>#VALUE!</v>
      </c>
      <c r="Q424" s="34" t="e" cm="1">
        <f t="array" aca="1" ref="Q424" ca="1">IF(AND(G424=INDIRECT("'["&amp;G424&amp;"]"&amp;E424&amp;"'!"&amp;$AH$2),OR(VALUE(I424)=INDIRECT("'["&amp;G424&amp;"]"&amp;E424&amp;"'!"&amp;$AC$2))),INDIRECT("'["&amp;G424&amp;"]"&amp;E424&amp;"'!"&amp;$AC$3),0)</f>
        <v>#VALUE!</v>
      </c>
      <c r="R424" s="34" t="e" cm="1">
        <f t="array" aca="1" ref="R424" ca="1">IF(AND(G424=INDIRECT("'["&amp;G424&amp;"]"&amp;E424&amp;"'!"&amp;$AH$2),OR(I424=INDIRECT("'["&amp;G424&amp;"]"&amp;E424&amp;"'!"&amp;$AD$2))),INDIRECT("'["&amp;G424&amp;"]"&amp;E424&amp;"'!"&amp;$AD$3),0)</f>
        <v>#VALUE!</v>
      </c>
      <c r="S424" s="34" t="e" cm="1">
        <f t="array" aca="1" ref="S424" ca="1">IF(AND(G424=INDIRECT("'["&amp;G424&amp;"]"&amp;E424&amp;"'!"&amp;$AH$2),OR(I424=INDIRECT("'["&amp;G424&amp;"]"&amp;E424&amp;"'!"&amp;$AE$2))),INDIRECT("'["&amp;G424&amp;"]"&amp;E424&amp;"'!"&amp;$AE$3),0)</f>
        <v>#VALUE!</v>
      </c>
      <c r="T424" s="35" t="e" cm="1">
        <f t="array" aca="1" ref="T424" ca="1">IF(AND(G424=INDIRECT("'["&amp;G424&amp;"]"&amp;E424&amp;"'!"&amp;$AH$2),OR(I424=INDIRECT("'["&amp;G424&amp;"]"&amp;E424&amp;"'!"&amp;$AF$2))),INDIRECT("'["&amp;G424&amp;"]"&amp;E424&amp;"'!"&amp;$AF$3),0)</f>
        <v>#VALUE!</v>
      </c>
      <c r="U424" s="34" t="e" cm="1">
        <f t="array" aca="1" ref="U424" ca="1">IF(AND(G424=INDIRECT("'["&amp;G424&amp;"]"&amp;E424&amp;"'!"&amp;$AH$2),OR(I424=INDIRECT("'["&amp;G424&amp;"]"&amp;E424&amp;"'!"&amp;$AG$2))),INDIRECT("'["&amp;G424&amp;"]"&amp;E424&amp;"'!"&amp;$AG$3),0)</f>
        <v>#VALUE!</v>
      </c>
      <c r="V424" s="25" t="str">
        <f t="shared" si="126"/>
        <v/>
      </c>
      <c r="W424" s="36" t="e" cm="1">
        <f t="array" aca="1" ref="W424" ca="1">IF(AND(G424=INDIRECT("'["&amp;G424&amp;"]"&amp;E424&amp;"'!"&amp;$AH$2),OR(V424=INDIRECT("'["&amp;G424&amp;"]"&amp;E424&amp;"'!"&amp;$AI$2))),INDIRECT("'["&amp;G424&amp;"]"&amp;E424&amp;"'!"&amp;$AI$3),0)</f>
        <v>#VALUE!</v>
      </c>
      <c r="AJ424" s="25">
        <v>1</v>
      </c>
      <c r="AK424" s="38">
        <f t="shared" ca="1" si="111"/>
        <v>0</v>
      </c>
      <c r="AL424" s="38">
        <f t="shared" ca="1" si="112"/>
        <v>0</v>
      </c>
      <c r="AM424" s="54" t="str">
        <f t="shared" ca="1" si="113"/>
        <v/>
      </c>
      <c r="AN424" s="25" t="e">
        <f t="shared" ca="1" si="114"/>
        <v>#VALUE!</v>
      </c>
      <c r="AO424" s="25" t="e">
        <f t="shared" ca="1" si="115"/>
        <v>#VALUE!</v>
      </c>
      <c r="AP424" s="39" t="str">
        <f t="shared" ca="1" si="116"/>
        <v/>
      </c>
      <c r="AQ424" s="46" t="str">
        <f ca="1">IF(AND(C424&lt;&gt;0, C425=0), SUM($C$2:C424)-SUM($AQ$1:AQ423), "")</f>
        <v/>
      </c>
      <c r="AR424" s="46" t="str">
        <f ca="1">IF(AND(AK424&lt;&gt;0, AK425=0), SUM($AK$2:AK424)-SUM($AR$1:AR423), "")</f>
        <v/>
      </c>
    </row>
    <row r="425" spans="1:44" ht="13.15" customHeight="1">
      <c r="A425" s="62"/>
      <c r="B425" s="68" t="str">
        <f t="shared" si="117"/>
        <v/>
      </c>
      <c r="C425" s="55" cm="1">
        <f t="array" aca="1" ref="C425" ca="1">SUM(IF(ISNUMBER(M425:U425),M425:U425,""))</f>
        <v>0</v>
      </c>
      <c r="D425" s="25" t="str">
        <f t="shared" si="118"/>
        <v/>
      </c>
      <c r="E425" s="25" t="e">
        <f t="shared" si="119"/>
        <v>#VALUE!</v>
      </c>
      <c r="F425" s="25" t="str">
        <f t="shared" si="120"/>
        <v/>
      </c>
      <c r="G425" s="25" t="str">
        <f t="shared" si="121"/>
        <v>.xlsx</v>
      </c>
      <c r="H425" s="29" t="e" cm="1">
        <f t="array" aca="1" ref="H425" ca="1">IF(AND(VALUE(E425)=INDIRECT("'["&amp;G425&amp;"]"&amp;E425&amp;"'!"&amp;$X$2),G425=INDIRECT("'["&amp;G425&amp;"]"&amp;E425&amp;"'!"&amp;$X$3)),INDIRECT("'["&amp;G425&amp;"]"&amp;E425&amp;"'!"&amp;$X$1),0)</f>
        <v>#VALUE!</v>
      </c>
      <c r="I425" s="25" t="str">
        <f t="shared" si="122"/>
        <v/>
      </c>
      <c r="J425" s="32" t="str">
        <f t="shared" si="123"/>
        <v/>
      </c>
      <c r="K425" s="25" t="str">
        <f t="shared" si="124"/>
        <v/>
      </c>
      <c r="L425" s="25" t="str">
        <f t="shared" si="125"/>
        <v/>
      </c>
      <c r="M425" s="33" t="e" cm="1">
        <f t="array" aca="1" ref="M425" ca="1">IF(AND(J425=INDIRECT("'["&amp;G425&amp;"]"&amp;E425&amp;"'!"&amp;$Y$2),G425=INDIRECT("'["&amp;G425&amp;"]"&amp;E425&amp;"'!"&amp;$AH$2)),INDIRECT("'["&amp;G425&amp;"]"&amp;E425&amp;"'!"&amp;$Y$3),0)</f>
        <v>#VALUE!</v>
      </c>
      <c r="N425" s="34" t="e" cm="1">
        <f t="array" aca="1" ref="N425" ca="1">IF(AND(G425=INDIRECT("'["&amp;G425&amp;"]"&amp;E425&amp;"'!"&amp;$AH$2),OR(K425=INDIRECT("'["&amp;G425&amp;"]"&amp;E425&amp;"'!"&amp;$Z$2))),INDIRECT("'["&amp;G425&amp;"]"&amp;E425&amp;"'!"&amp;$Z$3),0)</f>
        <v>#VALUE!</v>
      </c>
      <c r="O425" s="34" t="e" cm="1">
        <f t="array" aca="1" ref="O425" ca="1">IF(AND(G425=INDIRECT("'["&amp;G425&amp;"]"&amp;E425&amp;"'!"&amp;$AH$2),OR(L425=INDIRECT("'["&amp;G425&amp;"]"&amp;E425&amp;"'!"&amp;$AA$2))),INDIRECT("'["&amp;G425&amp;"]"&amp;E425&amp;"'!"&amp;$AA$3),0)</f>
        <v>#VALUE!</v>
      </c>
      <c r="P425" s="34" t="e" cm="1">
        <f t="array" aca="1" ref="P425" ca="1">IF(AND(G425=INDIRECT("'["&amp;G425&amp;"]"&amp;E425&amp;"'!"&amp;$AH$2),OR(VALUE(I425)=INDIRECT("'["&amp;G425&amp;"]"&amp;E425&amp;"'!"&amp;$AB$2))),INDIRECT("'["&amp;G425&amp;"]"&amp;E425&amp;"'!"&amp;$AB$3),0)</f>
        <v>#VALUE!</v>
      </c>
      <c r="Q425" s="34" t="e" cm="1">
        <f t="array" aca="1" ref="Q425" ca="1">IF(AND(G425=INDIRECT("'["&amp;G425&amp;"]"&amp;E425&amp;"'!"&amp;$AH$2),OR(VALUE(I425)=INDIRECT("'["&amp;G425&amp;"]"&amp;E425&amp;"'!"&amp;$AC$2))),INDIRECT("'["&amp;G425&amp;"]"&amp;E425&amp;"'!"&amp;$AC$3),0)</f>
        <v>#VALUE!</v>
      </c>
      <c r="R425" s="34" t="e" cm="1">
        <f t="array" aca="1" ref="R425" ca="1">IF(AND(G425=INDIRECT("'["&amp;G425&amp;"]"&amp;E425&amp;"'!"&amp;$AH$2),OR(I425=INDIRECT("'["&amp;G425&amp;"]"&amp;E425&amp;"'!"&amp;$AD$2))),INDIRECT("'["&amp;G425&amp;"]"&amp;E425&amp;"'!"&amp;$AD$3),0)</f>
        <v>#VALUE!</v>
      </c>
      <c r="S425" s="34" t="e" cm="1">
        <f t="array" aca="1" ref="S425" ca="1">IF(AND(G425=INDIRECT("'["&amp;G425&amp;"]"&amp;E425&amp;"'!"&amp;$AH$2),OR(I425=INDIRECT("'["&amp;G425&amp;"]"&amp;E425&amp;"'!"&amp;$AE$2))),INDIRECT("'["&amp;G425&amp;"]"&amp;E425&amp;"'!"&amp;$AE$3),0)</f>
        <v>#VALUE!</v>
      </c>
      <c r="T425" s="35" t="e" cm="1">
        <f t="array" aca="1" ref="T425" ca="1">IF(AND(G425=INDIRECT("'["&amp;G425&amp;"]"&amp;E425&amp;"'!"&amp;$AH$2),OR(I425=INDIRECT("'["&amp;G425&amp;"]"&amp;E425&amp;"'!"&amp;$AF$2))),INDIRECT("'["&amp;G425&amp;"]"&amp;E425&amp;"'!"&amp;$AF$3),0)</f>
        <v>#VALUE!</v>
      </c>
      <c r="U425" s="34" t="e" cm="1">
        <f t="array" aca="1" ref="U425" ca="1">IF(AND(G425=INDIRECT("'["&amp;G425&amp;"]"&amp;E425&amp;"'!"&amp;$AH$2),OR(I425=INDIRECT("'["&amp;G425&amp;"]"&amp;E425&amp;"'!"&amp;$AG$2))),INDIRECT("'["&amp;G425&amp;"]"&amp;E425&amp;"'!"&amp;$AG$3),0)</f>
        <v>#VALUE!</v>
      </c>
      <c r="V425" s="25" t="str">
        <f t="shared" si="126"/>
        <v/>
      </c>
      <c r="W425" s="36" t="e" cm="1">
        <f t="array" aca="1" ref="W425" ca="1">IF(AND(G425=INDIRECT("'["&amp;G425&amp;"]"&amp;E425&amp;"'!"&amp;$AH$2),OR(V425=INDIRECT("'["&amp;G425&amp;"]"&amp;E425&amp;"'!"&amp;$AI$2))),INDIRECT("'["&amp;G425&amp;"]"&amp;E425&amp;"'!"&amp;$AI$3),0)</f>
        <v>#VALUE!</v>
      </c>
      <c r="AJ425" s="25">
        <v>1</v>
      </c>
      <c r="AK425" s="38">
        <f t="shared" ca="1" si="111"/>
        <v>0</v>
      </c>
      <c r="AL425" s="38">
        <f t="shared" ca="1" si="112"/>
        <v>0</v>
      </c>
      <c r="AM425" s="54" t="str">
        <f t="shared" ca="1" si="113"/>
        <v/>
      </c>
      <c r="AN425" s="25" t="e">
        <f t="shared" ca="1" si="114"/>
        <v>#VALUE!</v>
      </c>
      <c r="AO425" s="25" t="e">
        <f t="shared" ca="1" si="115"/>
        <v>#VALUE!</v>
      </c>
      <c r="AP425" s="39" t="str">
        <f t="shared" ca="1" si="116"/>
        <v/>
      </c>
      <c r="AQ425" s="46" t="str">
        <f ca="1">IF(AND(C425&lt;&gt;0, C426=0), SUM($C$2:C425)-SUM($AQ$1:AQ424), "")</f>
        <v/>
      </c>
      <c r="AR425" s="46" t="str">
        <f ca="1">IF(AND(AK425&lt;&gt;0, AK426=0), SUM($AK$2:AK425)-SUM($AR$1:AR424), "")</f>
        <v/>
      </c>
    </row>
    <row r="426" spans="1:44" ht="13.15" customHeight="1">
      <c r="A426" s="62"/>
      <c r="B426" s="68" t="str">
        <f t="shared" si="117"/>
        <v/>
      </c>
      <c r="C426" s="55" cm="1">
        <f t="array" aca="1" ref="C426" ca="1">SUM(IF(ISNUMBER(M426:U426),M426:U426,""))</f>
        <v>0</v>
      </c>
      <c r="D426" s="25" t="str">
        <f t="shared" si="118"/>
        <v/>
      </c>
      <c r="E426" s="25" t="e">
        <f t="shared" si="119"/>
        <v>#VALUE!</v>
      </c>
      <c r="F426" s="25" t="str">
        <f t="shared" si="120"/>
        <v/>
      </c>
      <c r="G426" s="25" t="str">
        <f t="shared" si="121"/>
        <v>.xlsx</v>
      </c>
      <c r="H426" s="29" t="e" cm="1">
        <f t="array" aca="1" ref="H426" ca="1">IF(AND(VALUE(E426)=INDIRECT("'["&amp;G426&amp;"]"&amp;E426&amp;"'!"&amp;$X$2),G426=INDIRECT("'["&amp;G426&amp;"]"&amp;E426&amp;"'!"&amp;$X$3)),INDIRECT("'["&amp;G426&amp;"]"&amp;E426&amp;"'!"&amp;$X$1),0)</f>
        <v>#VALUE!</v>
      </c>
      <c r="I426" s="25" t="str">
        <f t="shared" si="122"/>
        <v/>
      </c>
      <c r="J426" s="32" t="str">
        <f t="shared" si="123"/>
        <v/>
      </c>
      <c r="K426" s="25" t="str">
        <f t="shared" si="124"/>
        <v/>
      </c>
      <c r="L426" s="25" t="str">
        <f t="shared" si="125"/>
        <v/>
      </c>
      <c r="M426" s="33" t="e" cm="1">
        <f t="array" aca="1" ref="M426" ca="1">IF(AND(J426=INDIRECT("'["&amp;G426&amp;"]"&amp;E426&amp;"'!"&amp;$Y$2),G426=INDIRECT("'["&amp;G426&amp;"]"&amp;E426&amp;"'!"&amp;$AH$2)),INDIRECT("'["&amp;G426&amp;"]"&amp;E426&amp;"'!"&amp;$Y$3),0)</f>
        <v>#VALUE!</v>
      </c>
      <c r="N426" s="34" t="e" cm="1">
        <f t="array" aca="1" ref="N426" ca="1">IF(AND(G426=INDIRECT("'["&amp;G426&amp;"]"&amp;E426&amp;"'!"&amp;$AH$2),OR(K426=INDIRECT("'["&amp;G426&amp;"]"&amp;E426&amp;"'!"&amp;$Z$2))),INDIRECT("'["&amp;G426&amp;"]"&amp;E426&amp;"'!"&amp;$Z$3),0)</f>
        <v>#VALUE!</v>
      </c>
      <c r="O426" s="34" t="e" cm="1">
        <f t="array" aca="1" ref="O426" ca="1">IF(AND(G426=INDIRECT("'["&amp;G426&amp;"]"&amp;E426&amp;"'!"&amp;$AH$2),OR(L426=INDIRECT("'["&amp;G426&amp;"]"&amp;E426&amp;"'!"&amp;$AA$2))),INDIRECT("'["&amp;G426&amp;"]"&amp;E426&amp;"'!"&amp;$AA$3),0)</f>
        <v>#VALUE!</v>
      </c>
      <c r="P426" s="34" t="e" cm="1">
        <f t="array" aca="1" ref="P426" ca="1">IF(AND(G426=INDIRECT("'["&amp;G426&amp;"]"&amp;E426&amp;"'!"&amp;$AH$2),OR(VALUE(I426)=INDIRECT("'["&amp;G426&amp;"]"&amp;E426&amp;"'!"&amp;$AB$2))),INDIRECT("'["&amp;G426&amp;"]"&amp;E426&amp;"'!"&amp;$AB$3),0)</f>
        <v>#VALUE!</v>
      </c>
      <c r="Q426" s="34" t="e" cm="1">
        <f t="array" aca="1" ref="Q426" ca="1">IF(AND(G426=INDIRECT("'["&amp;G426&amp;"]"&amp;E426&amp;"'!"&amp;$AH$2),OR(VALUE(I426)=INDIRECT("'["&amp;G426&amp;"]"&amp;E426&amp;"'!"&amp;$AC$2))),INDIRECT("'["&amp;G426&amp;"]"&amp;E426&amp;"'!"&amp;$AC$3),0)</f>
        <v>#VALUE!</v>
      </c>
      <c r="R426" s="34" t="e" cm="1">
        <f t="array" aca="1" ref="R426" ca="1">IF(AND(G426=INDIRECT("'["&amp;G426&amp;"]"&amp;E426&amp;"'!"&amp;$AH$2),OR(I426=INDIRECT("'["&amp;G426&amp;"]"&amp;E426&amp;"'!"&amp;$AD$2))),INDIRECT("'["&amp;G426&amp;"]"&amp;E426&amp;"'!"&amp;$AD$3),0)</f>
        <v>#VALUE!</v>
      </c>
      <c r="S426" s="34" t="e" cm="1">
        <f t="array" aca="1" ref="S426" ca="1">IF(AND(G426=INDIRECT("'["&amp;G426&amp;"]"&amp;E426&amp;"'!"&amp;$AH$2),OR(I426=INDIRECT("'["&amp;G426&amp;"]"&amp;E426&amp;"'!"&amp;$AE$2))),INDIRECT("'["&amp;G426&amp;"]"&amp;E426&amp;"'!"&amp;$AE$3),0)</f>
        <v>#VALUE!</v>
      </c>
      <c r="T426" s="35" t="e" cm="1">
        <f t="array" aca="1" ref="T426" ca="1">IF(AND(G426=INDIRECT("'["&amp;G426&amp;"]"&amp;E426&amp;"'!"&amp;$AH$2),OR(I426=INDIRECT("'["&amp;G426&amp;"]"&amp;E426&amp;"'!"&amp;$AF$2))),INDIRECT("'["&amp;G426&amp;"]"&amp;E426&amp;"'!"&amp;$AF$3),0)</f>
        <v>#VALUE!</v>
      </c>
      <c r="U426" s="34" t="e" cm="1">
        <f t="array" aca="1" ref="U426" ca="1">IF(AND(G426=INDIRECT("'["&amp;G426&amp;"]"&amp;E426&amp;"'!"&amp;$AH$2),OR(I426=INDIRECT("'["&amp;G426&amp;"]"&amp;E426&amp;"'!"&amp;$AG$2))),INDIRECT("'["&amp;G426&amp;"]"&amp;E426&amp;"'!"&amp;$AG$3),0)</f>
        <v>#VALUE!</v>
      </c>
      <c r="V426" s="25" t="str">
        <f t="shared" si="126"/>
        <v/>
      </c>
      <c r="W426" s="36" t="e" cm="1">
        <f t="array" aca="1" ref="W426" ca="1">IF(AND(G426=INDIRECT("'["&amp;G426&amp;"]"&amp;E426&amp;"'!"&amp;$AH$2),OR(V426=INDIRECT("'["&amp;G426&amp;"]"&amp;E426&amp;"'!"&amp;$AI$2))),INDIRECT("'["&amp;G426&amp;"]"&amp;E426&amp;"'!"&amp;$AI$3),0)</f>
        <v>#VALUE!</v>
      </c>
      <c r="AJ426" s="25">
        <v>1</v>
      </c>
      <c r="AK426" s="38">
        <f t="shared" ca="1" si="111"/>
        <v>0</v>
      </c>
      <c r="AL426" s="38">
        <f t="shared" ca="1" si="112"/>
        <v>0</v>
      </c>
      <c r="AM426" s="54" t="str">
        <f t="shared" ca="1" si="113"/>
        <v/>
      </c>
      <c r="AN426" s="25" t="e">
        <f t="shared" ca="1" si="114"/>
        <v>#VALUE!</v>
      </c>
      <c r="AO426" s="25" t="e">
        <f t="shared" ca="1" si="115"/>
        <v>#VALUE!</v>
      </c>
      <c r="AP426" s="39" t="str">
        <f t="shared" ca="1" si="116"/>
        <v/>
      </c>
      <c r="AQ426" s="46" t="str">
        <f ca="1">IF(AND(C426&lt;&gt;0, C427=0), SUM($C$2:C426)-SUM($AQ$1:AQ425), "")</f>
        <v/>
      </c>
      <c r="AR426" s="46" t="str">
        <f ca="1">IF(AND(AK426&lt;&gt;0, AK427=0), SUM($AK$2:AK426)-SUM($AR$1:AR425), "")</f>
        <v/>
      </c>
    </row>
    <row r="427" spans="1:44" ht="13.15" customHeight="1">
      <c r="A427" s="62"/>
      <c r="B427" s="68" t="str">
        <f t="shared" si="117"/>
        <v/>
      </c>
      <c r="C427" s="55" cm="1">
        <f t="array" aca="1" ref="C427" ca="1">SUM(IF(ISNUMBER(M427:U427),M427:U427,""))</f>
        <v>0</v>
      </c>
      <c r="D427" s="25" t="str">
        <f t="shared" si="118"/>
        <v/>
      </c>
      <c r="E427" s="25" t="e">
        <f t="shared" si="119"/>
        <v>#VALUE!</v>
      </c>
      <c r="F427" s="25" t="str">
        <f t="shared" si="120"/>
        <v/>
      </c>
      <c r="G427" s="25" t="str">
        <f t="shared" si="121"/>
        <v>.xlsx</v>
      </c>
      <c r="H427" s="29" t="e" cm="1">
        <f t="array" aca="1" ref="H427" ca="1">IF(AND(VALUE(E427)=INDIRECT("'["&amp;G427&amp;"]"&amp;E427&amp;"'!"&amp;$X$2),G427=INDIRECT("'["&amp;G427&amp;"]"&amp;E427&amp;"'!"&amp;$X$3)),INDIRECT("'["&amp;G427&amp;"]"&amp;E427&amp;"'!"&amp;$X$1),0)</f>
        <v>#VALUE!</v>
      </c>
      <c r="I427" s="25" t="str">
        <f t="shared" si="122"/>
        <v/>
      </c>
      <c r="J427" s="32" t="str">
        <f t="shared" si="123"/>
        <v/>
      </c>
      <c r="K427" s="25" t="str">
        <f t="shared" si="124"/>
        <v/>
      </c>
      <c r="L427" s="25" t="str">
        <f t="shared" si="125"/>
        <v/>
      </c>
      <c r="M427" s="33" t="e" cm="1">
        <f t="array" aca="1" ref="M427" ca="1">IF(AND(J427=INDIRECT("'["&amp;G427&amp;"]"&amp;E427&amp;"'!"&amp;$Y$2),G427=INDIRECT("'["&amp;G427&amp;"]"&amp;E427&amp;"'!"&amp;$AH$2)),INDIRECT("'["&amp;G427&amp;"]"&amp;E427&amp;"'!"&amp;$Y$3),0)</f>
        <v>#VALUE!</v>
      </c>
      <c r="N427" s="34" t="e" cm="1">
        <f t="array" aca="1" ref="N427" ca="1">IF(AND(G427=INDIRECT("'["&amp;G427&amp;"]"&amp;E427&amp;"'!"&amp;$AH$2),OR(K427=INDIRECT("'["&amp;G427&amp;"]"&amp;E427&amp;"'!"&amp;$Z$2))),INDIRECT("'["&amp;G427&amp;"]"&amp;E427&amp;"'!"&amp;$Z$3),0)</f>
        <v>#VALUE!</v>
      </c>
      <c r="O427" s="34" t="e" cm="1">
        <f t="array" aca="1" ref="O427" ca="1">IF(AND(G427=INDIRECT("'["&amp;G427&amp;"]"&amp;E427&amp;"'!"&amp;$AH$2),OR(L427=INDIRECT("'["&amp;G427&amp;"]"&amp;E427&amp;"'!"&amp;$AA$2))),INDIRECT("'["&amp;G427&amp;"]"&amp;E427&amp;"'!"&amp;$AA$3),0)</f>
        <v>#VALUE!</v>
      </c>
      <c r="P427" s="34" t="e" cm="1">
        <f t="array" aca="1" ref="P427" ca="1">IF(AND(G427=INDIRECT("'["&amp;G427&amp;"]"&amp;E427&amp;"'!"&amp;$AH$2),OR(VALUE(I427)=INDIRECT("'["&amp;G427&amp;"]"&amp;E427&amp;"'!"&amp;$AB$2))),INDIRECT("'["&amp;G427&amp;"]"&amp;E427&amp;"'!"&amp;$AB$3),0)</f>
        <v>#VALUE!</v>
      </c>
      <c r="Q427" s="34" t="e" cm="1">
        <f t="array" aca="1" ref="Q427" ca="1">IF(AND(G427=INDIRECT("'["&amp;G427&amp;"]"&amp;E427&amp;"'!"&amp;$AH$2),OR(VALUE(I427)=INDIRECT("'["&amp;G427&amp;"]"&amp;E427&amp;"'!"&amp;$AC$2))),INDIRECT("'["&amp;G427&amp;"]"&amp;E427&amp;"'!"&amp;$AC$3),0)</f>
        <v>#VALUE!</v>
      </c>
      <c r="R427" s="34" t="e" cm="1">
        <f t="array" aca="1" ref="R427" ca="1">IF(AND(G427=INDIRECT("'["&amp;G427&amp;"]"&amp;E427&amp;"'!"&amp;$AH$2),OR(I427=INDIRECT("'["&amp;G427&amp;"]"&amp;E427&amp;"'!"&amp;$AD$2))),INDIRECT("'["&amp;G427&amp;"]"&amp;E427&amp;"'!"&amp;$AD$3),0)</f>
        <v>#VALUE!</v>
      </c>
      <c r="S427" s="34" t="e" cm="1">
        <f t="array" aca="1" ref="S427" ca="1">IF(AND(G427=INDIRECT("'["&amp;G427&amp;"]"&amp;E427&amp;"'!"&amp;$AH$2),OR(I427=INDIRECT("'["&amp;G427&amp;"]"&amp;E427&amp;"'!"&amp;$AE$2))),INDIRECT("'["&amp;G427&amp;"]"&amp;E427&amp;"'!"&amp;$AE$3),0)</f>
        <v>#VALUE!</v>
      </c>
      <c r="T427" s="35" t="e" cm="1">
        <f t="array" aca="1" ref="T427" ca="1">IF(AND(G427=INDIRECT("'["&amp;G427&amp;"]"&amp;E427&amp;"'!"&amp;$AH$2),OR(I427=INDIRECT("'["&amp;G427&amp;"]"&amp;E427&amp;"'!"&amp;$AF$2))),INDIRECT("'["&amp;G427&amp;"]"&amp;E427&amp;"'!"&amp;$AF$3),0)</f>
        <v>#VALUE!</v>
      </c>
      <c r="U427" s="34" t="e" cm="1">
        <f t="array" aca="1" ref="U427" ca="1">IF(AND(G427=INDIRECT("'["&amp;G427&amp;"]"&amp;E427&amp;"'!"&amp;$AH$2),OR(I427=INDIRECT("'["&amp;G427&amp;"]"&amp;E427&amp;"'!"&amp;$AG$2))),INDIRECT("'["&amp;G427&amp;"]"&amp;E427&amp;"'!"&amp;$AG$3),0)</f>
        <v>#VALUE!</v>
      </c>
      <c r="V427" s="25" t="str">
        <f t="shared" si="126"/>
        <v/>
      </c>
      <c r="W427" s="36" t="e" cm="1">
        <f t="array" aca="1" ref="W427" ca="1">IF(AND(G427=INDIRECT("'["&amp;G427&amp;"]"&amp;E427&amp;"'!"&amp;$AH$2),OR(V427=INDIRECT("'["&amp;G427&amp;"]"&amp;E427&amp;"'!"&amp;$AI$2))),INDIRECT("'["&amp;G427&amp;"]"&amp;E427&amp;"'!"&amp;$AI$3),0)</f>
        <v>#VALUE!</v>
      </c>
      <c r="AJ427" s="25">
        <v>1</v>
      </c>
      <c r="AK427" s="38">
        <f t="shared" ca="1" si="111"/>
        <v>0</v>
      </c>
      <c r="AL427" s="38">
        <f t="shared" ca="1" si="112"/>
        <v>0</v>
      </c>
      <c r="AM427" s="54" t="str">
        <f t="shared" ca="1" si="113"/>
        <v/>
      </c>
      <c r="AN427" s="25" t="e">
        <f t="shared" ca="1" si="114"/>
        <v>#VALUE!</v>
      </c>
      <c r="AO427" s="25" t="e">
        <f t="shared" ca="1" si="115"/>
        <v>#VALUE!</v>
      </c>
      <c r="AP427" s="39" t="str">
        <f t="shared" ca="1" si="116"/>
        <v/>
      </c>
      <c r="AQ427" s="46" t="str">
        <f ca="1">IF(AND(C427&lt;&gt;0, C428=0), SUM($C$2:C427)-SUM($AQ$1:AQ426), "")</f>
        <v/>
      </c>
      <c r="AR427" s="46" t="str">
        <f ca="1">IF(AND(AK427&lt;&gt;0, AK428=0), SUM($AK$2:AK427)-SUM($AR$1:AR426), "")</f>
        <v/>
      </c>
    </row>
    <row r="428" spans="1:44" ht="13.15" customHeight="1">
      <c r="A428" s="62"/>
      <c r="B428" s="68" t="str">
        <f t="shared" si="117"/>
        <v/>
      </c>
      <c r="C428" s="55" cm="1">
        <f t="array" aca="1" ref="C428" ca="1">SUM(IF(ISNUMBER(M428:U428),M428:U428,""))</f>
        <v>0</v>
      </c>
      <c r="D428" s="25" t="str">
        <f t="shared" si="118"/>
        <v/>
      </c>
      <c r="E428" s="25" t="e">
        <f t="shared" si="119"/>
        <v>#VALUE!</v>
      </c>
      <c r="F428" s="25" t="str">
        <f t="shared" si="120"/>
        <v/>
      </c>
      <c r="G428" s="25" t="str">
        <f t="shared" si="121"/>
        <v>.xlsx</v>
      </c>
      <c r="H428" s="29" t="e" cm="1">
        <f t="array" aca="1" ref="H428" ca="1">IF(AND(VALUE(E428)=INDIRECT("'["&amp;G428&amp;"]"&amp;E428&amp;"'!"&amp;$X$2),G428=INDIRECT("'["&amp;G428&amp;"]"&amp;E428&amp;"'!"&amp;$X$3)),INDIRECT("'["&amp;G428&amp;"]"&amp;E428&amp;"'!"&amp;$X$1),0)</f>
        <v>#VALUE!</v>
      </c>
      <c r="I428" s="25" t="str">
        <f t="shared" si="122"/>
        <v/>
      </c>
      <c r="J428" s="32" t="str">
        <f t="shared" si="123"/>
        <v/>
      </c>
      <c r="K428" s="25" t="str">
        <f t="shared" si="124"/>
        <v/>
      </c>
      <c r="L428" s="25" t="str">
        <f t="shared" si="125"/>
        <v/>
      </c>
      <c r="M428" s="33" t="e" cm="1">
        <f t="array" aca="1" ref="M428" ca="1">IF(AND(J428=INDIRECT("'["&amp;G428&amp;"]"&amp;E428&amp;"'!"&amp;$Y$2),G428=INDIRECT("'["&amp;G428&amp;"]"&amp;E428&amp;"'!"&amp;$AH$2)),INDIRECT("'["&amp;G428&amp;"]"&amp;E428&amp;"'!"&amp;$Y$3),0)</f>
        <v>#VALUE!</v>
      </c>
      <c r="N428" s="34" t="e" cm="1">
        <f t="array" aca="1" ref="N428" ca="1">IF(AND(G428=INDIRECT("'["&amp;G428&amp;"]"&amp;E428&amp;"'!"&amp;$AH$2),OR(K428=INDIRECT("'["&amp;G428&amp;"]"&amp;E428&amp;"'!"&amp;$Z$2))),INDIRECT("'["&amp;G428&amp;"]"&amp;E428&amp;"'!"&amp;$Z$3),0)</f>
        <v>#VALUE!</v>
      </c>
      <c r="O428" s="34" t="e" cm="1">
        <f t="array" aca="1" ref="O428" ca="1">IF(AND(G428=INDIRECT("'["&amp;G428&amp;"]"&amp;E428&amp;"'!"&amp;$AH$2),OR(L428=INDIRECT("'["&amp;G428&amp;"]"&amp;E428&amp;"'!"&amp;$AA$2))),INDIRECT("'["&amp;G428&amp;"]"&amp;E428&amp;"'!"&amp;$AA$3),0)</f>
        <v>#VALUE!</v>
      </c>
      <c r="P428" s="34" t="e" cm="1">
        <f t="array" aca="1" ref="P428" ca="1">IF(AND(G428=INDIRECT("'["&amp;G428&amp;"]"&amp;E428&amp;"'!"&amp;$AH$2),OR(VALUE(I428)=INDIRECT("'["&amp;G428&amp;"]"&amp;E428&amp;"'!"&amp;$AB$2))),INDIRECT("'["&amp;G428&amp;"]"&amp;E428&amp;"'!"&amp;$AB$3),0)</f>
        <v>#VALUE!</v>
      </c>
      <c r="Q428" s="34" t="e" cm="1">
        <f t="array" aca="1" ref="Q428" ca="1">IF(AND(G428=INDIRECT("'["&amp;G428&amp;"]"&amp;E428&amp;"'!"&amp;$AH$2),OR(VALUE(I428)=INDIRECT("'["&amp;G428&amp;"]"&amp;E428&amp;"'!"&amp;$AC$2))),INDIRECT("'["&amp;G428&amp;"]"&amp;E428&amp;"'!"&amp;$AC$3),0)</f>
        <v>#VALUE!</v>
      </c>
      <c r="R428" s="34" t="e" cm="1">
        <f t="array" aca="1" ref="R428" ca="1">IF(AND(G428=INDIRECT("'["&amp;G428&amp;"]"&amp;E428&amp;"'!"&amp;$AH$2),OR(I428=INDIRECT("'["&amp;G428&amp;"]"&amp;E428&amp;"'!"&amp;$AD$2))),INDIRECT("'["&amp;G428&amp;"]"&amp;E428&amp;"'!"&amp;$AD$3),0)</f>
        <v>#VALUE!</v>
      </c>
      <c r="S428" s="34" t="e" cm="1">
        <f t="array" aca="1" ref="S428" ca="1">IF(AND(G428=INDIRECT("'["&amp;G428&amp;"]"&amp;E428&amp;"'!"&amp;$AH$2),OR(I428=INDIRECT("'["&amp;G428&amp;"]"&amp;E428&amp;"'!"&amp;$AE$2))),INDIRECT("'["&amp;G428&amp;"]"&amp;E428&amp;"'!"&amp;$AE$3),0)</f>
        <v>#VALUE!</v>
      </c>
      <c r="T428" s="35" t="e" cm="1">
        <f t="array" aca="1" ref="T428" ca="1">IF(AND(G428=INDIRECT("'["&amp;G428&amp;"]"&amp;E428&amp;"'!"&amp;$AH$2),OR(I428=INDIRECT("'["&amp;G428&amp;"]"&amp;E428&amp;"'!"&amp;$AF$2))),INDIRECT("'["&amp;G428&amp;"]"&amp;E428&amp;"'!"&amp;$AF$3),0)</f>
        <v>#VALUE!</v>
      </c>
      <c r="U428" s="34" t="e" cm="1">
        <f t="array" aca="1" ref="U428" ca="1">IF(AND(G428=INDIRECT("'["&amp;G428&amp;"]"&amp;E428&amp;"'!"&amp;$AH$2),OR(I428=INDIRECT("'["&amp;G428&amp;"]"&amp;E428&amp;"'!"&amp;$AG$2))),INDIRECT("'["&amp;G428&amp;"]"&amp;E428&amp;"'!"&amp;$AG$3),0)</f>
        <v>#VALUE!</v>
      </c>
      <c r="V428" s="25" t="str">
        <f t="shared" si="126"/>
        <v/>
      </c>
      <c r="W428" s="36" t="e" cm="1">
        <f t="array" aca="1" ref="W428" ca="1">IF(AND(G428=INDIRECT("'["&amp;G428&amp;"]"&amp;E428&amp;"'!"&amp;$AH$2),OR(V428=INDIRECT("'["&amp;G428&amp;"]"&amp;E428&amp;"'!"&amp;$AI$2))),INDIRECT("'["&amp;G428&amp;"]"&amp;E428&amp;"'!"&amp;$AI$3),0)</f>
        <v>#VALUE!</v>
      </c>
      <c r="AJ428" s="25">
        <v>1</v>
      </c>
      <c r="AK428" s="38">
        <f t="shared" ca="1" si="111"/>
        <v>0</v>
      </c>
      <c r="AL428" s="38">
        <f t="shared" ca="1" si="112"/>
        <v>0</v>
      </c>
      <c r="AM428" s="54" t="str">
        <f t="shared" ca="1" si="113"/>
        <v/>
      </c>
      <c r="AN428" s="25" t="e">
        <f t="shared" ca="1" si="114"/>
        <v>#VALUE!</v>
      </c>
      <c r="AO428" s="25" t="e">
        <f t="shared" ca="1" si="115"/>
        <v>#VALUE!</v>
      </c>
      <c r="AP428" s="39" t="str">
        <f t="shared" ca="1" si="116"/>
        <v/>
      </c>
      <c r="AQ428" s="46" t="str">
        <f ca="1">IF(AND(C428&lt;&gt;0, C429=0), SUM($C$2:C428)-SUM($AQ$1:AQ427), "")</f>
        <v/>
      </c>
      <c r="AR428" s="46" t="str">
        <f ca="1">IF(AND(AK428&lt;&gt;0, AK429=0), SUM($AK$2:AK428)-SUM($AR$1:AR427), "")</f>
        <v/>
      </c>
    </row>
    <row r="429" spans="1:44" ht="13.15" customHeight="1">
      <c r="A429" s="62"/>
      <c r="B429" s="68" t="str">
        <f t="shared" si="117"/>
        <v/>
      </c>
      <c r="C429" s="55" cm="1">
        <f t="array" aca="1" ref="C429" ca="1">SUM(IF(ISNUMBER(M429:U429),M429:U429,""))</f>
        <v>0</v>
      </c>
      <c r="D429" s="25" t="str">
        <f t="shared" si="118"/>
        <v/>
      </c>
      <c r="E429" s="25" t="e">
        <f t="shared" si="119"/>
        <v>#VALUE!</v>
      </c>
      <c r="F429" s="25" t="str">
        <f t="shared" si="120"/>
        <v/>
      </c>
      <c r="G429" s="25" t="str">
        <f t="shared" si="121"/>
        <v>.xlsx</v>
      </c>
      <c r="H429" s="29" t="e" cm="1">
        <f t="array" aca="1" ref="H429" ca="1">IF(AND(VALUE(E429)=INDIRECT("'["&amp;G429&amp;"]"&amp;E429&amp;"'!"&amp;$X$2),G429=INDIRECT("'["&amp;G429&amp;"]"&amp;E429&amp;"'!"&amp;$X$3)),INDIRECT("'["&amp;G429&amp;"]"&amp;E429&amp;"'!"&amp;$X$1),0)</f>
        <v>#VALUE!</v>
      </c>
      <c r="I429" s="25" t="str">
        <f t="shared" si="122"/>
        <v/>
      </c>
      <c r="J429" s="32" t="str">
        <f t="shared" si="123"/>
        <v/>
      </c>
      <c r="K429" s="25" t="str">
        <f t="shared" si="124"/>
        <v/>
      </c>
      <c r="L429" s="25" t="str">
        <f t="shared" si="125"/>
        <v/>
      </c>
      <c r="M429" s="33" t="e" cm="1">
        <f t="array" aca="1" ref="M429" ca="1">IF(AND(J429=INDIRECT("'["&amp;G429&amp;"]"&amp;E429&amp;"'!"&amp;$Y$2),G429=INDIRECT("'["&amp;G429&amp;"]"&amp;E429&amp;"'!"&amp;$AH$2)),INDIRECT("'["&amp;G429&amp;"]"&amp;E429&amp;"'!"&amp;$Y$3),0)</f>
        <v>#VALUE!</v>
      </c>
      <c r="N429" s="34" t="e" cm="1">
        <f t="array" aca="1" ref="N429" ca="1">IF(AND(G429=INDIRECT("'["&amp;G429&amp;"]"&amp;E429&amp;"'!"&amp;$AH$2),OR(K429=INDIRECT("'["&amp;G429&amp;"]"&amp;E429&amp;"'!"&amp;$Z$2))),INDIRECT("'["&amp;G429&amp;"]"&amp;E429&amp;"'!"&amp;$Z$3),0)</f>
        <v>#VALUE!</v>
      </c>
      <c r="O429" s="34" t="e" cm="1">
        <f t="array" aca="1" ref="O429" ca="1">IF(AND(G429=INDIRECT("'["&amp;G429&amp;"]"&amp;E429&amp;"'!"&amp;$AH$2),OR(L429=INDIRECT("'["&amp;G429&amp;"]"&amp;E429&amp;"'!"&amp;$AA$2))),INDIRECT("'["&amp;G429&amp;"]"&amp;E429&amp;"'!"&amp;$AA$3),0)</f>
        <v>#VALUE!</v>
      </c>
      <c r="P429" s="34" t="e" cm="1">
        <f t="array" aca="1" ref="P429" ca="1">IF(AND(G429=INDIRECT("'["&amp;G429&amp;"]"&amp;E429&amp;"'!"&amp;$AH$2),OR(VALUE(I429)=INDIRECT("'["&amp;G429&amp;"]"&amp;E429&amp;"'!"&amp;$AB$2))),INDIRECT("'["&amp;G429&amp;"]"&amp;E429&amp;"'!"&amp;$AB$3),0)</f>
        <v>#VALUE!</v>
      </c>
      <c r="Q429" s="34" t="e" cm="1">
        <f t="array" aca="1" ref="Q429" ca="1">IF(AND(G429=INDIRECT("'["&amp;G429&amp;"]"&amp;E429&amp;"'!"&amp;$AH$2),OR(VALUE(I429)=INDIRECT("'["&amp;G429&amp;"]"&amp;E429&amp;"'!"&amp;$AC$2))),INDIRECT("'["&amp;G429&amp;"]"&amp;E429&amp;"'!"&amp;$AC$3),0)</f>
        <v>#VALUE!</v>
      </c>
      <c r="R429" s="34" t="e" cm="1">
        <f t="array" aca="1" ref="R429" ca="1">IF(AND(G429=INDIRECT("'["&amp;G429&amp;"]"&amp;E429&amp;"'!"&amp;$AH$2),OR(I429=INDIRECT("'["&amp;G429&amp;"]"&amp;E429&amp;"'!"&amp;$AD$2))),INDIRECT("'["&amp;G429&amp;"]"&amp;E429&amp;"'!"&amp;$AD$3),0)</f>
        <v>#VALUE!</v>
      </c>
      <c r="S429" s="34" t="e" cm="1">
        <f t="array" aca="1" ref="S429" ca="1">IF(AND(G429=INDIRECT("'["&amp;G429&amp;"]"&amp;E429&amp;"'!"&amp;$AH$2),OR(I429=INDIRECT("'["&amp;G429&amp;"]"&amp;E429&amp;"'!"&amp;$AE$2))),INDIRECT("'["&amp;G429&amp;"]"&amp;E429&amp;"'!"&amp;$AE$3),0)</f>
        <v>#VALUE!</v>
      </c>
      <c r="T429" s="35" t="e" cm="1">
        <f t="array" aca="1" ref="T429" ca="1">IF(AND(G429=INDIRECT("'["&amp;G429&amp;"]"&amp;E429&amp;"'!"&amp;$AH$2),OR(I429=INDIRECT("'["&amp;G429&amp;"]"&amp;E429&amp;"'!"&amp;$AF$2))),INDIRECT("'["&amp;G429&amp;"]"&amp;E429&amp;"'!"&amp;$AF$3),0)</f>
        <v>#VALUE!</v>
      </c>
      <c r="U429" s="34" t="e" cm="1">
        <f t="array" aca="1" ref="U429" ca="1">IF(AND(G429=INDIRECT("'["&amp;G429&amp;"]"&amp;E429&amp;"'!"&amp;$AH$2),OR(I429=INDIRECT("'["&amp;G429&amp;"]"&amp;E429&amp;"'!"&amp;$AG$2))),INDIRECT("'["&amp;G429&amp;"]"&amp;E429&amp;"'!"&amp;$AG$3),0)</f>
        <v>#VALUE!</v>
      </c>
      <c r="V429" s="25" t="str">
        <f t="shared" si="126"/>
        <v/>
      </c>
      <c r="W429" s="36" t="e" cm="1">
        <f t="array" aca="1" ref="W429" ca="1">IF(AND(G429=INDIRECT("'["&amp;G429&amp;"]"&amp;E429&amp;"'!"&amp;$AH$2),OR(V429=INDIRECT("'["&amp;G429&amp;"]"&amp;E429&amp;"'!"&amp;$AI$2))),INDIRECT("'["&amp;G429&amp;"]"&amp;E429&amp;"'!"&amp;$AI$3),0)</f>
        <v>#VALUE!</v>
      </c>
      <c r="AJ429" s="25">
        <v>1</v>
      </c>
      <c r="AK429" s="38">
        <f t="shared" ca="1" si="111"/>
        <v>0</v>
      </c>
      <c r="AL429" s="38">
        <f t="shared" ca="1" si="112"/>
        <v>0</v>
      </c>
      <c r="AM429" s="54" t="str">
        <f t="shared" ca="1" si="113"/>
        <v/>
      </c>
      <c r="AN429" s="25" t="e">
        <f t="shared" ca="1" si="114"/>
        <v>#VALUE!</v>
      </c>
      <c r="AO429" s="25" t="e">
        <f t="shared" ca="1" si="115"/>
        <v>#VALUE!</v>
      </c>
      <c r="AP429" s="39" t="str">
        <f t="shared" ca="1" si="116"/>
        <v/>
      </c>
      <c r="AQ429" s="46" t="str">
        <f ca="1">IF(AND(C429&lt;&gt;0, C430=0), SUM($C$2:C429)-SUM($AQ$1:AQ428), "")</f>
        <v/>
      </c>
      <c r="AR429" s="46" t="str">
        <f ca="1">IF(AND(AK429&lt;&gt;0, AK430=0), SUM($AK$2:AK429)-SUM($AR$1:AR428), "")</f>
        <v/>
      </c>
    </row>
    <row r="430" spans="1:44" ht="13.15" customHeight="1">
      <c r="A430" s="62"/>
      <c r="B430" s="68" t="str">
        <f t="shared" si="117"/>
        <v/>
      </c>
      <c r="C430" s="55" cm="1">
        <f t="array" aca="1" ref="C430" ca="1">SUM(IF(ISNUMBER(M430:U430),M430:U430,""))</f>
        <v>0</v>
      </c>
      <c r="D430" s="25" t="str">
        <f t="shared" si="118"/>
        <v/>
      </c>
      <c r="E430" s="25" t="e">
        <f t="shared" si="119"/>
        <v>#VALUE!</v>
      </c>
      <c r="F430" s="25" t="str">
        <f t="shared" si="120"/>
        <v/>
      </c>
      <c r="G430" s="25" t="str">
        <f t="shared" si="121"/>
        <v>.xlsx</v>
      </c>
      <c r="H430" s="29" t="e" cm="1">
        <f t="array" aca="1" ref="H430" ca="1">IF(AND(VALUE(E430)=INDIRECT("'["&amp;G430&amp;"]"&amp;E430&amp;"'!"&amp;$X$2),G430=INDIRECT("'["&amp;G430&amp;"]"&amp;E430&amp;"'!"&amp;$X$3)),INDIRECT("'["&amp;G430&amp;"]"&amp;E430&amp;"'!"&amp;$X$1),0)</f>
        <v>#VALUE!</v>
      </c>
      <c r="I430" s="25" t="str">
        <f t="shared" si="122"/>
        <v/>
      </c>
      <c r="J430" s="32" t="str">
        <f t="shared" si="123"/>
        <v/>
      </c>
      <c r="K430" s="25" t="str">
        <f t="shared" si="124"/>
        <v/>
      </c>
      <c r="L430" s="25" t="str">
        <f t="shared" si="125"/>
        <v/>
      </c>
      <c r="M430" s="33" t="e" cm="1">
        <f t="array" aca="1" ref="M430" ca="1">IF(AND(J430=INDIRECT("'["&amp;G430&amp;"]"&amp;E430&amp;"'!"&amp;$Y$2),G430=INDIRECT("'["&amp;G430&amp;"]"&amp;E430&amp;"'!"&amp;$AH$2)),INDIRECT("'["&amp;G430&amp;"]"&amp;E430&amp;"'!"&amp;$Y$3),0)</f>
        <v>#VALUE!</v>
      </c>
      <c r="N430" s="34" t="e" cm="1">
        <f t="array" aca="1" ref="N430" ca="1">IF(AND(G430=INDIRECT("'["&amp;G430&amp;"]"&amp;E430&amp;"'!"&amp;$AH$2),OR(K430=INDIRECT("'["&amp;G430&amp;"]"&amp;E430&amp;"'!"&amp;$Z$2))),INDIRECT("'["&amp;G430&amp;"]"&amp;E430&amp;"'!"&amp;$Z$3),0)</f>
        <v>#VALUE!</v>
      </c>
      <c r="O430" s="34" t="e" cm="1">
        <f t="array" aca="1" ref="O430" ca="1">IF(AND(G430=INDIRECT("'["&amp;G430&amp;"]"&amp;E430&amp;"'!"&amp;$AH$2),OR(L430=INDIRECT("'["&amp;G430&amp;"]"&amp;E430&amp;"'!"&amp;$AA$2))),INDIRECT("'["&amp;G430&amp;"]"&amp;E430&amp;"'!"&amp;$AA$3),0)</f>
        <v>#VALUE!</v>
      </c>
      <c r="P430" s="34" t="e" cm="1">
        <f t="array" aca="1" ref="P430" ca="1">IF(AND(G430=INDIRECT("'["&amp;G430&amp;"]"&amp;E430&amp;"'!"&amp;$AH$2),OR(VALUE(I430)=INDIRECT("'["&amp;G430&amp;"]"&amp;E430&amp;"'!"&amp;$AB$2))),INDIRECT("'["&amp;G430&amp;"]"&amp;E430&amp;"'!"&amp;$AB$3),0)</f>
        <v>#VALUE!</v>
      </c>
      <c r="Q430" s="34" t="e" cm="1">
        <f t="array" aca="1" ref="Q430" ca="1">IF(AND(G430=INDIRECT("'["&amp;G430&amp;"]"&amp;E430&amp;"'!"&amp;$AH$2),OR(VALUE(I430)=INDIRECT("'["&amp;G430&amp;"]"&amp;E430&amp;"'!"&amp;$AC$2))),INDIRECT("'["&amp;G430&amp;"]"&amp;E430&amp;"'!"&amp;$AC$3),0)</f>
        <v>#VALUE!</v>
      </c>
      <c r="R430" s="34" t="e" cm="1">
        <f t="array" aca="1" ref="R430" ca="1">IF(AND(G430=INDIRECT("'["&amp;G430&amp;"]"&amp;E430&amp;"'!"&amp;$AH$2),OR(I430=INDIRECT("'["&amp;G430&amp;"]"&amp;E430&amp;"'!"&amp;$AD$2))),INDIRECT("'["&amp;G430&amp;"]"&amp;E430&amp;"'!"&amp;$AD$3),0)</f>
        <v>#VALUE!</v>
      </c>
      <c r="S430" s="34" t="e" cm="1">
        <f t="array" aca="1" ref="S430" ca="1">IF(AND(G430=INDIRECT("'["&amp;G430&amp;"]"&amp;E430&amp;"'!"&amp;$AH$2),OR(I430=INDIRECT("'["&amp;G430&amp;"]"&amp;E430&amp;"'!"&amp;$AE$2))),INDIRECT("'["&amp;G430&amp;"]"&amp;E430&amp;"'!"&amp;$AE$3),0)</f>
        <v>#VALUE!</v>
      </c>
      <c r="T430" s="35" t="e" cm="1">
        <f t="array" aca="1" ref="T430" ca="1">IF(AND(G430=INDIRECT("'["&amp;G430&amp;"]"&amp;E430&amp;"'!"&amp;$AH$2),OR(I430=INDIRECT("'["&amp;G430&amp;"]"&amp;E430&amp;"'!"&amp;$AF$2))),INDIRECT("'["&amp;G430&amp;"]"&amp;E430&amp;"'!"&amp;$AF$3),0)</f>
        <v>#VALUE!</v>
      </c>
      <c r="U430" s="34" t="e" cm="1">
        <f t="array" aca="1" ref="U430" ca="1">IF(AND(G430=INDIRECT("'["&amp;G430&amp;"]"&amp;E430&amp;"'!"&amp;$AH$2),OR(I430=INDIRECT("'["&amp;G430&amp;"]"&amp;E430&amp;"'!"&amp;$AG$2))),INDIRECT("'["&amp;G430&amp;"]"&amp;E430&amp;"'!"&amp;$AG$3),0)</f>
        <v>#VALUE!</v>
      </c>
      <c r="V430" s="25" t="str">
        <f t="shared" si="126"/>
        <v/>
      </c>
      <c r="W430" s="36" t="e" cm="1">
        <f t="array" aca="1" ref="W430" ca="1">IF(AND(G430=INDIRECT("'["&amp;G430&amp;"]"&amp;E430&amp;"'!"&amp;$AH$2),OR(V430=INDIRECT("'["&amp;G430&amp;"]"&amp;E430&amp;"'!"&amp;$AI$2))),INDIRECT("'["&amp;G430&amp;"]"&amp;E430&amp;"'!"&amp;$AI$3),0)</f>
        <v>#VALUE!</v>
      </c>
      <c r="AJ430" s="25">
        <v>1</v>
      </c>
      <c r="AK430" s="38">
        <f t="shared" ca="1" si="111"/>
        <v>0</v>
      </c>
      <c r="AL430" s="38">
        <f t="shared" ca="1" si="112"/>
        <v>0</v>
      </c>
      <c r="AM430" s="54" t="str">
        <f t="shared" ca="1" si="113"/>
        <v/>
      </c>
      <c r="AN430" s="25" t="e">
        <f t="shared" ca="1" si="114"/>
        <v>#VALUE!</v>
      </c>
      <c r="AO430" s="25" t="e">
        <f t="shared" ca="1" si="115"/>
        <v>#VALUE!</v>
      </c>
      <c r="AP430" s="39" t="str">
        <f t="shared" ca="1" si="116"/>
        <v/>
      </c>
      <c r="AQ430" s="46" t="str">
        <f ca="1">IF(AND(C430&lt;&gt;0, C431=0), SUM($C$2:C430)-SUM($AQ$1:AQ429), "")</f>
        <v/>
      </c>
      <c r="AR430" s="46" t="str">
        <f ca="1">IF(AND(AK430&lt;&gt;0, AK431=0), SUM($AK$2:AK430)-SUM($AR$1:AR429), "")</f>
        <v/>
      </c>
    </row>
    <row r="431" spans="1:44" ht="13.15" customHeight="1">
      <c r="A431" s="62"/>
      <c r="B431" s="68" t="str">
        <f t="shared" si="117"/>
        <v/>
      </c>
      <c r="C431" s="55" cm="1">
        <f t="array" aca="1" ref="C431" ca="1">SUM(IF(ISNUMBER(M431:U431),M431:U431,""))</f>
        <v>0</v>
      </c>
      <c r="D431" s="25" t="str">
        <f t="shared" si="118"/>
        <v/>
      </c>
      <c r="E431" s="25" t="e">
        <f t="shared" si="119"/>
        <v>#VALUE!</v>
      </c>
      <c r="F431" s="25" t="str">
        <f t="shared" si="120"/>
        <v/>
      </c>
      <c r="G431" s="25" t="str">
        <f t="shared" si="121"/>
        <v>.xlsx</v>
      </c>
      <c r="H431" s="29" t="e" cm="1">
        <f t="array" aca="1" ref="H431" ca="1">IF(AND(VALUE(E431)=INDIRECT("'["&amp;G431&amp;"]"&amp;E431&amp;"'!"&amp;$X$2),G431=INDIRECT("'["&amp;G431&amp;"]"&amp;E431&amp;"'!"&amp;$X$3)),INDIRECT("'["&amp;G431&amp;"]"&amp;E431&amp;"'!"&amp;$X$1),0)</f>
        <v>#VALUE!</v>
      </c>
      <c r="I431" s="25" t="str">
        <f t="shared" si="122"/>
        <v/>
      </c>
      <c r="J431" s="32" t="str">
        <f t="shared" si="123"/>
        <v/>
      </c>
      <c r="K431" s="25" t="str">
        <f t="shared" si="124"/>
        <v/>
      </c>
      <c r="L431" s="25" t="str">
        <f t="shared" si="125"/>
        <v/>
      </c>
      <c r="M431" s="33" t="e" cm="1">
        <f t="array" aca="1" ref="M431" ca="1">IF(AND(J431=INDIRECT("'["&amp;G431&amp;"]"&amp;E431&amp;"'!"&amp;$Y$2),G431=INDIRECT("'["&amp;G431&amp;"]"&amp;E431&amp;"'!"&amp;$AH$2)),INDIRECT("'["&amp;G431&amp;"]"&amp;E431&amp;"'!"&amp;$Y$3),0)</f>
        <v>#VALUE!</v>
      </c>
      <c r="N431" s="34" t="e" cm="1">
        <f t="array" aca="1" ref="N431" ca="1">IF(AND(G431=INDIRECT("'["&amp;G431&amp;"]"&amp;E431&amp;"'!"&amp;$AH$2),OR(K431=INDIRECT("'["&amp;G431&amp;"]"&amp;E431&amp;"'!"&amp;$Z$2))),INDIRECT("'["&amp;G431&amp;"]"&amp;E431&amp;"'!"&amp;$Z$3),0)</f>
        <v>#VALUE!</v>
      </c>
      <c r="O431" s="34" t="e" cm="1">
        <f t="array" aca="1" ref="O431" ca="1">IF(AND(G431=INDIRECT("'["&amp;G431&amp;"]"&amp;E431&amp;"'!"&amp;$AH$2),OR(L431=INDIRECT("'["&amp;G431&amp;"]"&amp;E431&amp;"'!"&amp;$AA$2))),INDIRECT("'["&amp;G431&amp;"]"&amp;E431&amp;"'!"&amp;$AA$3),0)</f>
        <v>#VALUE!</v>
      </c>
      <c r="P431" s="34" t="e" cm="1">
        <f t="array" aca="1" ref="P431" ca="1">IF(AND(G431=INDIRECT("'["&amp;G431&amp;"]"&amp;E431&amp;"'!"&amp;$AH$2),OR(VALUE(I431)=INDIRECT("'["&amp;G431&amp;"]"&amp;E431&amp;"'!"&amp;$AB$2))),INDIRECT("'["&amp;G431&amp;"]"&amp;E431&amp;"'!"&amp;$AB$3),0)</f>
        <v>#VALUE!</v>
      </c>
      <c r="Q431" s="34" t="e" cm="1">
        <f t="array" aca="1" ref="Q431" ca="1">IF(AND(G431=INDIRECT("'["&amp;G431&amp;"]"&amp;E431&amp;"'!"&amp;$AH$2),OR(VALUE(I431)=INDIRECT("'["&amp;G431&amp;"]"&amp;E431&amp;"'!"&amp;$AC$2))),INDIRECT("'["&amp;G431&amp;"]"&amp;E431&amp;"'!"&amp;$AC$3),0)</f>
        <v>#VALUE!</v>
      </c>
      <c r="R431" s="34" t="e" cm="1">
        <f t="array" aca="1" ref="R431" ca="1">IF(AND(G431=INDIRECT("'["&amp;G431&amp;"]"&amp;E431&amp;"'!"&amp;$AH$2),OR(I431=INDIRECT("'["&amp;G431&amp;"]"&amp;E431&amp;"'!"&amp;$AD$2))),INDIRECT("'["&amp;G431&amp;"]"&amp;E431&amp;"'!"&amp;$AD$3),0)</f>
        <v>#VALUE!</v>
      </c>
      <c r="S431" s="34" t="e" cm="1">
        <f t="array" aca="1" ref="S431" ca="1">IF(AND(G431=INDIRECT("'["&amp;G431&amp;"]"&amp;E431&amp;"'!"&amp;$AH$2),OR(I431=INDIRECT("'["&amp;G431&amp;"]"&amp;E431&amp;"'!"&amp;$AE$2))),INDIRECT("'["&amp;G431&amp;"]"&amp;E431&amp;"'!"&amp;$AE$3),0)</f>
        <v>#VALUE!</v>
      </c>
      <c r="T431" s="35" t="e" cm="1">
        <f t="array" aca="1" ref="T431" ca="1">IF(AND(G431=INDIRECT("'["&amp;G431&amp;"]"&amp;E431&amp;"'!"&amp;$AH$2),OR(I431=INDIRECT("'["&amp;G431&amp;"]"&amp;E431&amp;"'!"&amp;$AF$2))),INDIRECT("'["&amp;G431&amp;"]"&amp;E431&amp;"'!"&amp;$AF$3),0)</f>
        <v>#VALUE!</v>
      </c>
      <c r="U431" s="34" t="e" cm="1">
        <f t="array" aca="1" ref="U431" ca="1">IF(AND(G431=INDIRECT("'["&amp;G431&amp;"]"&amp;E431&amp;"'!"&amp;$AH$2),OR(I431=INDIRECT("'["&amp;G431&amp;"]"&amp;E431&amp;"'!"&amp;$AG$2))),INDIRECT("'["&amp;G431&amp;"]"&amp;E431&amp;"'!"&amp;$AG$3),0)</f>
        <v>#VALUE!</v>
      </c>
      <c r="V431" s="25" t="str">
        <f t="shared" si="126"/>
        <v/>
      </c>
      <c r="W431" s="36" t="e" cm="1">
        <f t="array" aca="1" ref="W431" ca="1">IF(AND(G431=INDIRECT("'["&amp;G431&amp;"]"&amp;E431&amp;"'!"&amp;$AH$2),OR(V431=INDIRECT("'["&amp;G431&amp;"]"&amp;E431&amp;"'!"&amp;$AI$2))),INDIRECT("'["&amp;G431&amp;"]"&amp;E431&amp;"'!"&amp;$AI$3),0)</f>
        <v>#VALUE!</v>
      </c>
      <c r="AJ431" s="25">
        <v>1</v>
      </c>
      <c r="AK431" s="38">
        <f t="shared" ca="1" si="111"/>
        <v>0</v>
      </c>
      <c r="AL431" s="38">
        <f t="shared" ca="1" si="112"/>
        <v>0</v>
      </c>
      <c r="AM431" s="54" t="str">
        <f t="shared" ca="1" si="113"/>
        <v/>
      </c>
      <c r="AN431" s="25" t="e">
        <f t="shared" ca="1" si="114"/>
        <v>#VALUE!</v>
      </c>
      <c r="AO431" s="25" t="e">
        <f t="shared" ca="1" si="115"/>
        <v>#VALUE!</v>
      </c>
      <c r="AP431" s="39" t="str">
        <f t="shared" ca="1" si="116"/>
        <v/>
      </c>
      <c r="AQ431" s="46" t="str">
        <f ca="1">IF(AND(C431&lt;&gt;0, C432=0), SUM($C$2:C431)-SUM($AQ$1:AQ430), "")</f>
        <v/>
      </c>
      <c r="AR431" s="46" t="str">
        <f ca="1">IF(AND(AK431&lt;&gt;0, AK432=0), SUM($AK$2:AK431)-SUM($AR$1:AR430), "")</f>
        <v/>
      </c>
    </row>
    <row r="432" spans="1:44" ht="13.15" customHeight="1">
      <c r="A432" s="62"/>
      <c r="B432" s="68" t="str">
        <f t="shared" si="117"/>
        <v/>
      </c>
      <c r="C432" s="55" cm="1">
        <f t="array" aca="1" ref="C432" ca="1">SUM(IF(ISNUMBER(M432:U432),M432:U432,""))</f>
        <v>0</v>
      </c>
      <c r="D432" s="25" t="str">
        <f t="shared" si="118"/>
        <v/>
      </c>
      <c r="E432" s="25" t="e">
        <f t="shared" si="119"/>
        <v>#VALUE!</v>
      </c>
      <c r="F432" s="25" t="str">
        <f t="shared" si="120"/>
        <v/>
      </c>
      <c r="G432" s="25" t="str">
        <f t="shared" si="121"/>
        <v>.xlsx</v>
      </c>
      <c r="H432" s="29" t="e" cm="1">
        <f t="array" aca="1" ref="H432" ca="1">IF(AND(VALUE(E432)=INDIRECT("'["&amp;G432&amp;"]"&amp;E432&amp;"'!"&amp;$X$2),G432=INDIRECT("'["&amp;G432&amp;"]"&amp;E432&amp;"'!"&amp;$X$3)),INDIRECT("'["&amp;G432&amp;"]"&amp;E432&amp;"'!"&amp;$X$1),0)</f>
        <v>#VALUE!</v>
      </c>
      <c r="I432" s="25" t="str">
        <f t="shared" si="122"/>
        <v/>
      </c>
      <c r="J432" s="32" t="str">
        <f t="shared" si="123"/>
        <v/>
      </c>
      <c r="K432" s="25" t="str">
        <f t="shared" si="124"/>
        <v/>
      </c>
      <c r="L432" s="25" t="str">
        <f t="shared" si="125"/>
        <v/>
      </c>
      <c r="M432" s="33" t="e" cm="1">
        <f t="array" aca="1" ref="M432" ca="1">IF(AND(J432=INDIRECT("'["&amp;G432&amp;"]"&amp;E432&amp;"'!"&amp;$Y$2),G432=INDIRECT("'["&amp;G432&amp;"]"&amp;E432&amp;"'!"&amp;$AH$2)),INDIRECT("'["&amp;G432&amp;"]"&amp;E432&amp;"'!"&amp;$Y$3),0)</f>
        <v>#VALUE!</v>
      </c>
      <c r="N432" s="34" t="e" cm="1">
        <f t="array" aca="1" ref="N432" ca="1">IF(AND(G432=INDIRECT("'["&amp;G432&amp;"]"&amp;E432&amp;"'!"&amp;$AH$2),OR(K432=INDIRECT("'["&amp;G432&amp;"]"&amp;E432&amp;"'!"&amp;$Z$2))),INDIRECT("'["&amp;G432&amp;"]"&amp;E432&amp;"'!"&amp;$Z$3),0)</f>
        <v>#VALUE!</v>
      </c>
      <c r="O432" s="34" t="e" cm="1">
        <f t="array" aca="1" ref="O432" ca="1">IF(AND(G432=INDIRECT("'["&amp;G432&amp;"]"&amp;E432&amp;"'!"&amp;$AH$2),OR(L432=INDIRECT("'["&amp;G432&amp;"]"&amp;E432&amp;"'!"&amp;$AA$2))),INDIRECT("'["&amp;G432&amp;"]"&amp;E432&amp;"'!"&amp;$AA$3),0)</f>
        <v>#VALUE!</v>
      </c>
      <c r="P432" s="34" t="e" cm="1">
        <f t="array" aca="1" ref="P432" ca="1">IF(AND(G432=INDIRECT("'["&amp;G432&amp;"]"&amp;E432&amp;"'!"&amp;$AH$2),OR(VALUE(I432)=INDIRECT("'["&amp;G432&amp;"]"&amp;E432&amp;"'!"&amp;$AB$2))),INDIRECT("'["&amp;G432&amp;"]"&amp;E432&amp;"'!"&amp;$AB$3),0)</f>
        <v>#VALUE!</v>
      </c>
      <c r="Q432" s="34" t="e" cm="1">
        <f t="array" aca="1" ref="Q432" ca="1">IF(AND(G432=INDIRECT("'["&amp;G432&amp;"]"&amp;E432&amp;"'!"&amp;$AH$2),OR(VALUE(I432)=INDIRECT("'["&amp;G432&amp;"]"&amp;E432&amp;"'!"&amp;$AC$2))),INDIRECT("'["&amp;G432&amp;"]"&amp;E432&amp;"'!"&amp;$AC$3),0)</f>
        <v>#VALUE!</v>
      </c>
      <c r="R432" s="34" t="e" cm="1">
        <f t="array" aca="1" ref="R432" ca="1">IF(AND(G432=INDIRECT("'["&amp;G432&amp;"]"&amp;E432&amp;"'!"&amp;$AH$2),OR(I432=INDIRECT("'["&amp;G432&amp;"]"&amp;E432&amp;"'!"&amp;$AD$2))),INDIRECT("'["&amp;G432&amp;"]"&amp;E432&amp;"'!"&amp;$AD$3),0)</f>
        <v>#VALUE!</v>
      </c>
      <c r="S432" s="34" t="e" cm="1">
        <f t="array" aca="1" ref="S432" ca="1">IF(AND(G432=INDIRECT("'["&amp;G432&amp;"]"&amp;E432&amp;"'!"&amp;$AH$2),OR(I432=INDIRECT("'["&amp;G432&amp;"]"&amp;E432&amp;"'!"&amp;$AE$2))),INDIRECT("'["&amp;G432&amp;"]"&amp;E432&amp;"'!"&amp;$AE$3),0)</f>
        <v>#VALUE!</v>
      </c>
      <c r="T432" s="35" t="e" cm="1">
        <f t="array" aca="1" ref="T432" ca="1">IF(AND(G432=INDIRECT("'["&amp;G432&amp;"]"&amp;E432&amp;"'!"&amp;$AH$2),OR(I432=INDIRECT("'["&amp;G432&amp;"]"&amp;E432&amp;"'!"&amp;$AF$2))),INDIRECT("'["&amp;G432&amp;"]"&amp;E432&amp;"'!"&amp;$AF$3),0)</f>
        <v>#VALUE!</v>
      </c>
      <c r="U432" s="34" t="e" cm="1">
        <f t="array" aca="1" ref="U432" ca="1">IF(AND(G432=INDIRECT("'["&amp;G432&amp;"]"&amp;E432&amp;"'!"&amp;$AH$2),OR(I432=INDIRECT("'["&amp;G432&amp;"]"&amp;E432&amp;"'!"&amp;$AG$2))),INDIRECT("'["&amp;G432&amp;"]"&amp;E432&amp;"'!"&amp;$AG$3),0)</f>
        <v>#VALUE!</v>
      </c>
      <c r="V432" s="25" t="str">
        <f t="shared" si="126"/>
        <v/>
      </c>
      <c r="W432" s="36" t="e" cm="1">
        <f t="array" aca="1" ref="W432" ca="1">IF(AND(G432=INDIRECT("'["&amp;G432&amp;"]"&amp;E432&amp;"'!"&amp;$AH$2),OR(V432=INDIRECT("'["&amp;G432&amp;"]"&amp;E432&amp;"'!"&amp;$AI$2))),INDIRECT("'["&amp;G432&amp;"]"&amp;E432&amp;"'!"&amp;$AI$3),0)</f>
        <v>#VALUE!</v>
      </c>
      <c r="AJ432" s="25">
        <v>1</v>
      </c>
      <c r="AK432" s="38">
        <f t="shared" ca="1" si="111"/>
        <v>0</v>
      </c>
      <c r="AL432" s="38">
        <f t="shared" ca="1" si="112"/>
        <v>0</v>
      </c>
      <c r="AM432" s="54" t="str">
        <f t="shared" ca="1" si="113"/>
        <v/>
      </c>
      <c r="AN432" s="25" t="e">
        <f t="shared" ca="1" si="114"/>
        <v>#VALUE!</v>
      </c>
      <c r="AO432" s="25" t="e">
        <f t="shared" ca="1" si="115"/>
        <v>#VALUE!</v>
      </c>
      <c r="AP432" s="39" t="str">
        <f t="shared" ca="1" si="116"/>
        <v/>
      </c>
      <c r="AQ432" s="46" t="str">
        <f ca="1">IF(AND(C432&lt;&gt;0, C433=0), SUM($C$2:C432)-SUM($AQ$1:AQ431), "")</f>
        <v/>
      </c>
      <c r="AR432" s="46" t="str">
        <f ca="1">IF(AND(AK432&lt;&gt;0, AK433=0), SUM($AK$2:AK432)-SUM($AR$1:AR431), "")</f>
        <v/>
      </c>
    </row>
    <row r="433" spans="1:44" ht="13.15" customHeight="1">
      <c r="A433" s="62"/>
      <c r="B433" s="68" t="str">
        <f t="shared" si="117"/>
        <v/>
      </c>
      <c r="C433" s="55" cm="1">
        <f t="array" aca="1" ref="C433" ca="1">SUM(IF(ISNUMBER(M433:U433),M433:U433,""))</f>
        <v>0</v>
      </c>
      <c r="D433" s="25" t="str">
        <f t="shared" si="118"/>
        <v/>
      </c>
      <c r="E433" s="25" t="e">
        <f t="shared" si="119"/>
        <v>#VALUE!</v>
      </c>
      <c r="F433" s="25" t="str">
        <f t="shared" si="120"/>
        <v/>
      </c>
      <c r="G433" s="25" t="str">
        <f t="shared" si="121"/>
        <v>.xlsx</v>
      </c>
      <c r="H433" s="29" t="e" cm="1">
        <f t="array" aca="1" ref="H433" ca="1">IF(AND(VALUE(E433)=INDIRECT("'["&amp;G433&amp;"]"&amp;E433&amp;"'!"&amp;$X$2),G433=INDIRECT("'["&amp;G433&amp;"]"&amp;E433&amp;"'!"&amp;$X$3)),INDIRECT("'["&amp;G433&amp;"]"&amp;E433&amp;"'!"&amp;$X$1),0)</f>
        <v>#VALUE!</v>
      </c>
      <c r="I433" s="25" t="str">
        <f t="shared" si="122"/>
        <v/>
      </c>
      <c r="J433" s="32" t="str">
        <f t="shared" si="123"/>
        <v/>
      </c>
      <c r="K433" s="25" t="str">
        <f t="shared" si="124"/>
        <v/>
      </c>
      <c r="L433" s="25" t="str">
        <f t="shared" si="125"/>
        <v/>
      </c>
      <c r="M433" s="33" t="e" cm="1">
        <f t="array" aca="1" ref="M433" ca="1">IF(AND(J433=INDIRECT("'["&amp;G433&amp;"]"&amp;E433&amp;"'!"&amp;$Y$2),G433=INDIRECT("'["&amp;G433&amp;"]"&amp;E433&amp;"'!"&amp;$AH$2)),INDIRECT("'["&amp;G433&amp;"]"&amp;E433&amp;"'!"&amp;$Y$3),0)</f>
        <v>#VALUE!</v>
      </c>
      <c r="N433" s="34" t="e" cm="1">
        <f t="array" aca="1" ref="N433" ca="1">IF(AND(G433=INDIRECT("'["&amp;G433&amp;"]"&amp;E433&amp;"'!"&amp;$AH$2),OR(K433=INDIRECT("'["&amp;G433&amp;"]"&amp;E433&amp;"'!"&amp;$Z$2))),INDIRECT("'["&amp;G433&amp;"]"&amp;E433&amp;"'!"&amp;$Z$3),0)</f>
        <v>#VALUE!</v>
      </c>
      <c r="O433" s="34" t="e" cm="1">
        <f t="array" aca="1" ref="O433" ca="1">IF(AND(G433=INDIRECT("'["&amp;G433&amp;"]"&amp;E433&amp;"'!"&amp;$AH$2),OR(L433=INDIRECT("'["&amp;G433&amp;"]"&amp;E433&amp;"'!"&amp;$AA$2))),INDIRECT("'["&amp;G433&amp;"]"&amp;E433&amp;"'!"&amp;$AA$3),0)</f>
        <v>#VALUE!</v>
      </c>
      <c r="P433" s="34" t="e" cm="1">
        <f t="array" aca="1" ref="P433" ca="1">IF(AND(G433=INDIRECT("'["&amp;G433&amp;"]"&amp;E433&amp;"'!"&amp;$AH$2),OR(VALUE(I433)=INDIRECT("'["&amp;G433&amp;"]"&amp;E433&amp;"'!"&amp;$AB$2))),INDIRECT("'["&amp;G433&amp;"]"&amp;E433&amp;"'!"&amp;$AB$3),0)</f>
        <v>#VALUE!</v>
      </c>
      <c r="Q433" s="34" t="e" cm="1">
        <f t="array" aca="1" ref="Q433" ca="1">IF(AND(G433=INDIRECT("'["&amp;G433&amp;"]"&amp;E433&amp;"'!"&amp;$AH$2),OR(VALUE(I433)=INDIRECT("'["&amp;G433&amp;"]"&amp;E433&amp;"'!"&amp;$AC$2))),INDIRECT("'["&amp;G433&amp;"]"&amp;E433&amp;"'!"&amp;$AC$3),0)</f>
        <v>#VALUE!</v>
      </c>
      <c r="R433" s="34" t="e" cm="1">
        <f t="array" aca="1" ref="R433" ca="1">IF(AND(G433=INDIRECT("'["&amp;G433&amp;"]"&amp;E433&amp;"'!"&amp;$AH$2),OR(I433=INDIRECT("'["&amp;G433&amp;"]"&amp;E433&amp;"'!"&amp;$AD$2))),INDIRECT("'["&amp;G433&amp;"]"&amp;E433&amp;"'!"&amp;$AD$3),0)</f>
        <v>#VALUE!</v>
      </c>
      <c r="S433" s="34" t="e" cm="1">
        <f t="array" aca="1" ref="S433" ca="1">IF(AND(G433=INDIRECT("'["&amp;G433&amp;"]"&amp;E433&amp;"'!"&amp;$AH$2),OR(I433=INDIRECT("'["&amp;G433&amp;"]"&amp;E433&amp;"'!"&amp;$AE$2))),INDIRECT("'["&amp;G433&amp;"]"&amp;E433&amp;"'!"&amp;$AE$3),0)</f>
        <v>#VALUE!</v>
      </c>
      <c r="T433" s="35" t="e" cm="1">
        <f t="array" aca="1" ref="T433" ca="1">IF(AND(G433=INDIRECT("'["&amp;G433&amp;"]"&amp;E433&amp;"'!"&amp;$AH$2),OR(I433=INDIRECT("'["&amp;G433&amp;"]"&amp;E433&amp;"'!"&amp;$AF$2))),INDIRECT("'["&amp;G433&amp;"]"&amp;E433&amp;"'!"&amp;$AF$3),0)</f>
        <v>#VALUE!</v>
      </c>
      <c r="U433" s="34" t="e" cm="1">
        <f t="array" aca="1" ref="U433" ca="1">IF(AND(G433=INDIRECT("'["&amp;G433&amp;"]"&amp;E433&amp;"'!"&amp;$AH$2),OR(I433=INDIRECT("'["&amp;G433&amp;"]"&amp;E433&amp;"'!"&amp;$AG$2))),INDIRECT("'["&amp;G433&amp;"]"&amp;E433&amp;"'!"&amp;$AG$3),0)</f>
        <v>#VALUE!</v>
      </c>
      <c r="V433" s="25" t="str">
        <f t="shared" si="126"/>
        <v/>
      </c>
      <c r="W433" s="36" t="e" cm="1">
        <f t="array" aca="1" ref="W433" ca="1">IF(AND(G433=INDIRECT("'["&amp;G433&amp;"]"&amp;E433&amp;"'!"&amp;$AH$2),OR(V433=INDIRECT("'["&amp;G433&amp;"]"&amp;E433&amp;"'!"&amp;$AI$2))),INDIRECT("'["&amp;G433&amp;"]"&amp;E433&amp;"'!"&amp;$AI$3),0)</f>
        <v>#VALUE!</v>
      </c>
      <c r="AJ433" s="25">
        <v>1</v>
      </c>
      <c r="AK433" s="38">
        <f t="shared" ca="1" si="111"/>
        <v>0</v>
      </c>
      <c r="AL433" s="38">
        <f t="shared" ca="1" si="112"/>
        <v>0</v>
      </c>
      <c r="AM433" s="54" t="str">
        <f t="shared" ca="1" si="113"/>
        <v/>
      </c>
      <c r="AN433" s="25" t="e">
        <f t="shared" ca="1" si="114"/>
        <v>#VALUE!</v>
      </c>
      <c r="AO433" s="25" t="e">
        <f t="shared" ca="1" si="115"/>
        <v>#VALUE!</v>
      </c>
      <c r="AP433" s="39" t="str">
        <f t="shared" ca="1" si="116"/>
        <v/>
      </c>
      <c r="AQ433" s="46" t="str">
        <f ca="1">IF(AND(C433&lt;&gt;0, C434=0), SUM($C$2:C433)-SUM($AQ$1:AQ432), "")</f>
        <v/>
      </c>
      <c r="AR433" s="46" t="str">
        <f ca="1">IF(AND(AK433&lt;&gt;0, AK434=0), SUM($AK$2:AK433)-SUM($AR$1:AR432), "")</f>
        <v/>
      </c>
    </row>
    <row r="434" spans="1:44" ht="13.15" customHeight="1">
      <c r="A434" s="62"/>
      <c r="B434" s="68" t="str">
        <f t="shared" si="117"/>
        <v/>
      </c>
      <c r="C434" s="55" cm="1">
        <f t="array" aca="1" ref="C434" ca="1">SUM(IF(ISNUMBER(M434:U434),M434:U434,""))</f>
        <v>0</v>
      </c>
      <c r="D434" s="25" t="str">
        <f t="shared" si="118"/>
        <v/>
      </c>
      <c r="E434" s="25" t="e">
        <f t="shared" si="119"/>
        <v>#VALUE!</v>
      </c>
      <c r="F434" s="25" t="str">
        <f t="shared" si="120"/>
        <v/>
      </c>
      <c r="G434" s="25" t="str">
        <f t="shared" si="121"/>
        <v>.xlsx</v>
      </c>
      <c r="H434" s="29" t="e" cm="1">
        <f t="array" aca="1" ref="H434" ca="1">IF(AND(VALUE(E434)=INDIRECT("'["&amp;G434&amp;"]"&amp;E434&amp;"'!"&amp;$X$2),G434=INDIRECT("'["&amp;G434&amp;"]"&amp;E434&amp;"'!"&amp;$X$3)),INDIRECT("'["&amp;G434&amp;"]"&amp;E434&amp;"'!"&amp;$X$1),0)</f>
        <v>#VALUE!</v>
      </c>
      <c r="I434" s="25" t="str">
        <f t="shared" si="122"/>
        <v/>
      </c>
      <c r="J434" s="32" t="str">
        <f t="shared" si="123"/>
        <v/>
      </c>
      <c r="K434" s="25" t="str">
        <f t="shared" si="124"/>
        <v/>
      </c>
      <c r="L434" s="25" t="str">
        <f t="shared" si="125"/>
        <v/>
      </c>
      <c r="M434" s="33" t="e" cm="1">
        <f t="array" aca="1" ref="M434" ca="1">IF(AND(J434=INDIRECT("'["&amp;G434&amp;"]"&amp;E434&amp;"'!"&amp;$Y$2),G434=INDIRECT("'["&amp;G434&amp;"]"&amp;E434&amp;"'!"&amp;$AH$2)),INDIRECT("'["&amp;G434&amp;"]"&amp;E434&amp;"'!"&amp;$Y$3),0)</f>
        <v>#VALUE!</v>
      </c>
      <c r="N434" s="34" t="e" cm="1">
        <f t="array" aca="1" ref="N434" ca="1">IF(AND(G434=INDIRECT("'["&amp;G434&amp;"]"&amp;E434&amp;"'!"&amp;$AH$2),OR(K434=INDIRECT("'["&amp;G434&amp;"]"&amp;E434&amp;"'!"&amp;$Z$2))),INDIRECT("'["&amp;G434&amp;"]"&amp;E434&amp;"'!"&amp;$Z$3),0)</f>
        <v>#VALUE!</v>
      </c>
      <c r="O434" s="34" t="e" cm="1">
        <f t="array" aca="1" ref="O434" ca="1">IF(AND(G434=INDIRECT("'["&amp;G434&amp;"]"&amp;E434&amp;"'!"&amp;$AH$2),OR(L434=INDIRECT("'["&amp;G434&amp;"]"&amp;E434&amp;"'!"&amp;$AA$2))),INDIRECT("'["&amp;G434&amp;"]"&amp;E434&amp;"'!"&amp;$AA$3),0)</f>
        <v>#VALUE!</v>
      </c>
      <c r="P434" s="34" t="e" cm="1">
        <f t="array" aca="1" ref="P434" ca="1">IF(AND(G434=INDIRECT("'["&amp;G434&amp;"]"&amp;E434&amp;"'!"&amp;$AH$2),OR(VALUE(I434)=INDIRECT("'["&amp;G434&amp;"]"&amp;E434&amp;"'!"&amp;$AB$2))),INDIRECT("'["&amp;G434&amp;"]"&amp;E434&amp;"'!"&amp;$AB$3),0)</f>
        <v>#VALUE!</v>
      </c>
      <c r="Q434" s="34" t="e" cm="1">
        <f t="array" aca="1" ref="Q434" ca="1">IF(AND(G434=INDIRECT("'["&amp;G434&amp;"]"&amp;E434&amp;"'!"&amp;$AH$2),OR(VALUE(I434)=INDIRECT("'["&amp;G434&amp;"]"&amp;E434&amp;"'!"&amp;$AC$2))),INDIRECT("'["&amp;G434&amp;"]"&amp;E434&amp;"'!"&amp;$AC$3),0)</f>
        <v>#VALUE!</v>
      </c>
      <c r="R434" s="34" t="e" cm="1">
        <f t="array" aca="1" ref="R434" ca="1">IF(AND(G434=INDIRECT("'["&amp;G434&amp;"]"&amp;E434&amp;"'!"&amp;$AH$2),OR(I434=INDIRECT("'["&amp;G434&amp;"]"&amp;E434&amp;"'!"&amp;$AD$2))),INDIRECT("'["&amp;G434&amp;"]"&amp;E434&amp;"'!"&amp;$AD$3),0)</f>
        <v>#VALUE!</v>
      </c>
      <c r="S434" s="34" t="e" cm="1">
        <f t="array" aca="1" ref="S434" ca="1">IF(AND(G434=INDIRECT("'["&amp;G434&amp;"]"&amp;E434&amp;"'!"&amp;$AH$2),OR(I434=INDIRECT("'["&amp;G434&amp;"]"&amp;E434&amp;"'!"&amp;$AE$2))),INDIRECT("'["&amp;G434&amp;"]"&amp;E434&amp;"'!"&amp;$AE$3),0)</f>
        <v>#VALUE!</v>
      </c>
      <c r="T434" s="35" t="e" cm="1">
        <f t="array" aca="1" ref="T434" ca="1">IF(AND(G434=INDIRECT("'["&amp;G434&amp;"]"&amp;E434&amp;"'!"&amp;$AH$2),OR(I434=INDIRECT("'["&amp;G434&amp;"]"&amp;E434&amp;"'!"&amp;$AF$2))),INDIRECT("'["&amp;G434&amp;"]"&amp;E434&amp;"'!"&amp;$AF$3),0)</f>
        <v>#VALUE!</v>
      </c>
      <c r="U434" s="34" t="e" cm="1">
        <f t="array" aca="1" ref="U434" ca="1">IF(AND(G434=INDIRECT("'["&amp;G434&amp;"]"&amp;E434&amp;"'!"&amp;$AH$2),OR(I434=INDIRECT("'["&amp;G434&amp;"]"&amp;E434&amp;"'!"&amp;$AG$2))),INDIRECT("'["&amp;G434&amp;"]"&amp;E434&amp;"'!"&amp;$AG$3),0)</f>
        <v>#VALUE!</v>
      </c>
      <c r="V434" s="25" t="str">
        <f t="shared" si="126"/>
        <v/>
      </c>
      <c r="W434" s="36" t="e" cm="1">
        <f t="array" aca="1" ref="W434" ca="1">IF(AND(G434=INDIRECT("'["&amp;G434&amp;"]"&amp;E434&amp;"'!"&amp;$AH$2),OR(V434=INDIRECT("'["&amp;G434&amp;"]"&amp;E434&amp;"'!"&amp;$AI$2))),INDIRECT("'["&amp;G434&amp;"]"&amp;E434&amp;"'!"&amp;$AI$3),0)</f>
        <v>#VALUE!</v>
      </c>
      <c r="AJ434" s="25">
        <v>1</v>
      </c>
      <c r="AK434" s="38">
        <f t="shared" ca="1" si="111"/>
        <v>0</v>
      </c>
      <c r="AL434" s="38">
        <f t="shared" ca="1" si="112"/>
        <v>0</v>
      </c>
      <c r="AM434" s="54" t="str">
        <f t="shared" ca="1" si="113"/>
        <v/>
      </c>
      <c r="AN434" s="25" t="e">
        <f t="shared" ca="1" si="114"/>
        <v>#VALUE!</v>
      </c>
      <c r="AO434" s="25" t="e">
        <f t="shared" ca="1" si="115"/>
        <v>#VALUE!</v>
      </c>
      <c r="AP434" s="39" t="str">
        <f t="shared" ca="1" si="116"/>
        <v/>
      </c>
      <c r="AQ434" s="46" t="str">
        <f ca="1">IF(AND(C434&lt;&gt;0, C435=0), SUM($C$2:C434)-SUM($AQ$1:AQ433), "")</f>
        <v/>
      </c>
      <c r="AR434" s="46" t="str">
        <f ca="1">IF(AND(AK434&lt;&gt;0, AK435=0), SUM($AK$2:AK434)-SUM($AR$1:AR433), "")</f>
        <v/>
      </c>
    </row>
    <row r="435" spans="1:44" ht="13.15" customHeight="1">
      <c r="A435" s="62"/>
      <c r="B435" s="68" t="str">
        <f t="shared" si="117"/>
        <v/>
      </c>
      <c r="C435" s="55" cm="1">
        <f t="array" aca="1" ref="C435" ca="1">SUM(IF(ISNUMBER(M435:U435),M435:U435,""))</f>
        <v>0</v>
      </c>
      <c r="D435" s="25" t="str">
        <f t="shared" si="118"/>
        <v/>
      </c>
      <c r="E435" s="25" t="e">
        <f t="shared" si="119"/>
        <v>#VALUE!</v>
      </c>
      <c r="F435" s="25" t="str">
        <f t="shared" si="120"/>
        <v/>
      </c>
      <c r="G435" s="25" t="str">
        <f t="shared" si="121"/>
        <v>.xlsx</v>
      </c>
      <c r="H435" s="29" t="e" cm="1">
        <f t="array" aca="1" ref="H435" ca="1">IF(AND(VALUE(E435)=INDIRECT("'["&amp;G435&amp;"]"&amp;E435&amp;"'!"&amp;$X$2),G435=INDIRECT("'["&amp;G435&amp;"]"&amp;E435&amp;"'!"&amp;$X$3)),INDIRECT("'["&amp;G435&amp;"]"&amp;E435&amp;"'!"&amp;$X$1),0)</f>
        <v>#VALUE!</v>
      </c>
      <c r="I435" s="25" t="str">
        <f t="shared" si="122"/>
        <v/>
      </c>
      <c r="J435" s="32" t="str">
        <f t="shared" si="123"/>
        <v/>
      </c>
      <c r="K435" s="25" t="str">
        <f t="shared" si="124"/>
        <v/>
      </c>
      <c r="L435" s="25" t="str">
        <f t="shared" si="125"/>
        <v/>
      </c>
      <c r="M435" s="33" t="e" cm="1">
        <f t="array" aca="1" ref="M435" ca="1">IF(AND(J435=INDIRECT("'["&amp;G435&amp;"]"&amp;E435&amp;"'!"&amp;$Y$2),G435=INDIRECT("'["&amp;G435&amp;"]"&amp;E435&amp;"'!"&amp;$AH$2)),INDIRECT("'["&amp;G435&amp;"]"&amp;E435&amp;"'!"&amp;$Y$3),0)</f>
        <v>#VALUE!</v>
      </c>
      <c r="N435" s="34" t="e" cm="1">
        <f t="array" aca="1" ref="N435" ca="1">IF(AND(G435=INDIRECT("'["&amp;G435&amp;"]"&amp;E435&amp;"'!"&amp;$AH$2),OR(K435=INDIRECT("'["&amp;G435&amp;"]"&amp;E435&amp;"'!"&amp;$Z$2))),INDIRECT("'["&amp;G435&amp;"]"&amp;E435&amp;"'!"&amp;$Z$3),0)</f>
        <v>#VALUE!</v>
      </c>
      <c r="O435" s="34" t="e" cm="1">
        <f t="array" aca="1" ref="O435" ca="1">IF(AND(G435=INDIRECT("'["&amp;G435&amp;"]"&amp;E435&amp;"'!"&amp;$AH$2),OR(L435=INDIRECT("'["&amp;G435&amp;"]"&amp;E435&amp;"'!"&amp;$AA$2))),INDIRECT("'["&amp;G435&amp;"]"&amp;E435&amp;"'!"&amp;$AA$3),0)</f>
        <v>#VALUE!</v>
      </c>
      <c r="P435" s="34" t="e" cm="1">
        <f t="array" aca="1" ref="P435" ca="1">IF(AND(G435=INDIRECT("'["&amp;G435&amp;"]"&amp;E435&amp;"'!"&amp;$AH$2),OR(VALUE(I435)=INDIRECT("'["&amp;G435&amp;"]"&amp;E435&amp;"'!"&amp;$AB$2))),INDIRECT("'["&amp;G435&amp;"]"&amp;E435&amp;"'!"&amp;$AB$3),0)</f>
        <v>#VALUE!</v>
      </c>
      <c r="Q435" s="34" t="e" cm="1">
        <f t="array" aca="1" ref="Q435" ca="1">IF(AND(G435=INDIRECT("'["&amp;G435&amp;"]"&amp;E435&amp;"'!"&amp;$AH$2),OR(VALUE(I435)=INDIRECT("'["&amp;G435&amp;"]"&amp;E435&amp;"'!"&amp;$AC$2))),INDIRECT("'["&amp;G435&amp;"]"&amp;E435&amp;"'!"&amp;$AC$3),0)</f>
        <v>#VALUE!</v>
      </c>
      <c r="R435" s="34" t="e" cm="1">
        <f t="array" aca="1" ref="R435" ca="1">IF(AND(G435=INDIRECT("'["&amp;G435&amp;"]"&amp;E435&amp;"'!"&amp;$AH$2),OR(I435=INDIRECT("'["&amp;G435&amp;"]"&amp;E435&amp;"'!"&amp;$AD$2))),INDIRECT("'["&amp;G435&amp;"]"&amp;E435&amp;"'!"&amp;$AD$3),0)</f>
        <v>#VALUE!</v>
      </c>
      <c r="S435" s="34" t="e" cm="1">
        <f t="array" aca="1" ref="S435" ca="1">IF(AND(G435=INDIRECT("'["&amp;G435&amp;"]"&amp;E435&amp;"'!"&amp;$AH$2),OR(I435=INDIRECT("'["&amp;G435&amp;"]"&amp;E435&amp;"'!"&amp;$AE$2))),INDIRECT("'["&amp;G435&amp;"]"&amp;E435&amp;"'!"&amp;$AE$3),0)</f>
        <v>#VALUE!</v>
      </c>
      <c r="T435" s="35" t="e" cm="1">
        <f t="array" aca="1" ref="T435" ca="1">IF(AND(G435=INDIRECT("'["&amp;G435&amp;"]"&amp;E435&amp;"'!"&amp;$AH$2),OR(I435=INDIRECT("'["&amp;G435&amp;"]"&amp;E435&amp;"'!"&amp;$AF$2))),INDIRECT("'["&amp;G435&amp;"]"&amp;E435&amp;"'!"&amp;$AF$3),0)</f>
        <v>#VALUE!</v>
      </c>
      <c r="U435" s="34" t="e" cm="1">
        <f t="array" aca="1" ref="U435" ca="1">IF(AND(G435=INDIRECT("'["&amp;G435&amp;"]"&amp;E435&amp;"'!"&amp;$AH$2),OR(I435=INDIRECT("'["&amp;G435&amp;"]"&amp;E435&amp;"'!"&amp;$AG$2))),INDIRECT("'["&amp;G435&amp;"]"&amp;E435&amp;"'!"&amp;$AG$3),0)</f>
        <v>#VALUE!</v>
      </c>
      <c r="V435" s="25" t="str">
        <f t="shared" si="126"/>
        <v/>
      </c>
      <c r="W435" s="36" t="e" cm="1">
        <f t="array" aca="1" ref="W435" ca="1">IF(AND(G435=INDIRECT("'["&amp;G435&amp;"]"&amp;E435&amp;"'!"&amp;$AH$2),OR(V435=INDIRECT("'["&amp;G435&amp;"]"&amp;E435&amp;"'!"&amp;$AI$2))),INDIRECT("'["&amp;G435&amp;"]"&amp;E435&amp;"'!"&amp;$AI$3),0)</f>
        <v>#VALUE!</v>
      </c>
      <c r="AJ435" s="25">
        <v>1</v>
      </c>
      <c r="AK435" s="38">
        <f t="shared" ca="1" si="111"/>
        <v>0</v>
      </c>
      <c r="AL435" s="38">
        <f t="shared" ca="1" si="112"/>
        <v>0</v>
      </c>
      <c r="AM435" s="54" t="str">
        <f t="shared" ca="1" si="113"/>
        <v/>
      </c>
      <c r="AN435" s="25" t="e">
        <f t="shared" ca="1" si="114"/>
        <v>#VALUE!</v>
      </c>
      <c r="AO435" s="25" t="e">
        <f t="shared" ca="1" si="115"/>
        <v>#VALUE!</v>
      </c>
      <c r="AP435" s="39" t="str">
        <f t="shared" ca="1" si="116"/>
        <v/>
      </c>
      <c r="AQ435" s="46" t="str">
        <f ca="1">IF(AND(C435&lt;&gt;0, C436=0), SUM($C$2:C435)-SUM($AQ$1:AQ434), "")</f>
        <v/>
      </c>
      <c r="AR435" s="46" t="str">
        <f ca="1">IF(AND(AK435&lt;&gt;0, AK436=0), SUM($AK$2:AK435)-SUM($AR$1:AR434), "")</f>
        <v/>
      </c>
    </row>
    <row r="436" spans="1:44" ht="13.15" customHeight="1">
      <c r="A436" s="62"/>
      <c r="B436" s="68" t="str">
        <f t="shared" si="117"/>
        <v/>
      </c>
      <c r="C436" s="55" cm="1">
        <f t="array" aca="1" ref="C436" ca="1">SUM(IF(ISNUMBER(M436:U436),M436:U436,""))</f>
        <v>0</v>
      </c>
      <c r="D436" s="25" t="str">
        <f t="shared" si="118"/>
        <v/>
      </c>
      <c r="E436" s="25" t="e">
        <f t="shared" si="119"/>
        <v>#VALUE!</v>
      </c>
      <c r="F436" s="25" t="str">
        <f t="shared" si="120"/>
        <v/>
      </c>
      <c r="G436" s="25" t="str">
        <f t="shared" si="121"/>
        <v>.xlsx</v>
      </c>
      <c r="H436" s="29" t="e" cm="1">
        <f t="array" aca="1" ref="H436" ca="1">IF(AND(VALUE(E436)=INDIRECT("'["&amp;G436&amp;"]"&amp;E436&amp;"'!"&amp;$X$2),G436=INDIRECT("'["&amp;G436&amp;"]"&amp;E436&amp;"'!"&amp;$X$3)),INDIRECT("'["&amp;G436&amp;"]"&amp;E436&amp;"'!"&amp;$X$1),0)</f>
        <v>#VALUE!</v>
      </c>
      <c r="I436" s="25" t="str">
        <f t="shared" si="122"/>
        <v/>
      </c>
      <c r="J436" s="32" t="str">
        <f t="shared" si="123"/>
        <v/>
      </c>
      <c r="K436" s="25" t="str">
        <f t="shared" si="124"/>
        <v/>
      </c>
      <c r="L436" s="25" t="str">
        <f t="shared" si="125"/>
        <v/>
      </c>
      <c r="M436" s="33" t="e" cm="1">
        <f t="array" aca="1" ref="M436" ca="1">IF(AND(J436=INDIRECT("'["&amp;G436&amp;"]"&amp;E436&amp;"'!"&amp;$Y$2),G436=INDIRECT("'["&amp;G436&amp;"]"&amp;E436&amp;"'!"&amp;$AH$2)),INDIRECT("'["&amp;G436&amp;"]"&amp;E436&amp;"'!"&amp;$Y$3),0)</f>
        <v>#VALUE!</v>
      </c>
      <c r="N436" s="34" t="e" cm="1">
        <f t="array" aca="1" ref="N436" ca="1">IF(AND(G436=INDIRECT("'["&amp;G436&amp;"]"&amp;E436&amp;"'!"&amp;$AH$2),OR(K436=INDIRECT("'["&amp;G436&amp;"]"&amp;E436&amp;"'!"&amp;$Z$2))),INDIRECT("'["&amp;G436&amp;"]"&amp;E436&amp;"'!"&amp;$Z$3),0)</f>
        <v>#VALUE!</v>
      </c>
      <c r="O436" s="34" t="e" cm="1">
        <f t="array" aca="1" ref="O436" ca="1">IF(AND(G436=INDIRECT("'["&amp;G436&amp;"]"&amp;E436&amp;"'!"&amp;$AH$2),OR(L436=INDIRECT("'["&amp;G436&amp;"]"&amp;E436&amp;"'!"&amp;$AA$2))),INDIRECT("'["&amp;G436&amp;"]"&amp;E436&amp;"'!"&amp;$AA$3),0)</f>
        <v>#VALUE!</v>
      </c>
      <c r="P436" s="34" t="e" cm="1">
        <f t="array" aca="1" ref="P436" ca="1">IF(AND(G436=INDIRECT("'["&amp;G436&amp;"]"&amp;E436&amp;"'!"&amp;$AH$2),OR(VALUE(I436)=INDIRECT("'["&amp;G436&amp;"]"&amp;E436&amp;"'!"&amp;$AB$2))),INDIRECT("'["&amp;G436&amp;"]"&amp;E436&amp;"'!"&amp;$AB$3),0)</f>
        <v>#VALUE!</v>
      </c>
      <c r="Q436" s="34" t="e" cm="1">
        <f t="array" aca="1" ref="Q436" ca="1">IF(AND(G436=INDIRECT("'["&amp;G436&amp;"]"&amp;E436&amp;"'!"&amp;$AH$2),OR(VALUE(I436)=INDIRECT("'["&amp;G436&amp;"]"&amp;E436&amp;"'!"&amp;$AC$2))),INDIRECT("'["&amp;G436&amp;"]"&amp;E436&amp;"'!"&amp;$AC$3),0)</f>
        <v>#VALUE!</v>
      </c>
      <c r="R436" s="34" t="e" cm="1">
        <f t="array" aca="1" ref="R436" ca="1">IF(AND(G436=INDIRECT("'["&amp;G436&amp;"]"&amp;E436&amp;"'!"&amp;$AH$2),OR(I436=INDIRECT("'["&amp;G436&amp;"]"&amp;E436&amp;"'!"&amp;$AD$2))),INDIRECT("'["&amp;G436&amp;"]"&amp;E436&amp;"'!"&amp;$AD$3),0)</f>
        <v>#VALUE!</v>
      </c>
      <c r="S436" s="34" t="e" cm="1">
        <f t="array" aca="1" ref="S436" ca="1">IF(AND(G436=INDIRECT("'["&amp;G436&amp;"]"&amp;E436&amp;"'!"&amp;$AH$2),OR(I436=INDIRECT("'["&amp;G436&amp;"]"&amp;E436&amp;"'!"&amp;$AE$2))),INDIRECT("'["&amp;G436&amp;"]"&amp;E436&amp;"'!"&amp;$AE$3),0)</f>
        <v>#VALUE!</v>
      </c>
      <c r="T436" s="35" t="e" cm="1">
        <f t="array" aca="1" ref="T436" ca="1">IF(AND(G436=INDIRECT("'["&amp;G436&amp;"]"&amp;E436&amp;"'!"&amp;$AH$2),OR(I436=INDIRECT("'["&amp;G436&amp;"]"&amp;E436&amp;"'!"&amp;$AF$2))),INDIRECT("'["&amp;G436&amp;"]"&amp;E436&amp;"'!"&amp;$AF$3),0)</f>
        <v>#VALUE!</v>
      </c>
      <c r="U436" s="34" t="e" cm="1">
        <f t="array" aca="1" ref="U436" ca="1">IF(AND(G436=INDIRECT("'["&amp;G436&amp;"]"&amp;E436&amp;"'!"&amp;$AH$2),OR(I436=INDIRECT("'["&amp;G436&amp;"]"&amp;E436&amp;"'!"&amp;$AG$2))),INDIRECT("'["&amp;G436&amp;"]"&amp;E436&amp;"'!"&amp;$AG$3),0)</f>
        <v>#VALUE!</v>
      </c>
      <c r="V436" s="25" t="str">
        <f t="shared" si="126"/>
        <v/>
      </c>
      <c r="W436" s="36" t="e" cm="1">
        <f t="array" aca="1" ref="W436" ca="1">IF(AND(G436=INDIRECT("'["&amp;G436&amp;"]"&amp;E436&amp;"'!"&amp;$AH$2),OR(V436=INDIRECT("'["&amp;G436&amp;"]"&amp;E436&amp;"'!"&amp;$AI$2))),INDIRECT("'["&amp;G436&amp;"]"&amp;E436&amp;"'!"&amp;$AI$3),0)</f>
        <v>#VALUE!</v>
      </c>
      <c r="AJ436" s="25">
        <v>1</v>
      </c>
      <c r="AK436" s="38">
        <f t="shared" ca="1" si="111"/>
        <v>0</v>
      </c>
      <c r="AL436" s="38">
        <f t="shared" ca="1" si="112"/>
        <v>0</v>
      </c>
      <c r="AM436" s="54" t="str">
        <f t="shared" ca="1" si="113"/>
        <v/>
      </c>
      <c r="AN436" s="25" t="e">
        <f t="shared" ca="1" si="114"/>
        <v>#VALUE!</v>
      </c>
      <c r="AO436" s="25" t="e">
        <f t="shared" ca="1" si="115"/>
        <v>#VALUE!</v>
      </c>
      <c r="AP436" s="39" t="str">
        <f t="shared" ca="1" si="116"/>
        <v/>
      </c>
      <c r="AQ436" s="46" t="str">
        <f ca="1">IF(AND(C436&lt;&gt;0, C437=0), SUM($C$2:C436)-SUM($AQ$1:AQ435), "")</f>
        <v/>
      </c>
      <c r="AR436" s="46" t="str">
        <f ca="1">IF(AND(AK436&lt;&gt;0, AK437=0), SUM($AK$2:AK436)-SUM($AR$1:AR435), "")</f>
        <v/>
      </c>
    </row>
    <row r="437" spans="1:44" ht="13.15" customHeight="1">
      <c r="A437" s="62"/>
      <c r="B437" s="68" t="str">
        <f t="shared" si="117"/>
        <v/>
      </c>
      <c r="C437" s="55" cm="1">
        <f t="array" aca="1" ref="C437" ca="1">SUM(IF(ISNUMBER(M437:U437),M437:U437,""))</f>
        <v>0</v>
      </c>
      <c r="D437" s="25" t="str">
        <f t="shared" si="118"/>
        <v/>
      </c>
      <c r="E437" s="25" t="e">
        <f t="shared" si="119"/>
        <v>#VALUE!</v>
      </c>
      <c r="F437" s="25" t="str">
        <f t="shared" si="120"/>
        <v/>
      </c>
      <c r="G437" s="25" t="str">
        <f t="shared" si="121"/>
        <v>.xlsx</v>
      </c>
      <c r="H437" s="29" t="e" cm="1">
        <f t="array" aca="1" ref="H437" ca="1">IF(AND(VALUE(E437)=INDIRECT("'["&amp;G437&amp;"]"&amp;E437&amp;"'!"&amp;$X$2),G437=INDIRECT("'["&amp;G437&amp;"]"&amp;E437&amp;"'!"&amp;$X$3)),INDIRECT("'["&amp;G437&amp;"]"&amp;E437&amp;"'!"&amp;$X$1),0)</f>
        <v>#VALUE!</v>
      </c>
      <c r="I437" s="25" t="str">
        <f t="shared" si="122"/>
        <v/>
      </c>
      <c r="J437" s="32" t="str">
        <f t="shared" si="123"/>
        <v/>
      </c>
      <c r="K437" s="25" t="str">
        <f t="shared" si="124"/>
        <v/>
      </c>
      <c r="L437" s="25" t="str">
        <f t="shared" si="125"/>
        <v/>
      </c>
      <c r="M437" s="33" t="e" cm="1">
        <f t="array" aca="1" ref="M437" ca="1">IF(AND(J437=INDIRECT("'["&amp;G437&amp;"]"&amp;E437&amp;"'!"&amp;$Y$2),G437=INDIRECT("'["&amp;G437&amp;"]"&amp;E437&amp;"'!"&amp;$AH$2)),INDIRECT("'["&amp;G437&amp;"]"&amp;E437&amp;"'!"&amp;$Y$3),0)</f>
        <v>#VALUE!</v>
      </c>
      <c r="N437" s="34" t="e" cm="1">
        <f t="array" aca="1" ref="N437" ca="1">IF(AND(G437=INDIRECT("'["&amp;G437&amp;"]"&amp;E437&amp;"'!"&amp;$AH$2),OR(K437=INDIRECT("'["&amp;G437&amp;"]"&amp;E437&amp;"'!"&amp;$Z$2))),INDIRECT("'["&amp;G437&amp;"]"&amp;E437&amp;"'!"&amp;$Z$3),0)</f>
        <v>#VALUE!</v>
      </c>
      <c r="O437" s="34" t="e" cm="1">
        <f t="array" aca="1" ref="O437" ca="1">IF(AND(G437=INDIRECT("'["&amp;G437&amp;"]"&amp;E437&amp;"'!"&amp;$AH$2),OR(L437=INDIRECT("'["&amp;G437&amp;"]"&amp;E437&amp;"'!"&amp;$AA$2))),INDIRECT("'["&amp;G437&amp;"]"&amp;E437&amp;"'!"&amp;$AA$3),0)</f>
        <v>#VALUE!</v>
      </c>
      <c r="P437" s="34" t="e" cm="1">
        <f t="array" aca="1" ref="P437" ca="1">IF(AND(G437=INDIRECT("'["&amp;G437&amp;"]"&amp;E437&amp;"'!"&amp;$AH$2),OR(VALUE(I437)=INDIRECT("'["&amp;G437&amp;"]"&amp;E437&amp;"'!"&amp;$AB$2))),INDIRECT("'["&amp;G437&amp;"]"&amp;E437&amp;"'!"&amp;$AB$3),0)</f>
        <v>#VALUE!</v>
      </c>
      <c r="Q437" s="34" t="e" cm="1">
        <f t="array" aca="1" ref="Q437" ca="1">IF(AND(G437=INDIRECT("'["&amp;G437&amp;"]"&amp;E437&amp;"'!"&amp;$AH$2),OR(VALUE(I437)=INDIRECT("'["&amp;G437&amp;"]"&amp;E437&amp;"'!"&amp;$AC$2))),INDIRECT("'["&amp;G437&amp;"]"&amp;E437&amp;"'!"&amp;$AC$3),0)</f>
        <v>#VALUE!</v>
      </c>
      <c r="R437" s="34" t="e" cm="1">
        <f t="array" aca="1" ref="R437" ca="1">IF(AND(G437=INDIRECT("'["&amp;G437&amp;"]"&amp;E437&amp;"'!"&amp;$AH$2),OR(I437=INDIRECT("'["&amp;G437&amp;"]"&amp;E437&amp;"'!"&amp;$AD$2))),INDIRECT("'["&amp;G437&amp;"]"&amp;E437&amp;"'!"&amp;$AD$3),0)</f>
        <v>#VALUE!</v>
      </c>
      <c r="S437" s="34" t="e" cm="1">
        <f t="array" aca="1" ref="S437" ca="1">IF(AND(G437=INDIRECT("'["&amp;G437&amp;"]"&amp;E437&amp;"'!"&amp;$AH$2),OR(I437=INDIRECT("'["&amp;G437&amp;"]"&amp;E437&amp;"'!"&amp;$AE$2))),INDIRECT("'["&amp;G437&amp;"]"&amp;E437&amp;"'!"&amp;$AE$3),0)</f>
        <v>#VALUE!</v>
      </c>
      <c r="T437" s="35" t="e" cm="1">
        <f t="array" aca="1" ref="T437" ca="1">IF(AND(G437=INDIRECT("'["&amp;G437&amp;"]"&amp;E437&amp;"'!"&amp;$AH$2),OR(I437=INDIRECT("'["&amp;G437&amp;"]"&amp;E437&amp;"'!"&amp;$AF$2))),INDIRECT("'["&amp;G437&amp;"]"&amp;E437&amp;"'!"&amp;$AF$3),0)</f>
        <v>#VALUE!</v>
      </c>
      <c r="U437" s="34" t="e" cm="1">
        <f t="array" aca="1" ref="U437" ca="1">IF(AND(G437=INDIRECT("'["&amp;G437&amp;"]"&amp;E437&amp;"'!"&amp;$AH$2),OR(I437=INDIRECT("'["&amp;G437&amp;"]"&amp;E437&amp;"'!"&amp;$AG$2))),INDIRECT("'["&amp;G437&amp;"]"&amp;E437&amp;"'!"&amp;$AG$3),0)</f>
        <v>#VALUE!</v>
      </c>
      <c r="V437" s="25" t="str">
        <f t="shared" si="126"/>
        <v/>
      </c>
      <c r="W437" s="36" t="e" cm="1">
        <f t="array" aca="1" ref="W437" ca="1">IF(AND(G437=INDIRECT("'["&amp;G437&amp;"]"&amp;E437&amp;"'!"&amp;$AH$2),OR(V437=INDIRECT("'["&amp;G437&amp;"]"&amp;E437&amp;"'!"&amp;$AI$2))),INDIRECT("'["&amp;G437&amp;"]"&amp;E437&amp;"'!"&amp;$AI$3),0)</f>
        <v>#VALUE!</v>
      </c>
      <c r="AJ437" s="25">
        <v>1</v>
      </c>
      <c r="AK437" s="38">
        <f t="shared" ca="1" si="111"/>
        <v>0</v>
      </c>
      <c r="AL437" s="38">
        <f t="shared" ca="1" si="112"/>
        <v>0</v>
      </c>
      <c r="AM437" s="54" t="str">
        <f t="shared" ca="1" si="113"/>
        <v/>
      </c>
      <c r="AN437" s="25" t="e">
        <f t="shared" ca="1" si="114"/>
        <v>#VALUE!</v>
      </c>
      <c r="AO437" s="25" t="e">
        <f t="shared" ca="1" si="115"/>
        <v>#VALUE!</v>
      </c>
      <c r="AP437" s="39" t="str">
        <f t="shared" ca="1" si="116"/>
        <v/>
      </c>
      <c r="AQ437" s="46" t="str">
        <f ca="1">IF(AND(C437&lt;&gt;0, C438=0), SUM($C$2:C437)-SUM($AQ$1:AQ436), "")</f>
        <v/>
      </c>
      <c r="AR437" s="46" t="str">
        <f ca="1">IF(AND(AK437&lt;&gt;0, AK438=0), SUM($AK$2:AK437)-SUM($AR$1:AR436), "")</f>
        <v/>
      </c>
    </row>
    <row r="438" spans="1:44" ht="13.15" customHeight="1">
      <c r="A438" s="62"/>
      <c r="B438" s="68" t="str">
        <f t="shared" si="117"/>
        <v/>
      </c>
      <c r="C438" s="55" cm="1">
        <f t="array" aca="1" ref="C438" ca="1">SUM(IF(ISNUMBER(M438:U438),M438:U438,""))</f>
        <v>0</v>
      </c>
      <c r="D438" s="25" t="str">
        <f t="shared" si="118"/>
        <v/>
      </c>
      <c r="E438" s="25" t="e">
        <f t="shared" si="119"/>
        <v>#VALUE!</v>
      </c>
      <c r="F438" s="25" t="str">
        <f t="shared" si="120"/>
        <v/>
      </c>
      <c r="G438" s="25" t="str">
        <f t="shared" si="121"/>
        <v>.xlsx</v>
      </c>
      <c r="H438" s="29" t="e" cm="1">
        <f t="array" aca="1" ref="H438" ca="1">IF(AND(VALUE(E438)=INDIRECT("'["&amp;G438&amp;"]"&amp;E438&amp;"'!"&amp;$X$2),G438=INDIRECT("'["&amp;G438&amp;"]"&amp;E438&amp;"'!"&amp;$X$3)),INDIRECT("'["&amp;G438&amp;"]"&amp;E438&amp;"'!"&amp;$X$1),0)</f>
        <v>#VALUE!</v>
      </c>
      <c r="I438" s="25" t="str">
        <f t="shared" si="122"/>
        <v/>
      </c>
      <c r="J438" s="32" t="str">
        <f t="shared" si="123"/>
        <v/>
      </c>
      <c r="K438" s="25" t="str">
        <f t="shared" si="124"/>
        <v/>
      </c>
      <c r="L438" s="25" t="str">
        <f t="shared" si="125"/>
        <v/>
      </c>
      <c r="M438" s="33" t="e" cm="1">
        <f t="array" aca="1" ref="M438" ca="1">IF(AND(J438=INDIRECT("'["&amp;G438&amp;"]"&amp;E438&amp;"'!"&amp;$Y$2),G438=INDIRECT("'["&amp;G438&amp;"]"&amp;E438&amp;"'!"&amp;$AH$2)),INDIRECT("'["&amp;G438&amp;"]"&amp;E438&amp;"'!"&amp;$Y$3),0)</f>
        <v>#VALUE!</v>
      </c>
      <c r="N438" s="34" t="e" cm="1">
        <f t="array" aca="1" ref="N438" ca="1">IF(AND(G438=INDIRECT("'["&amp;G438&amp;"]"&amp;E438&amp;"'!"&amp;$AH$2),OR(K438=INDIRECT("'["&amp;G438&amp;"]"&amp;E438&amp;"'!"&amp;$Z$2))),INDIRECT("'["&amp;G438&amp;"]"&amp;E438&amp;"'!"&amp;$Z$3),0)</f>
        <v>#VALUE!</v>
      </c>
      <c r="O438" s="34" t="e" cm="1">
        <f t="array" aca="1" ref="O438" ca="1">IF(AND(G438=INDIRECT("'["&amp;G438&amp;"]"&amp;E438&amp;"'!"&amp;$AH$2),OR(L438=INDIRECT("'["&amp;G438&amp;"]"&amp;E438&amp;"'!"&amp;$AA$2))),INDIRECT("'["&amp;G438&amp;"]"&amp;E438&amp;"'!"&amp;$AA$3),0)</f>
        <v>#VALUE!</v>
      </c>
      <c r="P438" s="34" t="e" cm="1">
        <f t="array" aca="1" ref="P438" ca="1">IF(AND(G438=INDIRECT("'["&amp;G438&amp;"]"&amp;E438&amp;"'!"&amp;$AH$2),OR(VALUE(I438)=INDIRECT("'["&amp;G438&amp;"]"&amp;E438&amp;"'!"&amp;$AB$2))),INDIRECT("'["&amp;G438&amp;"]"&amp;E438&amp;"'!"&amp;$AB$3),0)</f>
        <v>#VALUE!</v>
      </c>
      <c r="Q438" s="34" t="e" cm="1">
        <f t="array" aca="1" ref="Q438" ca="1">IF(AND(G438=INDIRECT("'["&amp;G438&amp;"]"&amp;E438&amp;"'!"&amp;$AH$2),OR(VALUE(I438)=INDIRECT("'["&amp;G438&amp;"]"&amp;E438&amp;"'!"&amp;$AC$2))),INDIRECT("'["&amp;G438&amp;"]"&amp;E438&amp;"'!"&amp;$AC$3),0)</f>
        <v>#VALUE!</v>
      </c>
      <c r="R438" s="34" t="e" cm="1">
        <f t="array" aca="1" ref="R438" ca="1">IF(AND(G438=INDIRECT("'["&amp;G438&amp;"]"&amp;E438&amp;"'!"&amp;$AH$2),OR(I438=INDIRECT("'["&amp;G438&amp;"]"&amp;E438&amp;"'!"&amp;$AD$2))),INDIRECT("'["&amp;G438&amp;"]"&amp;E438&amp;"'!"&amp;$AD$3),0)</f>
        <v>#VALUE!</v>
      </c>
      <c r="S438" s="34" t="e" cm="1">
        <f t="array" aca="1" ref="S438" ca="1">IF(AND(G438=INDIRECT("'["&amp;G438&amp;"]"&amp;E438&amp;"'!"&amp;$AH$2),OR(I438=INDIRECT("'["&amp;G438&amp;"]"&amp;E438&amp;"'!"&amp;$AE$2))),INDIRECT("'["&amp;G438&amp;"]"&amp;E438&amp;"'!"&amp;$AE$3),0)</f>
        <v>#VALUE!</v>
      </c>
      <c r="T438" s="35" t="e" cm="1">
        <f t="array" aca="1" ref="T438" ca="1">IF(AND(G438=INDIRECT("'["&amp;G438&amp;"]"&amp;E438&amp;"'!"&amp;$AH$2),OR(I438=INDIRECT("'["&amp;G438&amp;"]"&amp;E438&amp;"'!"&amp;$AF$2))),INDIRECT("'["&amp;G438&amp;"]"&amp;E438&amp;"'!"&amp;$AF$3),0)</f>
        <v>#VALUE!</v>
      </c>
      <c r="U438" s="34" t="e" cm="1">
        <f t="array" aca="1" ref="U438" ca="1">IF(AND(G438=INDIRECT("'["&amp;G438&amp;"]"&amp;E438&amp;"'!"&amp;$AH$2),OR(I438=INDIRECT("'["&amp;G438&amp;"]"&amp;E438&amp;"'!"&amp;$AG$2))),INDIRECT("'["&amp;G438&amp;"]"&amp;E438&amp;"'!"&amp;$AG$3),0)</f>
        <v>#VALUE!</v>
      </c>
      <c r="V438" s="25" t="str">
        <f t="shared" si="126"/>
        <v/>
      </c>
      <c r="W438" s="36" t="e" cm="1">
        <f t="array" aca="1" ref="W438" ca="1">IF(AND(G438=INDIRECT("'["&amp;G438&amp;"]"&amp;E438&amp;"'!"&amp;$AH$2),OR(V438=INDIRECT("'["&amp;G438&amp;"]"&amp;E438&amp;"'!"&amp;$AI$2))),INDIRECT("'["&amp;G438&amp;"]"&amp;E438&amp;"'!"&amp;$AI$3),0)</f>
        <v>#VALUE!</v>
      </c>
      <c r="AJ438" s="25">
        <v>1</v>
      </c>
      <c r="AK438" s="38">
        <f t="shared" ca="1" si="111"/>
        <v>0</v>
      </c>
      <c r="AL438" s="38">
        <f t="shared" ca="1" si="112"/>
        <v>0</v>
      </c>
      <c r="AM438" s="54" t="str">
        <f t="shared" ca="1" si="113"/>
        <v/>
      </c>
      <c r="AN438" s="25" t="e">
        <f t="shared" ca="1" si="114"/>
        <v>#VALUE!</v>
      </c>
      <c r="AO438" s="25" t="e">
        <f t="shared" ca="1" si="115"/>
        <v>#VALUE!</v>
      </c>
      <c r="AP438" s="39" t="str">
        <f t="shared" ca="1" si="116"/>
        <v/>
      </c>
      <c r="AQ438" s="46" t="str">
        <f ca="1">IF(AND(C438&lt;&gt;0, C439=0), SUM($C$2:C438)-SUM($AQ$1:AQ437), "")</f>
        <v/>
      </c>
      <c r="AR438" s="46" t="str">
        <f ca="1">IF(AND(AK438&lt;&gt;0, AK439=0), SUM($AK$2:AK438)-SUM($AR$1:AR437), "")</f>
        <v/>
      </c>
    </row>
    <row r="439" spans="1:44" ht="13.15" customHeight="1">
      <c r="A439" s="62"/>
      <c r="B439" s="68" t="str">
        <f t="shared" si="117"/>
        <v/>
      </c>
      <c r="C439" s="55" cm="1">
        <f t="array" aca="1" ref="C439" ca="1">SUM(IF(ISNUMBER(M439:U439),M439:U439,""))</f>
        <v>0</v>
      </c>
      <c r="D439" s="25" t="str">
        <f t="shared" si="118"/>
        <v/>
      </c>
      <c r="E439" s="25" t="e">
        <f t="shared" si="119"/>
        <v>#VALUE!</v>
      </c>
      <c r="F439" s="25" t="str">
        <f t="shared" si="120"/>
        <v/>
      </c>
      <c r="G439" s="25" t="str">
        <f t="shared" si="121"/>
        <v>.xlsx</v>
      </c>
      <c r="H439" s="29" t="e" cm="1">
        <f t="array" aca="1" ref="H439" ca="1">IF(AND(VALUE(E439)=INDIRECT("'["&amp;G439&amp;"]"&amp;E439&amp;"'!"&amp;$X$2),G439=INDIRECT("'["&amp;G439&amp;"]"&amp;E439&amp;"'!"&amp;$X$3)),INDIRECT("'["&amp;G439&amp;"]"&amp;E439&amp;"'!"&amp;$X$1),0)</f>
        <v>#VALUE!</v>
      </c>
      <c r="I439" s="25" t="str">
        <f t="shared" si="122"/>
        <v/>
      </c>
      <c r="J439" s="32" t="str">
        <f t="shared" si="123"/>
        <v/>
      </c>
      <c r="K439" s="25" t="str">
        <f t="shared" si="124"/>
        <v/>
      </c>
      <c r="L439" s="25" t="str">
        <f t="shared" si="125"/>
        <v/>
      </c>
      <c r="M439" s="33" t="e" cm="1">
        <f t="array" aca="1" ref="M439" ca="1">IF(AND(J439=INDIRECT("'["&amp;G439&amp;"]"&amp;E439&amp;"'!"&amp;$Y$2),G439=INDIRECT("'["&amp;G439&amp;"]"&amp;E439&amp;"'!"&amp;$AH$2)),INDIRECT("'["&amp;G439&amp;"]"&amp;E439&amp;"'!"&amp;$Y$3),0)</f>
        <v>#VALUE!</v>
      </c>
      <c r="N439" s="34" t="e" cm="1">
        <f t="array" aca="1" ref="N439" ca="1">IF(AND(G439=INDIRECT("'["&amp;G439&amp;"]"&amp;E439&amp;"'!"&amp;$AH$2),OR(K439=INDIRECT("'["&amp;G439&amp;"]"&amp;E439&amp;"'!"&amp;$Z$2))),INDIRECT("'["&amp;G439&amp;"]"&amp;E439&amp;"'!"&amp;$Z$3),0)</f>
        <v>#VALUE!</v>
      </c>
      <c r="O439" s="34" t="e" cm="1">
        <f t="array" aca="1" ref="O439" ca="1">IF(AND(G439=INDIRECT("'["&amp;G439&amp;"]"&amp;E439&amp;"'!"&amp;$AH$2),OR(L439=INDIRECT("'["&amp;G439&amp;"]"&amp;E439&amp;"'!"&amp;$AA$2))),INDIRECT("'["&amp;G439&amp;"]"&amp;E439&amp;"'!"&amp;$AA$3),0)</f>
        <v>#VALUE!</v>
      </c>
      <c r="P439" s="34" t="e" cm="1">
        <f t="array" aca="1" ref="P439" ca="1">IF(AND(G439=INDIRECT("'["&amp;G439&amp;"]"&amp;E439&amp;"'!"&amp;$AH$2),OR(VALUE(I439)=INDIRECT("'["&amp;G439&amp;"]"&amp;E439&amp;"'!"&amp;$AB$2))),INDIRECT("'["&amp;G439&amp;"]"&amp;E439&amp;"'!"&amp;$AB$3),0)</f>
        <v>#VALUE!</v>
      </c>
      <c r="Q439" s="34" t="e" cm="1">
        <f t="array" aca="1" ref="Q439" ca="1">IF(AND(G439=INDIRECT("'["&amp;G439&amp;"]"&amp;E439&amp;"'!"&amp;$AH$2),OR(VALUE(I439)=INDIRECT("'["&amp;G439&amp;"]"&amp;E439&amp;"'!"&amp;$AC$2))),INDIRECT("'["&amp;G439&amp;"]"&amp;E439&amp;"'!"&amp;$AC$3),0)</f>
        <v>#VALUE!</v>
      </c>
      <c r="R439" s="34" t="e" cm="1">
        <f t="array" aca="1" ref="R439" ca="1">IF(AND(G439=INDIRECT("'["&amp;G439&amp;"]"&amp;E439&amp;"'!"&amp;$AH$2),OR(I439=INDIRECT("'["&amp;G439&amp;"]"&amp;E439&amp;"'!"&amp;$AD$2))),INDIRECT("'["&amp;G439&amp;"]"&amp;E439&amp;"'!"&amp;$AD$3),0)</f>
        <v>#VALUE!</v>
      </c>
      <c r="S439" s="34" t="e" cm="1">
        <f t="array" aca="1" ref="S439" ca="1">IF(AND(G439=INDIRECT("'["&amp;G439&amp;"]"&amp;E439&amp;"'!"&amp;$AH$2),OR(I439=INDIRECT("'["&amp;G439&amp;"]"&amp;E439&amp;"'!"&amp;$AE$2))),INDIRECT("'["&amp;G439&amp;"]"&amp;E439&amp;"'!"&amp;$AE$3),0)</f>
        <v>#VALUE!</v>
      </c>
      <c r="T439" s="35" t="e" cm="1">
        <f t="array" aca="1" ref="T439" ca="1">IF(AND(G439=INDIRECT("'["&amp;G439&amp;"]"&amp;E439&amp;"'!"&amp;$AH$2),OR(I439=INDIRECT("'["&amp;G439&amp;"]"&amp;E439&amp;"'!"&amp;$AF$2))),INDIRECT("'["&amp;G439&amp;"]"&amp;E439&amp;"'!"&amp;$AF$3),0)</f>
        <v>#VALUE!</v>
      </c>
      <c r="U439" s="34" t="e" cm="1">
        <f t="array" aca="1" ref="U439" ca="1">IF(AND(G439=INDIRECT("'["&amp;G439&amp;"]"&amp;E439&amp;"'!"&amp;$AH$2),OR(I439=INDIRECT("'["&amp;G439&amp;"]"&amp;E439&amp;"'!"&amp;$AG$2))),INDIRECT("'["&amp;G439&amp;"]"&amp;E439&amp;"'!"&amp;$AG$3),0)</f>
        <v>#VALUE!</v>
      </c>
      <c r="V439" s="25" t="str">
        <f t="shared" si="126"/>
        <v/>
      </c>
      <c r="W439" s="36" t="e" cm="1">
        <f t="array" aca="1" ref="W439" ca="1">IF(AND(G439=INDIRECT("'["&amp;G439&amp;"]"&amp;E439&amp;"'!"&amp;$AH$2),OR(V439=INDIRECT("'["&amp;G439&amp;"]"&amp;E439&amp;"'!"&amp;$AI$2))),INDIRECT("'["&amp;G439&amp;"]"&amp;E439&amp;"'!"&amp;$AI$3),0)</f>
        <v>#VALUE!</v>
      </c>
      <c r="AJ439" s="25">
        <v>1</v>
      </c>
      <c r="AK439" s="38">
        <f t="shared" ca="1" si="111"/>
        <v>0</v>
      </c>
      <c r="AL439" s="38">
        <f t="shared" ca="1" si="112"/>
        <v>0</v>
      </c>
      <c r="AM439" s="54" t="str">
        <f t="shared" ca="1" si="113"/>
        <v/>
      </c>
      <c r="AN439" s="25" t="e">
        <f t="shared" ca="1" si="114"/>
        <v>#VALUE!</v>
      </c>
      <c r="AO439" s="25" t="e">
        <f t="shared" ca="1" si="115"/>
        <v>#VALUE!</v>
      </c>
      <c r="AP439" s="39" t="str">
        <f t="shared" ca="1" si="116"/>
        <v/>
      </c>
      <c r="AQ439" s="46" t="str">
        <f ca="1">IF(AND(C439&lt;&gt;0, C440=0), SUM($C$2:C439)-SUM($AQ$1:AQ438), "")</f>
        <v/>
      </c>
      <c r="AR439" s="46" t="str">
        <f ca="1">IF(AND(AK439&lt;&gt;0, AK440=0), SUM($AK$2:AK439)-SUM($AR$1:AR438), "")</f>
        <v/>
      </c>
    </row>
    <row r="440" spans="1:44" ht="13.15" customHeight="1">
      <c r="A440" s="62"/>
      <c r="B440" s="68" t="str">
        <f t="shared" si="117"/>
        <v/>
      </c>
      <c r="C440" s="55" cm="1">
        <f t="array" aca="1" ref="C440" ca="1">SUM(IF(ISNUMBER(M440:U440),M440:U440,""))</f>
        <v>0</v>
      </c>
      <c r="D440" s="25" t="str">
        <f t="shared" si="118"/>
        <v/>
      </c>
      <c r="E440" s="25" t="e">
        <f t="shared" si="119"/>
        <v>#VALUE!</v>
      </c>
      <c r="F440" s="25" t="str">
        <f t="shared" si="120"/>
        <v/>
      </c>
      <c r="G440" s="25" t="str">
        <f t="shared" si="121"/>
        <v>.xlsx</v>
      </c>
      <c r="H440" s="29" t="e" cm="1">
        <f t="array" aca="1" ref="H440" ca="1">IF(AND(VALUE(E440)=INDIRECT("'["&amp;G440&amp;"]"&amp;E440&amp;"'!"&amp;$X$2),G440=INDIRECT("'["&amp;G440&amp;"]"&amp;E440&amp;"'!"&amp;$X$3)),INDIRECT("'["&amp;G440&amp;"]"&amp;E440&amp;"'!"&amp;$X$1),0)</f>
        <v>#VALUE!</v>
      </c>
      <c r="I440" s="25" t="str">
        <f t="shared" si="122"/>
        <v/>
      </c>
      <c r="J440" s="32" t="str">
        <f t="shared" si="123"/>
        <v/>
      </c>
      <c r="K440" s="25" t="str">
        <f t="shared" si="124"/>
        <v/>
      </c>
      <c r="L440" s="25" t="str">
        <f t="shared" si="125"/>
        <v/>
      </c>
      <c r="M440" s="33" t="e" cm="1">
        <f t="array" aca="1" ref="M440" ca="1">IF(AND(J440=INDIRECT("'["&amp;G440&amp;"]"&amp;E440&amp;"'!"&amp;$Y$2),G440=INDIRECT("'["&amp;G440&amp;"]"&amp;E440&amp;"'!"&amp;$AH$2)),INDIRECT("'["&amp;G440&amp;"]"&amp;E440&amp;"'!"&amp;$Y$3),0)</f>
        <v>#VALUE!</v>
      </c>
      <c r="N440" s="34" t="e" cm="1">
        <f t="array" aca="1" ref="N440" ca="1">IF(AND(G440=INDIRECT("'["&amp;G440&amp;"]"&amp;E440&amp;"'!"&amp;$AH$2),OR(K440=INDIRECT("'["&amp;G440&amp;"]"&amp;E440&amp;"'!"&amp;$Z$2))),INDIRECT("'["&amp;G440&amp;"]"&amp;E440&amp;"'!"&amp;$Z$3),0)</f>
        <v>#VALUE!</v>
      </c>
      <c r="O440" s="34" t="e" cm="1">
        <f t="array" aca="1" ref="O440" ca="1">IF(AND(G440=INDIRECT("'["&amp;G440&amp;"]"&amp;E440&amp;"'!"&amp;$AH$2),OR(L440=INDIRECT("'["&amp;G440&amp;"]"&amp;E440&amp;"'!"&amp;$AA$2))),INDIRECT("'["&amp;G440&amp;"]"&amp;E440&amp;"'!"&amp;$AA$3),0)</f>
        <v>#VALUE!</v>
      </c>
      <c r="P440" s="34" t="e" cm="1">
        <f t="array" aca="1" ref="P440" ca="1">IF(AND(G440=INDIRECT("'["&amp;G440&amp;"]"&amp;E440&amp;"'!"&amp;$AH$2),OR(VALUE(I440)=INDIRECT("'["&amp;G440&amp;"]"&amp;E440&amp;"'!"&amp;$AB$2))),INDIRECT("'["&amp;G440&amp;"]"&amp;E440&amp;"'!"&amp;$AB$3),0)</f>
        <v>#VALUE!</v>
      </c>
      <c r="Q440" s="34" t="e" cm="1">
        <f t="array" aca="1" ref="Q440" ca="1">IF(AND(G440=INDIRECT("'["&amp;G440&amp;"]"&amp;E440&amp;"'!"&amp;$AH$2),OR(VALUE(I440)=INDIRECT("'["&amp;G440&amp;"]"&amp;E440&amp;"'!"&amp;$AC$2))),INDIRECT("'["&amp;G440&amp;"]"&amp;E440&amp;"'!"&amp;$AC$3),0)</f>
        <v>#VALUE!</v>
      </c>
      <c r="R440" s="34" t="e" cm="1">
        <f t="array" aca="1" ref="R440" ca="1">IF(AND(G440=INDIRECT("'["&amp;G440&amp;"]"&amp;E440&amp;"'!"&amp;$AH$2),OR(I440=INDIRECT("'["&amp;G440&amp;"]"&amp;E440&amp;"'!"&amp;$AD$2))),INDIRECT("'["&amp;G440&amp;"]"&amp;E440&amp;"'!"&amp;$AD$3),0)</f>
        <v>#VALUE!</v>
      </c>
      <c r="S440" s="34" t="e" cm="1">
        <f t="array" aca="1" ref="S440" ca="1">IF(AND(G440=INDIRECT("'["&amp;G440&amp;"]"&amp;E440&amp;"'!"&amp;$AH$2),OR(I440=INDIRECT("'["&amp;G440&amp;"]"&amp;E440&amp;"'!"&amp;$AE$2))),INDIRECT("'["&amp;G440&amp;"]"&amp;E440&amp;"'!"&amp;$AE$3),0)</f>
        <v>#VALUE!</v>
      </c>
      <c r="T440" s="35" t="e" cm="1">
        <f t="array" aca="1" ref="T440" ca="1">IF(AND(G440=INDIRECT("'["&amp;G440&amp;"]"&amp;E440&amp;"'!"&amp;$AH$2),OR(I440=INDIRECT("'["&amp;G440&amp;"]"&amp;E440&amp;"'!"&amp;$AF$2))),INDIRECT("'["&amp;G440&amp;"]"&amp;E440&amp;"'!"&amp;$AF$3),0)</f>
        <v>#VALUE!</v>
      </c>
      <c r="U440" s="34" t="e" cm="1">
        <f t="array" aca="1" ref="U440" ca="1">IF(AND(G440=INDIRECT("'["&amp;G440&amp;"]"&amp;E440&amp;"'!"&amp;$AH$2),OR(I440=INDIRECT("'["&amp;G440&amp;"]"&amp;E440&amp;"'!"&amp;$AG$2))),INDIRECT("'["&amp;G440&amp;"]"&amp;E440&amp;"'!"&amp;$AG$3),0)</f>
        <v>#VALUE!</v>
      </c>
      <c r="V440" s="25" t="str">
        <f t="shared" si="126"/>
        <v/>
      </c>
      <c r="W440" s="36" t="e" cm="1">
        <f t="array" aca="1" ref="W440" ca="1">IF(AND(G440=INDIRECT("'["&amp;G440&amp;"]"&amp;E440&amp;"'!"&amp;$AH$2),OR(V440=INDIRECT("'["&amp;G440&amp;"]"&amp;E440&amp;"'!"&amp;$AI$2))),INDIRECT("'["&amp;G440&amp;"]"&amp;E440&amp;"'!"&amp;$AI$3),0)</f>
        <v>#VALUE!</v>
      </c>
      <c r="AJ440" s="25">
        <v>1</v>
      </c>
      <c r="AK440" s="38">
        <f t="shared" ca="1" si="111"/>
        <v>0</v>
      </c>
      <c r="AL440" s="38">
        <f t="shared" ca="1" si="112"/>
        <v>0</v>
      </c>
      <c r="AM440" s="54" t="str">
        <f t="shared" ca="1" si="113"/>
        <v/>
      </c>
      <c r="AN440" s="25" t="e">
        <f t="shared" ca="1" si="114"/>
        <v>#VALUE!</v>
      </c>
      <c r="AO440" s="25" t="e">
        <f t="shared" ca="1" si="115"/>
        <v>#VALUE!</v>
      </c>
      <c r="AP440" s="39" t="str">
        <f t="shared" ca="1" si="116"/>
        <v/>
      </c>
      <c r="AQ440" s="46" t="str">
        <f ca="1">IF(AND(C440&lt;&gt;0, C441=0), SUM($C$2:C440)-SUM($AQ$1:AQ439), "")</f>
        <v/>
      </c>
      <c r="AR440" s="46" t="str">
        <f ca="1">IF(AND(AK440&lt;&gt;0, AK441=0), SUM($AK$2:AK440)-SUM($AR$1:AR439), "")</f>
        <v/>
      </c>
    </row>
    <row r="441" spans="1:44" ht="13.15" customHeight="1">
      <c r="A441" s="62"/>
      <c r="B441" s="68" t="str">
        <f t="shared" si="117"/>
        <v/>
      </c>
      <c r="C441" s="55" cm="1">
        <f t="array" aca="1" ref="C441" ca="1">SUM(IF(ISNUMBER(M441:U441),M441:U441,""))</f>
        <v>0</v>
      </c>
      <c r="D441" s="25" t="str">
        <f t="shared" si="118"/>
        <v/>
      </c>
      <c r="E441" s="25" t="e">
        <f t="shared" si="119"/>
        <v>#VALUE!</v>
      </c>
      <c r="F441" s="25" t="str">
        <f t="shared" si="120"/>
        <v/>
      </c>
      <c r="G441" s="25" t="str">
        <f t="shared" si="121"/>
        <v>.xlsx</v>
      </c>
      <c r="H441" s="29" t="e" cm="1">
        <f t="array" aca="1" ref="H441" ca="1">IF(AND(VALUE(E441)=INDIRECT("'["&amp;G441&amp;"]"&amp;E441&amp;"'!"&amp;$X$2),G441=INDIRECT("'["&amp;G441&amp;"]"&amp;E441&amp;"'!"&amp;$X$3)),INDIRECT("'["&amp;G441&amp;"]"&amp;E441&amp;"'!"&amp;$X$1),0)</f>
        <v>#VALUE!</v>
      </c>
      <c r="I441" s="25" t="str">
        <f t="shared" si="122"/>
        <v/>
      </c>
      <c r="J441" s="32" t="str">
        <f t="shared" si="123"/>
        <v/>
      </c>
      <c r="K441" s="25" t="str">
        <f t="shared" si="124"/>
        <v/>
      </c>
      <c r="L441" s="25" t="str">
        <f t="shared" si="125"/>
        <v/>
      </c>
      <c r="M441" s="33" t="e" cm="1">
        <f t="array" aca="1" ref="M441" ca="1">IF(AND(J441=INDIRECT("'["&amp;G441&amp;"]"&amp;E441&amp;"'!"&amp;$Y$2),G441=INDIRECT("'["&amp;G441&amp;"]"&amp;E441&amp;"'!"&amp;$AH$2)),INDIRECT("'["&amp;G441&amp;"]"&amp;E441&amp;"'!"&amp;$Y$3),0)</f>
        <v>#VALUE!</v>
      </c>
      <c r="N441" s="34" t="e" cm="1">
        <f t="array" aca="1" ref="N441" ca="1">IF(AND(G441=INDIRECT("'["&amp;G441&amp;"]"&amp;E441&amp;"'!"&amp;$AH$2),OR(K441=INDIRECT("'["&amp;G441&amp;"]"&amp;E441&amp;"'!"&amp;$Z$2))),INDIRECT("'["&amp;G441&amp;"]"&amp;E441&amp;"'!"&amp;$Z$3),0)</f>
        <v>#VALUE!</v>
      </c>
      <c r="O441" s="34" t="e" cm="1">
        <f t="array" aca="1" ref="O441" ca="1">IF(AND(G441=INDIRECT("'["&amp;G441&amp;"]"&amp;E441&amp;"'!"&amp;$AH$2),OR(L441=INDIRECT("'["&amp;G441&amp;"]"&amp;E441&amp;"'!"&amp;$AA$2))),INDIRECT("'["&amp;G441&amp;"]"&amp;E441&amp;"'!"&amp;$AA$3),0)</f>
        <v>#VALUE!</v>
      </c>
      <c r="P441" s="34" t="e" cm="1">
        <f t="array" aca="1" ref="P441" ca="1">IF(AND(G441=INDIRECT("'["&amp;G441&amp;"]"&amp;E441&amp;"'!"&amp;$AH$2),OR(VALUE(I441)=INDIRECT("'["&amp;G441&amp;"]"&amp;E441&amp;"'!"&amp;$AB$2))),INDIRECT("'["&amp;G441&amp;"]"&amp;E441&amp;"'!"&amp;$AB$3),0)</f>
        <v>#VALUE!</v>
      </c>
      <c r="Q441" s="34" t="e" cm="1">
        <f t="array" aca="1" ref="Q441" ca="1">IF(AND(G441=INDIRECT("'["&amp;G441&amp;"]"&amp;E441&amp;"'!"&amp;$AH$2),OR(VALUE(I441)=INDIRECT("'["&amp;G441&amp;"]"&amp;E441&amp;"'!"&amp;$AC$2))),INDIRECT("'["&amp;G441&amp;"]"&amp;E441&amp;"'!"&amp;$AC$3),0)</f>
        <v>#VALUE!</v>
      </c>
      <c r="R441" s="34" t="e" cm="1">
        <f t="array" aca="1" ref="R441" ca="1">IF(AND(G441=INDIRECT("'["&amp;G441&amp;"]"&amp;E441&amp;"'!"&amp;$AH$2),OR(I441=INDIRECT("'["&amp;G441&amp;"]"&amp;E441&amp;"'!"&amp;$AD$2))),INDIRECT("'["&amp;G441&amp;"]"&amp;E441&amp;"'!"&amp;$AD$3),0)</f>
        <v>#VALUE!</v>
      </c>
      <c r="S441" s="34" t="e" cm="1">
        <f t="array" aca="1" ref="S441" ca="1">IF(AND(G441=INDIRECT("'["&amp;G441&amp;"]"&amp;E441&amp;"'!"&amp;$AH$2),OR(I441=INDIRECT("'["&amp;G441&amp;"]"&amp;E441&amp;"'!"&amp;$AE$2))),INDIRECT("'["&amp;G441&amp;"]"&amp;E441&amp;"'!"&amp;$AE$3),0)</f>
        <v>#VALUE!</v>
      </c>
      <c r="T441" s="35" t="e" cm="1">
        <f t="array" aca="1" ref="T441" ca="1">IF(AND(G441=INDIRECT("'["&amp;G441&amp;"]"&amp;E441&amp;"'!"&amp;$AH$2),OR(I441=INDIRECT("'["&amp;G441&amp;"]"&amp;E441&amp;"'!"&amp;$AF$2))),INDIRECT("'["&amp;G441&amp;"]"&amp;E441&amp;"'!"&amp;$AF$3),0)</f>
        <v>#VALUE!</v>
      </c>
      <c r="U441" s="34" t="e" cm="1">
        <f t="array" aca="1" ref="U441" ca="1">IF(AND(G441=INDIRECT("'["&amp;G441&amp;"]"&amp;E441&amp;"'!"&amp;$AH$2),OR(I441=INDIRECT("'["&amp;G441&amp;"]"&amp;E441&amp;"'!"&amp;$AG$2))),INDIRECT("'["&amp;G441&amp;"]"&amp;E441&amp;"'!"&amp;$AG$3),0)</f>
        <v>#VALUE!</v>
      </c>
      <c r="V441" s="25" t="str">
        <f t="shared" si="126"/>
        <v/>
      </c>
      <c r="W441" s="36" t="e" cm="1">
        <f t="array" aca="1" ref="W441" ca="1">IF(AND(G441=INDIRECT("'["&amp;G441&amp;"]"&amp;E441&amp;"'!"&amp;$AH$2),OR(V441=INDIRECT("'["&amp;G441&amp;"]"&amp;E441&amp;"'!"&amp;$AI$2))),INDIRECT("'["&amp;G441&amp;"]"&amp;E441&amp;"'!"&amp;$AI$3),0)</f>
        <v>#VALUE!</v>
      </c>
      <c r="AJ441" s="25">
        <v>1</v>
      </c>
      <c r="AK441" s="38">
        <f t="shared" ca="1" si="111"/>
        <v>0</v>
      </c>
      <c r="AL441" s="38">
        <f t="shared" ca="1" si="112"/>
        <v>0</v>
      </c>
      <c r="AM441" s="54" t="str">
        <f t="shared" ca="1" si="113"/>
        <v/>
      </c>
      <c r="AN441" s="25" t="e">
        <f t="shared" ca="1" si="114"/>
        <v>#VALUE!</v>
      </c>
      <c r="AO441" s="25" t="e">
        <f t="shared" ca="1" si="115"/>
        <v>#VALUE!</v>
      </c>
      <c r="AP441" s="39" t="str">
        <f t="shared" ca="1" si="116"/>
        <v/>
      </c>
      <c r="AQ441" s="46" t="str">
        <f ca="1">IF(AND(C441&lt;&gt;0, C442=0), SUM($C$2:C441)-SUM($AQ$1:AQ440), "")</f>
        <v/>
      </c>
      <c r="AR441" s="46" t="str">
        <f ca="1">IF(AND(AK441&lt;&gt;0, AK442=0), SUM($AK$2:AK441)-SUM($AR$1:AR440), "")</f>
        <v/>
      </c>
    </row>
    <row r="442" spans="1:44" ht="13.15" customHeight="1">
      <c r="A442" s="62"/>
      <c r="B442" s="68" t="str">
        <f t="shared" si="117"/>
        <v/>
      </c>
      <c r="C442" s="55" cm="1">
        <f t="array" aca="1" ref="C442" ca="1">SUM(IF(ISNUMBER(M442:U442),M442:U442,""))</f>
        <v>0</v>
      </c>
      <c r="D442" s="25" t="str">
        <f t="shared" si="118"/>
        <v/>
      </c>
      <c r="E442" s="25" t="e">
        <f t="shared" si="119"/>
        <v>#VALUE!</v>
      </c>
      <c r="F442" s="25" t="str">
        <f t="shared" si="120"/>
        <v/>
      </c>
      <c r="G442" s="25" t="str">
        <f t="shared" si="121"/>
        <v>.xlsx</v>
      </c>
      <c r="H442" s="29" t="e" cm="1">
        <f t="array" aca="1" ref="H442" ca="1">IF(AND(VALUE(E442)=INDIRECT("'["&amp;G442&amp;"]"&amp;E442&amp;"'!"&amp;$X$2),G442=INDIRECT("'["&amp;G442&amp;"]"&amp;E442&amp;"'!"&amp;$X$3)),INDIRECT("'["&amp;G442&amp;"]"&amp;E442&amp;"'!"&amp;$X$1),0)</f>
        <v>#VALUE!</v>
      </c>
      <c r="I442" s="25" t="str">
        <f t="shared" si="122"/>
        <v/>
      </c>
      <c r="J442" s="32" t="str">
        <f t="shared" si="123"/>
        <v/>
      </c>
      <c r="K442" s="25" t="str">
        <f t="shared" si="124"/>
        <v/>
      </c>
      <c r="L442" s="25" t="str">
        <f t="shared" si="125"/>
        <v/>
      </c>
      <c r="M442" s="33" t="e" cm="1">
        <f t="array" aca="1" ref="M442" ca="1">IF(AND(J442=INDIRECT("'["&amp;G442&amp;"]"&amp;E442&amp;"'!"&amp;$Y$2),G442=INDIRECT("'["&amp;G442&amp;"]"&amp;E442&amp;"'!"&amp;$AH$2)),INDIRECT("'["&amp;G442&amp;"]"&amp;E442&amp;"'!"&amp;$Y$3),0)</f>
        <v>#VALUE!</v>
      </c>
      <c r="N442" s="34" t="e" cm="1">
        <f t="array" aca="1" ref="N442" ca="1">IF(AND(G442=INDIRECT("'["&amp;G442&amp;"]"&amp;E442&amp;"'!"&amp;$AH$2),OR(K442=INDIRECT("'["&amp;G442&amp;"]"&amp;E442&amp;"'!"&amp;$Z$2))),INDIRECT("'["&amp;G442&amp;"]"&amp;E442&amp;"'!"&amp;$Z$3),0)</f>
        <v>#VALUE!</v>
      </c>
      <c r="O442" s="34" t="e" cm="1">
        <f t="array" aca="1" ref="O442" ca="1">IF(AND(G442=INDIRECT("'["&amp;G442&amp;"]"&amp;E442&amp;"'!"&amp;$AH$2),OR(L442=INDIRECT("'["&amp;G442&amp;"]"&amp;E442&amp;"'!"&amp;$AA$2))),INDIRECT("'["&amp;G442&amp;"]"&amp;E442&amp;"'!"&amp;$AA$3),0)</f>
        <v>#VALUE!</v>
      </c>
      <c r="P442" s="34" t="e" cm="1">
        <f t="array" aca="1" ref="P442" ca="1">IF(AND(G442=INDIRECT("'["&amp;G442&amp;"]"&amp;E442&amp;"'!"&amp;$AH$2),OR(VALUE(I442)=INDIRECT("'["&amp;G442&amp;"]"&amp;E442&amp;"'!"&amp;$AB$2))),INDIRECT("'["&amp;G442&amp;"]"&amp;E442&amp;"'!"&amp;$AB$3),0)</f>
        <v>#VALUE!</v>
      </c>
      <c r="Q442" s="34" t="e" cm="1">
        <f t="array" aca="1" ref="Q442" ca="1">IF(AND(G442=INDIRECT("'["&amp;G442&amp;"]"&amp;E442&amp;"'!"&amp;$AH$2),OR(VALUE(I442)=INDIRECT("'["&amp;G442&amp;"]"&amp;E442&amp;"'!"&amp;$AC$2))),INDIRECT("'["&amp;G442&amp;"]"&amp;E442&amp;"'!"&amp;$AC$3),0)</f>
        <v>#VALUE!</v>
      </c>
      <c r="R442" s="34" t="e" cm="1">
        <f t="array" aca="1" ref="R442" ca="1">IF(AND(G442=INDIRECT("'["&amp;G442&amp;"]"&amp;E442&amp;"'!"&amp;$AH$2),OR(I442=INDIRECT("'["&amp;G442&amp;"]"&amp;E442&amp;"'!"&amp;$AD$2))),INDIRECT("'["&amp;G442&amp;"]"&amp;E442&amp;"'!"&amp;$AD$3),0)</f>
        <v>#VALUE!</v>
      </c>
      <c r="S442" s="34" t="e" cm="1">
        <f t="array" aca="1" ref="S442" ca="1">IF(AND(G442=INDIRECT("'["&amp;G442&amp;"]"&amp;E442&amp;"'!"&amp;$AH$2),OR(I442=INDIRECT("'["&amp;G442&amp;"]"&amp;E442&amp;"'!"&amp;$AE$2))),INDIRECT("'["&amp;G442&amp;"]"&amp;E442&amp;"'!"&amp;$AE$3),0)</f>
        <v>#VALUE!</v>
      </c>
      <c r="T442" s="35" t="e" cm="1">
        <f t="array" aca="1" ref="T442" ca="1">IF(AND(G442=INDIRECT("'["&amp;G442&amp;"]"&amp;E442&amp;"'!"&amp;$AH$2),OR(I442=INDIRECT("'["&amp;G442&amp;"]"&amp;E442&amp;"'!"&amp;$AF$2))),INDIRECT("'["&amp;G442&amp;"]"&amp;E442&amp;"'!"&amp;$AF$3),0)</f>
        <v>#VALUE!</v>
      </c>
      <c r="U442" s="34" t="e" cm="1">
        <f t="array" aca="1" ref="U442" ca="1">IF(AND(G442=INDIRECT("'["&amp;G442&amp;"]"&amp;E442&amp;"'!"&amp;$AH$2),OR(I442=INDIRECT("'["&amp;G442&amp;"]"&amp;E442&amp;"'!"&amp;$AG$2))),INDIRECT("'["&amp;G442&amp;"]"&amp;E442&amp;"'!"&amp;$AG$3),0)</f>
        <v>#VALUE!</v>
      </c>
      <c r="V442" s="25" t="str">
        <f t="shared" si="126"/>
        <v/>
      </c>
      <c r="W442" s="36" t="e" cm="1">
        <f t="array" aca="1" ref="W442" ca="1">IF(AND(G442=INDIRECT("'["&amp;G442&amp;"]"&amp;E442&amp;"'!"&amp;$AH$2),OR(V442=INDIRECT("'["&amp;G442&amp;"]"&amp;E442&amp;"'!"&amp;$AI$2))),INDIRECT("'["&amp;G442&amp;"]"&amp;E442&amp;"'!"&amp;$AI$3),0)</f>
        <v>#VALUE!</v>
      </c>
      <c r="AJ442" s="25">
        <v>1</v>
      </c>
      <c r="AK442" s="38">
        <f t="shared" ca="1" si="111"/>
        <v>0</v>
      </c>
      <c r="AL442" s="38">
        <f t="shared" ca="1" si="112"/>
        <v>0</v>
      </c>
      <c r="AM442" s="54" t="str">
        <f t="shared" ca="1" si="113"/>
        <v/>
      </c>
      <c r="AN442" s="25" t="e">
        <f t="shared" ca="1" si="114"/>
        <v>#VALUE!</v>
      </c>
      <c r="AO442" s="25" t="e">
        <f t="shared" ca="1" si="115"/>
        <v>#VALUE!</v>
      </c>
      <c r="AP442" s="39" t="str">
        <f t="shared" ca="1" si="116"/>
        <v/>
      </c>
      <c r="AQ442" s="46" t="str">
        <f ca="1">IF(AND(C442&lt;&gt;0, C443=0), SUM($C$2:C442)-SUM($AQ$1:AQ441), "")</f>
        <v/>
      </c>
      <c r="AR442" s="46" t="str">
        <f ca="1">IF(AND(AK442&lt;&gt;0, AK443=0), SUM($AK$2:AK442)-SUM($AR$1:AR441), "")</f>
        <v/>
      </c>
    </row>
    <row r="443" spans="1:44" ht="13.15" customHeight="1">
      <c r="A443" s="62"/>
      <c r="B443" s="68" t="str">
        <f t="shared" si="117"/>
        <v/>
      </c>
      <c r="C443" s="55" cm="1">
        <f t="array" aca="1" ref="C443" ca="1">SUM(IF(ISNUMBER(M443:U443),M443:U443,""))</f>
        <v>0</v>
      </c>
      <c r="D443" s="25" t="str">
        <f t="shared" si="118"/>
        <v/>
      </c>
      <c r="E443" s="25" t="e">
        <f t="shared" si="119"/>
        <v>#VALUE!</v>
      </c>
      <c r="F443" s="25" t="str">
        <f t="shared" si="120"/>
        <v/>
      </c>
      <c r="G443" s="25" t="str">
        <f t="shared" si="121"/>
        <v>.xlsx</v>
      </c>
      <c r="H443" s="29" t="e" cm="1">
        <f t="array" aca="1" ref="H443" ca="1">IF(AND(VALUE(E443)=INDIRECT("'["&amp;G443&amp;"]"&amp;E443&amp;"'!"&amp;$X$2),G443=INDIRECT("'["&amp;G443&amp;"]"&amp;E443&amp;"'!"&amp;$X$3)),INDIRECT("'["&amp;G443&amp;"]"&amp;E443&amp;"'!"&amp;$X$1),0)</f>
        <v>#VALUE!</v>
      </c>
      <c r="I443" s="25" t="str">
        <f t="shared" si="122"/>
        <v/>
      </c>
      <c r="J443" s="32" t="str">
        <f t="shared" si="123"/>
        <v/>
      </c>
      <c r="K443" s="25" t="str">
        <f t="shared" si="124"/>
        <v/>
      </c>
      <c r="L443" s="25" t="str">
        <f t="shared" si="125"/>
        <v/>
      </c>
      <c r="M443" s="33" t="e" cm="1">
        <f t="array" aca="1" ref="M443" ca="1">IF(AND(J443=INDIRECT("'["&amp;G443&amp;"]"&amp;E443&amp;"'!"&amp;$Y$2),G443=INDIRECT("'["&amp;G443&amp;"]"&amp;E443&amp;"'!"&amp;$AH$2)),INDIRECT("'["&amp;G443&amp;"]"&amp;E443&amp;"'!"&amp;$Y$3),0)</f>
        <v>#VALUE!</v>
      </c>
      <c r="N443" s="34" t="e" cm="1">
        <f t="array" aca="1" ref="N443" ca="1">IF(AND(G443=INDIRECT("'["&amp;G443&amp;"]"&amp;E443&amp;"'!"&amp;$AH$2),OR(K443=INDIRECT("'["&amp;G443&amp;"]"&amp;E443&amp;"'!"&amp;$Z$2))),INDIRECT("'["&amp;G443&amp;"]"&amp;E443&amp;"'!"&amp;$Z$3),0)</f>
        <v>#VALUE!</v>
      </c>
      <c r="O443" s="34" t="e" cm="1">
        <f t="array" aca="1" ref="O443" ca="1">IF(AND(G443=INDIRECT("'["&amp;G443&amp;"]"&amp;E443&amp;"'!"&amp;$AH$2),OR(L443=INDIRECT("'["&amp;G443&amp;"]"&amp;E443&amp;"'!"&amp;$AA$2))),INDIRECT("'["&amp;G443&amp;"]"&amp;E443&amp;"'!"&amp;$AA$3),0)</f>
        <v>#VALUE!</v>
      </c>
      <c r="P443" s="34" t="e" cm="1">
        <f t="array" aca="1" ref="P443" ca="1">IF(AND(G443=INDIRECT("'["&amp;G443&amp;"]"&amp;E443&amp;"'!"&amp;$AH$2),OR(VALUE(I443)=INDIRECT("'["&amp;G443&amp;"]"&amp;E443&amp;"'!"&amp;$AB$2))),INDIRECT("'["&amp;G443&amp;"]"&amp;E443&amp;"'!"&amp;$AB$3),0)</f>
        <v>#VALUE!</v>
      </c>
      <c r="Q443" s="34" t="e" cm="1">
        <f t="array" aca="1" ref="Q443" ca="1">IF(AND(G443=INDIRECT("'["&amp;G443&amp;"]"&amp;E443&amp;"'!"&amp;$AH$2),OR(VALUE(I443)=INDIRECT("'["&amp;G443&amp;"]"&amp;E443&amp;"'!"&amp;$AC$2))),INDIRECT("'["&amp;G443&amp;"]"&amp;E443&amp;"'!"&amp;$AC$3),0)</f>
        <v>#VALUE!</v>
      </c>
      <c r="R443" s="34" t="e" cm="1">
        <f t="array" aca="1" ref="R443" ca="1">IF(AND(G443=INDIRECT("'["&amp;G443&amp;"]"&amp;E443&amp;"'!"&amp;$AH$2),OR(I443=INDIRECT("'["&amp;G443&amp;"]"&amp;E443&amp;"'!"&amp;$AD$2))),INDIRECT("'["&amp;G443&amp;"]"&amp;E443&amp;"'!"&amp;$AD$3),0)</f>
        <v>#VALUE!</v>
      </c>
      <c r="S443" s="34" t="e" cm="1">
        <f t="array" aca="1" ref="S443" ca="1">IF(AND(G443=INDIRECT("'["&amp;G443&amp;"]"&amp;E443&amp;"'!"&amp;$AH$2),OR(I443=INDIRECT("'["&amp;G443&amp;"]"&amp;E443&amp;"'!"&amp;$AE$2))),INDIRECT("'["&amp;G443&amp;"]"&amp;E443&amp;"'!"&amp;$AE$3),0)</f>
        <v>#VALUE!</v>
      </c>
      <c r="T443" s="35" t="e" cm="1">
        <f t="array" aca="1" ref="T443" ca="1">IF(AND(G443=INDIRECT("'["&amp;G443&amp;"]"&amp;E443&amp;"'!"&amp;$AH$2),OR(I443=INDIRECT("'["&amp;G443&amp;"]"&amp;E443&amp;"'!"&amp;$AF$2))),INDIRECT("'["&amp;G443&amp;"]"&amp;E443&amp;"'!"&amp;$AF$3),0)</f>
        <v>#VALUE!</v>
      </c>
      <c r="U443" s="34" t="e" cm="1">
        <f t="array" aca="1" ref="U443" ca="1">IF(AND(G443=INDIRECT("'["&amp;G443&amp;"]"&amp;E443&amp;"'!"&amp;$AH$2),OR(I443=INDIRECT("'["&amp;G443&amp;"]"&amp;E443&amp;"'!"&amp;$AG$2))),INDIRECT("'["&amp;G443&amp;"]"&amp;E443&amp;"'!"&amp;$AG$3),0)</f>
        <v>#VALUE!</v>
      </c>
      <c r="V443" s="25" t="str">
        <f t="shared" si="126"/>
        <v/>
      </c>
      <c r="W443" s="36" t="e" cm="1">
        <f t="array" aca="1" ref="W443" ca="1">IF(AND(G443=INDIRECT("'["&amp;G443&amp;"]"&amp;E443&amp;"'!"&amp;$AH$2),OR(V443=INDIRECT("'["&amp;G443&amp;"]"&amp;E443&amp;"'!"&amp;$AI$2))),INDIRECT("'["&amp;G443&amp;"]"&amp;E443&amp;"'!"&amp;$AI$3),0)</f>
        <v>#VALUE!</v>
      </c>
      <c r="AJ443" s="25">
        <v>1</v>
      </c>
      <c r="AK443" s="38">
        <f t="shared" ca="1" si="111"/>
        <v>0</v>
      </c>
      <c r="AL443" s="38">
        <f t="shared" ca="1" si="112"/>
        <v>0</v>
      </c>
      <c r="AM443" s="54" t="str">
        <f t="shared" ca="1" si="113"/>
        <v/>
      </c>
      <c r="AN443" s="25" t="e">
        <f t="shared" ca="1" si="114"/>
        <v>#VALUE!</v>
      </c>
      <c r="AO443" s="25" t="e">
        <f t="shared" ca="1" si="115"/>
        <v>#VALUE!</v>
      </c>
      <c r="AP443" s="39" t="str">
        <f t="shared" ca="1" si="116"/>
        <v/>
      </c>
      <c r="AQ443" s="46" t="str">
        <f ca="1">IF(AND(C443&lt;&gt;0, C444=0), SUM($C$2:C443)-SUM($AQ$1:AQ442), "")</f>
        <v/>
      </c>
      <c r="AR443" s="46" t="str">
        <f ca="1">IF(AND(AK443&lt;&gt;0, AK444=0), SUM($AK$2:AK443)-SUM($AR$1:AR442), "")</f>
        <v/>
      </c>
    </row>
    <row r="444" spans="1:44" ht="13.15" customHeight="1">
      <c r="A444" s="62"/>
      <c r="B444" s="68" t="str">
        <f t="shared" si="117"/>
        <v/>
      </c>
      <c r="C444" s="55" cm="1">
        <f t="array" aca="1" ref="C444" ca="1">SUM(IF(ISNUMBER(M444:U444),M444:U444,""))</f>
        <v>0</v>
      </c>
      <c r="D444" s="25" t="str">
        <f t="shared" si="118"/>
        <v/>
      </c>
      <c r="E444" s="25" t="e">
        <f t="shared" si="119"/>
        <v>#VALUE!</v>
      </c>
      <c r="F444" s="25" t="str">
        <f t="shared" si="120"/>
        <v/>
      </c>
      <c r="G444" s="25" t="str">
        <f t="shared" si="121"/>
        <v>.xlsx</v>
      </c>
      <c r="H444" s="29" t="e" cm="1">
        <f t="array" aca="1" ref="H444" ca="1">IF(AND(VALUE(E444)=INDIRECT("'["&amp;G444&amp;"]"&amp;E444&amp;"'!"&amp;$X$2),G444=INDIRECT("'["&amp;G444&amp;"]"&amp;E444&amp;"'!"&amp;$X$3)),INDIRECT("'["&amp;G444&amp;"]"&amp;E444&amp;"'!"&amp;$X$1),0)</f>
        <v>#VALUE!</v>
      </c>
      <c r="I444" s="25" t="str">
        <f t="shared" si="122"/>
        <v/>
      </c>
      <c r="J444" s="32" t="str">
        <f t="shared" si="123"/>
        <v/>
      </c>
      <c r="K444" s="25" t="str">
        <f t="shared" si="124"/>
        <v/>
      </c>
      <c r="L444" s="25" t="str">
        <f t="shared" si="125"/>
        <v/>
      </c>
      <c r="M444" s="33" t="e" cm="1">
        <f t="array" aca="1" ref="M444" ca="1">IF(AND(J444=INDIRECT("'["&amp;G444&amp;"]"&amp;E444&amp;"'!"&amp;$Y$2),G444=INDIRECT("'["&amp;G444&amp;"]"&amp;E444&amp;"'!"&amp;$AH$2)),INDIRECT("'["&amp;G444&amp;"]"&amp;E444&amp;"'!"&amp;$Y$3),0)</f>
        <v>#VALUE!</v>
      </c>
      <c r="N444" s="34" t="e" cm="1">
        <f t="array" aca="1" ref="N444" ca="1">IF(AND(G444=INDIRECT("'["&amp;G444&amp;"]"&amp;E444&amp;"'!"&amp;$AH$2),OR(K444=INDIRECT("'["&amp;G444&amp;"]"&amp;E444&amp;"'!"&amp;$Z$2))),INDIRECT("'["&amp;G444&amp;"]"&amp;E444&amp;"'!"&amp;$Z$3),0)</f>
        <v>#VALUE!</v>
      </c>
      <c r="O444" s="34" t="e" cm="1">
        <f t="array" aca="1" ref="O444" ca="1">IF(AND(G444=INDIRECT("'["&amp;G444&amp;"]"&amp;E444&amp;"'!"&amp;$AH$2),OR(L444=INDIRECT("'["&amp;G444&amp;"]"&amp;E444&amp;"'!"&amp;$AA$2))),INDIRECT("'["&amp;G444&amp;"]"&amp;E444&amp;"'!"&amp;$AA$3),0)</f>
        <v>#VALUE!</v>
      </c>
      <c r="P444" s="34" t="e" cm="1">
        <f t="array" aca="1" ref="P444" ca="1">IF(AND(G444=INDIRECT("'["&amp;G444&amp;"]"&amp;E444&amp;"'!"&amp;$AH$2),OR(VALUE(I444)=INDIRECT("'["&amp;G444&amp;"]"&amp;E444&amp;"'!"&amp;$AB$2))),INDIRECT("'["&amp;G444&amp;"]"&amp;E444&amp;"'!"&amp;$AB$3),0)</f>
        <v>#VALUE!</v>
      </c>
      <c r="Q444" s="34" t="e" cm="1">
        <f t="array" aca="1" ref="Q444" ca="1">IF(AND(G444=INDIRECT("'["&amp;G444&amp;"]"&amp;E444&amp;"'!"&amp;$AH$2),OR(VALUE(I444)=INDIRECT("'["&amp;G444&amp;"]"&amp;E444&amp;"'!"&amp;$AC$2))),INDIRECT("'["&amp;G444&amp;"]"&amp;E444&amp;"'!"&amp;$AC$3),0)</f>
        <v>#VALUE!</v>
      </c>
      <c r="R444" s="34" t="e" cm="1">
        <f t="array" aca="1" ref="R444" ca="1">IF(AND(G444=INDIRECT("'["&amp;G444&amp;"]"&amp;E444&amp;"'!"&amp;$AH$2),OR(I444=INDIRECT("'["&amp;G444&amp;"]"&amp;E444&amp;"'!"&amp;$AD$2))),INDIRECT("'["&amp;G444&amp;"]"&amp;E444&amp;"'!"&amp;$AD$3),0)</f>
        <v>#VALUE!</v>
      </c>
      <c r="S444" s="34" t="e" cm="1">
        <f t="array" aca="1" ref="S444" ca="1">IF(AND(G444=INDIRECT("'["&amp;G444&amp;"]"&amp;E444&amp;"'!"&amp;$AH$2),OR(I444=INDIRECT("'["&amp;G444&amp;"]"&amp;E444&amp;"'!"&amp;$AE$2))),INDIRECT("'["&amp;G444&amp;"]"&amp;E444&amp;"'!"&amp;$AE$3),0)</f>
        <v>#VALUE!</v>
      </c>
      <c r="T444" s="35" t="e" cm="1">
        <f t="array" aca="1" ref="T444" ca="1">IF(AND(G444=INDIRECT("'["&amp;G444&amp;"]"&amp;E444&amp;"'!"&amp;$AH$2),OR(I444=INDIRECT("'["&amp;G444&amp;"]"&amp;E444&amp;"'!"&amp;$AF$2))),INDIRECT("'["&amp;G444&amp;"]"&amp;E444&amp;"'!"&amp;$AF$3),0)</f>
        <v>#VALUE!</v>
      </c>
      <c r="U444" s="34" t="e" cm="1">
        <f t="array" aca="1" ref="U444" ca="1">IF(AND(G444=INDIRECT("'["&amp;G444&amp;"]"&amp;E444&amp;"'!"&amp;$AH$2),OR(I444=INDIRECT("'["&amp;G444&amp;"]"&amp;E444&amp;"'!"&amp;$AG$2))),INDIRECT("'["&amp;G444&amp;"]"&amp;E444&amp;"'!"&amp;$AG$3),0)</f>
        <v>#VALUE!</v>
      </c>
      <c r="V444" s="25" t="str">
        <f t="shared" si="126"/>
        <v/>
      </c>
      <c r="W444" s="36" t="e" cm="1">
        <f t="array" aca="1" ref="W444" ca="1">IF(AND(G444=INDIRECT("'["&amp;G444&amp;"]"&amp;E444&amp;"'!"&amp;$AH$2),OR(V444=INDIRECT("'["&amp;G444&amp;"]"&amp;E444&amp;"'!"&amp;$AI$2))),INDIRECT("'["&amp;G444&amp;"]"&amp;E444&amp;"'!"&amp;$AI$3),0)</f>
        <v>#VALUE!</v>
      </c>
      <c r="AJ444" s="25">
        <v>1</v>
      </c>
      <c r="AK444" s="38">
        <f t="shared" ref="AK444:AK500" ca="1" si="127">(C444*AJ444%)</f>
        <v>0</v>
      </c>
      <c r="AL444" s="38">
        <f t="shared" ref="AL444:AL500" ca="1" si="128">C444-AK444</f>
        <v>0</v>
      </c>
      <c r="AM444" s="54" t="str">
        <f t="shared" ref="AM444:AM500" ca="1" si="129">IF(A444&lt;&gt;"",IF(AM444="",NOW(),AM444),"")</f>
        <v/>
      </c>
      <c r="AN444" s="25" t="e">
        <f t="shared" ref="AN444:AN500" ca="1" si="130">IF(VALUE(N444),"/","")</f>
        <v>#VALUE!</v>
      </c>
      <c r="AO444" s="25" t="e">
        <f t="shared" ref="AO444:AO500" ca="1" si="131">IF(VALUE(O444),"/","")</f>
        <v>#VALUE!</v>
      </c>
      <c r="AP444" s="39" t="str">
        <f t="shared" ref="AP444:AP500" ca="1" si="132">IF(ISTEXT(W444),"อายัด","")</f>
        <v/>
      </c>
      <c r="AQ444" s="46" t="str">
        <f ca="1">IF(AND(C444&lt;&gt;0, C445=0), SUM($C$2:C444)-SUM($AQ$1:AQ443), "")</f>
        <v/>
      </c>
      <c r="AR444" s="46" t="str">
        <f ca="1">IF(AND(AK444&lt;&gt;0, AK445=0), SUM($AK$2:AK444)-SUM($AR$1:AR443), "")</f>
        <v/>
      </c>
    </row>
    <row r="445" spans="1:44" ht="13.15" customHeight="1">
      <c r="A445" s="62"/>
      <c r="B445" s="68" t="str">
        <f t="shared" ref="B445:B500" si="133">LEFT(A445,15)</f>
        <v/>
      </c>
      <c r="C445" s="55" cm="1">
        <f t="array" aca="1" ref="C445" ca="1">SUM(IF(ISNUMBER(M445:U445),M445:U445,""))</f>
        <v>0</v>
      </c>
      <c r="D445" s="25" t="str">
        <f t="shared" ref="D445:D500" si="134">MID(A445,4,2)</f>
        <v/>
      </c>
      <c r="E445" s="25" t="e">
        <f t="shared" ref="E445:E500" si="135">IF(ISEVEN(D445),D445-1,VALUE(D445))</f>
        <v>#VALUE!</v>
      </c>
      <c r="F445" s="25" t="str">
        <f t="shared" ref="F445:F500" si="136">LEFT(A445,2)</f>
        <v/>
      </c>
      <c r="G445" s="25" t="str">
        <f t="shared" ref="G445:G500" si="137">CONCATENATE(F445,".xlsx")</f>
        <v>.xlsx</v>
      </c>
      <c r="H445" s="29" t="e" cm="1">
        <f t="array" aca="1" ref="H445" ca="1">IF(AND(VALUE(E445)=INDIRECT("'["&amp;G445&amp;"]"&amp;E445&amp;"'!"&amp;$X$2),G445=INDIRECT("'["&amp;G445&amp;"]"&amp;E445&amp;"'!"&amp;$X$3)),INDIRECT("'["&amp;G445&amp;"]"&amp;E445&amp;"'!"&amp;$X$1),0)</f>
        <v>#VALUE!</v>
      </c>
      <c r="I445" s="25" t="str">
        <f t="shared" ref="I445:I500" si="138">MID(A445,10,6)</f>
        <v/>
      </c>
      <c r="J445" s="32" t="str">
        <f t="shared" ref="J445:J500" si="139">RIGHT(I445,2)</f>
        <v/>
      </c>
      <c r="K445" s="25" t="str">
        <f t="shared" ref="K445:K500" si="140">LEFT(I445,3)</f>
        <v/>
      </c>
      <c r="L445" s="25" t="str">
        <f t="shared" ref="L445:L500" si="141">RIGHT(I445,3)</f>
        <v/>
      </c>
      <c r="M445" s="33" t="e" cm="1">
        <f t="array" aca="1" ref="M445" ca="1">IF(AND(J445=INDIRECT("'["&amp;G445&amp;"]"&amp;E445&amp;"'!"&amp;$Y$2),G445=INDIRECT("'["&amp;G445&amp;"]"&amp;E445&amp;"'!"&amp;$AH$2)),INDIRECT("'["&amp;G445&amp;"]"&amp;E445&amp;"'!"&amp;$Y$3),0)</f>
        <v>#VALUE!</v>
      </c>
      <c r="N445" s="34" t="e" cm="1">
        <f t="array" aca="1" ref="N445" ca="1">IF(AND(G445=INDIRECT("'["&amp;G445&amp;"]"&amp;E445&amp;"'!"&amp;$AH$2),OR(K445=INDIRECT("'["&amp;G445&amp;"]"&amp;E445&amp;"'!"&amp;$Z$2))),INDIRECT("'["&amp;G445&amp;"]"&amp;E445&amp;"'!"&amp;$Z$3),0)</f>
        <v>#VALUE!</v>
      </c>
      <c r="O445" s="34" t="e" cm="1">
        <f t="array" aca="1" ref="O445" ca="1">IF(AND(G445=INDIRECT("'["&amp;G445&amp;"]"&amp;E445&amp;"'!"&amp;$AH$2),OR(L445=INDIRECT("'["&amp;G445&amp;"]"&amp;E445&amp;"'!"&amp;$AA$2))),INDIRECT("'["&amp;G445&amp;"]"&amp;E445&amp;"'!"&amp;$AA$3),0)</f>
        <v>#VALUE!</v>
      </c>
      <c r="P445" s="34" t="e" cm="1">
        <f t="array" aca="1" ref="P445" ca="1">IF(AND(G445=INDIRECT("'["&amp;G445&amp;"]"&amp;E445&amp;"'!"&amp;$AH$2),OR(VALUE(I445)=INDIRECT("'["&amp;G445&amp;"]"&amp;E445&amp;"'!"&amp;$AB$2))),INDIRECT("'["&amp;G445&amp;"]"&amp;E445&amp;"'!"&amp;$AB$3),0)</f>
        <v>#VALUE!</v>
      </c>
      <c r="Q445" s="34" t="e" cm="1">
        <f t="array" aca="1" ref="Q445" ca="1">IF(AND(G445=INDIRECT("'["&amp;G445&amp;"]"&amp;E445&amp;"'!"&amp;$AH$2),OR(VALUE(I445)=INDIRECT("'["&amp;G445&amp;"]"&amp;E445&amp;"'!"&amp;$AC$2))),INDIRECT("'["&amp;G445&amp;"]"&amp;E445&amp;"'!"&amp;$AC$3),0)</f>
        <v>#VALUE!</v>
      </c>
      <c r="R445" s="34" t="e" cm="1">
        <f t="array" aca="1" ref="R445" ca="1">IF(AND(G445=INDIRECT("'["&amp;G445&amp;"]"&amp;E445&amp;"'!"&amp;$AH$2),OR(I445=INDIRECT("'["&amp;G445&amp;"]"&amp;E445&amp;"'!"&amp;$AD$2))),INDIRECT("'["&amp;G445&amp;"]"&amp;E445&amp;"'!"&amp;$AD$3),0)</f>
        <v>#VALUE!</v>
      </c>
      <c r="S445" s="34" t="e" cm="1">
        <f t="array" aca="1" ref="S445" ca="1">IF(AND(G445=INDIRECT("'["&amp;G445&amp;"]"&amp;E445&amp;"'!"&amp;$AH$2),OR(I445=INDIRECT("'["&amp;G445&amp;"]"&amp;E445&amp;"'!"&amp;$AE$2))),INDIRECT("'["&amp;G445&amp;"]"&amp;E445&amp;"'!"&amp;$AE$3),0)</f>
        <v>#VALUE!</v>
      </c>
      <c r="T445" s="35" t="e" cm="1">
        <f t="array" aca="1" ref="T445" ca="1">IF(AND(G445=INDIRECT("'["&amp;G445&amp;"]"&amp;E445&amp;"'!"&amp;$AH$2),OR(I445=INDIRECT("'["&amp;G445&amp;"]"&amp;E445&amp;"'!"&amp;$AF$2))),INDIRECT("'["&amp;G445&amp;"]"&amp;E445&amp;"'!"&amp;$AF$3),0)</f>
        <v>#VALUE!</v>
      </c>
      <c r="U445" s="34" t="e" cm="1">
        <f t="array" aca="1" ref="U445" ca="1">IF(AND(G445=INDIRECT("'["&amp;G445&amp;"]"&amp;E445&amp;"'!"&amp;$AH$2),OR(I445=INDIRECT("'["&amp;G445&amp;"]"&amp;E445&amp;"'!"&amp;$AG$2))),INDIRECT("'["&amp;G445&amp;"]"&amp;E445&amp;"'!"&amp;$AG$3),0)</f>
        <v>#VALUE!</v>
      </c>
      <c r="V445" s="25" t="str">
        <f t="shared" ref="V445:V500" si="142">MID(B445,7,9)</f>
        <v/>
      </c>
      <c r="W445" s="36" t="e" cm="1">
        <f t="array" aca="1" ref="W445" ca="1">IF(AND(G445=INDIRECT("'["&amp;G445&amp;"]"&amp;E445&amp;"'!"&amp;$AH$2),OR(V445=INDIRECT("'["&amp;G445&amp;"]"&amp;E445&amp;"'!"&amp;$AI$2))),INDIRECT("'["&amp;G445&amp;"]"&amp;E445&amp;"'!"&amp;$AI$3),0)</f>
        <v>#VALUE!</v>
      </c>
      <c r="AJ445" s="25">
        <v>1</v>
      </c>
      <c r="AK445" s="38">
        <f t="shared" ca="1" si="127"/>
        <v>0</v>
      </c>
      <c r="AL445" s="38">
        <f t="shared" ca="1" si="128"/>
        <v>0</v>
      </c>
      <c r="AM445" s="54" t="str">
        <f t="shared" ca="1" si="129"/>
        <v/>
      </c>
      <c r="AN445" s="25" t="e">
        <f t="shared" ca="1" si="130"/>
        <v>#VALUE!</v>
      </c>
      <c r="AO445" s="25" t="e">
        <f t="shared" ca="1" si="131"/>
        <v>#VALUE!</v>
      </c>
      <c r="AP445" s="39" t="str">
        <f t="shared" ca="1" si="132"/>
        <v/>
      </c>
      <c r="AQ445" s="46" t="str">
        <f ca="1">IF(AND(C445&lt;&gt;0, C446=0), SUM($C$2:C445)-SUM($AQ$1:AQ444), "")</f>
        <v/>
      </c>
      <c r="AR445" s="46" t="str">
        <f ca="1">IF(AND(AK445&lt;&gt;0, AK446=0), SUM($AK$2:AK445)-SUM($AR$1:AR444), "")</f>
        <v/>
      </c>
    </row>
    <row r="446" spans="1:44" ht="13.15" customHeight="1">
      <c r="A446" s="62"/>
      <c r="B446" s="68" t="str">
        <f t="shared" si="133"/>
        <v/>
      </c>
      <c r="C446" s="55" cm="1">
        <f t="array" aca="1" ref="C446" ca="1">SUM(IF(ISNUMBER(M446:U446),M446:U446,""))</f>
        <v>0</v>
      </c>
      <c r="D446" s="25" t="str">
        <f t="shared" si="134"/>
        <v/>
      </c>
      <c r="E446" s="25" t="e">
        <f t="shared" si="135"/>
        <v>#VALUE!</v>
      </c>
      <c r="F446" s="25" t="str">
        <f t="shared" si="136"/>
        <v/>
      </c>
      <c r="G446" s="25" t="str">
        <f t="shared" si="137"/>
        <v>.xlsx</v>
      </c>
      <c r="H446" s="29" t="e" cm="1">
        <f t="array" aca="1" ref="H446" ca="1">IF(AND(VALUE(E446)=INDIRECT("'["&amp;G446&amp;"]"&amp;E446&amp;"'!"&amp;$X$2),G446=INDIRECT("'["&amp;G446&amp;"]"&amp;E446&amp;"'!"&amp;$X$3)),INDIRECT("'["&amp;G446&amp;"]"&amp;E446&amp;"'!"&amp;$X$1),0)</f>
        <v>#VALUE!</v>
      </c>
      <c r="I446" s="25" t="str">
        <f t="shared" si="138"/>
        <v/>
      </c>
      <c r="J446" s="32" t="str">
        <f t="shared" si="139"/>
        <v/>
      </c>
      <c r="K446" s="25" t="str">
        <f t="shared" si="140"/>
        <v/>
      </c>
      <c r="L446" s="25" t="str">
        <f t="shared" si="141"/>
        <v/>
      </c>
      <c r="M446" s="33" t="e" cm="1">
        <f t="array" aca="1" ref="M446" ca="1">IF(AND(J446=INDIRECT("'["&amp;G446&amp;"]"&amp;E446&amp;"'!"&amp;$Y$2),G446=INDIRECT("'["&amp;G446&amp;"]"&amp;E446&amp;"'!"&amp;$AH$2)),INDIRECT("'["&amp;G446&amp;"]"&amp;E446&amp;"'!"&amp;$Y$3),0)</f>
        <v>#VALUE!</v>
      </c>
      <c r="N446" s="34" t="e" cm="1">
        <f t="array" aca="1" ref="N446" ca="1">IF(AND(G446=INDIRECT("'["&amp;G446&amp;"]"&amp;E446&amp;"'!"&amp;$AH$2),OR(K446=INDIRECT("'["&amp;G446&amp;"]"&amp;E446&amp;"'!"&amp;$Z$2))),INDIRECT("'["&amp;G446&amp;"]"&amp;E446&amp;"'!"&amp;$Z$3),0)</f>
        <v>#VALUE!</v>
      </c>
      <c r="O446" s="34" t="e" cm="1">
        <f t="array" aca="1" ref="O446" ca="1">IF(AND(G446=INDIRECT("'["&amp;G446&amp;"]"&amp;E446&amp;"'!"&amp;$AH$2),OR(L446=INDIRECT("'["&amp;G446&amp;"]"&amp;E446&amp;"'!"&amp;$AA$2))),INDIRECT("'["&amp;G446&amp;"]"&amp;E446&amp;"'!"&amp;$AA$3),0)</f>
        <v>#VALUE!</v>
      </c>
      <c r="P446" s="34" t="e" cm="1">
        <f t="array" aca="1" ref="P446" ca="1">IF(AND(G446=INDIRECT("'["&amp;G446&amp;"]"&amp;E446&amp;"'!"&amp;$AH$2),OR(VALUE(I446)=INDIRECT("'["&amp;G446&amp;"]"&amp;E446&amp;"'!"&amp;$AB$2))),INDIRECT("'["&amp;G446&amp;"]"&amp;E446&amp;"'!"&amp;$AB$3),0)</f>
        <v>#VALUE!</v>
      </c>
      <c r="Q446" s="34" t="e" cm="1">
        <f t="array" aca="1" ref="Q446" ca="1">IF(AND(G446=INDIRECT("'["&amp;G446&amp;"]"&amp;E446&amp;"'!"&amp;$AH$2),OR(VALUE(I446)=INDIRECT("'["&amp;G446&amp;"]"&amp;E446&amp;"'!"&amp;$AC$2))),INDIRECT("'["&amp;G446&amp;"]"&amp;E446&amp;"'!"&amp;$AC$3),0)</f>
        <v>#VALUE!</v>
      </c>
      <c r="R446" s="34" t="e" cm="1">
        <f t="array" aca="1" ref="R446" ca="1">IF(AND(G446=INDIRECT("'["&amp;G446&amp;"]"&amp;E446&amp;"'!"&amp;$AH$2),OR(I446=INDIRECT("'["&amp;G446&amp;"]"&amp;E446&amp;"'!"&amp;$AD$2))),INDIRECT("'["&amp;G446&amp;"]"&amp;E446&amp;"'!"&amp;$AD$3),0)</f>
        <v>#VALUE!</v>
      </c>
      <c r="S446" s="34" t="e" cm="1">
        <f t="array" aca="1" ref="S446" ca="1">IF(AND(G446=INDIRECT("'["&amp;G446&amp;"]"&amp;E446&amp;"'!"&amp;$AH$2),OR(I446=INDIRECT("'["&amp;G446&amp;"]"&amp;E446&amp;"'!"&amp;$AE$2))),INDIRECT("'["&amp;G446&amp;"]"&amp;E446&amp;"'!"&amp;$AE$3),0)</f>
        <v>#VALUE!</v>
      </c>
      <c r="T446" s="35" t="e" cm="1">
        <f t="array" aca="1" ref="T446" ca="1">IF(AND(G446=INDIRECT("'["&amp;G446&amp;"]"&amp;E446&amp;"'!"&amp;$AH$2),OR(I446=INDIRECT("'["&amp;G446&amp;"]"&amp;E446&amp;"'!"&amp;$AF$2))),INDIRECT("'["&amp;G446&amp;"]"&amp;E446&amp;"'!"&amp;$AF$3),0)</f>
        <v>#VALUE!</v>
      </c>
      <c r="U446" s="34" t="e" cm="1">
        <f t="array" aca="1" ref="U446" ca="1">IF(AND(G446=INDIRECT("'["&amp;G446&amp;"]"&amp;E446&amp;"'!"&amp;$AH$2),OR(I446=INDIRECT("'["&amp;G446&amp;"]"&amp;E446&amp;"'!"&amp;$AG$2))),INDIRECT("'["&amp;G446&amp;"]"&amp;E446&amp;"'!"&amp;$AG$3),0)</f>
        <v>#VALUE!</v>
      </c>
      <c r="V446" s="25" t="str">
        <f t="shared" si="142"/>
        <v/>
      </c>
      <c r="W446" s="36" t="e" cm="1">
        <f t="array" aca="1" ref="W446" ca="1">IF(AND(G446=INDIRECT("'["&amp;G446&amp;"]"&amp;E446&amp;"'!"&amp;$AH$2),OR(V446=INDIRECT("'["&amp;G446&amp;"]"&amp;E446&amp;"'!"&amp;$AI$2))),INDIRECT("'["&amp;G446&amp;"]"&amp;E446&amp;"'!"&amp;$AI$3),0)</f>
        <v>#VALUE!</v>
      </c>
      <c r="AJ446" s="25">
        <v>1</v>
      </c>
      <c r="AK446" s="38">
        <f t="shared" ca="1" si="127"/>
        <v>0</v>
      </c>
      <c r="AL446" s="38">
        <f t="shared" ca="1" si="128"/>
        <v>0</v>
      </c>
      <c r="AM446" s="54" t="str">
        <f t="shared" ca="1" si="129"/>
        <v/>
      </c>
      <c r="AN446" s="25" t="e">
        <f t="shared" ca="1" si="130"/>
        <v>#VALUE!</v>
      </c>
      <c r="AO446" s="25" t="e">
        <f t="shared" ca="1" si="131"/>
        <v>#VALUE!</v>
      </c>
      <c r="AP446" s="39" t="str">
        <f t="shared" ca="1" si="132"/>
        <v/>
      </c>
      <c r="AQ446" s="46" t="str">
        <f ca="1">IF(AND(C446&lt;&gt;0, C447=0), SUM($C$2:C446)-SUM($AQ$1:AQ445), "")</f>
        <v/>
      </c>
      <c r="AR446" s="46" t="str">
        <f ca="1">IF(AND(AK446&lt;&gt;0, AK447=0), SUM($AK$2:AK446)-SUM($AR$1:AR445), "")</f>
        <v/>
      </c>
    </row>
    <row r="447" spans="1:44" ht="13.15" customHeight="1">
      <c r="A447" s="62"/>
      <c r="B447" s="68" t="str">
        <f t="shared" si="133"/>
        <v/>
      </c>
      <c r="C447" s="55" cm="1">
        <f t="array" aca="1" ref="C447" ca="1">SUM(IF(ISNUMBER(M447:U447),M447:U447,""))</f>
        <v>0</v>
      </c>
      <c r="D447" s="25" t="str">
        <f t="shared" si="134"/>
        <v/>
      </c>
      <c r="E447" s="25" t="e">
        <f t="shared" si="135"/>
        <v>#VALUE!</v>
      </c>
      <c r="F447" s="25" t="str">
        <f t="shared" si="136"/>
        <v/>
      </c>
      <c r="G447" s="25" t="str">
        <f t="shared" si="137"/>
        <v>.xlsx</v>
      </c>
      <c r="H447" s="29" t="e" cm="1">
        <f t="array" aca="1" ref="H447" ca="1">IF(AND(VALUE(E447)=INDIRECT("'["&amp;G447&amp;"]"&amp;E447&amp;"'!"&amp;$X$2),G447=INDIRECT("'["&amp;G447&amp;"]"&amp;E447&amp;"'!"&amp;$X$3)),INDIRECT("'["&amp;G447&amp;"]"&amp;E447&amp;"'!"&amp;$X$1),0)</f>
        <v>#VALUE!</v>
      </c>
      <c r="I447" s="25" t="str">
        <f t="shared" si="138"/>
        <v/>
      </c>
      <c r="J447" s="32" t="str">
        <f t="shared" si="139"/>
        <v/>
      </c>
      <c r="K447" s="25" t="str">
        <f t="shared" si="140"/>
        <v/>
      </c>
      <c r="L447" s="25" t="str">
        <f t="shared" si="141"/>
        <v/>
      </c>
      <c r="M447" s="33" t="e" cm="1">
        <f t="array" aca="1" ref="M447" ca="1">IF(AND(J447=INDIRECT("'["&amp;G447&amp;"]"&amp;E447&amp;"'!"&amp;$Y$2),G447=INDIRECT("'["&amp;G447&amp;"]"&amp;E447&amp;"'!"&amp;$AH$2)),INDIRECT("'["&amp;G447&amp;"]"&amp;E447&amp;"'!"&amp;$Y$3),0)</f>
        <v>#VALUE!</v>
      </c>
      <c r="N447" s="34" t="e" cm="1">
        <f t="array" aca="1" ref="N447" ca="1">IF(AND(G447=INDIRECT("'["&amp;G447&amp;"]"&amp;E447&amp;"'!"&amp;$AH$2),OR(K447=INDIRECT("'["&amp;G447&amp;"]"&amp;E447&amp;"'!"&amp;$Z$2))),INDIRECT("'["&amp;G447&amp;"]"&amp;E447&amp;"'!"&amp;$Z$3),0)</f>
        <v>#VALUE!</v>
      </c>
      <c r="O447" s="34" t="e" cm="1">
        <f t="array" aca="1" ref="O447" ca="1">IF(AND(G447=INDIRECT("'["&amp;G447&amp;"]"&amp;E447&amp;"'!"&amp;$AH$2),OR(L447=INDIRECT("'["&amp;G447&amp;"]"&amp;E447&amp;"'!"&amp;$AA$2))),INDIRECT("'["&amp;G447&amp;"]"&amp;E447&amp;"'!"&amp;$AA$3),0)</f>
        <v>#VALUE!</v>
      </c>
      <c r="P447" s="34" t="e" cm="1">
        <f t="array" aca="1" ref="P447" ca="1">IF(AND(G447=INDIRECT("'["&amp;G447&amp;"]"&amp;E447&amp;"'!"&amp;$AH$2),OR(VALUE(I447)=INDIRECT("'["&amp;G447&amp;"]"&amp;E447&amp;"'!"&amp;$AB$2))),INDIRECT("'["&amp;G447&amp;"]"&amp;E447&amp;"'!"&amp;$AB$3),0)</f>
        <v>#VALUE!</v>
      </c>
      <c r="Q447" s="34" t="e" cm="1">
        <f t="array" aca="1" ref="Q447" ca="1">IF(AND(G447=INDIRECT("'["&amp;G447&amp;"]"&amp;E447&amp;"'!"&amp;$AH$2),OR(VALUE(I447)=INDIRECT("'["&amp;G447&amp;"]"&amp;E447&amp;"'!"&amp;$AC$2))),INDIRECT("'["&amp;G447&amp;"]"&amp;E447&amp;"'!"&amp;$AC$3),0)</f>
        <v>#VALUE!</v>
      </c>
      <c r="R447" s="34" t="e" cm="1">
        <f t="array" aca="1" ref="R447" ca="1">IF(AND(G447=INDIRECT("'["&amp;G447&amp;"]"&amp;E447&amp;"'!"&amp;$AH$2),OR(I447=INDIRECT("'["&amp;G447&amp;"]"&amp;E447&amp;"'!"&amp;$AD$2))),INDIRECT("'["&amp;G447&amp;"]"&amp;E447&amp;"'!"&amp;$AD$3),0)</f>
        <v>#VALUE!</v>
      </c>
      <c r="S447" s="34" t="e" cm="1">
        <f t="array" aca="1" ref="S447" ca="1">IF(AND(G447=INDIRECT("'["&amp;G447&amp;"]"&amp;E447&amp;"'!"&amp;$AH$2),OR(I447=INDIRECT("'["&amp;G447&amp;"]"&amp;E447&amp;"'!"&amp;$AE$2))),INDIRECT("'["&amp;G447&amp;"]"&amp;E447&amp;"'!"&amp;$AE$3),0)</f>
        <v>#VALUE!</v>
      </c>
      <c r="T447" s="35" t="e" cm="1">
        <f t="array" aca="1" ref="T447" ca="1">IF(AND(G447=INDIRECT("'["&amp;G447&amp;"]"&amp;E447&amp;"'!"&amp;$AH$2),OR(I447=INDIRECT("'["&amp;G447&amp;"]"&amp;E447&amp;"'!"&amp;$AF$2))),INDIRECT("'["&amp;G447&amp;"]"&amp;E447&amp;"'!"&amp;$AF$3),0)</f>
        <v>#VALUE!</v>
      </c>
      <c r="U447" s="34" t="e" cm="1">
        <f t="array" aca="1" ref="U447" ca="1">IF(AND(G447=INDIRECT("'["&amp;G447&amp;"]"&amp;E447&amp;"'!"&amp;$AH$2),OR(I447=INDIRECT("'["&amp;G447&amp;"]"&amp;E447&amp;"'!"&amp;$AG$2))),INDIRECT("'["&amp;G447&amp;"]"&amp;E447&amp;"'!"&amp;$AG$3),0)</f>
        <v>#VALUE!</v>
      </c>
      <c r="V447" s="25" t="str">
        <f t="shared" si="142"/>
        <v/>
      </c>
      <c r="W447" s="36" t="e" cm="1">
        <f t="array" aca="1" ref="W447" ca="1">IF(AND(G447=INDIRECT("'["&amp;G447&amp;"]"&amp;E447&amp;"'!"&amp;$AH$2),OR(V447=INDIRECT("'["&amp;G447&amp;"]"&amp;E447&amp;"'!"&amp;$AI$2))),INDIRECT("'["&amp;G447&amp;"]"&amp;E447&amp;"'!"&amp;$AI$3),0)</f>
        <v>#VALUE!</v>
      </c>
      <c r="AJ447" s="25">
        <v>1</v>
      </c>
      <c r="AK447" s="38">
        <f t="shared" ca="1" si="127"/>
        <v>0</v>
      </c>
      <c r="AL447" s="38">
        <f t="shared" ca="1" si="128"/>
        <v>0</v>
      </c>
      <c r="AM447" s="54" t="str">
        <f t="shared" ca="1" si="129"/>
        <v/>
      </c>
      <c r="AN447" s="25" t="e">
        <f t="shared" ca="1" si="130"/>
        <v>#VALUE!</v>
      </c>
      <c r="AO447" s="25" t="e">
        <f t="shared" ca="1" si="131"/>
        <v>#VALUE!</v>
      </c>
      <c r="AP447" s="39" t="str">
        <f t="shared" ca="1" si="132"/>
        <v/>
      </c>
      <c r="AQ447" s="46" t="str">
        <f ca="1">IF(AND(C447&lt;&gt;0, C448=0), SUM($C$2:C447)-SUM($AQ$1:AQ446), "")</f>
        <v/>
      </c>
      <c r="AR447" s="46" t="str">
        <f ca="1">IF(AND(AK447&lt;&gt;0, AK448=0), SUM($AK$2:AK447)-SUM($AR$1:AR446), "")</f>
        <v/>
      </c>
    </row>
    <row r="448" spans="1:44" ht="13.15" customHeight="1">
      <c r="A448" s="62"/>
      <c r="B448" s="68" t="str">
        <f t="shared" si="133"/>
        <v/>
      </c>
      <c r="C448" s="55" cm="1">
        <f t="array" aca="1" ref="C448" ca="1">SUM(IF(ISNUMBER(M448:U448),M448:U448,""))</f>
        <v>0</v>
      </c>
      <c r="D448" s="25" t="str">
        <f t="shared" si="134"/>
        <v/>
      </c>
      <c r="E448" s="25" t="e">
        <f t="shared" si="135"/>
        <v>#VALUE!</v>
      </c>
      <c r="F448" s="25" t="str">
        <f t="shared" si="136"/>
        <v/>
      </c>
      <c r="G448" s="25" t="str">
        <f t="shared" si="137"/>
        <v>.xlsx</v>
      </c>
      <c r="H448" s="29" t="e" cm="1">
        <f t="array" aca="1" ref="H448" ca="1">IF(AND(VALUE(E448)=INDIRECT("'["&amp;G448&amp;"]"&amp;E448&amp;"'!"&amp;$X$2),G448=INDIRECT("'["&amp;G448&amp;"]"&amp;E448&amp;"'!"&amp;$X$3)),INDIRECT("'["&amp;G448&amp;"]"&amp;E448&amp;"'!"&amp;$X$1),0)</f>
        <v>#VALUE!</v>
      </c>
      <c r="I448" s="25" t="str">
        <f t="shared" si="138"/>
        <v/>
      </c>
      <c r="J448" s="32" t="str">
        <f t="shared" si="139"/>
        <v/>
      </c>
      <c r="K448" s="25" t="str">
        <f t="shared" si="140"/>
        <v/>
      </c>
      <c r="L448" s="25" t="str">
        <f t="shared" si="141"/>
        <v/>
      </c>
      <c r="M448" s="33" t="e" cm="1">
        <f t="array" aca="1" ref="M448" ca="1">IF(AND(J448=INDIRECT("'["&amp;G448&amp;"]"&amp;E448&amp;"'!"&amp;$Y$2),G448=INDIRECT("'["&amp;G448&amp;"]"&amp;E448&amp;"'!"&amp;$AH$2)),INDIRECT("'["&amp;G448&amp;"]"&amp;E448&amp;"'!"&amp;$Y$3),0)</f>
        <v>#VALUE!</v>
      </c>
      <c r="N448" s="34" t="e" cm="1">
        <f t="array" aca="1" ref="N448" ca="1">IF(AND(G448=INDIRECT("'["&amp;G448&amp;"]"&amp;E448&amp;"'!"&amp;$AH$2),OR(K448=INDIRECT("'["&amp;G448&amp;"]"&amp;E448&amp;"'!"&amp;$Z$2))),INDIRECT("'["&amp;G448&amp;"]"&amp;E448&amp;"'!"&amp;$Z$3),0)</f>
        <v>#VALUE!</v>
      </c>
      <c r="O448" s="34" t="e" cm="1">
        <f t="array" aca="1" ref="O448" ca="1">IF(AND(G448=INDIRECT("'["&amp;G448&amp;"]"&amp;E448&amp;"'!"&amp;$AH$2),OR(L448=INDIRECT("'["&amp;G448&amp;"]"&amp;E448&amp;"'!"&amp;$AA$2))),INDIRECT("'["&amp;G448&amp;"]"&amp;E448&amp;"'!"&amp;$AA$3),0)</f>
        <v>#VALUE!</v>
      </c>
      <c r="P448" s="34" t="e" cm="1">
        <f t="array" aca="1" ref="P448" ca="1">IF(AND(G448=INDIRECT("'["&amp;G448&amp;"]"&amp;E448&amp;"'!"&amp;$AH$2),OR(VALUE(I448)=INDIRECT("'["&amp;G448&amp;"]"&amp;E448&amp;"'!"&amp;$AB$2))),INDIRECT("'["&amp;G448&amp;"]"&amp;E448&amp;"'!"&amp;$AB$3),0)</f>
        <v>#VALUE!</v>
      </c>
      <c r="Q448" s="34" t="e" cm="1">
        <f t="array" aca="1" ref="Q448" ca="1">IF(AND(G448=INDIRECT("'["&amp;G448&amp;"]"&amp;E448&amp;"'!"&amp;$AH$2),OR(VALUE(I448)=INDIRECT("'["&amp;G448&amp;"]"&amp;E448&amp;"'!"&amp;$AC$2))),INDIRECT("'["&amp;G448&amp;"]"&amp;E448&amp;"'!"&amp;$AC$3),0)</f>
        <v>#VALUE!</v>
      </c>
      <c r="R448" s="34" t="e" cm="1">
        <f t="array" aca="1" ref="R448" ca="1">IF(AND(G448=INDIRECT("'["&amp;G448&amp;"]"&amp;E448&amp;"'!"&amp;$AH$2),OR(I448=INDIRECT("'["&amp;G448&amp;"]"&amp;E448&amp;"'!"&amp;$AD$2))),INDIRECT("'["&amp;G448&amp;"]"&amp;E448&amp;"'!"&amp;$AD$3),0)</f>
        <v>#VALUE!</v>
      </c>
      <c r="S448" s="34" t="e" cm="1">
        <f t="array" aca="1" ref="S448" ca="1">IF(AND(G448=INDIRECT("'["&amp;G448&amp;"]"&amp;E448&amp;"'!"&amp;$AH$2),OR(I448=INDIRECT("'["&amp;G448&amp;"]"&amp;E448&amp;"'!"&amp;$AE$2))),INDIRECT("'["&amp;G448&amp;"]"&amp;E448&amp;"'!"&amp;$AE$3),0)</f>
        <v>#VALUE!</v>
      </c>
      <c r="T448" s="35" t="e" cm="1">
        <f t="array" aca="1" ref="T448" ca="1">IF(AND(G448=INDIRECT("'["&amp;G448&amp;"]"&amp;E448&amp;"'!"&amp;$AH$2),OR(I448=INDIRECT("'["&amp;G448&amp;"]"&amp;E448&amp;"'!"&amp;$AF$2))),INDIRECT("'["&amp;G448&amp;"]"&amp;E448&amp;"'!"&amp;$AF$3),0)</f>
        <v>#VALUE!</v>
      </c>
      <c r="U448" s="34" t="e" cm="1">
        <f t="array" aca="1" ref="U448" ca="1">IF(AND(G448=INDIRECT("'["&amp;G448&amp;"]"&amp;E448&amp;"'!"&amp;$AH$2),OR(I448=INDIRECT("'["&amp;G448&amp;"]"&amp;E448&amp;"'!"&amp;$AG$2))),INDIRECT("'["&amp;G448&amp;"]"&amp;E448&amp;"'!"&amp;$AG$3),0)</f>
        <v>#VALUE!</v>
      </c>
      <c r="V448" s="25" t="str">
        <f t="shared" si="142"/>
        <v/>
      </c>
      <c r="W448" s="36" t="e" cm="1">
        <f t="array" aca="1" ref="W448" ca="1">IF(AND(G448=INDIRECT("'["&amp;G448&amp;"]"&amp;E448&amp;"'!"&amp;$AH$2),OR(V448=INDIRECT("'["&amp;G448&amp;"]"&amp;E448&amp;"'!"&amp;$AI$2))),INDIRECT("'["&amp;G448&amp;"]"&amp;E448&amp;"'!"&amp;$AI$3),0)</f>
        <v>#VALUE!</v>
      </c>
      <c r="AJ448" s="25">
        <v>1</v>
      </c>
      <c r="AK448" s="38">
        <f t="shared" ca="1" si="127"/>
        <v>0</v>
      </c>
      <c r="AL448" s="38">
        <f t="shared" ca="1" si="128"/>
        <v>0</v>
      </c>
      <c r="AM448" s="54" t="str">
        <f t="shared" ca="1" si="129"/>
        <v/>
      </c>
      <c r="AN448" s="25" t="e">
        <f t="shared" ca="1" si="130"/>
        <v>#VALUE!</v>
      </c>
      <c r="AO448" s="25" t="e">
        <f t="shared" ca="1" si="131"/>
        <v>#VALUE!</v>
      </c>
      <c r="AP448" s="39" t="str">
        <f t="shared" ca="1" si="132"/>
        <v/>
      </c>
      <c r="AQ448" s="46" t="str">
        <f ca="1">IF(AND(C448&lt;&gt;0, C449=0), SUM($C$2:C448)-SUM($AQ$1:AQ447), "")</f>
        <v/>
      </c>
      <c r="AR448" s="46" t="str">
        <f ca="1">IF(AND(AK448&lt;&gt;0, AK449=0), SUM($AK$2:AK448)-SUM($AR$1:AR447), "")</f>
        <v/>
      </c>
    </row>
    <row r="449" spans="1:44" ht="13.15" customHeight="1">
      <c r="A449" s="62"/>
      <c r="B449" s="68" t="str">
        <f t="shared" si="133"/>
        <v/>
      </c>
      <c r="C449" s="55" cm="1">
        <f t="array" aca="1" ref="C449" ca="1">SUM(IF(ISNUMBER(M449:U449),M449:U449,""))</f>
        <v>0</v>
      </c>
      <c r="D449" s="25" t="str">
        <f t="shared" si="134"/>
        <v/>
      </c>
      <c r="E449" s="25" t="e">
        <f t="shared" si="135"/>
        <v>#VALUE!</v>
      </c>
      <c r="F449" s="25" t="str">
        <f t="shared" si="136"/>
        <v/>
      </c>
      <c r="G449" s="25" t="str">
        <f t="shared" si="137"/>
        <v>.xlsx</v>
      </c>
      <c r="H449" s="29" t="e" cm="1">
        <f t="array" aca="1" ref="H449" ca="1">IF(AND(VALUE(E449)=INDIRECT("'["&amp;G449&amp;"]"&amp;E449&amp;"'!"&amp;$X$2),G449=INDIRECT("'["&amp;G449&amp;"]"&amp;E449&amp;"'!"&amp;$X$3)),INDIRECT("'["&amp;G449&amp;"]"&amp;E449&amp;"'!"&amp;$X$1),0)</f>
        <v>#VALUE!</v>
      </c>
      <c r="I449" s="25" t="str">
        <f t="shared" si="138"/>
        <v/>
      </c>
      <c r="J449" s="32" t="str">
        <f t="shared" si="139"/>
        <v/>
      </c>
      <c r="K449" s="25" t="str">
        <f t="shared" si="140"/>
        <v/>
      </c>
      <c r="L449" s="25" t="str">
        <f t="shared" si="141"/>
        <v/>
      </c>
      <c r="M449" s="33" t="e" cm="1">
        <f t="array" aca="1" ref="M449" ca="1">IF(AND(J449=INDIRECT("'["&amp;G449&amp;"]"&amp;E449&amp;"'!"&amp;$Y$2),G449=INDIRECT("'["&amp;G449&amp;"]"&amp;E449&amp;"'!"&amp;$AH$2)),INDIRECT("'["&amp;G449&amp;"]"&amp;E449&amp;"'!"&amp;$Y$3),0)</f>
        <v>#VALUE!</v>
      </c>
      <c r="N449" s="34" t="e" cm="1">
        <f t="array" aca="1" ref="N449" ca="1">IF(AND(G449=INDIRECT("'["&amp;G449&amp;"]"&amp;E449&amp;"'!"&amp;$AH$2),OR(K449=INDIRECT("'["&amp;G449&amp;"]"&amp;E449&amp;"'!"&amp;$Z$2))),INDIRECT("'["&amp;G449&amp;"]"&amp;E449&amp;"'!"&amp;$Z$3),0)</f>
        <v>#VALUE!</v>
      </c>
      <c r="O449" s="34" t="e" cm="1">
        <f t="array" aca="1" ref="O449" ca="1">IF(AND(G449=INDIRECT("'["&amp;G449&amp;"]"&amp;E449&amp;"'!"&amp;$AH$2),OR(L449=INDIRECT("'["&amp;G449&amp;"]"&amp;E449&amp;"'!"&amp;$AA$2))),INDIRECT("'["&amp;G449&amp;"]"&amp;E449&amp;"'!"&amp;$AA$3),0)</f>
        <v>#VALUE!</v>
      </c>
      <c r="P449" s="34" t="e" cm="1">
        <f t="array" aca="1" ref="P449" ca="1">IF(AND(G449=INDIRECT("'["&amp;G449&amp;"]"&amp;E449&amp;"'!"&amp;$AH$2),OR(VALUE(I449)=INDIRECT("'["&amp;G449&amp;"]"&amp;E449&amp;"'!"&amp;$AB$2))),INDIRECT("'["&amp;G449&amp;"]"&amp;E449&amp;"'!"&amp;$AB$3),0)</f>
        <v>#VALUE!</v>
      </c>
      <c r="Q449" s="34" t="e" cm="1">
        <f t="array" aca="1" ref="Q449" ca="1">IF(AND(G449=INDIRECT("'["&amp;G449&amp;"]"&amp;E449&amp;"'!"&amp;$AH$2),OR(VALUE(I449)=INDIRECT("'["&amp;G449&amp;"]"&amp;E449&amp;"'!"&amp;$AC$2))),INDIRECT("'["&amp;G449&amp;"]"&amp;E449&amp;"'!"&amp;$AC$3),0)</f>
        <v>#VALUE!</v>
      </c>
      <c r="R449" s="34" t="e" cm="1">
        <f t="array" aca="1" ref="R449" ca="1">IF(AND(G449=INDIRECT("'["&amp;G449&amp;"]"&amp;E449&amp;"'!"&amp;$AH$2),OR(I449=INDIRECT("'["&amp;G449&amp;"]"&amp;E449&amp;"'!"&amp;$AD$2))),INDIRECT("'["&amp;G449&amp;"]"&amp;E449&amp;"'!"&amp;$AD$3),0)</f>
        <v>#VALUE!</v>
      </c>
      <c r="S449" s="34" t="e" cm="1">
        <f t="array" aca="1" ref="S449" ca="1">IF(AND(G449=INDIRECT("'["&amp;G449&amp;"]"&amp;E449&amp;"'!"&amp;$AH$2),OR(I449=INDIRECT("'["&amp;G449&amp;"]"&amp;E449&amp;"'!"&amp;$AE$2))),INDIRECT("'["&amp;G449&amp;"]"&amp;E449&amp;"'!"&amp;$AE$3),0)</f>
        <v>#VALUE!</v>
      </c>
      <c r="T449" s="35" t="e" cm="1">
        <f t="array" aca="1" ref="T449" ca="1">IF(AND(G449=INDIRECT("'["&amp;G449&amp;"]"&amp;E449&amp;"'!"&amp;$AH$2),OR(I449=INDIRECT("'["&amp;G449&amp;"]"&amp;E449&amp;"'!"&amp;$AF$2))),INDIRECT("'["&amp;G449&amp;"]"&amp;E449&amp;"'!"&amp;$AF$3),0)</f>
        <v>#VALUE!</v>
      </c>
      <c r="U449" s="34" t="e" cm="1">
        <f t="array" aca="1" ref="U449" ca="1">IF(AND(G449=INDIRECT("'["&amp;G449&amp;"]"&amp;E449&amp;"'!"&amp;$AH$2),OR(I449=INDIRECT("'["&amp;G449&amp;"]"&amp;E449&amp;"'!"&amp;$AG$2))),INDIRECT("'["&amp;G449&amp;"]"&amp;E449&amp;"'!"&amp;$AG$3),0)</f>
        <v>#VALUE!</v>
      </c>
      <c r="V449" s="25" t="str">
        <f t="shared" si="142"/>
        <v/>
      </c>
      <c r="W449" s="36" t="e" cm="1">
        <f t="array" aca="1" ref="W449" ca="1">IF(AND(G449=INDIRECT("'["&amp;G449&amp;"]"&amp;E449&amp;"'!"&amp;$AH$2),OR(V449=INDIRECT("'["&amp;G449&amp;"]"&amp;E449&amp;"'!"&amp;$AI$2))),INDIRECT("'["&amp;G449&amp;"]"&amp;E449&amp;"'!"&amp;$AI$3),0)</f>
        <v>#VALUE!</v>
      </c>
      <c r="AJ449" s="25">
        <v>1</v>
      </c>
      <c r="AK449" s="38">
        <f t="shared" ca="1" si="127"/>
        <v>0</v>
      </c>
      <c r="AL449" s="38">
        <f t="shared" ca="1" si="128"/>
        <v>0</v>
      </c>
      <c r="AM449" s="54" t="str">
        <f t="shared" ca="1" si="129"/>
        <v/>
      </c>
      <c r="AN449" s="25" t="e">
        <f t="shared" ca="1" si="130"/>
        <v>#VALUE!</v>
      </c>
      <c r="AO449" s="25" t="e">
        <f t="shared" ca="1" si="131"/>
        <v>#VALUE!</v>
      </c>
      <c r="AP449" s="39" t="str">
        <f t="shared" ca="1" si="132"/>
        <v/>
      </c>
      <c r="AQ449" s="46" t="str">
        <f ca="1">IF(AND(C449&lt;&gt;0, C450=0), SUM($C$2:C449)-SUM($AQ$1:AQ448), "")</f>
        <v/>
      </c>
      <c r="AR449" s="46" t="str">
        <f ca="1">IF(AND(AK449&lt;&gt;0, AK450=0), SUM($AK$2:AK449)-SUM($AR$1:AR448), "")</f>
        <v/>
      </c>
    </row>
    <row r="450" spans="1:44" ht="13.15" customHeight="1">
      <c r="A450" s="62"/>
      <c r="B450" s="68" t="str">
        <f t="shared" si="133"/>
        <v/>
      </c>
      <c r="C450" s="55" cm="1">
        <f t="array" aca="1" ref="C450" ca="1">SUM(IF(ISNUMBER(M450:U450),M450:U450,""))</f>
        <v>0</v>
      </c>
      <c r="D450" s="25" t="str">
        <f t="shared" si="134"/>
        <v/>
      </c>
      <c r="E450" s="25" t="e">
        <f t="shared" si="135"/>
        <v>#VALUE!</v>
      </c>
      <c r="F450" s="25" t="str">
        <f t="shared" si="136"/>
        <v/>
      </c>
      <c r="G450" s="25" t="str">
        <f t="shared" si="137"/>
        <v>.xlsx</v>
      </c>
      <c r="H450" s="29" t="e" cm="1">
        <f t="array" aca="1" ref="H450" ca="1">IF(AND(VALUE(E450)=INDIRECT("'["&amp;G450&amp;"]"&amp;E450&amp;"'!"&amp;$X$2),G450=INDIRECT("'["&amp;G450&amp;"]"&amp;E450&amp;"'!"&amp;$X$3)),INDIRECT("'["&amp;G450&amp;"]"&amp;E450&amp;"'!"&amp;$X$1),0)</f>
        <v>#VALUE!</v>
      </c>
      <c r="I450" s="25" t="str">
        <f t="shared" si="138"/>
        <v/>
      </c>
      <c r="J450" s="32" t="str">
        <f t="shared" si="139"/>
        <v/>
      </c>
      <c r="K450" s="25" t="str">
        <f t="shared" si="140"/>
        <v/>
      </c>
      <c r="L450" s="25" t="str">
        <f t="shared" si="141"/>
        <v/>
      </c>
      <c r="M450" s="33" t="e" cm="1">
        <f t="array" aca="1" ref="M450" ca="1">IF(AND(J450=INDIRECT("'["&amp;G450&amp;"]"&amp;E450&amp;"'!"&amp;$Y$2),G450=INDIRECT("'["&amp;G450&amp;"]"&amp;E450&amp;"'!"&amp;$AH$2)),INDIRECT("'["&amp;G450&amp;"]"&amp;E450&amp;"'!"&amp;$Y$3),0)</f>
        <v>#VALUE!</v>
      </c>
      <c r="N450" s="34" t="e" cm="1">
        <f t="array" aca="1" ref="N450" ca="1">IF(AND(G450=INDIRECT("'["&amp;G450&amp;"]"&amp;E450&amp;"'!"&amp;$AH$2),OR(K450=INDIRECT("'["&amp;G450&amp;"]"&amp;E450&amp;"'!"&amp;$Z$2))),INDIRECT("'["&amp;G450&amp;"]"&amp;E450&amp;"'!"&amp;$Z$3),0)</f>
        <v>#VALUE!</v>
      </c>
      <c r="O450" s="34" t="e" cm="1">
        <f t="array" aca="1" ref="O450" ca="1">IF(AND(G450=INDIRECT("'["&amp;G450&amp;"]"&amp;E450&amp;"'!"&amp;$AH$2),OR(L450=INDIRECT("'["&amp;G450&amp;"]"&amp;E450&amp;"'!"&amp;$AA$2))),INDIRECT("'["&amp;G450&amp;"]"&amp;E450&amp;"'!"&amp;$AA$3),0)</f>
        <v>#VALUE!</v>
      </c>
      <c r="P450" s="34" t="e" cm="1">
        <f t="array" aca="1" ref="P450" ca="1">IF(AND(G450=INDIRECT("'["&amp;G450&amp;"]"&amp;E450&amp;"'!"&amp;$AH$2),OR(VALUE(I450)=INDIRECT("'["&amp;G450&amp;"]"&amp;E450&amp;"'!"&amp;$AB$2))),INDIRECT("'["&amp;G450&amp;"]"&amp;E450&amp;"'!"&amp;$AB$3),0)</f>
        <v>#VALUE!</v>
      </c>
      <c r="Q450" s="34" t="e" cm="1">
        <f t="array" aca="1" ref="Q450" ca="1">IF(AND(G450=INDIRECT("'["&amp;G450&amp;"]"&amp;E450&amp;"'!"&amp;$AH$2),OR(VALUE(I450)=INDIRECT("'["&amp;G450&amp;"]"&amp;E450&amp;"'!"&amp;$AC$2))),INDIRECT("'["&amp;G450&amp;"]"&amp;E450&amp;"'!"&amp;$AC$3),0)</f>
        <v>#VALUE!</v>
      </c>
      <c r="R450" s="34" t="e" cm="1">
        <f t="array" aca="1" ref="R450" ca="1">IF(AND(G450=INDIRECT("'["&amp;G450&amp;"]"&amp;E450&amp;"'!"&amp;$AH$2),OR(I450=INDIRECT("'["&amp;G450&amp;"]"&amp;E450&amp;"'!"&amp;$AD$2))),INDIRECT("'["&amp;G450&amp;"]"&amp;E450&amp;"'!"&amp;$AD$3),0)</f>
        <v>#VALUE!</v>
      </c>
      <c r="S450" s="34" t="e" cm="1">
        <f t="array" aca="1" ref="S450" ca="1">IF(AND(G450=INDIRECT("'["&amp;G450&amp;"]"&amp;E450&amp;"'!"&amp;$AH$2),OR(I450=INDIRECT("'["&amp;G450&amp;"]"&amp;E450&amp;"'!"&amp;$AE$2))),INDIRECT("'["&amp;G450&amp;"]"&amp;E450&amp;"'!"&amp;$AE$3),0)</f>
        <v>#VALUE!</v>
      </c>
      <c r="T450" s="35" t="e" cm="1">
        <f t="array" aca="1" ref="T450" ca="1">IF(AND(G450=INDIRECT("'["&amp;G450&amp;"]"&amp;E450&amp;"'!"&amp;$AH$2),OR(I450=INDIRECT("'["&amp;G450&amp;"]"&amp;E450&amp;"'!"&amp;$AF$2))),INDIRECT("'["&amp;G450&amp;"]"&amp;E450&amp;"'!"&amp;$AF$3),0)</f>
        <v>#VALUE!</v>
      </c>
      <c r="U450" s="34" t="e" cm="1">
        <f t="array" aca="1" ref="U450" ca="1">IF(AND(G450=INDIRECT("'["&amp;G450&amp;"]"&amp;E450&amp;"'!"&amp;$AH$2),OR(I450=INDIRECT("'["&amp;G450&amp;"]"&amp;E450&amp;"'!"&amp;$AG$2))),INDIRECT("'["&amp;G450&amp;"]"&amp;E450&amp;"'!"&amp;$AG$3),0)</f>
        <v>#VALUE!</v>
      </c>
      <c r="V450" s="25" t="str">
        <f t="shared" si="142"/>
        <v/>
      </c>
      <c r="W450" s="36" t="e" cm="1">
        <f t="array" aca="1" ref="W450" ca="1">IF(AND(G450=INDIRECT("'["&amp;G450&amp;"]"&amp;E450&amp;"'!"&amp;$AH$2),OR(V450=INDIRECT("'["&amp;G450&amp;"]"&amp;E450&amp;"'!"&amp;$AI$2))),INDIRECT("'["&amp;G450&amp;"]"&amp;E450&amp;"'!"&amp;$AI$3),0)</f>
        <v>#VALUE!</v>
      </c>
      <c r="AJ450" s="25">
        <v>1</v>
      </c>
      <c r="AK450" s="38">
        <f t="shared" ca="1" si="127"/>
        <v>0</v>
      </c>
      <c r="AL450" s="38">
        <f t="shared" ca="1" si="128"/>
        <v>0</v>
      </c>
      <c r="AM450" s="54" t="str">
        <f t="shared" ca="1" si="129"/>
        <v/>
      </c>
      <c r="AN450" s="25" t="e">
        <f t="shared" ca="1" si="130"/>
        <v>#VALUE!</v>
      </c>
      <c r="AO450" s="25" t="e">
        <f t="shared" ca="1" si="131"/>
        <v>#VALUE!</v>
      </c>
      <c r="AP450" s="39" t="str">
        <f t="shared" ca="1" si="132"/>
        <v/>
      </c>
      <c r="AQ450" s="46" t="str">
        <f ca="1">IF(AND(C450&lt;&gt;0, C451=0), SUM($C$2:C450)-SUM($AQ$1:AQ449), "")</f>
        <v/>
      </c>
      <c r="AR450" s="46" t="str">
        <f ca="1">IF(AND(AK450&lt;&gt;0, AK451=0), SUM($AK$2:AK450)-SUM($AR$1:AR449), "")</f>
        <v/>
      </c>
    </row>
    <row r="451" spans="1:44" ht="13.15" customHeight="1">
      <c r="A451" s="62"/>
      <c r="B451" s="68" t="str">
        <f t="shared" si="133"/>
        <v/>
      </c>
      <c r="C451" s="55" cm="1">
        <f t="array" aca="1" ref="C451" ca="1">SUM(IF(ISNUMBER(M451:U451),M451:U451,""))</f>
        <v>0</v>
      </c>
      <c r="D451" s="25" t="str">
        <f t="shared" si="134"/>
        <v/>
      </c>
      <c r="E451" s="25" t="e">
        <f t="shared" si="135"/>
        <v>#VALUE!</v>
      </c>
      <c r="F451" s="25" t="str">
        <f t="shared" si="136"/>
        <v/>
      </c>
      <c r="G451" s="25" t="str">
        <f t="shared" si="137"/>
        <v>.xlsx</v>
      </c>
      <c r="H451" s="29" t="e" cm="1">
        <f t="array" aca="1" ref="H451" ca="1">IF(AND(VALUE(E451)=INDIRECT("'["&amp;G451&amp;"]"&amp;E451&amp;"'!"&amp;$X$2),G451=INDIRECT("'["&amp;G451&amp;"]"&amp;E451&amp;"'!"&amp;$X$3)),INDIRECT("'["&amp;G451&amp;"]"&amp;E451&amp;"'!"&amp;$X$1),0)</f>
        <v>#VALUE!</v>
      </c>
      <c r="I451" s="25" t="str">
        <f t="shared" si="138"/>
        <v/>
      </c>
      <c r="J451" s="32" t="str">
        <f t="shared" si="139"/>
        <v/>
      </c>
      <c r="K451" s="25" t="str">
        <f t="shared" si="140"/>
        <v/>
      </c>
      <c r="L451" s="25" t="str">
        <f t="shared" si="141"/>
        <v/>
      </c>
      <c r="M451" s="33" t="e" cm="1">
        <f t="array" aca="1" ref="M451" ca="1">IF(AND(J451=INDIRECT("'["&amp;G451&amp;"]"&amp;E451&amp;"'!"&amp;$Y$2),G451=INDIRECT("'["&amp;G451&amp;"]"&amp;E451&amp;"'!"&amp;$AH$2)),INDIRECT("'["&amp;G451&amp;"]"&amp;E451&amp;"'!"&amp;$Y$3),0)</f>
        <v>#VALUE!</v>
      </c>
      <c r="N451" s="34" t="e" cm="1">
        <f t="array" aca="1" ref="N451" ca="1">IF(AND(G451=INDIRECT("'["&amp;G451&amp;"]"&amp;E451&amp;"'!"&amp;$AH$2),OR(K451=INDIRECT("'["&amp;G451&amp;"]"&amp;E451&amp;"'!"&amp;$Z$2))),INDIRECT("'["&amp;G451&amp;"]"&amp;E451&amp;"'!"&amp;$Z$3),0)</f>
        <v>#VALUE!</v>
      </c>
      <c r="O451" s="34" t="e" cm="1">
        <f t="array" aca="1" ref="O451" ca="1">IF(AND(G451=INDIRECT("'["&amp;G451&amp;"]"&amp;E451&amp;"'!"&amp;$AH$2),OR(L451=INDIRECT("'["&amp;G451&amp;"]"&amp;E451&amp;"'!"&amp;$AA$2))),INDIRECT("'["&amp;G451&amp;"]"&amp;E451&amp;"'!"&amp;$AA$3),0)</f>
        <v>#VALUE!</v>
      </c>
      <c r="P451" s="34" t="e" cm="1">
        <f t="array" aca="1" ref="P451" ca="1">IF(AND(G451=INDIRECT("'["&amp;G451&amp;"]"&amp;E451&amp;"'!"&amp;$AH$2),OR(VALUE(I451)=INDIRECT("'["&amp;G451&amp;"]"&amp;E451&amp;"'!"&amp;$AB$2))),INDIRECT("'["&amp;G451&amp;"]"&amp;E451&amp;"'!"&amp;$AB$3),0)</f>
        <v>#VALUE!</v>
      </c>
      <c r="Q451" s="34" t="e" cm="1">
        <f t="array" aca="1" ref="Q451" ca="1">IF(AND(G451=INDIRECT("'["&amp;G451&amp;"]"&amp;E451&amp;"'!"&amp;$AH$2),OR(VALUE(I451)=INDIRECT("'["&amp;G451&amp;"]"&amp;E451&amp;"'!"&amp;$AC$2))),INDIRECT("'["&amp;G451&amp;"]"&amp;E451&amp;"'!"&amp;$AC$3),0)</f>
        <v>#VALUE!</v>
      </c>
      <c r="R451" s="34" t="e" cm="1">
        <f t="array" aca="1" ref="R451" ca="1">IF(AND(G451=INDIRECT("'["&amp;G451&amp;"]"&amp;E451&amp;"'!"&amp;$AH$2),OR(I451=INDIRECT("'["&amp;G451&amp;"]"&amp;E451&amp;"'!"&amp;$AD$2))),INDIRECT("'["&amp;G451&amp;"]"&amp;E451&amp;"'!"&amp;$AD$3),0)</f>
        <v>#VALUE!</v>
      </c>
      <c r="S451" s="34" t="e" cm="1">
        <f t="array" aca="1" ref="S451" ca="1">IF(AND(G451=INDIRECT("'["&amp;G451&amp;"]"&amp;E451&amp;"'!"&amp;$AH$2),OR(I451=INDIRECT("'["&amp;G451&amp;"]"&amp;E451&amp;"'!"&amp;$AE$2))),INDIRECT("'["&amp;G451&amp;"]"&amp;E451&amp;"'!"&amp;$AE$3),0)</f>
        <v>#VALUE!</v>
      </c>
      <c r="T451" s="35" t="e" cm="1">
        <f t="array" aca="1" ref="T451" ca="1">IF(AND(G451=INDIRECT("'["&amp;G451&amp;"]"&amp;E451&amp;"'!"&amp;$AH$2),OR(I451=INDIRECT("'["&amp;G451&amp;"]"&amp;E451&amp;"'!"&amp;$AF$2))),INDIRECT("'["&amp;G451&amp;"]"&amp;E451&amp;"'!"&amp;$AF$3),0)</f>
        <v>#VALUE!</v>
      </c>
      <c r="U451" s="34" t="e" cm="1">
        <f t="array" aca="1" ref="U451" ca="1">IF(AND(G451=INDIRECT("'["&amp;G451&amp;"]"&amp;E451&amp;"'!"&amp;$AH$2),OR(I451=INDIRECT("'["&amp;G451&amp;"]"&amp;E451&amp;"'!"&amp;$AG$2))),INDIRECT("'["&amp;G451&amp;"]"&amp;E451&amp;"'!"&amp;$AG$3),0)</f>
        <v>#VALUE!</v>
      </c>
      <c r="V451" s="25" t="str">
        <f t="shared" si="142"/>
        <v/>
      </c>
      <c r="W451" s="36" t="e" cm="1">
        <f t="array" aca="1" ref="W451" ca="1">IF(AND(G451=INDIRECT("'["&amp;G451&amp;"]"&amp;E451&amp;"'!"&amp;$AH$2),OR(V451=INDIRECT("'["&amp;G451&amp;"]"&amp;E451&amp;"'!"&amp;$AI$2))),INDIRECT("'["&amp;G451&amp;"]"&amp;E451&amp;"'!"&amp;$AI$3),0)</f>
        <v>#VALUE!</v>
      </c>
      <c r="AJ451" s="25">
        <v>1</v>
      </c>
      <c r="AK451" s="38">
        <f t="shared" ca="1" si="127"/>
        <v>0</v>
      </c>
      <c r="AL451" s="38">
        <f t="shared" ca="1" si="128"/>
        <v>0</v>
      </c>
      <c r="AM451" s="54" t="str">
        <f t="shared" ca="1" si="129"/>
        <v/>
      </c>
      <c r="AN451" s="25" t="e">
        <f t="shared" ca="1" si="130"/>
        <v>#VALUE!</v>
      </c>
      <c r="AO451" s="25" t="e">
        <f t="shared" ca="1" si="131"/>
        <v>#VALUE!</v>
      </c>
      <c r="AP451" s="39" t="str">
        <f t="shared" ca="1" si="132"/>
        <v/>
      </c>
      <c r="AQ451" s="46" t="str">
        <f ca="1">IF(AND(C451&lt;&gt;0, C452=0), SUM($C$2:C451)-SUM($AQ$1:AQ450), "")</f>
        <v/>
      </c>
      <c r="AR451" s="46" t="str">
        <f ca="1">IF(AND(AK451&lt;&gt;0, AK452=0), SUM($AK$2:AK451)-SUM($AR$1:AR450), "")</f>
        <v/>
      </c>
    </row>
    <row r="452" spans="1:44" ht="13.15" customHeight="1">
      <c r="A452" s="62"/>
      <c r="B452" s="68" t="str">
        <f t="shared" si="133"/>
        <v/>
      </c>
      <c r="C452" s="55" cm="1">
        <f t="array" aca="1" ref="C452" ca="1">SUM(IF(ISNUMBER(M452:U452),M452:U452,""))</f>
        <v>0</v>
      </c>
      <c r="D452" s="25" t="str">
        <f t="shared" si="134"/>
        <v/>
      </c>
      <c r="E452" s="25" t="e">
        <f t="shared" si="135"/>
        <v>#VALUE!</v>
      </c>
      <c r="F452" s="25" t="str">
        <f t="shared" si="136"/>
        <v/>
      </c>
      <c r="G452" s="25" t="str">
        <f t="shared" si="137"/>
        <v>.xlsx</v>
      </c>
      <c r="H452" s="29" t="e" cm="1">
        <f t="array" aca="1" ref="H452" ca="1">IF(AND(VALUE(E452)=INDIRECT("'["&amp;G452&amp;"]"&amp;E452&amp;"'!"&amp;$X$2),G452=INDIRECT("'["&amp;G452&amp;"]"&amp;E452&amp;"'!"&amp;$X$3)),INDIRECT("'["&amp;G452&amp;"]"&amp;E452&amp;"'!"&amp;$X$1),0)</f>
        <v>#VALUE!</v>
      </c>
      <c r="I452" s="25" t="str">
        <f t="shared" si="138"/>
        <v/>
      </c>
      <c r="J452" s="32" t="str">
        <f t="shared" si="139"/>
        <v/>
      </c>
      <c r="K452" s="25" t="str">
        <f t="shared" si="140"/>
        <v/>
      </c>
      <c r="L452" s="25" t="str">
        <f t="shared" si="141"/>
        <v/>
      </c>
      <c r="M452" s="33" t="e" cm="1">
        <f t="array" aca="1" ref="M452" ca="1">IF(AND(J452=INDIRECT("'["&amp;G452&amp;"]"&amp;E452&amp;"'!"&amp;$Y$2),G452=INDIRECT("'["&amp;G452&amp;"]"&amp;E452&amp;"'!"&amp;$AH$2)),INDIRECT("'["&amp;G452&amp;"]"&amp;E452&amp;"'!"&amp;$Y$3),0)</f>
        <v>#VALUE!</v>
      </c>
      <c r="N452" s="34" t="e" cm="1">
        <f t="array" aca="1" ref="N452" ca="1">IF(AND(G452=INDIRECT("'["&amp;G452&amp;"]"&amp;E452&amp;"'!"&amp;$AH$2),OR(K452=INDIRECT("'["&amp;G452&amp;"]"&amp;E452&amp;"'!"&amp;$Z$2))),INDIRECT("'["&amp;G452&amp;"]"&amp;E452&amp;"'!"&amp;$Z$3),0)</f>
        <v>#VALUE!</v>
      </c>
      <c r="O452" s="34" t="e" cm="1">
        <f t="array" aca="1" ref="O452" ca="1">IF(AND(G452=INDIRECT("'["&amp;G452&amp;"]"&amp;E452&amp;"'!"&amp;$AH$2),OR(L452=INDIRECT("'["&amp;G452&amp;"]"&amp;E452&amp;"'!"&amp;$AA$2))),INDIRECT("'["&amp;G452&amp;"]"&amp;E452&amp;"'!"&amp;$AA$3),0)</f>
        <v>#VALUE!</v>
      </c>
      <c r="P452" s="34" t="e" cm="1">
        <f t="array" aca="1" ref="P452" ca="1">IF(AND(G452=INDIRECT("'["&amp;G452&amp;"]"&amp;E452&amp;"'!"&amp;$AH$2),OR(VALUE(I452)=INDIRECT("'["&amp;G452&amp;"]"&amp;E452&amp;"'!"&amp;$AB$2))),INDIRECT("'["&amp;G452&amp;"]"&amp;E452&amp;"'!"&amp;$AB$3),0)</f>
        <v>#VALUE!</v>
      </c>
      <c r="Q452" s="34" t="e" cm="1">
        <f t="array" aca="1" ref="Q452" ca="1">IF(AND(G452=INDIRECT("'["&amp;G452&amp;"]"&amp;E452&amp;"'!"&amp;$AH$2),OR(VALUE(I452)=INDIRECT("'["&amp;G452&amp;"]"&amp;E452&amp;"'!"&amp;$AC$2))),INDIRECT("'["&amp;G452&amp;"]"&amp;E452&amp;"'!"&amp;$AC$3),0)</f>
        <v>#VALUE!</v>
      </c>
      <c r="R452" s="34" t="e" cm="1">
        <f t="array" aca="1" ref="R452" ca="1">IF(AND(G452=INDIRECT("'["&amp;G452&amp;"]"&amp;E452&amp;"'!"&amp;$AH$2),OR(I452=INDIRECT("'["&amp;G452&amp;"]"&amp;E452&amp;"'!"&amp;$AD$2))),INDIRECT("'["&amp;G452&amp;"]"&amp;E452&amp;"'!"&amp;$AD$3),0)</f>
        <v>#VALUE!</v>
      </c>
      <c r="S452" s="34" t="e" cm="1">
        <f t="array" aca="1" ref="S452" ca="1">IF(AND(G452=INDIRECT("'["&amp;G452&amp;"]"&amp;E452&amp;"'!"&amp;$AH$2),OR(I452=INDIRECT("'["&amp;G452&amp;"]"&amp;E452&amp;"'!"&amp;$AE$2))),INDIRECT("'["&amp;G452&amp;"]"&amp;E452&amp;"'!"&amp;$AE$3),0)</f>
        <v>#VALUE!</v>
      </c>
      <c r="T452" s="35" t="e" cm="1">
        <f t="array" aca="1" ref="T452" ca="1">IF(AND(G452=INDIRECT("'["&amp;G452&amp;"]"&amp;E452&amp;"'!"&amp;$AH$2),OR(I452=INDIRECT("'["&amp;G452&amp;"]"&amp;E452&amp;"'!"&amp;$AF$2))),INDIRECT("'["&amp;G452&amp;"]"&amp;E452&amp;"'!"&amp;$AF$3),0)</f>
        <v>#VALUE!</v>
      </c>
      <c r="U452" s="34" t="e" cm="1">
        <f t="array" aca="1" ref="U452" ca="1">IF(AND(G452=INDIRECT("'["&amp;G452&amp;"]"&amp;E452&amp;"'!"&amp;$AH$2),OR(I452=INDIRECT("'["&amp;G452&amp;"]"&amp;E452&amp;"'!"&amp;$AG$2))),INDIRECT("'["&amp;G452&amp;"]"&amp;E452&amp;"'!"&amp;$AG$3),0)</f>
        <v>#VALUE!</v>
      </c>
      <c r="V452" s="25" t="str">
        <f t="shared" si="142"/>
        <v/>
      </c>
      <c r="W452" s="36" t="e" cm="1">
        <f t="array" aca="1" ref="W452" ca="1">IF(AND(G452=INDIRECT("'["&amp;G452&amp;"]"&amp;E452&amp;"'!"&amp;$AH$2),OR(V452=INDIRECT("'["&amp;G452&amp;"]"&amp;E452&amp;"'!"&amp;$AI$2))),INDIRECT("'["&amp;G452&amp;"]"&amp;E452&amp;"'!"&amp;$AI$3),0)</f>
        <v>#VALUE!</v>
      </c>
      <c r="AJ452" s="25">
        <v>1</v>
      </c>
      <c r="AK452" s="38">
        <f t="shared" ca="1" si="127"/>
        <v>0</v>
      </c>
      <c r="AL452" s="38">
        <f t="shared" ca="1" si="128"/>
        <v>0</v>
      </c>
      <c r="AM452" s="54" t="str">
        <f t="shared" ca="1" si="129"/>
        <v/>
      </c>
      <c r="AN452" s="25" t="e">
        <f t="shared" ca="1" si="130"/>
        <v>#VALUE!</v>
      </c>
      <c r="AO452" s="25" t="e">
        <f t="shared" ca="1" si="131"/>
        <v>#VALUE!</v>
      </c>
      <c r="AP452" s="39" t="str">
        <f t="shared" ca="1" si="132"/>
        <v/>
      </c>
      <c r="AQ452" s="46" t="str">
        <f ca="1">IF(AND(C452&lt;&gt;0, C453=0), SUM($C$2:C452)-SUM($AQ$1:AQ451), "")</f>
        <v/>
      </c>
      <c r="AR452" s="46" t="str">
        <f ca="1">IF(AND(AK452&lt;&gt;0, AK453=0), SUM($AK$2:AK452)-SUM($AR$1:AR451), "")</f>
        <v/>
      </c>
    </row>
    <row r="453" spans="1:44" ht="13.15" customHeight="1">
      <c r="A453" s="62"/>
      <c r="B453" s="68" t="str">
        <f t="shared" si="133"/>
        <v/>
      </c>
      <c r="C453" s="55" cm="1">
        <f t="array" aca="1" ref="C453" ca="1">SUM(IF(ISNUMBER(M453:U453),M453:U453,""))</f>
        <v>0</v>
      </c>
      <c r="D453" s="25" t="str">
        <f t="shared" si="134"/>
        <v/>
      </c>
      <c r="E453" s="25" t="e">
        <f t="shared" si="135"/>
        <v>#VALUE!</v>
      </c>
      <c r="F453" s="25" t="str">
        <f t="shared" si="136"/>
        <v/>
      </c>
      <c r="G453" s="25" t="str">
        <f t="shared" si="137"/>
        <v>.xlsx</v>
      </c>
      <c r="H453" s="29" t="e" cm="1">
        <f t="array" aca="1" ref="H453" ca="1">IF(AND(VALUE(E453)=INDIRECT("'["&amp;G453&amp;"]"&amp;E453&amp;"'!"&amp;$X$2),G453=INDIRECT("'["&amp;G453&amp;"]"&amp;E453&amp;"'!"&amp;$X$3)),INDIRECT("'["&amp;G453&amp;"]"&amp;E453&amp;"'!"&amp;$X$1),0)</f>
        <v>#VALUE!</v>
      </c>
      <c r="I453" s="25" t="str">
        <f t="shared" si="138"/>
        <v/>
      </c>
      <c r="J453" s="32" t="str">
        <f t="shared" si="139"/>
        <v/>
      </c>
      <c r="K453" s="25" t="str">
        <f t="shared" si="140"/>
        <v/>
      </c>
      <c r="L453" s="25" t="str">
        <f t="shared" si="141"/>
        <v/>
      </c>
      <c r="M453" s="33" t="e" cm="1">
        <f t="array" aca="1" ref="M453" ca="1">IF(AND(J453=INDIRECT("'["&amp;G453&amp;"]"&amp;E453&amp;"'!"&amp;$Y$2),G453=INDIRECT("'["&amp;G453&amp;"]"&amp;E453&amp;"'!"&amp;$AH$2)),INDIRECT("'["&amp;G453&amp;"]"&amp;E453&amp;"'!"&amp;$Y$3),0)</f>
        <v>#VALUE!</v>
      </c>
      <c r="N453" s="34" t="e" cm="1">
        <f t="array" aca="1" ref="N453" ca="1">IF(AND(G453=INDIRECT("'["&amp;G453&amp;"]"&amp;E453&amp;"'!"&amp;$AH$2),OR(K453=INDIRECT("'["&amp;G453&amp;"]"&amp;E453&amp;"'!"&amp;$Z$2))),INDIRECT("'["&amp;G453&amp;"]"&amp;E453&amp;"'!"&amp;$Z$3),0)</f>
        <v>#VALUE!</v>
      </c>
      <c r="O453" s="34" t="e" cm="1">
        <f t="array" aca="1" ref="O453" ca="1">IF(AND(G453=INDIRECT("'["&amp;G453&amp;"]"&amp;E453&amp;"'!"&amp;$AH$2),OR(L453=INDIRECT("'["&amp;G453&amp;"]"&amp;E453&amp;"'!"&amp;$AA$2))),INDIRECT("'["&amp;G453&amp;"]"&amp;E453&amp;"'!"&amp;$AA$3),0)</f>
        <v>#VALUE!</v>
      </c>
      <c r="P453" s="34" t="e" cm="1">
        <f t="array" aca="1" ref="P453" ca="1">IF(AND(G453=INDIRECT("'["&amp;G453&amp;"]"&amp;E453&amp;"'!"&amp;$AH$2),OR(VALUE(I453)=INDIRECT("'["&amp;G453&amp;"]"&amp;E453&amp;"'!"&amp;$AB$2))),INDIRECT("'["&amp;G453&amp;"]"&amp;E453&amp;"'!"&amp;$AB$3),0)</f>
        <v>#VALUE!</v>
      </c>
      <c r="Q453" s="34" t="e" cm="1">
        <f t="array" aca="1" ref="Q453" ca="1">IF(AND(G453=INDIRECT("'["&amp;G453&amp;"]"&amp;E453&amp;"'!"&amp;$AH$2),OR(VALUE(I453)=INDIRECT("'["&amp;G453&amp;"]"&amp;E453&amp;"'!"&amp;$AC$2))),INDIRECT("'["&amp;G453&amp;"]"&amp;E453&amp;"'!"&amp;$AC$3),0)</f>
        <v>#VALUE!</v>
      </c>
      <c r="R453" s="34" t="e" cm="1">
        <f t="array" aca="1" ref="R453" ca="1">IF(AND(G453=INDIRECT("'["&amp;G453&amp;"]"&amp;E453&amp;"'!"&amp;$AH$2),OR(I453=INDIRECT("'["&amp;G453&amp;"]"&amp;E453&amp;"'!"&amp;$AD$2))),INDIRECT("'["&amp;G453&amp;"]"&amp;E453&amp;"'!"&amp;$AD$3),0)</f>
        <v>#VALUE!</v>
      </c>
      <c r="S453" s="34" t="e" cm="1">
        <f t="array" aca="1" ref="S453" ca="1">IF(AND(G453=INDIRECT("'["&amp;G453&amp;"]"&amp;E453&amp;"'!"&amp;$AH$2),OR(I453=INDIRECT("'["&amp;G453&amp;"]"&amp;E453&amp;"'!"&amp;$AE$2))),INDIRECT("'["&amp;G453&amp;"]"&amp;E453&amp;"'!"&amp;$AE$3),0)</f>
        <v>#VALUE!</v>
      </c>
      <c r="T453" s="35" t="e" cm="1">
        <f t="array" aca="1" ref="T453" ca="1">IF(AND(G453=INDIRECT("'["&amp;G453&amp;"]"&amp;E453&amp;"'!"&amp;$AH$2),OR(I453=INDIRECT("'["&amp;G453&amp;"]"&amp;E453&amp;"'!"&amp;$AF$2))),INDIRECT("'["&amp;G453&amp;"]"&amp;E453&amp;"'!"&amp;$AF$3),0)</f>
        <v>#VALUE!</v>
      </c>
      <c r="U453" s="34" t="e" cm="1">
        <f t="array" aca="1" ref="U453" ca="1">IF(AND(G453=INDIRECT("'["&amp;G453&amp;"]"&amp;E453&amp;"'!"&amp;$AH$2),OR(I453=INDIRECT("'["&amp;G453&amp;"]"&amp;E453&amp;"'!"&amp;$AG$2))),INDIRECT("'["&amp;G453&amp;"]"&amp;E453&amp;"'!"&amp;$AG$3),0)</f>
        <v>#VALUE!</v>
      </c>
      <c r="V453" s="25" t="str">
        <f t="shared" si="142"/>
        <v/>
      </c>
      <c r="W453" s="36" t="e" cm="1">
        <f t="array" aca="1" ref="W453" ca="1">IF(AND(G453=INDIRECT("'["&amp;G453&amp;"]"&amp;E453&amp;"'!"&amp;$AH$2),OR(V453=INDIRECT("'["&amp;G453&amp;"]"&amp;E453&amp;"'!"&amp;$AI$2))),INDIRECT("'["&amp;G453&amp;"]"&amp;E453&amp;"'!"&amp;$AI$3),0)</f>
        <v>#VALUE!</v>
      </c>
      <c r="AJ453" s="25">
        <v>1</v>
      </c>
      <c r="AK453" s="38">
        <f t="shared" ca="1" si="127"/>
        <v>0</v>
      </c>
      <c r="AL453" s="38">
        <f t="shared" ca="1" si="128"/>
        <v>0</v>
      </c>
      <c r="AM453" s="54" t="str">
        <f t="shared" ca="1" si="129"/>
        <v/>
      </c>
      <c r="AN453" s="25" t="e">
        <f t="shared" ca="1" si="130"/>
        <v>#VALUE!</v>
      </c>
      <c r="AO453" s="25" t="e">
        <f t="shared" ca="1" si="131"/>
        <v>#VALUE!</v>
      </c>
      <c r="AP453" s="39" t="str">
        <f t="shared" ca="1" si="132"/>
        <v/>
      </c>
      <c r="AQ453" s="46" t="str">
        <f ca="1">IF(AND(C453&lt;&gt;0, C454=0), SUM($C$2:C453)-SUM($AQ$1:AQ452), "")</f>
        <v/>
      </c>
      <c r="AR453" s="46" t="str">
        <f ca="1">IF(AND(AK453&lt;&gt;0, AK454=0), SUM($AK$2:AK453)-SUM($AR$1:AR452), "")</f>
        <v/>
      </c>
    </row>
    <row r="454" spans="1:44" ht="13.15" customHeight="1">
      <c r="A454" s="62"/>
      <c r="B454" s="68" t="str">
        <f t="shared" si="133"/>
        <v/>
      </c>
      <c r="C454" s="55" cm="1">
        <f t="array" aca="1" ref="C454" ca="1">SUM(IF(ISNUMBER(M454:U454),M454:U454,""))</f>
        <v>0</v>
      </c>
      <c r="D454" s="25" t="str">
        <f t="shared" si="134"/>
        <v/>
      </c>
      <c r="E454" s="25" t="e">
        <f t="shared" si="135"/>
        <v>#VALUE!</v>
      </c>
      <c r="F454" s="25" t="str">
        <f t="shared" si="136"/>
        <v/>
      </c>
      <c r="G454" s="25" t="str">
        <f t="shared" si="137"/>
        <v>.xlsx</v>
      </c>
      <c r="H454" s="29" t="e" cm="1">
        <f t="array" aca="1" ref="H454" ca="1">IF(AND(VALUE(E454)=INDIRECT("'["&amp;G454&amp;"]"&amp;E454&amp;"'!"&amp;$X$2),G454=INDIRECT("'["&amp;G454&amp;"]"&amp;E454&amp;"'!"&amp;$X$3)),INDIRECT("'["&amp;G454&amp;"]"&amp;E454&amp;"'!"&amp;$X$1),0)</f>
        <v>#VALUE!</v>
      </c>
      <c r="I454" s="25" t="str">
        <f t="shared" si="138"/>
        <v/>
      </c>
      <c r="J454" s="32" t="str">
        <f t="shared" si="139"/>
        <v/>
      </c>
      <c r="K454" s="25" t="str">
        <f t="shared" si="140"/>
        <v/>
      </c>
      <c r="L454" s="25" t="str">
        <f t="shared" si="141"/>
        <v/>
      </c>
      <c r="M454" s="33" t="e" cm="1">
        <f t="array" aca="1" ref="M454" ca="1">IF(AND(J454=INDIRECT("'["&amp;G454&amp;"]"&amp;E454&amp;"'!"&amp;$Y$2),G454=INDIRECT("'["&amp;G454&amp;"]"&amp;E454&amp;"'!"&amp;$AH$2)),INDIRECT("'["&amp;G454&amp;"]"&amp;E454&amp;"'!"&amp;$Y$3),0)</f>
        <v>#VALUE!</v>
      </c>
      <c r="N454" s="34" t="e" cm="1">
        <f t="array" aca="1" ref="N454" ca="1">IF(AND(G454=INDIRECT("'["&amp;G454&amp;"]"&amp;E454&amp;"'!"&amp;$AH$2),OR(K454=INDIRECT("'["&amp;G454&amp;"]"&amp;E454&amp;"'!"&amp;$Z$2))),INDIRECT("'["&amp;G454&amp;"]"&amp;E454&amp;"'!"&amp;$Z$3),0)</f>
        <v>#VALUE!</v>
      </c>
      <c r="O454" s="34" t="e" cm="1">
        <f t="array" aca="1" ref="O454" ca="1">IF(AND(G454=INDIRECT("'["&amp;G454&amp;"]"&amp;E454&amp;"'!"&amp;$AH$2),OR(L454=INDIRECT("'["&amp;G454&amp;"]"&amp;E454&amp;"'!"&amp;$AA$2))),INDIRECT("'["&amp;G454&amp;"]"&amp;E454&amp;"'!"&amp;$AA$3),0)</f>
        <v>#VALUE!</v>
      </c>
      <c r="P454" s="34" t="e" cm="1">
        <f t="array" aca="1" ref="P454" ca="1">IF(AND(G454=INDIRECT("'["&amp;G454&amp;"]"&amp;E454&amp;"'!"&amp;$AH$2),OR(VALUE(I454)=INDIRECT("'["&amp;G454&amp;"]"&amp;E454&amp;"'!"&amp;$AB$2))),INDIRECT("'["&amp;G454&amp;"]"&amp;E454&amp;"'!"&amp;$AB$3),0)</f>
        <v>#VALUE!</v>
      </c>
      <c r="Q454" s="34" t="e" cm="1">
        <f t="array" aca="1" ref="Q454" ca="1">IF(AND(G454=INDIRECT("'["&amp;G454&amp;"]"&amp;E454&amp;"'!"&amp;$AH$2),OR(VALUE(I454)=INDIRECT("'["&amp;G454&amp;"]"&amp;E454&amp;"'!"&amp;$AC$2))),INDIRECT("'["&amp;G454&amp;"]"&amp;E454&amp;"'!"&amp;$AC$3),0)</f>
        <v>#VALUE!</v>
      </c>
      <c r="R454" s="34" t="e" cm="1">
        <f t="array" aca="1" ref="R454" ca="1">IF(AND(G454=INDIRECT("'["&amp;G454&amp;"]"&amp;E454&amp;"'!"&amp;$AH$2),OR(I454=INDIRECT("'["&amp;G454&amp;"]"&amp;E454&amp;"'!"&amp;$AD$2))),INDIRECT("'["&amp;G454&amp;"]"&amp;E454&amp;"'!"&amp;$AD$3),0)</f>
        <v>#VALUE!</v>
      </c>
      <c r="S454" s="34" t="e" cm="1">
        <f t="array" aca="1" ref="S454" ca="1">IF(AND(G454=INDIRECT("'["&amp;G454&amp;"]"&amp;E454&amp;"'!"&amp;$AH$2),OR(I454=INDIRECT("'["&amp;G454&amp;"]"&amp;E454&amp;"'!"&amp;$AE$2))),INDIRECT("'["&amp;G454&amp;"]"&amp;E454&amp;"'!"&amp;$AE$3),0)</f>
        <v>#VALUE!</v>
      </c>
      <c r="T454" s="35" t="e" cm="1">
        <f t="array" aca="1" ref="T454" ca="1">IF(AND(G454=INDIRECT("'["&amp;G454&amp;"]"&amp;E454&amp;"'!"&amp;$AH$2),OR(I454=INDIRECT("'["&amp;G454&amp;"]"&amp;E454&amp;"'!"&amp;$AF$2))),INDIRECT("'["&amp;G454&amp;"]"&amp;E454&amp;"'!"&amp;$AF$3),0)</f>
        <v>#VALUE!</v>
      </c>
      <c r="U454" s="34" t="e" cm="1">
        <f t="array" aca="1" ref="U454" ca="1">IF(AND(G454=INDIRECT("'["&amp;G454&amp;"]"&amp;E454&amp;"'!"&amp;$AH$2),OR(I454=INDIRECT("'["&amp;G454&amp;"]"&amp;E454&amp;"'!"&amp;$AG$2))),INDIRECT("'["&amp;G454&amp;"]"&amp;E454&amp;"'!"&amp;$AG$3),0)</f>
        <v>#VALUE!</v>
      </c>
      <c r="V454" s="25" t="str">
        <f t="shared" si="142"/>
        <v/>
      </c>
      <c r="W454" s="36" t="e" cm="1">
        <f t="array" aca="1" ref="W454" ca="1">IF(AND(G454=INDIRECT("'["&amp;G454&amp;"]"&amp;E454&amp;"'!"&amp;$AH$2),OR(V454=INDIRECT("'["&amp;G454&amp;"]"&amp;E454&amp;"'!"&amp;$AI$2))),INDIRECT("'["&amp;G454&amp;"]"&amp;E454&amp;"'!"&amp;$AI$3),0)</f>
        <v>#VALUE!</v>
      </c>
      <c r="AJ454" s="25">
        <v>1</v>
      </c>
      <c r="AK454" s="38">
        <f t="shared" ca="1" si="127"/>
        <v>0</v>
      </c>
      <c r="AL454" s="38">
        <f t="shared" ca="1" si="128"/>
        <v>0</v>
      </c>
      <c r="AM454" s="54" t="str">
        <f t="shared" ca="1" si="129"/>
        <v/>
      </c>
      <c r="AN454" s="25" t="e">
        <f t="shared" ca="1" si="130"/>
        <v>#VALUE!</v>
      </c>
      <c r="AO454" s="25" t="e">
        <f t="shared" ca="1" si="131"/>
        <v>#VALUE!</v>
      </c>
      <c r="AP454" s="39" t="str">
        <f t="shared" ca="1" si="132"/>
        <v/>
      </c>
      <c r="AQ454" s="46" t="str">
        <f ca="1">IF(AND(C454&lt;&gt;0, C455=0), SUM($C$2:C454)-SUM($AQ$1:AQ453), "")</f>
        <v/>
      </c>
      <c r="AR454" s="46" t="str">
        <f ca="1">IF(AND(AK454&lt;&gt;0, AK455=0), SUM($AK$2:AK454)-SUM($AR$1:AR453), "")</f>
        <v/>
      </c>
    </row>
    <row r="455" spans="1:44" ht="13.15" customHeight="1">
      <c r="A455" s="62"/>
      <c r="B455" s="68" t="str">
        <f t="shared" si="133"/>
        <v/>
      </c>
      <c r="C455" s="55" cm="1">
        <f t="array" aca="1" ref="C455" ca="1">SUM(IF(ISNUMBER(M455:U455),M455:U455,""))</f>
        <v>0</v>
      </c>
      <c r="D455" s="25" t="str">
        <f t="shared" si="134"/>
        <v/>
      </c>
      <c r="E455" s="25" t="e">
        <f t="shared" si="135"/>
        <v>#VALUE!</v>
      </c>
      <c r="F455" s="25" t="str">
        <f t="shared" si="136"/>
        <v/>
      </c>
      <c r="G455" s="25" t="str">
        <f t="shared" si="137"/>
        <v>.xlsx</v>
      </c>
      <c r="H455" s="29" t="e" cm="1">
        <f t="array" aca="1" ref="H455" ca="1">IF(AND(VALUE(E455)=INDIRECT("'["&amp;G455&amp;"]"&amp;E455&amp;"'!"&amp;$X$2),G455=INDIRECT("'["&amp;G455&amp;"]"&amp;E455&amp;"'!"&amp;$X$3)),INDIRECT("'["&amp;G455&amp;"]"&amp;E455&amp;"'!"&amp;$X$1),0)</f>
        <v>#VALUE!</v>
      </c>
      <c r="I455" s="25" t="str">
        <f t="shared" si="138"/>
        <v/>
      </c>
      <c r="J455" s="32" t="str">
        <f t="shared" si="139"/>
        <v/>
      </c>
      <c r="K455" s="25" t="str">
        <f t="shared" si="140"/>
        <v/>
      </c>
      <c r="L455" s="25" t="str">
        <f t="shared" si="141"/>
        <v/>
      </c>
      <c r="M455" s="33" t="e" cm="1">
        <f t="array" aca="1" ref="M455" ca="1">IF(AND(J455=INDIRECT("'["&amp;G455&amp;"]"&amp;E455&amp;"'!"&amp;$Y$2),G455=INDIRECT("'["&amp;G455&amp;"]"&amp;E455&amp;"'!"&amp;$AH$2)),INDIRECT("'["&amp;G455&amp;"]"&amp;E455&amp;"'!"&amp;$Y$3),0)</f>
        <v>#VALUE!</v>
      </c>
      <c r="N455" s="34" t="e" cm="1">
        <f t="array" aca="1" ref="N455" ca="1">IF(AND(G455=INDIRECT("'["&amp;G455&amp;"]"&amp;E455&amp;"'!"&amp;$AH$2),OR(K455=INDIRECT("'["&amp;G455&amp;"]"&amp;E455&amp;"'!"&amp;$Z$2))),INDIRECT("'["&amp;G455&amp;"]"&amp;E455&amp;"'!"&amp;$Z$3),0)</f>
        <v>#VALUE!</v>
      </c>
      <c r="O455" s="34" t="e" cm="1">
        <f t="array" aca="1" ref="O455" ca="1">IF(AND(G455=INDIRECT("'["&amp;G455&amp;"]"&amp;E455&amp;"'!"&amp;$AH$2),OR(L455=INDIRECT("'["&amp;G455&amp;"]"&amp;E455&amp;"'!"&amp;$AA$2))),INDIRECT("'["&amp;G455&amp;"]"&amp;E455&amp;"'!"&amp;$AA$3),0)</f>
        <v>#VALUE!</v>
      </c>
      <c r="P455" s="34" t="e" cm="1">
        <f t="array" aca="1" ref="P455" ca="1">IF(AND(G455=INDIRECT("'["&amp;G455&amp;"]"&amp;E455&amp;"'!"&amp;$AH$2),OR(VALUE(I455)=INDIRECT("'["&amp;G455&amp;"]"&amp;E455&amp;"'!"&amp;$AB$2))),INDIRECT("'["&amp;G455&amp;"]"&amp;E455&amp;"'!"&amp;$AB$3),0)</f>
        <v>#VALUE!</v>
      </c>
      <c r="Q455" s="34" t="e" cm="1">
        <f t="array" aca="1" ref="Q455" ca="1">IF(AND(G455=INDIRECT("'["&amp;G455&amp;"]"&amp;E455&amp;"'!"&amp;$AH$2),OR(VALUE(I455)=INDIRECT("'["&amp;G455&amp;"]"&amp;E455&amp;"'!"&amp;$AC$2))),INDIRECT("'["&amp;G455&amp;"]"&amp;E455&amp;"'!"&amp;$AC$3),0)</f>
        <v>#VALUE!</v>
      </c>
      <c r="R455" s="34" t="e" cm="1">
        <f t="array" aca="1" ref="R455" ca="1">IF(AND(G455=INDIRECT("'["&amp;G455&amp;"]"&amp;E455&amp;"'!"&amp;$AH$2),OR(I455=INDIRECT("'["&amp;G455&amp;"]"&amp;E455&amp;"'!"&amp;$AD$2))),INDIRECT("'["&amp;G455&amp;"]"&amp;E455&amp;"'!"&amp;$AD$3),0)</f>
        <v>#VALUE!</v>
      </c>
      <c r="S455" s="34" t="e" cm="1">
        <f t="array" aca="1" ref="S455" ca="1">IF(AND(G455=INDIRECT("'["&amp;G455&amp;"]"&amp;E455&amp;"'!"&amp;$AH$2),OR(I455=INDIRECT("'["&amp;G455&amp;"]"&amp;E455&amp;"'!"&amp;$AE$2))),INDIRECT("'["&amp;G455&amp;"]"&amp;E455&amp;"'!"&amp;$AE$3),0)</f>
        <v>#VALUE!</v>
      </c>
      <c r="T455" s="35" t="e" cm="1">
        <f t="array" aca="1" ref="T455" ca="1">IF(AND(G455=INDIRECT("'["&amp;G455&amp;"]"&amp;E455&amp;"'!"&amp;$AH$2),OR(I455=INDIRECT("'["&amp;G455&amp;"]"&amp;E455&amp;"'!"&amp;$AF$2))),INDIRECT("'["&amp;G455&amp;"]"&amp;E455&amp;"'!"&amp;$AF$3),0)</f>
        <v>#VALUE!</v>
      </c>
      <c r="U455" s="34" t="e" cm="1">
        <f t="array" aca="1" ref="U455" ca="1">IF(AND(G455=INDIRECT("'["&amp;G455&amp;"]"&amp;E455&amp;"'!"&amp;$AH$2),OR(I455=INDIRECT("'["&amp;G455&amp;"]"&amp;E455&amp;"'!"&amp;$AG$2))),INDIRECT("'["&amp;G455&amp;"]"&amp;E455&amp;"'!"&amp;$AG$3),0)</f>
        <v>#VALUE!</v>
      </c>
      <c r="V455" s="25" t="str">
        <f t="shared" si="142"/>
        <v/>
      </c>
      <c r="W455" s="36" t="e" cm="1">
        <f t="array" aca="1" ref="W455" ca="1">IF(AND(G455=INDIRECT("'["&amp;G455&amp;"]"&amp;E455&amp;"'!"&amp;$AH$2),OR(V455=INDIRECT("'["&amp;G455&amp;"]"&amp;E455&amp;"'!"&amp;$AI$2))),INDIRECT("'["&amp;G455&amp;"]"&amp;E455&amp;"'!"&amp;$AI$3),0)</f>
        <v>#VALUE!</v>
      </c>
      <c r="AJ455" s="25">
        <v>1</v>
      </c>
      <c r="AK455" s="38">
        <f t="shared" ca="1" si="127"/>
        <v>0</v>
      </c>
      <c r="AL455" s="38">
        <f t="shared" ca="1" si="128"/>
        <v>0</v>
      </c>
      <c r="AM455" s="54" t="str">
        <f t="shared" ca="1" si="129"/>
        <v/>
      </c>
      <c r="AN455" s="25" t="e">
        <f t="shared" ca="1" si="130"/>
        <v>#VALUE!</v>
      </c>
      <c r="AO455" s="25" t="e">
        <f t="shared" ca="1" si="131"/>
        <v>#VALUE!</v>
      </c>
      <c r="AP455" s="39" t="str">
        <f t="shared" ca="1" si="132"/>
        <v/>
      </c>
      <c r="AQ455" s="46" t="str">
        <f ca="1">IF(AND(C455&lt;&gt;0, C456=0), SUM($C$2:C455)-SUM($AQ$1:AQ454), "")</f>
        <v/>
      </c>
      <c r="AR455" s="46" t="str">
        <f ca="1">IF(AND(AK455&lt;&gt;0, AK456=0), SUM($AK$2:AK455)-SUM($AR$1:AR454), "")</f>
        <v/>
      </c>
    </row>
    <row r="456" spans="1:44" ht="13.15" customHeight="1">
      <c r="A456" s="62"/>
      <c r="B456" s="68" t="str">
        <f t="shared" si="133"/>
        <v/>
      </c>
      <c r="C456" s="55" cm="1">
        <f t="array" aca="1" ref="C456" ca="1">SUM(IF(ISNUMBER(M456:U456),M456:U456,""))</f>
        <v>0</v>
      </c>
      <c r="D456" s="25" t="str">
        <f t="shared" si="134"/>
        <v/>
      </c>
      <c r="E456" s="25" t="e">
        <f t="shared" si="135"/>
        <v>#VALUE!</v>
      </c>
      <c r="F456" s="25" t="str">
        <f t="shared" si="136"/>
        <v/>
      </c>
      <c r="G456" s="25" t="str">
        <f t="shared" si="137"/>
        <v>.xlsx</v>
      </c>
      <c r="H456" s="29" t="e" cm="1">
        <f t="array" aca="1" ref="H456" ca="1">IF(AND(VALUE(E456)=INDIRECT("'["&amp;G456&amp;"]"&amp;E456&amp;"'!"&amp;$X$2),G456=INDIRECT("'["&amp;G456&amp;"]"&amp;E456&amp;"'!"&amp;$X$3)),INDIRECT("'["&amp;G456&amp;"]"&amp;E456&amp;"'!"&amp;$X$1),0)</f>
        <v>#VALUE!</v>
      </c>
      <c r="I456" s="25" t="str">
        <f t="shared" si="138"/>
        <v/>
      </c>
      <c r="J456" s="32" t="str">
        <f t="shared" si="139"/>
        <v/>
      </c>
      <c r="K456" s="25" t="str">
        <f t="shared" si="140"/>
        <v/>
      </c>
      <c r="L456" s="25" t="str">
        <f t="shared" si="141"/>
        <v/>
      </c>
      <c r="M456" s="33" t="e" cm="1">
        <f t="array" aca="1" ref="M456" ca="1">IF(AND(J456=INDIRECT("'["&amp;G456&amp;"]"&amp;E456&amp;"'!"&amp;$Y$2),G456=INDIRECT("'["&amp;G456&amp;"]"&amp;E456&amp;"'!"&amp;$AH$2)),INDIRECT("'["&amp;G456&amp;"]"&amp;E456&amp;"'!"&amp;$Y$3),0)</f>
        <v>#VALUE!</v>
      </c>
      <c r="N456" s="34" t="e" cm="1">
        <f t="array" aca="1" ref="N456" ca="1">IF(AND(G456=INDIRECT("'["&amp;G456&amp;"]"&amp;E456&amp;"'!"&amp;$AH$2),OR(K456=INDIRECT("'["&amp;G456&amp;"]"&amp;E456&amp;"'!"&amp;$Z$2))),INDIRECT("'["&amp;G456&amp;"]"&amp;E456&amp;"'!"&amp;$Z$3),0)</f>
        <v>#VALUE!</v>
      </c>
      <c r="O456" s="34" t="e" cm="1">
        <f t="array" aca="1" ref="O456" ca="1">IF(AND(G456=INDIRECT("'["&amp;G456&amp;"]"&amp;E456&amp;"'!"&amp;$AH$2),OR(L456=INDIRECT("'["&amp;G456&amp;"]"&amp;E456&amp;"'!"&amp;$AA$2))),INDIRECT("'["&amp;G456&amp;"]"&amp;E456&amp;"'!"&amp;$AA$3),0)</f>
        <v>#VALUE!</v>
      </c>
      <c r="P456" s="34" t="e" cm="1">
        <f t="array" aca="1" ref="P456" ca="1">IF(AND(G456=INDIRECT("'["&amp;G456&amp;"]"&amp;E456&amp;"'!"&amp;$AH$2),OR(VALUE(I456)=INDIRECT("'["&amp;G456&amp;"]"&amp;E456&amp;"'!"&amp;$AB$2))),INDIRECT("'["&amp;G456&amp;"]"&amp;E456&amp;"'!"&amp;$AB$3),0)</f>
        <v>#VALUE!</v>
      </c>
      <c r="Q456" s="34" t="e" cm="1">
        <f t="array" aca="1" ref="Q456" ca="1">IF(AND(G456=INDIRECT("'["&amp;G456&amp;"]"&amp;E456&amp;"'!"&amp;$AH$2),OR(VALUE(I456)=INDIRECT("'["&amp;G456&amp;"]"&amp;E456&amp;"'!"&amp;$AC$2))),INDIRECT("'["&amp;G456&amp;"]"&amp;E456&amp;"'!"&amp;$AC$3),0)</f>
        <v>#VALUE!</v>
      </c>
      <c r="R456" s="34" t="e" cm="1">
        <f t="array" aca="1" ref="R456" ca="1">IF(AND(G456=INDIRECT("'["&amp;G456&amp;"]"&amp;E456&amp;"'!"&amp;$AH$2),OR(I456=INDIRECT("'["&amp;G456&amp;"]"&amp;E456&amp;"'!"&amp;$AD$2))),INDIRECT("'["&amp;G456&amp;"]"&amp;E456&amp;"'!"&amp;$AD$3),0)</f>
        <v>#VALUE!</v>
      </c>
      <c r="S456" s="34" t="e" cm="1">
        <f t="array" aca="1" ref="S456" ca="1">IF(AND(G456=INDIRECT("'["&amp;G456&amp;"]"&amp;E456&amp;"'!"&amp;$AH$2),OR(I456=INDIRECT("'["&amp;G456&amp;"]"&amp;E456&amp;"'!"&amp;$AE$2))),INDIRECT("'["&amp;G456&amp;"]"&amp;E456&amp;"'!"&amp;$AE$3),0)</f>
        <v>#VALUE!</v>
      </c>
      <c r="T456" s="35" t="e" cm="1">
        <f t="array" aca="1" ref="T456" ca="1">IF(AND(G456=INDIRECT("'["&amp;G456&amp;"]"&amp;E456&amp;"'!"&amp;$AH$2),OR(I456=INDIRECT("'["&amp;G456&amp;"]"&amp;E456&amp;"'!"&amp;$AF$2))),INDIRECT("'["&amp;G456&amp;"]"&amp;E456&amp;"'!"&amp;$AF$3),0)</f>
        <v>#VALUE!</v>
      </c>
      <c r="U456" s="34" t="e" cm="1">
        <f t="array" aca="1" ref="U456" ca="1">IF(AND(G456=INDIRECT("'["&amp;G456&amp;"]"&amp;E456&amp;"'!"&amp;$AH$2),OR(I456=INDIRECT("'["&amp;G456&amp;"]"&amp;E456&amp;"'!"&amp;$AG$2))),INDIRECT("'["&amp;G456&amp;"]"&amp;E456&amp;"'!"&amp;$AG$3),0)</f>
        <v>#VALUE!</v>
      </c>
      <c r="V456" s="25" t="str">
        <f t="shared" si="142"/>
        <v/>
      </c>
      <c r="W456" s="36" t="e" cm="1">
        <f t="array" aca="1" ref="W456" ca="1">IF(AND(G456=INDIRECT("'["&amp;G456&amp;"]"&amp;E456&amp;"'!"&amp;$AH$2),OR(V456=INDIRECT("'["&amp;G456&amp;"]"&amp;E456&amp;"'!"&amp;$AI$2))),INDIRECT("'["&amp;G456&amp;"]"&amp;E456&amp;"'!"&amp;$AI$3),0)</f>
        <v>#VALUE!</v>
      </c>
      <c r="AJ456" s="25">
        <v>1</v>
      </c>
      <c r="AK456" s="38">
        <f t="shared" ca="1" si="127"/>
        <v>0</v>
      </c>
      <c r="AL456" s="38">
        <f t="shared" ca="1" si="128"/>
        <v>0</v>
      </c>
      <c r="AM456" s="54" t="str">
        <f t="shared" ca="1" si="129"/>
        <v/>
      </c>
      <c r="AN456" s="25" t="e">
        <f t="shared" ca="1" si="130"/>
        <v>#VALUE!</v>
      </c>
      <c r="AO456" s="25" t="e">
        <f t="shared" ca="1" si="131"/>
        <v>#VALUE!</v>
      </c>
      <c r="AP456" s="39" t="str">
        <f t="shared" ca="1" si="132"/>
        <v/>
      </c>
      <c r="AQ456" s="46" t="str">
        <f ca="1">IF(AND(C456&lt;&gt;0, C457=0), SUM($C$2:C456)-SUM($AQ$1:AQ455), "")</f>
        <v/>
      </c>
      <c r="AR456" s="46" t="str">
        <f ca="1">IF(AND(AK456&lt;&gt;0, AK457=0), SUM($AK$2:AK456)-SUM($AR$1:AR455), "")</f>
        <v/>
      </c>
    </row>
    <row r="457" spans="1:44" ht="13.15" customHeight="1">
      <c r="A457" s="62"/>
      <c r="B457" s="68" t="str">
        <f t="shared" si="133"/>
        <v/>
      </c>
      <c r="C457" s="55" cm="1">
        <f t="array" aca="1" ref="C457" ca="1">SUM(IF(ISNUMBER(M457:U457),M457:U457,""))</f>
        <v>0</v>
      </c>
      <c r="D457" s="25" t="str">
        <f t="shared" si="134"/>
        <v/>
      </c>
      <c r="E457" s="25" t="e">
        <f t="shared" si="135"/>
        <v>#VALUE!</v>
      </c>
      <c r="F457" s="25" t="str">
        <f t="shared" si="136"/>
        <v/>
      </c>
      <c r="G457" s="25" t="str">
        <f t="shared" si="137"/>
        <v>.xlsx</v>
      </c>
      <c r="H457" s="29" t="e" cm="1">
        <f t="array" aca="1" ref="H457" ca="1">IF(AND(VALUE(E457)=INDIRECT("'["&amp;G457&amp;"]"&amp;E457&amp;"'!"&amp;$X$2),G457=INDIRECT("'["&amp;G457&amp;"]"&amp;E457&amp;"'!"&amp;$X$3)),INDIRECT("'["&amp;G457&amp;"]"&amp;E457&amp;"'!"&amp;$X$1),0)</f>
        <v>#VALUE!</v>
      </c>
      <c r="I457" s="25" t="str">
        <f t="shared" si="138"/>
        <v/>
      </c>
      <c r="J457" s="32" t="str">
        <f t="shared" si="139"/>
        <v/>
      </c>
      <c r="K457" s="25" t="str">
        <f t="shared" si="140"/>
        <v/>
      </c>
      <c r="L457" s="25" t="str">
        <f t="shared" si="141"/>
        <v/>
      </c>
      <c r="M457" s="33" t="e" cm="1">
        <f t="array" aca="1" ref="M457" ca="1">IF(AND(J457=INDIRECT("'["&amp;G457&amp;"]"&amp;E457&amp;"'!"&amp;$Y$2),G457=INDIRECT("'["&amp;G457&amp;"]"&amp;E457&amp;"'!"&amp;$AH$2)),INDIRECT("'["&amp;G457&amp;"]"&amp;E457&amp;"'!"&amp;$Y$3),0)</f>
        <v>#VALUE!</v>
      </c>
      <c r="N457" s="34" t="e" cm="1">
        <f t="array" aca="1" ref="N457" ca="1">IF(AND(G457=INDIRECT("'["&amp;G457&amp;"]"&amp;E457&amp;"'!"&amp;$AH$2),OR(K457=INDIRECT("'["&amp;G457&amp;"]"&amp;E457&amp;"'!"&amp;$Z$2))),INDIRECT("'["&amp;G457&amp;"]"&amp;E457&amp;"'!"&amp;$Z$3),0)</f>
        <v>#VALUE!</v>
      </c>
      <c r="O457" s="34" t="e" cm="1">
        <f t="array" aca="1" ref="O457" ca="1">IF(AND(G457=INDIRECT("'["&amp;G457&amp;"]"&amp;E457&amp;"'!"&amp;$AH$2),OR(L457=INDIRECT("'["&amp;G457&amp;"]"&amp;E457&amp;"'!"&amp;$AA$2))),INDIRECT("'["&amp;G457&amp;"]"&amp;E457&amp;"'!"&amp;$AA$3),0)</f>
        <v>#VALUE!</v>
      </c>
      <c r="P457" s="34" t="e" cm="1">
        <f t="array" aca="1" ref="P457" ca="1">IF(AND(G457=INDIRECT("'["&amp;G457&amp;"]"&amp;E457&amp;"'!"&amp;$AH$2),OR(VALUE(I457)=INDIRECT("'["&amp;G457&amp;"]"&amp;E457&amp;"'!"&amp;$AB$2))),INDIRECT("'["&amp;G457&amp;"]"&amp;E457&amp;"'!"&amp;$AB$3),0)</f>
        <v>#VALUE!</v>
      </c>
      <c r="Q457" s="34" t="e" cm="1">
        <f t="array" aca="1" ref="Q457" ca="1">IF(AND(G457=INDIRECT("'["&amp;G457&amp;"]"&amp;E457&amp;"'!"&amp;$AH$2),OR(VALUE(I457)=INDIRECT("'["&amp;G457&amp;"]"&amp;E457&amp;"'!"&amp;$AC$2))),INDIRECT("'["&amp;G457&amp;"]"&amp;E457&amp;"'!"&amp;$AC$3),0)</f>
        <v>#VALUE!</v>
      </c>
      <c r="R457" s="34" t="e" cm="1">
        <f t="array" aca="1" ref="R457" ca="1">IF(AND(G457=INDIRECT("'["&amp;G457&amp;"]"&amp;E457&amp;"'!"&amp;$AH$2),OR(I457=INDIRECT("'["&amp;G457&amp;"]"&amp;E457&amp;"'!"&amp;$AD$2))),INDIRECT("'["&amp;G457&amp;"]"&amp;E457&amp;"'!"&amp;$AD$3),0)</f>
        <v>#VALUE!</v>
      </c>
      <c r="S457" s="34" t="e" cm="1">
        <f t="array" aca="1" ref="S457" ca="1">IF(AND(G457=INDIRECT("'["&amp;G457&amp;"]"&amp;E457&amp;"'!"&amp;$AH$2),OR(I457=INDIRECT("'["&amp;G457&amp;"]"&amp;E457&amp;"'!"&amp;$AE$2))),INDIRECT("'["&amp;G457&amp;"]"&amp;E457&amp;"'!"&amp;$AE$3),0)</f>
        <v>#VALUE!</v>
      </c>
      <c r="T457" s="35" t="e" cm="1">
        <f t="array" aca="1" ref="T457" ca="1">IF(AND(G457=INDIRECT("'["&amp;G457&amp;"]"&amp;E457&amp;"'!"&amp;$AH$2),OR(I457=INDIRECT("'["&amp;G457&amp;"]"&amp;E457&amp;"'!"&amp;$AF$2))),INDIRECT("'["&amp;G457&amp;"]"&amp;E457&amp;"'!"&amp;$AF$3),0)</f>
        <v>#VALUE!</v>
      </c>
      <c r="U457" s="34" t="e" cm="1">
        <f t="array" aca="1" ref="U457" ca="1">IF(AND(G457=INDIRECT("'["&amp;G457&amp;"]"&amp;E457&amp;"'!"&amp;$AH$2),OR(I457=INDIRECT("'["&amp;G457&amp;"]"&amp;E457&amp;"'!"&amp;$AG$2))),INDIRECT("'["&amp;G457&amp;"]"&amp;E457&amp;"'!"&amp;$AG$3),0)</f>
        <v>#VALUE!</v>
      </c>
      <c r="V457" s="25" t="str">
        <f t="shared" si="142"/>
        <v/>
      </c>
      <c r="W457" s="36" t="e" cm="1">
        <f t="array" aca="1" ref="W457" ca="1">IF(AND(G457=INDIRECT("'["&amp;G457&amp;"]"&amp;E457&amp;"'!"&amp;$AH$2),OR(V457=INDIRECT("'["&amp;G457&amp;"]"&amp;E457&amp;"'!"&amp;$AI$2))),INDIRECT("'["&amp;G457&amp;"]"&amp;E457&amp;"'!"&amp;$AI$3),0)</f>
        <v>#VALUE!</v>
      </c>
      <c r="AJ457" s="25">
        <v>1</v>
      </c>
      <c r="AK457" s="38">
        <f t="shared" ca="1" si="127"/>
        <v>0</v>
      </c>
      <c r="AL457" s="38">
        <f t="shared" ca="1" si="128"/>
        <v>0</v>
      </c>
      <c r="AM457" s="54" t="str">
        <f t="shared" ca="1" si="129"/>
        <v/>
      </c>
      <c r="AN457" s="25" t="e">
        <f t="shared" ca="1" si="130"/>
        <v>#VALUE!</v>
      </c>
      <c r="AO457" s="25" t="e">
        <f t="shared" ca="1" si="131"/>
        <v>#VALUE!</v>
      </c>
      <c r="AP457" s="39" t="str">
        <f t="shared" ca="1" si="132"/>
        <v/>
      </c>
      <c r="AQ457" s="46" t="str">
        <f ca="1">IF(AND(C457&lt;&gt;0, C458=0), SUM($C$2:C457)-SUM($AQ$1:AQ456), "")</f>
        <v/>
      </c>
      <c r="AR457" s="46" t="str">
        <f ca="1">IF(AND(AK457&lt;&gt;0, AK458=0), SUM($AK$2:AK457)-SUM($AR$1:AR456), "")</f>
        <v/>
      </c>
    </row>
    <row r="458" spans="1:44" ht="13.15" customHeight="1">
      <c r="A458" s="62"/>
      <c r="B458" s="68" t="str">
        <f t="shared" si="133"/>
        <v/>
      </c>
      <c r="C458" s="55" cm="1">
        <f t="array" aca="1" ref="C458" ca="1">SUM(IF(ISNUMBER(M458:U458),M458:U458,""))</f>
        <v>0</v>
      </c>
      <c r="D458" s="25" t="str">
        <f t="shared" si="134"/>
        <v/>
      </c>
      <c r="E458" s="25" t="e">
        <f t="shared" si="135"/>
        <v>#VALUE!</v>
      </c>
      <c r="F458" s="25" t="str">
        <f t="shared" si="136"/>
        <v/>
      </c>
      <c r="G458" s="25" t="str">
        <f t="shared" si="137"/>
        <v>.xlsx</v>
      </c>
      <c r="H458" s="29" t="e" cm="1">
        <f t="array" aca="1" ref="H458" ca="1">IF(AND(VALUE(E458)=INDIRECT("'["&amp;G458&amp;"]"&amp;E458&amp;"'!"&amp;$X$2),G458=INDIRECT("'["&amp;G458&amp;"]"&amp;E458&amp;"'!"&amp;$X$3)),INDIRECT("'["&amp;G458&amp;"]"&amp;E458&amp;"'!"&amp;$X$1),0)</f>
        <v>#VALUE!</v>
      </c>
      <c r="I458" s="25" t="str">
        <f t="shared" si="138"/>
        <v/>
      </c>
      <c r="J458" s="32" t="str">
        <f t="shared" si="139"/>
        <v/>
      </c>
      <c r="K458" s="25" t="str">
        <f t="shared" si="140"/>
        <v/>
      </c>
      <c r="L458" s="25" t="str">
        <f t="shared" si="141"/>
        <v/>
      </c>
      <c r="M458" s="33" t="e" cm="1">
        <f t="array" aca="1" ref="M458" ca="1">IF(AND(J458=INDIRECT("'["&amp;G458&amp;"]"&amp;E458&amp;"'!"&amp;$Y$2),G458=INDIRECT("'["&amp;G458&amp;"]"&amp;E458&amp;"'!"&amp;$AH$2)),INDIRECT("'["&amp;G458&amp;"]"&amp;E458&amp;"'!"&amp;$Y$3),0)</f>
        <v>#VALUE!</v>
      </c>
      <c r="N458" s="34" t="e" cm="1">
        <f t="array" aca="1" ref="N458" ca="1">IF(AND(G458=INDIRECT("'["&amp;G458&amp;"]"&amp;E458&amp;"'!"&amp;$AH$2),OR(K458=INDIRECT("'["&amp;G458&amp;"]"&amp;E458&amp;"'!"&amp;$Z$2))),INDIRECT("'["&amp;G458&amp;"]"&amp;E458&amp;"'!"&amp;$Z$3),0)</f>
        <v>#VALUE!</v>
      </c>
      <c r="O458" s="34" t="e" cm="1">
        <f t="array" aca="1" ref="O458" ca="1">IF(AND(G458=INDIRECT("'["&amp;G458&amp;"]"&amp;E458&amp;"'!"&amp;$AH$2),OR(L458=INDIRECT("'["&amp;G458&amp;"]"&amp;E458&amp;"'!"&amp;$AA$2))),INDIRECT("'["&amp;G458&amp;"]"&amp;E458&amp;"'!"&amp;$AA$3),0)</f>
        <v>#VALUE!</v>
      </c>
      <c r="P458" s="34" t="e" cm="1">
        <f t="array" aca="1" ref="P458" ca="1">IF(AND(G458=INDIRECT("'["&amp;G458&amp;"]"&amp;E458&amp;"'!"&amp;$AH$2),OR(VALUE(I458)=INDIRECT("'["&amp;G458&amp;"]"&amp;E458&amp;"'!"&amp;$AB$2))),INDIRECT("'["&amp;G458&amp;"]"&amp;E458&amp;"'!"&amp;$AB$3),0)</f>
        <v>#VALUE!</v>
      </c>
      <c r="Q458" s="34" t="e" cm="1">
        <f t="array" aca="1" ref="Q458" ca="1">IF(AND(G458=INDIRECT("'["&amp;G458&amp;"]"&amp;E458&amp;"'!"&amp;$AH$2),OR(VALUE(I458)=INDIRECT("'["&amp;G458&amp;"]"&amp;E458&amp;"'!"&amp;$AC$2))),INDIRECT("'["&amp;G458&amp;"]"&amp;E458&amp;"'!"&amp;$AC$3),0)</f>
        <v>#VALUE!</v>
      </c>
      <c r="R458" s="34" t="e" cm="1">
        <f t="array" aca="1" ref="R458" ca="1">IF(AND(G458=INDIRECT("'["&amp;G458&amp;"]"&amp;E458&amp;"'!"&amp;$AH$2),OR(I458=INDIRECT("'["&amp;G458&amp;"]"&amp;E458&amp;"'!"&amp;$AD$2))),INDIRECT("'["&amp;G458&amp;"]"&amp;E458&amp;"'!"&amp;$AD$3),0)</f>
        <v>#VALUE!</v>
      </c>
      <c r="S458" s="34" t="e" cm="1">
        <f t="array" aca="1" ref="S458" ca="1">IF(AND(G458=INDIRECT("'["&amp;G458&amp;"]"&amp;E458&amp;"'!"&amp;$AH$2),OR(I458=INDIRECT("'["&amp;G458&amp;"]"&amp;E458&amp;"'!"&amp;$AE$2))),INDIRECT("'["&amp;G458&amp;"]"&amp;E458&amp;"'!"&amp;$AE$3),0)</f>
        <v>#VALUE!</v>
      </c>
      <c r="T458" s="35" t="e" cm="1">
        <f t="array" aca="1" ref="T458" ca="1">IF(AND(G458=INDIRECT("'["&amp;G458&amp;"]"&amp;E458&amp;"'!"&amp;$AH$2),OR(I458=INDIRECT("'["&amp;G458&amp;"]"&amp;E458&amp;"'!"&amp;$AF$2))),INDIRECT("'["&amp;G458&amp;"]"&amp;E458&amp;"'!"&amp;$AF$3),0)</f>
        <v>#VALUE!</v>
      </c>
      <c r="U458" s="34" t="e" cm="1">
        <f t="array" aca="1" ref="U458" ca="1">IF(AND(G458=INDIRECT("'["&amp;G458&amp;"]"&amp;E458&amp;"'!"&amp;$AH$2),OR(I458=INDIRECT("'["&amp;G458&amp;"]"&amp;E458&amp;"'!"&amp;$AG$2))),INDIRECT("'["&amp;G458&amp;"]"&amp;E458&amp;"'!"&amp;$AG$3),0)</f>
        <v>#VALUE!</v>
      </c>
      <c r="V458" s="25" t="str">
        <f t="shared" si="142"/>
        <v/>
      </c>
      <c r="W458" s="36" t="e" cm="1">
        <f t="array" aca="1" ref="W458" ca="1">IF(AND(G458=INDIRECT("'["&amp;G458&amp;"]"&amp;E458&amp;"'!"&amp;$AH$2),OR(V458=INDIRECT("'["&amp;G458&amp;"]"&amp;E458&amp;"'!"&amp;$AI$2))),INDIRECT("'["&amp;G458&amp;"]"&amp;E458&amp;"'!"&amp;$AI$3),0)</f>
        <v>#VALUE!</v>
      </c>
      <c r="AJ458" s="25">
        <v>1</v>
      </c>
      <c r="AK458" s="38">
        <f t="shared" ca="1" si="127"/>
        <v>0</v>
      </c>
      <c r="AL458" s="38">
        <f t="shared" ca="1" si="128"/>
        <v>0</v>
      </c>
      <c r="AM458" s="54" t="str">
        <f t="shared" ca="1" si="129"/>
        <v/>
      </c>
      <c r="AN458" s="25" t="e">
        <f t="shared" ca="1" si="130"/>
        <v>#VALUE!</v>
      </c>
      <c r="AO458" s="25" t="e">
        <f t="shared" ca="1" si="131"/>
        <v>#VALUE!</v>
      </c>
      <c r="AP458" s="39" t="str">
        <f t="shared" ca="1" si="132"/>
        <v/>
      </c>
      <c r="AQ458" s="46" t="str">
        <f ca="1">IF(AND(C458&lt;&gt;0, C459=0), SUM($C$2:C458)-SUM($AQ$1:AQ457), "")</f>
        <v/>
      </c>
      <c r="AR458" s="46" t="str">
        <f ca="1">IF(AND(AK458&lt;&gt;0, AK459=0), SUM($AK$2:AK458)-SUM($AR$1:AR457), "")</f>
        <v/>
      </c>
    </row>
    <row r="459" spans="1:44" ht="13.15" customHeight="1">
      <c r="A459" s="62"/>
      <c r="B459" s="68" t="str">
        <f t="shared" si="133"/>
        <v/>
      </c>
      <c r="C459" s="55" cm="1">
        <f t="array" aca="1" ref="C459" ca="1">SUM(IF(ISNUMBER(M459:U459),M459:U459,""))</f>
        <v>0</v>
      </c>
      <c r="D459" s="25" t="str">
        <f t="shared" si="134"/>
        <v/>
      </c>
      <c r="E459" s="25" t="e">
        <f t="shared" si="135"/>
        <v>#VALUE!</v>
      </c>
      <c r="F459" s="25" t="str">
        <f t="shared" si="136"/>
        <v/>
      </c>
      <c r="G459" s="25" t="str">
        <f t="shared" si="137"/>
        <v>.xlsx</v>
      </c>
      <c r="H459" s="29" t="e" cm="1">
        <f t="array" aca="1" ref="H459" ca="1">IF(AND(VALUE(E459)=INDIRECT("'["&amp;G459&amp;"]"&amp;E459&amp;"'!"&amp;$X$2),G459=INDIRECT("'["&amp;G459&amp;"]"&amp;E459&amp;"'!"&amp;$X$3)),INDIRECT("'["&amp;G459&amp;"]"&amp;E459&amp;"'!"&amp;$X$1),0)</f>
        <v>#VALUE!</v>
      </c>
      <c r="I459" s="25" t="str">
        <f t="shared" si="138"/>
        <v/>
      </c>
      <c r="J459" s="32" t="str">
        <f t="shared" si="139"/>
        <v/>
      </c>
      <c r="K459" s="25" t="str">
        <f t="shared" si="140"/>
        <v/>
      </c>
      <c r="L459" s="25" t="str">
        <f t="shared" si="141"/>
        <v/>
      </c>
      <c r="M459" s="33" t="e" cm="1">
        <f t="array" aca="1" ref="M459" ca="1">IF(AND(J459=INDIRECT("'["&amp;G459&amp;"]"&amp;E459&amp;"'!"&amp;$Y$2),G459=INDIRECT("'["&amp;G459&amp;"]"&amp;E459&amp;"'!"&amp;$AH$2)),INDIRECT("'["&amp;G459&amp;"]"&amp;E459&amp;"'!"&amp;$Y$3),0)</f>
        <v>#VALUE!</v>
      </c>
      <c r="N459" s="34" t="e" cm="1">
        <f t="array" aca="1" ref="N459" ca="1">IF(AND(G459=INDIRECT("'["&amp;G459&amp;"]"&amp;E459&amp;"'!"&amp;$AH$2),OR(K459=INDIRECT("'["&amp;G459&amp;"]"&amp;E459&amp;"'!"&amp;$Z$2))),INDIRECT("'["&amp;G459&amp;"]"&amp;E459&amp;"'!"&amp;$Z$3),0)</f>
        <v>#VALUE!</v>
      </c>
      <c r="O459" s="34" t="e" cm="1">
        <f t="array" aca="1" ref="O459" ca="1">IF(AND(G459=INDIRECT("'["&amp;G459&amp;"]"&amp;E459&amp;"'!"&amp;$AH$2),OR(L459=INDIRECT("'["&amp;G459&amp;"]"&amp;E459&amp;"'!"&amp;$AA$2))),INDIRECT("'["&amp;G459&amp;"]"&amp;E459&amp;"'!"&amp;$AA$3),0)</f>
        <v>#VALUE!</v>
      </c>
      <c r="P459" s="34" t="e" cm="1">
        <f t="array" aca="1" ref="P459" ca="1">IF(AND(G459=INDIRECT("'["&amp;G459&amp;"]"&amp;E459&amp;"'!"&amp;$AH$2),OR(VALUE(I459)=INDIRECT("'["&amp;G459&amp;"]"&amp;E459&amp;"'!"&amp;$AB$2))),INDIRECT("'["&amp;G459&amp;"]"&amp;E459&amp;"'!"&amp;$AB$3),0)</f>
        <v>#VALUE!</v>
      </c>
      <c r="Q459" s="34" t="e" cm="1">
        <f t="array" aca="1" ref="Q459" ca="1">IF(AND(G459=INDIRECT("'["&amp;G459&amp;"]"&amp;E459&amp;"'!"&amp;$AH$2),OR(VALUE(I459)=INDIRECT("'["&amp;G459&amp;"]"&amp;E459&amp;"'!"&amp;$AC$2))),INDIRECT("'["&amp;G459&amp;"]"&amp;E459&amp;"'!"&amp;$AC$3),0)</f>
        <v>#VALUE!</v>
      </c>
      <c r="R459" s="34" t="e" cm="1">
        <f t="array" aca="1" ref="R459" ca="1">IF(AND(G459=INDIRECT("'["&amp;G459&amp;"]"&amp;E459&amp;"'!"&amp;$AH$2),OR(I459=INDIRECT("'["&amp;G459&amp;"]"&amp;E459&amp;"'!"&amp;$AD$2))),INDIRECT("'["&amp;G459&amp;"]"&amp;E459&amp;"'!"&amp;$AD$3),0)</f>
        <v>#VALUE!</v>
      </c>
      <c r="S459" s="34" t="e" cm="1">
        <f t="array" aca="1" ref="S459" ca="1">IF(AND(G459=INDIRECT("'["&amp;G459&amp;"]"&amp;E459&amp;"'!"&amp;$AH$2),OR(I459=INDIRECT("'["&amp;G459&amp;"]"&amp;E459&amp;"'!"&amp;$AE$2))),INDIRECT("'["&amp;G459&amp;"]"&amp;E459&amp;"'!"&amp;$AE$3),0)</f>
        <v>#VALUE!</v>
      </c>
      <c r="T459" s="35" t="e" cm="1">
        <f t="array" aca="1" ref="T459" ca="1">IF(AND(G459=INDIRECT("'["&amp;G459&amp;"]"&amp;E459&amp;"'!"&amp;$AH$2),OR(I459=INDIRECT("'["&amp;G459&amp;"]"&amp;E459&amp;"'!"&amp;$AF$2))),INDIRECT("'["&amp;G459&amp;"]"&amp;E459&amp;"'!"&amp;$AF$3),0)</f>
        <v>#VALUE!</v>
      </c>
      <c r="U459" s="34" t="e" cm="1">
        <f t="array" aca="1" ref="U459" ca="1">IF(AND(G459=INDIRECT("'["&amp;G459&amp;"]"&amp;E459&amp;"'!"&amp;$AH$2),OR(I459=INDIRECT("'["&amp;G459&amp;"]"&amp;E459&amp;"'!"&amp;$AG$2))),INDIRECT("'["&amp;G459&amp;"]"&amp;E459&amp;"'!"&amp;$AG$3),0)</f>
        <v>#VALUE!</v>
      </c>
      <c r="V459" s="25" t="str">
        <f t="shared" si="142"/>
        <v/>
      </c>
      <c r="W459" s="36" t="e" cm="1">
        <f t="array" aca="1" ref="W459" ca="1">IF(AND(G459=INDIRECT("'["&amp;G459&amp;"]"&amp;E459&amp;"'!"&amp;$AH$2),OR(V459=INDIRECT("'["&amp;G459&amp;"]"&amp;E459&amp;"'!"&amp;$AI$2))),INDIRECT("'["&amp;G459&amp;"]"&amp;E459&amp;"'!"&amp;$AI$3),0)</f>
        <v>#VALUE!</v>
      </c>
      <c r="AJ459" s="25">
        <v>1</v>
      </c>
      <c r="AK459" s="38">
        <f t="shared" ca="1" si="127"/>
        <v>0</v>
      </c>
      <c r="AL459" s="38">
        <f t="shared" ca="1" si="128"/>
        <v>0</v>
      </c>
      <c r="AM459" s="54" t="str">
        <f t="shared" ca="1" si="129"/>
        <v/>
      </c>
      <c r="AN459" s="25" t="e">
        <f t="shared" ca="1" si="130"/>
        <v>#VALUE!</v>
      </c>
      <c r="AO459" s="25" t="e">
        <f t="shared" ca="1" si="131"/>
        <v>#VALUE!</v>
      </c>
      <c r="AP459" s="39" t="str">
        <f t="shared" ca="1" si="132"/>
        <v/>
      </c>
      <c r="AQ459" s="46" t="str">
        <f ca="1">IF(AND(C459&lt;&gt;0, C460=0), SUM($C$2:C459)-SUM($AQ$1:AQ458), "")</f>
        <v/>
      </c>
      <c r="AR459" s="46" t="str">
        <f ca="1">IF(AND(AK459&lt;&gt;0, AK460=0), SUM($AK$2:AK459)-SUM($AR$1:AR458), "")</f>
        <v/>
      </c>
    </row>
    <row r="460" spans="1:44" ht="13.15" customHeight="1">
      <c r="A460" s="62"/>
      <c r="B460" s="68" t="str">
        <f t="shared" si="133"/>
        <v/>
      </c>
      <c r="C460" s="55" cm="1">
        <f t="array" aca="1" ref="C460" ca="1">SUM(IF(ISNUMBER(M460:U460),M460:U460,""))</f>
        <v>0</v>
      </c>
      <c r="D460" s="25" t="str">
        <f t="shared" si="134"/>
        <v/>
      </c>
      <c r="E460" s="25" t="e">
        <f t="shared" si="135"/>
        <v>#VALUE!</v>
      </c>
      <c r="F460" s="25" t="str">
        <f t="shared" si="136"/>
        <v/>
      </c>
      <c r="G460" s="25" t="str">
        <f t="shared" si="137"/>
        <v>.xlsx</v>
      </c>
      <c r="H460" s="29" t="e" cm="1">
        <f t="array" aca="1" ref="H460" ca="1">IF(AND(VALUE(E460)=INDIRECT("'["&amp;G460&amp;"]"&amp;E460&amp;"'!"&amp;$X$2),G460=INDIRECT("'["&amp;G460&amp;"]"&amp;E460&amp;"'!"&amp;$X$3)),INDIRECT("'["&amp;G460&amp;"]"&amp;E460&amp;"'!"&amp;$X$1),0)</f>
        <v>#VALUE!</v>
      </c>
      <c r="I460" s="25" t="str">
        <f t="shared" si="138"/>
        <v/>
      </c>
      <c r="J460" s="32" t="str">
        <f t="shared" si="139"/>
        <v/>
      </c>
      <c r="K460" s="25" t="str">
        <f t="shared" si="140"/>
        <v/>
      </c>
      <c r="L460" s="25" t="str">
        <f t="shared" si="141"/>
        <v/>
      </c>
      <c r="M460" s="33" t="e" cm="1">
        <f t="array" aca="1" ref="M460" ca="1">IF(AND(J460=INDIRECT("'["&amp;G460&amp;"]"&amp;E460&amp;"'!"&amp;$Y$2),G460=INDIRECT("'["&amp;G460&amp;"]"&amp;E460&amp;"'!"&amp;$AH$2)),INDIRECT("'["&amp;G460&amp;"]"&amp;E460&amp;"'!"&amp;$Y$3),0)</f>
        <v>#VALUE!</v>
      </c>
      <c r="N460" s="34" t="e" cm="1">
        <f t="array" aca="1" ref="N460" ca="1">IF(AND(G460=INDIRECT("'["&amp;G460&amp;"]"&amp;E460&amp;"'!"&amp;$AH$2),OR(K460=INDIRECT("'["&amp;G460&amp;"]"&amp;E460&amp;"'!"&amp;$Z$2))),INDIRECT("'["&amp;G460&amp;"]"&amp;E460&amp;"'!"&amp;$Z$3),0)</f>
        <v>#VALUE!</v>
      </c>
      <c r="O460" s="34" t="e" cm="1">
        <f t="array" aca="1" ref="O460" ca="1">IF(AND(G460=INDIRECT("'["&amp;G460&amp;"]"&amp;E460&amp;"'!"&amp;$AH$2),OR(L460=INDIRECT("'["&amp;G460&amp;"]"&amp;E460&amp;"'!"&amp;$AA$2))),INDIRECT("'["&amp;G460&amp;"]"&amp;E460&amp;"'!"&amp;$AA$3),0)</f>
        <v>#VALUE!</v>
      </c>
      <c r="P460" s="34" t="e" cm="1">
        <f t="array" aca="1" ref="P460" ca="1">IF(AND(G460=INDIRECT("'["&amp;G460&amp;"]"&amp;E460&amp;"'!"&amp;$AH$2),OR(VALUE(I460)=INDIRECT("'["&amp;G460&amp;"]"&amp;E460&amp;"'!"&amp;$AB$2))),INDIRECT("'["&amp;G460&amp;"]"&amp;E460&amp;"'!"&amp;$AB$3),0)</f>
        <v>#VALUE!</v>
      </c>
      <c r="Q460" s="34" t="e" cm="1">
        <f t="array" aca="1" ref="Q460" ca="1">IF(AND(G460=INDIRECT("'["&amp;G460&amp;"]"&amp;E460&amp;"'!"&amp;$AH$2),OR(VALUE(I460)=INDIRECT("'["&amp;G460&amp;"]"&amp;E460&amp;"'!"&amp;$AC$2))),INDIRECT("'["&amp;G460&amp;"]"&amp;E460&amp;"'!"&amp;$AC$3),0)</f>
        <v>#VALUE!</v>
      </c>
      <c r="R460" s="34" t="e" cm="1">
        <f t="array" aca="1" ref="R460" ca="1">IF(AND(G460=INDIRECT("'["&amp;G460&amp;"]"&amp;E460&amp;"'!"&amp;$AH$2),OR(I460=INDIRECT("'["&amp;G460&amp;"]"&amp;E460&amp;"'!"&amp;$AD$2))),INDIRECT("'["&amp;G460&amp;"]"&amp;E460&amp;"'!"&amp;$AD$3),0)</f>
        <v>#VALUE!</v>
      </c>
      <c r="S460" s="34" t="e" cm="1">
        <f t="array" aca="1" ref="S460" ca="1">IF(AND(G460=INDIRECT("'["&amp;G460&amp;"]"&amp;E460&amp;"'!"&amp;$AH$2),OR(I460=INDIRECT("'["&amp;G460&amp;"]"&amp;E460&amp;"'!"&amp;$AE$2))),INDIRECT("'["&amp;G460&amp;"]"&amp;E460&amp;"'!"&amp;$AE$3),0)</f>
        <v>#VALUE!</v>
      </c>
      <c r="T460" s="35" t="e" cm="1">
        <f t="array" aca="1" ref="T460" ca="1">IF(AND(G460=INDIRECT("'["&amp;G460&amp;"]"&amp;E460&amp;"'!"&amp;$AH$2),OR(I460=INDIRECT("'["&amp;G460&amp;"]"&amp;E460&amp;"'!"&amp;$AF$2))),INDIRECT("'["&amp;G460&amp;"]"&amp;E460&amp;"'!"&amp;$AF$3),0)</f>
        <v>#VALUE!</v>
      </c>
      <c r="U460" s="34" t="e" cm="1">
        <f t="array" aca="1" ref="U460" ca="1">IF(AND(G460=INDIRECT("'["&amp;G460&amp;"]"&amp;E460&amp;"'!"&amp;$AH$2),OR(I460=INDIRECT("'["&amp;G460&amp;"]"&amp;E460&amp;"'!"&amp;$AG$2))),INDIRECT("'["&amp;G460&amp;"]"&amp;E460&amp;"'!"&amp;$AG$3),0)</f>
        <v>#VALUE!</v>
      </c>
      <c r="V460" s="25" t="str">
        <f t="shared" si="142"/>
        <v/>
      </c>
      <c r="W460" s="36" t="e" cm="1">
        <f t="array" aca="1" ref="W460" ca="1">IF(AND(G460=INDIRECT("'["&amp;G460&amp;"]"&amp;E460&amp;"'!"&amp;$AH$2),OR(V460=INDIRECT("'["&amp;G460&amp;"]"&amp;E460&amp;"'!"&amp;$AI$2))),INDIRECT("'["&amp;G460&amp;"]"&amp;E460&amp;"'!"&amp;$AI$3),0)</f>
        <v>#VALUE!</v>
      </c>
      <c r="AJ460" s="25">
        <v>1</v>
      </c>
      <c r="AK460" s="38">
        <f t="shared" ca="1" si="127"/>
        <v>0</v>
      </c>
      <c r="AL460" s="38">
        <f t="shared" ca="1" si="128"/>
        <v>0</v>
      </c>
      <c r="AM460" s="54" t="str">
        <f t="shared" ca="1" si="129"/>
        <v/>
      </c>
      <c r="AN460" s="25" t="e">
        <f t="shared" ca="1" si="130"/>
        <v>#VALUE!</v>
      </c>
      <c r="AO460" s="25" t="e">
        <f t="shared" ca="1" si="131"/>
        <v>#VALUE!</v>
      </c>
      <c r="AP460" s="39" t="str">
        <f t="shared" ca="1" si="132"/>
        <v/>
      </c>
      <c r="AQ460" s="46" t="str">
        <f ca="1">IF(AND(C460&lt;&gt;0, C461=0), SUM($C$2:C460)-SUM($AQ$1:AQ459), "")</f>
        <v/>
      </c>
      <c r="AR460" s="46" t="str">
        <f ca="1">IF(AND(AK460&lt;&gt;0, AK461=0), SUM($AK$2:AK460)-SUM($AR$1:AR459), "")</f>
        <v/>
      </c>
    </row>
    <row r="461" spans="1:44" ht="13.15" customHeight="1">
      <c r="A461" s="62"/>
      <c r="B461" s="68" t="str">
        <f t="shared" si="133"/>
        <v/>
      </c>
      <c r="C461" s="55" cm="1">
        <f t="array" aca="1" ref="C461" ca="1">SUM(IF(ISNUMBER(M461:U461),M461:U461,""))</f>
        <v>0</v>
      </c>
      <c r="D461" s="25" t="str">
        <f t="shared" si="134"/>
        <v/>
      </c>
      <c r="E461" s="25" t="e">
        <f t="shared" si="135"/>
        <v>#VALUE!</v>
      </c>
      <c r="F461" s="25" t="str">
        <f t="shared" si="136"/>
        <v/>
      </c>
      <c r="G461" s="25" t="str">
        <f t="shared" si="137"/>
        <v>.xlsx</v>
      </c>
      <c r="H461" s="29" t="e" cm="1">
        <f t="array" aca="1" ref="H461" ca="1">IF(AND(VALUE(E461)=INDIRECT("'["&amp;G461&amp;"]"&amp;E461&amp;"'!"&amp;$X$2),G461=INDIRECT("'["&amp;G461&amp;"]"&amp;E461&amp;"'!"&amp;$X$3)),INDIRECT("'["&amp;G461&amp;"]"&amp;E461&amp;"'!"&amp;$X$1),0)</f>
        <v>#VALUE!</v>
      </c>
      <c r="I461" s="25" t="str">
        <f t="shared" si="138"/>
        <v/>
      </c>
      <c r="J461" s="32" t="str">
        <f t="shared" si="139"/>
        <v/>
      </c>
      <c r="K461" s="25" t="str">
        <f t="shared" si="140"/>
        <v/>
      </c>
      <c r="L461" s="25" t="str">
        <f t="shared" si="141"/>
        <v/>
      </c>
      <c r="M461" s="33" t="e" cm="1">
        <f t="array" aca="1" ref="M461" ca="1">IF(AND(J461=INDIRECT("'["&amp;G461&amp;"]"&amp;E461&amp;"'!"&amp;$Y$2),G461=INDIRECT("'["&amp;G461&amp;"]"&amp;E461&amp;"'!"&amp;$AH$2)),INDIRECT("'["&amp;G461&amp;"]"&amp;E461&amp;"'!"&amp;$Y$3),0)</f>
        <v>#VALUE!</v>
      </c>
      <c r="N461" s="34" t="e" cm="1">
        <f t="array" aca="1" ref="N461" ca="1">IF(AND(G461=INDIRECT("'["&amp;G461&amp;"]"&amp;E461&amp;"'!"&amp;$AH$2),OR(K461=INDIRECT("'["&amp;G461&amp;"]"&amp;E461&amp;"'!"&amp;$Z$2))),INDIRECT("'["&amp;G461&amp;"]"&amp;E461&amp;"'!"&amp;$Z$3),0)</f>
        <v>#VALUE!</v>
      </c>
      <c r="O461" s="34" t="e" cm="1">
        <f t="array" aca="1" ref="O461" ca="1">IF(AND(G461=INDIRECT("'["&amp;G461&amp;"]"&amp;E461&amp;"'!"&amp;$AH$2),OR(L461=INDIRECT("'["&amp;G461&amp;"]"&amp;E461&amp;"'!"&amp;$AA$2))),INDIRECT("'["&amp;G461&amp;"]"&amp;E461&amp;"'!"&amp;$AA$3),0)</f>
        <v>#VALUE!</v>
      </c>
      <c r="P461" s="34" t="e" cm="1">
        <f t="array" aca="1" ref="P461" ca="1">IF(AND(G461=INDIRECT("'["&amp;G461&amp;"]"&amp;E461&amp;"'!"&amp;$AH$2),OR(VALUE(I461)=INDIRECT("'["&amp;G461&amp;"]"&amp;E461&amp;"'!"&amp;$AB$2))),INDIRECT("'["&amp;G461&amp;"]"&amp;E461&amp;"'!"&amp;$AB$3),0)</f>
        <v>#VALUE!</v>
      </c>
      <c r="Q461" s="34" t="e" cm="1">
        <f t="array" aca="1" ref="Q461" ca="1">IF(AND(G461=INDIRECT("'["&amp;G461&amp;"]"&amp;E461&amp;"'!"&amp;$AH$2),OR(VALUE(I461)=INDIRECT("'["&amp;G461&amp;"]"&amp;E461&amp;"'!"&amp;$AC$2))),INDIRECT("'["&amp;G461&amp;"]"&amp;E461&amp;"'!"&amp;$AC$3),0)</f>
        <v>#VALUE!</v>
      </c>
      <c r="R461" s="34" t="e" cm="1">
        <f t="array" aca="1" ref="R461" ca="1">IF(AND(G461=INDIRECT("'["&amp;G461&amp;"]"&amp;E461&amp;"'!"&amp;$AH$2),OR(I461=INDIRECT("'["&amp;G461&amp;"]"&amp;E461&amp;"'!"&amp;$AD$2))),INDIRECT("'["&amp;G461&amp;"]"&amp;E461&amp;"'!"&amp;$AD$3),0)</f>
        <v>#VALUE!</v>
      </c>
      <c r="S461" s="34" t="e" cm="1">
        <f t="array" aca="1" ref="S461" ca="1">IF(AND(G461=INDIRECT("'["&amp;G461&amp;"]"&amp;E461&amp;"'!"&amp;$AH$2),OR(I461=INDIRECT("'["&amp;G461&amp;"]"&amp;E461&amp;"'!"&amp;$AE$2))),INDIRECT("'["&amp;G461&amp;"]"&amp;E461&amp;"'!"&amp;$AE$3),0)</f>
        <v>#VALUE!</v>
      </c>
      <c r="T461" s="35" t="e" cm="1">
        <f t="array" aca="1" ref="T461" ca="1">IF(AND(G461=INDIRECT("'["&amp;G461&amp;"]"&amp;E461&amp;"'!"&amp;$AH$2),OR(I461=INDIRECT("'["&amp;G461&amp;"]"&amp;E461&amp;"'!"&amp;$AF$2))),INDIRECT("'["&amp;G461&amp;"]"&amp;E461&amp;"'!"&amp;$AF$3),0)</f>
        <v>#VALUE!</v>
      </c>
      <c r="U461" s="34" t="e" cm="1">
        <f t="array" aca="1" ref="U461" ca="1">IF(AND(G461=INDIRECT("'["&amp;G461&amp;"]"&amp;E461&amp;"'!"&amp;$AH$2),OR(I461=INDIRECT("'["&amp;G461&amp;"]"&amp;E461&amp;"'!"&amp;$AG$2))),INDIRECT("'["&amp;G461&amp;"]"&amp;E461&amp;"'!"&amp;$AG$3),0)</f>
        <v>#VALUE!</v>
      </c>
      <c r="V461" s="25" t="str">
        <f t="shared" si="142"/>
        <v/>
      </c>
      <c r="W461" s="36" t="e" cm="1">
        <f t="array" aca="1" ref="W461" ca="1">IF(AND(G461=INDIRECT("'["&amp;G461&amp;"]"&amp;E461&amp;"'!"&amp;$AH$2),OR(V461=INDIRECT("'["&amp;G461&amp;"]"&amp;E461&amp;"'!"&amp;$AI$2))),INDIRECT("'["&amp;G461&amp;"]"&amp;E461&amp;"'!"&amp;$AI$3),0)</f>
        <v>#VALUE!</v>
      </c>
      <c r="AJ461" s="25">
        <v>1</v>
      </c>
      <c r="AK461" s="38">
        <f t="shared" ca="1" si="127"/>
        <v>0</v>
      </c>
      <c r="AL461" s="38">
        <f t="shared" ca="1" si="128"/>
        <v>0</v>
      </c>
      <c r="AM461" s="54" t="str">
        <f t="shared" ca="1" si="129"/>
        <v/>
      </c>
      <c r="AN461" s="25" t="e">
        <f t="shared" ca="1" si="130"/>
        <v>#VALUE!</v>
      </c>
      <c r="AO461" s="25" t="e">
        <f t="shared" ca="1" si="131"/>
        <v>#VALUE!</v>
      </c>
      <c r="AP461" s="39" t="str">
        <f t="shared" ca="1" si="132"/>
        <v/>
      </c>
      <c r="AQ461" s="46" t="str">
        <f ca="1">IF(AND(C461&lt;&gt;0, C462=0), SUM($C$2:C461)-SUM($AQ$1:AQ460), "")</f>
        <v/>
      </c>
      <c r="AR461" s="46" t="str">
        <f ca="1">IF(AND(AK461&lt;&gt;0, AK462=0), SUM($AK$2:AK461)-SUM($AR$1:AR460), "")</f>
        <v/>
      </c>
    </row>
    <row r="462" spans="1:44" ht="13.15" customHeight="1">
      <c r="A462" s="62"/>
      <c r="B462" s="68" t="str">
        <f t="shared" si="133"/>
        <v/>
      </c>
      <c r="C462" s="55" cm="1">
        <f t="array" aca="1" ref="C462" ca="1">SUM(IF(ISNUMBER(M462:U462),M462:U462,""))</f>
        <v>0</v>
      </c>
      <c r="D462" s="25" t="str">
        <f t="shared" si="134"/>
        <v/>
      </c>
      <c r="E462" s="25" t="e">
        <f t="shared" si="135"/>
        <v>#VALUE!</v>
      </c>
      <c r="F462" s="25" t="str">
        <f t="shared" si="136"/>
        <v/>
      </c>
      <c r="G462" s="25" t="str">
        <f t="shared" si="137"/>
        <v>.xlsx</v>
      </c>
      <c r="H462" s="29" t="e" cm="1">
        <f t="array" aca="1" ref="H462" ca="1">IF(AND(VALUE(E462)=INDIRECT("'["&amp;G462&amp;"]"&amp;E462&amp;"'!"&amp;$X$2),G462=INDIRECT("'["&amp;G462&amp;"]"&amp;E462&amp;"'!"&amp;$X$3)),INDIRECT("'["&amp;G462&amp;"]"&amp;E462&amp;"'!"&amp;$X$1),0)</f>
        <v>#VALUE!</v>
      </c>
      <c r="I462" s="25" t="str">
        <f t="shared" si="138"/>
        <v/>
      </c>
      <c r="J462" s="32" t="str">
        <f t="shared" si="139"/>
        <v/>
      </c>
      <c r="K462" s="25" t="str">
        <f t="shared" si="140"/>
        <v/>
      </c>
      <c r="L462" s="25" t="str">
        <f t="shared" si="141"/>
        <v/>
      </c>
      <c r="M462" s="33" t="e" cm="1">
        <f t="array" aca="1" ref="M462" ca="1">IF(AND(J462=INDIRECT("'["&amp;G462&amp;"]"&amp;E462&amp;"'!"&amp;$Y$2),G462=INDIRECT("'["&amp;G462&amp;"]"&amp;E462&amp;"'!"&amp;$AH$2)),INDIRECT("'["&amp;G462&amp;"]"&amp;E462&amp;"'!"&amp;$Y$3),0)</f>
        <v>#VALUE!</v>
      </c>
      <c r="N462" s="34" t="e" cm="1">
        <f t="array" aca="1" ref="N462" ca="1">IF(AND(G462=INDIRECT("'["&amp;G462&amp;"]"&amp;E462&amp;"'!"&amp;$AH$2),OR(K462=INDIRECT("'["&amp;G462&amp;"]"&amp;E462&amp;"'!"&amp;$Z$2))),INDIRECT("'["&amp;G462&amp;"]"&amp;E462&amp;"'!"&amp;$Z$3),0)</f>
        <v>#VALUE!</v>
      </c>
      <c r="O462" s="34" t="e" cm="1">
        <f t="array" aca="1" ref="O462" ca="1">IF(AND(G462=INDIRECT("'["&amp;G462&amp;"]"&amp;E462&amp;"'!"&amp;$AH$2),OR(L462=INDIRECT("'["&amp;G462&amp;"]"&amp;E462&amp;"'!"&amp;$AA$2))),INDIRECT("'["&amp;G462&amp;"]"&amp;E462&amp;"'!"&amp;$AA$3),0)</f>
        <v>#VALUE!</v>
      </c>
      <c r="P462" s="34" t="e" cm="1">
        <f t="array" aca="1" ref="P462" ca="1">IF(AND(G462=INDIRECT("'["&amp;G462&amp;"]"&amp;E462&amp;"'!"&amp;$AH$2),OR(VALUE(I462)=INDIRECT("'["&amp;G462&amp;"]"&amp;E462&amp;"'!"&amp;$AB$2))),INDIRECT("'["&amp;G462&amp;"]"&amp;E462&amp;"'!"&amp;$AB$3),0)</f>
        <v>#VALUE!</v>
      </c>
      <c r="Q462" s="34" t="e" cm="1">
        <f t="array" aca="1" ref="Q462" ca="1">IF(AND(G462=INDIRECT("'["&amp;G462&amp;"]"&amp;E462&amp;"'!"&amp;$AH$2),OR(VALUE(I462)=INDIRECT("'["&amp;G462&amp;"]"&amp;E462&amp;"'!"&amp;$AC$2))),INDIRECT("'["&amp;G462&amp;"]"&amp;E462&amp;"'!"&amp;$AC$3),0)</f>
        <v>#VALUE!</v>
      </c>
      <c r="R462" s="34" t="e" cm="1">
        <f t="array" aca="1" ref="R462" ca="1">IF(AND(G462=INDIRECT("'["&amp;G462&amp;"]"&amp;E462&amp;"'!"&amp;$AH$2),OR(I462=INDIRECT("'["&amp;G462&amp;"]"&amp;E462&amp;"'!"&amp;$AD$2))),INDIRECT("'["&amp;G462&amp;"]"&amp;E462&amp;"'!"&amp;$AD$3),0)</f>
        <v>#VALUE!</v>
      </c>
      <c r="S462" s="34" t="e" cm="1">
        <f t="array" aca="1" ref="S462" ca="1">IF(AND(G462=INDIRECT("'["&amp;G462&amp;"]"&amp;E462&amp;"'!"&amp;$AH$2),OR(I462=INDIRECT("'["&amp;G462&amp;"]"&amp;E462&amp;"'!"&amp;$AE$2))),INDIRECT("'["&amp;G462&amp;"]"&amp;E462&amp;"'!"&amp;$AE$3),0)</f>
        <v>#VALUE!</v>
      </c>
      <c r="T462" s="35" t="e" cm="1">
        <f t="array" aca="1" ref="T462" ca="1">IF(AND(G462=INDIRECT("'["&amp;G462&amp;"]"&amp;E462&amp;"'!"&amp;$AH$2),OR(I462=INDIRECT("'["&amp;G462&amp;"]"&amp;E462&amp;"'!"&amp;$AF$2))),INDIRECT("'["&amp;G462&amp;"]"&amp;E462&amp;"'!"&amp;$AF$3),0)</f>
        <v>#VALUE!</v>
      </c>
      <c r="U462" s="34" t="e" cm="1">
        <f t="array" aca="1" ref="U462" ca="1">IF(AND(G462=INDIRECT("'["&amp;G462&amp;"]"&amp;E462&amp;"'!"&amp;$AH$2),OR(I462=INDIRECT("'["&amp;G462&amp;"]"&amp;E462&amp;"'!"&amp;$AG$2))),INDIRECT("'["&amp;G462&amp;"]"&amp;E462&amp;"'!"&amp;$AG$3),0)</f>
        <v>#VALUE!</v>
      </c>
      <c r="V462" s="25" t="str">
        <f t="shared" si="142"/>
        <v/>
      </c>
      <c r="W462" s="36" t="e" cm="1">
        <f t="array" aca="1" ref="W462" ca="1">IF(AND(G462=INDIRECT("'["&amp;G462&amp;"]"&amp;E462&amp;"'!"&amp;$AH$2),OR(V462=INDIRECT("'["&amp;G462&amp;"]"&amp;E462&amp;"'!"&amp;$AI$2))),INDIRECT("'["&amp;G462&amp;"]"&amp;E462&amp;"'!"&amp;$AI$3),0)</f>
        <v>#VALUE!</v>
      </c>
      <c r="AJ462" s="25">
        <v>1</v>
      </c>
      <c r="AK462" s="38">
        <f t="shared" ca="1" si="127"/>
        <v>0</v>
      </c>
      <c r="AL462" s="38">
        <f t="shared" ca="1" si="128"/>
        <v>0</v>
      </c>
      <c r="AM462" s="54" t="str">
        <f t="shared" ca="1" si="129"/>
        <v/>
      </c>
      <c r="AN462" s="25" t="e">
        <f t="shared" ca="1" si="130"/>
        <v>#VALUE!</v>
      </c>
      <c r="AO462" s="25" t="e">
        <f t="shared" ca="1" si="131"/>
        <v>#VALUE!</v>
      </c>
      <c r="AP462" s="39" t="str">
        <f t="shared" ca="1" si="132"/>
        <v/>
      </c>
      <c r="AQ462" s="46" t="str">
        <f ca="1">IF(AND(C462&lt;&gt;0, C463=0), SUM($C$2:C462)-SUM($AQ$1:AQ461), "")</f>
        <v/>
      </c>
      <c r="AR462" s="46" t="str">
        <f ca="1">IF(AND(AK462&lt;&gt;0, AK463=0), SUM($AK$2:AK462)-SUM($AR$1:AR461), "")</f>
        <v/>
      </c>
    </row>
    <row r="463" spans="1:44" ht="13.15" customHeight="1">
      <c r="A463" s="62"/>
      <c r="B463" s="68" t="str">
        <f t="shared" si="133"/>
        <v/>
      </c>
      <c r="C463" s="55" cm="1">
        <f t="array" aca="1" ref="C463" ca="1">SUM(IF(ISNUMBER(M463:U463),M463:U463,""))</f>
        <v>0</v>
      </c>
      <c r="D463" s="25" t="str">
        <f t="shared" si="134"/>
        <v/>
      </c>
      <c r="E463" s="25" t="e">
        <f t="shared" si="135"/>
        <v>#VALUE!</v>
      </c>
      <c r="F463" s="25" t="str">
        <f t="shared" si="136"/>
        <v/>
      </c>
      <c r="G463" s="25" t="str">
        <f t="shared" si="137"/>
        <v>.xlsx</v>
      </c>
      <c r="H463" s="29" t="e" cm="1">
        <f t="array" aca="1" ref="H463" ca="1">IF(AND(VALUE(E463)=INDIRECT("'["&amp;G463&amp;"]"&amp;E463&amp;"'!"&amp;$X$2),G463=INDIRECT("'["&amp;G463&amp;"]"&amp;E463&amp;"'!"&amp;$X$3)),INDIRECT("'["&amp;G463&amp;"]"&amp;E463&amp;"'!"&amp;$X$1),0)</f>
        <v>#VALUE!</v>
      </c>
      <c r="I463" s="25" t="str">
        <f t="shared" si="138"/>
        <v/>
      </c>
      <c r="J463" s="32" t="str">
        <f t="shared" si="139"/>
        <v/>
      </c>
      <c r="K463" s="25" t="str">
        <f t="shared" si="140"/>
        <v/>
      </c>
      <c r="L463" s="25" t="str">
        <f t="shared" si="141"/>
        <v/>
      </c>
      <c r="M463" s="33" t="e" cm="1">
        <f t="array" aca="1" ref="M463" ca="1">IF(AND(J463=INDIRECT("'["&amp;G463&amp;"]"&amp;E463&amp;"'!"&amp;$Y$2),G463=INDIRECT("'["&amp;G463&amp;"]"&amp;E463&amp;"'!"&amp;$AH$2)),INDIRECT("'["&amp;G463&amp;"]"&amp;E463&amp;"'!"&amp;$Y$3),0)</f>
        <v>#VALUE!</v>
      </c>
      <c r="N463" s="34" t="e" cm="1">
        <f t="array" aca="1" ref="N463" ca="1">IF(AND(G463=INDIRECT("'["&amp;G463&amp;"]"&amp;E463&amp;"'!"&amp;$AH$2),OR(K463=INDIRECT("'["&amp;G463&amp;"]"&amp;E463&amp;"'!"&amp;$Z$2))),INDIRECT("'["&amp;G463&amp;"]"&amp;E463&amp;"'!"&amp;$Z$3),0)</f>
        <v>#VALUE!</v>
      </c>
      <c r="O463" s="34" t="e" cm="1">
        <f t="array" aca="1" ref="O463" ca="1">IF(AND(G463=INDIRECT("'["&amp;G463&amp;"]"&amp;E463&amp;"'!"&amp;$AH$2),OR(L463=INDIRECT("'["&amp;G463&amp;"]"&amp;E463&amp;"'!"&amp;$AA$2))),INDIRECT("'["&amp;G463&amp;"]"&amp;E463&amp;"'!"&amp;$AA$3),0)</f>
        <v>#VALUE!</v>
      </c>
      <c r="P463" s="34" t="e" cm="1">
        <f t="array" aca="1" ref="P463" ca="1">IF(AND(G463=INDIRECT("'["&amp;G463&amp;"]"&amp;E463&amp;"'!"&amp;$AH$2),OR(VALUE(I463)=INDIRECT("'["&amp;G463&amp;"]"&amp;E463&amp;"'!"&amp;$AB$2))),INDIRECT("'["&amp;G463&amp;"]"&amp;E463&amp;"'!"&amp;$AB$3),0)</f>
        <v>#VALUE!</v>
      </c>
      <c r="Q463" s="34" t="e" cm="1">
        <f t="array" aca="1" ref="Q463" ca="1">IF(AND(G463=INDIRECT("'["&amp;G463&amp;"]"&amp;E463&amp;"'!"&amp;$AH$2),OR(VALUE(I463)=INDIRECT("'["&amp;G463&amp;"]"&amp;E463&amp;"'!"&amp;$AC$2))),INDIRECT("'["&amp;G463&amp;"]"&amp;E463&amp;"'!"&amp;$AC$3),0)</f>
        <v>#VALUE!</v>
      </c>
      <c r="R463" s="34" t="e" cm="1">
        <f t="array" aca="1" ref="R463" ca="1">IF(AND(G463=INDIRECT("'["&amp;G463&amp;"]"&amp;E463&amp;"'!"&amp;$AH$2),OR(I463=INDIRECT("'["&amp;G463&amp;"]"&amp;E463&amp;"'!"&amp;$AD$2))),INDIRECT("'["&amp;G463&amp;"]"&amp;E463&amp;"'!"&amp;$AD$3),0)</f>
        <v>#VALUE!</v>
      </c>
      <c r="S463" s="34" t="e" cm="1">
        <f t="array" aca="1" ref="S463" ca="1">IF(AND(G463=INDIRECT("'["&amp;G463&amp;"]"&amp;E463&amp;"'!"&amp;$AH$2),OR(I463=INDIRECT("'["&amp;G463&amp;"]"&amp;E463&amp;"'!"&amp;$AE$2))),INDIRECT("'["&amp;G463&amp;"]"&amp;E463&amp;"'!"&amp;$AE$3),0)</f>
        <v>#VALUE!</v>
      </c>
      <c r="T463" s="35" t="e" cm="1">
        <f t="array" aca="1" ref="T463" ca="1">IF(AND(G463=INDIRECT("'["&amp;G463&amp;"]"&amp;E463&amp;"'!"&amp;$AH$2),OR(I463=INDIRECT("'["&amp;G463&amp;"]"&amp;E463&amp;"'!"&amp;$AF$2))),INDIRECT("'["&amp;G463&amp;"]"&amp;E463&amp;"'!"&amp;$AF$3),0)</f>
        <v>#VALUE!</v>
      </c>
      <c r="U463" s="34" t="e" cm="1">
        <f t="array" aca="1" ref="U463" ca="1">IF(AND(G463=INDIRECT("'["&amp;G463&amp;"]"&amp;E463&amp;"'!"&amp;$AH$2),OR(I463=INDIRECT("'["&amp;G463&amp;"]"&amp;E463&amp;"'!"&amp;$AG$2))),INDIRECT("'["&amp;G463&amp;"]"&amp;E463&amp;"'!"&amp;$AG$3),0)</f>
        <v>#VALUE!</v>
      </c>
      <c r="V463" s="25" t="str">
        <f t="shared" si="142"/>
        <v/>
      </c>
      <c r="W463" s="36" t="e" cm="1">
        <f t="array" aca="1" ref="W463" ca="1">IF(AND(G463=INDIRECT("'["&amp;G463&amp;"]"&amp;E463&amp;"'!"&amp;$AH$2),OR(V463=INDIRECT("'["&amp;G463&amp;"]"&amp;E463&amp;"'!"&amp;$AI$2))),INDIRECT("'["&amp;G463&amp;"]"&amp;E463&amp;"'!"&amp;$AI$3),0)</f>
        <v>#VALUE!</v>
      </c>
      <c r="AJ463" s="25">
        <v>1</v>
      </c>
      <c r="AK463" s="38">
        <f t="shared" ca="1" si="127"/>
        <v>0</v>
      </c>
      <c r="AL463" s="38">
        <f t="shared" ca="1" si="128"/>
        <v>0</v>
      </c>
      <c r="AM463" s="54" t="str">
        <f t="shared" ca="1" si="129"/>
        <v/>
      </c>
      <c r="AN463" s="25" t="e">
        <f t="shared" ca="1" si="130"/>
        <v>#VALUE!</v>
      </c>
      <c r="AO463" s="25" t="e">
        <f t="shared" ca="1" si="131"/>
        <v>#VALUE!</v>
      </c>
      <c r="AP463" s="39" t="str">
        <f t="shared" ca="1" si="132"/>
        <v/>
      </c>
      <c r="AQ463" s="46" t="str">
        <f ca="1">IF(AND(C463&lt;&gt;0, C464=0), SUM($C$2:C463)-SUM($AQ$1:AQ462), "")</f>
        <v/>
      </c>
      <c r="AR463" s="46" t="str">
        <f ca="1">IF(AND(AK463&lt;&gt;0, AK464=0), SUM($AK$2:AK463)-SUM($AR$1:AR462), "")</f>
        <v/>
      </c>
    </row>
    <row r="464" spans="1:44" ht="13.15" customHeight="1">
      <c r="A464" s="62"/>
      <c r="B464" s="68" t="str">
        <f t="shared" si="133"/>
        <v/>
      </c>
      <c r="C464" s="55" cm="1">
        <f t="array" aca="1" ref="C464" ca="1">SUM(IF(ISNUMBER(M464:U464),M464:U464,""))</f>
        <v>0</v>
      </c>
      <c r="D464" s="25" t="str">
        <f t="shared" si="134"/>
        <v/>
      </c>
      <c r="E464" s="25" t="e">
        <f t="shared" si="135"/>
        <v>#VALUE!</v>
      </c>
      <c r="F464" s="25" t="str">
        <f t="shared" si="136"/>
        <v/>
      </c>
      <c r="G464" s="25" t="str">
        <f t="shared" si="137"/>
        <v>.xlsx</v>
      </c>
      <c r="H464" s="29" t="e" cm="1">
        <f t="array" aca="1" ref="H464" ca="1">IF(AND(VALUE(E464)=INDIRECT("'["&amp;G464&amp;"]"&amp;E464&amp;"'!"&amp;$X$2),G464=INDIRECT("'["&amp;G464&amp;"]"&amp;E464&amp;"'!"&amp;$X$3)),INDIRECT("'["&amp;G464&amp;"]"&amp;E464&amp;"'!"&amp;$X$1),0)</f>
        <v>#VALUE!</v>
      </c>
      <c r="I464" s="25" t="str">
        <f t="shared" si="138"/>
        <v/>
      </c>
      <c r="J464" s="32" t="str">
        <f t="shared" si="139"/>
        <v/>
      </c>
      <c r="K464" s="25" t="str">
        <f t="shared" si="140"/>
        <v/>
      </c>
      <c r="L464" s="25" t="str">
        <f t="shared" si="141"/>
        <v/>
      </c>
      <c r="M464" s="33" t="e" cm="1">
        <f t="array" aca="1" ref="M464" ca="1">IF(AND(J464=INDIRECT("'["&amp;G464&amp;"]"&amp;E464&amp;"'!"&amp;$Y$2),G464=INDIRECT("'["&amp;G464&amp;"]"&amp;E464&amp;"'!"&amp;$AH$2)),INDIRECT("'["&amp;G464&amp;"]"&amp;E464&amp;"'!"&amp;$Y$3),0)</f>
        <v>#VALUE!</v>
      </c>
      <c r="N464" s="34" t="e" cm="1">
        <f t="array" aca="1" ref="N464" ca="1">IF(AND(G464=INDIRECT("'["&amp;G464&amp;"]"&amp;E464&amp;"'!"&amp;$AH$2),OR(K464=INDIRECT("'["&amp;G464&amp;"]"&amp;E464&amp;"'!"&amp;$Z$2))),INDIRECT("'["&amp;G464&amp;"]"&amp;E464&amp;"'!"&amp;$Z$3),0)</f>
        <v>#VALUE!</v>
      </c>
      <c r="O464" s="34" t="e" cm="1">
        <f t="array" aca="1" ref="O464" ca="1">IF(AND(G464=INDIRECT("'["&amp;G464&amp;"]"&amp;E464&amp;"'!"&amp;$AH$2),OR(L464=INDIRECT("'["&amp;G464&amp;"]"&amp;E464&amp;"'!"&amp;$AA$2))),INDIRECT("'["&amp;G464&amp;"]"&amp;E464&amp;"'!"&amp;$AA$3),0)</f>
        <v>#VALUE!</v>
      </c>
      <c r="P464" s="34" t="e" cm="1">
        <f t="array" aca="1" ref="P464" ca="1">IF(AND(G464=INDIRECT("'["&amp;G464&amp;"]"&amp;E464&amp;"'!"&amp;$AH$2),OR(VALUE(I464)=INDIRECT("'["&amp;G464&amp;"]"&amp;E464&amp;"'!"&amp;$AB$2))),INDIRECT("'["&amp;G464&amp;"]"&amp;E464&amp;"'!"&amp;$AB$3),0)</f>
        <v>#VALUE!</v>
      </c>
      <c r="Q464" s="34" t="e" cm="1">
        <f t="array" aca="1" ref="Q464" ca="1">IF(AND(G464=INDIRECT("'["&amp;G464&amp;"]"&amp;E464&amp;"'!"&amp;$AH$2),OR(VALUE(I464)=INDIRECT("'["&amp;G464&amp;"]"&amp;E464&amp;"'!"&amp;$AC$2))),INDIRECT("'["&amp;G464&amp;"]"&amp;E464&amp;"'!"&amp;$AC$3),0)</f>
        <v>#VALUE!</v>
      </c>
      <c r="R464" s="34" t="e" cm="1">
        <f t="array" aca="1" ref="R464" ca="1">IF(AND(G464=INDIRECT("'["&amp;G464&amp;"]"&amp;E464&amp;"'!"&amp;$AH$2),OR(I464=INDIRECT("'["&amp;G464&amp;"]"&amp;E464&amp;"'!"&amp;$AD$2))),INDIRECT("'["&amp;G464&amp;"]"&amp;E464&amp;"'!"&amp;$AD$3),0)</f>
        <v>#VALUE!</v>
      </c>
      <c r="S464" s="34" t="e" cm="1">
        <f t="array" aca="1" ref="S464" ca="1">IF(AND(G464=INDIRECT("'["&amp;G464&amp;"]"&amp;E464&amp;"'!"&amp;$AH$2),OR(I464=INDIRECT("'["&amp;G464&amp;"]"&amp;E464&amp;"'!"&amp;$AE$2))),INDIRECT("'["&amp;G464&amp;"]"&amp;E464&amp;"'!"&amp;$AE$3),0)</f>
        <v>#VALUE!</v>
      </c>
      <c r="T464" s="35" t="e" cm="1">
        <f t="array" aca="1" ref="T464" ca="1">IF(AND(G464=INDIRECT("'["&amp;G464&amp;"]"&amp;E464&amp;"'!"&amp;$AH$2),OR(I464=INDIRECT("'["&amp;G464&amp;"]"&amp;E464&amp;"'!"&amp;$AF$2))),INDIRECT("'["&amp;G464&amp;"]"&amp;E464&amp;"'!"&amp;$AF$3),0)</f>
        <v>#VALUE!</v>
      </c>
      <c r="U464" s="34" t="e" cm="1">
        <f t="array" aca="1" ref="U464" ca="1">IF(AND(G464=INDIRECT("'["&amp;G464&amp;"]"&amp;E464&amp;"'!"&amp;$AH$2),OR(I464=INDIRECT("'["&amp;G464&amp;"]"&amp;E464&amp;"'!"&amp;$AG$2))),INDIRECT("'["&amp;G464&amp;"]"&amp;E464&amp;"'!"&amp;$AG$3),0)</f>
        <v>#VALUE!</v>
      </c>
      <c r="V464" s="25" t="str">
        <f t="shared" si="142"/>
        <v/>
      </c>
      <c r="W464" s="36" t="e" cm="1">
        <f t="array" aca="1" ref="W464" ca="1">IF(AND(G464=INDIRECT("'["&amp;G464&amp;"]"&amp;E464&amp;"'!"&amp;$AH$2),OR(V464=INDIRECT("'["&amp;G464&amp;"]"&amp;E464&amp;"'!"&amp;$AI$2))),INDIRECT("'["&amp;G464&amp;"]"&amp;E464&amp;"'!"&amp;$AI$3),0)</f>
        <v>#VALUE!</v>
      </c>
      <c r="AJ464" s="25">
        <v>1</v>
      </c>
      <c r="AK464" s="38">
        <f t="shared" ca="1" si="127"/>
        <v>0</v>
      </c>
      <c r="AL464" s="38">
        <f t="shared" ca="1" si="128"/>
        <v>0</v>
      </c>
      <c r="AM464" s="54" t="str">
        <f t="shared" ca="1" si="129"/>
        <v/>
      </c>
      <c r="AN464" s="25" t="e">
        <f t="shared" ca="1" si="130"/>
        <v>#VALUE!</v>
      </c>
      <c r="AO464" s="25" t="e">
        <f t="shared" ca="1" si="131"/>
        <v>#VALUE!</v>
      </c>
      <c r="AP464" s="39" t="str">
        <f t="shared" ca="1" si="132"/>
        <v/>
      </c>
      <c r="AQ464" s="46" t="str">
        <f ca="1">IF(AND(C464&lt;&gt;0, C465=0), SUM($C$2:C464)-SUM($AQ$1:AQ463), "")</f>
        <v/>
      </c>
      <c r="AR464" s="46" t="str">
        <f ca="1">IF(AND(AK464&lt;&gt;0, AK465=0), SUM($AK$2:AK464)-SUM($AR$1:AR463), "")</f>
        <v/>
      </c>
    </row>
    <row r="465" spans="1:44" ht="13.15" customHeight="1">
      <c r="A465" s="62"/>
      <c r="B465" s="68" t="str">
        <f t="shared" si="133"/>
        <v/>
      </c>
      <c r="C465" s="55" cm="1">
        <f t="array" aca="1" ref="C465" ca="1">SUM(IF(ISNUMBER(M465:U465),M465:U465,""))</f>
        <v>0</v>
      </c>
      <c r="D465" s="25" t="str">
        <f t="shared" si="134"/>
        <v/>
      </c>
      <c r="E465" s="25" t="e">
        <f t="shared" si="135"/>
        <v>#VALUE!</v>
      </c>
      <c r="F465" s="25" t="str">
        <f t="shared" si="136"/>
        <v/>
      </c>
      <c r="G465" s="25" t="str">
        <f t="shared" si="137"/>
        <v>.xlsx</v>
      </c>
      <c r="H465" s="29" t="e" cm="1">
        <f t="array" aca="1" ref="H465" ca="1">IF(AND(VALUE(E465)=INDIRECT("'["&amp;G465&amp;"]"&amp;E465&amp;"'!"&amp;$X$2),G465=INDIRECT("'["&amp;G465&amp;"]"&amp;E465&amp;"'!"&amp;$X$3)),INDIRECT("'["&amp;G465&amp;"]"&amp;E465&amp;"'!"&amp;$X$1),0)</f>
        <v>#VALUE!</v>
      </c>
      <c r="I465" s="25" t="str">
        <f t="shared" si="138"/>
        <v/>
      </c>
      <c r="J465" s="32" t="str">
        <f t="shared" si="139"/>
        <v/>
      </c>
      <c r="K465" s="25" t="str">
        <f t="shared" si="140"/>
        <v/>
      </c>
      <c r="L465" s="25" t="str">
        <f t="shared" si="141"/>
        <v/>
      </c>
      <c r="M465" s="33" t="e" cm="1">
        <f t="array" aca="1" ref="M465" ca="1">IF(AND(J465=INDIRECT("'["&amp;G465&amp;"]"&amp;E465&amp;"'!"&amp;$Y$2),G465=INDIRECT("'["&amp;G465&amp;"]"&amp;E465&amp;"'!"&amp;$AH$2)),INDIRECT("'["&amp;G465&amp;"]"&amp;E465&amp;"'!"&amp;$Y$3),0)</f>
        <v>#VALUE!</v>
      </c>
      <c r="N465" s="34" t="e" cm="1">
        <f t="array" aca="1" ref="N465" ca="1">IF(AND(G465=INDIRECT("'["&amp;G465&amp;"]"&amp;E465&amp;"'!"&amp;$AH$2),OR(K465=INDIRECT("'["&amp;G465&amp;"]"&amp;E465&amp;"'!"&amp;$Z$2))),INDIRECT("'["&amp;G465&amp;"]"&amp;E465&amp;"'!"&amp;$Z$3),0)</f>
        <v>#VALUE!</v>
      </c>
      <c r="O465" s="34" t="e" cm="1">
        <f t="array" aca="1" ref="O465" ca="1">IF(AND(G465=INDIRECT("'["&amp;G465&amp;"]"&amp;E465&amp;"'!"&amp;$AH$2),OR(L465=INDIRECT("'["&amp;G465&amp;"]"&amp;E465&amp;"'!"&amp;$AA$2))),INDIRECT("'["&amp;G465&amp;"]"&amp;E465&amp;"'!"&amp;$AA$3),0)</f>
        <v>#VALUE!</v>
      </c>
      <c r="P465" s="34" t="e" cm="1">
        <f t="array" aca="1" ref="P465" ca="1">IF(AND(G465=INDIRECT("'["&amp;G465&amp;"]"&amp;E465&amp;"'!"&amp;$AH$2),OR(VALUE(I465)=INDIRECT("'["&amp;G465&amp;"]"&amp;E465&amp;"'!"&amp;$AB$2))),INDIRECT("'["&amp;G465&amp;"]"&amp;E465&amp;"'!"&amp;$AB$3),0)</f>
        <v>#VALUE!</v>
      </c>
      <c r="Q465" s="34" t="e" cm="1">
        <f t="array" aca="1" ref="Q465" ca="1">IF(AND(G465=INDIRECT("'["&amp;G465&amp;"]"&amp;E465&amp;"'!"&amp;$AH$2),OR(VALUE(I465)=INDIRECT("'["&amp;G465&amp;"]"&amp;E465&amp;"'!"&amp;$AC$2))),INDIRECT("'["&amp;G465&amp;"]"&amp;E465&amp;"'!"&amp;$AC$3),0)</f>
        <v>#VALUE!</v>
      </c>
      <c r="R465" s="34" t="e" cm="1">
        <f t="array" aca="1" ref="R465" ca="1">IF(AND(G465=INDIRECT("'["&amp;G465&amp;"]"&amp;E465&amp;"'!"&amp;$AH$2),OR(I465=INDIRECT("'["&amp;G465&amp;"]"&amp;E465&amp;"'!"&amp;$AD$2))),INDIRECT("'["&amp;G465&amp;"]"&amp;E465&amp;"'!"&amp;$AD$3),0)</f>
        <v>#VALUE!</v>
      </c>
      <c r="S465" s="34" t="e" cm="1">
        <f t="array" aca="1" ref="S465" ca="1">IF(AND(G465=INDIRECT("'["&amp;G465&amp;"]"&amp;E465&amp;"'!"&amp;$AH$2),OR(I465=INDIRECT("'["&amp;G465&amp;"]"&amp;E465&amp;"'!"&amp;$AE$2))),INDIRECT("'["&amp;G465&amp;"]"&amp;E465&amp;"'!"&amp;$AE$3),0)</f>
        <v>#VALUE!</v>
      </c>
      <c r="T465" s="35" t="e" cm="1">
        <f t="array" aca="1" ref="T465" ca="1">IF(AND(G465=INDIRECT("'["&amp;G465&amp;"]"&amp;E465&amp;"'!"&amp;$AH$2),OR(I465=INDIRECT("'["&amp;G465&amp;"]"&amp;E465&amp;"'!"&amp;$AF$2))),INDIRECT("'["&amp;G465&amp;"]"&amp;E465&amp;"'!"&amp;$AF$3),0)</f>
        <v>#VALUE!</v>
      </c>
      <c r="U465" s="34" t="e" cm="1">
        <f t="array" aca="1" ref="U465" ca="1">IF(AND(G465=INDIRECT("'["&amp;G465&amp;"]"&amp;E465&amp;"'!"&amp;$AH$2),OR(I465=INDIRECT("'["&amp;G465&amp;"]"&amp;E465&amp;"'!"&amp;$AG$2))),INDIRECT("'["&amp;G465&amp;"]"&amp;E465&amp;"'!"&amp;$AG$3),0)</f>
        <v>#VALUE!</v>
      </c>
      <c r="V465" s="25" t="str">
        <f t="shared" si="142"/>
        <v/>
      </c>
      <c r="W465" s="36" t="e" cm="1">
        <f t="array" aca="1" ref="W465" ca="1">IF(AND(G465=INDIRECT("'["&amp;G465&amp;"]"&amp;E465&amp;"'!"&amp;$AH$2),OR(V465=INDIRECT("'["&amp;G465&amp;"]"&amp;E465&amp;"'!"&amp;$AI$2))),INDIRECT("'["&amp;G465&amp;"]"&amp;E465&amp;"'!"&amp;$AI$3),0)</f>
        <v>#VALUE!</v>
      </c>
      <c r="AJ465" s="25">
        <v>1</v>
      </c>
      <c r="AK465" s="38">
        <f t="shared" ca="1" si="127"/>
        <v>0</v>
      </c>
      <c r="AL465" s="38">
        <f t="shared" ca="1" si="128"/>
        <v>0</v>
      </c>
      <c r="AM465" s="54" t="str">
        <f t="shared" ca="1" si="129"/>
        <v/>
      </c>
      <c r="AN465" s="25" t="e">
        <f t="shared" ca="1" si="130"/>
        <v>#VALUE!</v>
      </c>
      <c r="AO465" s="25" t="e">
        <f t="shared" ca="1" si="131"/>
        <v>#VALUE!</v>
      </c>
      <c r="AP465" s="39" t="str">
        <f t="shared" ca="1" si="132"/>
        <v/>
      </c>
      <c r="AQ465" s="46" t="str">
        <f ca="1">IF(AND(C465&lt;&gt;0, C466=0), SUM($C$2:C465)-SUM($AQ$1:AQ464), "")</f>
        <v/>
      </c>
      <c r="AR465" s="46" t="str">
        <f ca="1">IF(AND(AK465&lt;&gt;0, AK466=0), SUM($AK$2:AK465)-SUM($AR$1:AR464), "")</f>
        <v/>
      </c>
    </row>
    <row r="466" spans="1:44" ht="13.15" customHeight="1">
      <c r="A466" s="62"/>
      <c r="B466" s="68" t="str">
        <f t="shared" si="133"/>
        <v/>
      </c>
      <c r="C466" s="55" cm="1">
        <f t="array" aca="1" ref="C466" ca="1">SUM(IF(ISNUMBER(M466:U466),M466:U466,""))</f>
        <v>0</v>
      </c>
      <c r="D466" s="25" t="str">
        <f t="shared" si="134"/>
        <v/>
      </c>
      <c r="E466" s="25" t="e">
        <f t="shared" si="135"/>
        <v>#VALUE!</v>
      </c>
      <c r="F466" s="25" t="str">
        <f t="shared" si="136"/>
        <v/>
      </c>
      <c r="G466" s="25" t="str">
        <f t="shared" si="137"/>
        <v>.xlsx</v>
      </c>
      <c r="H466" s="29" t="e" cm="1">
        <f t="array" aca="1" ref="H466" ca="1">IF(AND(VALUE(E466)=INDIRECT("'["&amp;G466&amp;"]"&amp;E466&amp;"'!"&amp;$X$2),G466=INDIRECT("'["&amp;G466&amp;"]"&amp;E466&amp;"'!"&amp;$X$3)),INDIRECT("'["&amp;G466&amp;"]"&amp;E466&amp;"'!"&amp;$X$1),0)</f>
        <v>#VALUE!</v>
      </c>
      <c r="I466" s="25" t="str">
        <f t="shared" si="138"/>
        <v/>
      </c>
      <c r="J466" s="32" t="str">
        <f t="shared" si="139"/>
        <v/>
      </c>
      <c r="K466" s="25" t="str">
        <f t="shared" si="140"/>
        <v/>
      </c>
      <c r="L466" s="25" t="str">
        <f t="shared" si="141"/>
        <v/>
      </c>
      <c r="M466" s="33" t="e" cm="1">
        <f t="array" aca="1" ref="M466" ca="1">IF(AND(J466=INDIRECT("'["&amp;G466&amp;"]"&amp;E466&amp;"'!"&amp;$Y$2),G466=INDIRECT("'["&amp;G466&amp;"]"&amp;E466&amp;"'!"&amp;$AH$2)),INDIRECT("'["&amp;G466&amp;"]"&amp;E466&amp;"'!"&amp;$Y$3),0)</f>
        <v>#VALUE!</v>
      </c>
      <c r="N466" s="34" t="e" cm="1">
        <f t="array" aca="1" ref="N466" ca="1">IF(AND(G466=INDIRECT("'["&amp;G466&amp;"]"&amp;E466&amp;"'!"&amp;$AH$2),OR(K466=INDIRECT("'["&amp;G466&amp;"]"&amp;E466&amp;"'!"&amp;$Z$2))),INDIRECT("'["&amp;G466&amp;"]"&amp;E466&amp;"'!"&amp;$Z$3),0)</f>
        <v>#VALUE!</v>
      </c>
      <c r="O466" s="34" t="e" cm="1">
        <f t="array" aca="1" ref="O466" ca="1">IF(AND(G466=INDIRECT("'["&amp;G466&amp;"]"&amp;E466&amp;"'!"&amp;$AH$2),OR(L466=INDIRECT("'["&amp;G466&amp;"]"&amp;E466&amp;"'!"&amp;$AA$2))),INDIRECT("'["&amp;G466&amp;"]"&amp;E466&amp;"'!"&amp;$AA$3),0)</f>
        <v>#VALUE!</v>
      </c>
      <c r="P466" s="34" t="e" cm="1">
        <f t="array" aca="1" ref="P466" ca="1">IF(AND(G466=INDIRECT("'["&amp;G466&amp;"]"&amp;E466&amp;"'!"&amp;$AH$2),OR(VALUE(I466)=INDIRECT("'["&amp;G466&amp;"]"&amp;E466&amp;"'!"&amp;$AB$2))),INDIRECT("'["&amp;G466&amp;"]"&amp;E466&amp;"'!"&amp;$AB$3),0)</f>
        <v>#VALUE!</v>
      </c>
      <c r="Q466" s="34" t="e" cm="1">
        <f t="array" aca="1" ref="Q466" ca="1">IF(AND(G466=INDIRECT("'["&amp;G466&amp;"]"&amp;E466&amp;"'!"&amp;$AH$2),OR(VALUE(I466)=INDIRECT("'["&amp;G466&amp;"]"&amp;E466&amp;"'!"&amp;$AC$2))),INDIRECT("'["&amp;G466&amp;"]"&amp;E466&amp;"'!"&amp;$AC$3),0)</f>
        <v>#VALUE!</v>
      </c>
      <c r="R466" s="34" t="e" cm="1">
        <f t="array" aca="1" ref="R466" ca="1">IF(AND(G466=INDIRECT("'["&amp;G466&amp;"]"&amp;E466&amp;"'!"&amp;$AH$2),OR(I466=INDIRECT("'["&amp;G466&amp;"]"&amp;E466&amp;"'!"&amp;$AD$2))),INDIRECT("'["&amp;G466&amp;"]"&amp;E466&amp;"'!"&amp;$AD$3),0)</f>
        <v>#VALUE!</v>
      </c>
      <c r="S466" s="34" t="e" cm="1">
        <f t="array" aca="1" ref="S466" ca="1">IF(AND(G466=INDIRECT("'["&amp;G466&amp;"]"&amp;E466&amp;"'!"&amp;$AH$2),OR(I466=INDIRECT("'["&amp;G466&amp;"]"&amp;E466&amp;"'!"&amp;$AE$2))),INDIRECT("'["&amp;G466&amp;"]"&amp;E466&amp;"'!"&amp;$AE$3),0)</f>
        <v>#VALUE!</v>
      </c>
      <c r="T466" s="35" t="e" cm="1">
        <f t="array" aca="1" ref="T466" ca="1">IF(AND(G466=INDIRECT("'["&amp;G466&amp;"]"&amp;E466&amp;"'!"&amp;$AH$2),OR(I466=INDIRECT("'["&amp;G466&amp;"]"&amp;E466&amp;"'!"&amp;$AF$2))),INDIRECT("'["&amp;G466&amp;"]"&amp;E466&amp;"'!"&amp;$AF$3),0)</f>
        <v>#VALUE!</v>
      </c>
      <c r="U466" s="34" t="e" cm="1">
        <f t="array" aca="1" ref="U466" ca="1">IF(AND(G466=INDIRECT("'["&amp;G466&amp;"]"&amp;E466&amp;"'!"&amp;$AH$2),OR(I466=INDIRECT("'["&amp;G466&amp;"]"&amp;E466&amp;"'!"&amp;$AG$2))),INDIRECT("'["&amp;G466&amp;"]"&amp;E466&amp;"'!"&amp;$AG$3),0)</f>
        <v>#VALUE!</v>
      </c>
      <c r="V466" s="25" t="str">
        <f t="shared" si="142"/>
        <v/>
      </c>
      <c r="W466" s="36" t="e" cm="1">
        <f t="array" aca="1" ref="W466" ca="1">IF(AND(G466=INDIRECT("'["&amp;G466&amp;"]"&amp;E466&amp;"'!"&amp;$AH$2),OR(V466=INDIRECT("'["&amp;G466&amp;"]"&amp;E466&amp;"'!"&amp;$AI$2))),INDIRECT("'["&amp;G466&amp;"]"&amp;E466&amp;"'!"&amp;$AI$3),0)</f>
        <v>#VALUE!</v>
      </c>
      <c r="AJ466" s="25">
        <v>1</v>
      </c>
      <c r="AK466" s="38">
        <f t="shared" ca="1" si="127"/>
        <v>0</v>
      </c>
      <c r="AL466" s="38">
        <f t="shared" ca="1" si="128"/>
        <v>0</v>
      </c>
      <c r="AM466" s="54" t="str">
        <f t="shared" ca="1" si="129"/>
        <v/>
      </c>
      <c r="AN466" s="25" t="e">
        <f t="shared" ca="1" si="130"/>
        <v>#VALUE!</v>
      </c>
      <c r="AO466" s="25" t="e">
        <f t="shared" ca="1" si="131"/>
        <v>#VALUE!</v>
      </c>
      <c r="AP466" s="39" t="str">
        <f t="shared" ca="1" si="132"/>
        <v/>
      </c>
      <c r="AQ466" s="46" t="str">
        <f ca="1">IF(AND(C466&lt;&gt;0, C467=0), SUM($C$2:C466)-SUM($AQ$1:AQ465), "")</f>
        <v/>
      </c>
      <c r="AR466" s="46" t="str">
        <f ca="1">IF(AND(AK466&lt;&gt;0, AK467=0), SUM($AK$2:AK466)-SUM($AR$1:AR465), "")</f>
        <v/>
      </c>
    </row>
    <row r="467" spans="1:44" ht="13.15" customHeight="1">
      <c r="A467" s="62"/>
      <c r="B467" s="68" t="str">
        <f t="shared" si="133"/>
        <v/>
      </c>
      <c r="C467" s="55" cm="1">
        <f t="array" aca="1" ref="C467" ca="1">SUM(IF(ISNUMBER(M467:U467),M467:U467,""))</f>
        <v>0</v>
      </c>
      <c r="D467" s="25" t="str">
        <f t="shared" si="134"/>
        <v/>
      </c>
      <c r="E467" s="25" t="e">
        <f t="shared" si="135"/>
        <v>#VALUE!</v>
      </c>
      <c r="F467" s="25" t="str">
        <f t="shared" si="136"/>
        <v/>
      </c>
      <c r="G467" s="25" t="str">
        <f t="shared" si="137"/>
        <v>.xlsx</v>
      </c>
      <c r="H467" s="29" t="e" cm="1">
        <f t="array" aca="1" ref="H467" ca="1">IF(AND(VALUE(E467)=INDIRECT("'["&amp;G467&amp;"]"&amp;E467&amp;"'!"&amp;$X$2),G467=INDIRECT("'["&amp;G467&amp;"]"&amp;E467&amp;"'!"&amp;$X$3)),INDIRECT("'["&amp;G467&amp;"]"&amp;E467&amp;"'!"&amp;$X$1),0)</f>
        <v>#VALUE!</v>
      </c>
      <c r="I467" s="25" t="str">
        <f t="shared" si="138"/>
        <v/>
      </c>
      <c r="J467" s="32" t="str">
        <f t="shared" si="139"/>
        <v/>
      </c>
      <c r="K467" s="25" t="str">
        <f t="shared" si="140"/>
        <v/>
      </c>
      <c r="L467" s="25" t="str">
        <f t="shared" si="141"/>
        <v/>
      </c>
      <c r="M467" s="33" t="e" cm="1">
        <f t="array" aca="1" ref="M467" ca="1">IF(AND(J467=INDIRECT("'["&amp;G467&amp;"]"&amp;E467&amp;"'!"&amp;$Y$2),G467=INDIRECT("'["&amp;G467&amp;"]"&amp;E467&amp;"'!"&amp;$AH$2)),INDIRECT("'["&amp;G467&amp;"]"&amp;E467&amp;"'!"&amp;$Y$3),0)</f>
        <v>#VALUE!</v>
      </c>
      <c r="N467" s="34" t="e" cm="1">
        <f t="array" aca="1" ref="N467" ca="1">IF(AND(G467=INDIRECT("'["&amp;G467&amp;"]"&amp;E467&amp;"'!"&amp;$AH$2),OR(K467=INDIRECT("'["&amp;G467&amp;"]"&amp;E467&amp;"'!"&amp;$Z$2))),INDIRECT("'["&amp;G467&amp;"]"&amp;E467&amp;"'!"&amp;$Z$3),0)</f>
        <v>#VALUE!</v>
      </c>
      <c r="O467" s="34" t="e" cm="1">
        <f t="array" aca="1" ref="O467" ca="1">IF(AND(G467=INDIRECT("'["&amp;G467&amp;"]"&amp;E467&amp;"'!"&amp;$AH$2),OR(L467=INDIRECT("'["&amp;G467&amp;"]"&amp;E467&amp;"'!"&amp;$AA$2))),INDIRECT("'["&amp;G467&amp;"]"&amp;E467&amp;"'!"&amp;$AA$3),0)</f>
        <v>#VALUE!</v>
      </c>
      <c r="P467" s="34" t="e" cm="1">
        <f t="array" aca="1" ref="P467" ca="1">IF(AND(G467=INDIRECT("'["&amp;G467&amp;"]"&amp;E467&amp;"'!"&amp;$AH$2),OR(VALUE(I467)=INDIRECT("'["&amp;G467&amp;"]"&amp;E467&amp;"'!"&amp;$AB$2))),INDIRECT("'["&amp;G467&amp;"]"&amp;E467&amp;"'!"&amp;$AB$3),0)</f>
        <v>#VALUE!</v>
      </c>
      <c r="Q467" s="34" t="e" cm="1">
        <f t="array" aca="1" ref="Q467" ca="1">IF(AND(G467=INDIRECT("'["&amp;G467&amp;"]"&amp;E467&amp;"'!"&amp;$AH$2),OR(VALUE(I467)=INDIRECT("'["&amp;G467&amp;"]"&amp;E467&amp;"'!"&amp;$AC$2))),INDIRECT("'["&amp;G467&amp;"]"&amp;E467&amp;"'!"&amp;$AC$3),0)</f>
        <v>#VALUE!</v>
      </c>
      <c r="R467" s="34" t="e" cm="1">
        <f t="array" aca="1" ref="R467" ca="1">IF(AND(G467=INDIRECT("'["&amp;G467&amp;"]"&amp;E467&amp;"'!"&amp;$AH$2),OR(I467=INDIRECT("'["&amp;G467&amp;"]"&amp;E467&amp;"'!"&amp;$AD$2))),INDIRECT("'["&amp;G467&amp;"]"&amp;E467&amp;"'!"&amp;$AD$3),0)</f>
        <v>#VALUE!</v>
      </c>
      <c r="S467" s="34" t="e" cm="1">
        <f t="array" aca="1" ref="S467" ca="1">IF(AND(G467=INDIRECT("'["&amp;G467&amp;"]"&amp;E467&amp;"'!"&amp;$AH$2),OR(I467=INDIRECT("'["&amp;G467&amp;"]"&amp;E467&amp;"'!"&amp;$AE$2))),INDIRECT("'["&amp;G467&amp;"]"&amp;E467&amp;"'!"&amp;$AE$3),0)</f>
        <v>#VALUE!</v>
      </c>
      <c r="T467" s="35" t="e" cm="1">
        <f t="array" aca="1" ref="T467" ca="1">IF(AND(G467=INDIRECT("'["&amp;G467&amp;"]"&amp;E467&amp;"'!"&amp;$AH$2),OR(I467=INDIRECT("'["&amp;G467&amp;"]"&amp;E467&amp;"'!"&amp;$AF$2))),INDIRECT("'["&amp;G467&amp;"]"&amp;E467&amp;"'!"&amp;$AF$3),0)</f>
        <v>#VALUE!</v>
      </c>
      <c r="U467" s="34" t="e" cm="1">
        <f t="array" aca="1" ref="U467" ca="1">IF(AND(G467=INDIRECT("'["&amp;G467&amp;"]"&amp;E467&amp;"'!"&amp;$AH$2),OR(I467=INDIRECT("'["&amp;G467&amp;"]"&amp;E467&amp;"'!"&amp;$AG$2))),INDIRECT("'["&amp;G467&amp;"]"&amp;E467&amp;"'!"&amp;$AG$3),0)</f>
        <v>#VALUE!</v>
      </c>
      <c r="V467" s="25" t="str">
        <f t="shared" si="142"/>
        <v/>
      </c>
      <c r="W467" s="36" t="e" cm="1">
        <f t="array" aca="1" ref="W467" ca="1">IF(AND(G467=INDIRECT("'["&amp;G467&amp;"]"&amp;E467&amp;"'!"&amp;$AH$2),OR(V467=INDIRECT("'["&amp;G467&amp;"]"&amp;E467&amp;"'!"&amp;$AI$2))),INDIRECT("'["&amp;G467&amp;"]"&amp;E467&amp;"'!"&amp;$AI$3),0)</f>
        <v>#VALUE!</v>
      </c>
      <c r="AJ467" s="25">
        <v>1</v>
      </c>
      <c r="AK467" s="38">
        <f t="shared" ca="1" si="127"/>
        <v>0</v>
      </c>
      <c r="AL467" s="38">
        <f t="shared" ca="1" si="128"/>
        <v>0</v>
      </c>
      <c r="AM467" s="54" t="str">
        <f t="shared" ca="1" si="129"/>
        <v/>
      </c>
      <c r="AN467" s="25" t="e">
        <f t="shared" ca="1" si="130"/>
        <v>#VALUE!</v>
      </c>
      <c r="AO467" s="25" t="e">
        <f t="shared" ca="1" si="131"/>
        <v>#VALUE!</v>
      </c>
      <c r="AP467" s="39" t="str">
        <f t="shared" ca="1" si="132"/>
        <v/>
      </c>
      <c r="AQ467" s="46" t="str">
        <f ca="1">IF(AND(C467&lt;&gt;0, C468=0), SUM($C$2:C467)-SUM($AQ$1:AQ466), "")</f>
        <v/>
      </c>
      <c r="AR467" s="46" t="str">
        <f ca="1">IF(AND(AK467&lt;&gt;0, AK468=0), SUM($AK$2:AK467)-SUM($AR$1:AR466), "")</f>
        <v/>
      </c>
    </row>
    <row r="468" spans="1:44" ht="13.15" customHeight="1">
      <c r="A468" s="62"/>
      <c r="B468" s="68" t="str">
        <f t="shared" si="133"/>
        <v/>
      </c>
      <c r="C468" s="55" cm="1">
        <f t="array" aca="1" ref="C468" ca="1">SUM(IF(ISNUMBER(M468:U468),M468:U468,""))</f>
        <v>0</v>
      </c>
      <c r="D468" s="25" t="str">
        <f t="shared" si="134"/>
        <v/>
      </c>
      <c r="E468" s="25" t="e">
        <f t="shared" si="135"/>
        <v>#VALUE!</v>
      </c>
      <c r="F468" s="25" t="str">
        <f t="shared" si="136"/>
        <v/>
      </c>
      <c r="G468" s="25" t="str">
        <f t="shared" si="137"/>
        <v>.xlsx</v>
      </c>
      <c r="H468" s="29" t="e" cm="1">
        <f t="array" aca="1" ref="H468" ca="1">IF(AND(VALUE(E468)=INDIRECT("'["&amp;G468&amp;"]"&amp;E468&amp;"'!"&amp;$X$2),G468=INDIRECT("'["&amp;G468&amp;"]"&amp;E468&amp;"'!"&amp;$X$3)),INDIRECT("'["&amp;G468&amp;"]"&amp;E468&amp;"'!"&amp;$X$1),0)</f>
        <v>#VALUE!</v>
      </c>
      <c r="I468" s="25" t="str">
        <f t="shared" si="138"/>
        <v/>
      </c>
      <c r="J468" s="32" t="str">
        <f t="shared" si="139"/>
        <v/>
      </c>
      <c r="K468" s="25" t="str">
        <f t="shared" si="140"/>
        <v/>
      </c>
      <c r="L468" s="25" t="str">
        <f t="shared" si="141"/>
        <v/>
      </c>
      <c r="M468" s="33" t="e" cm="1">
        <f t="array" aca="1" ref="M468" ca="1">IF(AND(J468=INDIRECT("'["&amp;G468&amp;"]"&amp;E468&amp;"'!"&amp;$Y$2),G468=INDIRECT("'["&amp;G468&amp;"]"&amp;E468&amp;"'!"&amp;$AH$2)),INDIRECT("'["&amp;G468&amp;"]"&amp;E468&amp;"'!"&amp;$Y$3),0)</f>
        <v>#VALUE!</v>
      </c>
      <c r="N468" s="34" t="e" cm="1">
        <f t="array" aca="1" ref="N468" ca="1">IF(AND(G468=INDIRECT("'["&amp;G468&amp;"]"&amp;E468&amp;"'!"&amp;$AH$2),OR(K468=INDIRECT("'["&amp;G468&amp;"]"&amp;E468&amp;"'!"&amp;$Z$2))),INDIRECT("'["&amp;G468&amp;"]"&amp;E468&amp;"'!"&amp;$Z$3),0)</f>
        <v>#VALUE!</v>
      </c>
      <c r="O468" s="34" t="e" cm="1">
        <f t="array" aca="1" ref="O468" ca="1">IF(AND(G468=INDIRECT("'["&amp;G468&amp;"]"&amp;E468&amp;"'!"&amp;$AH$2),OR(L468=INDIRECT("'["&amp;G468&amp;"]"&amp;E468&amp;"'!"&amp;$AA$2))),INDIRECT("'["&amp;G468&amp;"]"&amp;E468&amp;"'!"&amp;$AA$3),0)</f>
        <v>#VALUE!</v>
      </c>
      <c r="P468" s="34" t="e" cm="1">
        <f t="array" aca="1" ref="P468" ca="1">IF(AND(G468=INDIRECT("'["&amp;G468&amp;"]"&amp;E468&amp;"'!"&amp;$AH$2),OR(VALUE(I468)=INDIRECT("'["&amp;G468&amp;"]"&amp;E468&amp;"'!"&amp;$AB$2))),INDIRECT("'["&amp;G468&amp;"]"&amp;E468&amp;"'!"&amp;$AB$3),0)</f>
        <v>#VALUE!</v>
      </c>
      <c r="Q468" s="34" t="e" cm="1">
        <f t="array" aca="1" ref="Q468" ca="1">IF(AND(G468=INDIRECT("'["&amp;G468&amp;"]"&amp;E468&amp;"'!"&amp;$AH$2),OR(VALUE(I468)=INDIRECT("'["&amp;G468&amp;"]"&amp;E468&amp;"'!"&amp;$AC$2))),INDIRECT("'["&amp;G468&amp;"]"&amp;E468&amp;"'!"&amp;$AC$3),0)</f>
        <v>#VALUE!</v>
      </c>
      <c r="R468" s="34" t="e" cm="1">
        <f t="array" aca="1" ref="R468" ca="1">IF(AND(G468=INDIRECT("'["&amp;G468&amp;"]"&amp;E468&amp;"'!"&amp;$AH$2),OR(I468=INDIRECT("'["&amp;G468&amp;"]"&amp;E468&amp;"'!"&amp;$AD$2))),INDIRECT("'["&amp;G468&amp;"]"&amp;E468&amp;"'!"&amp;$AD$3),0)</f>
        <v>#VALUE!</v>
      </c>
      <c r="S468" s="34" t="e" cm="1">
        <f t="array" aca="1" ref="S468" ca="1">IF(AND(G468=INDIRECT("'["&amp;G468&amp;"]"&amp;E468&amp;"'!"&amp;$AH$2),OR(I468=INDIRECT("'["&amp;G468&amp;"]"&amp;E468&amp;"'!"&amp;$AE$2))),INDIRECT("'["&amp;G468&amp;"]"&amp;E468&amp;"'!"&amp;$AE$3),0)</f>
        <v>#VALUE!</v>
      </c>
      <c r="T468" s="35" t="e" cm="1">
        <f t="array" aca="1" ref="T468" ca="1">IF(AND(G468=INDIRECT("'["&amp;G468&amp;"]"&amp;E468&amp;"'!"&amp;$AH$2),OR(I468=INDIRECT("'["&amp;G468&amp;"]"&amp;E468&amp;"'!"&amp;$AF$2))),INDIRECT("'["&amp;G468&amp;"]"&amp;E468&amp;"'!"&amp;$AF$3),0)</f>
        <v>#VALUE!</v>
      </c>
      <c r="U468" s="34" t="e" cm="1">
        <f t="array" aca="1" ref="U468" ca="1">IF(AND(G468=INDIRECT("'["&amp;G468&amp;"]"&amp;E468&amp;"'!"&amp;$AH$2),OR(I468=INDIRECT("'["&amp;G468&amp;"]"&amp;E468&amp;"'!"&amp;$AG$2))),INDIRECT("'["&amp;G468&amp;"]"&amp;E468&amp;"'!"&amp;$AG$3),0)</f>
        <v>#VALUE!</v>
      </c>
      <c r="V468" s="25" t="str">
        <f t="shared" si="142"/>
        <v/>
      </c>
      <c r="W468" s="36" t="e" cm="1">
        <f t="array" aca="1" ref="W468" ca="1">IF(AND(G468=INDIRECT("'["&amp;G468&amp;"]"&amp;E468&amp;"'!"&amp;$AH$2),OR(V468=INDIRECT("'["&amp;G468&amp;"]"&amp;E468&amp;"'!"&amp;$AI$2))),INDIRECT("'["&amp;G468&amp;"]"&amp;E468&amp;"'!"&amp;$AI$3),0)</f>
        <v>#VALUE!</v>
      </c>
      <c r="AJ468" s="25">
        <v>1</v>
      </c>
      <c r="AK468" s="38">
        <f t="shared" ca="1" si="127"/>
        <v>0</v>
      </c>
      <c r="AL468" s="38">
        <f t="shared" ca="1" si="128"/>
        <v>0</v>
      </c>
      <c r="AM468" s="54" t="str">
        <f t="shared" ca="1" si="129"/>
        <v/>
      </c>
      <c r="AN468" s="25" t="e">
        <f t="shared" ca="1" si="130"/>
        <v>#VALUE!</v>
      </c>
      <c r="AO468" s="25" t="e">
        <f t="shared" ca="1" si="131"/>
        <v>#VALUE!</v>
      </c>
      <c r="AP468" s="39" t="str">
        <f t="shared" ca="1" si="132"/>
        <v/>
      </c>
      <c r="AQ468" s="46" t="str">
        <f ca="1">IF(AND(C468&lt;&gt;0, C469=0), SUM($C$2:C468)-SUM($AQ$1:AQ467), "")</f>
        <v/>
      </c>
      <c r="AR468" s="46" t="str">
        <f ca="1">IF(AND(AK468&lt;&gt;0, AK469=0), SUM($AK$2:AK468)-SUM($AR$1:AR467), "")</f>
        <v/>
      </c>
    </row>
    <row r="469" spans="1:44" ht="13.15" customHeight="1">
      <c r="A469" s="62"/>
      <c r="B469" s="68" t="str">
        <f t="shared" si="133"/>
        <v/>
      </c>
      <c r="C469" s="55" cm="1">
        <f t="array" aca="1" ref="C469" ca="1">SUM(IF(ISNUMBER(M469:U469),M469:U469,""))</f>
        <v>0</v>
      </c>
      <c r="D469" s="25" t="str">
        <f t="shared" si="134"/>
        <v/>
      </c>
      <c r="E469" s="25" t="e">
        <f t="shared" si="135"/>
        <v>#VALUE!</v>
      </c>
      <c r="F469" s="25" t="str">
        <f t="shared" si="136"/>
        <v/>
      </c>
      <c r="G469" s="25" t="str">
        <f t="shared" si="137"/>
        <v>.xlsx</v>
      </c>
      <c r="H469" s="29" t="e" cm="1">
        <f t="array" aca="1" ref="H469" ca="1">IF(AND(VALUE(E469)=INDIRECT("'["&amp;G469&amp;"]"&amp;E469&amp;"'!"&amp;$X$2),G469=INDIRECT("'["&amp;G469&amp;"]"&amp;E469&amp;"'!"&amp;$X$3)),INDIRECT("'["&amp;G469&amp;"]"&amp;E469&amp;"'!"&amp;$X$1),0)</f>
        <v>#VALUE!</v>
      </c>
      <c r="I469" s="25" t="str">
        <f t="shared" si="138"/>
        <v/>
      </c>
      <c r="J469" s="32" t="str">
        <f t="shared" si="139"/>
        <v/>
      </c>
      <c r="K469" s="25" t="str">
        <f t="shared" si="140"/>
        <v/>
      </c>
      <c r="L469" s="25" t="str">
        <f t="shared" si="141"/>
        <v/>
      </c>
      <c r="M469" s="33" t="e" cm="1">
        <f t="array" aca="1" ref="M469" ca="1">IF(AND(J469=INDIRECT("'["&amp;G469&amp;"]"&amp;E469&amp;"'!"&amp;$Y$2),G469=INDIRECT("'["&amp;G469&amp;"]"&amp;E469&amp;"'!"&amp;$AH$2)),INDIRECT("'["&amp;G469&amp;"]"&amp;E469&amp;"'!"&amp;$Y$3),0)</f>
        <v>#VALUE!</v>
      </c>
      <c r="N469" s="34" t="e" cm="1">
        <f t="array" aca="1" ref="N469" ca="1">IF(AND(G469=INDIRECT("'["&amp;G469&amp;"]"&amp;E469&amp;"'!"&amp;$AH$2),OR(K469=INDIRECT("'["&amp;G469&amp;"]"&amp;E469&amp;"'!"&amp;$Z$2))),INDIRECT("'["&amp;G469&amp;"]"&amp;E469&amp;"'!"&amp;$Z$3),0)</f>
        <v>#VALUE!</v>
      </c>
      <c r="O469" s="34" t="e" cm="1">
        <f t="array" aca="1" ref="O469" ca="1">IF(AND(G469=INDIRECT("'["&amp;G469&amp;"]"&amp;E469&amp;"'!"&amp;$AH$2),OR(L469=INDIRECT("'["&amp;G469&amp;"]"&amp;E469&amp;"'!"&amp;$AA$2))),INDIRECT("'["&amp;G469&amp;"]"&amp;E469&amp;"'!"&amp;$AA$3),0)</f>
        <v>#VALUE!</v>
      </c>
      <c r="P469" s="34" t="e" cm="1">
        <f t="array" aca="1" ref="P469" ca="1">IF(AND(G469=INDIRECT("'["&amp;G469&amp;"]"&amp;E469&amp;"'!"&amp;$AH$2),OR(VALUE(I469)=INDIRECT("'["&amp;G469&amp;"]"&amp;E469&amp;"'!"&amp;$AB$2))),INDIRECT("'["&amp;G469&amp;"]"&amp;E469&amp;"'!"&amp;$AB$3),0)</f>
        <v>#VALUE!</v>
      </c>
      <c r="Q469" s="34" t="e" cm="1">
        <f t="array" aca="1" ref="Q469" ca="1">IF(AND(G469=INDIRECT("'["&amp;G469&amp;"]"&amp;E469&amp;"'!"&amp;$AH$2),OR(VALUE(I469)=INDIRECT("'["&amp;G469&amp;"]"&amp;E469&amp;"'!"&amp;$AC$2))),INDIRECT("'["&amp;G469&amp;"]"&amp;E469&amp;"'!"&amp;$AC$3),0)</f>
        <v>#VALUE!</v>
      </c>
      <c r="R469" s="34" t="e" cm="1">
        <f t="array" aca="1" ref="R469" ca="1">IF(AND(G469=INDIRECT("'["&amp;G469&amp;"]"&amp;E469&amp;"'!"&amp;$AH$2),OR(I469=INDIRECT("'["&amp;G469&amp;"]"&amp;E469&amp;"'!"&amp;$AD$2))),INDIRECT("'["&amp;G469&amp;"]"&amp;E469&amp;"'!"&amp;$AD$3),0)</f>
        <v>#VALUE!</v>
      </c>
      <c r="S469" s="34" t="e" cm="1">
        <f t="array" aca="1" ref="S469" ca="1">IF(AND(G469=INDIRECT("'["&amp;G469&amp;"]"&amp;E469&amp;"'!"&amp;$AH$2),OR(I469=INDIRECT("'["&amp;G469&amp;"]"&amp;E469&amp;"'!"&amp;$AE$2))),INDIRECT("'["&amp;G469&amp;"]"&amp;E469&amp;"'!"&amp;$AE$3),0)</f>
        <v>#VALUE!</v>
      </c>
      <c r="T469" s="35" t="e" cm="1">
        <f t="array" aca="1" ref="T469" ca="1">IF(AND(G469=INDIRECT("'["&amp;G469&amp;"]"&amp;E469&amp;"'!"&amp;$AH$2),OR(I469=INDIRECT("'["&amp;G469&amp;"]"&amp;E469&amp;"'!"&amp;$AF$2))),INDIRECT("'["&amp;G469&amp;"]"&amp;E469&amp;"'!"&amp;$AF$3),0)</f>
        <v>#VALUE!</v>
      </c>
      <c r="U469" s="34" t="e" cm="1">
        <f t="array" aca="1" ref="U469" ca="1">IF(AND(G469=INDIRECT("'["&amp;G469&amp;"]"&amp;E469&amp;"'!"&amp;$AH$2),OR(I469=INDIRECT("'["&amp;G469&amp;"]"&amp;E469&amp;"'!"&amp;$AG$2))),INDIRECT("'["&amp;G469&amp;"]"&amp;E469&amp;"'!"&amp;$AG$3),0)</f>
        <v>#VALUE!</v>
      </c>
      <c r="V469" s="25" t="str">
        <f t="shared" si="142"/>
        <v/>
      </c>
      <c r="W469" s="36" t="e" cm="1">
        <f t="array" aca="1" ref="W469" ca="1">IF(AND(G469=INDIRECT("'["&amp;G469&amp;"]"&amp;E469&amp;"'!"&amp;$AH$2),OR(V469=INDIRECT("'["&amp;G469&amp;"]"&amp;E469&amp;"'!"&amp;$AI$2))),INDIRECT("'["&amp;G469&amp;"]"&amp;E469&amp;"'!"&amp;$AI$3),0)</f>
        <v>#VALUE!</v>
      </c>
      <c r="AJ469" s="25">
        <v>1</v>
      </c>
      <c r="AK469" s="38">
        <f t="shared" ca="1" si="127"/>
        <v>0</v>
      </c>
      <c r="AL469" s="38">
        <f t="shared" ca="1" si="128"/>
        <v>0</v>
      </c>
      <c r="AM469" s="54" t="str">
        <f t="shared" ca="1" si="129"/>
        <v/>
      </c>
      <c r="AN469" s="25" t="e">
        <f t="shared" ca="1" si="130"/>
        <v>#VALUE!</v>
      </c>
      <c r="AO469" s="25" t="e">
        <f t="shared" ca="1" si="131"/>
        <v>#VALUE!</v>
      </c>
      <c r="AP469" s="39" t="str">
        <f t="shared" ca="1" si="132"/>
        <v/>
      </c>
      <c r="AQ469" s="46" t="str">
        <f ca="1">IF(AND(C469&lt;&gt;0, C470=0), SUM($C$2:C469)-SUM($AQ$1:AQ468), "")</f>
        <v/>
      </c>
      <c r="AR469" s="46" t="str">
        <f ca="1">IF(AND(AK469&lt;&gt;0, AK470=0), SUM($AK$2:AK469)-SUM($AR$1:AR468), "")</f>
        <v/>
      </c>
    </row>
    <row r="470" spans="1:44" ht="13.15" customHeight="1">
      <c r="A470" s="62"/>
      <c r="B470" s="68" t="str">
        <f t="shared" si="133"/>
        <v/>
      </c>
      <c r="C470" s="55" cm="1">
        <f t="array" aca="1" ref="C470" ca="1">SUM(IF(ISNUMBER(M470:U470),M470:U470,""))</f>
        <v>0</v>
      </c>
      <c r="D470" s="25" t="str">
        <f t="shared" si="134"/>
        <v/>
      </c>
      <c r="E470" s="25" t="e">
        <f t="shared" si="135"/>
        <v>#VALUE!</v>
      </c>
      <c r="F470" s="25" t="str">
        <f t="shared" si="136"/>
        <v/>
      </c>
      <c r="G470" s="25" t="str">
        <f t="shared" si="137"/>
        <v>.xlsx</v>
      </c>
      <c r="H470" s="29" t="e" cm="1">
        <f t="array" aca="1" ref="H470" ca="1">IF(AND(VALUE(E470)=INDIRECT("'["&amp;G470&amp;"]"&amp;E470&amp;"'!"&amp;$X$2),G470=INDIRECT("'["&amp;G470&amp;"]"&amp;E470&amp;"'!"&amp;$X$3)),INDIRECT("'["&amp;G470&amp;"]"&amp;E470&amp;"'!"&amp;$X$1),0)</f>
        <v>#VALUE!</v>
      </c>
      <c r="I470" s="25" t="str">
        <f t="shared" si="138"/>
        <v/>
      </c>
      <c r="J470" s="32" t="str">
        <f t="shared" si="139"/>
        <v/>
      </c>
      <c r="K470" s="25" t="str">
        <f t="shared" si="140"/>
        <v/>
      </c>
      <c r="L470" s="25" t="str">
        <f t="shared" si="141"/>
        <v/>
      </c>
      <c r="M470" s="33" t="e" cm="1">
        <f t="array" aca="1" ref="M470" ca="1">IF(AND(J470=INDIRECT("'["&amp;G470&amp;"]"&amp;E470&amp;"'!"&amp;$Y$2),G470=INDIRECT("'["&amp;G470&amp;"]"&amp;E470&amp;"'!"&amp;$AH$2)),INDIRECT("'["&amp;G470&amp;"]"&amp;E470&amp;"'!"&amp;$Y$3),0)</f>
        <v>#VALUE!</v>
      </c>
      <c r="N470" s="34" t="e" cm="1">
        <f t="array" aca="1" ref="N470" ca="1">IF(AND(G470=INDIRECT("'["&amp;G470&amp;"]"&amp;E470&amp;"'!"&amp;$AH$2),OR(K470=INDIRECT("'["&amp;G470&amp;"]"&amp;E470&amp;"'!"&amp;$Z$2))),INDIRECT("'["&amp;G470&amp;"]"&amp;E470&amp;"'!"&amp;$Z$3),0)</f>
        <v>#VALUE!</v>
      </c>
      <c r="O470" s="34" t="e" cm="1">
        <f t="array" aca="1" ref="O470" ca="1">IF(AND(G470=INDIRECT("'["&amp;G470&amp;"]"&amp;E470&amp;"'!"&amp;$AH$2),OR(L470=INDIRECT("'["&amp;G470&amp;"]"&amp;E470&amp;"'!"&amp;$AA$2))),INDIRECT("'["&amp;G470&amp;"]"&amp;E470&amp;"'!"&amp;$AA$3),0)</f>
        <v>#VALUE!</v>
      </c>
      <c r="P470" s="34" t="e" cm="1">
        <f t="array" aca="1" ref="P470" ca="1">IF(AND(G470=INDIRECT("'["&amp;G470&amp;"]"&amp;E470&amp;"'!"&amp;$AH$2),OR(VALUE(I470)=INDIRECT("'["&amp;G470&amp;"]"&amp;E470&amp;"'!"&amp;$AB$2))),INDIRECT("'["&amp;G470&amp;"]"&amp;E470&amp;"'!"&amp;$AB$3),0)</f>
        <v>#VALUE!</v>
      </c>
      <c r="Q470" s="34" t="e" cm="1">
        <f t="array" aca="1" ref="Q470" ca="1">IF(AND(G470=INDIRECT("'["&amp;G470&amp;"]"&amp;E470&amp;"'!"&amp;$AH$2),OR(VALUE(I470)=INDIRECT("'["&amp;G470&amp;"]"&amp;E470&amp;"'!"&amp;$AC$2))),INDIRECT("'["&amp;G470&amp;"]"&amp;E470&amp;"'!"&amp;$AC$3),0)</f>
        <v>#VALUE!</v>
      </c>
      <c r="R470" s="34" t="e" cm="1">
        <f t="array" aca="1" ref="R470" ca="1">IF(AND(G470=INDIRECT("'["&amp;G470&amp;"]"&amp;E470&amp;"'!"&amp;$AH$2),OR(I470=INDIRECT("'["&amp;G470&amp;"]"&amp;E470&amp;"'!"&amp;$AD$2))),INDIRECT("'["&amp;G470&amp;"]"&amp;E470&amp;"'!"&amp;$AD$3),0)</f>
        <v>#VALUE!</v>
      </c>
      <c r="S470" s="34" t="e" cm="1">
        <f t="array" aca="1" ref="S470" ca="1">IF(AND(G470=INDIRECT("'["&amp;G470&amp;"]"&amp;E470&amp;"'!"&amp;$AH$2),OR(I470=INDIRECT("'["&amp;G470&amp;"]"&amp;E470&amp;"'!"&amp;$AE$2))),INDIRECT("'["&amp;G470&amp;"]"&amp;E470&amp;"'!"&amp;$AE$3),0)</f>
        <v>#VALUE!</v>
      </c>
      <c r="T470" s="35" t="e" cm="1">
        <f t="array" aca="1" ref="T470" ca="1">IF(AND(G470=INDIRECT("'["&amp;G470&amp;"]"&amp;E470&amp;"'!"&amp;$AH$2),OR(I470=INDIRECT("'["&amp;G470&amp;"]"&amp;E470&amp;"'!"&amp;$AF$2))),INDIRECT("'["&amp;G470&amp;"]"&amp;E470&amp;"'!"&amp;$AF$3),0)</f>
        <v>#VALUE!</v>
      </c>
      <c r="U470" s="34" t="e" cm="1">
        <f t="array" aca="1" ref="U470" ca="1">IF(AND(G470=INDIRECT("'["&amp;G470&amp;"]"&amp;E470&amp;"'!"&amp;$AH$2),OR(I470=INDIRECT("'["&amp;G470&amp;"]"&amp;E470&amp;"'!"&amp;$AG$2))),INDIRECT("'["&amp;G470&amp;"]"&amp;E470&amp;"'!"&amp;$AG$3),0)</f>
        <v>#VALUE!</v>
      </c>
      <c r="V470" s="25" t="str">
        <f t="shared" si="142"/>
        <v/>
      </c>
      <c r="W470" s="36" t="e" cm="1">
        <f t="array" aca="1" ref="W470" ca="1">IF(AND(G470=INDIRECT("'["&amp;G470&amp;"]"&amp;E470&amp;"'!"&amp;$AH$2),OR(V470=INDIRECT("'["&amp;G470&amp;"]"&amp;E470&amp;"'!"&amp;$AI$2))),INDIRECT("'["&amp;G470&amp;"]"&amp;E470&amp;"'!"&amp;$AI$3),0)</f>
        <v>#VALUE!</v>
      </c>
      <c r="AJ470" s="25">
        <v>1</v>
      </c>
      <c r="AK470" s="38">
        <f t="shared" ca="1" si="127"/>
        <v>0</v>
      </c>
      <c r="AL470" s="38">
        <f t="shared" ca="1" si="128"/>
        <v>0</v>
      </c>
      <c r="AM470" s="54" t="str">
        <f t="shared" ca="1" si="129"/>
        <v/>
      </c>
      <c r="AN470" s="25" t="e">
        <f t="shared" ca="1" si="130"/>
        <v>#VALUE!</v>
      </c>
      <c r="AO470" s="25" t="e">
        <f t="shared" ca="1" si="131"/>
        <v>#VALUE!</v>
      </c>
      <c r="AP470" s="39" t="str">
        <f t="shared" ca="1" si="132"/>
        <v/>
      </c>
      <c r="AQ470" s="46" t="str">
        <f ca="1">IF(AND(C470&lt;&gt;0, C471=0), SUM($C$2:C470)-SUM($AQ$1:AQ469), "")</f>
        <v/>
      </c>
      <c r="AR470" s="46" t="str">
        <f ca="1">IF(AND(AK470&lt;&gt;0, AK471=0), SUM($AK$2:AK470)-SUM($AR$1:AR469), "")</f>
        <v/>
      </c>
    </row>
    <row r="471" spans="1:44" ht="13.15" customHeight="1">
      <c r="A471" s="62"/>
      <c r="B471" s="68" t="str">
        <f t="shared" si="133"/>
        <v/>
      </c>
      <c r="C471" s="55" cm="1">
        <f t="array" aca="1" ref="C471" ca="1">SUM(IF(ISNUMBER(M471:U471),M471:U471,""))</f>
        <v>0</v>
      </c>
      <c r="D471" s="25" t="str">
        <f t="shared" si="134"/>
        <v/>
      </c>
      <c r="E471" s="25" t="e">
        <f t="shared" si="135"/>
        <v>#VALUE!</v>
      </c>
      <c r="F471" s="25" t="str">
        <f t="shared" si="136"/>
        <v/>
      </c>
      <c r="G471" s="25" t="str">
        <f t="shared" si="137"/>
        <v>.xlsx</v>
      </c>
      <c r="H471" s="29" t="e" cm="1">
        <f t="array" aca="1" ref="H471" ca="1">IF(AND(VALUE(E471)=INDIRECT("'["&amp;G471&amp;"]"&amp;E471&amp;"'!"&amp;$X$2),G471=INDIRECT("'["&amp;G471&amp;"]"&amp;E471&amp;"'!"&amp;$X$3)),INDIRECT("'["&amp;G471&amp;"]"&amp;E471&amp;"'!"&amp;$X$1),0)</f>
        <v>#VALUE!</v>
      </c>
      <c r="I471" s="25" t="str">
        <f t="shared" si="138"/>
        <v/>
      </c>
      <c r="J471" s="32" t="str">
        <f t="shared" si="139"/>
        <v/>
      </c>
      <c r="K471" s="25" t="str">
        <f t="shared" si="140"/>
        <v/>
      </c>
      <c r="L471" s="25" t="str">
        <f t="shared" si="141"/>
        <v/>
      </c>
      <c r="M471" s="33" t="e" cm="1">
        <f t="array" aca="1" ref="M471" ca="1">IF(AND(J471=INDIRECT("'["&amp;G471&amp;"]"&amp;E471&amp;"'!"&amp;$Y$2),G471=INDIRECT("'["&amp;G471&amp;"]"&amp;E471&amp;"'!"&amp;$AH$2)),INDIRECT("'["&amp;G471&amp;"]"&amp;E471&amp;"'!"&amp;$Y$3),0)</f>
        <v>#VALUE!</v>
      </c>
      <c r="N471" s="34" t="e" cm="1">
        <f t="array" aca="1" ref="N471" ca="1">IF(AND(G471=INDIRECT("'["&amp;G471&amp;"]"&amp;E471&amp;"'!"&amp;$AH$2),OR(K471=INDIRECT("'["&amp;G471&amp;"]"&amp;E471&amp;"'!"&amp;$Z$2))),INDIRECT("'["&amp;G471&amp;"]"&amp;E471&amp;"'!"&amp;$Z$3),0)</f>
        <v>#VALUE!</v>
      </c>
      <c r="O471" s="34" t="e" cm="1">
        <f t="array" aca="1" ref="O471" ca="1">IF(AND(G471=INDIRECT("'["&amp;G471&amp;"]"&amp;E471&amp;"'!"&amp;$AH$2),OR(L471=INDIRECT("'["&amp;G471&amp;"]"&amp;E471&amp;"'!"&amp;$AA$2))),INDIRECT("'["&amp;G471&amp;"]"&amp;E471&amp;"'!"&amp;$AA$3),0)</f>
        <v>#VALUE!</v>
      </c>
      <c r="P471" s="34" t="e" cm="1">
        <f t="array" aca="1" ref="P471" ca="1">IF(AND(G471=INDIRECT("'["&amp;G471&amp;"]"&amp;E471&amp;"'!"&amp;$AH$2),OR(VALUE(I471)=INDIRECT("'["&amp;G471&amp;"]"&amp;E471&amp;"'!"&amp;$AB$2))),INDIRECT("'["&amp;G471&amp;"]"&amp;E471&amp;"'!"&amp;$AB$3),0)</f>
        <v>#VALUE!</v>
      </c>
      <c r="Q471" s="34" t="e" cm="1">
        <f t="array" aca="1" ref="Q471" ca="1">IF(AND(G471=INDIRECT("'["&amp;G471&amp;"]"&amp;E471&amp;"'!"&amp;$AH$2),OR(VALUE(I471)=INDIRECT("'["&amp;G471&amp;"]"&amp;E471&amp;"'!"&amp;$AC$2))),INDIRECT("'["&amp;G471&amp;"]"&amp;E471&amp;"'!"&amp;$AC$3),0)</f>
        <v>#VALUE!</v>
      </c>
      <c r="R471" s="34" t="e" cm="1">
        <f t="array" aca="1" ref="R471" ca="1">IF(AND(G471=INDIRECT("'["&amp;G471&amp;"]"&amp;E471&amp;"'!"&amp;$AH$2),OR(I471=INDIRECT("'["&amp;G471&amp;"]"&amp;E471&amp;"'!"&amp;$AD$2))),INDIRECT("'["&amp;G471&amp;"]"&amp;E471&amp;"'!"&amp;$AD$3),0)</f>
        <v>#VALUE!</v>
      </c>
      <c r="S471" s="34" t="e" cm="1">
        <f t="array" aca="1" ref="S471" ca="1">IF(AND(G471=INDIRECT("'["&amp;G471&amp;"]"&amp;E471&amp;"'!"&amp;$AH$2),OR(I471=INDIRECT("'["&amp;G471&amp;"]"&amp;E471&amp;"'!"&amp;$AE$2))),INDIRECT("'["&amp;G471&amp;"]"&amp;E471&amp;"'!"&amp;$AE$3),0)</f>
        <v>#VALUE!</v>
      </c>
      <c r="T471" s="35" t="e" cm="1">
        <f t="array" aca="1" ref="T471" ca="1">IF(AND(G471=INDIRECT("'["&amp;G471&amp;"]"&amp;E471&amp;"'!"&amp;$AH$2),OR(I471=INDIRECT("'["&amp;G471&amp;"]"&amp;E471&amp;"'!"&amp;$AF$2))),INDIRECT("'["&amp;G471&amp;"]"&amp;E471&amp;"'!"&amp;$AF$3),0)</f>
        <v>#VALUE!</v>
      </c>
      <c r="U471" s="34" t="e" cm="1">
        <f t="array" aca="1" ref="U471" ca="1">IF(AND(G471=INDIRECT("'["&amp;G471&amp;"]"&amp;E471&amp;"'!"&amp;$AH$2),OR(I471=INDIRECT("'["&amp;G471&amp;"]"&amp;E471&amp;"'!"&amp;$AG$2))),INDIRECT("'["&amp;G471&amp;"]"&amp;E471&amp;"'!"&amp;$AG$3),0)</f>
        <v>#VALUE!</v>
      </c>
      <c r="V471" s="25" t="str">
        <f t="shared" si="142"/>
        <v/>
      </c>
      <c r="W471" s="36" t="e" cm="1">
        <f t="array" aca="1" ref="W471" ca="1">IF(AND(G471=INDIRECT("'["&amp;G471&amp;"]"&amp;E471&amp;"'!"&amp;$AH$2),OR(V471=INDIRECT("'["&amp;G471&amp;"]"&amp;E471&amp;"'!"&amp;$AI$2))),INDIRECT("'["&amp;G471&amp;"]"&amp;E471&amp;"'!"&amp;$AI$3),0)</f>
        <v>#VALUE!</v>
      </c>
      <c r="AJ471" s="25">
        <v>1</v>
      </c>
      <c r="AK471" s="38">
        <f t="shared" ca="1" si="127"/>
        <v>0</v>
      </c>
      <c r="AL471" s="38">
        <f t="shared" ca="1" si="128"/>
        <v>0</v>
      </c>
      <c r="AM471" s="54" t="str">
        <f t="shared" ca="1" si="129"/>
        <v/>
      </c>
      <c r="AN471" s="25" t="e">
        <f t="shared" ca="1" si="130"/>
        <v>#VALUE!</v>
      </c>
      <c r="AO471" s="25" t="e">
        <f t="shared" ca="1" si="131"/>
        <v>#VALUE!</v>
      </c>
      <c r="AP471" s="39" t="str">
        <f t="shared" ca="1" si="132"/>
        <v/>
      </c>
      <c r="AQ471" s="46" t="str">
        <f ca="1">IF(AND(C471&lt;&gt;0, C472=0), SUM($C$2:C471)-SUM($AQ$1:AQ470), "")</f>
        <v/>
      </c>
      <c r="AR471" s="46" t="str">
        <f ca="1">IF(AND(AK471&lt;&gt;0, AK472=0), SUM($AK$2:AK471)-SUM($AR$1:AR470), "")</f>
        <v/>
      </c>
    </row>
    <row r="472" spans="1:44" ht="13.15" customHeight="1">
      <c r="A472" s="62"/>
      <c r="B472" s="68" t="str">
        <f t="shared" si="133"/>
        <v/>
      </c>
      <c r="C472" s="55" cm="1">
        <f t="array" aca="1" ref="C472" ca="1">SUM(IF(ISNUMBER(M472:U472),M472:U472,""))</f>
        <v>0</v>
      </c>
      <c r="D472" s="25" t="str">
        <f t="shared" si="134"/>
        <v/>
      </c>
      <c r="E472" s="25" t="e">
        <f t="shared" si="135"/>
        <v>#VALUE!</v>
      </c>
      <c r="F472" s="25" t="str">
        <f t="shared" si="136"/>
        <v/>
      </c>
      <c r="G472" s="25" t="str">
        <f t="shared" si="137"/>
        <v>.xlsx</v>
      </c>
      <c r="H472" s="29" t="e" cm="1">
        <f t="array" aca="1" ref="H472" ca="1">IF(AND(VALUE(E472)=INDIRECT("'["&amp;G472&amp;"]"&amp;E472&amp;"'!"&amp;$X$2),G472=INDIRECT("'["&amp;G472&amp;"]"&amp;E472&amp;"'!"&amp;$X$3)),INDIRECT("'["&amp;G472&amp;"]"&amp;E472&amp;"'!"&amp;$X$1),0)</f>
        <v>#VALUE!</v>
      </c>
      <c r="I472" s="25" t="str">
        <f t="shared" si="138"/>
        <v/>
      </c>
      <c r="J472" s="32" t="str">
        <f t="shared" si="139"/>
        <v/>
      </c>
      <c r="K472" s="25" t="str">
        <f t="shared" si="140"/>
        <v/>
      </c>
      <c r="L472" s="25" t="str">
        <f t="shared" si="141"/>
        <v/>
      </c>
      <c r="M472" s="33" t="e" cm="1">
        <f t="array" aca="1" ref="M472" ca="1">IF(AND(J472=INDIRECT("'["&amp;G472&amp;"]"&amp;E472&amp;"'!"&amp;$Y$2),G472=INDIRECT("'["&amp;G472&amp;"]"&amp;E472&amp;"'!"&amp;$AH$2)),INDIRECT("'["&amp;G472&amp;"]"&amp;E472&amp;"'!"&amp;$Y$3),0)</f>
        <v>#VALUE!</v>
      </c>
      <c r="N472" s="34" t="e" cm="1">
        <f t="array" aca="1" ref="N472" ca="1">IF(AND(G472=INDIRECT("'["&amp;G472&amp;"]"&amp;E472&amp;"'!"&amp;$AH$2),OR(K472=INDIRECT("'["&amp;G472&amp;"]"&amp;E472&amp;"'!"&amp;$Z$2))),INDIRECT("'["&amp;G472&amp;"]"&amp;E472&amp;"'!"&amp;$Z$3),0)</f>
        <v>#VALUE!</v>
      </c>
      <c r="O472" s="34" t="e" cm="1">
        <f t="array" aca="1" ref="O472" ca="1">IF(AND(G472=INDIRECT("'["&amp;G472&amp;"]"&amp;E472&amp;"'!"&amp;$AH$2),OR(L472=INDIRECT("'["&amp;G472&amp;"]"&amp;E472&amp;"'!"&amp;$AA$2))),INDIRECT("'["&amp;G472&amp;"]"&amp;E472&amp;"'!"&amp;$AA$3),0)</f>
        <v>#VALUE!</v>
      </c>
      <c r="P472" s="34" t="e" cm="1">
        <f t="array" aca="1" ref="P472" ca="1">IF(AND(G472=INDIRECT("'["&amp;G472&amp;"]"&amp;E472&amp;"'!"&amp;$AH$2),OR(VALUE(I472)=INDIRECT("'["&amp;G472&amp;"]"&amp;E472&amp;"'!"&amp;$AB$2))),INDIRECT("'["&amp;G472&amp;"]"&amp;E472&amp;"'!"&amp;$AB$3),0)</f>
        <v>#VALUE!</v>
      </c>
      <c r="Q472" s="34" t="e" cm="1">
        <f t="array" aca="1" ref="Q472" ca="1">IF(AND(G472=INDIRECT("'["&amp;G472&amp;"]"&amp;E472&amp;"'!"&amp;$AH$2),OR(VALUE(I472)=INDIRECT("'["&amp;G472&amp;"]"&amp;E472&amp;"'!"&amp;$AC$2))),INDIRECT("'["&amp;G472&amp;"]"&amp;E472&amp;"'!"&amp;$AC$3),0)</f>
        <v>#VALUE!</v>
      </c>
      <c r="R472" s="34" t="e" cm="1">
        <f t="array" aca="1" ref="R472" ca="1">IF(AND(G472=INDIRECT("'["&amp;G472&amp;"]"&amp;E472&amp;"'!"&amp;$AH$2),OR(I472=INDIRECT("'["&amp;G472&amp;"]"&amp;E472&amp;"'!"&amp;$AD$2))),INDIRECT("'["&amp;G472&amp;"]"&amp;E472&amp;"'!"&amp;$AD$3),0)</f>
        <v>#VALUE!</v>
      </c>
      <c r="S472" s="34" t="e" cm="1">
        <f t="array" aca="1" ref="S472" ca="1">IF(AND(G472=INDIRECT("'["&amp;G472&amp;"]"&amp;E472&amp;"'!"&amp;$AH$2),OR(I472=INDIRECT("'["&amp;G472&amp;"]"&amp;E472&amp;"'!"&amp;$AE$2))),INDIRECT("'["&amp;G472&amp;"]"&amp;E472&amp;"'!"&amp;$AE$3),0)</f>
        <v>#VALUE!</v>
      </c>
      <c r="T472" s="35" t="e" cm="1">
        <f t="array" aca="1" ref="T472" ca="1">IF(AND(G472=INDIRECT("'["&amp;G472&amp;"]"&amp;E472&amp;"'!"&amp;$AH$2),OR(I472=INDIRECT("'["&amp;G472&amp;"]"&amp;E472&amp;"'!"&amp;$AF$2))),INDIRECT("'["&amp;G472&amp;"]"&amp;E472&amp;"'!"&amp;$AF$3),0)</f>
        <v>#VALUE!</v>
      </c>
      <c r="U472" s="34" t="e" cm="1">
        <f t="array" aca="1" ref="U472" ca="1">IF(AND(G472=INDIRECT("'["&amp;G472&amp;"]"&amp;E472&amp;"'!"&amp;$AH$2),OR(I472=INDIRECT("'["&amp;G472&amp;"]"&amp;E472&amp;"'!"&amp;$AG$2))),INDIRECT("'["&amp;G472&amp;"]"&amp;E472&amp;"'!"&amp;$AG$3),0)</f>
        <v>#VALUE!</v>
      </c>
      <c r="V472" s="25" t="str">
        <f t="shared" si="142"/>
        <v/>
      </c>
      <c r="W472" s="36" t="e" cm="1">
        <f t="array" aca="1" ref="W472" ca="1">IF(AND(G472=INDIRECT("'["&amp;G472&amp;"]"&amp;E472&amp;"'!"&amp;$AH$2),OR(V472=INDIRECT("'["&amp;G472&amp;"]"&amp;E472&amp;"'!"&amp;$AI$2))),INDIRECT("'["&amp;G472&amp;"]"&amp;E472&amp;"'!"&amp;$AI$3),0)</f>
        <v>#VALUE!</v>
      </c>
      <c r="AJ472" s="25">
        <v>1</v>
      </c>
      <c r="AK472" s="38">
        <f t="shared" ca="1" si="127"/>
        <v>0</v>
      </c>
      <c r="AL472" s="38">
        <f t="shared" ca="1" si="128"/>
        <v>0</v>
      </c>
      <c r="AM472" s="54" t="str">
        <f t="shared" ca="1" si="129"/>
        <v/>
      </c>
      <c r="AN472" s="25" t="e">
        <f t="shared" ca="1" si="130"/>
        <v>#VALUE!</v>
      </c>
      <c r="AO472" s="25" t="e">
        <f t="shared" ca="1" si="131"/>
        <v>#VALUE!</v>
      </c>
      <c r="AP472" s="39" t="str">
        <f t="shared" ca="1" si="132"/>
        <v/>
      </c>
      <c r="AQ472" s="46" t="str">
        <f ca="1">IF(AND(C472&lt;&gt;0, C473=0), SUM($C$2:C472)-SUM($AQ$1:AQ471), "")</f>
        <v/>
      </c>
      <c r="AR472" s="46" t="str">
        <f ca="1">IF(AND(AK472&lt;&gt;0, AK473=0), SUM($AK$2:AK472)-SUM($AR$1:AR471), "")</f>
        <v/>
      </c>
    </row>
    <row r="473" spans="1:44" ht="13.15" customHeight="1">
      <c r="A473" s="62"/>
      <c r="B473" s="68" t="str">
        <f t="shared" si="133"/>
        <v/>
      </c>
      <c r="C473" s="55" cm="1">
        <f t="array" aca="1" ref="C473" ca="1">SUM(IF(ISNUMBER(M473:U473),M473:U473,""))</f>
        <v>0</v>
      </c>
      <c r="D473" s="25" t="str">
        <f t="shared" si="134"/>
        <v/>
      </c>
      <c r="E473" s="25" t="e">
        <f t="shared" si="135"/>
        <v>#VALUE!</v>
      </c>
      <c r="F473" s="25" t="str">
        <f t="shared" si="136"/>
        <v/>
      </c>
      <c r="G473" s="25" t="str">
        <f t="shared" si="137"/>
        <v>.xlsx</v>
      </c>
      <c r="H473" s="29" t="e" cm="1">
        <f t="array" aca="1" ref="H473" ca="1">IF(AND(VALUE(E473)=INDIRECT("'["&amp;G473&amp;"]"&amp;E473&amp;"'!"&amp;$X$2),G473=INDIRECT("'["&amp;G473&amp;"]"&amp;E473&amp;"'!"&amp;$X$3)),INDIRECT("'["&amp;G473&amp;"]"&amp;E473&amp;"'!"&amp;$X$1),0)</f>
        <v>#VALUE!</v>
      </c>
      <c r="I473" s="25" t="str">
        <f t="shared" si="138"/>
        <v/>
      </c>
      <c r="J473" s="32" t="str">
        <f t="shared" si="139"/>
        <v/>
      </c>
      <c r="K473" s="25" t="str">
        <f t="shared" si="140"/>
        <v/>
      </c>
      <c r="L473" s="25" t="str">
        <f t="shared" si="141"/>
        <v/>
      </c>
      <c r="M473" s="33" t="e" cm="1">
        <f t="array" aca="1" ref="M473" ca="1">IF(AND(J473=INDIRECT("'["&amp;G473&amp;"]"&amp;E473&amp;"'!"&amp;$Y$2),G473=INDIRECT("'["&amp;G473&amp;"]"&amp;E473&amp;"'!"&amp;$AH$2)),INDIRECT("'["&amp;G473&amp;"]"&amp;E473&amp;"'!"&amp;$Y$3),0)</f>
        <v>#VALUE!</v>
      </c>
      <c r="N473" s="34" t="e" cm="1">
        <f t="array" aca="1" ref="N473" ca="1">IF(AND(G473=INDIRECT("'["&amp;G473&amp;"]"&amp;E473&amp;"'!"&amp;$AH$2),OR(K473=INDIRECT("'["&amp;G473&amp;"]"&amp;E473&amp;"'!"&amp;$Z$2))),INDIRECT("'["&amp;G473&amp;"]"&amp;E473&amp;"'!"&amp;$Z$3),0)</f>
        <v>#VALUE!</v>
      </c>
      <c r="O473" s="34" t="e" cm="1">
        <f t="array" aca="1" ref="O473" ca="1">IF(AND(G473=INDIRECT("'["&amp;G473&amp;"]"&amp;E473&amp;"'!"&amp;$AH$2),OR(L473=INDIRECT("'["&amp;G473&amp;"]"&amp;E473&amp;"'!"&amp;$AA$2))),INDIRECT("'["&amp;G473&amp;"]"&amp;E473&amp;"'!"&amp;$AA$3),0)</f>
        <v>#VALUE!</v>
      </c>
      <c r="P473" s="34" t="e" cm="1">
        <f t="array" aca="1" ref="P473" ca="1">IF(AND(G473=INDIRECT("'["&amp;G473&amp;"]"&amp;E473&amp;"'!"&amp;$AH$2),OR(VALUE(I473)=INDIRECT("'["&amp;G473&amp;"]"&amp;E473&amp;"'!"&amp;$AB$2))),INDIRECT("'["&amp;G473&amp;"]"&amp;E473&amp;"'!"&amp;$AB$3),0)</f>
        <v>#VALUE!</v>
      </c>
      <c r="Q473" s="34" t="e" cm="1">
        <f t="array" aca="1" ref="Q473" ca="1">IF(AND(G473=INDIRECT("'["&amp;G473&amp;"]"&amp;E473&amp;"'!"&amp;$AH$2),OR(VALUE(I473)=INDIRECT("'["&amp;G473&amp;"]"&amp;E473&amp;"'!"&amp;$AC$2))),INDIRECT("'["&amp;G473&amp;"]"&amp;E473&amp;"'!"&amp;$AC$3),0)</f>
        <v>#VALUE!</v>
      </c>
      <c r="R473" s="34" t="e" cm="1">
        <f t="array" aca="1" ref="R473" ca="1">IF(AND(G473=INDIRECT("'["&amp;G473&amp;"]"&amp;E473&amp;"'!"&amp;$AH$2),OR(I473=INDIRECT("'["&amp;G473&amp;"]"&amp;E473&amp;"'!"&amp;$AD$2))),INDIRECT("'["&amp;G473&amp;"]"&amp;E473&amp;"'!"&amp;$AD$3),0)</f>
        <v>#VALUE!</v>
      </c>
      <c r="S473" s="34" t="e" cm="1">
        <f t="array" aca="1" ref="S473" ca="1">IF(AND(G473=INDIRECT("'["&amp;G473&amp;"]"&amp;E473&amp;"'!"&amp;$AH$2),OR(I473=INDIRECT("'["&amp;G473&amp;"]"&amp;E473&amp;"'!"&amp;$AE$2))),INDIRECT("'["&amp;G473&amp;"]"&amp;E473&amp;"'!"&amp;$AE$3),0)</f>
        <v>#VALUE!</v>
      </c>
      <c r="T473" s="35" t="e" cm="1">
        <f t="array" aca="1" ref="T473" ca="1">IF(AND(G473=INDIRECT("'["&amp;G473&amp;"]"&amp;E473&amp;"'!"&amp;$AH$2),OR(I473=INDIRECT("'["&amp;G473&amp;"]"&amp;E473&amp;"'!"&amp;$AF$2))),INDIRECT("'["&amp;G473&amp;"]"&amp;E473&amp;"'!"&amp;$AF$3),0)</f>
        <v>#VALUE!</v>
      </c>
      <c r="U473" s="34" t="e" cm="1">
        <f t="array" aca="1" ref="U473" ca="1">IF(AND(G473=INDIRECT("'["&amp;G473&amp;"]"&amp;E473&amp;"'!"&amp;$AH$2),OR(I473=INDIRECT("'["&amp;G473&amp;"]"&amp;E473&amp;"'!"&amp;$AG$2))),INDIRECT("'["&amp;G473&amp;"]"&amp;E473&amp;"'!"&amp;$AG$3),0)</f>
        <v>#VALUE!</v>
      </c>
      <c r="V473" s="25" t="str">
        <f t="shared" si="142"/>
        <v/>
      </c>
      <c r="W473" s="36" t="e" cm="1">
        <f t="array" aca="1" ref="W473" ca="1">IF(AND(G473=INDIRECT("'["&amp;G473&amp;"]"&amp;E473&amp;"'!"&amp;$AH$2),OR(V473=INDIRECT("'["&amp;G473&amp;"]"&amp;E473&amp;"'!"&amp;$AI$2))),INDIRECT("'["&amp;G473&amp;"]"&amp;E473&amp;"'!"&amp;$AI$3),0)</f>
        <v>#VALUE!</v>
      </c>
      <c r="AJ473" s="25">
        <v>1</v>
      </c>
      <c r="AK473" s="38">
        <f t="shared" ca="1" si="127"/>
        <v>0</v>
      </c>
      <c r="AL473" s="38">
        <f t="shared" ca="1" si="128"/>
        <v>0</v>
      </c>
      <c r="AM473" s="54" t="str">
        <f t="shared" ca="1" si="129"/>
        <v/>
      </c>
      <c r="AN473" s="25" t="e">
        <f t="shared" ca="1" si="130"/>
        <v>#VALUE!</v>
      </c>
      <c r="AO473" s="25" t="e">
        <f t="shared" ca="1" si="131"/>
        <v>#VALUE!</v>
      </c>
      <c r="AP473" s="39" t="str">
        <f t="shared" ca="1" si="132"/>
        <v/>
      </c>
      <c r="AQ473" s="46" t="str">
        <f ca="1">IF(AND(C473&lt;&gt;0, C474=0), SUM($C$2:C473)-SUM($AQ$1:AQ472), "")</f>
        <v/>
      </c>
      <c r="AR473" s="46" t="str">
        <f ca="1">IF(AND(AK473&lt;&gt;0, AK474=0), SUM($AK$2:AK473)-SUM($AR$1:AR472), "")</f>
        <v/>
      </c>
    </row>
    <row r="474" spans="1:44" ht="13.15" customHeight="1">
      <c r="A474" s="62"/>
      <c r="B474" s="68" t="str">
        <f t="shared" si="133"/>
        <v/>
      </c>
      <c r="C474" s="55" cm="1">
        <f t="array" aca="1" ref="C474" ca="1">SUM(IF(ISNUMBER(M474:U474),M474:U474,""))</f>
        <v>0</v>
      </c>
      <c r="D474" s="25" t="str">
        <f t="shared" si="134"/>
        <v/>
      </c>
      <c r="E474" s="25" t="e">
        <f t="shared" si="135"/>
        <v>#VALUE!</v>
      </c>
      <c r="F474" s="25" t="str">
        <f t="shared" si="136"/>
        <v/>
      </c>
      <c r="G474" s="25" t="str">
        <f t="shared" si="137"/>
        <v>.xlsx</v>
      </c>
      <c r="H474" s="29" t="e" cm="1">
        <f t="array" aca="1" ref="H474" ca="1">IF(AND(VALUE(E474)=INDIRECT("'["&amp;G474&amp;"]"&amp;E474&amp;"'!"&amp;$X$2),G474=INDIRECT("'["&amp;G474&amp;"]"&amp;E474&amp;"'!"&amp;$X$3)),INDIRECT("'["&amp;G474&amp;"]"&amp;E474&amp;"'!"&amp;$X$1),0)</f>
        <v>#VALUE!</v>
      </c>
      <c r="I474" s="25" t="str">
        <f t="shared" si="138"/>
        <v/>
      </c>
      <c r="J474" s="32" t="str">
        <f t="shared" si="139"/>
        <v/>
      </c>
      <c r="K474" s="25" t="str">
        <f t="shared" si="140"/>
        <v/>
      </c>
      <c r="L474" s="25" t="str">
        <f t="shared" si="141"/>
        <v/>
      </c>
      <c r="M474" s="33" t="e" cm="1">
        <f t="array" aca="1" ref="M474" ca="1">IF(AND(J474=INDIRECT("'["&amp;G474&amp;"]"&amp;E474&amp;"'!"&amp;$Y$2),G474=INDIRECT("'["&amp;G474&amp;"]"&amp;E474&amp;"'!"&amp;$AH$2)),INDIRECT("'["&amp;G474&amp;"]"&amp;E474&amp;"'!"&amp;$Y$3),0)</f>
        <v>#VALUE!</v>
      </c>
      <c r="N474" s="34" t="e" cm="1">
        <f t="array" aca="1" ref="N474" ca="1">IF(AND(G474=INDIRECT("'["&amp;G474&amp;"]"&amp;E474&amp;"'!"&amp;$AH$2),OR(K474=INDIRECT("'["&amp;G474&amp;"]"&amp;E474&amp;"'!"&amp;$Z$2))),INDIRECT("'["&amp;G474&amp;"]"&amp;E474&amp;"'!"&amp;$Z$3),0)</f>
        <v>#VALUE!</v>
      </c>
      <c r="O474" s="34" t="e" cm="1">
        <f t="array" aca="1" ref="O474" ca="1">IF(AND(G474=INDIRECT("'["&amp;G474&amp;"]"&amp;E474&amp;"'!"&amp;$AH$2),OR(L474=INDIRECT("'["&amp;G474&amp;"]"&amp;E474&amp;"'!"&amp;$AA$2))),INDIRECT("'["&amp;G474&amp;"]"&amp;E474&amp;"'!"&amp;$AA$3),0)</f>
        <v>#VALUE!</v>
      </c>
      <c r="P474" s="34" t="e" cm="1">
        <f t="array" aca="1" ref="P474" ca="1">IF(AND(G474=INDIRECT("'["&amp;G474&amp;"]"&amp;E474&amp;"'!"&amp;$AH$2),OR(VALUE(I474)=INDIRECT("'["&amp;G474&amp;"]"&amp;E474&amp;"'!"&amp;$AB$2))),INDIRECT("'["&amp;G474&amp;"]"&amp;E474&amp;"'!"&amp;$AB$3),0)</f>
        <v>#VALUE!</v>
      </c>
      <c r="Q474" s="34" t="e" cm="1">
        <f t="array" aca="1" ref="Q474" ca="1">IF(AND(G474=INDIRECT("'["&amp;G474&amp;"]"&amp;E474&amp;"'!"&amp;$AH$2),OR(VALUE(I474)=INDIRECT("'["&amp;G474&amp;"]"&amp;E474&amp;"'!"&amp;$AC$2))),INDIRECT("'["&amp;G474&amp;"]"&amp;E474&amp;"'!"&amp;$AC$3),0)</f>
        <v>#VALUE!</v>
      </c>
      <c r="R474" s="34" t="e" cm="1">
        <f t="array" aca="1" ref="R474" ca="1">IF(AND(G474=INDIRECT("'["&amp;G474&amp;"]"&amp;E474&amp;"'!"&amp;$AH$2),OR(I474=INDIRECT("'["&amp;G474&amp;"]"&amp;E474&amp;"'!"&amp;$AD$2))),INDIRECT("'["&amp;G474&amp;"]"&amp;E474&amp;"'!"&amp;$AD$3),0)</f>
        <v>#VALUE!</v>
      </c>
      <c r="S474" s="34" t="e" cm="1">
        <f t="array" aca="1" ref="S474" ca="1">IF(AND(G474=INDIRECT("'["&amp;G474&amp;"]"&amp;E474&amp;"'!"&amp;$AH$2),OR(I474=INDIRECT("'["&amp;G474&amp;"]"&amp;E474&amp;"'!"&amp;$AE$2))),INDIRECT("'["&amp;G474&amp;"]"&amp;E474&amp;"'!"&amp;$AE$3),0)</f>
        <v>#VALUE!</v>
      </c>
      <c r="T474" s="35" t="e" cm="1">
        <f t="array" aca="1" ref="T474" ca="1">IF(AND(G474=INDIRECT("'["&amp;G474&amp;"]"&amp;E474&amp;"'!"&amp;$AH$2),OR(I474=INDIRECT("'["&amp;G474&amp;"]"&amp;E474&amp;"'!"&amp;$AF$2))),INDIRECT("'["&amp;G474&amp;"]"&amp;E474&amp;"'!"&amp;$AF$3),0)</f>
        <v>#VALUE!</v>
      </c>
      <c r="U474" s="34" t="e" cm="1">
        <f t="array" aca="1" ref="U474" ca="1">IF(AND(G474=INDIRECT("'["&amp;G474&amp;"]"&amp;E474&amp;"'!"&amp;$AH$2),OR(I474=INDIRECT("'["&amp;G474&amp;"]"&amp;E474&amp;"'!"&amp;$AG$2))),INDIRECT("'["&amp;G474&amp;"]"&amp;E474&amp;"'!"&amp;$AG$3),0)</f>
        <v>#VALUE!</v>
      </c>
      <c r="V474" s="25" t="str">
        <f t="shared" si="142"/>
        <v/>
      </c>
      <c r="W474" s="36" t="e" cm="1">
        <f t="array" aca="1" ref="W474" ca="1">IF(AND(G474=INDIRECT("'["&amp;G474&amp;"]"&amp;E474&amp;"'!"&amp;$AH$2),OR(V474=INDIRECT("'["&amp;G474&amp;"]"&amp;E474&amp;"'!"&amp;$AI$2))),INDIRECT("'["&amp;G474&amp;"]"&amp;E474&amp;"'!"&amp;$AI$3),0)</f>
        <v>#VALUE!</v>
      </c>
      <c r="AJ474" s="25">
        <v>1</v>
      </c>
      <c r="AK474" s="38">
        <f t="shared" ca="1" si="127"/>
        <v>0</v>
      </c>
      <c r="AL474" s="38">
        <f t="shared" ca="1" si="128"/>
        <v>0</v>
      </c>
      <c r="AM474" s="54" t="str">
        <f t="shared" ca="1" si="129"/>
        <v/>
      </c>
      <c r="AN474" s="25" t="e">
        <f t="shared" ca="1" si="130"/>
        <v>#VALUE!</v>
      </c>
      <c r="AO474" s="25" t="e">
        <f t="shared" ca="1" si="131"/>
        <v>#VALUE!</v>
      </c>
      <c r="AP474" s="39" t="str">
        <f t="shared" ca="1" si="132"/>
        <v/>
      </c>
      <c r="AQ474" s="46" t="str">
        <f ca="1">IF(AND(C474&lt;&gt;0, C475=0), SUM($C$2:C474)-SUM($AQ$1:AQ473), "")</f>
        <v/>
      </c>
      <c r="AR474" s="46" t="str">
        <f ca="1">IF(AND(AK474&lt;&gt;0, AK475=0), SUM($AK$2:AK474)-SUM($AR$1:AR473), "")</f>
        <v/>
      </c>
    </row>
    <row r="475" spans="1:44" ht="13.15" customHeight="1">
      <c r="A475" s="62"/>
      <c r="B475" s="68" t="str">
        <f t="shared" si="133"/>
        <v/>
      </c>
      <c r="C475" s="55" cm="1">
        <f t="array" aca="1" ref="C475" ca="1">SUM(IF(ISNUMBER(M475:U475),M475:U475,""))</f>
        <v>0</v>
      </c>
      <c r="D475" s="25" t="str">
        <f t="shared" si="134"/>
        <v/>
      </c>
      <c r="E475" s="25" t="e">
        <f t="shared" si="135"/>
        <v>#VALUE!</v>
      </c>
      <c r="F475" s="25" t="str">
        <f t="shared" si="136"/>
        <v/>
      </c>
      <c r="G475" s="25" t="str">
        <f t="shared" si="137"/>
        <v>.xlsx</v>
      </c>
      <c r="H475" s="29" t="e" cm="1">
        <f t="array" aca="1" ref="H475" ca="1">IF(AND(VALUE(E475)=INDIRECT("'["&amp;G475&amp;"]"&amp;E475&amp;"'!"&amp;$X$2),G475=INDIRECT("'["&amp;G475&amp;"]"&amp;E475&amp;"'!"&amp;$X$3)),INDIRECT("'["&amp;G475&amp;"]"&amp;E475&amp;"'!"&amp;$X$1),0)</f>
        <v>#VALUE!</v>
      </c>
      <c r="I475" s="25" t="str">
        <f t="shared" si="138"/>
        <v/>
      </c>
      <c r="J475" s="32" t="str">
        <f t="shared" si="139"/>
        <v/>
      </c>
      <c r="K475" s="25" t="str">
        <f t="shared" si="140"/>
        <v/>
      </c>
      <c r="L475" s="25" t="str">
        <f t="shared" si="141"/>
        <v/>
      </c>
      <c r="M475" s="33" t="e" cm="1">
        <f t="array" aca="1" ref="M475" ca="1">IF(AND(J475=INDIRECT("'["&amp;G475&amp;"]"&amp;E475&amp;"'!"&amp;$Y$2),G475=INDIRECT("'["&amp;G475&amp;"]"&amp;E475&amp;"'!"&amp;$AH$2)),INDIRECT("'["&amp;G475&amp;"]"&amp;E475&amp;"'!"&amp;$Y$3),0)</f>
        <v>#VALUE!</v>
      </c>
      <c r="N475" s="34" t="e" cm="1">
        <f t="array" aca="1" ref="N475" ca="1">IF(AND(G475=INDIRECT("'["&amp;G475&amp;"]"&amp;E475&amp;"'!"&amp;$AH$2),OR(K475=INDIRECT("'["&amp;G475&amp;"]"&amp;E475&amp;"'!"&amp;$Z$2))),INDIRECT("'["&amp;G475&amp;"]"&amp;E475&amp;"'!"&amp;$Z$3),0)</f>
        <v>#VALUE!</v>
      </c>
      <c r="O475" s="34" t="e" cm="1">
        <f t="array" aca="1" ref="O475" ca="1">IF(AND(G475=INDIRECT("'["&amp;G475&amp;"]"&amp;E475&amp;"'!"&amp;$AH$2),OR(L475=INDIRECT("'["&amp;G475&amp;"]"&amp;E475&amp;"'!"&amp;$AA$2))),INDIRECT("'["&amp;G475&amp;"]"&amp;E475&amp;"'!"&amp;$AA$3),0)</f>
        <v>#VALUE!</v>
      </c>
      <c r="P475" s="34" t="e" cm="1">
        <f t="array" aca="1" ref="P475" ca="1">IF(AND(G475=INDIRECT("'["&amp;G475&amp;"]"&amp;E475&amp;"'!"&amp;$AH$2),OR(VALUE(I475)=INDIRECT("'["&amp;G475&amp;"]"&amp;E475&amp;"'!"&amp;$AB$2))),INDIRECT("'["&amp;G475&amp;"]"&amp;E475&amp;"'!"&amp;$AB$3),0)</f>
        <v>#VALUE!</v>
      </c>
      <c r="Q475" s="34" t="e" cm="1">
        <f t="array" aca="1" ref="Q475" ca="1">IF(AND(G475=INDIRECT("'["&amp;G475&amp;"]"&amp;E475&amp;"'!"&amp;$AH$2),OR(VALUE(I475)=INDIRECT("'["&amp;G475&amp;"]"&amp;E475&amp;"'!"&amp;$AC$2))),INDIRECT("'["&amp;G475&amp;"]"&amp;E475&amp;"'!"&amp;$AC$3),0)</f>
        <v>#VALUE!</v>
      </c>
      <c r="R475" s="34" t="e" cm="1">
        <f t="array" aca="1" ref="R475" ca="1">IF(AND(G475=INDIRECT("'["&amp;G475&amp;"]"&amp;E475&amp;"'!"&amp;$AH$2),OR(I475=INDIRECT("'["&amp;G475&amp;"]"&amp;E475&amp;"'!"&amp;$AD$2))),INDIRECT("'["&amp;G475&amp;"]"&amp;E475&amp;"'!"&amp;$AD$3),0)</f>
        <v>#VALUE!</v>
      </c>
      <c r="S475" s="34" t="e" cm="1">
        <f t="array" aca="1" ref="S475" ca="1">IF(AND(G475=INDIRECT("'["&amp;G475&amp;"]"&amp;E475&amp;"'!"&amp;$AH$2),OR(I475=INDIRECT("'["&amp;G475&amp;"]"&amp;E475&amp;"'!"&amp;$AE$2))),INDIRECT("'["&amp;G475&amp;"]"&amp;E475&amp;"'!"&amp;$AE$3),0)</f>
        <v>#VALUE!</v>
      </c>
      <c r="T475" s="35" t="e" cm="1">
        <f t="array" aca="1" ref="T475" ca="1">IF(AND(G475=INDIRECT("'["&amp;G475&amp;"]"&amp;E475&amp;"'!"&amp;$AH$2),OR(I475=INDIRECT("'["&amp;G475&amp;"]"&amp;E475&amp;"'!"&amp;$AF$2))),INDIRECT("'["&amp;G475&amp;"]"&amp;E475&amp;"'!"&amp;$AF$3),0)</f>
        <v>#VALUE!</v>
      </c>
      <c r="U475" s="34" t="e" cm="1">
        <f t="array" aca="1" ref="U475" ca="1">IF(AND(G475=INDIRECT("'["&amp;G475&amp;"]"&amp;E475&amp;"'!"&amp;$AH$2),OR(I475=INDIRECT("'["&amp;G475&amp;"]"&amp;E475&amp;"'!"&amp;$AG$2))),INDIRECT("'["&amp;G475&amp;"]"&amp;E475&amp;"'!"&amp;$AG$3),0)</f>
        <v>#VALUE!</v>
      </c>
      <c r="V475" s="25" t="str">
        <f t="shared" si="142"/>
        <v/>
      </c>
      <c r="W475" s="36" t="e" cm="1">
        <f t="array" aca="1" ref="W475" ca="1">IF(AND(G475=INDIRECT("'["&amp;G475&amp;"]"&amp;E475&amp;"'!"&amp;$AH$2),OR(V475=INDIRECT("'["&amp;G475&amp;"]"&amp;E475&amp;"'!"&amp;$AI$2))),INDIRECT("'["&amp;G475&amp;"]"&amp;E475&amp;"'!"&amp;$AI$3),0)</f>
        <v>#VALUE!</v>
      </c>
      <c r="AJ475" s="25">
        <v>1</v>
      </c>
      <c r="AK475" s="38">
        <f t="shared" ca="1" si="127"/>
        <v>0</v>
      </c>
      <c r="AL475" s="38">
        <f t="shared" ca="1" si="128"/>
        <v>0</v>
      </c>
      <c r="AM475" s="54" t="str">
        <f t="shared" ca="1" si="129"/>
        <v/>
      </c>
      <c r="AN475" s="25" t="e">
        <f t="shared" ca="1" si="130"/>
        <v>#VALUE!</v>
      </c>
      <c r="AO475" s="25" t="e">
        <f t="shared" ca="1" si="131"/>
        <v>#VALUE!</v>
      </c>
      <c r="AP475" s="39" t="str">
        <f t="shared" ca="1" si="132"/>
        <v/>
      </c>
      <c r="AQ475" s="46" t="str">
        <f ca="1">IF(AND(C475&lt;&gt;0, C476=0), SUM($C$2:C475)-SUM($AQ$1:AQ474), "")</f>
        <v/>
      </c>
      <c r="AR475" s="46" t="str">
        <f ca="1">IF(AND(AK475&lt;&gt;0, AK476=0), SUM($AK$2:AK475)-SUM($AR$1:AR474), "")</f>
        <v/>
      </c>
    </row>
    <row r="476" spans="1:44" ht="13.15" customHeight="1">
      <c r="A476" s="62"/>
      <c r="B476" s="68" t="str">
        <f t="shared" si="133"/>
        <v/>
      </c>
      <c r="C476" s="55" cm="1">
        <f t="array" aca="1" ref="C476" ca="1">SUM(IF(ISNUMBER(M476:U476),M476:U476,""))</f>
        <v>0</v>
      </c>
      <c r="D476" s="25" t="str">
        <f t="shared" si="134"/>
        <v/>
      </c>
      <c r="E476" s="25" t="e">
        <f t="shared" si="135"/>
        <v>#VALUE!</v>
      </c>
      <c r="F476" s="25" t="str">
        <f t="shared" si="136"/>
        <v/>
      </c>
      <c r="G476" s="25" t="str">
        <f t="shared" si="137"/>
        <v>.xlsx</v>
      </c>
      <c r="H476" s="29" t="e" cm="1">
        <f t="array" aca="1" ref="H476" ca="1">IF(AND(VALUE(E476)=INDIRECT("'["&amp;G476&amp;"]"&amp;E476&amp;"'!"&amp;$X$2),G476=INDIRECT("'["&amp;G476&amp;"]"&amp;E476&amp;"'!"&amp;$X$3)),INDIRECT("'["&amp;G476&amp;"]"&amp;E476&amp;"'!"&amp;$X$1),0)</f>
        <v>#VALUE!</v>
      </c>
      <c r="I476" s="25" t="str">
        <f t="shared" si="138"/>
        <v/>
      </c>
      <c r="J476" s="32" t="str">
        <f t="shared" si="139"/>
        <v/>
      </c>
      <c r="K476" s="25" t="str">
        <f t="shared" si="140"/>
        <v/>
      </c>
      <c r="L476" s="25" t="str">
        <f t="shared" si="141"/>
        <v/>
      </c>
      <c r="M476" s="33" t="e" cm="1">
        <f t="array" aca="1" ref="M476" ca="1">IF(AND(J476=INDIRECT("'["&amp;G476&amp;"]"&amp;E476&amp;"'!"&amp;$Y$2),G476=INDIRECT("'["&amp;G476&amp;"]"&amp;E476&amp;"'!"&amp;$AH$2)),INDIRECT("'["&amp;G476&amp;"]"&amp;E476&amp;"'!"&amp;$Y$3),0)</f>
        <v>#VALUE!</v>
      </c>
      <c r="N476" s="34" t="e" cm="1">
        <f t="array" aca="1" ref="N476" ca="1">IF(AND(G476=INDIRECT("'["&amp;G476&amp;"]"&amp;E476&amp;"'!"&amp;$AH$2),OR(K476=INDIRECT("'["&amp;G476&amp;"]"&amp;E476&amp;"'!"&amp;$Z$2))),INDIRECT("'["&amp;G476&amp;"]"&amp;E476&amp;"'!"&amp;$Z$3),0)</f>
        <v>#VALUE!</v>
      </c>
      <c r="O476" s="34" t="e" cm="1">
        <f t="array" aca="1" ref="O476" ca="1">IF(AND(G476=INDIRECT("'["&amp;G476&amp;"]"&amp;E476&amp;"'!"&amp;$AH$2),OR(L476=INDIRECT("'["&amp;G476&amp;"]"&amp;E476&amp;"'!"&amp;$AA$2))),INDIRECT("'["&amp;G476&amp;"]"&amp;E476&amp;"'!"&amp;$AA$3),0)</f>
        <v>#VALUE!</v>
      </c>
      <c r="P476" s="34" t="e" cm="1">
        <f t="array" aca="1" ref="P476" ca="1">IF(AND(G476=INDIRECT("'["&amp;G476&amp;"]"&amp;E476&amp;"'!"&amp;$AH$2),OR(VALUE(I476)=INDIRECT("'["&amp;G476&amp;"]"&amp;E476&amp;"'!"&amp;$AB$2))),INDIRECT("'["&amp;G476&amp;"]"&amp;E476&amp;"'!"&amp;$AB$3),0)</f>
        <v>#VALUE!</v>
      </c>
      <c r="Q476" s="34" t="e" cm="1">
        <f t="array" aca="1" ref="Q476" ca="1">IF(AND(G476=INDIRECT("'["&amp;G476&amp;"]"&amp;E476&amp;"'!"&amp;$AH$2),OR(VALUE(I476)=INDIRECT("'["&amp;G476&amp;"]"&amp;E476&amp;"'!"&amp;$AC$2))),INDIRECT("'["&amp;G476&amp;"]"&amp;E476&amp;"'!"&amp;$AC$3),0)</f>
        <v>#VALUE!</v>
      </c>
      <c r="R476" s="34" t="e" cm="1">
        <f t="array" aca="1" ref="R476" ca="1">IF(AND(G476=INDIRECT("'["&amp;G476&amp;"]"&amp;E476&amp;"'!"&amp;$AH$2),OR(I476=INDIRECT("'["&amp;G476&amp;"]"&amp;E476&amp;"'!"&amp;$AD$2))),INDIRECT("'["&amp;G476&amp;"]"&amp;E476&amp;"'!"&amp;$AD$3),0)</f>
        <v>#VALUE!</v>
      </c>
      <c r="S476" s="34" t="e" cm="1">
        <f t="array" aca="1" ref="S476" ca="1">IF(AND(G476=INDIRECT("'["&amp;G476&amp;"]"&amp;E476&amp;"'!"&amp;$AH$2),OR(I476=INDIRECT("'["&amp;G476&amp;"]"&amp;E476&amp;"'!"&amp;$AE$2))),INDIRECT("'["&amp;G476&amp;"]"&amp;E476&amp;"'!"&amp;$AE$3),0)</f>
        <v>#VALUE!</v>
      </c>
      <c r="T476" s="35" t="e" cm="1">
        <f t="array" aca="1" ref="T476" ca="1">IF(AND(G476=INDIRECT("'["&amp;G476&amp;"]"&amp;E476&amp;"'!"&amp;$AH$2),OR(I476=INDIRECT("'["&amp;G476&amp;"]"&amp;E476&amp;"'!"&amp;$AF$2))),INDIRECT("'["&amp;G476&amp;"]"&amp;E476&amp;"'!"&amp;$AF$3),0)</f>
        <v>#VALUE!</v>
      </c>
      <c r="U476" s="34" t="e" cm="1">
        <f t="array" aca="1" ref="U476" ca="1">IF(AND(G476=INDIRECT("'["&amp;G476&amp;"]"&amp;E476&amp;"'!"&amp;$AH$2),OR(I476=INDIRECT("'["&amp;G476&amp;"]"&amp;E476&amp;"'!"&amp;$AG$2))),INDIRECT("'["&amp;G476&amp;"]"&amp;E476&amp;"'!"&amp;$AG$3),0)</f>
        <v>#VALUE!</v>
      </c>
      <c r="V476" s="25" t="str">
        <f t="shared" si="142"/>
        <v/>
      </c>
      <c r="W476" s="36" t="e" cm="1">
        <f t="array" aca="1" ref="W476" ca="1">IF(AND(G476=INDIRECT("'["&amp;G476&amp;"]"&amp;E476&amp;"'!"&amp;$AH$2),OR(V476=INDIRECT("'["&amp;G476&amp;"]"&amp;E476&amp;"'!"&amp;$AI$2))),INDIRECT("'["&amp;G476&amp;"]"&amp;E476&amp;"'!"&amp;$AI$3),0)</f>
        <v>#VALUE!</v>
      </c>
      <c r="AJ476" s="25">
        <v>1</v>
      </c>
      <c r="AK476" s="38">
        <f t="shared" ca="1" si="127"/>
        <v>0</v>
      </c>
      <c r="AL476" s="38">
        <f t="shared" ca="1" si="128"/>
        <v>0</v>
      </c>
      <c r="AM476" s="54" t="str">
        <f t="shared" ca="1" si="129"/>
        <v/>
      </c>
      <c r="AN476" s="25" t="e">
        <f t="shared" ca="1" si="130"/>
        <v>#VALUE!</v>
      </c>
      <c r="AO476" s="25" t="e">
        <f t="shared" ca="1" si="131"/>
        <v>#VALUE!</v>
      </c>
      <c r="AP476" s="39" t="str">
        <f t="shared" ca="1" si="132"/>
        <v/>
      </c>
      <c r="AQ476" s="46" t="str">
        <f ca="1">IF(AND(C476&lt;&gt;0, C477=0), SUM($C$2:C476)-SUM($AQ$1:AQ475), "")</f>
        <v/>
      </c>
      <c r="AR476" s="46" t="str">
        <f ca="1">IF(AND(AK476&lt;&gt;0, AK477=0), SUM($AK$2:AK476)-SUM($AR$1:AR475), "")</f>
        <v/>
      </c>
    </row>
    <row r="477" spans="1:44" ht="13.15" customHeight="1">
      <c r="A477" s="62"/>
      <c r="B477" s="68" t="str">
        <f t="shared" si="133"/>
        <v/>
      </c>
      <c r="C477" s="55" cm="1">
        <f t="array" aca="1" ref="C477" ca="1">SUM(IF(ISNUMBER(M477:U477),M477:U477,""))</f>
        <v>0</v>
      </c>
      <c r="D477" s="25" t="str">
        <f t="shared" si="134"/>
        <v/>
      </c>
      <c r="E477" s="25" t="e">
        <f t="shared" si="135"/>
        <v>#VALUE!</v>
      </c>
      <c r="F477" s="25" t="str">
        <f t="shared" si="136"/>
        <v/>
      </c>
      <c r="G477" s="25" t="str">
        <f t="shared" si="137"/>
        <v>.xlsx</v>
      </c>
      <c r="H477" s="29" t="e" cm="1">
        <f t="array" aca="1" ref="H477" ca="1">IF(AND(VALUE(E477)=INDIRECT("'["&amp;G477&amp;"]"&amp;E477&amp;"'!"&amp;$X$2),G477=INDIRECT("'["&amp;G477&amp;"]"&amp;E477&amp;"'!"&amp;$X$3)),INDIRECT("'["&amp;G477&amp;"]"&amp;E477&amp;"'!"&amp;$X$1),0)</f>
        <v>#VALUE!</v>
      </c>
      <c r="I477" s="25" t="str">
        <f t="shared" si="138"/>
        <v/>
      </c>
      <c r="J477" s="32" t="str">
        <f t="shared" si="139"/>
        <v/>
      </c>
      <c r="K477" s="25" t="str">
        <f t="shared" si="140"/>
        <v/>
      </c>
      <c r="L477" s="25" t="str">
        <f t="shared" si="141"/>
        <v/>
      </c>
      <c r="M477" s="33" t="e" cm="1">
        <f t="array" aca="1" ref="M477" ca="1">IF(AND(J477=INDIRECT("'["&amp;G477&amp;"]"&amp;E477&amp;"'!"&amp;$Y$2),G477=INDIRECT("'["&amp;G477&amp;"]"&amp;E477&amp;"'!"&amp;$AH$2)),INDIRECT("'["&amp;G477&amp;"]"&amp;E477&amp;"'!"&amp;$Y$3),0)</f>
        <v>#VALUE!</v>
      </c>
      <c r="N477" s="34" t="e" cm="1">
        <f t="array" aca="1" ref="N477" ca="1">IF(AND(G477=INDIRECT("'["&amp;G477&amp;"]"&amp;E477&amp;"'!"&amp;$AH$2),OR(K477=INDIRECT("'["&amp;G477&amp;"]"&amp;E477&amp;"'!"&amp;$Z$2))),INDIRECT("'["&amp;G477&amp;"]"&amp;E477&amp;"'!"&amp;$Z$3),0)</f>
        <v>#VALUE!</v>
      </c>
      <c r="O477" s="34" t="e" cm="1">
        <f t="array" aca="1" ref="O477" ca="1">IF(AND(G477=INDIRECT("'["&amp;G477&amp;"]"&amp;E477&amp;"'!"&amp;$AH$2),OR(L477=INDIRECT("'["&amp;G477&amp;"]"&amp;E477&amp;"'!"&amp;$AA$2))),INDIRECT("'["&amp;G477&amp;"]"&amp;E477&amp;"'!"&amp;$AA$3),0)</f>
        <v>#VALUE!</v>
      </c>
      <c r="P477" s="34" t="e" cm="1">
        <f t="array" aca="1" ref="P477" ca="1">IF(AND(G477=INDIRECT("'["&amp;G477&amp;"]"&amp;E477&amp;"'!"&amp;$AH$2),OR(VALUE(I477)=INDIRECT("'["&amp;G477&amp;"]"&amp;E477&amp;"'!"&amp;$AB$2))),INDIRECT("'["&amp;G477&amp;"]"&amp;E477&amp;"'!"&amp;$AB$3),0)</f>
        <v>#VALUE!</v>
      </c>
      <c r="Q477" s="34" t="e" cm="1">
        <f t="array" aca="1" ref="Q477" ca="1">IF(AND(G477=INDIRECT("'["&amp;G477&amp;"]"&amp;E477&amp;"'!"&amp;$AH$2),OR(VALUE(I477)=INDIRECT("'["&amp;G477&amp;"]"&amp;E477&amp;"'!"&amp;$AC$2))),INDIRECT("'["&amp;G477&amp;"]"&amp;E477&amp;"'!"&amp;$AC$3),0)</f>
        <v>#VALUE!</v>
      </c>
      <c r="R477" s="34" t="e" cm="1">
        <f t="array" aca="1" ref="R477" ca="1">IF(AND(G477=INDIRECT("'["&amp;G477&amp;"]"&amp;E477&amp;"'!"&amp;$AH$2),OR(I477=INDIRECT("'["&amp;G477&amp;"]"&amp;E477&amp;"'!"&amp;$AD$2))),INDIRECT("'["&amp;G477&amp;"]"&amp;E477&amp;"'!"&amp;$AD$3),0)</f>
        <v>#VALUE!</v>
      </c>
      <c r="S477" s="34" t="e" cm="1">
        <f t="array" aca="1" ref="S477" ca="1">IF(AND(G477=INDIRECT("'["&amp;G477&amp;"]"&amp;E477&amp;"'!"&amp;$AH$2),OR(I477=INDIRECT("'["&amp;G477&amp;"]"&amp;E477&amp;"'!"&amp;$AE$2))),INDIRECT("'["&amp;G477&amp;"]"&amp;E477&amp;"'!"&amp;$AE$3),0)</f>
        <v>#VALUE!</v>
      </c>
      <c r="T477" s="35" t="e" cm="1">
        <f t="array" aca="1" ref="T477" ca="1">IF(AND(G477=INDIRECT("'["&amp;G477&amp;"]"&amp;E477&amp;"'!"&amp;$AH$2),OR(I477=INDIRECT("'["&amp;G477&amp;"]"&amp;E477&amp;"'!"&amp;$AF$2))),INDIRECT("'["&amp;G477&amp;"]"&amp;E477&amp;"'!"&amp;$AF$3),0)</f>
        <v>#VALUE!</v>
      </c>
      <c r="U477" s="34" t="e" cm="1">
        <f t="array" aca="1" ref="U477" ca="1">IF(AND(G477=INDIRECT("'["&amp;G477&amp;"]"&amp;E477&amp;"'!"&amp;$AH$2),OR(I477=INDIRECT("'["&amp;G477&amp;"]"&amp;E477&amp;"'!"&amp;$AG$2))),INDIRECT("'["&amp;G477&amp;"]"&amp;E477&amp;"'!"&amp;$AG$3),0)</f>
        <v>#VALUE!</v>
      </c>
      <c r="V477" s="25" t="str">
        <f t="shared" si="142"/>
        <v/>
      </c>
      <c r="W477" s="36" t="e" cm="1">
        <f t="array" aca="1" ref="W477" ca="1">IF(AND(G477=INDIRECT("'["&amp;G477&amp;"]"&amp;E477&amp;"'!"&amp;$AH$2),OR(V477=INDIRECT("'["&amp;G477&amp;"]"&amp;E477&amp;"'!"&amp;$AI$2))),INDIRECT("'["&amp;G477&amp;"]"&amp;E477&amp;"'!"&amp;$AI$3),0)</f>
        <v>#VALUE!</v>
      </c>
      <c r="AJ477" s="25">
        <v>1</v>
      </c>
      <c r="AK477" s="38">
        <f t="shared" ca="1" si="127"/>
        <v>0</v>
      </c>
      <c r="AL477" s="38">
        <f t="shared" ca="1" si="128"/>
        <v>0</v>
      </c>
      <c r="AM477" s="54" t="str">
        <f t="shared" ca="1" si="129"/>
        <v/>
      </c>
      <c r="AN477" s="25" t="e">
        <f t="shared" ca="1" si="130"/>
        <v>#VALUE!</v>
      </c>
      <c r="AO477" s="25" t="e">
        <f t="shared" ca="1" si="131"/>
        <v>#VALUE!</v>
      </c>
      <c r="AP477" s="39" t="str">
        <f t="shared" ca="1" si="132"/>
        <v/>
      </c>
      <c r="AQ477" s="46" t="str">
        <f ca="1">IF(AND(C477&lt;&gt;0, C478=0), SUM($C$2:C477)-SUM($AQ$1:AQ476), "")</f>
        <v/>
      </c>
      <c r="AR477" s="46" t="str">
        <f ca="1">IF(AND(AK477&lt;&gt;0, AK478=0), SUM($AK$2:AK477)-SUM($AR$1:AR476), "")</f>
        <v/>
      </c>
    </row>
    <row r="478" spans="1:44" ht="13.15" customHeight="1">
      <c r="A478" s="62"/>
      <c r="B478" s="68" t="str">
        <f t="shared" si="133"/>
        <v/>
      </c>
      <c r="C478" s="55" cm="1">
        <f t="array" aca="1" ref="C478" ca="1">SUM(IF(ISNUMBER(M478:U478),M478:U478,""))</f>
        <v>0</v>
      </c>
      <c r="D478" s="25" t="str">
        <f t="shared" si="134"/>
        <v/>
      </c>
      <c r="E478" s="25" t="e">
        <f t="shared" si="135"/>
        <v>#VALUE!</v>
      </c>
      <c r="F478" s="25" t="str">
        <f t="shared" si="136"/>
        <v/>
      </c>
      <c r="G478" s="25" t="str">
        <f t="shared" si="137"/>
        <v>.xlsx</v>
      </c>
      <c r="H478" s="29" t="e" cm="1">
        <f t="array" aca="1" ref="H478" ca="1">IF(AND(VALUE(E478)=INDIRECT("'["&amp;G478&amp;"]"&amp;E478&amp;"'!"&amp;$X$2),G478=INDIRECT("'["&amp;G478&amp;"]"&amp;E478&amp;"'!"&amp;$X$3)),INDIRECT("'["&amp;G478&amp;"]"&amp;E478&amp;"'!"&amp;$X$1),0)</f>
        <v>#VALUE!</v>
      </c>
      <c r="I478" s="25" t="str">
        <f t="shared" si="138"/>
        <v/>
      </c>
      <c r="J478" s="32" t="str">
        <f t="shared" si="139"/>
        <v/>
      </c>
      <c r="K478" s="25" t="str">
        <f t="shared" si="140"/>
        <v/>
      </c>
      <c r="L478" s="25" t="str">
        <f t="shared" si="141"/>
        <v/>
      </c>
      <c r="M478" s="33" t="e" cm="1">
        <f t="array" aca="1" ref="M478" ca="1">IF(AND(J478=INDIRECT("'["&amp;G478&amp;"]"&amp;E478&amp;"'!"&amp;$Y$2),G478=INDIRECT("'["&amp;G478&amp;"]"&amp;E478&amp;"'!"&amp;$AH$2)),INDIRECT("'["&amp;G478&amp;"]"&amp;E478&amp;"'!"&amp;$Y$3),0)</f>
        <v>#VALUE!</v>
      </c>
      <c r="N478" s="34" t="e" cm="1">
        <f t="array" aca="1" ref="N478" ca="1">IF(AND(G478=INDIRECT("'["&amp;G478&amp;"]"&amp;E478&amp;"'!"&amp;$AH$2),OR(K478=INDIRECT("'["&amp;G478&amp;"]"&amp;E478&amp;"'!"&amp;$Z$2))),INDIRECT("'["&amp;G478&amp;"]"&amp;E478&amp;"'!"&amp;$Z$3),0)</f>
        <v>#VALUE!</v>
      </c>
      <c r="O478" s="34" t="e" cm="1">
        <f t="array" aca="1" ref="O478" ca="1">IF(AND(G478=INDIRECT("'["&amp;G478&amp;"]"&amp;E478&amp;"'!"&amp;$AH$2),OR(L478=INDIRECT("'["&amp;G478&amp;"]"&amp;E478&amp;"'!"&amp;$AA$2))),INDIRECT("'["&amp;G478&amp;"]"&amp;E478&amp;"'!"&amp;$AA$3),0)</f>
        <v>#VALUE!</v>
      </c>
      <c r="P478" s="34" t="e" cm="1">
        <f t="array" aca="1" ref="P478" ca="1">IF(AND(G478=INDIRECT("'["&amp;G478&amp;"]"&amp;E478&amp;"'!"&amp;$AH$2),OR(VALUE(I478)=INDIRECT("'["&amp;G478&amp;"]"&amp;E478&amp;"'!"&amp;$AB$2))),INDIRECT("'["&amp;G478&amp;"]"&amp;E478&amp;"'!"&amp;$AB$3),0)</f>
        <v>#VALUE!</v>
      </c>
      <c r="Q478" s="34" t="e" cm="1">
        <f t="array" aca="1" ref="Q478" ca="1">IF(AND(G478=INDIRECT("'["&amp;G478&amp;"]"&amp;E478&amp;"'!"&amp;$AH$2),OR(VALUE(I478)=INDIRECT("'["&amp;G478&amp;"]"&amp;E478&amp;"'!"&amp;$AC$2))),INDIRECT("'["&amp;G478&amp;"]"&amp;E478&amp;"'!"&amp;$AC$3),0)</f>
        <v>#VALUE!</v>
      </c>
      <c r="R478" s="34" t="e" cm="1">
        <f t="array" aca="1" ref="R478" ca="1">IF(AND(G478=INDIRECT("'["&amp;G478&amp;"]"&amp;E478&amp;"'!"&amp;$AH$2),OR(I478=INDIRECT("'["&amp;G478&amp;"]"&amp;E478&amp;"'!"&amp;$AD$2))),INDIRECT("'["&amp;G478&amp;"]"&amp;E478&amp;"'!"&amp;$AD$3),0)</f>
        <v>#VALUE!</v>
      </c>
      <c r="S478" s="34" t="e" cm="1">
        <f t="array" aca="1" ref="S478" ca="1">IF(AND(G478=INDIRECT("'["&amp;G478&amp;"]"&amp;E478&amp;"'!"&amp;$AH$2),OR(I478=INDIRECT("'["&amp;G478&amp;"]"&amp;E478&amp;"'!"&amp;$AE$2))),INDIRECT("'["&amp;G478&amp;"]"&amp;E478&amp;"'!"&amp;$AE$3),0)</f>
        <v>#VALUE!</v>
      </c>
      <c r="T478" s="35" t="e" cm="1">
        <f t="array" aca="1" ref="T478" ca="1">IF(AND(G478=INDIRECT("'["&amp;G478&amp;"]"&amp;E478&amp;"'!"&amp;$AH$2),OR(I478=INDIRECT("'["&amp;G478&amp;"]"&amp;E478&amp;"'!"&amp;$AF$2))),INDIRECT("'["&amp;G478&amp;"]"&amp;E478&amp;"'!"&amp;$AF$3),0)</f>
        <v>#VALUE!</v>
      </c>
      <c r="U478" s="34" t="e" cm="1">
        <f t="array" aca="1" ref="U478" ca="1">IF(AND(G478=INDIRECT("'["&amp;G478&amp;"]"&amp;E478&amp;"'!"&amp;$AH$2),OR(I478=INDIRECT("'["&amp;G478&amp;"]"&amp;E478&amp;"'!"&amp;$AG$2))),INDIRECT("'["&amp;G478&amp;"]"&amp;E478&amp;"'!"&amp;$AG$3),0)</f>
        <v>#VALUE!</v>
      </c>
      <c r="V478" s="25" t="str">
        <f t="shared" si="142"/>
        <v/>
      </c>
      <c r="W478" s="36" t="e" cm="1">
        <f t="array" aca="1" ref="W478" ca="1">IF(AND(G478=INDIRECT("'["&amp;G478&amp;"]"&amp;E478&amp;"'!"&amp;$AH$2),OR(V478=INDIRECT("'["&amp;G478&amp;"]"&amp;E478&amp;"'!"&amp;$AI$2))),INDIRECT("'["&amp;G478&amp;"]"&amp;E478&amp;"'!"&amp;$AI$3),0)</f>
        <v>#VALUE!</v>
      </c>
      <c r="AJ478" s="25">
        <v>1</v>
      </c>
      <c r="AK478" s="38">
        <f t="shared" ca="1" si="127"/>
        <v>0</v>
      </c>
      <c r="AL478" s="38">
        <f t="shared" ca="1" si="128"/>
        <v>0</v>
      </c>
      <c r="AM478" s="54" t="str">
        <f t="shared" ca="1" si="129"/>
        <v/>
      </c>
      <c r="AN478" s="25" t="e">
        <f t="shared" ca="1" si="130"/>
        <v>#VALUE!</v>
      </c>
      <c r="AO478" s="25" t="e">
        <f t="shared" ca="1" si="131"/>
        <v>#VALUE!</v>
      </c>
      <c r="AP478" s="39" t="str">
        <f t="shared" ca="1" si="132"/>
        <v/>
      </c>
      <c r="AQ478" s="46" t="str">
        <f ca="1">IF(AND(C478&lt;&gt;0, C479=0), SUM($C$2:C478)-SUM($AQ$1:AQ477), "")</f>
        <v/>
      </c>
      <c r="AR478" s="46" t="str">
        <f ca="1">IF(AND(AK478&lt;&gt;0, AK479=0), SUM($AK$2:AK478)-SUM($AR$1:AR477), "")</f>
        <v/>
      </c>
    </row>
    <row r="479" spans="1:44" ht="13.15" customHeight="1">
      <c r="A479" s="62"/>
      <c r="B479" s="68" t="str">
        <f t="shared" si="133"/>
        <v/>
      </c>
      <c r="C479" s="55" cm="1">
        <f t="array" aca="1" ref="C479" ca="1">SUM(IF(ISNUMBER(M479:U479),M479:U479,""))</f>
        <v>0</v>
      </c>
      <c r="D479" s="25" t="str">
        <f t="shared" si="134"/>
        <v/>
      </c>
      <c r="E479" s="25" t="e">
        <f t="shared" si="135"/>
        <v>#VALUE!</v>
      </c>
      <c r="F479" s="25" t="str">
        <f t="shared" si="136"/>
        <v/>
      </c>
      <c r="G479" s="25" t="str">
        <f t="shared" si="137"/>
        <v>.xlsx</v>
      </c>
      <c r="H479" s="29" t="e" cm="1">
        <f t="array" aca="1" ref="H479" ca="1">IF(AND(VALUE(E479)=INDIRECT("'["&amp;G479&amp;"]"&amp;E479&amp;"'!"&amp;$X$2),G479=INDIRECT("'["&amp;G479&amp;"]"&amp;E479&amp;"'!"&amp;$X$3)),INDIRECT("'["&amp;G479&amp;"]"&amp;E479&amp;"'!"&amp;$X$1),0)</f>
        <v>#VALUE!</v>
      </c>
      <c r="I479" s="25" t="str">
        <f t="shared" si="138"/>
        <v/>
      </c>
      <c r="J479" s="32" t="str">
        <f t="shared" si="139"/>
        <v/>
      </c>
      <c r="K479" s="25" t="str">
        <f t="shared" si="140"/>
        <v/>
      </c>
      <c r="L479" s="25" t="str">
        <f t="shared" si="141"/>
        <v/>
      </c>
      <c r="M479" s="33" t="e" cm="1">
        <f t="array" aca="1" ref="M479" ca="1">IF(AND(J479=INDIRECT("'["&amp;G479&amp;"]"&amp;E479&amp;"'!"&amp;$Y$2),G479=INDIRECT("'["&amp;G479&amp;"]"&amp;E479&amp;"'!"&amp;$AH$2)),INDIRECT("'["&amp;G479&amp;"]"&amp;E479&amp;"'!"&amp;$Y$3),0)</f>
        <v>#VALUE!</v>
      </c>
      <c r="N479" s="34" t="e" cm="1">
        <f t="array" aca="1" ref="N479" ca="1">IF(AND(G479=INDIRECT("'["&amp;G479&amp;"]"&amp;E479&amp;"'!"&amp;$AH$2),OR(K479=INDIRECT("'["&amp;G479&amp;"]"&amp;E479&amp;"'!"&amp;$Z$2))),INDIRECT("'["&amp;G479&amp;"]"&amp;E479&amp;"'!"&amp;$Z$3),0)</f>
        <v>#VALUE!</v>
      </c>
      <c r="O479" s="34" t="e" cm="1">
        <f t="array" aca="1" ref="O479" ca="1">IF(AND(G479=INDIRECT("'["&amp;G479&amp;"]"&amp;E479&amp;"'!"&amp;$AH$2),OR(L479=INDIRECT("'["&amp;G479&amp;"]"&amp;E479&amp;"'!"&amp;$AA$2))),INDIRECT("'["&amp;G479&amp;"]"&amp;E479&amp;"'!"&amp;$AA$3),0)</f>
        <v>#VALUE!</v>
      </c>
      <c r="P479" s="34" t="e" cm="1">
        <f t="array" aca="1" ref="P479" ca="1">IF(AND(G479=INDIRECT("'["&amp;G479&amp;"]"&amp;E479&amp;"'!"&amp;$AH$2),OR(VALUE(I479)=INDIRECT("'["&amp;G479&amp;"]"&amp;E479&amp;"'!"&amp;$AB$2))),INDIRECT("'["&amp;G479&amp;"]"&amp;E479&amp;"'!"&amp;$AB$3),0)</f>
        <v>#VALUE!</v>
      </c>
      <c r="Q479" s="34" t="e" cm="1">
        <f t="array" aca="1" ref="Q479" ca="1">IF(AND(G479=INDIRECT("'["&amp;G479&amp;"]"&amp;E479&amp;"'!"&amp;$AH$2),OR(VALUE(I479)=INDIRECT("'["&amp;G479&amp;"]"&amp;E479&amp;"'!"&amp;$AC$2))),INDIRECT("'["&amp;G479&amp;"]"&amp;E479&amp;"'!"&amp;$AC$3),0)</f>
        <v>#VALUE!</v>
      </c>
      <c r="R479" s="34" t="e" cm="1">
        <f t="array" aca="1" ref="R479" ca="1">IF(AND(G479=INDIRECT("'["&amp;G479&amp;"]"&amp;E479&amp;"'!"&amp;$AH$2),OR(I479=INDIRECT("'["&amp;G479&amp;"]"&amp;E479&amp;"'!"&amp;$AD$2))),INDIRECT("'["&amp;G479&amp;"]"&amp;E479&amp;"'!"&amp;$AD$3),0)</f>
        <v>#VALUE!</v>
      </c>
      <c r="S479" s="34" t="e" cm="1">
        <f t="array" aca="1" ref="S479" ca="1">IF(AND(G479=INDIRECT("'["&amp;G479&amp;"]"&amp;E479&amp;"'!"&amp;$AH$2),OR(I479=INDIRECT("'["&amp;G479&amp;"]"&amp;E479&amp;"'!"&amp;$AE$2))),INDIRECT("'["&amp;G479&amp;"]"&amp;E479&amp;"'!"&amp;$AE$3),0)</f>
        <v>#VALUE!</v>
      </c>
      <c r="T479" s="35" t="e" cm="1">
        <f t="array" aca="1" ref="T479" ca="1">IF(AND(G479=INDIRECT("'["&amp;G479&amp;"]"&amp;E479&amp;"'!"&amp;$AH$2),OR(I479=INDIRECT("'["&amp;G479&amp;"]"&amp;E479&amp;"'!"&amp;$AF$2))),INDIRECT("'["&amp;G479&amp;"]"&amp;E479&amp;"'!"&amp;$AF$3),0)</f>
        <v>#VALUE!</v>
      </c>
      <c r="U479" s="34" t="e" cm="1">
        <f t="array" aca="1" ref="U479" ca="1">IF(AND(G479=INDIRECT("'["&amp;G479&amp;"]"&amp;E479&amp;"'!"&amp;$AH$2),OR(I479=INDIRECT("'["&amp;G479&amp;"]"&amp;E479&amp;"'!"&amp;$AG$2))),INDIRECT("'["&amp;G479&amp;"]"&amp;E479&amp;"'!"&amp;$AG$3),0)</f>
        <v>#VALUE!</v>
      </c>
      <c r="V479" s="25" t="str">
        <f t="shared" si="142"/>
        <v/>
      </c>
      <c r="W479" s="36" t="e" cm="1">
        <f t="array" aca="1" ref="W479" ca="1">IF(AND(G479=INDIRECT("'["&amp;G479&amp;"]"&amp;E479&amp;"'!"&amp;$AH$2),OR(V479=INDIRECT("'["&amp;G479&amp;"]"&amp;E479&amp;"'!"&amp;$AI$2))),INDIRECT("'["&amp;G479&amp;"]"&amp;E479&amp;"'!"&amp;$AI$3),0)</f>
        <v>#VALUE!</v>
      </c>
      <c r="AJ479" s="25">
        <v>1</v>
      </c>
      <c r="AK479" s="38">
        <f t="shared" ca="1" si="127"/>
        <v>0</v>
      </c>
      <c r="AL479" s="38">
        <f t="shared" ca="1" si="128"/>
        <v>0</v>
      </c>
      <c r="AM479" s="54" t="str">
        <f t="shared" ca="1" si="129"/>
        <v/>
      </c>
      <c r="AN479" s="25" t="e">
        <f t="shared" ca="1" si="130"/>
        <v>#VALUE!</v>
      </c>
      <c r="AO479" s="25" t="e">
        <f t="shared" ca="1" si="131"/>
        <v>#VALUE!</v>
      </c>
      <c r="AP479" s="39" t="str">
        <f t="shared" ca="1" si="132"/>
        <v/>
      </c>
      <c r="AQ479" s="46" t="str">
        <f ca="1">IF(AND(C479&lt;&gt;0, C480=0), SUM($C$2:C479)-SUM($AQ$1:AQ478), "")</f>
        <v/>
      </c>
      <c r="AR479" s="46" t="str">
        <f ca="1">IF(AND(AK479&lt;&gt;0, AK480=0), SUM($AK$2:AK479)-SUM($AR$1:AR478), "")</f>
        <v/>
      </c>
    </row>
    <row r="480" spans="1:44" ht="13.15" customHeight="1">
      <c r="A480" s="62"/>
      <c r="B480" s="68" t="str">
        <f t="shared" si="133"/>
        <v/>
      </c>
      <c r="C480" s="55" cm="1">
        <f t="array" aca="1" ref="C480" ca="1">SUM(IF(ISNUMBER(M480:U480),M480:U480,""))</f>
        <v>0</v>
      </c>
      <c r="D480" s="25" t="str">
        <f t="shared" si="134"/>
        <v/>
      </c>
      <c r="E480" s="25" t="e">
        <f t="shared" si="135"/>
        <v>#VALUE!</v>
      </c>
      <c r="F480" s="25" t="str">
        <f t="shared" si="136"/>
        <v/>
      </c>
      <c r="G480" s="25" t="str">
        <f t="shared" si="137"/>
        <v>.xlsx</v>
      </c>
      <c r="H480" s="29" t="e" cm="1">
        <f t="array" aca="1" ref="H480" ca="1">IF(AND(VALUE(E480)=INDIRECT("'["&amp;G480&amp;"]"&amp;E480&amp;"'!"&amp;$X$2),G480=INDIRECT("'["&amp;G480&amp;"]"&amp;E480&amp;"'!"&amp;$X$3)),INDIRECT("'["&amp;G480&amp;"]"&amp;E480&amp;"'!"&amp;$X$1),0)</f>
        <v>#VALUE!</v>
      </c>
      <c r="I480" s="25" t="str">
        <f t="shared" si="138"/>
        <v/>
      </c>
      <c r="J480" s="32" t="str">
        <f t="shared" si="139"/>
        <v/>
      </c>
      <c r="K480" s="25" t="str">
        <f t="shared" si="140"/>
        <v/>
      </c>
      <c r="L480" s="25" t="str">
        <f t="shared" si="141"/>
        <v/>
      </c>
      <c r="M480" s="33" t="e" cm="1">
        <f t="array" aca="1" ref="M480" ca="1">IF(AND(J480=INDIRECT("'["&amp;G480&amp;"]"&amp;E480&amp;"'!"&amp;$Y$2),G480=INDIRECT("'["&amp;G480&amp;"]"&amp;E480&amp;"'!"&amp;$AH$2)),INDIRECT("'["&amp;G480&amp;"]"&amp;E480&amp;"'!"&amp;$Y$3),0)</f>
        <v>#VALUE!</v>
      </c>
      <c r="N480" s="34" t="e" cm="1">
        <f t="array" aca="1" ref="N480" ca="1">IF(AND(G480=INDIRECT("'["&amp;G480&amp;"]"&amp;E480&amp;"'!"&amp;$AH$2),OR(K480=INDIRECT("'["&amp;G480&amp;"]"&amp;E480&amp;"'!"&amp;$Z$2))),INDIRECT("'["&amp;G480&amp;"]"&amp;E480&amp;"'!"&amp;$Z$3),0)</f>
        <v>#VALUE!</v>
      </c>
      <c r="O480" s="34" t="e" cm="1">
        <f t="array" aca="1" ref="O480" ca="1">IF(AND(G480=INDIRECT("'["&amp;G480&amp;"]"&amp;E480&amp;"'!"&amp;$AH$2),OR(L480=INDIRECT("'["&amp;G480&amp;"]"&amp;E480&amp;"'!"&amp;$AA$2))),INDIRECT("'["&amp;G480&amp;"]"&amp;E480&amp;"'!"&amp;$AA$3),0)</f>
        <v>#VALUE!</v>
      </c>
      <c r="P480" s="34" t="e" cm="1">
        <f t="array" aca="1" ref="P480" ca="1">IF(AND(G480=INDIRECT("'["&amp;G480&amp;"]"&amp;E480&amp;"'!"&amp;$AH$2),OR(VALUE(I480)=INDIRECT("'["&amp;G480&amp;"]"&amp;E480&amp;"'!"&amp;$AB$2))),INDIRECT("'["&amp;G480&amp;"]"&amp;E480&amp;"'!"&amp;$AB$3),0)</f>
        <v>#VALUE!</v>
      </c>
      <c r="Q480" s="34" t="e" cm="1">
        <f t="array" aca="1" ref="Q480" ca="1">IF(AND(G480=INDIRECT("'["&amp;G480&amp;"]"&amp;E480&amp;"'!"&amp;$AH$2),OR(VALUE(I480)=INDIRECT("'["&amp;G480&amp;"]"&amp;E480&amp;"'!"&amp;$AC$2))),INDIRECT("'["&amp;G480&amp;"]"&amp;E480&amp;"'!"&amp;$AC$3),0)</f>
        <v>#VALUE!</v>
      </c>
      <c r="R480" s="34" t="e" cm="1">
        <f t="array" aca="1" ref="R480" ca="1">IF(AND(G480=INDIRECT("'["&amp;G480&amp;"]"&amp;E480&amp;"'!"&amp;$AH$2),OR(I480=INDIRECT("'["&amp;G480&amp;"]"&amp;E480&amp;"'!"&amp;$AD$2))),INDIRECT("'["&amp;G480&amp;"]"&amp;E480&amp;"'!"&amp;$AD$3),0)</f>
        <v>#VALUE!</v>
      </c>
      <c r="S480" s="34" t="e" cm="1">
        <f t="array" aca="1" ref="S480" ca="1">IF(AND(G480=INDIRECT("'["&amp;G480&amp;"]"&amp;E480&amp;"'!"&amp;$AH$2),OR(I480=INDIRECT("'["&amp;G480&amp;"]"&amp;E480&amp;"'!"&amp;$AE$2))),INDIRECT("'["&amp;G480&amp;"]"&amp;E480&amp;"'!"&amp;$AE$3),0)</f>
        <v>#VALUE!</v>
      </c>
      <c r="T480" s="35" t="e" cm="1">
        <f t="array" aca="1" ref="T480" ca="1">IF(AND(G480=INDIRECT("'["&amp;G480&amp;"]"&amp;E480&amp;"'!"&amp;$AH$2),OR(I480=INDIRECT("'["&amp;G480&amp;"]"&amp;E480&amp;"'!"&amp;$AF$2))),INDIRECT("'["&amp;G480&amp;"]"&amp;E480&amp;"'!"&amp;$AF$3),0)</f>
        <v>#VALUE!</v>
      </c>
      <c r="U480" s="34" t="e" cm="1">
        <f t="array" aca="1" ref="U480" ca="1">IF(AND(G480=INDIRECT("'["&amp;G480&amp;"]"&amp;E480&amp;"'!"&amp;$AH$2),OR(I480=INDIRECT("'["&amp;G480&amp;"]"&amp;E480&amp;"'!"&amp;$AG$2))),INDIRECT("'["&amp;G480&amp;"]"&amp;E480&amp;"'!"&amp;$AG$3),0)</f>
        <v>#VALUE!</v>
      </c>
      <c r="V480" s="25" t="str">
        <f t="shared" si="142"/>
        <v/>
      </c>
      <c r="W480" s="36" t="e" cm="1">
        <f t="array" aca="1" ref="W480" ca="1">IF(AND(G480=INDIRECT("'["&amp;G480&amp;"]"&amp;E480&amp;"'!"&amp;$AH$2),OR(V480=INDIRECT("'["&amp;G480&amp;"]"&amp;E480&amp;"'!"&amp;$AI$2))),INDIRECT("'["&amp;G480&amp;"]"&amp;E480&amp;"'!"&amp;$AI$3),0)</f>
        <v>#VALUE!</v>
      </c>
      <c r="AJ480" s="25">
        <v>1</v>
      </c>
      <c r="AK480" s="38">
        <f t="shared" ca="1" si="127"/>
        <v>0</v>
      </c>
      <c r="AL480" s="38">
        <f t="shared" ca="1" si="128"/>
        <v>0</v>
      </c>
      <c r="AM480" s="54" t="str">
        <f t="shared" ca="1" si="129"/>
        <v/>
      </c>
      <c r="AN480" s="25" t="e">
        <f t="shared" ca="1" si="130"/>
        <v>#VALUE!</v>
      </c>
      <c r="AO480" s="25" t="e">
        <f t="shared" ca="1" si="131"/>
        <v>#VALUE!</v>
      </c>
      <c r="AP480" s="39" t="str">
        <f t="shared" ca="1" si="132"/>
        <v/>
      </c>
      <c r="AQ480" s="46" t="str">
        <f ca="1">IF(AND(C480&lt;&gt;0, C481=0), SUM($C$2:C480)-SUM($AQ$1:AQ479), "")</f>
        <v/>
      </c>
      <c r="AR480" s="46" t="str">
        <f ca="1">IF(AND(AK480&lt;&gt;0, AK481=0), SUM($AK$2:AK480)-SUM($AR$1:AR479), "")</f>
        <v/>
      </c>
    </row>
    <row r="481" spans="1:44" ht="13.15" customHeight="1">
      <c r="A481" s="62"/>
      <c r="B481" s="68" t="str">
        <f t="shared" si="133"/>
        <v/>
      </c>
      <c r="C481" s="55" cm="1">
        <f t="array" aca="1" ref="C481" ca="1">SUM(IF(ISNUMBER(M481:U481),M481:U481,""))</f>
        <v>0</v>
      </c>
      <c r="D481" s="25" t="str">
        <f t="shared" si="134"/>
        <v/>
      </c>
      <c r="E481" s="25" t="e">
        <f t="shared" si="135"/>
        <v>#VALUE!</v>
      </c>
      <c r="F481" s="25" t="str">
        <f t="shared" si="136"/>
        <v/>
      </c>
      <c r="G481" s="25" t="str">
        <f t="shared" si="137"/>
        <v>.xlsx</v>
      </c>
      <c r="H481" s="29" t="e" cm="1">
        <f t="array" aca="1" ref="H481" ca="1">IF(AND(VALUE(E481)=INDIRECT("'["&amp;G481&amp;"]"&amp;E481&amp;"'!"&amp;$X$2),G481=INDIRECT("'["&amp;G481&amp;"]"&amp;E481&amp;"'!"&amp;$X$3)),INDIRECT("'["&amp;G481&amp;"]"&amp;E481&amp;"'!"&amp;$X$1),0)</f>
        <v>#VALUE!</v>
      </c>
      <c r="I481" s="25" t="str">
        <f t="shared" si="138"/>
        <v/>
      </c>
      <c r="J481" s="32" t="str">
        <f t="shared" si="139"/>
        <v/>
      </c>
      <c r="K481" s="25" t="str">
        <f t="shared" si="140"/>
        <v/>
      </c>
      <c r="L481" s="25" t="str">
        <f t="shared" si="141"/>
        <v/>
      </c>
      <c r="M481" s="33" t="e" cm="1">
        <f t="array" aca="1" ref="M481" ca="1">IF(AND(J481=INDIRECT("'["&amp;G481&amp;"]"&amp;E481&amp;"'!"&amp;$Y$2),G481=INDIRECT("'["&amp;G481&amp;"]"&amp;E481&amp;"'!"&amp;$AH$2)),INDIRECT("'["&amp;G481&amp;"]"&amp;E481&amp;"'!"&amp;$Y$3),0)</f>
        <v>#VALUE!</v>
      </c>
      <c r="N481" s="34" t="e" cm="1">
        <f t="array" aca="1" ref="N481" ca="1">IF(AND(G481=INDIRECT("'["&amp;G481&amp;"]"&amp;E481&amp;"'!"&amp;$AH$2),OR(K481=INDIRECT("'["&amp;G481&amp;"]"&amp;E481&amp;"'!"&amp;$Z$2))),INDIRECT("'["&amp;G481&amp;"]"&amp;E481&amp;"'!"&amp;$Z$3),0)</f>
        <v>#VALUE!</v>
      </c>
      <c r="O481" s="34" t="e" cm="1">
        <f t="array" aca="1" ref="O481" ca="1">IF(AND(G481=INDIRECT("'["&amp;G481&amp;"]"&amp;E481&amp;"'!"&amp;$AH$2),OR(L481=INDIRECT("'["&amp;G481&amp;"]"&amp;E481&amp;"'!"&amp;$AA$2))),INDIRECT("'["&amp;G481&amp;"]"&amp;E481&amp;"'!"&amp;$AA$3),0)</f>
        <v>#VALUE!</v>
      </c>
      <c r="P481" s="34" t="e" cm="1">
        <f t="array" aca="1" ref="P481" ca="1">IF(AND(G481=INDIRECT("'["&amp;G481&amp;"]"&amp;E481&amp;"'!"&amp;$AH$2),OR(VALUE(I481)=INDIRECT("'["&amp;G481&amp;"]"&amp;E481&amp;"'!"&amp;$AB$2))),INDIRECT("'["&amp;G481&amp;"]"&amp;E481&amp;"'!"&amp;$AB$3),0)</f>
        <v>#VALUE!</v>
      </c>
      <c r="Q481" s="34" t="e" cm="1">
        <f t="array" aca="1" ref="Q481" ca="1">IF(AND(G481=INDIRECT("'["&amp;G481&amp;"]"&amp;E481&amp;"'!"&amp;$AH$2),OR(VALUE(I481)=INDIRECT("'["&amp;G481&amp;"]"&amp;E481&amp;"'!"&amp;$AC$2))),INDIRECT("'["&amp;G481&amp;"]"&amp;E481&amp;"'!"&amp;$AC$3),0)</f>
        <v>#VALUE!</v>
      </c>
      <c r="R481" s="34" t="e" cm="1">
        <f t="array" aca="1" ref="R481" ca="1">IF(AND(G481=INDIRECT("'["&amp;G481&amp;"]"&amp;E481&amp;"'!"&amp;$AH$2),OR(I481=INDIRECT("'["&amp;G481&amp;"]"&amp;E481&amp;"'!"&amp;$AD$2))),INDIRECT("'["&amp;G481&amp;"]"&amp;E481&amp;"'!"&amp;$AD$3),0)</f>
        <v>#VALUE!</v>
      </c>
      <c r="S481" s="34" t="e" cm="1">
        <f t="array" aca="1" ref="S481" ca="1">IF(AND(G481=INDIRECT("'["&amp;G481&amp;"]"&amp;E481&amp;"'!"&amp;$AH$2),OR(I481=INDIRECT("'["&amp;G481&amp;"]"&amp;E481&amp;"'!"&amp;$AE$2))),INDIRECT("'["&amp;G481&amp;"]"&amp;E481&amp;"'!"&amp;$AE$3),0)</f>
        <v>#VALUE!</v>
      </c>
      <c r="T481" s="35" t="e" cm="1">
        <f t="array" aca="1" ref="T481" ca="1">IF(AND(G481=INDIRECT("'["&amp;G481&amp;"]"&amp;E481&amp;"'!"&amp;$AH$2),OR(I481=INDIRECT("'["&amp;G481&amp;"]"&amp;E481&amp;"'!"&amp;$AF$2))),INDIRECT("'["&amp;G481&amp;"]"&amp;E481&amp;"'!"&amp;$AF$3),0)</f>
        <v>#VALUE!</v>
      </c>
      <c r="U481" s="34" t="e" cm="1">
        <f t="array" aca="1" ref="U481" ca="1">IF(AND(G481=INDIRECT("'["&amp;G481&amp;"]"&amp;E481&amp;"'!"&amp;$AH$2),OR(I481=INDIRECT("'["&amp;G481&amp;"]"&amp;E481&amp;"'!"&amp;$AG$2))),INDIRECT("'["&amp;G481&amp;"]"&amp;E481&amp;"'!"&amp;$AG$3),0)</f>
        <v>#VALUE!</v>
      </c>
      <c r="V481" s="25" t="str">
        <f t="shared" si="142"/>
        <v/>
      </c>
      <c r="W481" s="36" t="e" cm="1">
        <f t="array" aca="1" ref="W481" ca="1">IF(AND(G481=INDIRECT("'["&amp;G481&amp;"]"&amp;E481&amp;"'!"&amp;$AH$2),OR(V481=INDIRECT("'["&amp;G481&amp;"]"&amp;E481&amp;"'!"&amp;$AI$2))),INDIRECT("'["&amp;G481&amp;"]"&amp;E481&amp;"'!"&amp;$AI$3),0)</f>
        <v>#VALUE!</v>
      </c>
      <c r="AJ481" s="25">
        <v>1</v>
      </c>
      <c r="AK481" s="38">
        <f t="shared" ca="1" si="127"/>
        <v>0</v>
      </c>
      <c r="AL481" s="38">
        <f t="shared" ca="1" si="128"/>
        <v>0</v>
      </c>
      <c r="AM481" s="54" t="str">
        <f t="shared" ca="1" si="129"/>
        <v/>
      </c>
      <c r="AN481" s="25" t="e">
        <f t="shared" ca="1" si="130"/>
        <v>#VALUE!</v>
      </c>
      <c r="AO481" s="25" t="e">
        <f t="shared" ca="1" si="131"/>
        <v>#VALUE!</v>
      </c>
      <c r="AP481" s="39" t="str">
        <f t="shared" ca="1" si="132"/>
        <v/>
      </c>
      <c r="AQ481" s="46" t="str">
        <f ca="1">IF(AND(C481&lt;&gt;0, C482=0), SUM($C$2:C481)-SUM($AQ$1:AQ480), "")</f>
        <v/>
      </c>
      <c r="AR481" s="46" t="str">
        <f ca="1">IF(AND(AK481&lt;&gt;0, AK482=0), SUM($AK$2:AK481)-SUM($AR$1:AR480), "")</f>
        <v/>
      </c>
    </row>
    <row r="482" spans="1:44" ht="13.15" customHeight="1">
      <c r="A482" s="62"/>
      <c r="B482" s="68" t="str">
        <f t="shared" si="133"/>
        <v/>
      </c>
      <c r="C482" s="55" cm="1">
        <f t="array" aca="1" ref="C482" ca="1">SUM(IF(ISNUMBER(M482:U482),M482:U482,""))</f>
        <v>0</v>
      </c>
      <c r="D482" s="25" t="str">
        <f t="shared" si="134"/>
        <v/>
      </c>
      <c r="E482" s="25" t="e">
        <f t="shared" si="135"/>
        <v>#VALUE!</v>
      </c>
      <c r="F482" s="25" t="str">
        <f t="shared" si="136"/>
        <v/>
      </c>
      <c r="G482" s="25" t="str">
        <f t="shared" si="137"/>
        <v>.xlsx</v>
      </c>
      <c r="H482" s="29" t="e" cm="1">
        <f t="array" aca="1" ref="H482" ca="1">IF(AND(VALUE(E482)=INDIRECT("'["&amp;G482&amp;"]"&amp;E482&amp;"'!"&amp;$X$2),G482=INDIRECT("'["&amp;G482&amp;"]"&amp;E482&amp;"'!"&amp;$X$3)),INDIRECT("'["&amp;G482&amp;"]"&amp;E482&amp;"'!"&amp;$X$1),0)</f>
        <v>#VALUE!</v>
      </c>
      <c r="I482" s="25" t="str">
        <f t="shared" si="138"/>
        <v/>
      </c>
      <c r="J482" s="32" t="str">
        <f t="shared" si="139"/>
        <v/>
      </c>
      <c r="K482" s="25" t="str">
        <f t="shared" si="140"/>
        <v/>
      </c>
      <c r="L482" s="25" t="str">
        <f t="shared" si="141"/>
        <v/>
      </c>
      <c r="M482" s="33" t="e" cm="1">
        <f t="array" aca="1" ref="M482" ca="1">IF(AND(J482=INDIRECT("'["&amp;G482&amp;"]"&amp;E482&amp;"'!"&amp;$Y$2),G482=INDIRECT("'["&amp;G482&amp;"]"&amp;E482&amp;"'!"&amp;$AH$2)),INDIRECT("'["&amp;G482&amp;"]"&amp;E482&amp;"'!"&amp;$Y$3),0)</f>
        <v>#VALUE!</v>
      </c>
      <c r="N482" s="34" t="e" cm="1">
        <f t="array" aca="1" ref="N482" ca="1">IF(AND(G482=INDIRECT("'["&amp;G482&amp;"]"&amp;E482&amp;"'!"&amp;$AH$2),OR(K482=INDIRECT("'["&amp;G482&amp;"]"&amp;E482&amp;"'!"&amp;$Z$2))),INDIRECT("'["&amp;G482&amp;"]"&amp;E482&amp;"'!"&amp;$Z$3),0)</f>
        <v>#VALUE!</v>
      </c>
      <c r="O482" s="34" t="e" cm="1">
        <f t="array" aca="1" ref="O482" ca="1">IF(AND(G482=INDIRECT("'["&amp;G482&amp;"]"&amp;E482&amp;"'!"&amp;$AH$2),OR(L482=INDIRECT("'["&amp;G482&amp;"]"&amp;E482&amp;"'!"&amp;$AA$2))),INDIRECT("'["&amp;G482&amp;"]"&amp;E482&amp;"'!"&amp;$AA$3),0)</f>
        <v>#VALUE!</v>
      </c>
      <c r="P482" s="34" t="e" cm="1">
        <f t="array" aca="1" ref="P482" ca="1">IF(AND(G482=INDIRECT("'["&amp;G482&amp;"]"&amp;E482&amp;"'!"&amp;$AH$2),OR(VALUE(I482)=INDIRECT("'["&amp;G482&amp;"]"&amp;E482&amp;"'!"&amp;$AB$2))),INDIRECT("'["&amp;G482&amp;"]"&amp;E482&amp;"'!"&amp;$AB$3),0)</f>
        <v>#VALUE!</v>
      </c>
      <c r="Q482" s="34" t="e" cm="1">
        <f t="array" aca="1" ref="Q482" ca="1">IF(AND(G482=INDIRECT("'["&amp;G482&amp;"]"&amp;E482&amp;"'!"&amp;$AH$2),OR(VALUE(I482)=INDIRECT("'["&amp;G482&amp;"]"&amp;E482&amp;"'!"&amp;$AC$2))),INDIRECT("'["&amp;G482&amp;"]"&amp;E482&amp;"'!"&amp;$AC$3),0)</f>
        <v>#VALUE!</v>
      </c>
      <c r="R482" s="34" t="e" cm="1">
        <f t="array" aca="1" ref="R482" ca="1">IF(AND(G482=INDIRECT("'["&amp;G482&amp;"]"&amp;E482&amp;"'!"&amp;$AH$2),OR(I482=INDIRECT("'["&amp;G482&amp;"]"&amp;E482&amp;"'!"&amp;$AD$2))),INDIRECT("'["&amp;G482&amp;"]"&amp;E482&amp;"'!"&amp;$AD$3),0)</f>
        <v>#VALUE!</v>
      </c>
      <c r="S482" s="34" t="e" cm="1">
        <f t="array" aca="1" ref="S482" ca="1">IF(AND(G482=INDIRECT("'["&amp;G482&amp;"]"&amp;E482&amp;"'!"&amp;$AH$2),OR(I482=INDIRECT("'["&amp;G482&amp;"]"&amp;E482&amp;"'!"&amp;$AE$2))),INDIRECT("'["&amp;G482&amp;"]"&amp;E482&amp;"'!"&amp;$AE$3),0)</f>
        <v>#VALUE!</v>
      </c>
      <c r="T482" s="35" t="e" cm="1">
        <f t="array" aca="1" ref="T482" ca="1">IF(AND(G482=INDIRECT("'["&amp;G482&amp;"]"&amp;E482&amp;"'!"&amp;$AH$2),OR(I482=INDIRECT("'["&amp;G482&amp;"]"&amp;E482&amp;"'!"&amp;$AF$2))),INDIRECT("'["&amp;G482&amp;"]"&amp;E482&amp;"'!"&amp;$AF$3),0)</f>
        <v>#VALUE!</v>
      </c>
      <c r="U482" s="34" t="e" cm="1">
        <f t="array" aca="1" ref="U482" ca="1">IF(AND(G482=INDIRECT("'["&amp;G482&amp;"]"&amp;E482&amp;"'!"&amp;$AH$2),OR(I482=INDIRECT("'["&amp;G482&amp;"]"&amp;E482&amp;"'!"&amp;$AG$2))),INDIRECT("'["&amp;G482&amp;"]"&amp;E482&amp;"'!"&amp;$AG$3),0)</f>
        <v>#VALUE!</v>
      </c>
      <c r="V482" s="25" t="str">
        <f t="shared" si="142"/>
        <v/>
      </c>
      <c r="W482" s="36" t="e" cm="1">
        <f t="array" aca="1" ref="W482" ca="1">IF(AND(G482=INDIRECT("'["&amp;G482&amp;"]"&amp;E482&amp;"'!"&amp;$AH$2),OR(V482=INDIRECT("'["&amp;G482&amp;"]"&amp;E482&amp;"'!"&amp;$AI$2))),INDIRECT("'["&amp;G482&amp;"]"&amp;E482&amp;"'!"&amp;$AI$3),0)</f>
        <v>#VALUE!</v>
      </c>
      <c r="AJ482" s="25">
        <v>1</v>
      </c>
      <c r="AK482" s="38">
        <f t="shared" ca="1" si="127"/>
        <v>0</v>
      </c>
      <c r="AL482" s="38">
        <f t="shared" ca="1" si="128"/>
        <v>0</v>
      </c>
      <c r="AM482" s="54" t="str">
        <f t="shared" ca="1" si="129"/>
        <v/>
      </c>
      <c r="AN482" s="25" t="e">
        <f t="shared" ca="1" si="130"/>
        <v>#VALUE!</v>
      </c>
      <c r="AO482" s="25" t="e">
        <f t="shared" ca="1" si="131"/>
        <v>#VALUE!</v>
      </c>
      <c r="AP482" s="39" t="str">
        <f t="shared" ca="1" si="132"/>
        <v/>
      </c>
      <c r="AQ482" s="46" t="str">
        <f ca="1">IF(AND(C482&lt;&gt;0, C483=0), SUM($C$2:C482)-SUM($AQ$1:AQ481), "")</f>
        <v/>
      </c>
      <c r="AR482" s="46" t="str">
        <f ca="1">IF(AND(AK482&lt;&gt;0, AK483=0), SUM($AK$2:AK482)-SUM($AR$1:AR481), "")</f>
        <v/>
      </c>
    </row>
    <row r="483" spans="1:44" ht="13.15" customHeight="1">
      <c r="A483" s="62"/>
      <c r="B483" s="68" t="str">
        <f t="shared" si="133"/>
        <v/>
      </c>
      <c r="C483" s="55" cm="1">
        <f t="array" aca="1" ref="C483" ca="1">SUM(IF(ISNUMBER(M483:U483),M483:U483,""))</f>
        <v>0</v>
      </c>
      <c r="D483" s="25" t="str">
        <f t="shared" si="134"/>
        <v/>
      </c>
      <c r="E483" s="25" t="e">
        <f t="shared" si="135"/>
        <v>#VALUE!</v>
      </c>
      <c r="F483" s="25" t="str">
        <f t="shared" si="136"/>
        <v/>
      </c>
      <c r="G483" s="25" t="str">
        <f t="shared" si="137"/>
        <v>.xlsx</v>
      </c>
      <c r="H483" s="29" t="e" cm="1">
        <f t="array" aca="1" ref="H483" ca="1">IF(AND(VALUE(E483)=INDIRECT("'["&amp;G483&amp;"]"&amp;E483&amp;"'!"&amp;$X$2),G483=INDIRECT("'["&amp;G483&amp;"]"&amp;E483&amp;"'!"&amp;$X$3)),INDIRECT("'["&amp;G483&amp;"]"&amp;E483&amp;"'!"&amp;$X$1),0)</f>
        <v>#VALUE!</v>
      </c>
      <c r="I483" s="25" t="str">
        <f t="shared" si="138"/>
        <v/>
      </c>
      <c r="J483" s="32" t="str">
        <f t="shared" si="139"/>
        <v/>
      </c>
      <c r="K483" s="25" t="str">
        <f t="shared" si="140"/>
        <v/>
      </c>
      <c r="L483" s="25" t="str">
        <f t="shared" si="141"/>
        <v/>
      </c>
      <c r="M483" s="33" t="e" cm="1">
        <f t="array" aca="1" ref="M483" ca="1">IF(AND(J483=INDIRECT("'["&amp;G483&amp;"]"&amp;E483&amp;"'!"&amp;$Y$2),G483=INDIRECT("'["&amp;G483&amp;"]"&amp;E483&amp;"'!"&amp;$AH$2)),INDIRECT("'["&amp;G483&amp;"]"&amp;E483&amp;"'!"&amp;$Y$3),0)</f>
        <v>#VALUE!</v>
      </c>
      <c r="N483" s="34" t="e" cm="1">
        <f t="array" aca="1" ref="N483" ca="1">IF(AND(G483=INDIRECT("'["&amp;G483&amp;"]"&amp;E483&amp;"'!"&amp;$AH$2),OR(K483=INDIRECT("'["&amp;G483&amp;"]"&amp;E483&amp;"'!"&amp;$Z$2))),INDIRECT("'["&amp;G483&amp;"]"&amp;E483&amp;"'!"&amp;$Z$3),0)</f>
        <v>#VALUE!</v>
      </c>
      <c r="O483" s="34" t="e" cm="1">
        <f t="array" aca="1" ref="O483" ca="1">IF(AND(G483=INDIRECT("'["&amp;G483&amp;"]"&amp;E483&amp;"'!"&amp;$AH$2),OR(L483=INDIRECT("'["&amp;G483&amp;"]"&amp;E483&amp;"'!"&amp;$AA$2))),INDIRECT("'["&amp;G483&amp;"]"&amp;E483&amp;"'!"&amp;$AA$3),0)</f>
        <v>#VALUE!</v>
      </c>
      <c r="P483" s="34" t="e" cm="1">
        <f t="array" aca="1" ref="P483" ca="1">IF(AND(G483=INDIRECT("'["&amp;G483&amp;"]"&amp;E483&amp;"'!"&amp;$AH$2),OR(VALUE(I483)=INDIRECT("'["&amp;G483&amp;"]"&amp;E483&amp;"'!"&amp;$AB$2))),INDIRECT("'["&amp;G483&amp;"]"&amp;E483&amp;"'!"&amp;$AB$3),0)</f>
        <v>#VALUE!</v>
      </c>
      <c r="Q483" s="34" t="e" cm="1">
        <f t="array" aca="1" ref="Q483" ca="1">IF(AND(G483=INDIRECT("'["&amp;G483&amp;"]"&amp;E483&amp;"'!"&amp;$AH$2),OR(VALUE(I483)=INDIRECT("'["&amp;G483&amp;"]"&amp;E483&amp;"'!"&amp;$AC$2))),INDIRECT("'["&amp;G483&amp;"]"&amp;E483&amp;"'!"&amp;$AC$3),0)</f>
        <v>#VALUE!</v>
      </c>
      <c r="R483" s="34" t="e" cm="1">
        <f t="array" aca="1" ref="R483" ca="1">IF(AND(G483=INDIRECT("'["&amp;G483&amp;"]"&amp;E483&amp;"'!"&amp;$AH$2),OR(I483=INDIRECT("'["&amp;G483&amp;"]"&amp;E483&amp;"'!"&amp;$AD$2))),INDIRECT("'["&amp;G483&amp;"]"&amp;E483&amp;"'!"&amp;$AD$3),0)</f>
        <v>#VALUE!</v>
      </c>
      <c r="S483" s="34" t="e" cm="1">
        <f t="array" aca="1" ref="S483" ca="1">IF(AND(G483=INDIRECT("'["&amp;G483&amp;"]"&amp;E483&amp;"'!"&amp;$AH$2),OR(I483=INDIRECT("'["&amp;G483&amp;"]"&amp;E483&amp;"'!"&amp;$AE$2))),INDIRECT("'["&amp;G483&amp;"]"&amp;E483&amp;"'!"&amp;$AE$3),0)</f>
        <v>#VALUE!</v>
      </c>
      <c r="T483" s="35" t="e" cm="1">
        <f t="array" aca="1" ref="T483" ca="1">IF(AND(G483=INDIRECT("'["&amp;G483&amp;"]"&amp;E483&amp;"'!"&amp;$AH$2),OR(I483=INDIRECT("'["&amp;G483&amp;"]"&amp;E483&amp;"'!"&amp;$AF$2))),INDIRECT("'["&amp;G483&amp;"]"&amp;E483&amp;"'!"&amp;$AF$3),0)</f>
        <v>#VALUE!</v>
      </c>
      <c r="U483" s="34" t="e" cm="1">
        <f t="array" aca="1" ref="U483" ca="1">IF(AND(G483=INDIRECT("'["&amp;G483&amp;"]"&amp;E483&amp;"'!"&amp;$AH$2),OR(I483=INDIRECT("'["&amp;G483&amp;"]"&amp;E483&amp;"'!"&amp;$AG$2))),INDIRECT("'["&amp;G483&amp;"]"&amp;E483&amp;"'!"&amp;$AG$3),0)</f>
        <v>#VALUE!</v>
      </c>
      <c r="V483" s="25" t="str">
        <f t="shared" si="142"/>
        <v/>
      </c>
      <c r="W483" s="36" t="e" cm="1">
        <f t="array" aca="1" ref="W483" ca="1">IF(AND(G483=INDIRECT("'["&amp;G483&amp;"]"&amp;E483&amp;"'!"&amp;$AH$2),OR(V483=INDIRECT("'["&amp;G483&amp;"]"&amp;E483&amp;"'!"&amp;$AI$2))),INDIRECT("'["&amp;G483&amp;"]"&amp;E483&amp;"'!"&amp;$AI$3),0)</f>
        <v>#VALUE!</v>
      </c>
      <c r="AJ483" s="25">
        <v>1</v>
      </c>
      <c r="AK483" s="38">
        <f t="shared" ca="1" si="127"/>
        <v>0</v>
      </c>
      <c r="AL483" s="38">
        <f t="shared" ca="1" si="128"/>
        <v>0</v>
      </c>
      <c r="AM483" s="54" t="str">
        <f t="shared" ca="1" si="129"/>
        <v/>
      </c>
      <c r="AN483" s="25" t="e">
        <f t="shared" ca="1" si="130"/>
        <v>#VALUE!</v>
      </c>
      <c r="AO483" s="25" t="e">
        <f t="shared" ca="1" si="131"/>
        <v>#VALUE!</v>
      </c>
      <c r="AP483" s="39" t="str">
        <f t="shared" ca="1" si="132"/>
        <v/>
      </c>
      <c r="AQ483" s="46" t="str">
        <f ca="1">IF(AND(C483&lt;&gt;0, C484=0), SUM($C$2:C483)-SUM($AQ$1:AQ482), "")</f>
        <v/>
      </c>
      <c r="AR483" s="46" t="str">
        <f ca="1">IF(AND(AK483&lt;&gt;0, AK484=0), SUM($AK$2:AK483)-SUM($AR$1:AR482), "")</f>
        <v/>
      </c>
    </row>
    <row r="484" spans="1:44" ht="13.15" customHeight="1">
      <c r="A484" s="62"/>
      <c r="B484" s="68" t="str">
        <f t="shared" si="133"/>
        <v/>
      </c>
      <c r="C484" s="55" cm="1">
        <f t="array" aca="1" ref="C484" ca="1">SUM(IF(ISNUMBER(M484:U484),M484:U484,""))</f>
        <v>0</v>
      </c>
      <c r="D484" s="25" t="str">
        <f t="shared" si="134"/>
        <v/>
      </c>
      <c r="E484" s="25" t="e">
        <f t="shared" si="135"/>
        <v>#VALUE!</v>
      </c>
      <c r="F484" s="25" t="str">
        <f t="shared" si="136"/>
        <v/>
      </c>
      <c r="G484" s="25" t="str">
        <f t="shared" si="137"/>
        <v>.xlsx</v>
      </c>
      <c r="H484" s="29" t="e" cm="1">
        <f t="array" aca="1" ref="H484" ca="1">IF(AND(VALUE(E484)=INDIRECT("'["&amp;G484&amp;"]"&amp;E484&amp;"'!"&amp;$X$2),G484=INDIRECT("'["&amp;G484&amp;"]"&amp;E484&amp;"'!"&amp;$X$3)),INDIRECT("'["&amp;G484&amp;"]"&amp;E484&amp;"'!"&amp;$X$1),0)</f>
        <v>#VALUE!</v>
      </c>
      <c r="I484" s="25" t="str">
        <f t="shared" si="138"/>
        <v/>
      </c>
      <c r="J484" s="32" t="str">
        <f t="shared" si="139"/>
        <v/>
      </c>
      <c r="K484" s="25" t="str">
        <f t="shared" si="140"/>
        <v/>
      </c>
      <c r="L484" s="25" t="str">
        <f t="shared" si="141"/>
        <v/>
      </c>
      <c r="M484" s="33" t="e" cm="1">
        <f t="array" aca="1" ref="M484" ca="1">IF(AND(J484=INDIRECT("'["&amp;G484&amp;"]"&amp;E484&amp;"'!"&amp;$Y$2),G484=INDIRECT("'["&amp;G484&amp;"]"&amp;E484&amp;"'!"&amp;$AH$2)),INDIRECT("'["&amp;G484&amp;"]"&amp;E484&amp;"'!"&amp;$Y$3),0)</f>
        <v>#VALUE!</v>
      </c>
      <c r="N484" s="34" t="e" cm="1">
        <f t="array" aca="1" ref="N484" ca="1">IF(AND(G484=INDIRECT("'["&amp;G484&amp;"]"&amp;E484&amp;"'!"&amp;$AH$2),OR(K484=INDIRECT("'["&amp;G484&amp;"]"&amp;E484&amp;"'!"&amp;$Z$2))),INDIRECT("'["&amp;G484&amp;"]"&amp;E484&amp;"'!"&amp;$Z$3),0)</f>
        <v>#VALUE!</v>
      </c>
      <c r="O484" s="34" t="e" cm="1">
        <f t="array" aca="1" ref="O484" ca="1">IF(AND(G484=INDIRECT("'["&amp;G484&amp;"]"&amp;E484&amp;"'!"&amp;$AH$2),OR(L484=INDIRECT("'["&amp;G484&amp;"]"&amp;E484&amp;"'!"&amp;$AA$2))),INDIRECT("'["&amp;G484&amp;"]"&amp;E484&amp;"'!"&amp;$AA$3),0)</f>
        <v>#VALUE!</v>
      </c>
      <c r="P484" s="34" t="e" cm="1">
        <f t="array" aca="1" ref="P484" ca="1">IF(AND(G484=INDIRECT("'["&amp;G484&amp;"]"&amp;E484&amp;"'!"&amp;$AH$2),OR(VALUE(I484)=INDIRECT("'["&amp;G484&amp;"]"&amp;E484&amp;"'!"&amp;$AB$2))),INDIRECT("'["&amp;G484&amp;"]"&amp;E484&amp;"'!"&amp;$AB$3),0)</f>
        <v>#VALUE!</v>
      </c>
      <c r="Q484" s="34" t="e" cm="1">
        <f t="array" aca="1" ref="Q484" ca="1">IF(AND(G484=INDIRECT("'["&amp;G484&amp;"]"&amp;E484&amp;"'!"&amp;$AH$2),OR(VALUE(I484)=INDIRECT("'["&amp;G484&amp;"]"&amp;E484&amp;"'!"&amp;$AC$2))),INDIRECT("'["&amp;G484&amp;"]"&amp;E484&amp;"'!"&amp;$AC$3),0)</f>
        <v>#VALUE!</v>
      </c>
      <c r="R484" s="34" t="e" cm="1">
        <f t="array" aca="1" ref="R484" ca="1">IF(AND(G484=INDIRECT("'["&amp;G484&amp;"]"&amp;E484&amp;"'!"&amp;$AH$2),OR(I484=INDIRECT("'["&amp;G484&amp;"]"&amp;E484&amp;"'!"&amp;$AD$2))),INDIRECT("'["&amp;G484&amp;"]"&amp;E484&amp;"'!"&amp;$AD$3),0)</f>
        <v>#VALUE!</v>
      </c>
      <c r="S484" s="34" t="e" cm="1">
        <f t="array" aca="1" ref="S484" ca="1">IF(AND(G484=INDIRECT("'["&amp;G484&amp;"]"&amp;E484&amp;"'!"&amp;$AH$2),OR(I484=INDIRECT("'["&amp;G484&amp;"]"&amp;E484&amp;"'!"&amp;$AE$2))),INDIRECT("'["&amp;G484&amp;"]"&amp;E484&amp;"'!"&amp;$AE$3),0)</f>
        <v>#VALUE!</v>
      </c>
      <c r="T484" s="35" t="e" cm="1">
        <f t="array" aca="1" ref="T484" ca="1">IF(AND(G484=INDIRECT("'["&amp;G484&amp;"]"&amp;E484&amp;"'!"&amp;$AH$2),OR(I484=INDIRECT("'["&amp;G484&amp;"]"&amp;E484&amp;"'!"&amp;$AF$2))),INDIRECT("'["&amp;G484&amp;"]"&amp;E484&amp;"'!"&amp;$AF$3),0)</f>
        <v>#VALUE!</v>
      </c>
      <c r="U484" s="34" t="e" cm="1">
        <f t="array" aca="1" ref="U484" ca="1">IF(AND(G484=INDIRECT("'["&amp;G484&amp;"]"&amp;E484&amp;"'!"&amp;$AH$2),OR(I484=INDIRECT("'["&amp;G484&amp;"]"&amp;E484&amp;"'!"&amp;$AG$2))),INDIRECT("'["&amp;G484&amp;"]"&amp;E484&amp;"'!"&amp;$AG$3),0)</f>
        <v>#VALUE!</v>
      </c>
      <c r="V484" s="25" t="str">
        <f t="shared" si="142"/>
        <v/>
      </c>
      <c r="W484" s="36" t="e" cm="1">
        <f t="array" aca="1" ref="W484" ca="1">IF(AND(G484=INDIRECT("'["&amp;G484&amp;"]"&amp;E484&amp;"'!"&amp;$AH$2),OR(V484=INDIRECT("'["&amp;G484&amp;"]"&amp;E484&amp;"'!"&amp;$AI$2))),INDIRECT("'["&amp;G484&amp;"]"&amp;E484&amp;"'!"&amp;$AI$3),0)</f>
        <v>#VALUE!</v>
      </c>
      <c r="AJ484" s="25">
        <v>1</v>
      </c>
      <c r="AK484" s="38">
        <f t="shared" ca="1" si="127"/>
        <v>0</v>
      </c>
      <c r="AL484" s="38">
        <f t="shared" ca="1" si="128"/>
        <v>0</v>
      </c>
      <c r="AM484" s="54" t="str">
        <f t="shared" ca="1" si="129"/>
        <v/>
      </c>
      <c r="AN484" s="25" t="e">
        <f t="shared" ca="1" si="130"/>
        <v>#VALUE!</v>
      </c>
      <c r="AO484" s="25" t="e">
        <f t="shared" ca="1" si="131"/>
        <v>#VALUE!</v>
      </c>
      <c r="AP484" s="39" t="str">
        <f t="shared" ca="1" si="132"/>
        <v/>
      </c>
      <c r="AQ484" s="46" t="str">
        <f ca="1">IF(AND(C484&lt;&gt;0, C485=0), SUM($C$2:C484)-SUM($AQ$1:AQ483), "")</f>
        <v/>
      </c>
      <c r="AR484" s="46" t="str">
        <f ca="1">IF(AND(AK484&lt;&gt;0, AK485=0), SUM($AK$2:AK484)-SUM($AR$1:AR483), "")</f>
        <v/>
      </c>
    </row>
    <row r="485" spans="1:44" ht="13.15" customHeight="1">
      <c r="A485" s="62"/>
      <c r="B485" s="68" t="str">
        <f t="shared" si="133"/>
        <v/>
      </c>
      <c r="C485" s="55" cm="1">
        <f t="array" aca="1" ref="C485" ca="1">SUM(IF(ISNUMBER(M485:U485),M485:U485,""))</f>
        <v>0</v>
      </c>
      <c r="D485" s="25" t="str">
        <f t="shared" si="134"/>
        <v/>
      </c>
      <c r="E485" s="25" t="e">
        <f t="shared" si="135"/>
        <v>#VALUE!</v>
      </c>
      <c r="F485" s="25" t="str">
        <f t="shared" si="136"/>
        <v/>
      </c>
      <c r="G485" s="25" t="str">
        <f t="shared" si="137"/>
        <v>.xlsx</v>
      </c>
      <c r="H485" s="29" t="e" cm="1">
        <f t="array" aca="1" ref="H485" ca="1">IF(AND(VALUE(E485)=INDIRECT("'["&amp;G485&amp;"]"&amp;E485&amp;"'!"&amp;$X$2),G485=INDIRECT("'["&amp;G485&amp;"]"&amp;E485&amp;"'!"&amp;$X$3)),INDIRECT("'["&amp;G485&amp;"]"&amp;E485&amp;"'!"&amp;$X$1),0)</f>
        <v>#VALUE!</v>
      </c>
      <c r="I485" s="25" t="str">
        <f t="shared" si="138"/>
        <v/>
      </c>
      <c r="J485" s="32" t="str">
        <f t="shared" si="139"/>
        <v/>
      </c>
      <c r="K485" s="25" t="str">
        <f t="shared" si="140"/>
        <v/>
      </c>
      <c r="L485" s="25" t="str">
        <f t="shared" si="141"/>
        <v/>
      </c>
      <c r="M485" s="33" t="e" cm="1">
        <f t="array" aca="1" ref="M485" ca="1">IF(AND(J485=INDIRECT("'["&amp;G485&amp;"]"&amp;E485&amp;"'!"&amp;$Y$2),G485=INDIRECT("'["&amp;G485&amp;"]"&amp;E485&amp;"'!"&amp;$AH$2)),INDIRECT("'["&amp;G485&amp;"]"&amp;E485&amp;"'!"&amp;$Y$3),0)</f>
        <v>#VALUE!</v>
      </c>
      <c r="N485" s="34" t="e" cm="1">
        <f t="array" aca="1" ref="N485" ca="1">IF(AND(G485=INDIRECT("'["&amp;G485&amp;"]"&amp;E485&amp;"'!"&amp;$AH$2),OR(K485=INDIRECT("'["&amp;G485&amp;"]"&amp;E485&amp;"'!"&amp;$Z$2))),INDIRECT("'["&amp;G485&amp;"]"&amp;E485&amp;"'!"&amp;$Z$3),0)</f>
        <v>#VALUE!</v>
      </c>
      <c r="O485" s="34" t="e" cm="1">
        <f t="array" aca="1" ref="O485" ca="1">IF(AND(G485=INDIRECT("'["&amp;G485&amp;"]"&amp;E485&amp;"'!"&amp;$AH$2),OR(L485=INDIRECT("'["&amp;G485&amp;"]"&amp;E485&amp;"'!"&amp;$AA$2))),INDIRECT("'["&amp;G485&amp;"]"&amp;E485&amp;"'!"&amp;$AA$3),0)</f>
        <v>#VALUE!</v>
      </c>
      <c r="P485" s="34" t="e" cm="1">
        <f t="array" aca="1" ref="P485" ca="1">IF(AND(G485=INDIRECT("'["&amp;G485&amp;"]"&amp;E485&amp;"'!"&amp;$AH$2),OR(VALUE(I485)=INDIRECT("'["&amp;G485&amp;"]"&amp;E485&amp;"'!"&amp;$AB$2))),INDIRECT("'["&amp;G485&amp;"]"&amp;E485&amp;"'!"&amp;$AB$3),0)</f>
        <v>#VALUE!</v>
      </c>
      <c r="Q485" s="34" t="e" cm="1">
        <f t="array" aca="1" ref="Q485" ca="1">IF(AND(G485=INDIRECT("'["&amp;G485&amp;"]"&amp;E485&amp;"'!"&amp;$AH$2),OR(VALUE(I485)=INDIRECT("'["&amp;G485&amp;"]"&amp;E485&amp;"'!"&amp;$AC$2))),INDIRECT("'["&amp;G485&amp;"]"&amp;E485&amp;"'!"&amp;$AC$3),0)</f>
        <v>#VALUE!</v>
      </c>
      <c r="R485" s="34" t="e" cm="1">
        <f t="array" aca="1" ref="R485" ca="1">IF(AND(G485=INDIRECT("'["&amp;G485&amp;"]"&amp;E485&amp;"'!"&amp;$AH$2),OR(I485=INDIRECT("'["&amp;G485&amp;"]"&amp;E485&amp;"'!"&amp;$AD$2))),INDIRECT("'["&amp;G485&amp;"]"&amp;E485&amp;"'!"&amp;$AD$3),0)</f>
        <v>#VALUE!</v>
      </c>
      <c r="S485" s="34" t="e" cm="1">
        <f t="array" aca="1" ref="S485" ca="1">IF(AND(G485=INDIRECT("'["&amp;G485&amp;"]"&amp;E485&amp;"'!"&amp;$AH$2),OR(I485=INDIRECT("'["&amp;G485&amp;"]"&amp;E485&amp;"'!"&amp;$AE$2))),INDIRECT("'["&amp;G485&amp;"]"&amp;E485&amp;"'!"&amp;$AE$3),0)</f>
        <v>#VALUE!</v>
      </c>
      <c r="T485" s="35" t="e" cm="1">
        <f t="array" aca="1" ref="T485" ca="1">IF(AND(G485=INDIRECT("'["&amp;G485&amp;"]"&amp;E485&amp;"'!"&amp;$AH$2),OR(I485=INDIRECT("'["&amp;G485&amp;"]"&amp;E485&amp;"'!"&amp;$AF$2))),INDIRECT("'["&amp;G485&amp;"]"&amp;E485&amp;"'!"&amp;$AF$3),0)</f>
        <v>#VALUE!</v>
      </c>
      <c r="U485" s="34" t="e" cm="1">
        <f t="array" aca="1" ref="U485" ca="1">IF(AND(G485=INDIRECT("'["&amp;G485&amp;"]"&amp;E485&amp;"'!"&amp;$AH$2),OR(I485=INDIRECT("'["&amp;G485&amp;"]"&amp;E485&amp;"'!"&amp;$AG$2))),INDIRECT("'["&amp;G485&amp;"]"&amp;E485&amp;"'!"&amp;$AG$3),0)</f>
        <v>#VALUE!</v>
      </c>
      <c r="V485" s="25" t="str">
        <f t="shared" si="142"/>
        <v/>
      </c>
      <c r="W485" s="36" t="e" cm="1">
        <f t="array" aca="1" ref="W485" ca="1">IF(AND(G485=INDIRECT("'["&amp;G485&amp;"]"&amp;E485&amp;"'!"&amp;$AH$2),OR(V485=INDIRECT("'["&amp;G485&amp;"]"&amp;E485&amp;"'!"&amp;$AI$2))),INDIRECT("'["&amp;G485&amp;"]"&amp;E485&amp;"'!"&amp;$AI$3),0)</f>
        <v>#VALUE!</v>
      </c>
      <c r="AJ485" s="25">
        <v>1</v>
      </c>
      <c r="AK485" s="38">
        <f t="shared" ca="1" si="127"/>
        <v>0</v>
      </c>
      <c r="AL485" s="38">
        <f t="shared" ca="1" si="128"/>
        <v>0</v>
      </c>
      <c r="AM485" s="54" t="str">
        <f t="shared" ca="1" si="129"/>
        <v/>
      </c>
      <c r="AN485" s="25" t="e">
        <f t="shared" ca="1" si="130"/>
        <v>#VALUE!</v>
      </c>
      <c r="AO485" s="25" t="e">
        <f t="shared" ca="1" si="131"/>
        <v>#VALUE!</v>
      </c>
      <c r="AP485" s="39" t="str">
        <f t="shared" ca="1" si="132"/>
        <v/>
      </c>
      <c r="AQ485" s="46" t="str">
        <f ca="1">IF(AND(C485&lt;&gt;0, C486=0), SUM($C$2:C485)-SUM($AQ$1:AQ484), "")</f>
        <v/>
      </c>
      <c r="AR485" s="46" t="str">
        <f ca="1">IF(AND(AK485&lt;&gt;0, AK486=0), SUM($AK$2:AK485)-SUM($AR$1:AR484), "")</f>
        <v/>
      </c>
    </row>
    <row r="486" spans="1:44" ht="13.15" customHeight="1">
      <c r="A486" s="62"/>
      <c r="B486" s="68" t="str">
        <f t="shared" si="133"/>
        <v/>
      </c>
      <c r="C486" s="55" cm="1">
        <f t="array" aca="1" ref="C486" ca="1">SUM(IF(ISNUMBER(M486:U486),M486:U486,""))</f>
        <v>0</v>
      </c>
      <c r="D486" s="25" t="str">
        <f t="shared" si="134"/>
        <v/>
      </c>
      <c r="E486" s="25" t="e">
        <f t="shared" si="135"/>
        <v>#VALUE!</v>
      </c>
      <c r="F486" s="25" t="str">
        <f t="shared" si="136"/>
        <v/>
      </c>
      <c r="G486" s="25" t="str">
        <f t="shared" si="137"/>
        <v>.xlsx</v>
      </c>
      <c r="H486" s="29" t="e" cm="1">
        <f t="array" aca="1" ref="H486" ca="1">IF(AND(VALUE(E486)=INDIRECT("'["&amp;G486&amp;"]"&amp;E486&amp;"'!"&amp;$X$2),G486=INDIRECT("'["&amp;G486&amp;"]"&amp;E486&amp;"'!"&amp;$X$3)),INDIRECT("'["&amp;G486&amp;"]"&amp;E486&amp;"'!"&amp;$X$1),0)</f>
        <v>#VALUE!</v>
      </c>
      <c r="I486" s="25" t="str">
        <f t="shared" si="138"/>
        <v/>
      </c>
      <c r="J486" s="32" t="str">
        <f t="shared" si="139"/>
        <v/>
      </c>
      <c r="K486" s="25" t="str">
        <f t="shared" si="140"/>
        <v/>
      </c>
      <c r="L486" s="25" t="str">
        <f t="shared" si="141"/>
        <v/>
      </c>
      <c r="M486" s="33" t="e" cm="1">
        <f t="array" aca="1" ref="M486" ca="1">IF(AND(J486=INDIRECT("'["&amp;G486&amp;"]"&amp;E486&amp;"'!"&amp;$Y$2),G486=INDIRECT("'["&amp;G486&amp;"]"&amp;E486&amp;"'!"&amp;$AH$2)),INDIRECT("'["&amp;G486&amp;"]"&amp;E486&amp;"'!"&amp;$Y$3),0)</f>
        <v>#VALUE!</v>
      </c>
      <c r="N486" s="34" t="e" cm="1">
        <f t="array" aca="1" ref="N486" ca="1">IF(AND(G486=INDIRECT("'["&amp;G486&amp;"]"&amp;E486&amp;"'!"&amp;$AH$2),OR(K486=INDIRECT("'["&amp;G486&amp;"]"&amp;E486&amp;"'!"&amp;$Z$2))),INDIRECT("'["&amp;G486&amp;"]"&amp;E486&amp;"'!"&amp;$Z$3),0)</f>
        <v>#VALUE!</v>
      </c>
      <c r="O486" s="34" t="e" cm="1">
        <f t="array" aca="1" ref="O486" ca="1">IF(AND(G486=INDIRECT("'["&amp;G486&amp;"]"&amp;E486&amp;"'!"&amp;$AH$2),OR(L486=INDIRECT("'["&amp;G486&amp;"]"&amp;E486&amp;"'!"&amp;$AA$2))),INDIRECT("'["&amp;G486&amp;"]"&amp;E486&amp;"'!"&amp;$AA$3),0)</f>
        <v>#VALUE!</v>
      </c>
      <c r="P486" s="34" t="e" cm="1">
        <f t="array" aca="1" ref="P486" ca="1">IF(AND(G486=INDIRECT("'["&amp;G486&amp;"]"&amp;E486&amp;"'!"&amp;$AH$2),OR(VALUE(I486)=INDIRECT("'["&amp;G486&amp;"]"&amp;E486&amp;"'!"&amp;$AB$2))),INDIRECT("'["&amp;G486&amp;"]"&amp;E486&amp;"'!"&amp;$AB$3),0)</f>
        <v>#VALUE!</v>
      </c>
      <c r="Q486" s="34" t="e" cm="1">
        <f t="array" aca="1" ref="Q486" ca="1">IF(AND(G486=INDIRECT("'["&amp;G486&amp;"]"&amp;E486&amp;"'!"&amp;$AH$2),OR(VALUE(I486)=INDIRECT("'["&amp;G486&amp;"]"&amp;E486&amp;"'!"&amp;$AC$2))),INDIRECT("'["&amp;G486&amp;"]"&amp;E486&amp;"'!"&amp;$AC$3),0)</f>
        <v>#VALUE!</v>
      </c>
      <c r="R486" s="34" t="e" cm="1">
        <f t="array" aca="1" ref="R486" ca="1">IF(AND(G486=INDIRECT("'["&amp;G486&amp;"]"&amp;E486&amp;"'!"&amp;$AH$2),OR(I486=INDIRECT("'["&amp;G486&amp;"]"&amp;E486&amp;"'!"&amp;$AD$2))),INDIRECT("'["&amp;G486&amp;"]"&amp;E486&amp;"'!"&amp;$AD$3),0)</f>
        <v>#VALUE!</v>
      </c>
      <c r="S486" s="34" t="e" cm="1">
        <f t="array" aca="1" ref="S486" ca="1">IF(AND(G486=INDIRECT("'["&amp;G486&amp;"]"&amp;E486&amp;"'!"&amp;$AH$2),OR(I486=INDIRECT("'["&amp;G486&amp;"]"&amp;E486&amp;"'!"&amp;$AE$2))),INDIRECT("'["&amp;G486&amp;"]"&amp;E486&amp;"'!"&amp;$AE$3),0)</f>
        <v>#VALUE!</v>
      </c>
      <c r="T486" s="35" t="e" cm="1">
        <f t="array" aca="1" ref="T486" ca="1">IF(AND(G486=INDIRECT("'["&amp;G486&amp;"]"&amp;E486&amp;"'!"&amp;$AH$2),OR(I486=INDIRECT("'["&amp;G486&amp;"]"&amp;E486&amp;"'!"&amp;$AF$2))),INDIRECT("'["&amp;G486&amp;"]"&amp;E486&amp;"'!"&amp;$AF$3),0)</f>
        <v>#VALUE!</v>
      </c>
      <c r="U486" s="34" t="e" cm="1">
        <f t="array" aca="1" ref="U486" ca="1">IF(AND(G486=INDIRECT("'["&amp;G486&amp;"]"&amp;E486&amp;"'!"&amp;$AH$2),OR(I486=INDIRECT("'["&amp;G486&amp;"]"&amp;E486&amp;"'!"&amp;$AG$2))),INDIRECT("'["&amp;G486&amp;"]"&amp;E486&amp;"'!"&amp;$AG$3),0)</f>
        <v>#VALUE!</v>
      </c>
      <c r="V486" s="25" t="str">
        <f t="shared" si="142"/>
        <v/>
      </c>
      <c r="W486" s="36" t="e" cm="1">
        <f t="array" aca="1" ref="W486" ca="1">IF(AND(G486=INDIRECT("'["&amp;G486&amp;"]"&amp;E486&amp;"'!"&amp;$AH$2),OR(V486=INDIRECT("'["&amp;G486&amp;"]"&amp;E486&amp;"'!"&amp;$AI$2))),INDIRECT("'["&amp;G486&amp;"]"&amp;E486&amp;"'!"&amp;$AI$3),0)</f>
        <v>#VALUE!</v>
      </c>
      <c r="AJ486" s="25">
        <v>1</v>
      </c>
      <c r="AK486" s="38">
        <f t="shared" ca="1" si="127"/>
        <v>0</v>
      </c>
      <c r="AL486" s="38">
        <f t="shared" ca="1" si="128"/>
        <v>0</v>
      </c>
      <c r="AM486" s="54" t="str">
        <f t="shared" ca="1" si="129"/>
        <v/>
      </c>
      <c r="AN486" s="25" t="e">
        <f t="shared" ca="1" si="130"/>
        <v>#VALUE!</v>
      </c>
      <c r="AO486" s="25" t="e">
        <f t="shared" ca="1" si="131"/>
        <v>#VALUE!</v>
      </c>
      <c r="AP486" s="39" t="str">
        <f t="shared" ca="1" si="132"/>
        <v/>
      </c>
      <c r="AQ486" s="46" t="str">
        <f ca="1">IF(AND(C486&lt;&gt;0, C487=0), SUM($C$2:C486)-SUM($AQ$1:AQ485), "")</f>
        <v/>
      </c>
      <c r="AR486" s="46" t="str">
        <f ca="1">IF(AND(AK486&lt;&gt;0, AK487=0), SUM($AK$2:AK486)-SUM($AR$1:AR485), "")</f>
        <v/>
      </c>
    </row>
    <row r="487" spans="1:44" ht="13.15" customHeight="1">
      <c r="A487" s="62"/>
      <c r="B487" s="68" t="str">
        <f t="shared" si="133"/>
        <v/>
      </c>
      <c r="C487" s="55" cm="1">
        <f t="array" aca="1" ref="C487" ca="1">SUM(IF(ISNUMBER(M487:U487),M487:U487,""))</f>
        <v>0</v>
      </c>
      <c r="D487" s="25" t="str">
        <f t="shared" si="134"/>
        <v/>
      </c>
      <c r="E487" s="25" t="e">
        <f t="shared" si="135"/>
        <v>#VALUE!</v>
      </c>
      <c r="F487" s="25" t="str">
        <f t="shared" si="136"/>
        <v/>
      </c>
      <c r="G487" s="25" t="str">
        <f t="shared" si="137"/>
        <v>.xlsx</v>
      </c>
      <c r="H487" s="29" t="e" cm="1">
        <f t="array" aca="1" ref="H487" ca="1">IF(AND(VALUE(E487)=INDIRECT("'["&amp;G487&amp;"]"&amp;E487&amp;"'!"&amp;$X$2),G487=INDIRECT("'["&amp;G487&amp;"]"&amp;E487&amp;"'!"&amp;$X$3)),INDIRECT("'["&amp;G487&amp;"]"&amp;E487&amp;"'!"&amp;$X$1),0)</f>
        <v>#VALUE!</v>
      </c>
      <c r="I487" s="25" t="str">
        <f t="shared" si="138"/>
        <v/>
      </c>
      <c r="J487" s="32" t="str">
        <f t="shared" si="139"/>
        <v/>
      </c>
      <c r="K487" s="25" t="str">
        <f t="shared" si="140"/>
        <v/>
      </c>
      <c r="L487" s="25" t="str">
        <f t="shared" si="141"/>
        <v/>
      </c>
      <c r="M487" s="33" t="e" cm="1">
        <f t="array" aca="1" ref="M487" ca="1">IF(AND(J487=INDIRECT("'["&amp;G487&amp;"]"&amp;E487&amp;"'!"&amp;$Y$2),G487=INDIRECT("'["&amp;G487&amp;"]"&amp;E487&amp;"'!"&amp;$AH$2)),INDIRECT("'["&amp;G487&amp;"]"&amp;E487&amp;"'!"&amp;$Y$3),0)</f>
        <v>#VALUE!</v>
      </c>
      <c r="N487" s="34" t="e" cm="1">
        <f t="array" aca="1" ref="N487" ca="1">IF(AND(G487=INDIRECT("'["&amp;G487&amp;"]"&amp;E487&amp;"'!"&amp;$AH$2),OR(K487=INDIRECT("'["&amp;G487&amp;"]"&amp;E487&amp;"'!"&amp;$Z$2))),INDIRECT("'["&amp;G487&amp;"]"&amp;E487&amp;"'!"&amp;$Z$3),0)</f>
        <v>#VALUE!</v>
      </c>
      <c r="O487" s="34" t="e" cm="1">
        <f t="array" aca="1" ref="O487" ca="1">IF(AND(G487=INDIRECT("'["&amp;G487&amp;"]"&amp;E487&amp;"'!"&amp;$AH$2),OR(L487=INDIRECT("'["&amp;G487&amp;"]"&amp;E487&amp;"'!"&amp;$AA$2))),INDIRECT("'["&amp;G487&amp;"]"&amp;E487&amp;"'!"&amp;$AA$3),0)</f>
        <v>#VALUE!</v>
      </c>
      <c r="P487" s="34" t="e" cm="1">
        <f t="array" aca="1" ref="P487" ca="1">IF(AND(G487=INDIRECT("'["&amp;G487&amp;"]"&amp;E487&amp;"'!"&amp;$AH$2),OR(VALUE(I487)=INDIRECT("'["&amp;G487&amp;"]"&amp;E487&amp;"'!"&amp;$AB$2))),INDIRECT("'["&amp;G487&amp;"]"&amp;E487&amp;"'!"&amp;$AB$3),0)</f>
        <v>#VALUE!</v>
      </c>
      <c r="Q487" s="34" t="e" cm="1">
        <f t="array" aca="1" ref="Q487" ca="1">IF(AND(G487=INDIRECT("'["&amp;G487&amp;"]"&amp;E487&amp;"'!"&amp;$AH$2),OR(VALUE(I487)=INDIRECT("'["&amp;G487&amp;"]"&amp;E487&amp;"'!"&amp;$AC$2))),INDIRECT("'["&amp;G487&amp;"]"&amp;E487&amp;"'!"&amp;$AC$3),0)</f>
        <v>#VALUE!</v>
      </c>
      <c r="R487" s="34" t="e" cm="1">
        <f t="array" aca="1" ref="R487" ca="1">IF(AND(G487=INDIRECT("'["&amp;G487&amp;"]"&amp;E487&amp;"'!"&amp;$AH$2),OR(I487=INDIRECT("'["&amp;G487&amp;"]"&amp;E487&amp;"'!"&amp;$AD$2))),INDIRECT("'["&amp;G487&amp;"]"&amp;E487&amp;"'!"&amp;$AD$3),0)</f>
        <v>#VALUE!</v>
      </c>
      <c r="S487" s="34" t="e" cm="1">
        <f t="array" aca="1" ref="S487" ca="1">IF(AND(G487=INDIRECT("'["&amp;G487&amp;"]"&amp;E487&amp;"'!"&amp;$AH$2),OR(I487=INDIRECT("'["&amp;G487&amp;"]"&amp;E487&amp;"'!"&amp;$AE$2))),INDIRECT("'["&amp;G487&amp;"]"&amp;E487&amp;"'!"&amp;$AE$3),0)</f>
        <v>#VALUE!</v>
      </c>
      <c r="T487" s="35" t="e" cm="1">
        <f t="array" aca="1" ref="T487" ca="1">IF(AND(G487=INDIRECT("'["&amp;G487&amp;"]"&amp;E487&amp;"'!"&amp;$AH$2),OR(I487=INDIRECT("'["&amp;G487&amp;"]"&amp;E487&amp;"'!"&amp;$AF$2))),INDIRECT("'["&amp;G487&amp;"]"&amp;E487&amp;"'!"&amp;$AF$3),0)</f>
        <v>#VALUE!</v>
      </c>
      <c r="U487" s="34" t="e" cm="1">
        <f t="array" aca="1" ref="U487" ca="1">IF(AND(G487=INDIRECT("'["&amp;G487&amp;"]"&amp;E487&amp;"'!"&amp;$AH$2),OR(I487=INDIRECT("'["&amp;G487&amp;"]"&amp;E487&amp;"'!"&amp;$AG$2))),INDIRECT("'["&amp;G487&amp;"]"&amp;E487&amp;"'!"&amp;$AG$3),0)</f>
        <v>#VALUE!</v>
      </c>
      <c r="V487" s="25" t="str">
        <f t="shared" si="142"/>
        <v/>
      </c>
      <c r="W487" s="36" t="e" cm="1">
        <f t="array" aca="1" ref="W487" ca="1">IF(AND(G487=INDIRECT("'["&amp;G487&amp;"]"&amp;E487&amp;"'!"&amp;$AH$2),OR(V487=INDIRECT("'["&amp;G487&amp;"]"&amp;E487&amp;"'!"&amp;$AI$2))),INDIRECT("'["&amp;G487&amp;"]"&amp;E487&amp;"'!"&amp;$AI$3),0)</f>
        <v>#VALUE!</v>
      </c>
      <c r="AJ487" s="25">
        <v>1</v>
      </c>
      <c r="AK487" s="38">
        <f t="shared" ca="1" si="127"/>
        <v>0</v>
      </c>
      <c r="AL487" s="38">
        <f t="shared" ca="1" si="128"/>
        <v>0</v>
      </c>
      <c r="AM487" s="54" t="str">
        <f t="shared" ca="1" si="129"/>
        <v/>
      </c>
      <c r="AN487" s="25" t="e">
        <f t="shared" ca="1" si="130"/>
        <v>#VALUE!</v>
      </c>
      <c r="AO487" s="25" t="e">
        <f t="shared" ca="1" si="131"/>
        <v>#VALUE!</v>
      </c>
      <c r="AP487" s="39" t="str">
        <f t="shared" ca="1" si="132"/>
        <v/>
      </c>
      <c r="AQ487" s="46" t="str">
        <f ca="1">IF(AND(C487&lt;&gt;0, C488=0), SUM($C$2:C487)-SUM($AQ$1:AQ486), "")</f>
        <v/>
      </c>
      <c r="AR487" s="46" t="str">
        <f ca="1">IF(AND(AK487&lt;&gt;0, AK488=0), SUM($AK$2:AK487)-SUM($AR$1:AR486), "")</f>
        <v/>
      </c>
    </row>
    <row r="488" spans="1:44" ht="13.15" customHeight="1">
      <c r="A488" s="62"/>
      <c r="B488" s="68" t="str">
        <f t="shared" si="133"/>
        <v/>
      </c>
      <c r="C488" s="55" cm="1">
        <f t="array" aca="1" ref="C488" ca="1">SUM(IF(ISNUMBER(M488:U488),M488:U488,""))</f>
        <v>0</v>
      </c>
      <c r="D488" s="25" t="str">
        <f t="shared" si="134"/>
        <v/>
      </c>
      <c r="E488" s="25" t="e">
        <f t="shared" si="135"/>
        <v>#VALUE!</v>
      </c>
      <c r="F488" s="25" t="str">
        <f t="shared" si="136"/>
        <v/>
      </c>
      <c r="G488" s="25" t="str">
        <f t="shared" si="137"/>
        <v>.xlsx</v>
      </c>
      <c r="H488" s="29" t="e" cm="1">
        <f t="array" aca="1" ref="H488" ca="1">IF(AND(VALUE(E488)=INDIRECT("'["&amp;G488&amp;"]"&amp;E488&amp;"'!"&amp;$X$2),G488=INDIRECT("'["&amp;G488&amp;"]"&amp;E488&amp;"'!"&amp;$X$3)),INDIRECT("'["&amp;G488&amp;"]"&amp;E488&amp;"'!"&amp;$X$1),0)</f>
        <v>#VALUE!</v>
      </c>
      <c r="I488" s="25" t="str">
        <f t="shared" si="138"/>
        <v/>
      </c>
      <c r="J488" s="32" t="str">
        <f t="shared" si="139"/>
        <v/>
      </c>
      <c r="K488" s="25" t="str">
        <f t="shared" si="140"/>
        <v/>
      </c>
      <c r="L488" s="25" t="str">
        <f t="shared" si="141"/>
        <v/>
      </c>
      <c r="M488" s="33" t="e" cm="1">
        <f t="array" aca="1" ref="M488" ca="1">IF(AND(J488=INDIRECT("'["&amp;G488&amp;"]"&amp;E488&amp;"'!"&amp;$Y$2),G488=INDIRECT("'["&amp;G488&amp;"]"&amp;E488&amp;"'!"&amp;$AH$2)),INDIRECT("'["&amp;G488&amp;"]"&amp;E488&amp;"'!"&amp;$Y$3),0)</f>
        <v>#VALUE!</v>
      </c>
      <c r="N488" s="34" t="e" cm="1">
        <f t="array" aca="1" ref="N488" ca="1">IF(AND(G488=INDIRECT("'["&amp;G488&amp;"]"&amp;E488&amp;"'!"&amp;$AH$2),OR(K488=INDIRECT("'["&amp;G488&amp;"]"&amp;E488&amp;"'!"&amp;$Z$2))),INDIRECT("'["&amp;G488&amp;"]"&amp;E488&amp;"'!"&amp;$Z$3),0)</f>
        <v>#VALUE!</v>
      </c>
      <c r="O488" s="34" t="e" cm="1">
        <f t="array" aca="1" ref="O488" ca="1">IF(AND(G488=INDIRECT("'["&amp;G488&amp;"]"&amp;E488&amp;"'!"&amp;$AH$2),OR(L488=INDIRECT("'["&amp;G488&amp;"]"&amp;E488&amp;"'!"&amp;$AA$2))),INDIRECT("'["&amp;G488&amp;"]"&amp;E488&amp;"'!"&amp;$AA$3),0)</f>
        <v>#VALUE!</v>
      </c>
      <c r="P488" s="34" t="e" cm="1">
        <f t="array" aca="1" ref="P488" ca="1">IF(AND(G488=INDIRECT("'["&amp;G488&amp;"]"&amp;E488&amp;"'!"&amp;$AH$2),OR(VALUE(I488)=INDIRECT("'["&amp;G488&amp;"]"&amp;E488&amp;"'!"&amp;$AB$2))),INDIRECT("'["&amp;G488&amp;"]"&amp;E488&amp;"'!"&amp;$AB$3),0)</f>
        <v>#VALUE!</v>
      </c>
      <c r="Q488" s="34" t="e" cm="1">
        <f t="array" aca="1" ref="Q488" ca="1">IF(AND(G488=INDIRECT("'["&amp;G488&amp;"]"&amp;E488&amp;"'!"&amp;$AH$2),OR(VALUE(I488)=INDIRECT("'["&amp;G488&amp;"]"&amp;E488&amp;"'!"&amp;$AC$2))),INDIRECT("'["&amp;G488&amp;"]"&amp;E488&amp;"'!"&amp;$AC$3),0)</f>
        <v>#VALUE!</v>
      </c>
      <c r="R488" s="34" t="e" cm="1">
        <f t="array" aca="1" ref="R488" ca="1">IF(AND(G488=INDIRECT("'["&amp;G488&amp;"]"&amp;E488&amp;"'!"&amp;$AH$2),OR(I488=INDIRECT("'["&amp;G488&amp;"]"&amp;E488&amp;"'!"&amp;$AD$2))),INDIRECT("'["&amp;G488&amp;"]"&amp;E488&amp;"'!"&amp;$AD$3),0)</f>
        <v>#VALUE!</v>
      </c>
      <c r="S488" s="34" t="e" cm="1">
        <f t="array" aca="1" ref="S488" ca="1">IF(AND(G488=INDIRECT("'["&amp;G488&amp;"]"&amp;E488&amp;"'!"&amp;$AH$2),OR(I488=INDIRECT("'["&amp;G488&amp;"]"&amp;E488&amp;"'!"&amp;$AE$2))),INDIRECT("'["&amp;G488&amp;"]"&amp;E488&amp;"'!"&amp;$AE$3),0)</f>
        <v>#VALUE!</v>
      </c>
      <c r="T488" s="35" t="e" cm="1">
        <f t="array" aca="1" ref="T488" ca="1">IF(AND(G488=INDIRECT("'["&amp;G488&amp;"]"&amp;E488&amp;"'!"&amp;$AH$2),OR(I488=INDIRECT("'["&amp;G488&amp;"]"&amp;E488&amp;"'!"&amp;$AF$2))),INDIRECT("'["&amp;G488&amp;"]"&amp;E488&amp;"'!"&amp;$AF$3),0)</f>
        <v>#VALUE!</v>
      </c>
      <c r="U488" s="34" t="e" cm="1">
        <f t="array" aca="1" ref="U488" ca="1">IF(AND(G488=INDIRECT("'["&amp;G488&amp;"]"&amp;E488&amp;"'!"&amp;$AH$2),OR(I488=INDIRECT("'["&amp;G488&amp;"]"&amp;E488&amp;"'!"&amp;$AG$2))),INDIRECT("'["&amp;G488&amp;"]"&amp;E488&amp;"'!"&amp;$AG$3),0)</f>
        <v>#VALUE!</v>
      </c>
      <c r="V488" s="25" t="str">
        <f t="shared" si="142"/>
        <v/>
      </c>
      <c r="W488" s="36" t="e" cm="1">
        <f t="array" aca="1" ref="W488" ca="1">IF(AND(G488=INDIRECT("'["&amp;G488&amp;"]"&amp;E488&amp;"'!"&amp;$AH$2),OR(V488=INDIRECT("'["&amp;G488&amp;"]"&amp;E488&amp;"'!"&amp;$AI$2))),INDIRECT("'["&amp;G488&amp;"]"&amp;E488&amp;"'!"&amp;$AI$3),0)</f>
        <v>#VALUE!</v>
      </c>
      <c r="AJ488" s="25">
        <v>1</v>
      </c>
      <c r="AK488" s="38">
        <f t="shared" ca="1" si="127"/>
        <v>0</v>
      </c>
      <c r="AL488" s="38">
        <f t="shared" ca="1" si="128"/>
        <v>0</v>
      </c>
      <c r="AM488" s="54" t="str">
        <f t="shared" ca="1" si="129"/>
        <v/>
      </c>
      <c r="AN488" s="25" t="e">
        <f t="shared" ca="1" si="130"/>
        <v>#VALUE!</v>
      </c>
      <c r="AO488" s="25" t="e">
        <f t="shared" ca="1" si="131"/>
        <v>#VALUE!</v>
      </c>
      <c r="AP488" s="39" t="str">
        <f t="shared" ca="1" si="132"/>
        <v/>
      </c>
      <c r="AQ488" s="46" t="str">
        <f ca="1">IF(AND(C488&lt;&gt;0, C489=0), SUM($C$2:C488)-SUM($AQ$1:AQ487), "")</f>
        <v/>
      </c>
      <c r="AR488" s="46" t="str">
        <f ca="1">IF(AND(AK488&lt;&gt;0, AK489=0), SUM($AK$2:AK488)-SUM($AR$1:AR487), "")</f>
        <v/>
      </c>
    </row>
    <row r="489" spans="1:44" ht="13.15" customHeight="1">
      <c r="A489" s="62"/>
      <c r="B489" s="68" t="str">
        <f t="shared" si="133"/>
        <v/>
      </c>
      <c r="C489" s="55" cm="1">
        <f t="array" aca="1" ref="C489" ca="1">SUM(IF(ISNUMBER(M489:U489),M489:U489,""))</f>
        <v>0</v>
      </c>
      <c r="D489" s="25" t="str">
        <f t="shared" si="134"/>
        <v/>
      </c>
      <c r="E489" s="25" t="e">
        <f t="shared" si="135"/>
        <v>#VALUE!</v>
      </c>
      <c r="F489" s="25" t="str">
        <f t="shared" si="136"/>
        <v/>
      </c>
      <c r="G489" s="25" t="str">
        <f t="shared" si="137"/>
        <v>.xlsx</v>
      </c>
      <c r="H489" s="29" t="e" cm="1">
        <f t="array" aca="1" ref="H489" ca="1">IF(AND(VALUE(E489)=INDIRECT("'["&amp;G489&amp;"]"&amp;E489&amp;"'!"&amp;$X$2),G489=INDIRECT("'["&amp;G489&amp;"]"&amp;E489&amp;"'!"&amp;$X$3)),INDIRECT("'["&amp;G489&amp;"]"&amp;E489&amp;"'!"&amp;$X$1),0)</f>
        <v>#VALUE!</v>
      </c>
      <c r="I489" s="25" t="str">
        <f t="shared" si="138"/>
        <v/>
      </c>
      <c r="J489" s="32" t="str">
        <f t="shared" si="139"/>
        <v/>
      </c>
      <c r="K489" s="25" t="str">
        <f t="shared" si="140"/>
        <v/>
      </c>
      <c r="L489" s="25" t="str">
        <f t="shared" si="141"/>
        <v/>
      </c>
      <c r="M489" s="33" t="e" cm="1">
        <f t="array" aca="1" ref="M489" ca="1">IF(AND(J489=INDIRECT("'["&amp;G489&amp;"]"&amp;E489&amp;"'!"&amp;$Y$2),G489=INDIRECT("'["&amp;G489&amp;"]"&amp;E489&amp;"'!"&amp;$AH$2)),INDIRECT("'["&amp;G489&amp;"]"&amp;E489&amp;"'!"&amp;$Y$3),0)</f>
        <v>#VALUE!</v>
      </c>
      <c r="N489" s="34" t="e" cm="1">
        <f t="array" aca="1" ref="N489" ca="1">IF(AND(G489=INDIRECT("'["&amp;G489&amp;"]"&amp;E489&amp;"'!"&amp;$AH$2),OR(K489=INDIRECT("'["&amp;G489&amp;"]"&amp;E489&amp;"'!"&amp;$Z$2))),INDIRECT("'["&amp;G489&amp;"]"&amp;E489&amp;"'!"&amp;$Z$3),0)</f>
        <v>#VALUE!</v>
      </c>
      <c r="O489" s="34" t="e" cm="1">
        <f t="array" aca="1" ref="O489" ca="1">IF(AND(G489=INDIRECT("'["&amp;G489&amp;"]"&amp;E489&amp;"'!"&amp;$AH$2),OR(L489=INDIRECT("'["&amp;G489&amp;"]"&amp;E489&amp;"'!"&amp;$AA$2))),INDIRECT("'["&amp;G489&amp;"]"&amp;E489&amp;"'!"&amp;$AA$3),0)</f>
        <v>#VALUE!</v>
      </c>
      <c r="P489" s="34" t="e" cm="1">
        <f t="array" aca="1" ref="P489" ca="1">IF(AND(G489=INDIRECT("'["&amp;G489&amp;"]"&amp;E489&amp;"'!"&amp;$AH$2),OR(VALUE(I489)=INDIRECT("'["&amp;G489&amp;"]"&amp;E489&amp;"'!"&amp;$AB$2))),INDIRECT("'["&amp;G489&amp;"]"&amp;E489&amp;"'!"&amp;$AB$3),0)</f>
        <v>#VALUE!</v>
      </c>
      <c r="Q489" s="34" t="e" cm="1">
        <f t="array" aca="1" ref="Q489" ca="1">IF(AND(G489=INDIRECT("'["&amp;G489&amp;"]"&amp;E489&amp;"'!"&amp;$AH$2),OR(VALUE(I489)=INDIRECT("'["&amp;G489&amp;"]"&amp;E489&amp;"'!"&amp;$AC$2))),INDIRECT("'["&amp;G489&amp;"]"&amp;E489&amp;"'!"&amp;$AC$3),0)</f>
        <v>#VALUE!</v>
      </c>
      <c r="R489" s="34" t="e" cm="1">
        <f t="array" aca="1" ref="R489" ca="1">IF(AND(G489=INDIRECT("'["&amp;G489&amp;"]"&amp;E489&amp;"'!"&amp;$AH$2),OR(I489=INDIRECT("'["&amp;G489&amp;"]"&amp;E489&amp;"'!"&amp;$AD$2))),INDIRECT("'["&amp;G489&amp;"]"&amp;E489&amp;"'!"&amp;$AD$3),0)</f>
        <v>#VALUE!</v>
      </c>
      <c r="S489" s="34" t="e" cm="1">
        <f t="array" aca="1" ref="S489" ca="1">IF(AND(G489=INDIRECT("'["&amp;G489&amp;"]"&amp;E489&amp;"'!"&amp;$AH$2),OR(I489=INDIRECT("'["&amp;G489&amp;"]"&amp;E489&amp;"'!"&amp;$AE$2))),INDIRECT("'["&amp;G489&amp;"]"&amp;E489&amp;"'!"&amp;$AE$3),0)</f>
        <v>#VALUE!</v>
      </c>
      <c r="T489" s="35" t="e" cm="1">
        <f t="array" aca="1" ref="T489" ca="1">IF(AND(G489=INDIRECT("'["&amp;G489&amp;"]"&amp;E489&amp;"'!"&amp;$AH$2),OR(I489=INDIRECT("'["&amp;G489&amp;"]"&amp;E489&amp;"'!"&amp;$AF$2))),INDIRECT("'["&amp;G489&amp;"]"&amp;E489&amp;"'!"&amp;$AF$3),0)</f>
        <v>#VALUE!</v>
      </c>
      <c r="U489" s="34" t="e" cm="1">
        <f t="array" aca="1" ref="U489" ca="1">IF(AND(G489=INDIRECT("'["&amp;G489&amp;"]"&amp;E489&amp;"'!"&amp;$AH$2),OR(I489=INDIRECT("'["&amp;G489&amp;"]"&amp;E489&amp;"'!"&amp;$AG$2))),INDIRECT("'["&amp;G489&amp;"]"&amp;E489&amp;"'!"&amp;$AG$3),0)</f>
        <v>#VALUE!</v>
      </c>
      <c r="V489" s="25" t="str">
        <f t="shared" si="142"/>
        <v/>
      </c>
      <c r="W489" s="36" t="e" cm="1">
        <f t="array" aca="1" ref="W489" ca="1">IF(AND(G489=INDIRECT("'["&amp;G489&amp;"]"&amp;E489&amp;"'!"&amp;$AH$2),OR(V489=INDIRECT("'["&amp;G489&amp;"]"&amp;E489&amp;"'!"&amp;$AI$2))),INDIRECT("'["&amp;G489&amp;"]"&amp;E489&amp;"'!"&amp;$AI$3),0)</f>
        <v>#VALUE!</v>
      </c>
      <c r="AJ489" s="25">
        <v>1</v>
      </c>
      <c r="AK489" s="38">
        <f t="shared" ca="1" si="127"/>
        <v>0</v>
      </c>
      <c r="AL489" s="38">
        <f t="shared" ca="1" si="128"/>
        <v>0</v>
      </c>
      <c r="AM489" s="54" t="str">
        <f t="shared" ca="1" si="129"/>
        <v/>
      </c>
      <c r="AN489" s="25" t="e">
        <f t="shared" ca="1" si="130"/>
        <v>#VALUE!</v>
      </c>
      <c r="AO489" s="25" t="e">
        <f t="shared" ca="1" si="131"/>
        <v>#VALUE!</v>
      </c>
      <c r="AP489" s="39" t="str">
        <f t="shared" ca="1" si="132"/>
        <v/>
      </c>
      <c r="AQ489" s="46" t="str">
        <f ca="1">IF(AND(C489&lt;&gt;0, C490=0), SUM($C$2:C489)-SUM($AQ$1:AQ488), "")</f>
        <v/>
      </c>
      <c r="AR489" s="46" t="str">
        <f ca="1">IF(AND(AK489&lt;&gt;0, AK490=0), SUM($AK$2:AK489)-SUM($AR$1:AR488), "")</f>
        <v/>
      </c>
    </row>
    <row r="490" spans="1:44" ht="13.15" customHeight="1">
      <c r="A490" s="62"/>
      <c r="B490" s="68" t="str">
        <f t="shared" si="133"/>
        <v/>
      </c>
      <c r="C490" s="55" cm="1">
        <f t="array" aca="1" ref="C490" ca="1">SUM(IF(ISNUMBER(M490:U490),M490:U490,""))</f>
        <v>0</v>
      </c>
      <c r="D490" s="25" t="str">
        <f t="shared" si="134"/>
        <v/>
      </c>
      <c r="E490" s="25" t="e">
        <f t="shared" si="135"/>
        <v>#VALUE!</v>
      </c>
      <c r="F490" s="25" t="str">
        <f t="shared" si="136"/>
        <v/>
      </c>
      <c r="G490" s="25" t="str">
        <f t="shared" si="137"/>
        <v>.xlsx</v>
      </c>
      <c r="H490" s="29" t="e" cm="1">
        <f t="array" aca="1" ref="H490" ca="1">IF(AND(VALUE(E490)=INDIRECT("'["&amp;G490&amp;"]"&amp;E490&amp;"'!"&amp;$X$2),G490=INDIRECT("'["&amp;G490&amp;"]"&amp;E490&amp;"'!"&amp;$X$3)),INDIRECT("'["&amp;G490&amp;"]"&amp;E490&amp;"'!"&amp;$X$1),0)</f>
        <v>#VALUE!</v>
      </c>
      <c r="I490" s="25" t="str">
        <f t="shared" si="138"/>
        <v/>
      </c>
      <c r="J490" s="32" t="str">
        <f t="shared" si="139"/>
        <v/>
      </c>
      <c r="K490" s="25" t="str">
        <f t="shared" si="140"/>
        <v/>
      </c>
      <c r="L490" s="25" t="str">
        <f t="shared" si="141"/>
        <v/>
      </c>
      <c r="M490" s="33" t="e" cm="1">
        <f t="array" aca="1" ref="M490" ca="1">IF(AND(J490=INDIRECT("'["&amp;G490&amp;"]"&amp;E490&amp;"'!"&amp;$Y$2),G490=INDIRECT("'["&amp;G490&amp;"]"&amp;E490&amp;"'!"&amp;$AH$2)),INDIRECT("'["&amp;G490&amp;"]"&amp;E490&amp;"'!"&amp;$Y$3),0)</f>
        <v>#VALUE!</v>
      </c>
      <c r="N490" s="34" t="e" cm="1">
        <f t="array" aca="1" ref="N490" ca="1">IF(AND(G490=INDIRECT("'["&amp;G490&amp;"]"&amp;E490&amp;"'!"&amp;$AH$2),OR(K490=INDIRECT("'["&amp;G490&amp;"]"&amp;E490&amp;"'!"&amp;$Z$2))),INDIRECT("'["&amp;G490&amp;"]"&amp;E490&amp;"'!"&amp;$Z$3),0)</f>
        <v>#VALUE!</v>
      </c>
      <c r="O490" s="34" t="e" cm="1">
        <f t="array" aca="1" ref="O490" ca="1">IF(AND(G490=INDIRECT("'["&amp;G490&amp;"]"&amp;E490&amp;"'!"&amp;$AH$2),OR(L490=INDIRECT("'["&amp;G490&amp;"]"&amp;E490&amp;"'!"&amp;$AA$2))),INDIRECT("'["&amp;G490&amp;"]"&amp;E490&amp;"'!"&amp;$AA$3),0)</f>
        <v>#VALUE!</v>
      </c>
      <c r="P490" s="34" t="e" cm="1">
        <f t="array" aca="1" ref="P490" ca="1">IF(AND(G490=INDIRECT("'["&amp;G490&amp;"]"&amp;E490&amp;"'!"&amp;$AH$2),OR(VALUE(I490)=INDIRECT("'["&amp;G490&amp;"]"&amp;E490&amp;"'!"&amp;$AB$2))),INDIRECT("'["&amp;G490&amp;"]"&amp;E490&amp;"'!"&amp;$AB$3),0)</f>
        <v>#VALUE!</v>
      </c>
      <c r="Q490" s="34" t="e" cm="1">
        <f t="array" aca="1" ref="Q490" ca="1">IF(AND(G490=INDIRECT("'["&amp;G490&amp;"]"&amp;E490&amp;"'!"&amp;$AH$2),OR(VALUE(I490)=INDIRECT("'["&amp;G490&amp;"]"&amp;E490&amp;"'!"&amp;$AC$2))),INDIRECT("'["&amp;G490&amp;"]"&amp;E490&amp;"'!"&amp;$AC$3),0)</f>
        <v>#VALUE!</v>
      </c>
      <c r="R490" s="34" t="e" cm="1">
        <f t="array" aca="1" ref="R490" ca="1">IF(AND(G490=INDIRECT("'["&amp;G490&amp;"]"&amp;E490&amp;"'!"&amp;$AH$2),OR(I490=INDIRECT("'["&amp;G490&amp;"]"&amp;E490&amp;"'!"&amp;$AD$2))),INDIRECT("'["&amp;G490&amp;"]"&amp;E490&amp;"'!"&amp;$AD$3),0)</f>
        <v>#VALUE!</v>
      </c>
      <c r="S490" s="34" t="e" cm="1">
        <f t="array" aca="1" ref="S490" ca="1">IF(AND(G490=INDIRECT("'["&amp;G490&amp;"]"&amp;E490&amp;"'!"&amp;$AH$2),OR(I490=INDIRECT("'["&amp;G490&amp;"]"&amp;E490&amp;"'!"&amp;$AE$2))),INDIRECT("'["&amp;G490&amp;"]"&amp;E490&amp;"'!"&amp;$AE$3),0)</f>
        <v>#VALUE!</v>
      </c>
      <c r="T490" s="35" t="e" cm="1">
        <f t="array" aca="1" ref="T490" ca="1">IF(AND(G490=INDIRECT("'["&amp;G490&amp;"]"&amp;E490&amp;"'!"&amp;$AH$2),OR(I490=INDIRECT("'["&amp;G490&amp;"]"&amp;E490&amp;"'!"&amp;$AF$2))),INDIRECT("'["&amp;G490&amp;"]"&amp;E490&amp;"'!"&amp;$AF$3),0)</f>
        <v>#VALUE!</v>
      </c>
      <c r="U490" s="34" t="e" cm="1">
        <f t="array" aca="1" ref="U490" ca="1">IF(AND(G490=INDIRECT("'["&amp;G490&amp;"]"&amp;E490&amp;"'!"&amp;$AH$2),OR(I490=INDIRECT("'["&amp;G490&amp;"]"&amp;E490&amp;"'!"&amp;$AG$2))),INDIRECT("'["&amp;G490&amp;"]"&amp;E490&amp;"'!"&amp;$AG$3),0)</f>
        <v>#VALUE!</v>
      </c>
      <c r="V490" s="25" t="str">
        <f t="shared" si="142"/>
        <v/>
      </c>
      <c r="W490" s="36" t="e" cm="1">
        <f t="array" aca="1" ref="W490" ca="1">IF(AND(G490=INDIRECT("'["&amp;G490&amp;"]"&amp;E490&amp;"'!"&amp;$AH$2),OR(V490=INDIRECT("'["&amp;G490&amp;"]"&amp;E490&amp;"'!"&amp;$AI$2))),INDIRECT("'["&amp;G490&amp;"]"&amp;E490&amp;"'!"&amp;$AI$3),0)</f>
        <v>#VALUE!</v>
      </c>
      <c r="AJ490" s="25">
        <v>1</v>
      </c>
      <c r="AK490" s="38">
        <f t="shared" ca="1" si="127"/>
        <v>0</v>
      </c>
      <c r="AL490" s="38">
        <f t="shared" ca="1" si="128"/>
        <v>0</v>
      </c>
      <c r="AM490" s="54" t="str">
        <f t="shared" ca="1" si="129"/>
        <v/>
      </c>
      <c r="AN490" s="25" t="e">
        <f t="shared" ca="1" si="130"/>
        <v>#VALUE!</v>
      </c>
      <c r="AO490" s="25" t="e">
        <f t="shared" ca="1" si="131"/>
        <v>#VALUE!</v>
      </c>
      <c r="AP490" s="39" t="str">
        <f t="shared" ca="1" si="132"/>
        <v/>
      </c>
      <c r="AQ490" s="46" t="str">
        <f ca="1">IF(AND(C490&lt;&gt;0, C491=0), SUM($C$2:C490)-SUM($AQ$1:AQ489), "")</f>
        <v/>
      </c>
      <c r="AR490" s="46" t="str">
        <f ca="1">IF(AND(AK490&lt;&gt;0, AK491=0), SUM($AK$2:AK490)-SUM($AR$1:AR489), "")</f>
        <v/>
      </c>
    </row>
    <row r="491" spans="1:44" ht="13.15" customHeight="1">
      <c r="A491" s="62"/>
      <c r="B491" s="68" t="str">
        <f t="shared" si="133"/>
        <v/>
      </c>
      <c r="C491" s="55" cm="1">
        <f t="array" aca="1" ref="C491" ca="1">SUM(IF(ISNUMBER(M491:U491),M491:U491,""))</f>
        <v>0</v>
      </c>
      <c r="D491" s="25" t="str">
        <f t="shared" si="134"/>
        <v/>
      </c>
      <c r="E491" s="25" t="e">
        <f t="shared" si="135"/>
        <v>#VALUE!</v>
      </c>
      <c r="F491" s="25" t="str">
        <f t="shared" si="136"/>
        <v/>
      </c>
      <c r="G491" s="25" t="str">
        <f t="shared" si="137"/>
        <v>.xlsx</v>
      </c>
      <c r="H491" s="29" t="e" cm="1">
        <f t="array" aca="1" ref="H491" ca="1">IF(AND(VALUE(E491)=INDIRECT("'["&amp;G491&amp;"]"&amp;E491&amp;"'!"&amp;$X$2),G491=INDIRECT("'["&amp;G491&amp;"]"&amp;E491&amp;"'!"&amp;$X$3)),INDIRECT("'["&amp;G491&amp;"]"&amp;E491&amp;"'!"&amp;$X$1),0)</f>
        <v>#VALUE!</v>
      </c>
      <c r="I491" s="25" t="str">
        <f t="shared" si="138"/>
        <v/>
      </c>
      <c r="J491" s="32" t="str">
        <f t="shared" si="139"/>
        <v/>
      </c>
      <c r="K491" s="25" t="str">
        <f t="shared" si="140"/>
        <v/>
      </c>
      <c r="L491" s="25" t="str">
        <f t="shared" si="141"/>
        <v/>
      </c>
      <c r="M491" s="33" t="e" cm="1">
        <f t="array" aca="1" ref="M491" ca="1">IF(AND(J491=INDIRECT("'["&amp;G491&amp;"]"&amp;E491&amp;"'!"&amp;$Y$2),G491=INDIRECT("'["&amp;G491&amp;"]"&amp;E491&amp;"'!"&amp;$AH$2)),INDIRECT("'["&amp;G491&amp;"]"&amp;E491&amp;"'!"&amp;$Y$3),0)</f>
        <v>#VALUE!</v>
      </c>
      <c r="N491" s="34" t="e" cm="1">
        <f t="array" aca="1" ref="N491" ca="1">IF(AND(G491=INDIRECT("'["&amp;G491&amp;"]"&amp;E491&amp;"'!"&amp;$AH$2),OR(K491=INDIRECT("'["&amp;G491&amp;"]"&amp;E491&amp;"'!"&amp;$Z$2))),INDIRECT("'["&amp;G491&amp;"]"&amp;E491&amp;"'!"&amp;$Z$3),0)</f>
        <v>#VALUE!</v>
      </c>
      <c r="O491" s="34" t="e" cm="1">
        <f t="array" aca="1" ref="O491" ca="1">IF(AND(G491=INDIRECT("'["&amp;G491&amp;"]"&amp;E491&amp;"'!"&amp;$AH$2),OR(L491=INDIRECT("'["&amp;G491&amp;"]"&amp;E491&amp;"'!"&amp;$AA$2))),INDIRECT("'["&amp;G491&amp;"]"&amp;E491&amp;"'!"&amp;$AA$3),0)</f>
        <v>#VALUE!</v>
      </c>
      <c r="P491" s="34" t="e" cm="1">
        <f t="array" aca="1" ref="P491" ca="1">IF(AND(G491=INDIRECT("'["&amp;G491&amp;"]"&amp;E491&amp;"'!"&amp;$AH$2),OR(VALUE(I491)=INDIRECT("'["&amp;G491&amp;"]"&amp;E491&amp;"'!"&amp;$AB$2))),INDIRECT("'["&amp;G491&amp;"]"&amp;E491&amp;"'!"&amp;$AB$3),0)</f>
        <v>#VALUE!</v>
      </c>
      <c r="Q491" s="34" t="e" cm="1">
        <f t="array" aca="1" ref="Q491" ca="1">IF(AND(G491=INDIRECT("'["&amp;G491&amp;"]"&amp;E491&amp;"'!"&amp;$AH$2),OR(VALUE(I491)=INDIRECT("'["&amp;G491&amp;"]"&amp;E491&amp;"'!"&amp;$AC$2))),INDIRECT("'["&amp;G491&amp;"]"&amp;E491&amp;"'!"&amp;$AC$3),0)</f>
        <v>#VALUE!</v>
      </c>
      <c r="R491" s="34" t="e" cm="1">
        <f t="array" aca="1" ref="R491" ca="1">IF(AND(G491=INDIRECT("'["&amp;G491&amp;"]"&amp;E491&amp;"'!"&amp;$AH$2),OR(I491=INDIRECT("'["&amp;G491&amp;"]"&amp;E491&amp;"'!"&amp;$AD$2))),INDIRECT("'["&amp;G491&amp;"]"&amp;E491&amp;"'!"&amp;$AD$3),0)</f>
        <v>#VALUE!</v>
      </c>
      <c r="S491" s="34" t="e" cm="1">
        <f t="array" aca="1" ref="S491" ca="1">IF(AND(G491=INDIRECT("'["&amp;G491&amp;"]"&amp;E491&amp;"'!"&amp;$AH$2),OR(I491=INDIRECT("'["&amp;G491&amp;"]"&amp;E491&amp;"'!"&amp;$AE$2))),INDIRECT("'["&amp;G491&amp;"]"&amp;E491&amp;"'!"&amp;$AE$3),0)</f>
        <v>#VALUE!</v>
      </c>
      <c r="T491" s="35" t="e" cm="1">
        <f t="array" aca="1" ref="T491" ca="1">IF(AND(G491=INDIRECT("'["&amp;G491&amp;"]"&amp;E491&amp;"'!"&amp;$AH$2),OR(I491=INDIRECT("'["&amp;G491&amp;"]"&amp;E491&amp;"'!"&amp;$AF$2))),INDIRECT("'["&amp;G491&amp;"]"&amp;E491&amp;"'!"&amp;$AF$3),0)</f>
        <v>#VALUE!</v>
      </c>
      <c r="U491" s="34" t="e" cm="1">
        <f t="array" aca="1" ref="U491" ca="1">IF(AND(G491=INDIRECT("'["&amp;G491&amp;"]"&amp;E491&amp;"'!"&amp;$AH$2),OR(I491=INDIRECT("'["&amp;G491&amp;"]"&amp;E491&amp;"'!"&amp;$AG$2))),INDIRECT("'["&amp;G491&amp;"]"&amp;E491&amp;"'!"&amp;$AG$3),0)</f>
        <v>#VALUE!</v>
      </c>
      <c r="V491" s="25" t="str">
        <f t="shared" si="142"/>
        <v/>
      </c>
      <c r="W491" s="36" t="e" cm="1">
        <f t="array" aca="1" ref="W491" ca="1">IF(AND(G491=INDIRECT("'["&amp;G491&amp;"]"&amp;E491&amp;"'!"&amp;$AH$2),OR(V491=INDIRECT("'["&amp;G491&amp;"]"&amp;E491&amp;"'!"&amp;$AI$2))),INDIRECT("'["&amp;G491&amp;"]"&amp;E491&amp;"'!"&amp;$AI$3),0)</f>
        <v>#VALUE!</v>
      </c>
      <c r="AJ491" s="25">
        <v>1</v>
      </c>
      <c r="AK491" s="38">
        <f t="shared" ca="1" si="127"/>
        <v>0</v>
      </c>
      <c r="AL491" s="38">
        <f t="shared" ca="1" si="128"/>
        <v>0</v>
      </c>
      <c r="AM491" s="54" t="str">
        <f t="shared" ca="1" si="129"/>
        <v/>
      </c>
      <c r="AN491" s="25" t="e">
        <f t="shared" ca="1" si="130"/>
        <v>#VALUE!</v>
      </c>
      <c r="AO491" s="25" t="e">
        <f t="shared" ca="1" si="131"/>
        <v>#VALUE!</v>
      </c>
      <c r="AP491" s="39" t="str">
        <f t="shared" ca="1" si="132"/>
        <v/>
      </c>
      <c r="AQ491" s="46" t="str">
        <f ca="1">IF(AND(C491&lt;&gt;0, C492=0), SUM($C$2:C491)-SUM($AQ$1:AQ490), "")</f>
        <v/>
      </c>
      <c r="AR491" s="46" t="str">
        <f ca="1">IF(AND(AK491&lt;&gt;0, AK492=0), SUM($AK$2:AK491)-SUM($AR$1:AR490), "")</f>
        <v/>
      </c>
    </row>
    <row r="492" spans="1:44" ht="13.15" customHeight="1">
      <c r="A492" s="62"/>
      <c r="B492" s="68" t="str">
        <f t="shared" si="133"/>
        <v/>
      </c>
      <c r="C492" s="55" cm="1">
        <f t="array" aca="1" ref="C492" ca="1">SUM(IF(ISNUMBER(M492:U492),M492:U492,""))</f>
        <v>0</v>
      </c>
      <c r="D492" s="25" t="str">
        <f t="shared" si="134"/>
        <v/>
      </c>
      <c r="E492" s="25" t="e">
        <f t="shared" si="135"/>
        <v>#VALUE!</v>
      </c>
      <c r="F492" s="25" t="str">
        <f t="shared" si="136"/>
        <v/>
      </c>
      <c r="G492" s="25" t="str">
        <f t="shared" si="137"/>
        <v>.xlsx</v>
      </c>
      <c r="H492" s="29" t="e" cm="1">
        <f t="array" aca="1" ref="H492" ca="1">IF(AND(VALUE(E492)=INDIRECT("'["&amp;G492&amp;"]"&amp;E492&amp;"'!"&amp;$X$2),G492=INDIRECT("'["&amp;G492&amp;"]"&amp;E492&amp;"'!"&amp;$X$3)),INDIRECT("'["&amp;G492&amp;"]"&amp;E492&amp;"'!"&amp;$X$1),0)</f>
        <v>#VALUE!</v>
      </c>
      <c r="I492" s="25" t="str">
        <f t="shared" si="138"/>
        <v/>
      </c>
      <c r="J492" s="32" t="str">
        <f t="shared" si="139"/>
        <v/>
      </c>
      <c r="K492" s="25" t="str">
        <f t="shared" si="140"/>
        <v/>
      </c>
      <c r="L492" s="25" t="str">
        <f t="shared" si="141"/>
        <v/>
      </c>
      <c r="M492" s="33" t="e" cm="1">
        <f t="array" aca="1" ref="M492" ca="1">IF(AND(J492=INDIRECT("'["&amp;G492&amp;"]"&amp;E492&amp;"'!"&amp;$Y$2),G492=INDIRECT("'["&amp;G492&amp;"]"&amp;E492&amp;"'!"&amp;$AH$2)),INDIRECT("'["&amp;G492&amp;"]"&amp;E492&amp;"'!"&amp;$Y$3),0)</f>
        <v>#VALUE!</v>
      </c>
      <c r="N492" s="34" t="e" cm="1">
        <f t="array" aca="1" ref="N492" ca="1">IF(AND(G492=INDIRECT("'["&amp;G492&amp;"]"&amp;E492&amp;"'!"&amp;$AH$2),OR(K492=INDIRECT("'["&amp;G492&amp;"]"&amp;E492&amp;"'!"&amp;$Z$2))),INDIRECT("'["&amp;G492&amp;"]"&amp;E492&amp;"'!"&amp;$Z$3),0)</f>
        <v>#VALUE!</v>
      </c>
      <c r="O492" s="34" t="e" cm="1">
        <f t="array" aca="1" ref="O492" ca="1">IF(AND(G492=INDIRECT("'["&amp;G492&amp;"]"&amp;E492&amp;"'!"&amp;$AH$2),OR(L492=INDIRECT("'["&amp;G492&amp;"]"&amp;E492&amp;"'!"&amp;$AA$2))),INDIRECT("'["&amp;G492&amp;"]"&amp;E492&amp;"'!"&amp;$AA$3),0)</f>
        <v>#VALUE!</v>
      </c>
      <c r="P492" s="34" t="e" cm="1">
        <f t="array" aca="1" ref="P492" ca="1">IF(AND(G492=INDIRECT("'["&amp;G492&amp;"]"&amp;E492&amp;"'!"&amp;$AH$2),OR(VALUE(I492)=INDIRECT("'["&amp;G492&amp;"]"&amp;E492&amp;"'!"&amp;$AB$2))),INDIRECT("'["&amp;G492&amp;"]"&amp;E492&amp;"'!"&amp;$AB$3),0)</f>
        <v>#VALUE!</v>
      </c>
      <c r="Q492" s="34" t="e" cm="1">
        <f t="array" aca="1" ref="Q492" ca="1">IF(AND(G492=INDIRECT("'["&amp;G492&amp;"]"&amp;E492&amp;"'!"&amp;$AH$2),OR(VALUE(I492)=INDIRECT("'["&amp;G492&amp;"]"&amp;E492&amp;"'!"&amp;$AC$2))),INDIRECT("'["&amp;G492&amp;"]"&amp;E492&amp;"'!"&amp;$AC$3),0)</f>
        <v>#VALUE!</v>
      </c>
      <c r="R492" s="34" t="e" cm="1">
        <f t="array" aca="1" ref="R492" ca="1">IF(AND(G492=INDIRECT("'["&amp;G492&amp;"]"&amp;E492&amp;"'!"&amp;$AH$2),OR(I492=INDIRECT("'["&amp;G492&amp;"]"&amp;E492&amp;"'!"&amp;$AD$2))),INDIRECT("'["&amp;G492&amp;"]"&amp;E492&amp;"'!"&amp;$AD$3),0)</f>
        <v>#VALUE!</v>
      </c>
      <c r="S492" s="34" t="e" cm="1">
        <f t="array" aca="1" ref="S492" ca="1">IF(AND(G492=INDIRECT("'["&amp;G492&amp;"]"&amp;E492&amp;"'!"&amp;$AH$2),OR(I492=INDIRECT("'["&amp;G492&amp;"]"&amp;E492&amp;"'!"&amp;$AE$2))),INDIRECT("'["&amp;G492&amp;"]"&amp;E492&amp;"'!"&amp;$AE$3),0)</f>
        <v>#VALUE!</v>
      </c>
      <c r="T492" s="35" t="e" cm="1">
        <f t="array" aca="1" ref="T492" ca="1">IF(AND(G492=INDIRECT("'["&amp;G492&amp;"]"&amp;E492&amp;"'!"&amp;$AH$2),OR(I492=INDIRECT("'["&amp;G492&amp;"]"&amp;E492&amp;"'!"&amp;$AF$2))),INDIRECT("'["&amp;G492&amp;"]"&amp;E492&amp;"'!"&amp;$AF$3),0)</f>
        <v>#VALUE!</v>
      </c>
      <c r="U492" s="34" t="e" cm="1">
        <f t="array" aca="1" ref="U492" ca="1">IF(AND(G492=INDIRECT("'["&amp;G492&amp;"]"&amp;E492&amp;"'!"&amp;$AH$2),OR(I492=INDIRECT("'["&amp;G492&amp;"]"&amp;E492&amp;"'!"&amp;$AG$2))),INDIRECT("'["&amp;G492&amp;"]"&amp;E492&amp;"'!"&amp;$AG$3),0)</f>
        <v>#VALUE!</v>
      </c>
      <c r="V492" s="25" t="str">
        <f t="shared" si="142"/>
        <v/>
      </c>
      <c r="W492" s="36" t="e" cm="1">
        <f t="array" aca="1" ref="W492" ca="1">IF(AND(G492=INDIRECT("'["&amp;G492&amp;"]"&amp;E492&amp;"'!"&amp;$AH$2),OR(V492=INDIRECT("'["&amp;G492&amp;"]"&amp;E492&amp;"'!"&amp;$AI$2))),INDIRECT("'["&amp;G492&amp;"]"&amp;E492&amp;"'!"&amp;$AI$3),0)</f>
        <v>#VALUE!</v>
      </c>
      <c r="AJ492" s="25">
        <v>1</v>
      </c>
      <c r="AK492" s="38">
        <f t="shared" ca="1" si="127"/>
        <v>0</v>
      </c>
      <c r="AL492" s="38">
        <f t="shared" ca="1" si="128"/>
        <v>0</v>
      </c>
      <c r="AM492" s="54" t="str">
        <f t="shared" ca="1" si="129"/>
        <v/>
      </c>
      <c r="AN492" s="25" t="e">
        <f t="shared" ca="1" si="130"/>
        <v>#VALUE!</v>
      </c>
      <c r="AO492" s="25" t="e">
        <f t="shared" ca="1" si="131"/>
        <v>#VALUE!</v>
      </c>
      <c r="AP492" s="39" t="str">
        <f t="shared" ca="1" si="132"/>
        <v/>
      </c>
      <c r="AQ492" s="46" t="str">
        <f ca="1">IF(AND(C492&lt;&gt;0, C493=0), SUM($C$2:C492)-SUM($AQ$1:AQ491), "")</f>
        <v/>
      </c>
      <c r="AR492" s="46" t="str">
        <f ca="1">IF(AND(AK492&lt;&gt;0, AK493=0), SUM($AK$2:AK492)-SUM($AR$1:AR491), "")</f>
        <v/>
      </c>
    </row>
    <row r="493" spans="1:44" ht="13.15" customHeight="1">
      <c r="A493" s="62"/>
      <c r="B493" s="68" t="str">
        <f t="shared" si="133"/>
        <v/>
      </c>
      <c r="C493" s="55" cm="1">
        <f t="array" aca="1" ref="C493" ca="1">SUM(IF(ISNUMBER(M493:U493),M493:U493,""))</f>
        <v>0</v>
      </c>
      <c r="D493" s="25" t="str">
        <f t="shared" si="134"/>
        <v/>
      </c>
      <c r="E493" s="25" t="e">
        <f t="shared" si="135"/>
        <v>#VALUE!</v>
      </c>
      <c r="F493" s="25" t="str">
        <f t="shared" si="136"/>
        <v/>
      </c>
      <c r="G493" s="25" t="str">
        <f t="shared" si="137"/>
        <v>.xlsx</v>
      </c>
      <c r="H493" s="29" t="e" cm="1">
        <f t="array" aca="1" ref="H493" ca="1">IF(AND(VALUE(E493)=INDIRECT("'["&amp;G493&amp;"]"&amp;E493&amp;"'!"&amp;$X$2),G493=INDIRECT("'["&amp;G493&amp;"]"&amp;E493&amp;"'!"&amp;$X$3)),INDIRECT("'["&amp;G493&amp;"]"&amp;E493&amp;"'!"&amp;$X$1),0)</f>
        <v>#VALUE!</v>
      </c>
      <c r="I493" s="25" t="str">
        <f t="shared" si="138"/>
        <v/>
      </c>
      <c r="J493" s="32" t="str">
        <f t="shared" si="139"/>
        <v/>
      </c>
      <c r="K493" s="25" t="str">
        <f t="shared" si="140"/>
        <v/>
      </c>
      <c r="L493" s="25" t="str">
        <f t="shared" si="141"/>
        <v/>
      </c>
      <c r="M493" s="33" t="e" cm="1">
        <f t="array" aca="1" ref="M493" ca="1">IF(AND(J493=INDIRECT("'["&amp;G493&amp;"]"&amp;E493&amp;"'!"&amp;$Y$2),G493=INDIRECT("'["&amp;G493&amp;"]"&amp;E493&amp;"'!"&amp;$AH$2)),INDIRECT("'["&amp;G493&amp;"]"&amp;E493&amp;"'!"&amp;$Y$3),0)</f>
        <v>#VALUE!</v>
      </c>
      <c r="N493" s="34" t="e" cm="1">
        <f t="array" aca="1" ref="N493" ca="1">IF(AND(G493=INDIRECT("'["&amp;G493&amp;"]"&amp;E493&amp;"'!"&amp;$AH$2),OR(K493=INDIRECT("'["&amp;G493&amp;"]"&amp;E493&amp;"'!"&amp;$Z$2))),INDIRECT("'["&amp;G493&amp;"]"&amp;E493&amp;"'!"&amp;$Z$3),0)</f>
        <v>#VALUE!</v>
      </c>
      <c r="O493" s="34" t="e" cm="1">
        <f t="array" aca="1" ref="O493" ca="1">IF(AND(G493=INDIRECT("'["&amp;G493&amp;"]"&amp;E493&amp;"'!"&amp;$AH$2),OR(L493=INDIRECT("'["&amp;G493&amp;"]"&amp;E493&amp;"'!"&amp;$AA$2))),INDIRECT("'["&amp;G493&amp;"]"&amp;E493&amp;"'!"&amp;$AA$3),0)</f>
        <v>#VALUE!</v>
      </c>
      <c r="P493" s="34" t="e" cm="1">
        <f t="array" aca="1" ref="P493" ca="1">IF(AND(G493=INDIRECT("'["&amp;G493&amp;"]"&amp;E493&amp;"'!"&amp;$AH$2),OR(VALUE(I493)=INDIRECT("'["&amp;G493&amp;"]"&amp;E493&amp;"'!"&amp;$AB$2))),INDIRECT("'["&amp;G493&amp;"]"&amp;E493&amp;"'!"&amp;$AB$3),0)</f>
        <v>#VALUE!</v>
      </c>
      <c r="Q493" s="34" t="e" cm="1">
        <f t="array" aca="1" ref="Q493" ca="1">IF(AND(G493=INDIRECT("'["&amp;G493&amp;"]"&amp;E493&amp;"'!"&amp;$AH$2),OR(VALUE(I493)=INDIRECT("'["&amp;G493&amp;"]"&amp;E493&amp;"'!"&amp;$AC$2))),INDIRECT("'["&amp;G493&amp;"]"&amp;E493&amp;"'!"&amp;$AC$3),0)</f>
        <v>#VALUE!</v>
      </c>
      <c r="R493" s="34" t="e" cm="1">
        <f t="array" aca="1" ref="R493" ca="1">IF(AND(G493=INDIRECT("'["&amp;G493&amp;"]"&amp;E493&amp;"'!"&amp;$AH$2),OR(I493=INDIRECT("'["&amp;G493&amp;"]"&amp;E493&amp;"'!"&amp;$AD$2))),INDIRECT("'["&amp;G493&amp;"]"&amp;E493&amp;"'!"&amp;$AD$3),0)</f>
        <v>#VALUE!</v>
      </c>
      <c r="S493" s="34" t="e" cm="1">
        <f t="array" aca="1" ref="S493" ca="1">IF(AND(G493=INDIRECT("'["&amp;G493&amp;"]"&amp;E493&amp;"'!"&amp;$AH$2),OR(I493=INDIRECT("'["&amp;G493&amp;"]"&amp;E493&amp;"'!"&amp;$AE$2))),INDIRECT("'["&amp;G493&amp;"]"&amp;E493&amp;"'!"&amp;$AE$3),0)</f>
        <v>#VALUE!</v>
      </c>
      <c r="T493" s="35" t="e" cm="1">
        <f t="array" aca="1" ref="T493" ca="1">IF(AND(G493=INDIRECT("'["&amp;G493&amp;"]"&amp;E493&amp;"'!"&amp;$AH$2),OR(I493=INDIRECT("'["&amp;G493&amp;"]"&amp;E493&amp;"'!"&amp;$AF$2))),INDIRECT("'["&amp;G493&amp;"]"&amp;E493&amp;"'!"&amp;$AF$3),0)</f>
        <v>#VALUE!</v>
      </c>
      <c r="U493" s="34" t="e" cm="1">
        <f t="array" aca="1" ref="U493" ca="1">IF(AND(G493=INDIRECT("'["&amp;G493&amp;"]"&amp;E493&amp;"'!"&amp;$AH$2),OR(I493=INDIRECT("'["&amp;G493&amp;"]"&amp;E493&amp;"'!"&amp;$AG$2))),INDIRECT("'["&amp;G493&amp;"]"&amp;E493&amp;"'!"&amp;$AG$3),0)</f>
        <v>#VALUE!</v>
      </c>
      <c r="V493" s="25" t="str">
        <f t="shared" si="142"/>
        <v/>
      </c>
      <c r="W493" s="36" t="e" cm="1">
        <f t="array" aca="1" ref="W493" ca="1">IF(AND(G493=INDIRECT("'["&amp;G493&amp;"]"&amp;E493&amp;"'!"&amp;$AH$2),OR(V493=INDIRECT("'["&amp;G493&amp;"]"&amp;E493&amp;"'!"&amp;$AI$2))),INDIRECT("'["&amp;G493&amp;"]"&amp;E493&amp;"'!"&amp;$AI$3),0)</f>
        <v>#VALUE!</v>
      </c>
      <c r="AJ493" s="25">
        <v>1</v>
      </c>
      <c r="AK493" s="38">
        <f t="shared" ca="1" si="127"/>
        <v>0</v>
      </c>
      <c r="AL493" s="38">
        <f t="shared" ca="1" si="128"/>
        <v>0</v>
      </c>
      <c r="AM493" s="54" t="str">
        <f t="shared" ca="1" si="129"/>
        <v/>
      </c>
      <c r="AN493" s="25" t="e">
        <f t="shared" ca="1" si="130"/>
        <v>#VALUE!</v>
      </c>
      <c r="AO493" s="25" t="e">
        <f t="shared" ca="1" si="131"/>
        <v>#VALUE!</v>
      </c>
      <c r="AP493" s="39" t="str">
        <f t="shared" ca="1" si="132"/>
        <v/>
      </c>
      <c r="AQ493" s="46" t="str">
        <f ca="1">IF(AND(C493&lt;&gt;0, C494=0), SUM($C$2:C493)-SUM($AQ$1:AQ492), "")</f>
        <v/>
      </c>
      <c r="AR493" s="46" t="str">
        <f ca="1">IF(AND(AK493&lt;&gt;0, AK494=0), SUM($AK$2:AK493)-SUM($AR$1:AR492), "")</f>
        <v/>
      </c>
    </row>
    <row r="494" spans="1:44" ht="13.15" customHeight="1">
      <c r="A494" s="62"/>
      <c r="B494" s="68" t="str">
        <f t="shared" si="133"/>
        <v/>
      </c>
      <c r="C494" s="55" cm="1">
        <f t="array" aca="1" ref="C494" ca="1">SUM(IF(ISNUMBER(M494:U494),M494:U494,""))</f>
        <v>0</v>
      </c>
      <c r="D494" s="25" t="str">
        <f t="shared" si="134"/>
        <v/>
      </c>
      <c r="E494" s="25" t="e">
        <f t="shared" si="135"/>
        <v>#VALUE!</v>
      </c>
      <c r="F494" s="25" t="str">
        <f t="shared" si="136"/>
        <v/>
      </c>
      <c r="G494" s="25" t="str">
        <f t="shared" si="137"/>
        <v>.xlsx</v>
      </c>
      <c r="H494" s="29" t="e" cm="1">
        <f t="array" aca="1" ref="H494" ca="1">IF(AND(VALUE(E494)=INDIRECT("'["&amp;G494&amp;"]"&amp;E494&amp;"'!"&amp;$X$2),G494=INDIRECT("'["&amp;G494&amp;"]"&amp;E494&amp;"'!"&amp;$X$3)),INDIRECT("'["&amp;G494&amp;"]"&amp;E494&amp;"'!"&amp;$X$1),0)</f>
        <v>#VALUE!</v>
      </c>
      <c r="I494" s="25" t="str">
        <f t="shared" si="138"/>
        <v/>
      </c>
      <c r="J494" s="32" t="str">
        <f t="shared" si="139"/>
        <v/>
      </c>
      <c r="K494" s="25" t="str">
        <f t="shared" si="140"/>
        <v/>
      </c>
      <c r="L494" s="25" t="str">
        <f t="shared" si="141"/>
        <v/>
      </c>
      <c r="M494" s="33" t="e" cm="1">
        <f t="array" aca="1" ref="M494" ca="1">IF(AND(J494=INDIRECT("'["&amp;G494&amp;"]"&amp;E494&amp;"'!"&amp;$Y$2),G494=INDIRECT("'["&amp;G494&amp;"]"&amp;E494&amp;"'!"&amp;$AH$2)),INDIRECT("'["&amp;G494&amp;"]"&amp;E494&amp;"'!"&amp;$Y$3),0)</f>
        <v>#VALUE!</v>
      </c>
      <c r="N494" s="34" t="e" cm="1">
        <f t="array" aca="1" ref="N494" ca="1">IF(AND(G494=INDIRECT("'["&amp;G494&amp;"]"&amp;E494&amp;"'!"&amp;$AH$2),OR(K494=INDIRECT("'["&amp;G494&amp;"]"&amp;E494&amp;"'!"&amp;$Z$2))),INDIRECT("'["&amp;G494&amp;"]"&amp;E494&amp;"'!"&amp;$Z$3),0)</f>
        <v>#VALUE!</v>
      </c>
      <c r="O494" s="34" t="e" cm="1">
        <f t="array" aca="1" ref="O494" ca="1">IF(AND(G494=INDIRECT("'["&amp;G494&amp;"]"&amp;E494&amp;"'!"&amp;$AH$2),OR(L494=INDIRECT("'["&amp;G494&amp;"]"&amp;E494&amp;"'!"&amp;$AA$2))),INDIRECT("'["&amp;G494&amp;"]"&amp;E494&amp;"'!"&amp;$AA$3),0)</f>
        <v>#VALUE!</v>
      </c>
      <c r="P494" s="34" t="e" cm="1">
        <f t="array" aca="1" ref="P494" ca="1">IF(AND(G494=INDIRECT("'["&amp;G494&amp;"]"&amp;E494&amp;"'!"&amp;$AH$2),OR(VALUE(I494)=INDIRECT("'["&amp;G494&amp;"]"&amp;E494&amp;"'!"&amp;$AB$2))),INDIRECT("'["&amp;G494&amp;"]"&amp;E494&amp;"'!"&amp;$AB$3),0)</f>
        <v>#VALUE!</v>
      </c>
      <c r="Q494" s="34" t="e" cm="1">
        <f t="array" aca="1" ref="Q494" ca="1">IF(AND(G494=INDIRECT("'["&amp;G494&amp;"]"&amp;E494&amp;"'!"&amp;$AH$2),OR(VALUE(I494)=INDIRECT("'["&amp;G494&amp;"]"&amp;E494&amp;"'!"&amp;$AC$2))),INDIRECT("'["&amp;G494&amp;"]"&amp;E494&amp;"'!"&amp;$AC$3),0)</f>
        <v>#VALUE!</v>
      </c>
      <c r="R494" s="34" t="e" cm="1">
        <f t="array" aca="1" ref="R494" ca="1">IF(AND(G494=INDIRECT("'["&amp;G494&amp;"]"&amp;E494&amp;"'!"&amp;$AH$2),OR(I494=INDIRECT("'["&amp;G494&amp;"]"&amp;E494&amp;"'!"&amp;$AD$2))),INDIRECT("'["&amp;G494&amp;"]"&amp;E494&amp;"'!"&amp;$AD$3),0)</f>
        <v>#VALUE!</v>
      </c>
      <c r="S494" s="34" t="e" cm="1">
        <f t="array" aca="1" ref="S494" ca="1">IF(AND(G494=INDIRECT("'["&amp;G494&amp;"]"&amp;E494&amp;"'!"&amp;$AH$2),OR(I494=INDIRECT("'["&amp;G494&amp;"]"&amp;E494&amp;"'!"&amp;$AE$2))),INDIRECT("'["&amp;G494&amp;"]"&amp;E494&amp;"'!"&amp;$AE$3),0)</f>
        <v>#VALUE!</v>
      </c>
      <c r="T494" s="35" t="e" cm="1">
        <f t="array" aca="1" ref="T494" ca="1">IF(AND(G494=INDIRECT("'["&amp;G494&amp;"]"&amp;E494&amp;"'!"&amp;$AH$2),OR(I494=INDIRECT("'["&amp;G494&amp;"]"&amp;E494&amp;"'!"&amp;$AF$2))),INDIRECT("'["&amp;G494&amp;"]"&amp;E494&amp;"'!"&amp;$AF$3),0)</f>
        <v>#VALUE!</v>
      </c>
      <c r="U494" s="34" t="e" cm="1">
        <f t="array" aca="1" ref="U494" ca="1">IF(AND(G494=INDIRECT("'["&amp;G494&amp;"]"&amp;E494&amp;"'!"&amp;$AH$2),OR(I494=INDIRECT("'["&amp;G494&amp;"]"&amp;E494&amp;"'!"&amp;$AG$2))),INDIRECT("'["&amp;G494&amp;"]"&amp;E494&amp;"'!"&amp;$AG$3),0)</f>
        <v>#VALUE!</v>
      </c>
      <c r="V494" s="25" t="str">
        <f t="shared" si="142"/>
        <v/>
      </c>
      <c r="W494" s="36" t="e" cm="1">
        <f t="array" aca="1" ref="W494" ca="1">IF(AND(G494=INDIRECT("'["&amp;G494&amp;"]"&amp;E494&amp;"'!"&amp;$AH$2),OR(V494=INDIRECT("'["&amp;G494&amp;"]"&amp;E494&amp;"'!"&amp;$AI$2))),INDIRECT("'["&amp;G494&amp;"]"&amp;E494&amp;"'!"&amp;$AI$3),0)</f>
        <v>#VALUE!</v>
      </c>
      <c r="AJ494" s="25">
        <v>1</v>
      </c>
      <c r="AK494" s="38">
        <f t="shared" ca="1" si="127"/>
        <v>0</v>
      </c>
      <c r="AL494" s="38">
        <f t="shared" ca="1" si="128"/>
        <v>0</v>
      </c>
      <c r="AM494" s="54" t="str">
        <f t="shared" ca="1" si="129"/>
        <v/>
      </c>
      <c r="AN494" s="25" t="e">
        <f t="shared" ca="1" si="130"/>
        <v>#VALUE!</v>
      </c>
      <c r="AO494" s="25" t="e">
        <f t="shared" ca="1" si="131"/>
        <v>#VALUE!</v>
      </c>
      <c r="AP494" s="39" t="str">
        <f t="shared" ca="1" si="132"/>
        <v/>
      </c>
      <c r="AQ494" s="46" t="str">
        <f ca="1">IF(AND(C494&lt;&gt;0, C495=0), SUM($C$2:C494)-SUM($AQ$1:AQ493), "")</f>
        <v/>
      </c>
      <c r="AR494" s="46" t="str">
        <f ca="1">IF(AND(AK494&lt;&gt;0, AK495=0), SUM($AK$2:AK494)-SUM($AR$1:AR493), "")</f>
        <v/>
      </c>
    </row>
    <row r="495" spans="1:44" ht="13.15" customHeight="1">
      <c r="A495" s="62"/>
      <c r="B495" s="68" t="str">
        <f t="shared" si="133"/>
        <v/>
      </c>
      <c r="C495" s="55" cm="1">
        <f t="array" aca="1" ref="C495" ca="1">SUM(IF(ISNUMBER(M495:U495),M495:U495,""))</f>
        <v>0</v>
      </c>
      <c r="D495" s="25" t="str">
        <f t="shared" si="134"/>
        <v/>
      </c>
      <c r="E495" s="25" t="e">
        <f t="shared" si="135"/>
        <v>#VALUE!</v>
      </c>
      <c r="F495" s="25" t="str">
        <f t="shared" si="136"/>
        <v/>
      </c>
      <c r="G495" s="25" t="str">
        <f t="shared" si="137"/>
        <v>.xlsx</v>
      </c>
      <c r="H495" s="29" t="e" cm="1">
        <f t="array" aca="1" ref="H495" ca="1">IF(AND(VALUE(E495)=INDIRECT("'["&amp;G495&amp;"]"&amp;E495&amp;"'!"&amp;$X$2),G495=INDIRECT("'["&amp;G495&amp;"]"&amp;E495&amp;"'!"&amp;$X$3)),INDIRECT("'["&amp;G495&amp;"]"&amp;E495&amp;"'!"&amp;$X$1),0)</f>
        <v>#VALUE!</v>
      </c>
      <c r="I495" s="25" t="str">
        <f t="shared" si="138"/>
        <v/>
      </c>
      <c r="J495" s="32" t="str">
        <f t="shared" si="139"/>
        <v/>
      </c>
      <c r="K495" s="25" t="str">
        <f t="shared" si="140"/>
        <v/>
      </c>
      <c r="L495" s="25" t="str">
        <f t="shared" si="141"/>
        <v/>
      </c>
      <c r="M495" s="33" t="e" cm="1">
        <f t="array" aca="1" ref="M495" ca="1">IF(AND(J495=INDIRECT("'["&amp;G495&amp;"]"&amp;E495&amp;"'!"&amp;$Y$2),G495=INDIRECT("'["&amp;G495&amp;"]"&amp;E495&amp;"'!"&amp;$AH$2)),INDIRECT("'["&amp;G495&amp;"]"&amp;E495&amp;"'!"&amp;$Y$3),0)</f>
        <v>#VALUE!</v>
      </c>
      <c r="N495" s="34" t="e" cm="1">
        <f t="array" aca="1" ref="N495" ca="1">IF(AND(G495=INDIRECT("'["&amp;G495&amp;"]"&amp;E495&amp;"'!"&amp;$AH$2),OR(K495=INDIRECT("'["&amp;G495&amp;"]"&amp;E495&amp;"'!"&amp;$Z$2))),INDIRECT("'["&amp;G495&amp;"]"&amp;E495&amp;"'!"&amp;$Z$3),0)</f>
        <v>#VALUE!</v>
      </c>
      <c r="O495" s="34" t="e" cm="1">
        <f t="array" aca="1" ref="O495" ca="1">IF(AND(G495=INDIRECT("'["&amp;G495&amp;"]"&amp;E495&amp;"'!"&amp;$AH$2),OR(L495=INDIRECT("'["&amp;G495&amp;"]"&amp;E495&amp;"'!"&amp;$AA$2))),INDIRECT("'["&amp;G495&amp;"]"&amp;E495&amp;"'!"&amp;$AA$3),0)</f>
        <v>#VALUE!</v>
      </c>
      <c r="P495" s="34" t="e" cm="1">
        <f t="array" aca="1" ref="P495" ca="1">IF(AND(G495=INDIRECT("'["&amp;G495&amp;"]"&amp;E495&amp;"'!"&amp;$AH$2),OR(VALUE(I495)=INDIRECT("'["&amp;G495&amp;"]"&amp;E495&amp;"'!"&amp;$AB$2))),INDIRECT("'["&amp;G495&amp;"]"&amp;E495&amp;"'!"&amp;$AB$3),0)</f>
        <v>#VALUE!</v>
      </c>
      <c r="Q495" s="34" t="e" cm="1">
        <f t="array" aca="1" ref="Q495" ca="1">IF(AND(G495=INDIRECT("'["&amp;G495&amp;"]"&amp;E495&amp;"'!"&amp;$AH$2),OR(VALUE(I495)=INDIRECT("'["&amp;G495&amp;"]"&amp;E495&amp;"'!"&amp;$AC$2))),INDIRECT("'["&amp;G495&amp;"]"&amp;E495&amp;"'!"&amp;$AC$3),0)</f>
        <v>#VALUE!</v>
      </c>
      <c r="R495" s="34" t="e" cm="1">
        <f t="array" aca="1" ref="R495" ca="1">IF(AND(G495=INDIRECT("'["&amp;G495&amp;"]"&amp;E495&amp;"'!"&amp;$AH$2),OR(I495=INDIRECT("'["&amp;G495&amp;"]"&amp;E495&amp;"'!"&amp;$AD$2))),INDIRECT("'["&amp;G495&amp;"]"&amp;E495&amp;"'!"&amp;$AD$3),0)</f>
        <v>#VALUE!</v>
      </c>
      <c r="S495" s="34" t="e" cm="1">
        <f t="array" aca="1" ref="S495" ca="1">IF(AND(G495=INDIRECT("'["&amp;G495&amp;"]"&amp;E495&amp;"'!"&amp;$AH$2),OR(I495=INDIRECT("'["&amp;G495&amp;"]"&amp;E495&amp;"'!"&amp;$AE$2))),INDIRECT("'["&amp;G495&amp;"]"&amp;E495&amp;"'!"&amp;$AE$3),0)</f>
        <v>#VALUE!</v>
      </c>
      <c r="T495" s="35" t="e" cm="1">
        <f t="array" aca="1" ref="T495" ca="1">IF(AND(G495=INDIRECT("'["&amp;G495&amp;"]"&amp;E495&amp;"'!"&amp;$AH$2),OR(I495=INDIRECT("'["&amp;G495&amp;"]"&amp;E495&amp;"'!"&amp;$AF$2))),INDIRECT("'["&amp;G495&amp;"]"&amp;E495&amp;"'!"&amp;$AF$3),0)</f>
        <v>#VALUE!</v>
      </c>
      <c r="U495" s="34" t="e" cm="1">
        <f t="array" aca="1" ref="U495" ca="1">IF(AND(G495=INDIRECT("'["&amp;G495&amp;"]"&amp;E495&amp;"'!"&amp;$AH$2),OR(I495=INDIRECT("'["&amp;G495&amp;"]"&amp;E495&amp;"'!"&amp;$AG$2))),INDIRECT("'["&amp;G495&amp;"]"&amp;E495&amp;"'!"&amp;$AG$3),0)</f>
        <v>#VALUE!</v>
      </c>
      <c r="V495" s="25" t="str">
        <f t="shared" si="142"/>
        <v/>
      </c>
      <c r="W495" s="36" t="e" cm="1">
        <f t="array" aca="1" ref="W495" ca="1">IF(AND(G495=INDIRECT("'["&amp;G495&amp;"]"&amp;E495&amp;"'!"&amp;$AH$2),OR(V495=INDIRECT("'["&amp;G495&amp;"]"&amp;E495&amp;"'!"&amp;$AI$2))),INDIRECT("'["&amp;G495&amp;"]"&amp;E495&amp;"'!"&amp;$AI$3),0)</f>
        <v>#VALUE!</v>
      </c>
      <c r="AJ495" s="25">
        <v>1</v>
      </c>
      <c r="AK495" s="38">
        <f t="shared" ca="1" si="127"/>
        <v>0</v>
      </c>
      <c r="AL495" s="38">
        <f t="shared" ca="1" si="128"/>
        <v>0</v>
      </c>
      <c r="AM495" s="54" t="str">
        <f t="shared" ca="1" si="129"/>
        <v/>
      </c>
      <c r="AN495" s="25" t="e">
        <f t="shared" ca="1" si="130"/>
        <v>#VALUE!</v>
      </c>
      <c r="AO495" s="25" t="e">
        <f t="shared" ca="1" si="131"/>
        <v>#VALUE!</v>
      </c>
      <c r="AP495" s="39" t="str">
        <f t="shared" ca="1" si="132"/>
        <v/>
      </c>
      <c r="AQ495" s="46" t="str">
        <f ca="1">IF(AND(C495&lt;&gt;0, C496=0), SUM($C$2:C495)-SUM($AQ$1:AQ494), "")</f>
        <v/>
      </c>
      <c r="AR495" s="46" t="str">
        <f ca="1">IF(AND(AK495&lt;&gt;0, AK496=0), SUM($AK$2:AK495)-SUM($AR$1:AR494), "")</f>
        <v/>
      </c>
    </row>
    <row r="496" spans="1:44" ht="13.15" customHeight="1">
      <c r="A496" s="62"/>
      <c r="B496" s="68" t="str">
        <f t="shared" si="133"/>
        <v/>
      </c>
      <c r="C496" s="55" cm="1">
        <f t="array" aca="1" ref="C496" ca="1">SUM(IF(ISNUMBER(M496:U496),M496:U496,""))</f>
        <v>0</v>
      </c>
      <c r="D496" s="25" t="str">
        <f t="shared" si="134"/>
        <v/>
      </c>
      <c r="E496" s="25" t="e">
        <f t="shared" si="135"/>
        <v>#VALUE!</v>
      </c>
      <c r="F496" s="25" t="str">
        <f t="shared" si="136"/>
        <v/>
      </c>
      <c r="G496" s="25" t="str">
        <f t="shared" si="137"/>
        <v>.xlsx</v>
      </c>
      <c r="H496" s="29" t="e" cm="1">
        <f t="array" aca="1" ref="H496" ca="1">IF(AND(VALUE(E496)=INDIRECT("'["&amp;G496&amp;"]"&amp;E496&amp;"'!"&amp;$X$2),G496=INDIRECT("'["&amp;G496&amp;"]"&amp;E496&amp;"'!"&amp;$X$3)),INDIRECT("'["&amp;G496&amp;"]"&amp;E496&amp;"'!"&amp;$X$1),0)</f>
        <v>#VALUE!</v>
      </c>
      <c r="I496" s="25" t="str">
        <f t="shared" si="138"/>
        <v/>
      </c>
      <c r="J496" s="32" t="str">
        <f t="shared" si="139"/>
        <v/>
      </c>
      <c r="K496" s="25" t="str">
        <f t="shared" si="140"/>
        <v/>
      </c>
      <c r="L496" s="25" t="str">
        <f t="shared" si="141"/>
        <v/>
      </c>
      <c r="M496" s="33" t="e" cm="1">
        <f t="array" aca="1" ref="M496" ca="1">IF(AND(J496=INDIRECT("'["&amp;G496&amp;"]"&amp;E496&amp;"'!"&amp;$Y$2),G496=INDIRECT("'["&amp;G496&amp;"]"&amp;E496&amp;"'!"&amp;$AH$2)),INDIRECT("'["&amp;G496&amp;"]"&amp;E496&amp;"'!"&amp;$Y$3),0)</f>
        <v>#VALUE!</v>
      </c>
      <c r="N496" s="34" t="e" cm="1">
        <f t="array" aca="1" ref="N496" ca="1">IF(AND(G496=INDIRECT("'["&amp;G496&amp;"]"&amp;E496&amp;"'!"&amp;$AH$2),OR(K496=INDIRECT("'["&amp;G496&amp;"]"&amp;E496&amp;"'!"&amp;$Z$2))),INDIRECT("'["&amp;G496&amp;"]"&amp;E496&amp;"'!"&amp;$Z$3),0)</f>
        <v>#VALUE!</v>
      </c>
      <c r="O496" s="34" t="e" cm="1">
        <f t="array" aca="1" ref="O496" ca="1">IF(AND(G496=INDIRECT("'["&amp;G496&amp;"]"&amp;E496&amp;"'!"&amp;$AH$2),OR(L496=INDIRECT("'["&amp;G496&amp;"]"&amp;E496&amp;"'!"&amp;$AA$2))),INDIRECT("'["&amp;G496&amp;"]"&amp;E496&amp;"'!"&amp;$AA$3),0)</f>
        <v>#VALUE!</v>
      </c>
      <c r="P496" s="34" t="e" cm="1">
        <f t="array" aca="1" ref="P496" ca="1">IF(AND(G496=INDIRECT("'["&amp;G496&amp;"]"&amp;E496&amp;"'!"&amp;$AH$2),OR(VALUE(I496)=INDIRECT("'["&amp;G496&amp;"]"&amp;E496&amp;"'!"&amp;$AB$2))),INDIRECT("'["&amp;G496&amp;"]"&amp;E496&amp;"'!"&amp;$AB$3),0)</f>
        <v>#VALUE!</v>
      </c>
      <c r="Q496" s="34" t="e" cm="1">
        <f t="array" aca="1" ref="Q496" ca="1">IF(AND(G496=INDIRECT("'["&amp;G496&amp;"]"&amp;E496&amp;"'!"&amp;$AH$2),OR(VALUE(I496)=INDIRECT("'["&amp;G496&amp;"]"&amp;E496&amp;"'!"&amp;$AC$2))),INDIRECT("'["&amp;G496&amp;"]"&amp;E496&amp;"'!"&amp;$AC$3),0)</f>
        <v>#VALUE!</v>
      </c>
      <c r="R496" s="34" t="e" cm="1">
        <f t="array" aca="1" ref="R496" ca="1">IF(AND(G496=INDIRECT("'["&amp;G496&amp;"]"&amp;E496&amp;"'!"&amp;$AH$2),OR(I496=INDIRECT("'["&amp;G496&amp;"]"&amp;E496&amp;"'!"&amp;$AD$2))),INDIRECT("'["&amp;G496&amp;"]"&amp;E496&amp;"'!"&amp;$AD$3),0)</f>
        <v>#VALUE!</v>
      </c>
      <c r="S496" s="34" t="e" cm="1">
        <f t="array" aca="1" ref="S496" ca="1">IF(AND(G496=INDIRECT("'["&amp;G496&amp;"]"&amp;E496&amp;"'!"&amp;$AH$2),OR(I496=INDIRECT("'["&amp;G496&amp;"]"&amp;E496&amp;"'!"&amp;$AE$2))),INDIRECT("'["&amp;G496&amp;"]"&amp;E496&amp;"'!"&amp;$AE$3),0)</f>
        <v>#VALUE!</v>
      </c>
      <c r="T496" s="35" t="e" cm="1">
        <f t="array" aca="1" ref="T496" ca="1">IF(AND(G496=INDIRECT("'["&amp;G496&amp;"]"&amp;E496&amp;"'!"&amp;$AH$2),OR(I496=INDIRECT("'["&amp;G496&amp;"]"&amp;E496&amp;"'!"&amp;$AF$2))),INDIRECT("'["&amp;G496&amp;"]"&amp;E496&amp;"'!"&amp;$AF$3),0)</f>
        <v>#VALUE!</v>
      </c>
      <c r="U496" s="34" t="e" cm="1">
        <f t="array" aca="1" ref="U496" ca="1">IF(AND(G496=INDIRECT("'["&amp;G496&amp;"]"&amp;E496&amp;"'!"&amp;$AH$2),OR(I496=INDIRECT("'["&amp;G496&amp;"]"&amp;E496&amp;"'!"&amp;$AG$2))),INDIRECT("'["&amp;G496&amp;"]"&amp;E496&amp;"'!"&amp;$AG$3),0)</f>
        <v>#VALUE!</v>
      </c>
      <c r="V496" s="25" t="str">
        <f t="shared" si="142"/>
        <v/>
      </c>
      <c r="W496" s="36" t="e" cm="1">
        <f t="array" aca="1" ref="W496" ca="1">IF(AND(G496=INDIRECT("'["&amp;G496&amp;"]"&amp;E496&amp;"'!"&amp;$AH$2),OR(V496=INDIRECT("'["&amp;G496&amp;"]"&amp;E496&amp;"'!"&amp;$AI$2))),INDIRECT("'["&amp;G496&amp;"]"&amp;E496&amp;"'!"&amp;$AI$3),0)</f>
        <v>#VALUE!</v>
      </c>
      <c r="AJ496" s="25">
        <v>1</v>
      </c>
      <c r="AK496" s="38">
        <f t="shared" ca="1" si="127"/>
        <v>0</v>
      </c>
      <c r="AL496" s="38">
        <f t="shared" ca="1" si="128"/>
        <v>0</v>
      </c>
      <c r="AM496" s="54" t="str">
        <f t="shared" ca="1" si="129"/>
        <v/>
      </c>
      <c r="AN496" s="25" t="e">
        <f t="shared" ca="1" si="130"/>
        <v>#VALUE!</v>
      </c>
      <c r="AO496" s="25" t="e">
        <f t="shared" ca="1" si="131"/>
        <v>#VALUE!</v>
      </c>
      <c r="AP496" s="39" t="str">
        <f t="shared" ca="1" si="132"/>
        <v/>
      </c>
      <c r="AQ496" s="46" t="str">
        <f ca="1">IF(AND(C496&lt;&gt;0, C497=0), SUM($C$2:C496)-SUM($AQ$1:AQ495), "")</f>
        <v/>
      </c>
      <c r="AR496" s="46" t="str">
        <f ca="1">IF(AND(AK496&lt;&gt;0, AK497=0), SUM($AK$2:AK496)-SUM($AR$1:AR495), "")</f>
        <v/>
      </c>
    </row>
    <row r="497" spans="1:44" ht="13.15" customHeight="1">
      <c r="A497" s="62"/>
      <c r="B497" s="68" t="str">
        <f t="shared" si="133"/>
        <v/>
      </c>
      <c r="C497" s="55" cm="1">
        <f t="array" aca="1" ref="C497" ca="1">SUM(IF(ISNUMBER(M497:U497),M497:U497,""))</f>
        <v>0</v>
      </c>
      <c r="D497" s="25" t="str">
        <f t="shared" si="134"/>
        <v/>
      </c>
      <c r="E497" s="25" t="e">
        <f t="shared" si="135"/>
        <v>#VALUE!</v>
      </c>
      <c r="F497" s="25" t="str">
        <f t="shared" si="136"/>
        <v/>
      </c>
      <c r="G497" s="25" t="str">
        <f t="shared" si="137"/>
        <v>.xlsx</v>
      </c>
      <c r="H497" s="29" t="e" cm="1">
        <f t="array" aca="1" ref="H497" ca="1">IF(AND(VALUE(E497)=INDIRECT("'["&amp;G497&amp;"]"&amp;E497&amp;"'!"&amp;$X$2),G497=INDIRECT("'["&amp;G497&amp;"]"&amp;E497&amp;"'!"&amp;$X$3)),INDIRECT("'["&amp;G497&amp;"]"&amp;E497&amp;"'!"&amp;$X$1),0)</f>
        <v>#VALUE!</v>
      </c>
      <c r="I497" s="25" t="str">
        <f t="shared" si="138"/>
        <v/>
      </c>
      <c r="J497" s="32" t="str">
        <f t="shared" si="139"/>
        <v/>
      </c>
      <c r="K497" s="25" t="str">
        <f t="shared" si="140"/>
        <v/>
      </c>
      <c r="L497" s="25" t="str">
        <f t="shared" si="141"/>
        <v/>
      </c>
      <c r="M497" s="33" t="e" cm="1">
        <f t="array" aca="1" ref="M497" ca="1">IF(AND(J497=INDIRECT("'["&amp;G497&amp;"]"&amp;E497&amp;"'!"&amp;$Y$2),G497=INDIRECT("'["&amp;G497&amp;"]"&amp;E497&amp;"'!"&amp;$AH$2)),INDIRECT("'["&amp;G497&amp;"]"&amp;E497&amp;"'!"&amp;$Y$3),0)</f>
        <v>#VALUE!</v>
      </c>
      <c r="N497" s="34" t="e" cm="1">
        <f t="array" aca="1" ref="N497" ca="1">IF(AND(G497=INDIRECT("'["&amp;G497&amp;"]"&amp;E497&amp;"'!"&amp;$AH$2),OR(K497=INDIRECT("'["&amp;G497&amp;"]"&amp;E497&amp;"'!"&amp;$Z$2))),INDIRECT("'["&amp;G497&amp;"]"&amp;E497&amp;"'!"&amp;$Z$3),0)</f>
        <v>#VALUE!</v>
      </c>
      <c r="O497" s="34" t="e" cm="1">
        <f t="array" aca="1" ref="O497" ca="1">IF(AND(G497=INDIRECT("'["&amp;G497&amp;"]"&amp;E497&amp;"'!"&amp;$AH$2),OR(L497=INDIRECT("'["&amp;G497&amp;"]"&amp;E497&amp;"'!"&amp;$AA$2))),INDIRECT("'["&amp;G497&amp;"]"&amp;E497&amp;"'!"&amp;$AA$3),0)</f>
        <v>#VALUE!</v>
      </c>
      <c r="P497" s="34" t="e" cm="1">
        <f t="array" aca="1" ref="P497" ca="1">IF(AND(G497=INDIRECT("'["&amp;G497&amp;"]"&amp;E497&amp;"'!"&amp;$AH$2),OR(VALUE(I497)=INDIRECT("'["&amp;G497&amp;"]"&amp;E497&amp;"'!"&amp;$AB$2))),INDIRECT("'["&amp;G497&amp;"]"&amp;E497&amp;"'!"&amp;$AB$3),0)</f>
        <v>#VALUE!</v>
      </c>
      <c r="Q497" s="34" t="e" cm="1">
        <f t="array" aca="1" ref="Q497" ca="1">IF(AND(G497=INDIRECT("'["&amp;G497&amp;"]"&amp;E497&amp;"'!"&amp;$AH$2),OR(VALUE(I497)=INDIRECT("'["&amp;G497&amp;"]"&amp;E497&amp;"'!"&amp;$AC$2))),INDIRECT("'["&amp;G497&amp;"]"&amp;E497&amp;"'!"&amp;$AC$3),0)</f>
        <v>#VALUE!</v>
      </c>
      <c r="R497" s="34" t="e" cm="1">
        <f t="array" aca="1" ref="R497" ca="1">IF(AND(G497=INDIRECT("'["&amp;G497&amp;"]"&amp;E497&amp;"'!"&amp;$AH$2),OR(I497=INDIRECT("'["&amp;G497&amp;"]"&amp;E497&amp;"'!"&amp;$AD$2))),INDIRECT("'["&amp;G497&amp;"]"&amp;E497&amp;"'!"&amp;$AD$3),0)</f>
        <v>#VALUE!</v>
      </c>
      <c r="S497" s="34" t="e" cm="1">
        <f t="array" aca="1" ref="S497" ca="1">IF(AND(G497=INDIRECT("'["&amp;G497&amp;"]"&amp;E497&amp;"'!"&amp;$AH$2),OR(I497=INDIRECT("'["&amp;G497&amp;"]"&amp;E497&amp;"'!"&amp;$AE$2))),INDIRECT("'["&amp;G497&amp;"]"&amp;E497&amp;"'!"&amp;$AE$3),0)</f>
        <v>#VALUE!</v>
      </c>
      <c r="T497" s="35" t="e" cm="1">
        <f t="array" aca="1" ref="T497" ca="1">IF(AND(G497=INDIRECT("'["&amp;G497&amp;"]"&amp;E497&amp;"'!"&amp;$AH$2),OR(I497=INDIRECT("'["&amp;G497&amp;"]"&amp;E497&amp;"'!"&amp;$AF$2))),INDIRECT("'["&amp;G497&amp;"]"&amp;E497&amp;"'!"&amp;$AF$3),0)</f>
        <v>#VALUE!</v>
      </c>
      <c r="U497" s="34" t="e" cm="1">
        <f t="array" aca="1" ref="U497" ca="1">IF(AND(G497=INDIRECT("'["&amp;G497&amp;"]"&amp;E497&amp;"'!"&amp;$AH$2),OR(I497=INDIRECT("'["&amp;G497&amp;"]"&amp;E497&amp;"'!"&amp;$AG$2))),INDIRECT("'["&amp;G497&amp;"]"&amp;E497&amp;"'!"&amp;$AG$3),0)</f>
        <v>#VALUE!</v>
      </c>
      <c r="V497" s="25" t="str">
        <f t="shared" si="142"/>
        <v/>
      </c>
      <c r="W497" s="36" t="e" cm="1">
        <f t="array" aca="1" ref="W497" ca="1">IF(AND(G497=INDIRECT("'["&amp;G497&amp;"]"&amp;E497&amp;"'!"&amp;$AH$2),OR(V497=INDIRECT("'["&amp;G497&amp;"]"&amp;E497&amp;"'!"&amp;$AI$2))),INDIRECT("'["&amp;G497&amp;"]"&amp;E497&amp;"'!"&amp;$AI$3),0)</f>
        <v>#VALUE!</v>
      </c>
      <c r="AJ497" s="25">
        <v>1</v>
      </c>
      <c r="AK497" s="38">
        <f t="shared" ca="1" si="127"/>
        <v>0</v>
      </c>
      <c r="AL497" s="38">
        <f t="shared" ca="1" si="128"/>
        <v>0</v>
      </c>
      <c r="AM497" s="54" t="str">
        <f t="shared" ca="1" si="129"/>
        <v/>
      </c>
      <c r="AN497" s="25" t="e">
        <f t="shared" ca="1" si="130"/>
        <v>#VALUE!</v>
      </c>
      <c r="AO497" s="25" t="e">
        <f t="shared" ca="1" si="131"/>
        <v>#VALUE!</v>
      </c>
      <c r="AP497" s="39" t="str">
        <f t="shared" ca="1" si="132"/>
        <v/>
      </c>
      <c r="AQ497" s="46" t="str">
        <f ca="1">IF(AND(C497&lt;&gt;0, C498=0), SUM($C$2:C497)-SUM($AQ$1:AQ496), "")</f>
        <v/>
      </c>
      <c r="AR497" s="46" t="str">
        <f ca="1">IF(AND(AK497&lt;&gt;0, AK498=0), SUM($AK$2:AK497)-SUM($AR$1:AR496), "")</f>
        <v/>
      </c>
    </row>
    <row r="498" spans="1:44" ht="13.15" customHeight="1">
      <c r="A498" s="62"/>
      <c r="B498" s="68" t="str">
        <f t="shared" si="133"/>
        <v/>
      </c>
      <c r="C498" s="55" cm="1">
        <f t="array" aca="1" ref="C498" ca="1">SUM(IF(ISNUMBER(M498:U498),M498:U498,""))</f>
        <v>0</v>
      </c>
      <c r="D498" s="25" t="str">
        <f t="shared" si="134"/>
        <v/>
      </c>
      <c r="E498" s="25" t="e">
        <f t="shared" si="135"/>
        <v>#VALUE!</v>
      </c>
      <c r="F498" s="25" t="str">
        <f t="shared" si="136"/>
        <v/>
      </c>
      <c r="G498" s="25" t="str">
        <f t="shared" si="137"/>
        <v>.xlsx</v>
      </c>
      <c r="H498" s="29" t="e" cm="1">
        <f t="array" aca="1" ref="H498" ca="1">IF(AND(VALUE(E498)=INDIRECT("'["&amp;G498&amp;"]"&amp;E498&amp;"'!"&amp;$X$2),G498=INDIRECT("'["&amp;G498&amp;"]"&amp;E498&amp;"'!"&amp;$X$3)),INDIRECT("'["&amp;G498&amp;"]"&amp;E498&amp;"'!"&amp;$X$1),0)</f>
        <v>#VALUE!</v>
      </c>
      <c r="I498" s="25" t="str">
        <f t="shared" si="138"/>
        <v/>
      </c>
      <c r="J498" s="32" t="str">
        <f t="shared" si="139"/>
        <v/>
      </c>
      <c r="K498" s="25" t="str">
        <f t="shared" si="140"/>
        <v/>
      </c>
      <c r="L498" s="25" t="str">
        <f t="shared" si="141"/>
        <v/>
      </c>
      <c r="M498" s="33" t="e" cm="1">
        <f t="array" aca="1" ref="M498" ca="1">IF(AND(J498=INDIRECT("'["&amp;G498&amp;"]"&amp;E498&amp;"'!"&amp;$Y$2),G498=INDIRECT("'["&amp;G498&amp;"]"&amp;E498&amp;"'!"&amp;$AH$2)),INDIRECT("'["&amp;G498&amp;"]"&amp;E498&amp;"'!"&amp;$Y$3),0)</f>
        <v>#VALUE!</v>
      </c>
      <c r="N498" s="34" t="e" cm="1">
        <f t="array" aca="1" ref="N498" ca="1">IF(AND(G498=INDIRECT("'["&amp;G498&amp;"]"&amp;E498&amp;"'!"&amp;$AH$2),OR(K498=INDIRECT("'["&amp;G498&amp;"]"&amp;E498&amp;"'!"&amp;$Z$2))),INDIRECT("'["&amp;G498&amp;"]"&amp;E498&amp;"'!"&amp;$Z$3),0)</f>
        <v>#VALUE!</v>
      </c>
      <c r="O498" s="34" t="e" cm="1">
        <f t="array" aca="1" ref="O498" ca="1">IF(AND(G498=INDIRECT("'["&amp;G498&amp;"]"&amp;E498&amp;"'!"&amp;$AH$2),OR(L498=INDIRECT("'["&amp;G498&amp;"]"&amp;E498&amp;"'!"&amp;$AA$2))),INDIRECT("'["&amp;G498&amp;"]"&amp;E498&amp;"'!"&amp;$AA$3),0)</f>
        <v>#VALUE!</v>
      </c>
      <c r="P498" s="34" t="e" cm="1">
        <f t="array" aca="1" ref="P498" ca="1">IF(AND(G498=INDIRECT("'["&amp;G498&amp;"]"&amp;E498&amp;"'!"&amp;$AH$2),OR(VALUE(I498)=INDIRECT("'["&amp;G498&amp;"]"&amp;E498&amp;"'!"&amp;$AB$2))),INDIRECT("'["&amp;G498&amp;"]"&amp;E498&amp;"'!"&amp;$AB$3),0)</f>
        <v>#VALUE!</v>
      </c>
      <c r="Q498" s="34" t="e" cm="1">
        <f t="array" aca="1" ref="Q498" ca="1">IF(AND(G498=INDIRECT("'["&amp;G498&amp;"]"&amp;E498&amp;"'!"&amp;$AH$2),OR(VALUE(I498)=INDIRECT("'["&amp;G498&amp;"]"&amp;E498&amp;"'!"&amp;$AC$2))),INDIRECT("'["&amp;G498&amp;"]"&amp;E498&amp;"'!"&amp;$AC$3),0)</f>
        <v>#VALUE!</v>
      </c>
      <c r="R498" s="34" t="e" cm="1">
        <f t="array" aca="1" ref="R498" ca="1">IF(AND(G498=INDIRECT("'["&amp;G498&amp;"]"&amp;E498&amp;"'!"&amp;$AH$2),OR(I498=INDIRECT("'["&amp;G498&amp;"]"&amp;E498&amp;"'!"&amp;$AD$2))),INDIRECT("'["&amp;G498&amp;"]"&amp;E498&amp;"'!"&amp;$AD$3),0)</f>
        <v>#VALUE!</v>
      </c>
      <c r="S498" s="34" t="e" cm="1">
        <f t="array" aca="1" ref="S498" ca="1">IF(AND(G498=INDIRECT("'["&amp;G498&amp;"]"&amp;E498&amp;"'!"&amp;$AH$2),OR(I498=INDIRECT("'["&amp;G498&amp;"]"&amp;E498&amp;"'!"&amp;$AE$2))),INDIRECT("'["&amp;G498&amp;"]"&amp;E498&amp;"'!"&amp;$AE$3),0)</f>
        <v>#VALUE!</v>
      </c>
      <c r="T498" s="35" t="e" cm="1">
        <f t="array" aca="1" ref="T498" ca="1">IF(AND(G498=INDIRECT("'["&amp;G498&amp;"]"&amp;E498&amp;"'!"&amp;$AH$2),OR(I498=INDIRECT("'["&amp;G498&amp;"]"&amp;E498&amp;"'!"&amp;$AF$2))),INDIRECT("'["&amp;G498&amp;"]"&amp;E498&amp;"'!"&amp;$AF$3),0)</f>
        <v>#VALUE!</v>
      </c>
      <c r="U498" s="34" t="e" cm="1">
        <f t="array" aca="1" ref="U498" ca="1">IF(AND(G498=INDIRECT("'["&amp;G498&amp;"]"&amp;E498&amp;"'!"&amp;$AH$2),OR(I498=INDIRECT("'["&amp;G498&amp;"]"&amp;E498&amp;"'!"&amp;$AG$2))),INDIRECT("'["&amp;G498&amp;"]"&amp;E498&amp;"'!"&amp;$AG$3),0)</f>
        <v>#VALUE!</v>
      </c>
      <c r="V498" s="25" t="str">
        <f t="shared" si="142"/>
        <v/>
      </c>
      <c r="W498" s="36" t="e" cm="1">
        <f t="array" aca="1" ref="W498" ca="1">IF(AND(G498=INDIRECT("'["&amp;G498&amp;"]"&amp;E498&amp;"'!"&amp;$AH$2),OR(V498=INDIRECT("'["&amp;G498&amp;"]"&amp;E498&amp;"'!"&amp;$AI$2))),INDIRECT("'["&amp;G498&amp;"]"&amp;E498&amp;"'!"&amp;$AI$3),0)</f>
        <v>#VALUE!</v>
      </c>
      <c r="AJ498" s="25">
        <v>1</v>
      </c>
      <c r="AK498" s="38">
        <f t="shared" ca="1" si="127"/>
        <v>0</v>
      </c>
      <c r="AL498" s="38">
        <f t="shared" ca="1" si="128"/>
        <v>0</v>
      </c>
      <c r="AM498" s="54" t="str">
        <f t="shared" ca="1" si="129"/>
        <v/>
      </c>
      <c r="AN498" s="25" t="e">
        <f t="shared" ca="1" si="130"/>
        <v>#VALUE!</v>
      </c>
      <c r="AO498" s="25" t="e">
        <f t="shared" ca="1" si="131"/>
        <v>#VALUE!</v>
      </c>
      <c r="AP498" s="39" t="str">
        <f t="shared" ca="1" si="132"/>
        <v/>
      </c>
      <c r="AQ498" s="46" t="str">
        <f ca="1">IF(AND(C498&lt;&gt;0, C499=0), SUM($C$2:C498)-SUM($AQ$1:AQ497), "")</f>
        <v/>
      </c>
      <c r="AR498" s="46" t="str">
        <f ca="1">IF(AND(AK498&lt;&gt;0, AK499=0), SUM($AK$2:AK498)-SUM($AR$1:AR497), "")</f>
        <v/>
      </c>
    </row>
    <row r="499" spans="1:44" ht="13.15" customHeight="1">
      <c r="A499" s="62"/>
      <c r="B499" s="68" t="str">
        <f t="shared" si="133"/>
        <v/>
      </c>
      <c r="C499" s="55" cm="1">
        <f t="array" aca="1" ref="C499" ca="1">SUM(IF(ISNUMBER(M499:U499),M499:U499,""))</f>
        <v>0</v>
      </c>
      <c r="D499" s="25" t="str">
        <f t="shared" si="134"/>
        <v/>
      </c>
      <c r="E499" s="25" t="e">
        <f t="shared" si="135"/>
        <v>#VALUE!</v>
      </c>
      <c r="F499" s="25" t="str">
        <f t="shared" si="136"/>
        <v/>
      </c>
      <c r="G499" s="25" t="str">
        <f t="shared" si="137"/>
        <v>.xlsx</v>
      </c>
      <c r="H499" s="29" t="e" cm="1">
        <f t="array" aca="1" ref="H499" ca="1">IF(AND(VALUE(E499)=INDIRECT("'["&amp;G499&amp;"]"&amp;E499&amp;"'!"&amp;$X$2),G499=INDIRECT("'["&amp;G499&amp;"]"&amp;E499&amp;"'!"&amp;$X$3)),INDIRECT("'["&amp;G499&amp;"]"&amp;E499&amp;"'!"&amp;$X$1),0)</f>
        <v>#VALUE!</v>
      </c>
      <c r="I499" s="25" t="str">
        <f t="shared" si="138"/>
        <v/>
      </c>
      <c r="J499" s="32" t="str">
        <f t="shared" si="139"/>
        <v/>
      </c>
      <c r="K499" s="25" t="str">
        <f t="shared" si="140"/>
        <v/>
      </c>
      <c r="L499" s="25" t="str">
        <f t="shared" si="141"/>
        <v/>
      </c>
      <c r="M499" s="33" t="e" cm="1">
        <f t="array" aca="1" ref="M499" ca="1">IF(AND(J499=INDIRECT("'["&amp;G499&amp;"]"&amp;E499&amp;"'!"&amp;$Y$2),G499=INDIRECT("'["&amp;G499&amp;"]"&amp;E499&amp;"'!"&amp;$AH$2)),INDIRECT("'["&amp;G499&amp;"]"&amp;E499&amp;"'!"&amp;$Y$3),0)</f>
        <v>#VALUE!</v>
      </c>
      <c r="N499" s="34" t="e" cm="1">
        <f t="array" aca="1" ref="N499" ca="1">IF(AND(G499=INDIRECT("'["&amp;G499&amp;"]"&amp;E499&amp;"'!"&amp;$AH$2),OR(K499=INDIRECT("'["&amp;G499&amp;"]"&amp;E499&amp;"'!"&amp;$Z$2))),INDIRECT("'["&amp;G499&amp;"]"&amp;E499&amp;"'!"&amp;$Z$3),0)</f>
        <v>#VALUE!</v>
      </c>
      <c r="O499" s="34" t="e" cm="1">
        <f t="array" aca="1" ref="O499" ca="1">IF(AND(G499=INDIRECT("'["&amp;G499&amp;"]"&amp;E499&amp;"'!"&amp;$AH$2),OR(L499=INDIRECT("'["&amp;G499&amp;"]"&amp;E499&amp;"'!"&amp;$AA$2))),INDIRECT("'["&amp;G499&amp;"]"&amp;E499&amp;"'!"&amp;$AA$3),0)</f>
        <v>#VALUE!</v>
      </c>
      <c r="P499" s="34" t="e" cm="1">
        <f t="array" aca="1" ref="P499" ca="1">IF(AND(G499=INDIRECT("'["&amp;G499&amp;"]"&amp;E499&amp;"'!"&amp;$AH$2),OR(VALUE(I499)=INDIRECT("'["&amp;G499&amp;"]"&amp;E499&amp;"'!"&amp;$AB$2))),INDIRECT("'["&amp;G499&amp;"]"&amp;E499&amp;"'!"&amp;$AB$3),0)</f>
        <v>#VALUE!</v>
      </c>
      <c r="Q499" s="34" t="e" cm="1">
        <f t="array" aca="1" ref="Q499" ca="1">IF(AND(G499=INDIRECT("'["&amp;G499&amp;"]"&amp;E499&amp;"'!"&amp;$AH$2),OR(VALUE(I499)=INDIRECT("'["&amp;G499&amp;"]"&amp;E499&amp;"'!"&amp;$AC$2))),INDIRECT("'["&amp;G499&amp;"]"&amp;E499&amp;"'!"&amp;$AC$3),0)</f>
        <v>#VALUE!</v>
      </c>
      <c r="R499" s="34" t="e" cm="1">
        <f t="array" aca="1" ref="R499" ca="1">IF(AND(G499=INDIRECT("'["&amp;G499&amp;"]"&amp;E499&amp;"'!"&amp;$AH$2),OR(I499=INDIRECT("'["&amp;G499&amp;"]"&amp;E499&amp;"'!"&amp;$AD$2))),INDIRECT("'["&amp;G499&amp;"]"&amp;E499&amp;"'!"&amp;$AD$3),0)</f>
        <v>#VALUE!</v>
      </c>
      <c r="S499" s="34" t="e" cm="1">
        <f t="array" aca="1" ref="S499" ca="1">IF(AND(G499=INDIRECT("'["&amp;G499&amp;"]"&amp;E499&amp;"'!"&amp;$AH$2),OR(I499=INDIRECT("'["&amp;G499&amp;"]"&amp;E499&amp;"'!"&amp;$AE$2))),INDIRECT("'["&amp;G499&amp;"]"&amp;E499&amp;"'!"&amp;$AE$3),0)</f>
        <v>#VALUE!</v>
      </c>
      <c r="T499" s="35" t="e" cm="1">
        <f t="array" aca="1" ref="T499" ca="1">IF(AND(G499=INDIRECT("'["&amp;G499&amp;"]"&amp;E499&amp;"'!"&amp;$AH$2),OR(I499=INDIRECT("'["&amp;G499&amp;"]"&amp;E499&amp;"'!"&amp;$AF$2))),INDIRECT("'["&amp;G499&amp;"]"&amp;E499&amp;"'!"&amp;$AF$3),0)</f>
        <v>#VALUE!</v>
      </c>
      <c r="U499" s="34" t="e" cm="1">
        <f t="array" aca="1" ref="U499" ca="1">IF(AND(G499=INDIRECT("'["&amp;G499&amp;"]"&amp;E499&amp;"'!"&amp;$AH$2),OR(I499=INDIRECT("'["&amp;G499&amp;"]"&amp;E499&amp;"'!"&amp;$AG$2))),INDIRECT("'["&amp;G499&amp;"]"&amp;E499&amp;"'!"&amp;$AG$3),0)</f>
        <v>#VALUE!</v>
      </c>
      <c r="V499" s="25" t="str">
        <f t="shared" si="142"/>
        <v/>
      </c>
      <c r="W499" s="36" t="e" cm="1">
        <f t="array" aca="1" ref="W499" ca="1">IF(AND(G499=INDIRECT("'["&amp;G499&amp;"]"&amp;E499&amp;"'!"&amp;$AH$2),OR(V499=INDIRECT("'["&amp;G499&amp;"]"&amp;E499&amp;"'!"&amp;$AI$2))),INDIRECT("'["&amp;G499&amp;"]"&amp;E499&amp;"'!"&amp;$AI$3),0)</f>
        <v>#VALUE!</v>
      </c>
      <c r="AJ499" s="25">
        <v>1</v>
      </c>
      <c r="AK499" s="38">
        <f t="shared" ca="1" si="127"/>
        <v>0</v>
      </c>
      <c r="AL499" s="38">
        <f t="shared" ca="1" si="128"/>
        <v>0</v>
      </c>
      <c r="AM499" s="54" t="str">
        <f t="shared" ca="1" si="129"/>
        <v/>
      </c>
      <c r="AN499" s="25" t="e">
        <f t="shared" ca="1" si="130"/>
        <v>#VALUE!</v>
      </c>
      <c r="AO499" s="25" t="e">
        <f t="shared" ca="1" si="131"/>
        <v>#VALUE!</v>
      </c>
      <c r="AP499" s="39" t="str">
        <f t="shared" ca="1" si="132"/>
        <v/>
      </c>
      <c r="AQ499" s="46" t="str">
        <f ca="1">IF(AND(C499&lt;&gt;0, C500=0), SUM($C$2:C499)-SUM($AQ$1:AQ498), "")</f>
        <v/>
      </c>
      <c r="AR499" s="46" t="str">
        <f ca="1">IF(AND(AK499&lt;&gt;0, AK500=0), SUM($AK$2:AK499)-SUM($AR$1:AR498), "")</f>
        <v/>
      </c>
    </row>
    <row r="500" spans="1:44" ht="13.15" customHeight="1">
      <c r="A500" s="62"/>
      <c r="B500" s="68" t="str">
        <f t="shared" si="133"/>
        <v/>
      </c>
      <c r="C500" s="55" cm="1">
        <f t="array" aca="1" ref="C500" ca="1">SUM(IF(ISNUMBER(M500:U500),M500:U500,""))</f>
        <v>0</v>
      </c>
      <c r="D500" s="25" t="str">
        <f t="shared" si="134"/>
        <v/>
      </c>
      <c r="E500" s="25" t="e">
        <f t="shared" si="135"/>
        <v>#VALUE!</v>
      </c>
      <c r="F500" s="25" t="str">
        <f t="shared" si="136"/>
        <v/>
      </c>
      <c r="G500" s="25" t="str">
        <f t="shared" si="137"/>
        <v>.xlsx</v>
      </c>
      <c r="H500" s="29" t="e" cm="1">
        <f t="array" aca="1" ref="H500" ca="1">IF(AND(VALUE(E500)=INDIRECT("'["&amp;G500&amp;"]"&amp;E500&amp;"'!"&amp;$X$2),G500=INDIRECT("'["&amp;G500&amp;"]"&amp;E500&amp;"'!"&amp;$X$3)),INDIRECT("'["&amp;G500&amp;"]"&amp;E500&amp;"'!"&amp;$X$1),0)</f>
        <v>#VALUE!</v>
      </c>
      <c r="I500" s="25" t="str">
        <f t="shared" si="138"/>
        <v/>
      </c>
      <c r="J500" s="32" t="str">
        <f t="shared" si="139"/>
        <v/>
      </c>
      <c r="K500" s="25" t="str">
        <f t="shared" si="140"/>
        <v/>
      </c>
      <c r="L500" s="25" t="str">
        <f t="shared" si="141"/>
        <v/>
      </c>
      <c r="M500" s="33" t="e" cm="1">
        <f t="array" aca="1" ref="M500" ca="1">IF(AND(J500=INDIRECT("'["&amp;G500&amp;"]"&amp;E500&amp;"'!"&amp;$Y$2),G500=INDIRECT("'["&amp;G500&amp;"]"&amp;E500&amp;"'!"&amp;$AH$2)),INDIRECT("'["&amp;G500&amp;"]"&amp;E500&amp;"'!"&amp;$Y$3),0)</f>
        <v>#VALUE!</v>
      </c>
      <c r="N500" s="34" t="e" cm="1">
        <f t="array" aca="1" ref="N500" ca="1">IF(AND(G500=INDIRECT("'["&amp;G500&amp;"]"&amp;E500&amp;"'!"&amp;$AH$2),OR(K500=INDIRECT("'["&amp;G500&amp;"]"&amp;E500&amp;"'!"&amp;$Z$2))),INDIRECT("'["&amp;G500&amp;"]"&amp;E500&amp;"'!"&amp;$Z$3),0)</f>
        <v>#VALUE!</v>
      </c>
      <c r="O500" s="34" t="e" cm="1">
        <f t="array" aca="1" ref="O500" ca="1">IF(AND(G500=INDIRECT("'["&amp;G500&amp;"]"&amp;E500&amp;"'!"&amp;$AH$2),OR(L500=INDIRECT("'["&amp;G500&amp;"]"&amp;E500&amp;"'!"&amp;$AA$2))),INDIRECT("'["&amp;G500&amp;"]"&amp;E500&amp;"'!"&amp;$AA$3),0)</f>
        <v>#VALUE!</v>
      </c>
      <c r="P500" s="34" t="e" cm="1">
        <f t="array" aca="1" ref="P500" ca="1">IF(AND(G500=INDIRECT("'["&amp;G500&amp;"]"&amp;E500&amp;"'!"&amp;$AH$2),OR(VALUE(I500)=INDIRECT("'["&amp;G500&amp;"]"&amp;E500&amp;"'!"&amp;$AB$2))),INDIRECT("'["&amp;G500&amp;"]"&amp;E500&amp;"'!"&amp;$AB$3),0)</f>
        <v>#VALUE!</v>
      </c>
      <c r="Q500" s="34" t="e" cm="1">
        <f t="array" aca="1" ref="Q500" ca="1">IF(AND(G500=INDIRECT("'["&amp;G500&amp;"]"&amp;E500&amp;"'!"&amp;$AH$2),OR(VALUE(I500)=INDIRECT("'["&amp;G500&amp;"]"&amp;E500&amp;"'!"&amp;$AC$2))),INDIRECT("'["&amp;G500&amp;"]"&amp;E500&amp;"'!"&amp;$AC$3),0)</f>
        <v>#VALUE!</v>
      </c>
      <c r="R500" s="34" t="e" cm="1">
        <f t="array" aca="1" ref="R500" ca="1">IF(AND(G500=INDIRECT("'["&amp;G500&amp;"]"&amp;E500&amp;"'!"&amp;$AH$2),OR(I500=INDIRECT("'["&amp;G500&amp;"]"&amp;E500&amp;"'!"&amp;$AD$2))),INDIRECT("'["&amp;G500&amp;"]"&amp;E500&amp;"'!"&amp;$AD$3),0)</f>
        <v>#VALUE!</v>
      </c>
      <c r="S500" s="34" t="e" cm="1">
        <f t="array" aca="1" ref="S500" ca="1">IF(AND(G500=INDIRECT("'["&amp;G500&amp;"]"&amp;E500&amp;"'!"&amp;$AH$2),OR(I500=INDIRECT("'["&amp;G500&amp;"]"&amp;E500&amp;"'!"&amp;$AE$2))),INDIRECT("'["&amp;G500&amp;"]"&amp;E500&amp;"'!"&amp;$AE$3),0)</f>
        <v>#VALUE!</v>
      </c>
      <c r="T500" s="35" t="e" cm="1">
        <f t="array" aca="1" ref="T500" ca="1">IF(AND(G500=INDIRECT("'["&amp;G500&amp;"]"&amp;E500&amp;"'!"&amp;$AH$2),OR(I500=INDIRECT("'["&amp;G500&amp;"]"&amp;E500&amp;"'!"&amp;$AF$2))),INDIRECT("'["&amp;G500&amp;"]"&amp;E500&amp;"'!"&amp;$AF$3),0)</f>
        <v>#VALUE!</v>
      </c>
      <c r="U500" s="34" t="e" cm="1">
        <f t="array" aca="1" ref="U500" ca="1">IF(AND(G500=INDIRECT("'["&amp;G500&amp;"]"&amp;E500&amp;"'!"&amp;$AH$2),OR(I500=INDIRECT("'["&amp;G500&amp;"]"&amp;E500&amp;"'!"&amp;$AG$2))),INDIRECT("'["&amp;G500&amp;"]"&amp;E500&amp;"'!"&amp;$AG$3),0)</f>
        <v>#VALUE!</v>
      </c>
      <c r="V500" s="25" t="str">
        <f t="shared" si="142"/>
        <v/>
      </c>
      <c r="W500" s="36" t="e" cm="1">
        <f t="array" aca="1" ref="W500" ca="1">IF(AND(G500=INDIRECT("'["&amp;G500&amp;"]"&amp;E500&amp;"'!"&amp;$AH$2),OR(V500=INDIRECT("'["&amp;G500&amp;"]"&amp;E500&amp;"'!"&amp;$AI$2))),INDIRECT("'["&amp;G500&amp;"]"&amp;E500&amp;"'!"&amp;$AI$3),0)</f>
        <v>#VALUE!</v>
      </c>
      <c r="AJ500" s="25">
        <v>1</v>
      </c>
      <c r="AK500" s="38">
        <f t="shared" ca="1" si="127"/>
        <v>0</v>
      </c>
      <c r="AL500" s="38">
        <f t="shared" ca="1" si="128"/>
        <v>0</v>
      </c>
      <c r="AM500" s="54" t="str">
        <f t="shared" ca="1" si="129"/>
        <v/>
      </c>
      <c r="AN500" s="25" t="e">
        <f t="shared" ca="1" si="130"/>
        <v>#VALUE!</v>
      </c>
      <c r="AO500" s="25" t="e">
        <f t="shared" ca="1" si="131"/>
        <v>#VALUE!</v>
      </c>
      <c r="AP500" s="39" t="str">
        <f t="shared" ca="1" si="132"/>
        <v/>
      </c>
      <c r="AQ500" s="46" t="str">
        <f ca="1">IF(AND(C500&lt;&gt;0, C501=0), SUM($C$2:C500)-SUM($AQ$1:AQ499), "")</f>
        <v/>
      </c>
      <c r="AR500" s="46" t="str">
        <f ca="1">IF(AND(AK500&lt;&gt;0, AK501=0), SUM($AK$2:AK500)-SUM($AR$1:AR499), "")</f>
        <v/>
      </c>
    </row>
    <row r="501" spans="1:44" ht="13.15" customHeight="1">
      <c r="B501" s="68" t="str">
        <f t="shared" ref="B501:B564" si="143">LEFT(A501,15)</f>
        <v/>
      </c>
      <c r="C501" s="55" cm="1">
        <f t="array" aca="1" ref="C501" ca="1">SUM(IF(ISNUMBER(M501:U501),M501:U501,""))</f>
        <v>0</v>
      </c>
      <c r="D501" s="25" t="str">
        <f t="shared" ref="D501:D564" si="144">MID(A501,4,2)</f>
        <v/>
      </c>
      <c r="E501" s="25" t="e">
        <f t="shared" ref="E501:E564" si="145">IF(ISEVEN(D501),D501-1,VALUE(D501))</f>
        <v>#VALUE!</v>
      </c>
      <c r="F501" s="25" t="str">
        <f t="shared" ref="F501:F564" si="146">LEFT(A501,2)</f>
        <v/>
      </c>
      <c r="G501" s="25" t="str">
        <f t="shared" ref="G501:G564" si="147">CONCATENATE(F501,".xlsx")</f>
        <v>.xlsx</v>
      </c>
      <c r="H501" s="29" t="e" cm="1">
        <f t="array" aca="1" ref="H501" ca="1">IF(AND(VALUE(E501)=INDIRECT("'["&amp;G501&amp;"]"&amp;E501&amp;"'!"&amp;$X$2),G501=INDIRECT("'["&amp;G501&amp;"]"&amp;E501&amp;"'!"&amp;$X$3)),INDIRECT("'["&amp;G501&amp;"]"&amp;E501&amp;"'!"&amp;$X$1),0)</f>
        <v>#VALUE!</v>
      </c>
      <c r="I501" s="25" t="str">
        <f t="shared" ref="I501:I564" si="148">MID(A501,10,6)</f>
        <v/>
      </c>
      <c r="J501" s="32" t="str">
        <f t="shared" ref="J501:J564" si="149">RIGHT(I501,2)</f>
        <v/>
      </c>
      <c r="K501" s="25" t="str">
        <f t="shared" ref="K501:K564" si="150">LEFT(I501,3)</f>
        <v/>
      </c>
      <c r="L501" s="25" t="str">
        <f t="shared" ref="L501:L564" si="151">RIGHT(I501,3)</f>
        <v/>
      </c>
      <c r="M501" s="33" t="e" cm="1">
        <f t="array" aca="1" ref="M501" ca="1">IF(AND(J501=INDIRECT("'["&amp;G501&amp;"]"&amp;E501&amp;"'!"&amp;$Y$2),G501=INDIRECT("'["&amp;G501&amp;"]"&amp;E501&amp;"'!"&amp;$AH$2)),INDIRECT("'["&amp;G501&amp;"]"&amp;E501&amp;"'!"&amp;$Y$3),0)</f>
        <v>#VALUE!</v>
      </c>
      <c r="N501" s="34" t="e" cm="1">
        <f t="array" aca="1" ref="N501" ca="1">IF(AND(G501=INDIRECT("'["&amp;G501&amp;"]"&amp;E501&amp;"'!"&amp;$AH$2),OR(K501=INDIRECT("'["&amp;G501&amp;"]"&amp;E501&amp;"'!"&amp;$Z$2))),INDIRECT("'["&amp;G501&amp;"]"&amp;E501&amp;"'!"&amp;$Z$3),0)</f>
        <v>#VALUE!</v>
      </c>
      <c r="O501" s="34" t="e" cm="1">
        <f t="array" aca="1" ref="O501" ca="1">IF(AND(G501=INDIRECT("'["&amp;G501&amp;"]"&amp;E501&amp;"'!"&amp;$AH$2),OR(L501=INDIRECT("'["&amp;G501&amp;"]"&amp;E501&amp;"'!"&amp;$AA$2))),INDIRECT("'["&amp;G501&amp;"]"&amp;E501&amp;"'!"&amp;$AA$3),0)</f>
        <v>#VALUE!</v>
      </c>
      <c r="P501" s="34" t="e" cm="1">
        <f t="array" aca="1" ref="P501" ca="1">IF(AND(G501=INDIRECT("'["&amp;G501&amp;"]"&amp;E501&amp;"'!"&amp;$AH$2),OR(VALUE(I501)=INDIRECT("'["&amp;G501&amp;"]"&amp;E501&amp;"'!"&amp;$AB$2))),INDIRECT("'["&amp;G501&amp;"]"&amp;E501&amp;"'!"&amp;$AB$3),0)</f>
        <v>#VALUE!</v>
      </c>
      <c r="Q501" s="34" t="e" cm="1">
        <f t="array" aca="1" ref="Q501" ca="1">IF(AND(G501=INDIRECT("'["&amp;G501&amp;"]"&amp;E501&amp;"'!"&amp;$AH$2),OR(VALUE(I501)=INDIRECT("'["&amp;G501&amp;"]"&amp;E501&amp;"'!"&amp;$AC$2))),INDIRECT("'["&amp;G501&amp;"]"&amp;E501&amp;"'!"&amp;$AC$3),0)</f>
        <v>#VALUE!</v>
      </c>
      <c r="R501" s="34" t="e" cm="1">
        <f t="array" aca="1" ref="R501" ca="1">IF(AND(G501=INDIRECT("'["&amp;G501&amp;"]"&amp;E501&amp;"'!"&amp;$AH$2),OR(I501=INDIRECT("'["&amp;G501&amp;"]"&amp;E501&amp;"'!"&amp;$AD$2))),INDIRECT("'["&amp;G501&amp;"]"&amp;E501&amp;"'!"&amp;$AD$3),0)</f>
        <v>#VALUE!</v>
      </c>
      <c r="S501" s="34" t="e" cm="1">
        <f t="array" aca="1" ref="S501" ca="1">IF(AND(G501=INDIRECT("'["&amp;G501&amp;"]"&amp;E501&amp;"'!"&amp;$AH$2),OR(I501=INDIRECT("'["&amp;G501&amp;"]"&amp;E501&amp;"'!"&amp;$AE$2))),INDIRECT("'["&amp;G501&amp;"]"&amp;E501&amp;"'!"&amp;$AE$3),0)</f>
        <v>#VALUE!</v>
      </c>
      <c r="T501" s="35" t="e" cm="1">
        <f t="array" aca="1" ref="T501" ca="1">IF(AND(G501=INDIRECT("'["&amp;G501&amp;"]"&amp;E501&amp;"'!"&amp;$AH$2),OR(I501=INDIRECT("'["&amp;G501&amp;"]"&amp;E501&amp;"'!"&amp;$AF$2))),INDIRECT("'["&amp;G501&amp;"]"&amp;E501&amp;"'!"&amp;$AF$3),0)</f>
        <v>#VALUE!</v>
      </c>
      <c r="U501" s="34" t="e" cm="1">
        <f t="array" aca="1" ref="U501" ca="1">IF(AND(G501=INDIRECT("'["&amp;G501&amp;"]"&amp;E501&amp;"'!"&amp;$AH$2),OR(I501=INDIRECT("'["&amp;G501&amp;"]"&amp;E501&amp;"'!"&amp;$AG$2))),INDIRECT("'["&amp;G501&amp;"]"&amp;E501&amp;"'!"&amp;$AG$3),0)</f>
        <v>#VALUE!</v>
      </c>
      <c r="V501" s="25" t="str">
        <f t="shared" ref="V501:V564" si="152">MID(B501,7,9)</f>
        <v/>
      </c>
      <c r="W501" s="36" t="e" cm="1">
        <f t="array" aca="1" ref="W501" ca="1">IF(AND(G501=INDIRECT("'["&amp;G501&amp;"]"&amp;E501&amp;"'!"&amp;$AH$2),OR(V501=INDIRECT("'["&amp;G501&amp;"]"&amp;E501&amp;"'!"&amp;$AI$2))),INDIRECT("'["&amp;G501&amp;"]"&amp;E501&amp;"'!"&amp;$AI$3),0)</f>
        <v>#VALUE!</v>
      </c>
      <c r="AJ501" s="25">
        <v>1</v>
      </c>
      <c r="AK501" s="38">
        <f t="shared" ref="AK501:AK564" ca="1" si="153">(C501*AJ501%)</f>
        <v>0</v>
      </c>
      <c r="AL501" s="38">
        <f t="shared" ref="AL501:AL564" ca="1" si="154">C501-AK501</f>
        <v>0</v>
      </c>
      <c r="AM501" s="54" t="str">
        <f t="shared" ref="AM501:AM564" ca="1" si="155">IF(A501&lt;&gt;"",IF(AM501="",NOW(),AM501),"")</f>
        <v/>
      </c>
      <c r="AN501" s="25" t="e">
        <f t="shared" ref="AN501:AN564" ca="1" si="156">IF(VALUE(N501),"/","")</f>
        <v>#VALUE!</v>
      </c>
      <c r="AO501" s="25" t="e">
        <f t="shared" ref="AO501:AO564" ca="1" si="157">IF(VALUE(O501),"/","")</f>
        <v>#VALUE!</v>
      </c>
      <c r="AQ501" s="46" t="str">
        <f ca="1">IF(AND(C501&lt;&gt;0, C502=0), SUM($C$2:C501)-SUM($AQ$1:AQ500), "")</f>
        <v/>
      </c>
      <c r="AR501" s="46" t="str">
        <f ca="1">IF(AND(AK501&lt;&gt;0, AK502=0), SUM($AK$2:AK501)-SUM($AR$1:AR500), "")</f>
        <v/>
      </c>
    </row>
    <row r="502" spans="1:44" ht="13.15" customHeight="1">
      <c r="B502" s="68" t="str">
        <f t="shared" si="143"/>
        <v/>
      </c>
      <c r="C502" s="55" cm="1">
        <f t="array" aca="1" ref="C502" ca="1">SUM(IF(ISNUMBER(M502:U502),M502:U502,""))</f>
        <v>0</v>
      </c>
      <c r="D502" s="25" t="str">
        <f t="shared" si="144"/>
        <v/>
      </c>
      <c r="E502" s="25" t="e">
        <f t="shared" si="145"/>
        <v>#VALUE!</v>
      </c>
      <c r="F502" s="25" t="str">
        <f t="shared" si="146"/>
        <v/>
      </c>
      <c r="G502" s="25" t="str">
        <f t="shared" si="147"/>
        <v>.xlsx</v>
      </c>
      <c r="H502" s="29" t="e" cm="1">
        <f t="array" aca="1" ref="H502" ca="1">IF(AND(VALUE(E502)=INDIRECT("'["&amp;G502&amp;"]"&amp;E502&amp;"'!"&amp;$X$2),G502=INDIRECT("'["&amp;G502&amp;"]"&amp;E502&amp;"'!"&amp;$X$3)),INDIRECT("'["&amp;G502&amp;"]"&amp;E502&amp;"'!"&amp;$X$1),0)</f>
        <v>#VALUE!</v>
      </c>
      <c r="I502" s="25" t="str">
        <f t="shared" si="148"/>
        <v/>
      </c>
      <c r="J502" s="32" t="str">
        <f t="shared" si="149"/>
        <v/>
      </c>
      <c r="K502" s="25" t="str">
        <f t="shared" si="150"/>
        <v/>
      </c>
      <c r="L502" s="25" t="str">
        <f t="shared" si="151"/>
        <v/>
      </c>
      <c r="M502" s="33" t="e" cm="1">
        <f t="array" aca="1" ref="M502" ca="1">IF(AND(J502=INDIRECT("'["&amp;G502&amp;"]"&amp;E502&amp;"'!"&amp;$Y$2),G502=INDIRECT("'["&amp;G502&amp;"]"&amp;E502&amp;"'!"&amp;$AH$2)),INDIRECT("'["&amp;G502&amp;"]"&amp;E502&amp;"'!"&amp;$Y$3),0)</f>
        <v>#VALUE!</v>
      </c>
      <c r="N502" s="34" t="e" cm="1">
        <f t="array" aca="1" ref="N502" ca="1">IF(AND(G502=INDIRECT("'["&amp;G502&amp;"]"&amp;E502&amp;"'!"&amp;$AH$2),OR(K502=INDIRECT("'["&amp;G502&amp;"]"&amp;E502&amp;"'!"&amp;$Z$2))),INDIRECT("'["&amp;G502&amp;"]"&amp;E502&amp;"'!"&amp;$Z$3),0)</f>
        <v>#VALUE!</v>
      </c>
      <c r="O502" s="34" t="e" cm="1">
        <f t="array" aca="1" ref="O502" ca="1">IF(AND(G502=INDIRECT("'["&amp;G502&amp;"]"&amp;E502&amp;"'!"&amp;$AH$2),OR(L502=INDIRECT("'["&amp;G502&amp;"]"&amp;E502&amp;"'!"&amp;$AA$2))),INDIRECT("'["&amp;G502&amp;"]"&amp;E502&amp;"'!"&amp;$AA$3),0)</f>
        <v>#VALUE!</v>
      </c>
      <c r="P502" s="34" t="e" cm="1">
        <f t="array" aca="1" ref="P502" ca="1">IF(AND(G502=INDIRECT("'["&amp;G502&amp;"]"&amp;E502&amp;"'!"&amp;$AH$2),OR(VALUE(I502)=INDIRECT("'["&amp;G502&amp;"]"&amp;E502&amp;"'!"&amp;$AB$2))),INDIRECT("'["&amp;G502&amp;"]"&amp;E502&amp;"'!"&amp;$AB$3),0)</f>
        <v>#VALUE!</v>
      </c>
      <c r="Q502" s="34" t="e" cm="1">
        <f t="array" aca="1" ref="Q502" ca="1">IF(AND(G502=INDIRECT("'["&amp;G502&amp;"]"&amp;E502&amp;"'!"&amp;$AH$2),OR(VALUE(I502)=INDIRECT("'["&amp;G502&amp;"]"&amp;E502&amp;"'!"&amp;$AC$2))),INDIRECT("'["&amp;G502&amp;"]"&amp;E502&amp;"'!"&amp;$AC$3),0)</f>
        <v>#VALUE!</v>
      </c>
      <c r="R502" s="34" t="e" cm="1">
        <f t="array" aca="1" ref="R502" ca="1">IF(AND(G502=INDIRECT("'["&amp;G502&amp;"]"&amp;E502&amp;"'!"&amp;$AH$2),OR(I502=INDIRECT("'["&amp;G502&amp;"]"&amp;E502&amp;"'!"&amp;$AD$2))),INDIRECT("'["&amp;G502&amp;"]"&amp;E502&amp;"'!"&amp;$AD$3),0)</f>
        <v>#VALUE!</v>
      </c>
      <c r="S502" s="34" t="e" cm="1">
        <f t="array" aca="1" ref="S502" ca="1">IF(AND(G502=INDIRECT("'["&amp;G502&amp;"]"&amp;E502&amp;"'!"&amp;$AH$2),OR(I502=INDIRECT("'["&amp;G502&amp;"]"&amp;E502&amp;"'!"&amp;$AE$2))),INDIRECT("'["&amp;G502&amp;"]"&amp;E502&amp;"'!"&amp;$AE$3),0)</f>
        <v>#VALUE!</v>
      </c>
      <c r="T502" s="35" t="e" cm="1">
        <f t="array" aca="1" ref="T502" ca="1">IF(AND(G502=INDIRECT("'["&amp;G502&amp;"]"&amp;E502&amp;"'!"&amp;$AH$2),OR(I502=INDIRECT("'["&amp;G502&amp;"]"&amp;E502&amp;"'!"&amp;$AF$2))),INDIRECT("'["&amp;G502&amp;"]"&amp;E502&amp;"'!"&amp;$AF$3),0)</f>
        <v>#VALUE!</v>
      </c>
      <c r="U502" s="34" t="e" cm="1">
        <f t="array" aca="1" ref="U502" ca="1">IF(AND(G502=INDIRECT("'["&amp;G502&amp;"]"&amp;E502&amp;"'!"&amp;$AH$2),OR(I502=INDIRECT("'["&amp;G502&amp;"]"&amp;E502&amp;"'!"&amp;$AG$2))),INDIRECT("'["&amp;G502&amp;"]"&amp;E502&amp;"'!"&amp;$AG$3),0)</f>
        <v>#VALUE!</v>
      </c>
      <c r="V502" s="25" t="str">
        <f t="shared" si="152"/>
        <v/>
      </c>
      <c r="W502" s="36" t="e" cm="1">
        <f t="array" aca="1" ref="W502" ca="1">IF(AND(G502=INDIRECT("'["&amp;G502&amp;"]"&amp;E502&amp;"'!"&amp;$AH$2),OR(V502=INDIRECT("'["&amp;G502&amp;"]"&amp;E502&amp;"'!"&amp;$AI$2))),INDIRECT("'["&amp;G502&amp;"]"&amp;E502&amp;"'!"&amp;$AI$3),0)</f>
        <v>#VALUE!</v>
      </c>
      <c r="AJ502" s="25">
        <v>1</v>
      </c>
      <c r="AK502" s="38">
        <f t="shared" ca="1" si="153"/>
        <v>0</v>
      </c>
      <c r="AL502" s="38">
        <f t="shared" ca="1" si="154"/>
        <v>0</v>
      </c>
      <c r="AM502" s="54" t="str">
        <f t="shared" ca="1" si="155"/>
        <v/>
      </c>
      <c r="AN502" s="25" t="e">
        <f t="shared" ca="1" si="156"/>
        <v>#VALUE!</v>
      </c>
      <c r="AO502" s="25" t="e">
        <f t="shared" ca="1" si="157"/>
        <v>#VALUE!</v>
      </c>
      <c r="AQ502" s="46" t="str">
        <f ca="1">IF(AND(C502&lt;&gt;0, C503=0), SUM($C$2:C502)-SUM($AQ$1:AQ501), "")</f>
        <v/>
      </c>
      <c r="AR502" s="46" t="str">
        <f ca="1">IF(AND(AK502&lt;&gt;0, AK503=0), SUM($AK$2:AK502)-SUM($AR$1:AR501), "")</f>
        <v/>
      </c>
    </row>
    <row r="503" spans="1:44" ht="13.15" customHeight="1">
      <c r="B503" s="68" t="str">
        <f t="shared" si="143"/>
        <v/>
      </c>
      <c r="C503" s="55" cm="1">
        <f t="array" aca="1" ref="C503" ca="1">SUM(IF(ISNUMBER(M503:U503),M503:U503,""))</f>
        <v>0</v>
      </c>
      <c r="D503" s="25" t="str">
        <f t="shared" si="144"/>
        <v/>
      </c>
      <c r="E503" s="25" t="e">
        <f t="shared" si="145"/>
        <v>#VALUE!</v>
      </c>
      <c r="F503" s="25" t="str">
        <f t="shared" si="146"/>
        <v/>
      </c>
      <c r="G503" s="25" t="str">
        <f t="shared" si="147"/>
        <v>.xlsx</v>
      </c>
      <c r="H503" s="29" t="e" cm="1">
        <f t="array" aca="1" ref="H503" ca="1">IF(AND(VALUE(E503)=INDIRECT("'["&amp;G503&amp;"]"&amp;E503&amp;"'!"&amp;$X$2),G503=INDIRECT("'["&amp;G503&amp;"]"&amp;E503&amp;"'!"&amp;$X$3)),INDIRECT("'["&amp;G503&amp;"]"&amp;E503&amp;"'!"&amp;$X$1),0)</f>
        <v>#VALUE!</v>
      </c>
      <c r="I503" s="25" t="str">
        <f t="shared" si="148"/>
        <v/>
      </c>
      <c r="J503" s="32" t="str">
        <f t="shared" si="149"/>
        <v/>
      </c>
      <c r="K503" s="25" t="str">
        <f t="shared" si="150"/>
        <v/>
      </c>
      <c r="L503" s="25" t="str">
        <f t="shared" si="151"/>
        <v/>
      </c>
      <c r="M503" s="33" t="e" cm="1">
        <f t="array" aca="1" ref="M503" ca="1">IF(AND(J503=INDIRECT("'["&amp;G503&amp;"]"&amp;E503&amp;"'!"&amp;$Y$2),G503=INDIRECT("'["&amp;G503&amp;"]"&amp;E503&amp;"'!"&amp;$AH$2)),INDIRECT("'["&amp;G503&amp;"]"&amp;E503&amp;"'!"&amp;$Y$3),0)</f>
        <v>#VALUE!</v>
      </c>
      <c r="N503" s="34" t="e" cm="1">
        <f t="array" aca="1" ref="N503" ca="1">IF(AND(G503=INDIRECT("'["&amp;G503&amp;"]"&amp;E503&amp;"'!"&amp;$AH$2),OR(K503=INDIRECT("'["&amp;G503&amp;"]"&amp;E503&amp;"'!"&amp;$Z$2))),INDIRECT("'["&amp;G503&amp;"]"&amp;E503&amp;"'!"&amp;$Z$3),0)</f>
        <v>#VALUE!</v>
      </c>
      <c r="O503" s="34" t="e" cm="1">
        <f t="array" aca="1" ref="O503" ca="1">IF(AND(G503=INDIRECT("'["&amp;G503&amp;"]"&amp;E503&amp;"'!"&amp;$AH$2),OR(L503=INDIRECT("'["&amp;G503&amp;"]"&amp;E503&amp;"'!"&amp;$AA$2))),INDIRECT("'["&amp;G503&amp;"]"&amp;E503&amp;"'!"&amp;$AA$3),0)</f>
        <v>#VALUE!</v>
      </c>
      <c r="P503" s="34" t="e" cm="1">
        <f t="array" aca="1" ref="P503" ca="1">IF(AND(G503=INDIRECT("'["&amp;G503&amp;"]"&amp;E503&amp;"'!"&amp;$AH$2),OR(VALUE(I503)=INDIRECT("'["&amp;G503&amp;"]"&amp;E503&amp;"'!"&amp;$AB$2))),INDIRECT("'["&amp;G503&amp;"]"&amp;E503&amp;"'!"&amp;$AB$3),0)</f>
        <v>#VALUE!</v>
      </c>
      <c r="Q503" s="34" t="e" cm="1">
        <f t="array" aca="1" ref="Q503" ca="1">IF(AND(G503=INDIRECT("'["&amp;G503&amp;"]"&amp;E503&amp;"'!"&amp;$AH$2),OR(VALUE(I503)=INDIRECT("'["&amp;G503&amp;"]"&amp;E503&amp;"'!"&amp;$AC$2))),INDIRECT("'["&amp;G503&amp;"]"&amp;E503&amp;"'!"&amp;$AC$3),0)</f>
        <v>#VALUE!</v>
      </c>
      <c r="R503" s="34" t="e" cm="1">
        <f t="array" aca="1" ref="R503" ca="1">IF(AND(G503=INDIRECT("'["&amp;G503&amp;"]"&amp;E503&amp;"'!"&amp;$AH$2),OR(I503=INDIRECT("'["&amp;G503&amp;"]"&amp;E503&amp;"'!"&amp;$AD$2))),INDIRECT("'["&amp;G503&amp;"]"&amp;E503&amp;"'!"&amp;$AD$3),0)</f>
        <v>#VALUE!</v>
      </c>
      <c r="S503" s="34" t="e" cm="1">
        <f t="array" aca="1" ref="S503" ca="1">IF(AND(G503=INDIRECT("'["&amp;G503&amp;"]"&amp;E503&amp;"'!"&amp;$AH$2),OR(I503=INDIRECT("'["&amp;G503&amp;"]"&amp;E503&amp;"'!"&amp;$AE$2))),INDIRECT("'["&amp;G503&amp;"]"&amp;E503&amp;"'!"&amp;$AE$3),0)</f>
        <v>#VALUE!</v>
      </c>
      <c r="T503" s="35" t="e" cm="1">
        <f t="array" aca="1" ref="T503" ca="1">IF(AND(G503=INDIRECT("'["&amp;G503&amp;"]"&amp;E503&amp;"'!"&amp;$AH$2),OR(I503=INDIRECT("'["&amp;G503&amp;"]"&amp;E503&amp;"'!"&amp;$AF$2))),INDIRECT("'["&amp;G503&amp;"]"&amp;E503&amp;"'!"&amp;$AF$3),0)</f>
        <v>#VALUE!</v>
      </c>
      <c r="U503" s="34" t="e" cm="1">
        <f t="array" aca="1" ref="U503" ca="1">IF(AND(G503=INDIRECT("'["&amp;G503&amp;"]"&amp;E503&amp;"'!"&amp;$AH$2),OR(I503=INDIRECT("'["&amp;G503&amp;"]"&amp;E503&amp;"'!"&amp;$AG$2))),INDIRECT("'["&amp;G503&amp;"]"&amp;E503&amp;"'!"&amp;$AG$3),0)</f>
        <v>#VALUE!</v>
      </c>
      <c r="V503" s="25" t="str">
        <f t="shared" si="152"/>
        <v/>
      </c>
      <c r="W503" s="36" t="e" cm="1">
        <f t="array" aca="1" ref="W503" ca="1">IF(AND(G503=INDIRECT("'["&amp;G503&amp;"]"&amp;E503&amp;"'!"&amp;$AH$2),OR(V503=INDIRECT("'["&amp;G503&amp;"]"&amp;E503&amp;"'!"&amp;$AI$2))),INDIRECT("'["&amp;G503&amp;"]"&amp;E503&amp;"'!"&amp;$AI$3),0)</f>
        <v>#VALUE!</v>
      </c>
      <c r="AJ503" s="25">
        <v>1</v>
      </c>
      <c r="AK503" s="38">
        <f t="shared" ca="1" si="153"/>
        <v>0</v>
      </c>
      <c r="AL503" s="38">
        <f t="shared" ca="1" si="154"/>
        <v>0</v>
      </c>
      <c r="AM503" s="54" t="str">
        <f t="shared" ca="1" si="155"/>
        <v/>
      </c>
      <c r="AN503" s="25" t="e">
        <f t="shared" ca="1" si="156"/>
        <v>#VALUE!</v>
      </c>
      <c r="AO503" s="25" t="e">
        <f t="shared" ca="1" si="157"/>
        <v>#VALUE!</v>
      </c>
      <c r="AQ503" s="46" t="str">
        <f ca="1">IF(AND(C503&lt;&gt;0, C504=0), SUM($C$2:C503)-SUM($AQ$1:AQ502), "")</f>
        <v/>
      </c>
      <c r="AR503" s="46" t="str">
        <f ca="1">IF(AND(AK503&lt;&gt;0, AK504=0), SUM($AK$2:AK503)-SUM($AR$1:AR502), "")</f>
        <v/>
      </c>
    </row>
    <row r="504" spans="1:44" ht="13.15" customHeight="1">
      <c r="B504" s="68" t="str">
        <f t="shared" si="143"/>
        <v/>
      </c>
      <c r="C504" s="55" cm="1">
        <f t="array" aca="1" ref="C504" ca="1">SUM(IF(ISNUMBER(M504:U504),M504:U504,""))</f>
        <v>0</v>
      </c>
      <c r="D504" s="25" t="str">
        <f t="shared" si="144"/>
        <v/>
      </c>
      <c r="E504" s="25" t="e">
        <f t="shared" si="145"/>
        <v>#VALUE!</v>
      </c>
      <c r="F504" s="25" t="str">
        <f t="shared" si="146"/>
        <v/>
      </c>
      <c r="G504" s="25" t="str">
        <f t="shared" si="147"/>
        <v>.xlsx</v>
      </c>
      <c r="H504" s="29" t="e" cm="1">
        <f t="array" aca="1" ref="H504" ca="1">IF(AND(VALUE(E504)=INDIRECT("'["&amp;G504&amp;"]"&amp;E504&amp;"'!"&amp;$X$2),G504=INDIRECT("'["&amp;G504&amp;"]"&amp;E504&amp;"'!"&amp;$X$3)),INDIRECT("'["&amp;G504&amp;"]"&amp;E504&amp;"'!"&amp;$X$1),0)</f>
        <v>#VALUE!</v>
      </c>
      <c r="I504" s="25" t="str">
        <f t="shared" si="148"/>
        <v/>
      </c>
      <c r="J504" s="32" t="str">
        <f t="shared" si="149"/>
        <v/>
      </c>
      <c r="K504" s="25" t="str">
        <f t="shared" si="150"/>
        <v/>
      </c>
      <c r="L504" s="25" t="str">
        <f t="shared" si="151"/>
        <v/>
      </c>
      <c r="M504" s="33" t="e" cm="1">
        <f t="array" aca="1" ref="M504" ca="1">IF(AND(J504=INDIRECT("'["&amp;G504&amp;"]"&amp;E504&amp;"'!"&amp;$Y$2),G504=INDIRECT("'["&amp;G504&amp;"]"&amp;E504&amp;"'!"&amp;$AH$2)),INDIRECT("'["&amp;G504&amp;"]"&amp;E504&amp;"'!"&amp;$Y$3),0)</f>
        <v>#VALUE!</v>
      </c>
      <c r="N504" s="34" t="e" cm="1">
        <f t="array" aca="1" ref="N504" ca="1">IF(AND(G504=INDIRECT("'["&amp;G504&amp;"]"&amp;E504&amp;"'!"&amp;$AH$2),OR(K504=INDIRECT("'["&amp;G504&amp;"]"&amp;E504&amp;"'!"&amp;$Z$2))),INDIRECT("'["&amp;G504&amp;"]"&amp;E504&amp;"'!"&amp;$Z$3),0)</f>
        <v>#VALUE!</v>
      </c>
      <c r="O504" s="34" t="e" cm="1">
        <f t="array" aca="1" ref="O504" ca="1">IF(AND(G504=INDIRECT("'["&amp;G504&amp;"]"&amp;E504&amp;"'!"&amp;$AH$2),OR(L504=INDIRECT("'["&amp;G504&amp;"]"&amp;E504&amp;"'!"&amp;$AA$2))),INDIRECT("'["&amp;G504&amp;"]"&amp;E504&amp;"'!"&amp;$AA$3),0)</f>
        <v>#VALUE!</v>
      </c>
      <c r="P504" s="34" t="e" cm="1">
        <f t="array" aca="1" ref="P504" ca="1">IF(AND(G504=INDIRECT("'["&amp;G504&amp;"]"&amp;E504&amp;"'!"&amp;$AH$2),OR(VALUE(I504)=INDIRECT("'["&amp;G504&amp;"]"&amp;E504&amp;"'!"&amp;$AB$2))),INDIRECT("'["&amp;G504&amp;"]"&amp;E504&amp;"'!"&amp;$AB$3),0)</f>
        <v>#VALUE!</v>
      </c>
      <c r="Q504" s="34" t="e" cm="1">
        <f t="array" aca="1" ref="Q504" ca="1">IF(AND(G504=INDIRECT("'["&amp;G504&amp;"]"&amp;E504&amp;"'!"&amp;$AH$2),OR(VALUE(I504)=INDIRECT("'["&amp;G504&amp;"]"&amp;E504&amp;"'!"&amp;$AC$2))),INDIRECT("'["&amp;G504&amp;"]"&amp;E504&amp;"'!"&amp;$AC$3),0)</f>
        <v>#VALUE!</v>
      </c>
      <c r="R504" s="34" t="e" cm="1">
        <f t="array" aca="1" ref="R504" ca="1">IF(AND(G504=INDIRECT("'["&amp;G504&amp;"]"&amp;E504&amp;"'!"&amp;$AH$2),OR(I504=INDIRECT("'["&amp;G504&amp;"]"&amp;E504&amp;"'!"&amp;$AD$2))),INDIRECT("'["&amp;G504&amp;"]"&amp;E504&amp;"'!"&amp;$AD$3),0)</f>
        <v>#VALUE!</v>
      </c>
      <c r="S504" s="34" t="e" cm="1">
        <f t="array" aca="1" ref="S504" ca="1">IF(AND(G504=INDIRECT("'["&amp;G504&amp;"]"&amp;E504&amp;"'!"&amp;$AH$2),OR(I504=INDIRECT("'["&amp;G504&amp;"]"&amp;E504&amp;"'!"&amp;$AE$2))),INDIRECT("'["&amp;G504&amp;"]"&amp;E504&amp;"'!"&amp;$AE$3),0)</f>
        <v>#VALUE!</v>
      </c>
      <c r="T504" s="35" t="e" cm="1">
        <f t="array" aca="1" ref="T504" ca="1">IF(AND(G504=INDIRECT("'["&amp;G504&amp;"]"&amp;E504&amp;"'!"&amp;$AH$2),OR(I504=INDIRECT("'["&amp;G504&amp;"]"&amp;E504&amp;"'!"&amp;$AF$2))),INDIRECT("'["&amp;G504&amp;"]"&amp;E504&amp;"'!"&amp;$AF$3),0)</f>
        <v>#VALUE!</v>
      </c>
      <c r="U504" s="34" t="e" cm="1">
        <f t="array" aca="1" ref="U504" ca="1">IF(AND(G504=INDIRECT("'["&amp;G504&amp;"]"&amp;E504&amp;"'!"&amp;$AH$2),OR(I504=INDIRECT("'["&amp;G504&amp;"]"&amp;E504&amp;"'!"&amp;$AG$2))),INDIRECT("'["&amp;G504&amp;"]"&amp;E504&amp;"'!"&amp;$AG$3),0)</f>
        <v>#VALUE!</v>
      </c>
      <c r="V504" s="25" t="str">
        <f t="shared" si="152"/>
        <v/>
      </c>
      <c r="W504" s="36" t="e" cm="1">
        <f t="array" aca="1" ref="W504" ca="1">IF(AND(G504=INDIRECT("'["&amp;G504&amp;"]"&amp;E504&amp;"'!"&amp;$AH$2),OR(V504=INDIRECT("'["&amp;G504&amp;"]"&amp;E504&amp;"'!"&amp;$AI$2))),INDIRECT("'["&amp;G504&amp;"]"&amp;E504&amp;"'!"&amp;$AI$3),0)</f>
        <v>#VALUE!</v>
      </c>
      <c r="AJ504" s="25">
        <v>1</v>
      </c>
      <c r="AK504" s="38">
        <f t="shared" ca="1" si="153"/>
        <v>0</v>
      </c>
      <c r="AL504" s="38">
        <f t="shared" ca="1" si="154"/>
        <v>0</v>
      </c>
      <c r="AM504" s="54" t="str">
        <f t="shared" ca="1" si="155"/>
        <v/>
      </c>
      <c r="AN504" s="25" t="e">
        <f t="shared" ca="1" si="156"/>
        <v>#VALUE!</v>
      </c>
      <c r="AO504" s="25" t="e">
        <f t="shared" ca="1" si="157"/>
        <v>#VALUE!</v>
      </c>
      <c r="AQ504" s="46" t="str">
        <f ca="1">IF(AND(C504&lt;&gt;0, C505=0), SUM($C$2:C504)-SUM($AQ$1:AQ503), "")</f>
        <v/>
      </c>
      <c r="AR504" s="46" t="str">
        <f ca="1">IF(AND(AK504&lt;&gt;0, AK505=0), SUM($AK$2:AK504)-SUM($AR$1:AR503), "")</f>
        <v/>
      </c>
    </row>
    <row r="505" spans="1:44" ht="13.15" customHeight="1">
      <c r="B505" s="68" t="str">
        <f t="shared" si="143"/>
        <v/>
      </c>
      <c r="C505" s="55" cm="1">
        <f t="array" aca="1" ref="C505" ca="1">SUM(IF(ISNUMBER(M505:U505),M505:U505,""))</f>
        <v>0</v>
      </c>
      <c r="D505" s="25" t="str">
        <f t="shared" si="144"/>
        <v/>
      </c>
      <c r="E505" s="25" t="e">
        <f t="shared" si="145"/>
        <v>#VALUE!</v>
      </c>
      <c r="F505" s="25" t="str">
        <f t="shared" si="146"/>
        <v/>
      </c>
      <c r="G505" s="25" t="str">
        <f t="shared" si="147"/>
        <v>.xlsx</v>
      </c>
      <c r="H505" s="29" t="e" cm="1">
        <f t="array" aca="1" ref="H505" ca="1">IF(AND(VALUE(E505)=INDIRECT("'["&amp;G505&amp;"]"&amp;E505&amp;"'!"&amp;$X$2),G505=INDIRECT("'["&amp;G505&amp;"]"&amp;E505&amp;"'!"&amp;$X$3)),INDIRECT("'["&amp;G505&amp;"]"&amp;E505&amp;"'!"&amp;$X$1),0)</f>
        <v>#VALUE!</v>
      </c>
      <c r="I505" s="25" t="str">
        <f t="shared" si="148"/>
        <v/>
      </c>
      <c r="J505" s="32" t="str">
        <f t="shared" si="149"/>
        <v/>
      </c>
      <c r="K505" s="25" t="str">
        <f t="shared" si="150"/>
        <v/>
      </c>
      <c r="L505" s="25" t="str">
        <f t="shared" si="151"/>
        <v/>
      </c>
      <c r="M505" s="33" t="e" cm="1">
        <f t="array" aca="1" ref="M505" ca="1">IF(AND(J505=INDIRECT("'["&amp;G505&amp;"]"&amp;E505&amp;"'!"&amp;$Y$2),G505=INDIRECT("'["&amp;G505&amp;"]"&amp;E505&amp;"'!"&amp;$AH$2)),INDIRECT("'["&amp;G505&amp;"]"&amp;E505&amp;"'!"&amp;$Y$3),0)</f>
        <v>#VALUE!</v>
      </c>
      <c r="N505" s="34" t="e" cm="1">
        <f t="array" aca="1" ref="N505" ca="1">IF(AND(G505=INDIRECT("'["&amp;G505&amp;"]"&amp;E505&amp;"'!"&amp;$AH$2),OR(K505=INDIRECT("'["&amp;G505&amp;"]"&amp;E505&amp;"'!"&amp;$Z$2))),INDIRECT("'["&amp;G505&amp;"]"&amp;E505&amp;"'!"&amp;$Z$3),0)</f>
        <v>#VALUE!</v>
      </c>
      <c r="O505" s="34" t="e" cm="1">
        <f t="array" aca="1" ref="O505" ca="1">IF(AND(G505=INDIRECT("'["&amp;G505&amp;"]"&amp;E505&amp;"'!"&amp;$AH$2),OR(L505=INDIRECT("'["&amp;G505&amp;"]"&amp;E505&amp;"'!"&amp;$AA$2))),INDIRECT("'["&amp;G505&amp;"]"&amp;E505&amp;"'!"&amp;$AA$3),0)</f>
        <v>#VALUE!</v>
      </c>
      <c r="P505" s="34" t="e" cm="1">
        <f t="array" aca="1" ref="P505" ca="1">IF(AND(G505=INDIRECT("'["&amp;G505&amp;"]"&amp;E505&amp;"'!"&amp;$AH$2),OR(VALUE(I505)=INDIRECT("'["&amp;G505&amp;"]"&amp;E505&amp;"'!"&amp;$AB$2))),INDIRECT("'["&amp;G505&amp;"]"&amp;E505&amp;"'!"&amp;$AB$3),0)</f>
        <v>#VALUE!</v>
      </c>
      <c r="Q505" s="34" t="e" cm="1">
        <f t="array" aca="1" ref="Q505" ca="1">IF(AND(G505=INDIRECT("'["&amp;G505&amp;"]"&amp;E505&amp;"'!"&amp;$AH$2),OR(VALUE(I505)=INDIRECT("'["&amp;G505&amp;"]"&amp;E505&amp;"'!"&amp;$AC$2))),INDIRECT("'["&amp;G505&amp;"]"&amp;E505&amp;"'!"&amp;$AC$3),0)</f>
        <v>#VALUE!</v>
      </c>
      <c r="R505" s="34" t="e" cm="1">
        <f t="array" aca="1" ref="R505" ca="1">IF(AND(G505=INDIRECT("'["&amp;G505&amp;"]"&amp;E505&amp;"'!"&amp;$AH$2),OR(I505=INDIRECT("'["&amp;G505&amp;"]"&amp;E505&amp;"'!"&amp;$AD$2))),INDIRECT("'["&amp;G505&amp;"]"&amp;E505&amp;"'!"&amp;$AD$3),0)</f>
        <v>#VALUE!</v>
      </c>
      <c r="S505" s="34" t="e" cm="1">
        <f t="array" aca="1" ref="S505" ca="1">IF(AND(G505=INDIRECT("'["&amp;G505&amp;"]"&amp;E505&amp;"'!"&amp;$AH$2),OR(I505=INDIRECT("'["&amp;G505&amp;"]"&amp;E505&amp;"'!"&amp;$AE$2))),INDIRECT("'["&amp;G505&amp;"]"&amp;E505&amp;"'!"&amp;$AE$3),0)</f>
        <v>#VALUE!</v>
      </c>
      <c r="T505" s="35" t="e" cm="1">
        <f t="array" aca="1" ref="T505" ca="1">IF(AND(G505=INDIRECT("'["&amp;G505&amp;"]"&amp;E505&amp;"'!"&amp;$AH$2),OR(I505=INDIRECT("'["&amp;G505&amp;"]"&amp;E505&amp;"'!"&amp;$AF$2))),INDIRECT("'["&amp;G505&amp;"]"&amp;E505&amp;"'!"&amp;$AF$3),0)</f>
        <v>#VALUE!</v>
      </c>
      <c r="U505" s="34" t="e" cm="1">
        <f t="array" aca="1" ref="U505" ca="1">IF(AND(G505=INDIRECT("'["&amp;G505&amp;"]"&amp;E505&amp;"'!"&amp;$AH$2),OR(I505=INDIRECT("'["&amp;G505&amp;"]"&amp;E505&amp;"'!"&amp;$AG$2))),INDIRECT("'["&amp;G505&amp;"]"&amp;E505&amp;"'!"&amp;$AG$3),0)</f>
        <v>#VALUE!</v>
      </c>
      <c r="V505" s="25" t="str">
        <f t="shared" si="152"/>
        <v/>
      </c>
      <c r="W505" s="36" t="e" cm="1">
        <f t="array" aca="1" ref="W505" ca="1">IF(AND(G505=INDIRECT("'["&amp;G505&amp;"]"&amp;E505&amp;"'!"&amp;$AH$2),OR(V505=INDIRECT("'["&amp;G505&amp;"]"&amp;E505&amp;"'!"&amp;$AI$2))),INDIRECT("'["&amp;G505&amp;"]"&amp;E505&amp;"'!"&amp;$AI$3),0)</f>
        <v>#VALUE!</v>
      </c>
      <c r="AJ505" s="25">
        <v>1</v>
      </c>
      <c r="AK505" s="38">
        <f t="shared" ca="1" si="153"/>
        <v>0</v>
      </c>
      <c r="AL505" s="38">
        <f t="shared" ca="1" si="154"/>
        <v>0</v>
      </c>
      <c r="AM505" s="54" t="str">
        <f t="shared" ca="1" si="155"/>
        <v/>
      </c>
      <c r="AN505" s="25" t="e">
        <f t="shared" ca="1" si="156"/>
        <v>#VALUE!</v>
      </c>
      <c r="AO505" s="25" t="e">
        <f t="shared" ca="1" si="157"/>
        <v>#VALUE!</v>
      </c>
      <c r="AQ505" s="46" t="str">
        <f ca="1">IF(AND(C505&lt;&gt;0, C506=0), SUM($C$2:C505)-SUM($AQ$1:AQ504), "")</f>
        <v/>
      </c>
      <c r="AR505" s="46" t="str">
        <f ca="1">IF(AND(AK505&lt;&gt;0, AK506=0), SUM($AK$2:AK505)-SUM($AR$1:AR504), "")</f>
        <v/>
      </c>
    </row>
    <row r="506" spans="1:44" ht="13.15" customHeight="1">
      <c r="B506" s="68" t="str">
        <f t="shared" si="143"/>
        <v/>
      </c>
      <c r="C506" s="55" cm="1">
        <f t="array" aca="1" ref="C506" ca="1">SUM(IF(ISNUMBER(M506:U506),M506:U506,""))</f>
        <v>0</v>
      </c>
      <c r="D506" s="25" t="str">
        <f t="shared" si="144"/>
        <v/>
      </c>
      <c r="E506" s="25" t="e">
        <f t="shared" si="145"/>
        <v>#VALUE!</v>
      </c>
      <c r="F506" s="25" t="str">
        <f t="shared" si="146"/>
        <v/>
      </c>
      <c r="G506" s="25" t="str">
        <f t="shared" si="147"/>
        <v>.xlsx</v>
      </c>
      <c r="H506" s="29" t="e" cm="1">
        <f t="array" aca="1" ref="H506" ca="1">IF(AND(VALUE(E506)=INDIRECT("'["&amp;G506&amp;"]"&amp;E506&amp;"'!"&amp;$X$2),G506=INDIRECT("'["&amp;G506&amp;"]"&amp;E506&amp;"'!"&amp;$X$3)),INDIRECT("'["&amp;G506&amp;"]"&amp;E506&amp;"'!"&amp;$X$1),0)</f>
        <v>#VALUE!</v>
      </c>
      <c r="I506" s="25" t="str">
        <f t="shared" si="148"/>
        <v/>
      </c>
      <c r="J506" s="32" t="str">
        <f t="shared" si="149"/>
        <v/>
      </c>
      <c r="K506" s="25" t="str">
        <f t="shared" si="150"/>
        <v/>
      </c>
      <c r="L506" s="25" t="str">
        <f t="shared" si="151"/>
        <v/>
      </c>
      <c r="M506" s="33" t="e" cm="1">
        <f t="array" aca="1" ref="M506" ca="1">IF(AND(J506=INDIRECT("'["&amp;G506&amp;"]"&amp;E506&amp;"'!"&amp;$Y$2),G506=INDIRECT("'["&amp;G506&amp;"]"&amp;E506&amp;"'!"&amp;$AH$2)),INDIRECT("'["&amp;G506&amp;"]"&amp;E506&amp;"'!"&amp;$Y$3),0)</f>
        <v>#VALUE!</v>
      </c>
      <c r="N506" s="34" t="e" cm="1">
        <f t="array" aca="1" ref="N506" ca="1">IF(AND(G506=INDIRECT("'["&amp;G506&amp;"]"&amp;E506&amp;"'!"&amp;$AH$2),OR(K506=INDIRECT("'["&amp;G506&amp;"]"&amp;E506&amp;"'!"&amp;$Z$2))),INDIRECT("'["&amp;G506&amp;"]"&amp;E506&amp;"'!"&amp;$Z$3),0)</f>
        <v>#VALUE!</v>
      </c>
      <c r="O506" s="34" t="e" cm="1">
        <f t="array" aca="1" ref="O506" ca="1">IF(AND(G506=INDIRECT("'["&amp;G506&amp;"]"&amp;E506&amp;"'!"&amp;$AH$2),OR(L506=INDIRECT("'["&amp;G506&amp;"]"&amp;E506&amp;"'!"&amp;$AA$2))),INDIRECT("'["&amp;G506&amp;"]"&amp;E506&amp;"'!"&amp;$AA$3),0)</f>
        <v>#VALUE!</v>
      </c>
      <c r="P506" s="34" t="e" cm="1">
        <f t="array" aca="1" ref="P506" ca="1">IF(AND(G506=INDIRECT("'["&amp;G506&amp;"]"&amp;E506&amp;"'!"&amp;$AH$2),OR(VALUE(I506)=INDIRECT("'["&amp;G506&amp;"]"&amp;E506&amp;"'!"&amp;$AB$2))),INDIRECT("'["&amp;G506&amp;"]"&amp;E506&amp;"'!"&amp;$AB$3),0)</f>
        <v>#VALUE!</v>
      </c>
      <c r="Q506" s="34" t="e" cm="1">
        <f t="array" aca="1" ref="Q506" ca="1">IF(AND(G506=INDIRECT("'["&amp;G506&amp;"]"&amp;E506&amp;"'!"&amp;$AH$2),OR(VALUE(I506)=INDIRECT("'["&amp;G506&amp;"]"&amp;E506&amp;"'!"&amp;$AC$2))),INDIRECT("'["&amp;G506&amp;"]"&amp;E506&amp;"'!"&amp;$AC$3),0)</f>
        <v>#VALUE!</v>
      </c>
      <c r="R506" s="34" t="e" cm="1">
        <f t="array" aca="1" ref="R506" ca="1">IF(AND(G506=INDIRECT("'["&amp;G506&amp;"]"&amp;E506&amp;"'!"&amp;$AH$2),OR(I506=INDIRECT("'["&amp;G506&amp;"]"&amp;E506&amp;"'!"&amp;$AD$2))),INDIRECT("'["&amp;G506&amp;"]"&amp;E506&amp;"'!"&amp;$AD$3),0)</f>
        <v>#VALUE!</v>
      </c>
      <c r="S506" s="34" t="e" cm="1">
        <f t="array" aca="1" ref="S506" ca="1">IF(AND(G506=INDIRECT("'["&amp;G506&amp;"]"&amp;E506&amp;"'!"&amp;$AH$2),OR(I506=INDIRECT("'["&amp;G506&amp;"]"&amp;E506&amp;"'!"&amp;$AE$2))),INDIRECT("'["&amp;G506&amp;"]"&amp;E506&amp;"'!"&amp;$AE$3),0)</f>
        <v>#VALUE!</v>
      </c>
      <c r="T506" s="35" t="e" cm="1">
        <f t="array" aca="1" ref="T506" ca="1">IF(AND(G506=INDIRECT("'["&amp;G506&amp;"]"&amp;E506&amp;"'!"&amp;$AH$2),OR(I506=INDIRECT("'["&amp;G506&amp;"]"&amp;E506&amp;"'!"&amp;$AF$2))),INDIRECT("'["&amp;G506&amp;"]"&amp;E506&amp;"'!"&amp;$AF$3),0)</f>
        <v>#VALUE!</v>
      </c>
      <c r="U506" s="34" t="e" cm="1">
        <f t="array" aca="1" ref="U506" ca="1">IF(AND(G506=INDIRECT("'["&amp;G506&amp;"]"&amp;E506&amp;"'!"&amp;$AH$2),OR(I506=INDIRECT("'["&amp;G506&amp;"]"&amp;E506&amp;"'!"&amp;$AG$2))),INDIRECT("'["&amp;G506&amp;"]"&amp;E506&amp;"'!"&amp;$AG$3),0)</f>
        <v>#VALUE!</v>
      </c>
      <c r="V506" s="25" t="str">
        <f t="shared" si="152"/>
        <v/>
      </c>
      <c r="W506" s="36" t="e" cm="1">
        <f t="array" aca="1" ref="W506" ca="1">IF(AND(G506=INDIRECT("'["&amp;G506&amp;"]"&amp;E506&amp;"'!"&amp;$AH$2),OR(V506=INDIRECT("'["&amp;G506&amp;"]"&amp;E506&amp;"'!"&amp;$AI$2))),INDIRECT("'["&amp;G506&amp;"]"&amp;E506&amp;"'!"&amp;$AI$3),0)</f>
        <v>#VALUE!</v>
      </c>
      <c r="AJ506" s="25">
        <v>1</v>
      </c>
      <c r="AK506" s="38">
        <f t="shared" ca="1" si="153"/>
        <v>0</v>
      </c>
      <c r="AL506" s="38">
        <f t="shared" ca="1" si="154"/>
        <v>0</v>
      </c>
      <c r="AM506" s="54" t="str">
        <f t="shared" ca="1" si="155"/>
        <v/>
      </c>
      <c r="AN506" s="25" t="e">
        <f t="shared" ca="1" si="156"/>
        <v>#VALUE!</v>
      </c>
      <c r="AO506" s="25" t="e">
        <f t="shared" ca="1" si="157"/>
        <v>#VALUE!</v>
      </c>
      <c r="AQ506" s="46" t="str">
        <f ca="1">IF(AND(C506&lt;&gt;0, C507=0), SUM($C$2:C506)-SUM($AQ$1:AQ505), "")</f>
        <v/>
      </c>
      <c r="AR506" s="46" t="str">
        <f ca="1">IF(AND(AK506&lt;&gt;0, AK507=0), SUM($AK$2:AK506)-SUM($AR$1:AR505), "")</f>
        <v/>
      </c>
    </row>
    <row r="507" spans="1:44" ht="13.15" customHeight="1">
      <c r="B507" s="68" t="str">
        <f t="shared" si="143"/>
        <v/>
      </c>
      <c r="C507" s="55" cm="1">
        <f t="array" aca="1" ref="C507" ca="1">SUM(IF(ISNUMBER(M507:U507),M507:U507,""))</f>
        <v>0</v>
      </c>
      <c r="D507" s="25" t="str">
        <f t="shared" si="144"/>
        <v/>
      </c>
      <c r="E507" s="25" t="e">
        <f t="shared" si="145"/>
        <v>#VALUE!</v>
      </c>
      <c r="F507" s="25" t="str">
        <f t="shared" si="146"/>
        <v/>
      </c>
      <c r="G507" s="25" t="str">
        <f t="shared" si="147"/>
        <v>.xlsx</v>
      </c>
      <c r="H507" s="29" t="e" cm="1">
        <f t="array" aca="1" ref="H507" ca="1">IF(AND(VALUE(E507)=INDIRECT("'["&amp;G507&amp;"]"&amp;E507&amp;"'!"&amp;$X$2),G507=INDIRECT("'["&amp;G507&amp;"]"&amp;E507&amp;"'!"&amp;$X$3)),INDIRECT("'["&amp;G507&amp;"]"&amp;E507&amp;"'!"&amp;$X$1),0)</f>
        <v>#VALUE!</v>
      </c>
      <c r="I507" s="25" t="str">
        <f t="shared" si="148"/>
        <v/>
      </c>
      <c r="J507" s="32" t="str">
        <f t="shared" si="149"/>
        <v/>
      </c>
      <c r="K507" s="25" t="str">
        <f t="shared" si="150"/>
        <v/>
      </c>
      <c r="L507" s="25" t="str">
        <f t="shared" si="151"/>
        <v/>
      </c>
      <c r="M507" s="33" t="e" cm="1">
        <f t="array" aca="1" ref="M507" ca="1">IF(AND(J507=INDIRECT("'["&amp;G507&amp;"]"&amp;E507&amp;"'!"&amp;$Y$2),G507=INDIRECT("'["&amp;G507&amp;"]"&amp;E507&amp;"'!"&amp;$AH$2)),INDIRECT("'["&amp;G507&amp;"]"&amp;E507&amp;"'!"&amp;$Y$3),0)</f>
        <v>#VALUE!</v>
      </c>
      <c r="N507" s="34" t="e" cm="1">
        <f t="array" aca="1" ref="N507" ca="1">IF(AND(G507=INDIRECT("'["&amp;G507&amp;"]"&amp;E507&amp;"'!"&amp;$AH$2),OR(K507=INDIRECT("'["&amp;G507&amp;"]"&amp;E507&amp;"'!"&amp;$Z$2))),INDIRECT("'["&amp;G507&amp;"]"&amp;E507&amp;"'!"&amp;$Z$3),0)</f>
        <v>#VALUE!</v>
      </c>
      <c r="O507" s="34" t="e" cm="1">
        <f t="array" aca="1" ref="O507" ca="1">IF(AND(G507=INDIRECT("'["&amp;G507&amp;"]"&amp;E507&amp;"'!"&amp;$AH$2),OR(L507=INDIRECT("'["&amp;G507&amp;"]"&amp;E507&amp;"'!"&amp;$AA$2))),INDIRECT("'["&amp;G507&amp;"]"&amp;E507&amp;"'!"&amp;$AA$3),0)</f>
        <v>#VALUE!</v>
      </c>
      <c r="P507" s="34" t="e" cm="1">
        <f t="array" aca="1" ref="P507" ca="1">IF(AND(G507=INDIRECT("'["&amp;G507&amp;"]"&amp;E507&amp;"'!"&amp;$AH$2),OR(VALUE(I507)=INDIRECT("'["&amp;G507&amp;"]"&amp;E507&amp;"'!"&amp;$AB$2))),INDIRECT("'["&amp;G507&amp;"]"&amp;E507&amp;"'!"&amp;$AB$3),0)</f>
        <v>#VALUE!</v>
      </c>
      <c r="Q507" s="34" t="e" cm="1">
        <f t="array" aca="1" ref="Q507" ca="1">IF(AND(G507=INDIRECT("'["&amp;G507&amp;"]"&amp;E507&amp;"'!"&amp;$AH$2),OR(VALUE(I507)=INDIRECT("'["&amp;G507&amp;"]"&amp;E507&amp;"'!"&amp;$AC$2))),INDIRECT("'["&amp;G507&amp;"]"&amp;E507&amp;"'!"&amp;$AC$3),0)</f>
        <v>#VALUE!</v>
      </c>
      <c r="R507" s="34" t="e" cm="1">
        <f t="array" aca="1" ref="R507" ca="1">IF(AND(G507=INDIRECT("'["&amp;G507&amp;"]"&amp;E507&amp;"'!"&amp;$AH$2),OR(I507=INDIRECT("'["&amp;G507&amp;"]"&amp;E507&amp;"'!"&amp;$AD$2))),INDIRECT("'["&amp;G507&amp;"]"&amp;E507&amp;"'!"&amp;$AD$3),0)</f>
        <v>#VALUE!</v>
      </c>
      <c r="S507" s="34" t="e" cm="1">
        <f t="array" aca="1" ref="S507" ca="1">IF(AND(G507=INDIRECT("'["&amp;G507&amp;"]"&amp;E507&amp;"'!"&amp;$AH$2),OR(I507=INDIRECT("'["&amp;G507&amp;"]"&amp;E507&amp;"'!"&amp;$AE$2))),INDIRECT("'["&amp;G507&amp;"]"&amp;E507&amp;"'!"&amp;$AE$3),0)</f>
        <v>#VALUE!</v>
      </c>
      <c r="T507" s="35" t="e" cm="1">
        <f t="array" aca="1" ref="T507" ca="1">IF(AND(G507=INDIRECT("'["&amp;G507&amp;"]"&amp;E507&amp;"'!"&amp;$AH$2),OR(I507=INDIRECT("'["&amp;G507&amp;"]"&amp;E507&amp;"'!"&amp;$AF$2))),INDIRECT("'["&amp;G507&amp;"]"&amp;E507&amp;"'!"&amp;$AF$3),0)</f>
        <v>#VALUE!</v>
      </c>
      <c r="U507" s="34" t="e" cm="1">
        <f t="array" aca="1" ref="U507" ca="1">IF(AND(G507=INDIRECT("'["&amp;G507&amp;"]"&amp;E507&amp;"'!"&amp;$AH$2),OR(I507=INDIRECT("'["&amp;G507&amp;"]"&amp;E507&amp;"'!"&amp;$AG$2))),INDIRECT("'["&amp;G507&amp;"]"&amp;E507&amp;"'!"&amp;$AG$3),0)</f>
        <v>#VALUE!</v>
      </c>
      <c r="V507" s="25" t="str">
        <f t="shared" si="152"/>
        <v/>
      </c>
      <c r="W507" s="36" t="e" cm="1">
        <f t="array" aca="1" ref="W507" ca="1">IF(AND(G507=INDIRECT("'["&amp;G507&amp;"]"&amp;E507&amp;"'!"&amp;$AH$2),OR(V507=INDIRECT("'["&amp;G507&amp;"]"&amp;E507&amp;"'!"&amp;$AI$2))),INDIRECT("'["&amp;G507&amp;"]"&amp;E507&amp;"'!"&amp;$AI$3),0)</f>
        <v>#VALUE!</v>
      </c>
      <c r="AJ507" s="25">
        <v>1</v>
      </c>
      <c r="AK507" s="38">
        <f t="shared" ca="1" si="153"/>
        <v>0</v>
      </c>
      <c r="AL507" s="38">
        <f t="shared" ca="1" si="154"/>
        <v>0</v>
      </c>
      <c r="AM507" s="54" t="str">
        <f t="shared" ca="1" si="155"/>
        <v/>
      </c>
      <c r="AN507" s="25" t="e">
        <f t="shared" ca="1" si="156"/>
        <v>#VALUE!</v>
      </c>
      <c r="AO507" s="25" t="e">
        <f t="shared" ca="1" si="157"/>
        <v>#VALUE!</v>
      </c>
      <c r="AQ507" s="46" t="str">
        <f ca="1">IF(AND(C507&lt;&gt;0, C508=0), SUM($C$2:C507)-SUM($AQ$1:AQ506), "")</f>
        <v/>
      </c>
      <c r="AR507" s="46" t="str">
        <f ca="1">IF(AND(AK507&lt;&gt;0, AK508=0), SUM($AK$2:AK507)-SUM($AR$1:AR506), "")</f>
        <v/>
      </c>
    </row>
    <row r="508" spans="1:44" ht="13.15" customHeight="1">
      <c r="B508" s="68" t="str">
        <f t="shared" si="143"/>
        <v/>
      </c>
      <c r="C508" s="55" cm="1">
        <f t="array" aca="1" ref="C508" ca="1">SUM(IF(ISNUMBER(M508:U508),M508:U508,""))</f>
        <v>0</v>
      </c>
      <c r="D508" s="25" t="str">
        <f t="shared" si="144"/>
        <v/>
      </c>
      <c r="E508" s="25" t="e">
        <f t="shared" si="145"/>
        <v>#VALUE!</v>
      </c>
      <c r="F508" s="25" t="str">
        <f t="shared" si="146"/>
        <v/>
      </c>
      <c r="G508" s="25" t="str">
        <f t="shared" si="147"/>
        <v>.xlsx</v>
      </c>
      <c r="H508" s="29" t="e" cm="1">
        <f t="array" aca="1" ref="H508" ca="1">IF(AND(VALUE(E508)=INDIRECT("'["&amp;G508&amp;"]"&amp;E508&amp;"'!"&amp;$X$2),G508=INDIRECT("'["&amp;G508&amp;"]"&amp;E508&amp;"'!"&amp;$X$3)),INDIRECT("'["&amp;G508&amp;"]"&amp;E508&amp;"'!"&amp;$X$1),0)</f>
        <v>#VALUE!</v>
      </c>
      <c r="I508" s="25" t="str">
        <f t="shared" si="148"/>
        <v/>
      </c>
      <c r="J508" s="32" t="str">
        <f t="shared" si="149"/>
        <v/>
      </c>
      <c r="K508" s="25" t="str">
        <f t="shared" si="150"/>
        <v/>
      </c>
      <c r="L508" s="25" t="str">
        <f t="shared" si="151"/>
        <v/>
      </c>
      <c r="M508" s="33" t="e" cm="1">
        <f t="array" aca="1" ref="M508" ca="1">IF(AND(J508=INDIRECT("'["&amp;G508&amp;"]"&amp;E508&amp;"'!"&amp;$Y$2),G508=INDIRECT("'["&amp;G508&amp;"]"&amp;E508&amp;"'!"&amp;$AH$2)),INDIRECT("'["&amp;G508&amp;"]"&amp;E508&amp;"'!"&amp;$Y$3),0)</f>
        <v>#VALUE!</v>
      </c>
      <c r="N508" s="34" t="e" cm="1">
        <f t="array" aca="1" ref="N508" ca="1">IF(AND(G508=INDIRECT("'["&amp;G508&amp;"]"&amp;E508&amp;"'!"&amp;$AH$2),OR(K508=INDIRECT("'["&amp;G508&amp;"]"&amp;E508&amp;"'!"&amp;$Z$2))),INDIRECT("'["&amp;G508&amp;"]"&amp;E508&amp;"'!"&amp;$Z$3),0)</f>
        <v>#VALUE!</v>
      </c>
      <c r="O508" s="34" t="e" cm="1">
        <f t="array" aca="1" ref="O508" ca="1">IF(AND(G508=INDIRECT("'["&amp;G508&amp;"]"&amp;E508&amp;"'!"&amp;$AH$2),OR(L508=INDIRECT("'["&amp;G508&amp;"]"&amp;E508&amp;"'!"&amp;$AA$2))),INDIRECT("'["&amp;G508&amp;"]"&amp;E508&amp;"'!"&amp;$AA$3),0)</f>
        <v>#VALUE!</v>
      </c>
      <c r="P508" s="34" t="e" cm="1">
        <f t="array" aca="1" ref="P508" ca="1">IF(AND(G508=INDIRECT("'["&amp;G508&amp;"]"&amp;E508&amp;"'!"&amp;$AH$2),OR(VALUE(I508)=INDIRECT("'["&amp;G508&amp;"]"&amp;E508&amp;"'!"&amp;$AB$2))),INDIRECT("'["&amp;G508&amp;"]"&amp;E508&amp;"'!"&amp;$AB$3),0)</f>
        <v>#VALUE!</v>
      </c>
      <c r="Q508" s="34" t="e" cm="1">
        <f t="array" aca="1" ref="Q508" ca="1">IF(AND(G508=INDIRECT("'["&amp;G508&amp;"]"&amp;E508&amp;"'!"&amp;$AH$2),OR(VALUE(I508)=INDIRECT("'["&amp;G508&amp;"]"&amp;E508&amp;"'!"&amp;$AC$2))),INDIRECT("'["&amp;G508&amp;"]"&amp;E508&amp;"'!"&amp;$AC$3),0)</f>
        <v>#VALUE!</v>
      </c>
      <c r="R508" s="34" t="e" cm="1">
        <f t="array" aca="1" ref="R508" ca="1">IF(AND(G508=INDIRECT("'["&amp;G508&amp;"]"&amp;E508&amp;"'!"&amp;$AH$2),OR(I508=INDIRECT("'["&amp;G508&amp;"]"&amp;E508&amp;"'!"&amp;$AD$2))),INDIRECT("'["&amp;G508&amp;"]"&amp;E508&amp;"'!"&amp;$AD$3),0)</f>
        <v>#VALUE!</v>
      </c>
      <c r="S508" s="34" t="e" cm="1">
        <f t="array" aca="1" ref="S508" ca="1">IF(AND(G508=INDIRECT("'["&amp;G508&amp;"]"&amp;E508&amp;"'!"&amp;$AH$2),OR(I508=INDIRECT("'["&amp;G508&amp;"]"&amp;E508&amp;"'!"&amp;$AE$2))),INDIRECT("'["&amp;G508&amp;"]"&amp;E508&amp;"'!"&amp;$AE$3),0)</f>
        <v>#VALUE!</v>
      </c>
      <c r="T508" s="35" t="e" cm="1">
        <f t="array" aca="1" ref="T508" ca="1">IF(AND(G508=INDIRECT("'["&amp;G508&amp;"]"&amp;E508&amp;"'!"&amp;$AH$2),OR(I508=INDIRECT("'["&amp;G508&amp;"]"&amp;E508&amp;"'!"&amp;$AF$2))),INDIRECT("'["&amp;G508&amp;"]"&amp;E508&amp;"'!"&amp;$AF$3),0)</f>
        <v>#VALUE!</v>
      </c>
      <c r="U508" s="34" t="e" cm="1">
        <f t="array" aca="1" ref="U508" ca="1">IF(AND(G508=INDIRECT("'["&amp;G508&amp;"]"&amp;E508&amp;"'!"&amp;$AH$2),OR(I508=INDIRECT("'["&amp;G508&amp;"]"&amp;E508&amp;"'!"&amp;$AG$2))),INDIRECT("'["&amp;G508&amp;"]"&amp;E508&amp;"'!"&amp;$AG$3),0)</f>
        <v>#VALUE!</v>
      </c>
      <c r="V508" s="25" t="str">
        <f t="shared" si="152"/>
        <v/>
      </c>
      <c r="W508" s="36" t="e" cm="1">
        <f t="array" aca="1" ref="W508" ca="1">IF(AND(G508=INDIRECT("'["&amp;G508&amp;"]"&amp;E508&amp;"'!"&amp;$AH$2),OR(V508=INDIRECT("'["&amp;G508&amp;"]"&amp;E508&amp;"'!"&amp;$AI$2))),INDIRECT("'["&amp;G508&amp;"]"&amp;E508&amp;"'!"&amp;$AI$3),0)</f>
        <v>#VALUE!</v>
      </c>
      <c r="AJ508" s="25">
        <v>1</v>
      </c>
      <c r="AK508" s="38">
        <f t="shared" ca="1" si="153"/>
        <v>0</v>
      </c>
      <c r="AL508" s="38">
        <f t="shared" ca="1" si="154"/>
        <v>0</v>
      </c>
      <c r="AM508" s="54" t="str">
        <f t="shared" ca="1" si="155"/>
        <v/>
      </c>
      <c r="AN508" s="25" t="e">
        <f t="shared" ca="1" si="156"/>
        <v>#VALUE!</v>
      </c>
      <c r="AO508" s="25" t="e">
        <f t="shared" ca="1" si="157"/>
        <v>#VALUE!</v>
      </c>
      <c r="AQ508" s="46" t="str">
        <f ca="1">IF(AND(C508&lt;&gt;0, C509=0), SUM($C$2:C508)-SUM($AQ$1:AQ507), "")</f>
        <v/>
      </c>
      <c r="AR508" s="46" t="str">
        <f ca="1">IF(AND(AK508&lt;&gt;0, AK509=0), SUM($AK$2:AK508)-SUM($AR$1:AR507), "")</f>
        <v/>
      </c>
    </row>
    <row r="509" spans="1:44" ht="13.15" customHeight="1">
      <c r="B509" s="68" t="str">
        <f t="shared" si="143"/>
        <v/>
      </c>
      <c r="C509" s="55" cm="1">
        <f t="array" aca="1" ref="C509" ca="1">SUM(IF(ISNUMBER(M509:U509),M509:U509,""))</f>
        <v>0</v>
      </c>
      <c r="D509" s="25" t="str">
        <f t="shared" si="144"/>
        <v/>
      </c>
      <c r="E509" s="25" t="e">
        <f t="shared" si="145"/>
        <v>#VALUE!</v>
      </c>
      <c r="F509" s="25" t="str">
        <f t="shared" si="146"/>
        <v/>
      </c>
      <c r="G509" s="25" t="str">
        <f t="shared" si="147"/>
        <v>.xlsx</v>
      </c>
      <c r="H509" s="29" t="e" cm="1">
        <f t="array" aca="1" ref="H509" ca="1">IF(AND(VALUE(E509)=INDIRECT("'["&amp;G509&amp;"]"&amp;E509&amp;"'!"&amp;$X$2),G509=INDIRECT("'["&amp;G509&amp;"]"&amp;E509&amp;"'!"&amp;$X$3)),INDIRECT("'["&amp;G509&amp;"]"&amp;E509&amp;"'!"&amp;$X$1),0)</f>
        <v>#VALUE!</v>
      </c>
      <c r="I509" s="25" t="str">
        <f t="shared" si="148"/>
        <v/>
      </c>
      <c r="J509" s="32" t="str">
        <f t="shared" si="149"/>
        <v/>
      </c>
      <c r="K509" s="25" t="str">
        <f t="shared" si="150"/>
        <v/>
      </c>
      <c r="L509" s="25" t="str">
        <f t="shared" si="151"/>
        <v/>
      </c>
      <c r="M509" s="33" t="e" cm="1">
        <f t="array" aca="1" ref="M509" ca="1">IF(AND(J509=INDIRECT("'["&amp;G509&amp;"]"&amp;E509&amp;"'!"&amp;$Y$2),G509=INDIRECT("'["&amp;G509&amp;"]"&amp;E509&amp;"'!"&amp;$AH$2)),INDIRECT("'["&amp;G509&amp;"]"&amp;E509&amp;"'!"&amp;$Y$3),0)</f>
        <v>#VALUE!</v>
      </c>
      <c r="N509" s="34" t="e" cm="1">
        <f t="array" aca="1" ref="N509" ca="1">IF(AND(G509=INDIRECT("'["&amp;G509&amp;"]"&amp;E509&amp;"'!"&amp;$AH$2),OR(K509=INDIRECT("'["&amp;G509&amp;"]"&amp;E509&amp;"'!"&amp;$Z$2))),INDIRECT("'["&amp;G509&amp;"]"&amp;E509&amp;"'!"&amp;$Z$3),0)</f>
        <v>#VALUE!</v>
      </c>
      <c r="O509" s="34" t="e" cm="1">
        <f t="array" aca="1" ref="O509" ca="1">IF(AND(G509=INDIRECT("'["&amp;G509&amp;"]"&amp;E509&amp;"'!"&amp;$AH$2),OR(L509=INDIRECT("'["&amp;G509&amp;"]"&amp;E509&amp;"'!"&amp;$AA$2))),INDIRECT("'["&amp;G509&amp;"]"&amp;E509&amp;"'!"&amp;$AA$3),0)</f>
        <v>#VALUE!</v>
      </c>
      <c r="P509" s="34" t="e" cm="1">
        <f t="array" aca="1" ref="P509" ca="1">IF(AND(G509=INDIRECT("'["&amp;G509&amp;"]"&amp;E509&amp;"'!"&amp;$AH$2),OR(VALUE(I509)=INDIRECT("'["&amp;G509&amp;"]"&amp;E509&amp;"'!"&amp;$AB$2))),INDIRECT("'["&amp;G509&amp;"]"&amp;E509&amp;"'!"&amp;$AB$3),0)</f>
        <v>#VALUE!</v>
      </c>
      <c r="Q509" s="34" t="e" cm="1">
        <f t="array" aca="1" ref="Q509" ca="1">IF(AND(G509=INDIRECT("'["&amp;G509&amp;"]"&amp;E509&amp;"'!"&amp;$AH$2),OR(VALUE(I509)=INDIRECT("'["&amp;G509&amp;"]"&amp;E509&amp;"'!"&amp;$AC$2))),INDIRECT("'["&amp;G509&amp;"]"&amp;E509&amp;"'!"&amp;$AC$3),0)</f>
        <v>#VALUE!</v>
      </c>
      <c r="R509" s="34" t="e" cm="1">
        <f t="array" aca="1" ref="R509" ca="1">IF(AND(G509=INDIRECT("'["&amp;G509&amp;"]"&amp;E509&amp;"'!"&amp;$AH$2),OR(I509=INDIRECT("'["&amp;G509&amp;"]"&amp;E509&amp;"'!"&amp;$AD$2))),INDIRECT("'["&amp;G509&amp;"]"&amp;E509&amp;"'!"&amp;$AD$3),0)</f>
        <v>#VALUE!</v>
      </c>
      <c r="S509" s="34" t="e" cm="1">
        <f t="array" aca="1" ref="S509" ca="1">IF(AND(G509=INDIRECT("'["&amp;G509&amp;"]"&amp;E509&amp;"'!"&amp;$AH$2),OR(I509=INDIRECT("'["&amp;G509&amp;"]"&amp;E509&amp;"'!"&amp;$AE$2))),INDIRECT("'["&amp;G509&amp;"]"&amp;E509&amp;"'!"&amp;$AE$3),0)</f>
        <v>#VALUE!</v>
      </c>
      <c r="T509" s="35" t="e" cm="1">
        <f t="array" aca="1" ref="T509" ca="1">IF(AND(G509=INDIRECT("'["&amp;G509&amp;"]"&amp;E509&amp;"'!"&amp;$AH$2),OR(I509=INDIRECT("'["&amp;G509&amp;"]"&amp;E509&amp;"'!"&amp;$AF$2))),INDIRECT("'["&amp;G509&amp;"]"&amp;E509&amp;"'!"&amp;$AF$3),0)</f>
        <v>#VALUE!</v>
      </c>
      <c r="U509" s="34" t="e" cm="1">
        <f t="array" aca="1" ref="U509" ca="1">IF(AND(G509=INDIRECT("'["&amp;G509&amp;"]"&amp;E509&amp;"'!"&amp;$AH$2),OR(I509=INDIRECT("'["&amp;G509&amp;"]"&amp;E509&amp;"'!"&amp;$AG$2))),INDIRECT("'["&amp;G509&amp;"]"&amp;E509&amp;"'!"&amp;$AG$3),0)</f>
        <v>#VALUE!</v>
      </c>
      <c r="V509" s="25" t="str">
        <f t="shared" si="152"/>
        <v/>
      </c>
      <c r="W509" s="36" t="e" cm="1">
        <f t="array" aca="1" ref="W509" ca="1">IF(AND(G509=INDIRECT("'["&amp;G509&amp;"]"&amp;E509&amp;"'!"&amp;$AH$2),OR(V509=INDIRECT("'["&amp;G509&amp;"]"&amp;E509&amp;"'!"&amp;$AI$2))),INDIRECT("'["&amp;G509&amp;"]"&amp;E509&amp;"'!"&amp;$AI$3),0)</f>
        <v>#VALUE!</v>
      </c>
      <c r="AJ509" s="25">
        <v>1</v>
      </c>
      <c r="AK509" s="38">
        <f t="shared" ca="1" si="153"/>
        <v>0</v>
      </c>
      <c r="AL509" s="38">
        <f t="shared" ca="1" si="154"/>
        <v>0</v>
      </c>
      <c r="AM509" s="54" t="str">
        <f t="shared" ca="1" si="155"/>
        <v/>
      </c>
      <c r="AN509" s="25" t="e">
        <f t="shared" ca="1" si="156"/>
        <v>#VALUE!</v>
      </c>
      <c r="AO509" s="25" t="e">
        <f t="shared" ca="1" si="157"/>
        <v>#VALUE!</v>
      </c>
      <c r="AQ509" s="46" t="str">
        <f ca="1">IF(AND(C509&lt;&gt;0, C510=0), SUM($C$2:C509)-SUM($AQ$1:AQ508), "")</f>
        <v/>
      </c>
      <c r="AR509" s="46" t="str">
        <f ca="1">IF(AND(AK509&lt;&gt;0, AK510=0), SUM($AK$2:AK509)-SUM($AR$1:AR508), "")</f>
        <v/>
      </c>
    </row>
    <row r="510" spans="1:44" ht="13.15" customHeight="1">
      <c r="B510" s="68" t="str">
        <f t="shared" si="143"/>
        <v/>
      </c>
      <c r="C510" s="55" cm="1">
        <f t="array" aca="1" ref="C510" ca="1">SUM(IF(ISNUMBER(M510:U510),M510:U510,""))</f>
        <v>0</v>
      </c>
      <c r="D510" s="25" t="str">
        <f t="shared" si="144"/>
        <v/>
      </c>
      <c r="E510" s="25" t="e">
        <f t="shared" si="145"/>
        <v>#VALUE!</v>
      </c>
      <c r="F510" s="25" t="str">
        <f t="shared" si="146"/>
        <v/>
      </c>
      <c r="G510" s="25" t="str">
        <f t="shared" si="147"/>
        <v>.xlsx</v>
      </c>
      <c r="H510" s="29" t="e" cm="1">
        <f t="array" aca="1" ref="H510" ca="1">IF(AND(VALUE(E510)=INDIRECT("'["&amp;G510&amp;"]"&amp;E510&amp;"'!"&amp;$X$2),G510=INDIRECT("'["&amp;G510&amp;"]"&amp;E510&amp;"'!"&amp;$X$3)),INDIRECT("'["&amp;G510&amp;"]"&amp;E510&amp;"'!"&amp;$X$1),0)</f>
        <v>#VALUE!</v>
      </c>
      <c r="I510" s="25" t="str">
        <f t="shared" si="148"/>
        <v/>
      </c>
      <c r="J510" s="32" t="str">
        <f t="shared" si="149"/>
        <v/>
      </c>
      <c r="K510" s="25" t="str">
        <f t="shared" si="150"/>
        <v/>
      </c>
      <c r="L510" s="25" t="str">
        <f t="shared" si="151"/>
        <v/>
      </c>
      <c r="M510" s="33" t="e" cm="1">
        <f t="array" aca="1" ref="M510" ca="1">IF(AND(J510=INDIRECT("'["&amp;G510&amp;"]"&amp;E510&amp;"'!"&amp;$Y$2),G510=INDIRECT("'["&amp;G510&amp;"]"&amp;E510&amp;"'!"&amp;$AH$2)),INDIRECT("'["&amp;G510&amp;"]"&amp;E510&amp;"'!"&amp;$Y$3),0)</f>
        <v>#VALUE!</v>
      </c>
      <c r="N510" s="34" t="e" cm="1">
        <f t="array" aca="1" ref="N510" ca="1">IF(AND(G510=INDIRECT("'["&amp;G510&amp;"]"&amp;E510&amp;"'!"&amp;$AH$2),OR(K510=INDIRECT("'["&amp;G510&amp;"]"&amp;E510&amp;"'!"&amp;$Z$2))),INDIRECT("'["&amp;G510&amp;"]"&amp;E510&amp;"'!"&amp;$Z$3),0)</f>
        <v>#VALUE!</v>
      </c>
      <c r="O510" s="34" t="e" cm="1">
        <f t="array" aca="1" ref="O510" ca="1">IF(AND(G510=INDIRECT("'["&amp;G510&amp;"]"&amp;E510&amp;"'!"&amp;$AH$2),OR(L510=INDIRECT("'["&amp;G510&amp;"]"&amp;E510&amp;"'!"&amp;$AA$2))),INDIRECT("'["&amp;G510&amp;"]"&amp;E510&amp;"'!"&amp;$AA$3),0)</f>
        <v>#VALUE!</v>
      </c>
      <c r="P510" s="34" t="e" cm="1">
        <f t="array" aca="1" ref="P510" ca="1">IF(AND(G510=INDIRECT("'["&amp;G510&amp;"]"&amp;E510&amp;"'!"&amp;$AH$2),OR(VALUE(I510)=INDIRECT("'["&amp;G510&amp;"]"&amp;E510&amp;"'!"&amp;$AB$2))),INDIRECT("'["&amp;G510&amp;"]"&amp;E510&amp;"'!"&amp;$AB$3),0)</f>
        <v>#VALUE!</v>
      </c>
      <c r="Q510" s="34" t="e" cm="1">
        <f t="array" aca="1" ref="Q510" ca="1">IF(AND(G510=INDIRECT("'["&amp;G510&amp;"]"&amp;E510&amp;"'!"&amp;$AH$2),OR(VALUE(I510)=INDIRECT("'["&amp;G510&amp;"]"&amp;E510&amp;"'!"&amp;$AC$2))),INDIRECT("'["&amp;G510&amp;"]"&amp;E510&amp;"'!"&amp;$AC$3),0)</f>
        <v>#VALUE!</v>
      </c>
      <c r="R510" s="34" t="e" cm="1">
        <f t="array" aca="1" ref="R510" ca="1">IF(AND(G510=INDIRECT("'["&amp;G510&amp;"]"&amp;E510&amp;"'!"&amp;$AH$2),OR(I510=INDIRECT("'["&amp;G510&amp;"]"&amp;E510&amp;"'!"&amp;$AD$2))),INDIRECT("'["&amp;G510&amp;"]"&amp;E510&amp;"'!"&amp;$AD$3),0)</f>
        <v>#VALUE!</v>
      </c>
      <c r="S510" s="34" t="e" cm="1">
        <f t="array" aca="1" ref="S510" ca="1">IF(AND(G510=INDIRECT("'["&amp;G510&amp;"]"&amp;E510&amp;"'!"&amp;$AH$2),OR(I510=INDIRECT("'["&amp;G510&amp;"]"&amp;E510&amp;"'!"&amp;$AE$2))),INDIRECT("'["&amp;G510&amp;"]"&amp;E510&amp;"'!"&amp;$AE$3),0)</f>
        <v>#VALUE!</v>
      </c>
      <c r="T510" s="35" t="e" cm="1">
        <f t="array" aca="1" ref="T510" ca="1">IF(AND(G510=INDIRECT("'["&amp;G510&amp;"]"&amp;E510&amp;"'!"&amp;$AH$2),OR(I510=INDIRECT("'["&amp;G510&amp;"]"&amp;E510&amp;"'!"&amp;$AF$2))),INDIRECT("'["&amp;G510&amp;"]"&amp;E510&amp;"'!"&amp;$AF$3),0)</f>
        <v>#VALUE!</v>
      </c>
      <c r="U510" s="34" t="e" cm="1">
        <f t="array" aca="1" ref="U510" ca="1">IF(AND(G510=INDIRECT("'["&amp;G510&amp;"]"&amp;E510&amp;"'!"&amp;$AH$2),OR(I510=INDIRECT("'["&amp;G510&amp;"]"&amp;E510&amp;"'!"&amp;$AG$2))),INDIRECT("'["&amp;G510&amp;"]"&amp;E510&amp;"'!"&amp;$AG$3),0)</f>
        <v>#VALUE!</v>
      </c>
      <c r="V510" s="25" t="str">
        <f t="shared" si="152"/>
        <v/>
      </c>
      <c r="W510" s="36" t="e" cm="1">
        <f t="array" aca="1" ref="W510" ca="1">IF(AND(G510=INDIRECT("'["&amp;G510&amp;"]"&amp;E510&amp;"'!"&amp;$AH$2),OR(V510=INDIRECT("'["&amp;G510&amp;"]"&amp;E510&amp;"'!"&amp;$AI$2))),INDIRECT("'["&amp;G510&amp;"]"&amp;E510&amp;"'!"&amp;$AI$3),0)</f>
        <v>#VALUE!</v>
      </c>
      <c r="AJ510" s="25">
        <v>1</v>
      </c>
      <c r="AK510" s="38">
        <f t="shared" ca="1" si="153"/>
        <v>0</v>
      </c>
      <c r="AL510" s="38">
        <f t="shared" ca="1" si="154"/>
        <v>0</v>
      </c>
      <c r="AM510" s="54" t="str">
        <f t="shared" ca="1" si="155"/>
        <v/>
      </c>
      <c r="AN510" s="25" t="e">
        <f t="shared" ca="1" si="156"/>
        <v>#VALUE!</v>
      </c>
      <c r="AO510" s="25" t="e">
        <f t="shared" ca="1" si="157"/>
        <v>#VALUE!</v>
      </c>
      <c r="AQ510" s="46" t="str">
        <f ca="1">IF(AND(C510&lt;&gt;0, C511=0), SUM($C$2:C510)-SUM($AQ$1:AQ509), "")</f>
        <v/>
      </c>
      <c r="AR510" s="46" t="str">
        <f ca="1">IF(AND(AK510&lt;&gt;0, AK511=0), SUM($AK$2:AK510)-SUM($AR$1:AR509), "")</f>
        <v/>
      </c>
    </row>
    <row r="511" spans="1:44" ht="13.15" customHeight="1">
      <c r="B511" s="68" t="str">
        <f t="shared" si="143"/>
        <v/>
      </c>
      <c r="C511" s="55" cm="1">
        <f t="array" aca="1" ref="C511" ca="1">SUM(IF(ISNUMBER(M511:U511),M511:U511,""))</f>
        <v>0</v>
      </c>
      <c r="D511" s="25" t="str">
        <f t="shared" si="144"/>
        <v/>
      </c>
      <c r="E511" s="25" t="e">
        <f t="shared" si="145"/>
        <v>#VALUE!</v>
      </c>
      <c r="F511" s="25" t="str">
        <f t="shared" si="146"/>
        <v/>
      </c>
      <c r="G511" s="25" t="str">
        <f t="shared" si="147"/>
        <v>.xlsx</v>
      </c>
      <c r="H511" s="29" t="e" cm="1">
        <f t="array" aca="1" ref="H511" ca="1">IF(AND(VALUE(E511)=INDIRECT("'["&amp;G511&amp;"]"&amp;E511&amp;"'!"&amp;$X$2),G511=INDIRECT("'["&amp;G511&amp;"]"&amp;E511&amp;"'!"&amp;$X$3)),INDIRECT("'["&amp;G511&amp;"]"&amp;E511&amp;"'!"&amp;$X$1),0)</f>
        <v>#VALUE!</v>
      </c>
      <c r="I511" s="25" t="str">
        <f t="shared" si="148"/>
        <v/>
      </c>
      <c r="J511" s="32" t="str">
        <f t="shared" si="149"/>
        <v/>
      </c>
      <c r="K511" s="25" t="str">
        <f t="shared" si="150"/>
        <v/>
      </c>
      <c r="L511" s="25" t="str">
        <f t="shared" si="151"/>
        <v/>
      </c>
      <c r="M511" s="33" t="e" cm="1">
        <f t="array" aca="1" ref="M511" ca="1">IF(AND(J511=INDIRECT("'["&amp;G511&amp;"]"&amp;E511&amp;"'!"&amp;$Y$2),G511=INDIRECT("'["&amp;G511&amp;"]"&amp;E511&amp;"'!"&amp;$AH$2)),INDIRECT("'["&amp;G511&amp;"]"&amp;E511&amp;"'!"&amp;$Y$3),0)</f>
        <v>#VALUE!</v>
      </c>
      <c r="N511" s="34" t="e" cm="1">
        <f t="array" aca="1" ref="N511" ca="1">IF(AND(G511=INDIRECT("'["&amp;G511&amp;"]"&amp;E511&amp;"'!"&amp;$AH$2),OR(K511=INDIRECT("'["&amp;G511&amp;"]"&amp;E511&amp;"'!"&amp;$Z$2))),INDIRECT("'["&amp;G511&amp;"]"&amp;E511&amp;"'!"&amp;$Z$3),0)</f>
        <v>#VALUE!</v>
      </c>
      <c r="O511" s="34" t="e" cm="1">
        <f t="array" aca="1" ref="O511" ca="1">IF(AND(G511=INDIRECT("'["&amp;G511&amp;"]"&amp;E511&amp;"'!"&amp;$AH$2),OR(L511=INDIRECT("'["&amp;G511&amp;"]"&amp;E511&amp;"'!"&amp;$AA$2))),INDIRECT("'["&amp;G511&amp;"]"&amp;E511&amp;"'!"&amp;$AA$3),0)</f>
        <v>#VALUE!</v>
      </c>
      <c r="P511" s="34" t="e" cm="1">
        <f t="array" aca="1" ref="P511" ca="1">IF(AND(G511=INDIRECT("'["&amp;G511&amp;"]"&amp;E511&amp;"'!"&amp;$AH$2),OR(VALUE(I511)=INDIRECT("'["&amp;G511&amp;"]"&amp;E511&amp;"'!"&amp;$AB$2))),INDIRECT("'["&amp;G511&amp;"]"&amp;E511&amp;"'!"&amp;$AB$3),0)</f>
        <v>#VALUE!</v>
      </c>
      <c r="Q511" s="34" t="e" cm="1">
        <f t="array" aca="1" ref="Q511" ca="1">IF(AND(G511=INDIRECT("'["&amp;G511&amp;"]"&amp;E511&amp;"'!"&amp;$AH$2),OR(VALUE(I511)=INDIRECT("'["&amp;G511&amp;"]"&amp;E511&amp;"'!"&amp;$AC$2))),INDIRECT("'["&amp;G511&amp;"]"&amp;E511&amp;"'!"&amp;$AC$3),0)</f>
        <v>#VALUE!</v>
      </c>
      <c r="R511" s="34" t="e" cm="1">
        <f t="array" aca="1" ref="R511" ca="1">IF(AND(G511=INDIRECT("'["&amp;G511&amp;"]"&amp;E511&amp;"'!"&amp;$AH$2),OR(I511=INDIRECT("'["&amp;G511&amp;"]"&amp;E511&amp;"'!"&amp;$AD$2))),INDIRECT("'["&amp;G511&amp;"]"&amp;E511&amp;"'!"&amp;$AD$3),0)</f>
        <v>#VALUE!</v>
      </c>
      <c r="S511" s="34" t="e" cm="1">
        <f t="array" aca="1" ref="S511" ca="1">IF(AND(G511=INDIRECT("'["&amp;G511&amp;"]"&amp;E511&amp;"'!"&amp;$AH$2),OR(I511=INDIRECT("'["&amp;G511&amp;"]"&amp;E511&amp;"'!"&amp;$AE$2))),INDIRECT("'["&amp;G511&amp;"]"&amp;E511&amp;"'!"&amp;$AE$3),0)</f>
        <v>#VALUE!</v>
      </c>
      <c r="T511" s="35" t="e" cm="1">
        <f t="array" aca="1" ref="T511" ca="1">IF(AND(G511=INDIRECT("'["&amp;G511&amp;"]"&amp;E511&amp;"'!"&amp;$AH$2),OR(I511=INDIRECT("'["&amp;G511&amp;"]"&amp;E511&amp;"'!"&amp;$AF$2))),INDIRECT("'["&amp;G511&amp;"]"&amp;E511&amp;"'!"&amp;$AF$3),0)</f>
        <v>#VALUE!</v>
      </c>
      <c r="U511" s="34" t="e" cm="1">
        <f t="array" aca="1" ref="U511" ca="1">IF(AND(G511=INDIRECT("'["&amp;G511&amp;"]"&amp;E511&amp;"'!"&amp;$AH$2),OR(I511=INDIRECT("'["&amp;G511&amp;"]"&amp;E511&amp;"'!"&amp;$AG$2))),INDIRECT("'["&amp;G511&amp;"]"&amp;E511&amp;"'!"&amp;$AG$3),0)</f>
        <v>#VALUE!</v>
      </c>
      <c r="V511" s="25" t="str">
        <f t="shared" si="152"/>
        <v/>
      </c>
      <c r="W511" s="36" t="e" cm="1">
        <f t="array" aca="1" ref="W511" ca="1">IF(AND(G511=INDIRECT("'["&amp;G511&amp;"]"&amp;E511&amp;"'!"&amp;$AH$2),OR(V511=INDIRECT("'["&amp;G511&amp;"]"&amp;E511&amp;"'!"&amp;$AI$2))),INDIRECT("'["&amp;G511&amp;"]"&amp;E511&amp;"'!"&amp;$AI$3),0)</f>
        <v>#VALUE!</v>
      </c>
      <c r="AJ511" s="25">
        <v>1</v>
      </c>
      <c r="AK511" s="38">
        <f t="shared" ca="1" si="153"/>
        <v>0</v>
      </c>
      <c r="AL511" s="38">
        <f t="shared" ca="1" si="154"/>
        <v>0</v>
      </c>
      <c r="AM511" s="54" t="str">
        <f t="shared" ca="1" si="155"/>
        <v/>
      </c>
      <c r="AN511" s="25" t="e">
        <f t="shared" ca="1" si="156"/>
        <v>#VALUE!</v>
      </c>
      <c r="AO511" s="25" t="e">
        <f t="shared" ca="1" si="157"/>
        <v>#VALUE!</v>
      </c>
      <c r="AQ511" s="46" t="str">
        <f ca="1">IF(AND(C511&lt;&gt;0, C512=0), SUM($C$2:C511)-SUM($AQ$1:AQ510), "")</f>
        <v/>
      </c>
      <c r="AR511" s="46" t="str">
        <f ca="1">IF(AND(AK511&lt;&gt;0, AK512=0), SUM($AK$2:AK511)-SUM($AR$1:AR510), "")</f>
        <v/>
      </c>
    </row>
    <row r="512" spans="1:44" ht="13.15" customHeight="1">
      <c r="B512" s="68" t="str">
        <f t="shared" si="143"/>
        <v/>
      </c>
      <c r="C512" s="55" cm="1">
        <f t="array" aca="1" ref="C512" ca="1">SUM(IF(ISNUMBER(M512:U512),M512:U512,""))</f>
        <v>0</v>
      </c>
      <c r="D512" s="25" t="str">
        <f t="shared" si="144"/>
        <v/>
      </c>
      <c r="E512" s="25" t="e">
        <f t="shared" si="145"/>
        <v>#VALUE!</v>
      </c>
      <c r="F512" s="25" t="str">
        <f t="shared" si="146"/>
        <v/>
      </c>
      <c r="G512" s="25" t="str">
        <f t="shared" si="147"/>
        <v>.xlsx</v>
      </c>
      <c r="H512" s="29" t="e" cm="1">
        <f t="array" aca="1" ref="H512" ca="1">IF(AND(VALUE(E512)=INDIRECT("'["&amp;G512&amp;"]"&amp;E512&amp;"'!"&amp;$X$2),G512=INDIRECT("'["&amp;G512&amp;"]"&amp;E512&amp;"'!"&amp;$X$3)),INDIRECT("'["&amp;G512&amp;"]"&amp;E512&amp;"'!"&amp;$X$1),0)</f>
        <v>#VALUE!</v>
      </c>
      <c r="I512" s="25" t="str">
        <f t="shared" si="148"/>
        <v/>
      </c>
      <c r="J512" s="32" t="str">
        <f t="shared" si="149"/>
        <v/>
      </c>
      <c r="K512" s="25" t="str">
        <f t="shared" si="150"/>
        <v/>
      </c>
      <c r="L512" s="25" t="str">
        <f t="shared" si="151"/>
        <v/>
      </c>
      <c r="M512" s="33" t="e" cm="1">
        <f t="array" aca="1" ref="M512" ca="1">IF(AND(J512=INDIRECT("'["&amp;G512&amp;"]"&amp;E512&amp;"'!"&amp;$Y$2),G512=INDIRECT("'["&amp;G512&amp;"]"&amp;E512&amp;"'!"&amp;$AH$2)),INDIRECT("'["&amp;G512&amp;"]"&amp;E512&amp;"'!"&amp;$Y$3),0)</f>
        <v>#VALUE!</v>
      </c>
      <c r="N512" s="34" t="e" cm="1">
        <f t="array" aca="1" ref="N512" ca="1">IF(AND(G512=INDIRECT("'["&amp;G512&amp;"]"&amp;E512&amp;"'!"&amp;$AH$2),OR(K512=INDIRECT("'["&amp;G512&amp;"]"&amp;E512&amp;"'!"&amp;$Z$2))),INDIRECT("'["&amp;G512&amp;"]"&amp;E512&amp;"'!"&amp;$Z$3),0)</f>
        <v>#VALUE!</v>
      </c>
      <c r="O512" s="34" t="e" cm="1">
        <f t="array" aca="1" ref="O512" ca="1">IF(AND(G512=INDIRECT("'["&amp;G512&amp;"]"&amp;E512&amp;"'!"&amp;$AH$2),OR(L512=INDIRECT("'["&amp;G512&amp;"]"&amp;E512&amp;"'!"&amp;$AA$2))),INDIRECT("'["&amp;G512&amp;"]"&amp;E512&amp;"'!"&amp;$AA$3),0)</f>
        <v>#VALUE!</v>
      </c>
      <c r="P512" s="34" t="e" cm="1">
        <f t="array" aca="1" ref="P512" ca="1">IF(AND(G512=INDIRECT("'["&amp;G512&amp;"]"&amp;E512&amp;"'!"&amp;$AH$2),OR(VALUE(I512)=INDIRECT("'["&amp;G512&amp;"]"&amp;E512&amp;"'!"&amp;$AB$2))),INDIRECT("'["&amp;G512&amp;"]"&amp;E512&amp;"'!"&amp;$AB$3),0)</f>
        <v>#VALUE!</v>
      </c>
      <c r="Q512" s="34" t="e" cm="1">
        <f t="array" aca="1" ref="Q512" ca="1">IF(AND(G512=INDIRECT("'["&amp;G512&amp;"]"&amp;E512&amp;"'!"&amp;$AH$2),OR(VALUE(I512)=INDIRECT("'["&amp;G512&amp;"]"&amp;E512&amp;"'!"&amp;$AC$2))),INDIRECT("'["&amp;G512&amp;"]"&amp;E512&amp;"'!"&amp;$AC$3),0)</f>
        <v>#VALUE!</v>
      </c>
      <c r="R512" s="34" t="e" cm="1">
        <f t="array" aca="1" ref="R512" ca="1">IF(AND(G512=INDIRECT("'["&amp;G512&amp;"]"&amp;E512&amp;"'!"&amp;$AH$2),OR(I512=INDIRECT("'["&amp;G512&amp;"]"&amp;E512&amp;"'!"&amp;$AD$2))),INDIRECT("'["&amp;G512&amp;"]"&amp;E512&amp;"'!"&amp;$AD$3),0)</f>
        <v>#VALUE!</v>
      </c>
      <c r="S512" s="34" t="e" cm="1">
        <f t="array" aca="1" ref="S512" ca="1">IF(AND(G512=INDIRECT("'["&amp;G512&amp;"]"&amp;E512&amp;"'!"&amp;$AH$2),OR(I512=INDIRECT("'["&amp;G512&amp;"]"&amp;E512&amp;"'!"&amp;$AE$2))),INDIRECT("'["&amp;G512&amp;"]"&amp;E512&amp;"'!"&amp;$AE$3),0)</f>
        <v>#VALUE!</v>
      </c>
      <c r="T512" s="35" t="e" cm="1">
        <f t="array" aca="1" ref="T512" ca="1">IF(AND(G512=INDIRECT("'["&amp;G512&amp;"]"&amp;E512&amp;"'!"&amp;$AH$2),OR(I512=INDIRECT("'["&amp;G512&amp;"]"&amp;E512&amp;"'!"&amp;$AF$2))),INDIRECT("'["&amp;G512&amp;"]"&amp;E512&amp;"'!"&amp;$AF$3),0)</f>
        <v>#VALUE!</v>
      </c>
      <c r="U512" s="34" t="e" cm="1">
        <f t="array" aca="1" ref="U512" ca="1">IF(AND(G512=INDIRECT("'["&amp;G512&amp;"]"&amp;E512&amp;"'!"&amp;$AH$2),OR(I512=INDIRECT("'["&amp;G512&amp;"]"&amp;E512&amp;"'!"&amp;$AG$2))),INDIRECT("'["&amp;G512&amp;"]"&amp;E512&amp;"'!"&amp;$AG$3),0)</f>
        <v>#VALUE!</v>
      </c>
      <c r="V512" s="25" t="str">
        <f t="shared" si="152"/>
        <v/>
      </c>
      <c r="W512" s="36" t="e" cm="1">
        <f t="array" aca="1" ref="W512" ca="1">IF(AND(G512=INDIRECT("'["&amp;G512&amp;"]"&amp;E512&amp;"'!"&amp;$AH$2),OR(V512=INDIRECT("'["&amp;G512&amp;"]"&amp;E512&amp;"'!"&amp;$AI$2))),INDIRECT("'["&amp;G512&amp;"]"&amp;E512&amp;"'!"&amp;$AI$3),0)</f>
        <v>#VALUE!</v>
      </c>
      <c r="AJ512" s="25">
        <v>1</v>
      </c>
      <c r="AK512" s="38">
        <f t="shared" ca="1" si="153"/>
        <v>0</v>
      </c>
      <c r="AL512" s="38">
        <f t="shared" ca="1" si="154"/>
        <v>0</v>
      </c>
      <c r="AM512" s="54" t="str">
        <f t="shared" ca="1" si="155"/>
        <v/>
      </c>
      <c r="AN512" s="25" t="e">
        <f t="shared" ca="1" si="156"/>
        <v>#VALUE!</v>
      </c>
      <c r="AO512" s="25" t="e">
        <f t="shared" ca="1" si="157"/>
        <v>#VALUE!</v>
      </c>
      <c r="AQ512" s="46" t="str">
        <f ca="1">IF(AND(C512&lt;&gt;0, C513=0), SUM($C$2:C512)-SUM($AQ$1:AQ511), "")</f>
        <v/>
      </c>
      <c r="AR512" s="46" t="str">
        <f ca="1">IF(AND(AK512&lt;&gt;0, AK513=0), SUM($AK$2:AK512)-SUM($AR$1:AR511), "")</f>
        <v/>
      </c>
    </row>
    <row r="513" spans="2:44" ht="13.15" customHeight="1">
      <c r="B513" s="68" t="str">
        <f t="shared" si="143"/>
        <v/>
      </c>
      <c r="C513" s="55" cm="1">
        <f t="array" aca="1" ref="C513" ca="1">SUM(IF(ISNUMBER(M513:U513),M513:U513,""))</f>
        <v>0</v>
      </c>
      <c r="D513" s="25" t="str">
        <f t="shared" si="144"/>
        <v/>
      </c>
      <c r="E513" s="25" t="e">
        <f t="shared" si="145"/>
        <v>#VALUE!</v>
      </c>
      <c r="F513" s="25" t="str">
        <f t="shared" si="146"/>
        <v/>
      </c>
      <c r="G513" s="25" t="str">
        <f t="shared" si="147"/>
        <v>.xlsx</v>
      </c>
      <c r="H513" s="29" t="e" cm="1">
        <f t="array" aca="1" ref="H513" ca="1">IF(AND(VALUE(E513)=INDIRECT("'["&amp;G513&amp;"]"&amp;E513&amp;"'!"&amp;$X$2),G513=INDIRECT("'["&amp;G513&amp;"]"&amp;E513&amp;"'!"&amp;$X$3)),INDIRECT("'["&amp;G513&amp;"]"&amp;E513&amp;"'!"&amp;$X$1),0)</f>
        <v>#VALUE!</v>
      </c>
      <c r="I513" s="25" t="str">
        <f t="shared" si="148"/>
        <v/>
      </c>
      <c r="J513" s="32" t="str">
        <f t="shared" si="149"/>
        <v/>
      </c>
      <c r="K513" s="25" t="str">
        <f t="shared" si="150"/>
        <v/>
      </c>
      <c r="L513" s="25" t="str">
        <f t="shared" si="151"/>
        <v/>
      </c>
      <c r="M513" s="33" t="e" cm="1">
        <f t="array" aca="1" ref="M513" ca="1">IF(AND(J513=INDIRECT("'["&amp;G513&amp;"]"&amp;E513&amp;"'!"&amp;$Y$2),G513=INDIRECT("'["&amp;G513&amp;"]"&amp;E513&amp;"'!"&amp;$AH$2)),INDIRECT("'["&amp;G513&amp;"]"&amp;E513&amp;"'!"&amp;$Y$3),0)</f>
        <v>#VALUE!</v>
      </c>
      <c r="N513" s="34" t="e" cm="1">
        <f t="array" aca="1" ref="N513" ca="1">IF(AND(G513=INDIRECT("'["&amp;G513&amp;"]"&amp;E513&amp;"'!"&amp;$AH$2),OR(K513=INDIRECT("'["&amp;G513&amp;"]"&amp;E513&amp;"'!"&amp;$Z$2))),INDIRECT("'["&amp;G513&amp;"]"&amp;E513&amp;"'!"&amp;$Z$3),0)</f>
        <v>#VALUE!</v>
      </c>
      <c r="O513" s="34" t="e" cm="1">
        <f t="array" aca="1" ref="O513" ca="1">IF(AND(G513=INDIRECT("'["&amp;G513&amp;"]"&amp;E513&amp;"'!"&amp;$AH$2),OR(L513=INDIRECT("'["&amp;G513&amp;"]"&amp;E513&amp;"'!"&amp;$AA$2))),INDIRECT("'["&amp;G513&amp;"]"&amp;E513&amp;"'!"&amp;$AA$3),0)</f>
        <v>#VALUE!</v>
      </c>
      <c r="P513" s="34" t="e" cm="1">
        <f t="array" aca="1" ref="P513" ca="1">IF(AND(G513=INDIRECT("'["&amp;G513&amp;"]"&amp;E513&amp;"'!"&amp;$AH$2),OR(VALUE(I513)=INDIRECT("'["&amp;G513&amp;"]"&amp;E513&amp;"'!"&amp;$AB$2))),INDIRECT("'["&amp;G513&amp;"]"&amp;E513&amp;"'!"&amp;$AB$3),0)</f>
        <v>#VALUE!</v>
      </c>
      <c r="Q513" s="34" t="e" cm="1">
        <f t="array" aca="1" ref="Q513" ca="1">IF(AND(G513=INDIRECT("'["&amp;G513&amp;"]"&amp;E513&amp;"'!"&amp;$AH$2),OR(VALUE(I513)=INDIRECT("'["&amp;G513&amp;"]"&amp;E513&amp;"'!"&amp;$AC$2))),INDIRECT("'["&amp;G513&amp;"]"&amp;E513&amp;"'!"&amp;$AC$3),0)</f>
        <v>#VALUE!</v>
      </c>
      <c r="R513" s="34" t="e" cm="1">
        <f t="array" aca="1" ref="R513" ca="1">IF(AND(G513=INDIRECT("'["&amp;G513&amp;"]"&amp;E513&amp;"'!"&amp;$AH$2),OR(I513=INDIRECT("'["&amp;G513&amp;"]"&amp;E513&amp;"'!"&amp;$AD$2))),INDIRECT("'["&amp;G513&amp;"]"&amp;E513&amp;"'!"&amp;$AD$3),0)</f>
        <v>#VALUE!</v>
      </c>
      <c r="S513" s="34" t="e" cm="1">
        <f t="array" aca="1" ref="S513" ca="1">IF(AND(G513=INDIRECT("'["&amp;G513&amp;"]"&amp;E513&amp;"'!"&amp;$AH$2),OR(I513=INDIRECT("'["&amp;G513&amp;"]"&amp;E513&amp;"'!"&amp;$AE$2))),INDIRECT("'["&amp;G513&amp;"]"&amp;E513&amp;"'!"&amp;$AE$3),0)</f>
        <v>#VALUE!</v>
      </c>
      <c r="T513" s="35" t="e" cm="1">
        <f t="array" aca="1" ref="T513" ca="1">IF(AND(G513=INDIRECT("'["&amp;G513&amp;"]"&amp;E513&amp;"'!"&amp;$AH$2),OR(I513=INDIRECT("'["&amp;G513&amp;"]"&amp;E513&amp;"'!"&amp;$AF$2))),INDIRECT("'["&amp;G513&amp;"]"&amp;E513&amp;"'!"&amp;$AF$3),0)</f>
        <v>#VALUE!</v>
      </c>
      <c r="U513" s="34" t="e" cm="1">
        <f t="array" aca="1" ref="U513" ca="1">IF(AND(G513=INDIRECT("'["&amp;G513&amp;"]"&amp;E513&amp;"'!"&amp;$AH$2),OR(I513=INDIRECT("'["&amp;G513&amp;"]"&amp;E513&amp;"'!"&amp;$AG$2))),INDIRECT("'["&amp;G513&amp;"]"&amp;E513&amp;"'!"&amp;$AG$3),0)</f>
        <v>#VALUE!</v>
      </c>
      <c r="V513" s="25" t="str">
        <f t="shared" si="152"/>
        <v/>
      </c>
      <c r="W513" s="36" t="e" cm="1">
        <f t="array" aca="1" ref="W513" ca="1">IF(AND(G513=INDIRECT("'["&amp;G513&amp;"]"&amp;E513&amp;"'!"&amp;$AH$2),OR(V513=INDIRECT("'["&amp;G513&amp;"]"&amp;E513&amp;"'!"&amp;$AI$2))),INDIRECT("'["&amp;G513&amp;"]"&amp;E513&amp;"'!"&amp;$AI$3),0)</f>
        <v>#VALUE!</v>
      </c>
      <c r="AJ513" s="25">
        <v>1</v>
      </c>
      <c r="AK513" s="38">
        <f t="shared" ca="1" si="153"/>
        <v>0</v>
      </c>
      <c r="AL513" s="38">
        <f t="shared" ca="1" si="154"/>
        <v>0</v>
      </c>
      <c r="AM513" s="54" t="str">
        <f t="shared" ca="1" si="155"/>
        <v/>
      </c>
      <c r="AN513" s="25" t="e">
        <f t="shared" ca="1" si="156"/>
        <v>#VALUE!</v>
      </c>
      <c r="AO513" s="25" t="e">
        <f t="shared" ca="1" si="157"/>
        <v>#VALUE!</v>
      </c>
      <c r="AQ513" s="46" t="str">
        <f ca="1">IF(AND(C513&lt;&gt;0, C514=0), SUM($C$2:C513)-SUM($AQ$1:AQ512), "")</f>
        <v/>
      </c>
      <c r="AR513" s="46" t="str">
        <f ca="1">IF(AND(AK513&lt;&gt;0, AK514=0), SUM($AK$2:AK513)-SUM($AR$1:AR512), "")</f>
        <v/>
      </c>
    </row>
    <row r="514" spans="2:44" ht="13.15" customHeight="1">
      <c r="B514" s="68" t="str">
        <f t="shared" si="143"/>
        <v/>
      </c>
      <c r="C514" s="55" cm="1">
        <f t="array" aca="1" ref="C514" ca="1">SUM(IF(ISNUMBER(M514:U514),M514:U514,""))</f>
        <v>0</v>
      </c>
      <c r="D514" s="25" t="str">
        <f t="shared" si="144"/>
        <v/>
      </c>
      <c r="E514" s="25" t="e">
        <f t="shared" si="145"/>
        <v>#VALUE!</v>
      </c>
      <c r="F514" s="25" t="str">
        <f t="shared" si="146"/>
        <v/>
      </c>
      <c r="G514" s="25" t="str">
        <f t="shared" si="147"/>
        <v>.xlsx</v>
      </c>
      <c r="H514" s="29" t="e" cm="1">
        <f t="array" aca="1" ref="H514" ca="1">IF(AND(VALUE(E514)=INDIRECT("'["&amp;G514&amp;"]"&amp;E514&amp;"'!"&amp;$X$2),G514=INDIRECT("'["&amp;G514&amp;"]"&amp;E514&amp;"'!"&amp;$X$3)),INDIRECT("'["&amp;G514&amp;"]"&amp;E514&amp;"'!"&amp;$X$1),0)</f>
        <v>#VALUE!</v>
      </c>
      <c r="I514" s="25" t="str">
        <f t="shared" si="148"/>
        <v/>
      </c>
      <c r="J514" s="32" t="str">
        <f t="shared" si="149"/>
        <v/>
      </c>
      <c r="K514" s="25" t="str">
        <f t="shared" si="150"/>
        <v/>
      </c>
      <c r="L514" s="25" t="str">
        <f t="shared" si="151"/>
        <v/>
      </c>
      <c r="M514" s="33" t="e" cm="1">
        <f t="array" aca="1" ref="M514" ca="1">IF(AND(J514=INDIRECT("'["&amp;G514&amp;"]"&amp;E514&amp;"'!"&amp;$Y$2),G514=INDIRECT("'["&amp;G514&amp;"]"&amp;E514&amp;"'!"&amp;$AH$2)),INDIRECT("'["&amp;G514&amp;"]"&amp;E514&amp;"'!"&amp;$Y$3),0)</f>
        <v>#VALUE!</v>
      </c>
      <c r="N514" s="34" t="e" cm="1">
        <f t="array" aca="1" ref="N514" ca="1">IF(AND(G514=INDIRECT("'["&amp;G514&amp;"]"&amp;E514&amp;"'!"&amp;$AH$2),OR(K514=INDIRECT("'["&amp;G514&amp;"]"&amp;E514&amp;"'!"&amp;$Z$2))),INDIRECT("'["&amp;G514&amp;"]"&amp;E514&amp;"'!"&amp;$Z$3),0)</f>
        <v>#VALUE!</v>
      </c>
      <c r="O514" s="34" t="e" cm="1">
        <f t="array" aca="1" ref="O514" ca="1">IF(AND(G514=INDIRECT("'["&amp;G514&amp;"]"&amp;E514&amp;"'!"&amp;$AH$2),OR(L514=INDIRECT("'["&amp;G514&amp;"]"&amp;E514&amp;"'!"&amp;$AA$2))),INDIRECT("'["&amp;G514&amp;"]"&amp;E514&amp;"'!"&amp;$AA$3),0)</f>
        <v>#VALUE!</v>
      </c>
      <c r="P514" s="34" t="e" cm="1">
        <f t="array" aca="1" ref="P514" ca="1">IF(AND(G514=INDIRECT("'["&amp;G514&amp;"]"&amp;E514&amp;"'!"&amp;$AH$2),OR(VALUE(I514)=INDIRECT("'["&amp;G514&amp;"]"&amp;E514&amp;"'!"&amp;$AB$2))),INDIRECT("'["&amp;G514&amp;"]"&amp;E514&amp;"'!"&amp;$AB$3),0)</f>
        <v>#VALUE!</v>
      </c>
      <c r="Q514" s="34" t="e" cm="1">
        <f t="array" aca="1" ref="Q514" ca="1">IF(AND(G514=INDIRECT("'["&amp;G514&amp;"]"&amp;E514&amp;"'!"&amp;$AH$2),OR(VALUE(I514)=INDIRECT("'["&amp;G514&amp;"]"&amp;E514&amp;"'!"&amp;$AC$2))),INDIRECT("'["&amp;G514&amp;"]"&amp;E514&amp;"'!"&amp;$AC$3),0)</f>
        <v>#VALUE!</v>
      </c>
      <c r="R514" s="34" t="e" cm="1">
        <f t="array" aca="1" ref="R514" ca="1">IF(AND(G514=INDIRECT("'["&amp;G514&amp;"]"&amp;E514&amp;"'!"&amp;$AH$2),OR(I514=INDIRECT("'["&amp;G514&amp;"]"&amp;E514&amp;"'!"&amp;$AD$2))),INDIRECT("'["&amp;G514&amp;"]"&amp;E514&amp;"'!"&amp;$AD$3),0)</f>
        <v>#VALUE!</v>
      </c>
      <c r="S514" s="34" t="e" cm="1">
        <f t="array" aca="1" ref="S514" ca="1">IF(AND(G514=INDIRECT("'["&amp;G514&amp;"]"&amp;E514&amp;"'!"&amp;$AH$2),OR(I514=INDIRECT("'["&amp;G514&amp;"]"&amp;E514&amp;"'!"&amp;$AE$2))),INDIRECT("'["&amp;G514&amp;"]"&amp;E514&amp;"'!"&amp;$AE$3),0)</f>
        <v>#VALUE!</v>
      </c>
      <c r="T514" s="35" t="e" cm="1">
        <f t="array" aca="1" ref="T514" ca="1">IF(AND(G514=INDIRECT("'["&amp;G514&amp;"]"&amp;E514&amp;"'!"&amp;$AH$2),OR(I514=INDIRECT("'["&amp;G514&amp;"]"&amp;E514&amp;"'!"&amp;$AF$2))),INDIRECT("'["&amp;G514&amp;"]"&amp;E514&amp;"'!"&amp;$AF$3),0)</f>
        <v>#VALUE!</v>
      </c>
      <c r="U514" s="34" t="e" cm="1">
        <f t="array" aca="1" ref="U514" ca="1">IF(AND(G514=INDIRECT("'["&amp;G514&amp;"]"&amp;E514&amp;"'!"&amp;$AH$2),OR(I514=INDIRECT("'["&amp;G514&amp;"]"&amp;E514&amp;"'!"&amp;$AG$2))),INDIRECT("'["&amp;G514&amp;"]"&amp;E514&amp;"'!"&amp;$AG$3),0)</f>
        <v>#VALUE!</v>
      </c>
      <c r="V514" s="25" t="str">
        <f t="shared" si="152"/>
        <v/>
      </c>
      <c r="W514" s="36" t="e" cm="1">
        <f t="array" aca="1" ref="W514" ca="1">IF(AND(G514=INDIRECT("'["&amp;G514&amp;"]"&amp;E514&amp;"'!"&amp;$AH$2),OR(V514=INDIRECT("'["&amp;G514&amp;"]"&amp;E514&amp;"'!"&amp;$AI$2))),INDIRECT("'["&amp;G514&amp;"]"&amp;E514&amp;"'!"&amp;$AI$3),0)</f>
        <v>#VALUE!</v>
      </c>
      <c r="AJ514" s="25">
        <v>1</v>
      </c>
      <c r="AK514" s="38">
        <f t="shared" ca="1" si="153"/>
        <v>0</v>
      </c>
      <c r="AL514" s="38">
        <f t="shared" ca="1" si="154"/>
        <v>0</v>
      </c>
      <c r="AM514" s="54" t="str">
        <f t="shared" ca="1" si="155"/>
        <v/>
      </c>
      <c r="AN514" s="25" t="e">
        <f t="shared" ca="1" si="156"/>
        <v>#VALUE!</v>
      </c>
      <c r="AO514" s="25" t="e">
        <f t="shared" ca="1" si="157"/>
        <v>#VALUE!</v>
      </c>
      <c r="AQ514" s="46" t="str">
        <f ca="1">IF(AND(C514&lt;&gt;0, C515=0), SUM($C$2:C514)-SUM($AQ$1:AQ513), "")</f>
        <v/>
      </c>
      <c r="AR514" s="46" t="str">
        <f ca="1">IF(AND(AK514&lt;&gt;0, AK515=0), SUM($AK$2:AK514)-SUM($AR$1:AR513), "")</f>
        <v/>
      </c>
    </row>
    <row r="515" spans="2:44" ht="13.15" customHeight="1">
      <c r="B515" s="68" t="str">
        <f t="shared" si="143"/>
        <v/>
      </c>
      <c r="C515" s="55" cm="1">
        <f t="array" aca="1" ref="C515" ca="1">SUM(IF(ISNUMBER(M515:U515),M515:U515,""))</f>
        <v>0</v>
      </c>
      <c r="D515" s="25" t="str">
        <f t="shared" si="144"/>
        <v/>
      </c>
      <c r="E515" s="25" t="e">
        <f t="shared" si="145"/>
        <v>#VALUE!</v>
      </c>
      <c r="F515" s="25" t="str">
        <f t="shared" si="146"/>
        <v/>
      </c>
      <c r="G515" s="25" t="str">
        <f t="shared" si="147"/>
        <v>.xlsx</v>
      </c>
      <c r="H515" s="29" t="e" cm="1">
        <f t="array" aca="1" ref="H515" ca="1">IF(AND(VALUE(E515)=INDIRECT("'["&amp;G515&amp;"]"&amp;E515&amp;"'!"&amp;$X$2),G515=INDIRECT("'["&amp;G515&amp;"]"&amp;E515&amp;"'!"&amp;$X$3)),INDIRECT("'["&amp;G515&amp;"]"&amp;E515&amp;"'!"&amp;$X$1),0)</f>
        <v>#VALUE!</v>
      </c>
      <c r="I515" s="25" t="str">
        <f t="shared" si="148"/>
        <v/>
      </c>
      <c r="J515" s="32" t="str">
        <f t="shared" si="149"/>
        <v/>
      </c>
      <c r="K515" s="25" t="str">
        <f t="shared" si="150"/>
        <v/>
      </c>
      <c r="L515" s="25" t="str">
        <f t="shared" si="151"/>
        <v/>
      </c>
      <c r="M515" s="33" t="e" cm="1">
        <f t="array" aca="1" ref="M515" ca="1">IF(AND(J515=INDIRECT("'["&amp;G515&amp;"]"&amp;E515&amp;"'!"&amp;$Y$2),G515=INDIRECT("'["&amp;G515&amp;"]"&amp;E515&amp;"'!"&amp;$AH$2)),INDIRECT("'["&amp;G515&amp;"]"&amp;E515&amp;"'!"&amp;$Y$3),0)</f>
        <v>#VALUE!</v>
      </c>
      <c r="N515" s="34" t="e" cm="1">
        <f t="array" aca="1" ref="N515" ca="1">IF(AND(G515=INDIRECT("'["&amp;G515&amp;"]"&amp;E515&amp;"'!"&amp;$AH$2),OR(K515=INDIRECT("'["&amp;G515&amp;"]"&amp;E515&amp;"'!"&amp;$Z$2))),INDIRECT("'["&amp;G515&amp;"]"&amp;E515&amp;"'!"&amp;$Z$3),0)</f>
        <v>#VALUE!</v>
      </c>
      <c r="O515" s="34" t="e" cm="1">
        <f t="array" aca="1" ref="O515" ca="1">IF(AND(G515=INDIRECT("'["&amp;G515&amp;"]"&amp;E515&amp;"'!"&amp;$AH$2),OR(L515=INDIRECT("'["&amp;G515&amp;"]"&amp;E515&amp;"'!"&amp;$AA$2))),INDIRECT("'["&amp;G515&amp;"]"&amp;E515&amp;"'!"&amp;$AA$3),0)</f>
        <v>#VALUE!</v>
      </c>
      <c r="P515" s="34" t="e" cm="1">
        <f t="array" aca="1" ref="P515" ca="1">IF(AND(G515=INDIRECT("'["&amp;G515&amp;"]"&amp;E515&amp;"'!"&amp;$AH$2),OR(VALUE(I515)=INDIRECT("'["&amp;G515&amp;"]"&amp;E515&amp;"'!"&amp;$AB$2))),INDIRECT("'["&amp;G515&amp;"]"&amp;E515&amp;"'!"&amp;$AB$3),0)</f>
        <v>#VALUE!</v>
      </c>
      <c r="Q515" s="34" t="e" cm="1">
        <f t="array" aca="1" ref="Q515" ca="1">IF(AND(G515=INDIRECT("'["&amp;G515&amp;"]"&amp;E515&amp;"'!"&amp;$AH$2),OR(VALUE(I515)=INDIRECT("'["&amp;G515&amp;"]"&amp;E515&amp;"'!"&amp;$AC$2))),INDIRECT("'["&amp;G515&amp;"]"&amp;E515&amp;"'!"&amp;$AC$3),0)</f>
        <v>#VALUE!</v>
      </c>
      <c r="R515" s="34" t="e" cm="1">
        <f t="array" aca="1" ref="R515" ca="1">IF(AND(G515=INDIRECT("'["&amp;G515&amp;"]"&amp;E515&amp;"'!"&amp;$AH$2),OR(I515=INDIRECT("'["&amp;G515&amp;"]"&amp;E515&amp;"'!"&amp;$AD$2))),INDIRECT("'["&amp;G515&amp;"]"&amp;E515&amp;"'!"&amp;$AD$3),0)</f>
        <v>#VALUE!</v>
      </c>
      <c r="S515" s="34" t="e" cm="1">
        <f t="array" aca="1" ref="S515" ca="1">IF(AND(G515=INDIRECT("'["&amp;G515&amp;"]"&amp;E515&amp;"'!"&amp;$AH$2),OR(I515=INDIRECT("'["&amp;G515&amp;"]"&amp;E515&amp;"'!"&amp;$AE$2))),INDIRECT("'["&amp;G515&amp;"]"&amp;E515&amp;"'!"&amp;$AE$3),0)</f>
        <v>#VALUE!</v>
      </c>
      <c r="T515" s="35" t="e" cm="1">
        <f t="array" aca="1" ref="T515" ca="1">IF(AND(G515=INDIRECT("'["&amp;G515&amp;"]"&amp;E515&amp;"'!"&amp;$AH$2),OR(I515=INDIRECT("'["&amp;G515&amp;"]"&amp;E515&amp;"'!"&amp;$AF$2))),INDIRECT("'["&amp;G515&amp;"]"&amp;E515&amp;"'!"&amp;$AF$3),0)</f>
        <v>#VALUE!</v>
      </c>
      <c r="U515" s="34" t="e" cm="1">
        <f t="array" aca="1" ref="U515" ca="1">IF(AND(G515=INDIRECT("'["&amp;G515&amp;"]"&amp;E515&amp;"'!"&amp;$AH$2),OR(I515=INDIRECT("'["&amp;G515&amp;"]"&amp;E515&amp;"'!"&amp;$AG$2))),INDIRECT("'["&amp;G515&amp;"]"&amp;E515&amp;"'!"&amp;$AG$3),0)</f>
        <v>#VALUE!</v>
      </c>
      <c r="V515" s="25" t="str">
        <f t="shared" si="152"/>
        <v/>
      </c>
      <c r="W515" s="36" t="e" cm="1">
        <f t="array" aca="1" ref="W515" ca="1">IF(AND(G515=INDIRECT("'["&amp;G515&amp;"]"&amp;E515&amp;"'!"&amp;$AH$2),OR(V515=INDIRECT("'["&amp;G515&amp;"]"&amp;E515&amp;"'!"&amp;$AI$2))),INDIRECT("'["&amp;G515&amp;"]"&amp;E515&amp;"'!"&amp;$AI$3),0)</f>
        <v>#VALUE!</v>
      </c>
      <c r="AJ515" s="25">
        <v>1</v>
      </c>
      <c r="AK515" s="38">
        <f t="shared" ca="1" si="153"/>
        <v>0</v>
      </c>
      <c r="AL515" s="38">
        <f t="shared" ca="1" si="154"/>
        <v>0</v>
      </c>
      <c r="AM515" s="54" t="str">
        <f t="shared" ca="1" si="155"/>
        <v/>
      </c>
      <c r="AN515" s="25" t="e">
        <f t="shared" ca="1" si="156"/>
        <v>#VALUE!</v>
      </c>
      <c r="AO515" s="25" t="e">
        <f t="shared" ca="1" si="157"/>
        <v>#VALUE!</v>
      </c>
      <c r="AQ515" s="46" t="str">
        <f ca="1">IF(AND(C515&lt;&gt;0, C516=0), SUM($C$2:C515)-SUM($AQ$1:AQ514), "")</f>
        <v/>
      </c>
      <c r="AR515" s="46" t="str">
        <f ca="1">IF(AND(AK515&lt;&gt;0, AK516=0), SUM($AK$2:AK515)-SUM($AR$1:AR514), "")</f>
        <v/>
      </c>
    </row>
    <row r="516" spans="2:44" ht="13.15" customHeight="1">
      <c r="B516" s="68" t="str">
        <f t="shared" si="143"/>
        <v/>
      </c>
      <c r="C516" s="55" cm="1">
        <f t="array" aca="1" ref="C516" ca="1">SUM(IF(ISNUMBER(M516:U516),M516:U516,""))</f>
        <v>0</v>
      </c>
      <c r="D516" s="25" t="str">
        <f t="shared" si="144"/>
        <v/>
      </c>
      <c r="E516" s="25" t="e">
        <f t="shared" si="145"/>
        <v>#VALUE!</v>
      </c>
      <c r="F516" s="25" t="str">
        <f t="shared" si="146"/>
        <v/>
      </c>
      <c r="G516" s="25" t="str">
        <f t="shared" si="147"/>
        <v>.xlsx</v>
      </c>
      <c r="H516" s="29" t="e" cm="1">
        <f t="array" aca="1" ref="H516" ca="1">IF(AND(VALUE(E516)=INDIRECT("'["&amp;G516&amp;"]"&amp;E516&amp;"'!"&amp;$X$2),G516=INDIRECT("'["&amp;G516&amp;"]"&amp;E516&amp;"'!"&amp;$X$3)),INDIRECT("'["&amp;G516&amp;"]"&amp;E516&amp;"'!"&amp;$X$1),0)</f>
        <v>#VALUE!</v>
      </c>
      <c r="I516" s="25" t="str">
        <f t="shared" si="148"/>
        <v/>
      </c>
      <c r="J516" s="32" t="str">
        <f t="shared" si="149"/>
        <v/>
      </c>
      <c r="K516" s="25" t="str">
        <f t="shared" si="150"/>
        <v/>
      </c>
      <c r="L516" s="25" t="str">
        <f t="shared" si="151"/>
        <v/>
      </c>
      <c r="M516" s="33" t="e" cm="1">
        <f t="array" aca="1" ref="M516" ca="1">IF(AND(J516=INDIRECT("'["&amp;G516&amp;"]"&amp;E516&amp;"'!"&amp;$Y$2),G516=INDIRECT("'["&amp;G516&amp;"]"&amp;E516&amp;"'!"&amp;$AH$2)),INDIRECT("'["&amp;G516&amp;"]"&amp;E516&amp;"'!"&amp;$Y$3),0)</f>
        <v>#VALUE!</v>
      </c>
      <c r="N516" s="34" t="e" cm="1">
        <f t="array" aca="1" ref="N516" ca="1">IF(AND(G516=INDIRECT("'["&amp;G516&amp;"]"&amp;E516&amp;"'!"&amp;$AH$2),OR(K516=INDIRECT("'["&amp;G516&amp;"]"&amp;E516&amp;"'!"&amp;$Z$2))),INDIRECT("'["&amp;G516&amp;"]"&amp;E516&amp;"'!"&amp;$Z$3),0)</f>
        <v>#VALUE!</v>
      </c>
      <c r="O516" s="34" t="e" cm="1">
        <f t="array" aca="1" ref="O516" ca="1">IF(AND(G516=INDIRECT("'["&amp;G516&amp;"]"&amp;E516&amp;"'!"&amp;$AH$2),OR(L516=INDIRECT("'["&amp;G516&amp;"]"&amp;E516&amp;"'!"&amp;$AA$2))),INDIRECT("'["&amp;G516&amp;"]"&amp;E516&amp;"'!"&amp;$AA$3),0)</f>
        <v>#VALUE!</v>
      </c>
      <c r="P516" s="34" t="e" cm="1">
        <f t="array" aca="1" ref="P516" ca="1">IF(AND(G516=INDIRECT("'["&amp;G516&amp;"]"&amp;E516&amp;"'!"&amp;$AH$2),OR(VALUE(I516)=INDIRECT("'["&amp;G516&amp;"]"&amp;E516&amp;"'!"&amp;$AB$2))),INDIRECT("'["&amp;G516&amp;"]"&amp;E516&amp;"'!"&amp;$AB$3),0)</f>
        <v>#VALUE!</v>
      </c>
      <c r="Q516" s="34" t="e" cm="1">
        <f t="array" aca="1" ref="Q516" ca="1">IF(AND(G516=INDIRECT("'["&amp;G516&amp;"]"&amp;E516&amp;"'!"&amp;$AH$2),OR(VALUE(I516)=INDIRECT("'["&amp;G516&amp;"]"&amp;E516&amp;"'!"&amp;$AC$2))),INDIRECT("'["&amp;G516&amp;"]"&amp;E516&amp;"'!"&amp;$AC$3),0)</f>
        <v>#VALUE!</v>
      </c>
      <c r="R516" s="34" t="e" cm="1">
        <f t="array" aca="1" ref="R516" ca="1">IF(AND(G516=INDIRECT("'["&amp;G516&amp;"]"&amp;E516&amp;"'!"&amp;$AH$2),OR(I516=INDIRECT("'["&amp;G516&amp;"]"&amp;E516&amp;"'!"&amp;$AD$2))),INDIRECT("'["&amp;G516&amp;"]"&amp;E516&amp;"'!"&amp;$AD$3),0)</f>
        <v>#VALUE!</v>
      </c>
      <c r="S516" s="34" t="e" cm="1">
        <f t="array" aca="1" ref="S516" ca="1">IF(AND(G516=INDIRECT("'["&amp;G516&amp;"]"&amp;E516&amp;"'!"&amp;$AH$2),OR(I516=INDIRECT("'["&amp;G516&amp;"]"&amp;E516&amp;"'!"&amp;$AE$2))),INDIRECT("'["&amp;G516&amp;"]"&amp;E516&amp;"'!"&amp;$AE$3),0)</f>
        <v>#VALUE!</v>
      </c>
      <c r="T516" s="35" t="e" cm="1">
        <f t="array" aca="1" ref="T516" ca="1">IF(AND(G516=INDIRECT("'["&amp;G516&amp;"]"&amp;E516&amp;"'!"&amp;$AH$2),OR(I516=INDIRECT("'["&amp;G516&amp;"]"&amp;E516&amp;"'!"&amp;$AF$2))),INDIRECT("'["&amp;G516&amp;"]"&amp;E516&amp;"'!"&amp;$AF$3),0)</f>
        <v>#VALUE!</v>
      </c>
      <c r="U516" s="34" t="e" cm="1">
        <f t="array" aca="1" ref="U516" ca="1">IF(AND(G516=INDIRECT("'["&amp;G516&amp;"]"&amp;E516&amp;"'!"&amp;$AH$2),OR(I516=INDIRECT("'["&amp;G516&amp;"]"&amp;E516&amp;"'!"&amp;$AG$2))),INDIRECT("'["&amp;G516&amp;"]"&amp;E516&amp;"'!"&amp;$AG$3),0)</f>
        <v>#VALUE!</v>
      </c>
      <c r="V516" s="25" t="str">
        <f t="shared" si="152"/>
        <v/>
      </c>
      <c r="W516" s="36" t="e" cm="1">
        <f t="array" aca="1" ref="W516" ca="1">IF(AND(G516=INDIRECT("'["&amp;G516&amp;"]"&amp;E516&amp;"'!"&amp;$AH$2),OR(V516=INDIRECT("'["&amp;G516&amp;"]"&amp;E516&amp;"'!"&amp;$AI$2))),INDIRECT("'["&amp;G516&amp;"]"&amp;E516&amp;"'!"&amp;$AI$3),0)</f>
        <v>#VALUE!</v>
      </c>
      <c r="AJ516" s="25">
        <v>1</v>
      </c>
      <c r="AK516" s="38">
        <f t="shared" ca="1" si="153"/>
        <v>0</v>
      </c>
      <c r="AL516" s="38">
        <f t="shared" ca="1" si="154"/>
        <v>0</v>
      </c>
      <c r="AM516" s="54" t="str">
        <f t="shared" ca="1" si="155"/>
        <v/>
      </c>
      <c r="AN516" s="25" t="e">
        <f t="shared" ca="1" si="156"/>
        <v>#VALUE!</v>
      </c>
      <c r="AO516" s="25" t="e">
        <f t="shared" ca="1" si="157"/>
        <v>#VALUE!</v>
      </c>
      <c r="AQ516" s="46" t="str">
        <f ca="1">IF(AND(C516&lt;&gt;0, C517=0), SUM($C$2:C516)-SUM($AQ$1:AQ515), "")</f>
        <v/>
      </c>
      <c r="AR516" s="46" t="str">
        <f ca="1">IF(AND(AK516&lt;&gt;0, AK517=0), SUM($AK$2:AK516)-SUM($AR$1:AR515), "")</f>
        <v/>
      </c>
    </row>
    <row r="517" spans="2:44" ht="13.15" customHeight="1">
      <c r="B517" s="68" t="str">
        <f t="shared" si="143"/>
        <v/>
      </c>
      <c r="C517" s="55" cm="1">
        <f t="array" aca="1" ref="C517" ca="1">SUM(IF(ISNUMBER(M517:U517),M517:U517,""))</f>
        <v>0</v>
      </c>
      <c r="D517" s="25" t="str">
        <f t="shared" si="144"/>
        <v/>
      </c>
      <c r="E517" s="25" t="e">
        <f t="shared" si="145"/>
        <v>#VALUE!</v>
      </c>
      <c r="F517" s="25" t="str">
        <f t="shared" si="146"/>
        <v/>
      </c>
      <c r="G517" s="25" t="str">
        <f t="shared" si="147"/>
        <v>.xlsx</v>
      </c>
      <c r="H517" s="29" t="e" cm="1">
        <f t="array" aca="1" ref="H517" ca="1">IF(AND(VALUE(E517)=INDIRECT("'["&amp;G517&amp;"]"&amp;E517&amp;"'!"&amp;$X$2),G517=INDIRECT("'["&amp;G517&amp;"]"&amp;E517&amp;"'!"&amp;$X$3)),INDIRECT("'["&amp;G517&amp;"]"&amp;E517&amp;"'!"&amp;$X$1),0)</f>
        <v>#VALUE!</v>
      </c>
      <c r="I517" s="25" t="str">
        <f t="shared" si="148"/>
        <v/>
      </c>
      <c r="J517" s="32" t="str">
        <f t="shared" si="149"/>
        <v/>
      </c>
      <c r="K517" s="25" t="str">
        <f t="shared" si="150"/>
        <v/>
      </c>
      <c r="L517" s="25" t="str">
        <f t="shared" si="151"/>
        <v/>
      </c>
      <c r="M517" s="33" t="e" cm="1">
        <f t="array" aca="1" ref="M517" ca="1">IF(AND(J517=INDIRECT("'["&amp;G517&amp;"]"&amp;E517&amp;"'!"&amp;$Y$2),G517=INDIRECT("'["&amp;G517&amp;"]"&amp;E517&amp;"'!"&amp;$AH$2)),INDIRECT("'["&amp;G517&amp;"]"&amp;E517&amp;"'!"&amp;$Y$3),0)</f>
        <v>#VALUE!</v>
      </c>
      <c r="N517" s="34" t="e" cm="1">
        <f t="array" aca="1" ref="N517" ca="1">IF(AND(G517=INDIRECT("'["&amp;G517&amp;"]"&amp;E517&amp;"'!"&amp;$AH$2),OR(K517=INDIRECT("'["&amp;G517&amp;"]"&amp;E517&amp;"'!"&amp;$Z$2))),INDIRECT("'["&amp;G517&amp;"]"&amp;E517&amp;"'!"&amp;$Z$3),0)</f>
        <v>#VALUE!</v>
      </c>
      <c r="O517" s="34" t="e" cm="1">
        <f t="array" aca="1" ref="O517" ca="1">IF(AND(G517=INDIRECT("'["&amp;G517&amp;"]"&amp;E517&amp;"'!"&amp;$AH$2),OR(L517=INDIRECT("'["&amp;G517&amp;"]"&amp;E517&amp;"'!"&amp;$AA$2))),INDIRECT("'["&amp;G517&amp;"]"&amp;E517&amp;"'!"&amp;$AA$3),0)</f>
        <v>#VALUE!</v>
      </c>
      <c r="P517" s="34" t="e" cm="1">
        <f t="array" aca="1" ref="P517" ca="1">IF(AND(G517=INDIRECT("'["&amp;G517&amp;"]"&amp;E517&amp;"'!"&amp;$AH$2),OR(VALUE(I517)=INDIRECT("'["&amp;G517&amp;"]"&amp;E517&amp;"'!"&amp;$AB$2))),INDIRECT("'["&amp;G517&amp;"]"&amp;E517&amp;"'!"&amp;$AB$3),0)</f>
        <v>#VALUE!</v>
      </c>
      <c r="Q517" s="34" t="e" cm="1">
        <f t="array" aca="1" ref="Q517" ca="1">IF(AND(G517=INDIRECT("'["&amp;G517&amp;"]"&amp;E517&amp;"'!"&amp;$AH$2),OR(VALUE(I517)=INDIRECT("'["&amp;G517&amp;"]"&amp;E517&amp;"'!"&amp;$AC$2))),INDIRECT("'["&amp;G517&amp;"]"&amp;E517&amp;"'!"&amp;$AC$3),0)</f>
        <v>#VALUE!</v>
      </c>
      <c r="R517" s="34" t="e" cm="1">
        <f t="array" aca="1" ref="R517" ca="1">IF(AND(G517=INDIRECT("'["&amp;G517&amp;"]"&amp;E517&amp;"'!"&amp;$AH$2),OR(I517=INDIRECT("'["&amp;G517&amp;"]"&amp;E517&amp;"'!"&amp;$AD$2))),INDIRECT("'["&amp;G517&amp;"]"&amp;E517&amp;"'!"&amp;$AD$3),0)</f>
        <v>#VALUE!</v>
      </c>
      <c r="S517" s="34" t="e" cm="1">
        <f t="array" aca="1" ref="S517" ca="1">IF(AND(G517=INDIRECT("'["&amp;G517&amp;"]"&amp;E517&amp;"'!"&amp;$AH$2),OR(I517=INDIRECT("'["&amp;G517&amp;"]"&amp;E517&amp;"'!"&amp;$AE$2))),INDIRECT("'["&amp;G517&amp;"]"&amp;E517&amp;"'!"&amp;$AE$3),0)</f>
        <v>#VALUE!</v>
      </c>
      <c r="T517" s="35" t="e" cm="1">
        <f t="array" aca="1" ref="T517" ca="1">IF(AND(G517=INDIRECT("'["&amp;G517&amp;"]"&amp;E517&amp;"'!"&amp;$AH$2),OR(I517=INDIRECT("'["&amp;G517&amp;"]"&amp;E517&amp;"'!"&amp;$AF$2))),INDIRECT("'["&amp;G517&amp;"]"&amp;E517&amp;"'!"&amp;$AF$3),0)</f>
        <v>#VALUE!</v>
      </c>
      <c r="U517" s="34" t="e" cm="1">
        <f t="array" aca="1" ref="U517" ca="1">IF(AND(G517=INDIRECT("'["&amp;G517&amp;"]"&amp;E517&amp;"'!"&amp;$AH$2),OR(I517=INDIRECT("'["&amp;G517&amp;"]"&amp;E517&amp;"'!"&amp;$AG$2))),INDIRECT("'["&amp;G517&amp;"]"&amp;E517&amp;"'!"&amp;$AG$3),0)</f>
        <v>#VALUE!</v>
      </c>
      <c r="V517" s="25" t="str">
        <f t="shared" si="152"/>
        <v/>
      </c>
      <c r="W517" s="36" t="e" cm="1">
        <f t="array" aca="1" ref="W517" ca="1">IF(AND(G517=INDIRECT("'["&amp;G517&amp;"]"&amp;E517&amp;"'!"&amp;$AH$2),OR(V517=INDIRECT("'["&amp;G517&amp;"]"&amp;E517&amp;"'!"&amp;$AI$2))),INDIRECT("'["&amp;G517&amp;"]"&amp;E517&amp;"'!"&amp;$AI$3),0)</f>
        <v>#VALUE!</v>
      </c>
      <c r="AJ517" s="25">
        <v>1</v>
      </c>
      <c r="AK517" s="38">
        <f t="shared" ca="1" si="153"/>
        <v>0</v>
      </c>
      <c r="AL517" s="38">
        <f t="shared" ca="1" si="154"/>
        <v>0</v>
      </c>
      <c r="AM517" s="54" t="str">
        <f t="shared" ca="1" si="155"/>
        <v/>
      </c>
      <c r="AN517" s="25" t="e">
        <f t="shared" ca="1" si="156"/>
        <v>#VALUE!</v>
      </c>
      <c r="AO517" s="25" t="e">
        <f t="shared" ca="1" si="157"/>
        <v>#VALUE!</v>
      </c>
      <c r="AQ517" s="46" t="str">
        <f ca="1">IF(AND(C517&lt;&gt;0, C518=0), SUM($C$2:C517)-SUM($AQ$1:AQ516), "")</f>
        <v/>
      </c>
      <c r="AR517" s="46" t="str">
        <f ca="1">IF(AND(AK517&lt;&gt;0, AK518=0), SUM($AK$2:AK517)-SUM($AR$1:AR516), "")</f>
        <v/>
      </c>
    </row>
    <row r="518" spans="2:44" ht="13.15" customHeight="1">
      <c r="B518" s="68" t="str">
        <f t="shared" si="143"/>
        <v/>
      </c>
      <c r="C518" s="55" cm="1">
        <f t="array" aca="1" ref="C518" ca="1">SUM(IF(ISNUMBER(M518:U518),M518:U518,""))</f>
        <v>0</v>
      </c>
      <c r="D518" s="25" t="str">
        <f t="shared" si="144"/>
        <v/>
      </c>
      <c r="E518" s="25" t="e">
        <f t="shared" si="145"/>
        <v>#VALUE!</v>
      </c>
      <c r="F518" s="25" t="str">
        <f t="shared" si="146"/>
        <v/>
      </c>
      <c r="G518" s="25" t="str">
        <f t="shared" si="147"/>
        <v>.xlsx</v>
      </c>
      <c r="H518" s="29" t="e" cm="1">
        <f t="array" aca="1" ref="H518" ca="1">IF(AND(VALUE(E518)=INDIRECT("'["&amp;G518&amp;"]"&amp;E518&amp;"'!"&amp;$X$2),G518=INDIRECT("'["&amp;G518&amp;"]"&amp;E518&amp;"'!"&amp;$X$3)),INDIRECT("'["&amp;G518&amp;"]"&amp;E518&amp;"'!"&amp;$X$1),0)</f>
        <v>#VALUE!</v>
      </c>
      <c r="I518" s="25" t="str">
        <f t="shared" si="148"/>
        <v/>
      </c>
      <c r="J518" s="32" t="str">
        <f t="shared" si="149"/>
        <v/>
      </c>
      <c r="K518" s="25" t="str">
        <f t="shared" si="150"/>
        <v/>
      </c>
      <c r="L518" s="25" t="str">
        <f t="shared" si="151"/>
        <v/>
      </c>
      <c r="M518" s="33" t="e" cm="1">
        <f t="array" aca="1" ref="M518" ca="1">IF(AND(J518=INDIRECT("'["&amp;G518&amp;"]"&amp;E518&amp;"'!"&amp;$Y$2),G518=INDIRECT("'["&amp;G518&amp;"]"&amp;E518&amp;"'!"&amp;$AH$2)),INDIRECT("'["&amp;G518&amp;"]"&amp;E518&amp;"'!"&amp;$Y$3),0)</f>
        <v>#VALUE!</v>
      </c>
      <c r="N518" s="34" t="e" cm="1">
        <f t="array" aca="1" ref="N518" ca="1">IF(AND(G518=INDIRECT("'["&amp;G518&amp;"]"&amp;E518&amp;"'!"&amp;$AH$2),OR(K518=INDIRECT("'["&amp;G518&amp;"]"&amp;E518&amp;"'!"&amp;$Z$2))),INDIRECT("'["&amp;G518&amp;"]"&amp;E518&amp;"'!"&amp;$Z$3),0)</f>
        <v>#VALUE!</v>
      </c>
      <c r="O518" s="34" t="e" cm="1">
        <f t="array" aca="1" ref="O518" ca="1">IF(AND(G518=INDIRECT("'["&amp;G518&amp;"]"&amp;E518&amp;"'!"&amp;$AH$2),OR(L518=INDIRECT("'["&amp;G518&amp;"]"&amp;E518&amp;"'!"&amp;$AA$2))),INDIRECT("'["&amp;G518&amp;"]"&amp;E518&amp;"'!"&amp;$AA$3),0)</f>
        <v>#VALUE!</v>
      </c>
      <c r="P518" s="34" t="e" cm="1">
        <f t="array" aca="1" ref="P518" ca="1">IF(AND(G518=INDIRECT("'["&amp;G518&amp;"]"&amp;E518&amp;"'!"&amp;$AH$2),OR(VALUE(I518)=INDIRECT("'["&amp;G518&amp;"]"&amp;E518&amp;"'!"&amp;$AB$2))),INDIRECT("'["&amp;G518&amp;"]"&amp;E518&amp;"'!"&amp;$AB$3),0)</f>
        <v>#VALUE!</v>
      </c>
      <c r="Q518" s="34" t="e" cm="1">
        <f t="array" aca="1" ref="Q518" ca="1">IF(AND(G518=INDIRECT("'["&amp;G518&amp;"]"&amp;E518&amp;"'!"&amp;$AH$2),OR(VALUE(I518)=INDIRECT("'["&amp;G518&amp;"]"&amp;E518&amp;"'!"&amp;$AC$2))),INDIRECT("'["&amp;G518&amp;"]"&amp;E518&amp;"'!"&amp;$AC$3),0)</f>
        <v>#VALUE!</v>
      </c>
      <c r="R518" s="34" t="e" cm="1">
        <f t="array" aca="1" ref="R518" ca="1">IF(AND(G518=INDIRECT("'["&amp;G518&amp;"]"&amp;E518&amp;"'!"&amp;$AH$2),OR(I518=INDIRECT("'["&amp;G518&amp;"]"&amp;E518&amp;"'!"&amp;$AD$2))),INDIRECT("'["&amp;G518&amp;"]"&amp;E518&amp;"'!"&amp;$AD$3),0)</f>
        <v>#VALUE!</v>
      </c>
      <c r="S518" s="34" t="e" cm="1">
        <f t="array" aca="1" ref="S518" ca="1">IF(AND(G518=INDIRECT("'["&amp;G518&amp;"]"&amp;E518&amp;"'!"&amp;$AH$2),OR(I518=INDIRECT("'["&amp;G518&amp;"]"&amp;E518&amp;"'!"&amp;$AE$2))),INDIRECT("'["&amp;G518&amp;"]"&amp;E518&amp;"'!"&amp;$AE$3),0)</f>
        <v>#VALUE!</v>
      </c>
      <c r="T518" s="35" t="e" cm="1">
        <f t="array" aca="1" ref="T518" ca="1">IF(AND(G518=INDIRECT("'["&amp;G518&amp;"]"&amp;E518&amp;"'!"&amp;$AH$2),OR(I518=INDIRECT("'["&amp;G518&amp;"]"&amp;E518&amp;"'!"&amp;$AF$2))),INDIRECT("'["&amp;G518&amp;"]"&amp;E518&amp;"'!"&amp;$AF$3),0)</f>
        <v>#VALUE!</v>
      </c>
      <c r="U518" s="34" t="e" cm="1">
        <f t="array" aca="1" ref="U518" ca="1">IF(AND(G518=INDIRECT("'["&amp;G518&amp;"]"&amp;E518&amp;"'!"&amp;$AH$2),OR(I518=INDIRECT("'["&amp;G518&amp;"]"&amp;E518&amp;"'!"&amp;$AG$2))),INDIRECT("'["&amp;G518&amp;"]"&amp;E518&amp;"'!"&amp;$AG$3),0)</f>
        <v>#VALUE!</v>
      </c>
      <c r="V518" s="25" t="str">
        <f t="shared" si="152"/>
        <v/>
      </c>
      <c r="W518" s="36" t="e" cm="1">
        <f t="array" aca="1" ref="W518" ca="1">IF(AND(G518=INDIRECT("'["&amp;G518&amp;"]"&amp;E518&amp;"'!"&amp;$AH$2),OR(V518=INDIRECT("'["&amp;G518&amp;"]"&amp;E518&amp;"'!"&amp;$AI$2))),INDIRECT("'["&amp;G518&amp;"]"&amp;E518&amp;"'!"&amp;$AI$3),0)</f>
        <v>#VALUE!</v>
      </c>
      <c r="AJ518" s="25">
        <v>1</v>
      </c>
      <c r="AK518" s="38">
        <f t="shared" ca="1" si="153"/>
        <v>0</v>
      </c>
      <c r="AL518" s="38">
        <f t="shared" ca="1" si="154"/>
        <v>0</v>
      </c>
      <c r="AM518" s="54" t="str">
        <f t="shared" ca="1" si="155"/>
        <v/>
      </c>
      <c r="AN518" s="25" t="e">
        <f t="shared" ca="1" si="156"/>
        <v>#VALUE!</v>
      </c>
      <c r="AO518" s="25" t="e">
        <f t="shared" ca="1" si="157"/>
        <v>#VALUE!</v>
      </c>
      <c r="AQ518" s="46" t="str">
        <f ca="1">IF(AND(C518&lt;&gt;0, C519=0), SUM($C$2:C518)-SUM($AQ$1:AQ517), "")</f>
        <v/>
      </c>
      <c r="AR518" s="46" t="str">
        <f ca="1">IF(AND(AK518&lt;&gt;0, AK519=0), SUM($AK$2:AK518)-SUM($AR$1:AR517), "")</f>
        <v/>
      </c>
    </row>
    <row r="519" spans="2:44" ht="13.15" customHeight="1">
      <c r="B519" s="68" t="str">
        <f t="shared" si="143"/>
        <v/>
      </c>
      <c r="C519" s="55" cm="1">
        <f t="array" aca="1" ref="C519" ca="1">SUM(IF(ISNUMBER(M519:U519),M519:U519,""))</f>
        <v>0</v>
      </c>
      <c r="D519" s="25" t="str">
        <f t="shared" si="144"/>
        <v/>
      </c>
      <c r="E519" s="25" t="e">
        <f t="shared" si="145"/>
        <v>#VALUE!</v>
      </c>
      <c r="F519" s="25" t="str">
        <f t="shared" si="146"/>
        <v/>
      </c>
      <c r="G519" s="25" t="str">
        <f t="shared" si="147"/>
        <v>.xlsx</v>
      </c>
      <c r="H519" s="29" t="e" cm="1">
        <f t="array" aca="1" ref="H519" ca="1">IF(AND(VALUE(E519)=INDIRECT("'["&amp;G519&amp;"]"&amp;E519&amp;"'!"&amp;$X$2),G519=INDIRECT("'["&amp;G519&amp;"]"&amp;E519&amp;"'!"&amp;$X$3)),INDIRECT("'["&amp;G519&amp;"]"&amp;E519&amp;"'!"&amp;$X$1),0)</f>
        <v>#VALUE!</v>
      </c>
      <c r="I519" s="25" t="str">
        <f t="shared" si="148"/>
        <v/>
      </c>
      <c r="J519" s="32" t="str">
        <f t="shared" si="149"/>
        <v/>
      </c>
      <c r="K519" s="25" t="str">
        <f t="shared" si="150"/>
        <v/>
      </c>
      <c r="L519" s="25" t="str">
        <f t="shared" si="151"/>
        <v/>
      </c>
      <c r="M519" s="33" t="e" cm="1">
        <f t="array" aca="1" ref="M519" ca="1">IF(AND(J519=INDIRECT("'["&amp;G519&amp;"]"&amp;E519&amp;"'!"&amp;$Y$2),G519=INDIRECT("'["&amp;G519&amp;"]"&amp;E519&amp;"'!"&amp;$AH$2)),INDIRECT("'["&amp;G519&amp;"]"&amp;E519&amp;"'!"&amp;$Y$3),0)</f>
        <v>#VALUE!</v>
      </c>
      <c r="N519" s="34" t="e" cm="1">
        <f t="array" aca="1" ref="N519" ca="1">IF(AND(G519=INDIRECT("'["&amp;G519&amp;"]"&amp;E519&amp;"'!"&amp;$AH$2),OR(K519=INDIRECT("'["&amp;G519&amp;"]"&amp;E519&amp;"'!"&amp;$Z$2))),INDIRECT("'["&amp;G519&amp;"]"&amp;E519&amp;"'!"&amp;$Z$3),0)</f>
        <v>#VALUE!</v>
      </c>
      <c r="O519" s="34" t="e" cm="1">
        <f t="array" aca="1" ref="O519" ca="1">IF(AND(G519=INDIRECT("'["&amp;G519&amp;"]"&amp;E519&amp;"'!"&amp;$AH$2),OR(L519=INDIRECT("'["&amp;G519&amp;"]"&amp;E519&amp;"'!"&amp;$AA$2))),INDIRECT("'["&amp;G519&amp;"]"&amp;E519&amp;"'!"&amp;$AA$3),0)</f>
        <v>#VALUE!</v>
      </c>
      <c r="P519" s="34" t="e" cm="1">
        <f t="array" aca="1" ref="P519" ca="1">IF(AND(G519=INDIRECT("'["&amp;G519&amp;"]"&amp;E519&amp;"'!"&amp;$AH$2),OR(VALUE(I519)=INDIRECT("'["&amp;G519&amp;"]"&amp;E519&amp;"'!"&amp;$AB$2))),INDIRECT("'["&amp;G519&amp;"]"&amp;E519&amp;"'!"&amp;$AB$3),0)</f>
        <v>#VALUE!</v>
      </c>
      <c r="Q519" s="34" t="e" cm="1">
        <f t="array" aca="1" ref="Q519" ca="1">IF(AND(G519=INDIRECT("'["&amp;G519&amp;"]"&amp;E519&amp;"'!"&amp;$AH$2),OR(VALUE(I519)=INDIRECT("'["&amp;G519&amp;"]"&amp;E519&amp;"'!"&amp;$AC$2))),INDIRECT("'["&amp;G519&amp;"]"&amp;E519&amp;"'!"&amp;$AC$3),0)</f>
        <v>#VALUE!</v>
      </c>
      <c r="R519" s="34" t="e" cm="1">
        <f t="array" aca="1" ref="R519" ca="1">IF(AND(G519=INDIRECT("'["&amp;G519&amp;"]"&amp;E519&amp;"'!"&amp;$AH$2),OR(I519=INDIRECT("'["&amp;G519&amp;"]"&amp;E519&amp;"'!"&amp;$AD$2))),INDIRECT("'["&amp;G519&amp;"]"&amp;E519&amp;"'!"&amp;$AD$3),0)</f>
        <v>#VALUE!</v>
      </c>
      <c r="S519" s="34" t="e" cm="1">
        <f t="array" aca="1" ref="S519" ca="1">IF(AND(G519=INDIRECT("'["&amp;G519&amp;"]"&amp;E519&amp;"'!"&amp;$AH$2),OR(I519=INDIRECT("'["&amp;G519&amp;"]"&amp;E519&amp;"'!"&amp;$AE$2))),INDIRECT("'["&amp;G519&amp;"]"&amp;E519&amp;"'!"&amp;$AE$3),0)</f>
        <v>#VALUE!</v>
      </c>
      <c r="T519" s="35" t="e" cm="1">
        <f t="array" aca="1" ref="T519" ca="1">IF(AND(G519=INDIRECT("'["&amp;G519&amp;"]"&amp;E519&amp;"'!"&amp;$AH$2),OR(I519=INDIRECT("'["&amp;G519&amp;"]"&amp;E519&amp;"'!"&amp;$AF$2))),INDIRECT("'["&amp;G519&amp;"]"&amp;E519&amp;"'!"&amp;$AF$3),0)</f>
        <v>#VALUE!</v>
      </c>
      <c r="U519" s="34" t="e" cm="1">
        <f t="array" aca="1" ref="U519" ca="1">IF(AND(G519=INDIRECT("'["&amp;G519&amp;"]"&amp;E519&amp;"'!"&amp;$AH$2),OR(I519=INDIRECT("'["&amp;G519&amp;"]"&amp;E519&amp;"'!"&amp;$AG$2))),INDIRECT("'["&amp;G519&amp;"]"&amp;E519&amp;"'!"&amp;$AG$3),0)</f>
        <v>#VALUE!</v>
      </c>
      <c r="V519" s="25" t="str">
        <f t="shared" si="152"/>
        <v/>
      </c>
      <c r="W519" s="36" t="e" cm="1">
        <f t="array" aca="1" ref="W519" ca="1">IF(AND(G519=INDIRECT("'["&amp;G519&amp;"]"&amp;E519&amp;"'!"&amp;$AH$2),OR(V519=INDIRECT("'["&amp;G519&amp;"]"&amp;E519&amp;"'!"&amp;$AI$2))),INDIRECT("'["&amp;G519&amp;"]"&amp;E519&amp;"'!"&amp;$AI$3),0)</f>
        <v>#VALUE!</v>
      </c>
      <c r="AJ519" s="25">
        <v>1</v>
      </c>
      <c r="AK519" s="38">
        <f t="shared" ca="1" si="153"/>
        <v>0</v>
      </c>
      <c r="AL519" s="38">
        <f t="shared" ca="1" si="154"/>
        <v>0</v>
      </c>
      <c r="AM519" s="54" t="str">
        <f t="shared" ca="1" si="155"/>
        <v/>
      </c>
      <c r="AN519" s="25" t="e">
        <f t="shared" ca="1" si="156"/>
        <v>#VALUE!</v>
      </c>
      <c r="AO519" s="25" t="e">
        <f t="shared" ca="1" si="157"/>
        <v>#VALUE!</v>
      </c>
      <c r="AQ519" s="46" t="str">
        <f ca="1">IF(AND(C519&lt;&gt;0, C520=0), SUM($C$2:C519)-SUM($AQ$1:AQ518), "")</f>
        <v/>
      </c>
      <c r="AR519" s="46" t="str">
        <f ca="1">IF(AND(AK519&lt;&gt;0, AK520=0), SUM($AK$2:AK519)-SUM($AR$1:AR518), "")</f>
        <v/>
      </c>
    </row>
    <row r="520" spans="2:44" ht="13.15" customHeight="1">
      <c r="B520" s="68" t="str">
        <f t="shared" si="143"/>
        <v/>
      </c>
      <c r="C520" s="55" cm="1">
        <f t="array" aca="1" ref="C520" ca="1">SUM(IF(ISNUMBER(M520:U520),M520:U520,""))</f>
        <v>0</v>
      </c>
      <c r="D520" s="25" t="str">
        <f t="shared" si="144"/>
        <v/>
      </c>
      <c r="E520" s="25" t="e">
        <f t="shared" si="145"/>
        <v>#VALUE!</v>
      </c>
      <c r="F520" s="25" t="str">
        <f t="shared" si="146"/>
        <v/>
      </c>
      <c r="G520" s="25" t="str">
        <f t="shared" si="147"/>
        <v>.xlsx</v>
      </c>
      <c r="H520" s="29" t="e" cm="1">
        <f t="array" aca="1" ref="H520" ca="1">IF(AND(VALUE(E520)=INDIRECT("'["&amp;G520&amp;"]"&amp;E520&amp;"'!"&amp;$X$2),G520=INDIRECT("'["&amp;G520&amp;"]"&amp;E520&amp;"'!"&amp;$X$3)),INDIRECT("'["&amp;G520&amp;"]"&amp;E520&amp;"'!"&amp;$X$1),0)</f>
        <v>#VALUE!</v>
      </c>
      <c r="I520" s="25" t="str">
        <f t="shared" si="148"/>
        <v/>
      </c>
      <c r="J520" s="32" t="str">
        <f t="shared" si="149"/>
        <v/>
      </c>
      <c r="K520" s="25" t="str">
        <f t="shared" si="150"/>
        <v/>
      </c>
      <c r="L520" s="25" t="str">
        <f t="shared" si="151"/>
        <v/>
      </c>
      <c r="M520" s="33" t="e" cm="1">
        <f t="array" aca="1" ref="M520" ca="1">IF(AND(J520=INDIRECT("'["&amp;G520&amp;"]"&amp;E520&amp;"'!"&amp;$Y$2),G520=INDIRECT("'["&amp;G520&amp;"]"&amp;E520&amp;"'!"&amp;$AH$2)),INDIRECT("'["&amp;G520&amp;"]"&amp;E520&amp;"'!"&amp;$Y$3),0)</f>
        <v>#VALUE!</v>
      </c>
      <c r="N520" s="34" t="e" cm="1">
        <f t="array" aca="1" ref="N520" ca="1">IF(AND(G520=INDIRECT("'["&amp;G520&amp;"]"&amp;E520&amp;"'!"&amp;$AH$2),OR(K520=INDIRECT("'["&amp;G520&amp;"]"&amp;E520&amp;"'!"&amp;$Z$2))),INDIRECT("'["&amp;G520&amp;"]"&amp;E520&amp;"'!"&amp;$Z$3),0)</f>
        <v>#VALUE!</v>
      </c>
      <c r="O520" s="34" t="e" cm="1">
        <f t="array" aca="1" ref="O520" ca="1">IF(AND(G520=INDIRECT("'["&amp;G520&amp;"]"&amp;E520&amp;"'!"&amp;$AH$2),OR(L520=INDIRECT("'["&amp;G520&amp;"]"&amp;E520&amp;"'!"&amp;$AA$2))),INDIRECT("'["&amp;G520&amp;"]"&amp;E520&amp;"'!"&amp;$AA$3),0)</f>
        <v>#VALUE!</v>
      </c>
      <c r="P520" s="34" t="e" cm="1">
        <f t="array" aca="1" ref="P520" ca="1">IF(AND(G520=INDIRECT("'["&amp;G520&amp;"]"&amp;E520&amp;"'!"&amp;$AH$2),OR(VALUE(I520)=INDIRECT("'["&amp;G520&amp;"]"&amp;E520&amp;"'!"&amp;$AB$2))),INDIRECT("'["&amp;G520&amp;"]"&amp;E520&amp;"'!"&amp;$AB$3),0)</f>
        <v>#VALUE!</v>
      </c>
      <c r="Q520" s="34" t="e" cm="1">
        <f t="array" aca="1" ref="Q520" ca="1">IF(AND(G520=INDIRECT("'["&amp;G520&amp;"]"&amp;E520&amp;"'!"&amp;$AH$2),OR(VALUE(I520)=INDIRECT("'["&amp;G520&amp;"]"&amp;E520&amp;"'!"&amp;$AC$2))),INDIRECT("'["&amp;G520&amp;"]"&amp;E520&amp;"'!"&amp;$AC$3),0)</f>
        <v>#VALUE!</v>
      </c>
      <c r="R520" s="34" t="e" cm="1">
        <f t="array" aca="1" ref="R520" ca="1">IF(AND(G520=INDIRECT("'["&amp;G520&amp;"]"&amp;E520&amp;"'!"&amp;$AH$2),OR(I520=INDIRECT("'["&amp;G520&amp;"]"&amp;E520&amp;"'!"&amp;$AD$2))),INDIRECT("'["&amp;G520&amp;"]"&amp;E520&amp;"'!"&amp;$AD$3),0)</f>
        <v>#VALUE!</v>
      </c>
      <c r="S520" s="34" t="e" cm="1">
        <f t="array" aca="1" ref="S520" ca="1">IF(AND(G520=INDIRECT("'["&amp;G520&amp;"]"&amp;E520&amp;"'!"&amp;$AH$2),OR(I520=INDIRECT("'["&amp;G520&amp;"]"&amp;E520&amp;"'!"&amp;$AE$2))),INDIRECT("'["&amp;G520&amp;"]"&amp;E520&amp;"'!"&amp;$AE$3),0)</f>
        <v>#VALUE!</v>
      </c>
      <c r="T520" s="35" t="e" cm="1">
        <f t="array" aca="1" ref="T520" ca="1">IF(AND(G520=INDIRECT("'["&amp;G520&amp;"]"&amp;E520&amp;"'!"&amp;$AH$2),OR(I520=INDIRECT("'["&amp;G520&amp;"]"&amp;E520&amp;"'!"&amp;$AF$2))),INDIRECT("'["&amp;G520&amp;"]"&amp;E520&amp;"'!"&amp;$AF$3),0)</f>
        <v>#VALUE!</v>
      </c>
      <c r="U520" s="34" t="e" cm="1">
        <f t="array" aca="1" ref="U520" ca="1">IF(AND(G520=INDIRECT("'["&amp;G520&amp;"]"&amp;E520&amp;"'!"&amp;$AH$2),OR(I520=INDIRECT("'["&amp;G520&amp;"]"&amp;E520&amp;"'!"&amp;$AG$2))),INDIRECT("'["&amp;G520&amp;"]"&amp;E520&amp;"'!"&amp;$AG$3),0)</f>
        <v>#VALUE!</v>
      </c>
      <c r="V520" s="25" t="str">
        <f t="shared" si="152"/>
        <v/>
      </c>
      <c r="W520" s="36" t="e" cm="1">
        <f t="array" aca="1" ref="W520" ca="1">IF(AND(G520=INDIRECT("'["&amp;G520&amp;"]"&amp;E520&amp;"'!"&amp;$AH$2),OR(V520=INDIRECT("'["&amp;G520&amp;"]"&amp;E520&amp;"'!"&amp;$AI$2))),INDIRECT("'["&amp;G520&amp;"]"&amp;E520&amp;"'!"&amp;$AI$3),0)</f>
        <v>#VALUE!</v>
      </c>
      <c r="AJ520" s="25">
        <v>1</v>
      </c>
      <c r="AK520" s="38">
        <f t="shared" ca="1" si="153"/>
        <v>0</v>
      </c>
      <c r="AL520" s="38">
        <f t="shared" ca="1" si="154"/>
        <v>0</v>
      </c>
      <c r="AM520" s="54" t="str">
        <f t="shared" ca="1" si="155"/>
        <v/>
      </c>
      <c r="AN520" s="25" t="e">
        <f t="shared" ca="1" si="156"/>
        <v>#VALUE!</v>
      </c>
      <c r="AO520" s="25" t="e">
        <f t="shared" ca="1" si="157"/>
        <v>#VALUE!</v>
      </c>
      <c r="AQ520" s="46" t="str">
        <f ca="1">IF(AND(C520&lt;&gt;0, C521=0), SUM($C$2:C520)-SUM($AQ$1:AQ519), "")</f>
        <v/>
      </c>
      <c r="AR520" s="46" t="str">
        <f ca="1">IF(AND(AK520&lt;&gt;0, AK521=0), SUM($AK$2:AK520)-SUM($AR$1:AR519), "")</f>
        <v/>
      </c>
    </row>
    <row r="521" spans="2:44" ht="13.15" customHeight="1">
      <c r="B521" s="68" t="str">
        <f t="shared" si="143"/>
        <v/>
      </c>
      <c r="C521" s="55" cm="1">
        <f t="array" aca="1" ref="C521" ca="1">SUM(IF(ISNUMBER(M521:U521),M521:U521,""))</f>
        <v>0</v>
      </c>
      <c r="D521" s="25" t="str">
        <f t="shared" si="144"/>
        <v/>
      </c>
      <c r="E521" s="25" t="e">
        <f t="shared" si="145"/>
        <v>#VALUE!</v>
      </c>
      <c r="F521" s="25" t="str">
        <f t="shared" si="146"/>
        <v/>
      </c>
      <c r="G521" s="25" t="str">
        <f t="shared" si="147"/>
        <v>.xlsx</v>
      </c>
      <c r="H521" s="29" t="e" cm="1">
        <f t="array" aca="1" ref="H521" ca="1">IF(AND(VALUE(E521)=INDIRECT("'["&amp;G521&amp;"]"&amp;E521&amp;"'!"&amp;$X$2),G521=INDIRECT("'["&amp;G521&amp;"]"&amp;E521&amp;"'!"&amp;$X$3)),INDIRECT("'["&amp;G521&amp;"]"&amp;E521&amp;"'!"&amp;$X$1),0)</f>
        <v>#VALUE!</v>
      </c>
      <c r="I521" s="25" t="str">
        <f t="shared" si="148"/>
        <v/>
      </c>
      <c r="J521" s="32" t="str">
        <f t="shared" si="149"/>
        <v/>
      </c>
      <c r="K521" s="25" t="str">
        <f t="shared" si="150"/>
        <v/>
      </c>
      <c r="L521" s="25" t="str">
        <f t="shared" si="151"/>
        <v/>
      </c>
      <c r="M521" s="33" t="e" cm="1">
        <f t="array" aca="1" ref="M521" ca="1">IF(AND(J521=INDIRECT("'["&amp;G521&amp;"]"&amp;E521&amp;"'!"&amp;$Y$2),G521=INDIRECT("'["&amp;G521&amp;"]"&amp;E521&amp;"'!"&amp;$AH$2)),INDIRECT("'["&amp;G521&amp;"]"&amp;E521&amp;"'!"&amp;$Y$3),0)</f>
        <v>#VALUE!</v>
      </c>
      <c r="N521" s="34" t="e" cm="1">
        <f t="array" aca="1" ref="N521" ca="1">IF(AND(G521=INDIRECT("'["&amp;G521&amp;"]"&amp;E521&amp;"'!"&amp;$AH$2),OR(K521=INDIRECT("'["&amp;G521&amp;"]"&amp;E521&amp;"'!"&amp;$Z$2))),INDIRECT("'["&amp;G521&amp;"]"&amp;E521&amp;"'!"&amp;$Z$3),0)</f>
        <v>#VALUE!</v>
      </c>
      <c r="O521" s="34" t="e" cm="1">
        <f t="array" aca="1" ref="O521" ca="1">IF(AND(G521=INDIRECT("'["&amp;G521&amp;"]"&amp;E521&amp;"'!"&amp;$AH$2),OR(L521=INDIRECT("'["&amp;G521&amp;"]"&amp;E521&amp;"'!"&amp;$AA$2))),INDIRECT("'["&amp;G521&amp;"]"&amp;E521&amp;"'!"&amp;$AA$3),0)</f>
        <v>#VALUE!</v>
      </c>
      <c r="P521" s="34" t="e" cm="1">
        <f t="array" aca="1" ref="P521" ca="1">IF(AND(G521=INDIRECT("'["&amp;G521&amp;"]"&amp;E521&amp;"'!"&amp;$AH$2),OR(VALUE(I521)=INDIRECT("'["&amp;G521&amp;"]"&amp;E521&amp;"'!"&amp;$AB$2))),INDIRECT("'["&amp;G521&amp;"]"&amp;E521&amp;"'!"&amp;$AB$3),0)</f>
        <v>#VALUE!</v>
      </c>
      <c r="Q521" s="34" t="e" cm="1">
        <f t="array" aca="1" ref="Q521" ca="1">IF(AND(G521=INDIRECT("'["&amp;G521&amp;"]"&amp;E521&amp;"'!"&amp;$AH$2),OR(VALUE(I521)=INDIRECT("'["&amp;G521&amp;"]"&amp;E521&amp;"'!"&amp;$AC$2))),INDIRECT("'["&amp;G521&amp;"]"&amp;E521&amp;"'!"&amp;$AC$3),0)</f>
        <v>#VALUE!</v>
      </c>
      <c r="R521" s="34" t="e" cm="1">
        <f t="array" aca="1" ref="R521" ca="1">IF(AND(G521=INDIRECT("'["&amp;G521&amp;"]"&amp;E521&amp;"'!"&amp;$AH$2),OR(I521=INDIRECT("'["&amp;G521&amp;"]"&amp;E521&amp;"'!"&amp;$AD$2))),INDIRECT("'["&amp;G521&amp;"]"&amp;E521&amp;"'!"&amp;$AD$3),0)</f>
        <v>#VALUE!</v>
      </c>
      <c r="S521" s="34" t="e" cm="1">
        <f t="array" aca="1" ref="S521" ca="1">IF(AND(G521=INDIRECT("'["&amp;G521&amp;"]"&amp;E521&amp;"'!"&amp;$AH$2),OR(I521=INDIRECT("'["&amp;G521&amp;"]"&amp;E521&amp;"'!"&amp;$AE$2))),INDIRECT("'["&amp;G521&amp;"]"&amp;E521&amp;"'!"&amp;$AE$3),0)</f>
        <v>#VALUE!</v>
      </c>
      <c r="T521" s="35" t="e" cm="1">
        <f t="array" aca="1" ref="T521" ca="1">IF(AND(G521=INDIRECT("'["&amp;G521&amp;"]"&amp;E521&amp;"'!"&amp;$AH$2),OR(I521=INDIRECT("'["&amp;G521&amp;"]"&amp;E521&amp;"'!"&amp;$AF$2))),INDIRECT("'["&amp;G521&amp;"]"&amp;E521&amp;"'!"&amp;$AF$3),0)</f>
        <v>#VALUE!</v>
      </c>
      <c r="U521" s="34" t="e" cm="1">
        <f t="array" aca="1" ref="U521" ca="1">IF(AND(G521=INDIRECT("'["&amp;G521&amp;"]"&amp;E521&amp;"'!"&amp;$AH$2),OR(I521=INDIRECT("'["&amp;G521&amp;"]"&amp;E521&amp;"'!"&amp;$AG$2))),INDIRECT("'["&amp;G521&amp;"]"&amp;E521&amp;"'!"&amp;$AG$3),0)</f>
        <v>#VALUE!</v>
      </c>
      <c r="V521" s="25" t="str">
        <f t="shared" si="152"/>
        <v/>
      </c>
      <c r="W521" s="36" t="e" cm="1">
        <f t="array" aca="1" ref="W521" ca="1">IF(AND(G521=INDIRECT("'["&amp;G521&amp;"]"&amp;E521&amp;"'!"&amp;$AH$2),OR(V521=INDIRECT("'["&amp;G521&amp;"]"&amp;E521&amp;"'!"&amp;$AI$2))),INDIRECT("'["&amp;G521&amp;"]"&amp;E521&amp;"'!"&amp;$AI$3),0)</f>
        <v>#VALUE!</v>
      </c>
      <c r="AJ521" s="25">
        <v>1</v>
      </c>
      <c r="AK521" s="38">
        <f t="shared" ca="1" si="153"/>
        <v>0</v>
      </c>
      <c r="AL521" s="38">
        <f t="shared" ca="1" si="154"/>
        <v>0</v>
      </c>
      <c r="AM521" s="54" t="str">
        <f t="shared" ca="1" si="155"/>
        <v/>
      </c>
      <c r="AN521" s="25" t="e">
        <f t="shared" ca="1" si="156"/>
        <v>#VALUE!</v>
      </c>
      <c r="AO521" s="25" t="e">
        <f t="shared" ca="1" si="157"/>
        <v>#VALUE!</v>
      </c>
      <c r="AQ521" s="46" t="str">
        <f ca="1">IF(AND(C521&lt;&gt;0, C522=0), SUM($C$2:C521)-SUM($AQ$1:AQ520), "")</f>
        <v/>
      </c>
      <c r="AR521" s="46" t="str">
        <f ca="1">IF(AND(AK521&lt;&gt;0, AK522=0), SUM($AK$2:AK521)-SUM($AR$1:AR520), "")</f>
        <v/>
      </c>
    </row>
    <row r="522" spans="2:44" ht="13.15" customHeight="1">
      <c r="B522" s="68" t="str">
        <f t="shared" si="143"/>
        <v/>
      </c>
      <c r="C522" s="55" cm="1">
        <f t="array" aca="1" ref="C522" ca="1">SUM(IF(ISNUMBER(M522:U522),M522:U522,""))</f>
        <v>0</v>
      </c>
      <c r="D522" s="25" t="str">
        <f t="shared" si="144"/>
        <v/>
      </c>
      <c r="E522" s="25" t="e">
        <f t="shared" si="145"/>
        <v>#VALUE!</v>
      </c>
      <c r="F522" s="25" t="str">
        <f t="shared" si="146"/>
        <v/>
      </c>
      <c r="G522" s="25" t="str">
        <f t="shared" si="147"/>
        <v>.xlsx</v>
      </c>
      <c r="H522" s="29" t="e" cm="1">
        <f t="array" aca="1" ref="H522" ca="1">IF(AND(VALUE(E522)=INDIRECT("'["&amp;G522&amp;"]"&amp;E522&amp;"'!"&amp;$X$2),G522=INDIRECT("'["&amp;G522&amp;"]"&amp;E522&amp;"'!"&amp;$X$3)),INDIRECT("'["&amp;G522&amp;"]"&amp;E522&amp;"'!"&amp;$X$1),0)</f>
        <v>#VALUE!</v>
      </c>
      <c r="I522" s="25" t="str">
        <f t="shared" si="148"/>
        <v/>
      </c>
      <c r="J522" s="32" t="str">
        <f t="shared" si="149"/>
        <v/>
      </c>
      <c r="K522" s="25" t="str">
        <f t="shared" si="150"/>
        <v/>
      </c>
      <c r="L522" s="25" t="str">
        <f t="shared" si="151"/>
        <v/>
      </c>
      <c r="M522" s="33" t="e" cm="1">
        <f t="array" aca="1" ref="M522" ca="1">IF(AND(J522=INDIRECT("'["&amp;G522&amp;"]"&amp;E522&amp;"'!"&amp;$Y$2),G522=INDIRECT("'["&amp;G522&amp;"]"&amp;E522&amp;"'!"&amp;$AH$2)),INDIRECT("'["&amp;G522&amp;"]"&amp;E522&amp;"'!"&amp;$Y$3),0)</f>
        <v>#VALUE!</v>
      </c>
      <c r="N522" s="34" t="e" cm="1">
        <f t="array" aca="1" ref="N522" ca="1">IF(AND(G522=INDIRECT("'["&amp;G522&amp;"]"&amp;E522&amp;"'!"&amp;$AH$2),OR(K522=INDIRECT("'["&amp;G522&amp;"]"&amp;E522&amp;"'!"&amp;$Z$2))),INDIRECT("'["&amp;G522&amp;"]"&amp;E522&amp;"'!"&amp;$Z$3),0)</f>
        <v>#VALUE!</v>
      </c>
      <c r="O522" s="34" t="e" cm="1">
        <f t="array" aca="1" ref="O522" ca="1">IF(AND(G522=INDIRECT("'["&amp;G522&amp;"]"&amp;E522&amp;"'!"&amp;$AH$2),OR(L522=INDIRECT("'["&amp;G522&amp;"]"&amp;E522&amp;"'!"&amp;$AA$2))),INDIRECT("'["&amp;G522&amp;"]"&amp;E522&amp;"'!"&amp;$AA$3),0)</f>
        <v>#VALUE!</v>
      </c>
      <c r="P522" s="34" t="e" cm="1">
        <f t="array" aca="1" ref="P522" ca="1">IF(AND(G522=INDIRECT("'["&amp;G522&amp;"]"&amp;E522&amp;"'!"&amp;$AH$2),OR(VALUE(I522)=INDIRECT("'["&amp;G522&amp;"]"&amp;E522&amp;"'!"&amp;$AB$2))),INDIRECT("'["&amp;G522&amp;"]"&amp;E522&amp;"'!"&amp;$AB$3),0)</f>
        <v>#VALUE!</v>
      </c>
      <c r="Q522" s="34" t="e" cm="1">
        <f t="array" aca="1" ref="Q522" ca="1">IF(AND(G522=INDIRECT("'["&amp;G522&amp;"]"&amp;E522&amp;"'!"&amp;$AH$2),OR(VALUE(I522)=INDIRECT("'["&amp;G522&amp;"]"&amp;E522&amp;"'!"&amp;$AC$2))),INDIRECT("'["&amp;G522&amp;"]"&amp;E522&amp;"'!"&amp;$AC$3),0)</f>
        <v>#VALUE!</v>
      </c>
      <c r="R522" s="34" t="e" cm="1">
        <f t="array" aca="1" ref="R522" ca="1">IF(AND(G522=INDIRECT("'["&amp;G522&amp;"]"&amp;E522&amp;"'!"&amp;$AH$2),OR(I522=INDIRECT("'["&amp;G522&amp;"]"&amp;E522&amp;"'!"&amp;$AD$2))),INDIRECT("'["&amp;G522&amp;"]"&amp;E522&amp;"'!"&amp;$AD$3),0)</f>
        <v>#VALUE!</v>
      </c>
      <c r="S522" s="34" t="e" cm="1">
        <f t="array" aca="1" ref="S522" ca="1">IF(AND(G522=INDIRECT("'["&amp;G522&amp;"]"&amp;E522&amp;"'!"&amp;$AH$2),OR(I522=INDIRECT("'["&amp;G522&amp;"]"&amp;E522&amp;"'!"&amp;$AE$2))),INDIRECT("'["&amp;G522&amp;"]"&amp;E522&amp;"'!"&amp;$AE$3),0)</f>
        <v>#VALUE!</v>
      </c>
      <c r="T522" s="35" t="e" cm="1">
        <f t="array" aca="1" ref="T522" ca="1">IF(AND(G522=INDIRECT("'["&amp;G522&amp;"]"&amp;E522&amp;"'!"&amp;$AH$2),OR(I522=INDIRECT("'["&amp;G522&amp;"]"&amp;E522&amp;"'!"&amp;$AF$2))),INDIRECT("'["&amp;G522&amp;"]"&amp;E522&amp;"'!"&amp;$AF$3),0)</f>
        <v>#VALUE!</v>
      </c>
      <c r="U522" s="34" t="e" cm="1">
        <f t="array" aca="1" ref="U522" ca="1">IF(AND(G522=INDIRECT("'["&amp;G522&amp;"]"&amp;E522&amp;"'!"&amp;$AH$2),OR(I522=INDIRECT("'["&amp;G522&amp;"]"&amp;E522&amp;"'!"&amp;$AG$2))),INDIRECT("'["&amp;G522&amp;"]"&amp;E522&amp;"'!"&amp;$AG$3),0)</f>
        <v>#VALUE!</v>
      </c>
      <c r="V522" s="25" t="str">
        <f t="shared" si="152"/>
        <v/>
      </c>
      <c r="W522" s="36" t="e" cm="1">
        <f t="array" aca="1" ref="W522" ca="1">IF(AND(G522=INDIRECT("'["&amp;G522&amp;"]"&amp;E522&amp;"'!"&amp;$AH$2),OR(V522=INDIRECT("'["&amp;G522&amp;"]"&amp;E522&amp;"'!"&amp;$AI$2))),INDIRECT("'["&amp;G522&amp;"]"&amp;E522&amp;"'!"&amp;$AI$3),0)</f>
        <v>#VALUE!</v>
      </c>
      <c r="AJ522" s="25">
        <v>1</v>
      </c>
      <c r="AK522" s="38">
        <f t="shared" ca="1" si="153"/>
        <v>0</v>
      </c>
      <c r="AL522" s="38">
        <f t="shared" ca="1" si="154"/>
        <v>0</v>
      </c>
      <c r="AM522" s="54" t="str">
        <f t="shared" ca="1" si="155"/>
        <v/>
      </c>
      <c r="AN522" s="25" t="e">
        <f t="shared" ca="1" si="156"/>
        <v>#VALUE!</v>
      </c>
      <c r="AO522" s="25" t="e">
        <f t="shared" ca="1" si="157"/>
        <v>#VALUE!</v>
      </c>
      <c r="AQ522" s="46" t="str">
        <f ca="1">IF(AND(C522&lt;&gt;0, C523=0), SUM($C$2:C522)-SUM($AQ$1:AQ521), "")</f>
        <v/>
      </c>
      <c r="AR522" s="46" t="str">
        <f ca="1">IF(AND(AK522&lt;&gt;0, AK523=0), SUM($AK$2:AK522)-SUM($AR$1:AR521), "")</f>
        <v/>
      </c>
    </row>
    <row r="523" spans="2:44" ht="13.15" customHeight="1">
      <c r="B523" s="68" t="str">
        <f t="shared" si="143"/>
        <v/>
      </c>
      <c r="C523" s="55" cm="1">
        <f t="array" aca="1" ref="C523" ca="1">SUM(IF(ISNUMBER(M523:U523),M523:U523,""))</f>
        <v>0</v>
      </c>
      <c r="D523" s="25" t="str">
        <f t="shared" si="144"/>
        <v/>
      </c>
      <c r="E523" s="25" t="e">
        <f t="shared" si="145"/>
        <v>#VALUE!</v>
      </c>
      <c r="F523" s="25" t="str">
        <f t="shared" si="146"/>
        <v/>
      </c>
      <c r="G523" s="25" t="str">
        <f t="shared" si="147"/>
        <v>.xlsx</v>
      </c>
      <c r="H523" s="29" t="e" cm="1">
        <f t="array" aca="1" ref="H523" ca="1">IF(AND(VALUE(E523)=INDIRECT("'["&amp;G523&amp;"]"&amp;E523&amp;"'!"&amp;$X$2),G523=INDIRECT("'["&amp;G523&amp;"]"&amp;E523&amp;"'!"&amp;$X$3)),INDIRECT("'["&amp;G523&amp;"]"&amp;E523&amp;"'!"&amp;$X$1),0)</f>
        <v>#VALUE!</v>
      </c>
      <c r="I523" s="25" t="str">
        <f t="shared" si="148"/>
        <v/>
      </c>
      <c r="J523" s="32" t="str">
        <f t="shared" si="149"/>
        <v/>
      </c>
      <c r="K523" s="25" t="str">
        <f t="shared" si="150"/>
        <v/>
      </c>
      <c r="L523" s="25" t="str">
        <f t="shared" si="151"/>
        <v/>
      </c>
      <c r="M523" s="33" t="e" cm="1">
        <f t="array" aca="1" ref="M523" ca="1">IF(AND(J523=INDIRECT("'["&amp;G523&amp;"]"&amp;E523&amp;"'!"&amp;$Y$2),G523=INDIRECT("'["&amp;G523&amp;"]"&amp;E523&amp;"'!"&amp;$AH$2)),INDIRECT("'["&amp;G523&amp;"]"&amp;E523&amp;"'!"&amp;$Y$3),0)</f>
        <v>#VALUE!</v>
      </c>
      <c r="N523" s="34" t="e" cm="1">
        <f t="array" aca="1" ref="N523" ca="1">IF(AND(G523=INDIRECT("'["&amp;G523&amp;"]"&amp;E523&amp;"'!"&amp;$AH$2),OR(K523=INDIRECT("'["&amp;G523&amp;"]"&amp;E523&amp;"'!"&amp;$Z$2))),INDIRECT("'["&amp;G523&amp;"]"&amp;E523&amp;"'!"&amp;$Z$3),0)</f>
        <v>#VALUE!</v>
      </c>
      <c r="O523" s="34" t="e" cm="1">
        <f t="array" aca="1" ref="O523" ca="1">IF(AND(G523=INDIRECT("'["&amp;G523&amp;"]"&amp;E523&amp;"'!"&amp;$AH$2),OR(L523=INDIRECT("'["&amp;G523&amp;"]"&amp;E523&amp;"'!"&amp;$AA$2))),INDIRECT("'["&amp;G523&amp;"]"&amp;E523&amp;"'!"&amp;$AA$3),0)</f>
        <v>#VALUE!</v>
      </c>
      <c r="P523" s="34" t="e" cm="1">
        <f t="array" aca="1" ref="P523" ca="1">IF(AND(G523=INDIRECT("'["&amp;G523&amp;"]"&amp;E523&amp;"'!"&amp;$AH$2),OR(VALUE(I523)=INDIRECT("'["&amp;G523&amp;"]"&amp;E523&amp;"'!"&amp;$AB$2))),INDIRECT("'["&amp;G523&amp;"]"&amp;E523&amp;"'!"&amp;$AB$3),0)</f>
        <v>#VALUE!</v>
      </c>
      <c r="Q523" s="34" t="e" cm="1">
        <f t="array" aca="1" ref="Q523" ca="1">IF(AND(G523=INDIRECT("'["&amp;G523&amp;"]"&amp;E523&amp;"'!"&amp;$AH$2),OR(VALUE(I523)=INDIRECT("'["&amp;G523&amp;"]"&amp;E523&amp;"'!"&amp;$AC$2))),INDIRECT("'["&amp;G523&amp;"]"&amp;E523&amp;"'!"&amp;$AC$3),0)</f>
        <v>#VALUE!</v>
      </c>
      <c r="R523" s="34" t="e" cm="1">
        <f t="array" aca="1" ref="R523" ca="1">IF(AND(G523=INDIRECT("'["&amp;G523&amp;"]"&amp;E523&amp;"'!"&amp;$AH$2),OR(I523=INDIRECT("'["&amp;G523&amp;"]"&amp;E523&amp;"'!"&amp;$AD$2))),INDIRECT("'["&amp;G523&amp;"]"&amp;E523&amp;"'!"&amp;$AD$3),0)</f>
        <v>#VALUE!</v>
      </c>
      <c r="S523" s="34" t="e" cm="1">
        <f t="array" aca="1" ref="S523" ca="1">IF(AND(G523=INDIRECT("'["&amp;G523&amp;"]"&amp;E523&amp;"'!"&amp;$AH$2),OR(I523=INDIRECT("'["&amp;G523&amp;"]"&amp;E523&amp;"'!"&amp;$AE$2))),INDIRECT("'["&amp;G523&amp;"]"&amp;E523&amp;"'!"&amp;$AE$3),0)</f>
        <v>#VALUE!</v>
      </c>
      <c r="T523" s="35" t="e" cm="1">
        <f t="array" aca="1" ref="T523" ca="1">IF(AND(G523=INDIRECT("'["&amp;G523&amp;"]"&amp;E523&amp;"'!"&amp;$AH$2),OR(I523=INDIRECT("'["&amp;G523&amp;"]"&amp;E523&amp;"'!"&amp;$AF$2))),INDIRECT("'["&amp;G523&amp;"]"&amp;E523&amp;"'!"&amp;$AF$3),0)</f>
        <v>#VALUE!</v>
      </c>
      <c r="U523" s="34" t="e" cm="1">
        <f t="array" aca="1" ref="U523" ca="1">IF(AND(G523=INDIRECT("'["&amp;G523&amp;"]"&amp;E523&amp;"'!"&amp;$AH$2),OR(I523=INDIRECT("'["&amp;G523&amp;"]"&amp;E523&amp;"'!"&amp;$AG$2))),INDIRECT("'["&amp;G523&amp;"]"&amp;E523&amp;"'!"&amp;$AG$3),0)</f>
        <v>#VALUE!</v>
      </c>
      <c r="V523" s="25" t="str">
        <f t="shared" si="152"/>
        <v/>
      </c>
      <c r="W523" s="36" t="e" cm="1">
        <f t="array" aca="1" ref="W523" ca="1">IF(AND(G523=INDIRECT("'["&amp;G523&amp;"]"&amp;E523&amp;"'!"&amp;$AH$2),OR(V523=INDIRECT("'["&amp;G523&amp;"]"&amp;E523&amp;"'!"&amp;$AI$2))),INDIRECT("'["&amp;G523&amp;"]"&amp;E523&amp;"'!"&amp;$AI$3),0)</f>
        <v>#VALUE!</v>
      </c>
      <c r="AJ523" s="25">
        <v>1</v>
      </c>
      <c r="AK523" s="38">
        <f t="shared" ca="1" si="153"/>
        <v>0</v>
      </c>
      <c r="AL523" s="38">
        <f t="shared" ca="1" si="154"/>
        <v>0</v>
      </c>
      <c r="AM523" s="54" t="str">
        <f t="shared" ca="1" si="155"/>
        <v/>
      </c>
      <c r="AN523" s="25" t="e">
        <f t="shared" ca="1" si="156"/>
        <v>#VALUE!</v>
      </c>
      <c r="AO523" s="25" t="e">
        <f t="shared" ca="1" si="157"/>
        <v>#VALUE!</v>
      </c>
      <c r="AQ523" s="46" t="str">
        <f ca="1">IF(AND(C523&lt;&gt;0, C524=0), SUM($C$2:C523)-SUM($AQ$1:AQ522), "")</f>
        <v/>
      </c>
      <c r="AR523" s="46" t="str">
        <f ca="1">IF(AND(AK523&lt;&gt;0, AK524=0), SUM($AK$2:AK523)-SUM($AR$1:AR522), "")</f>
        <v/>
      </c>
    </row>
    <row r="524" spans="2:44" ht="13.15" customHeight="1">
      <c r="B524" s="68" t="str">
        <f t="shared" si="143"/>
        <v/>
      </c>
      <c r="C524" s="55" cm="1">
        <f t="array" aca="1" ref="C524" ca="1">SUM(IF(ISNUMBER(M524:U524),M524:U524,""))</f>
        <v>0</v>
      </c>
      <c r="D524" s="25" t="str">
        <f t="shared" si="144"/>
        <v/>
      </c>
      <c r="E524" s="25" t="e">
        <f t="shared" si="145"/>
        <v>#VALUE!</v>
      </c>
      <c r="F524" s="25" t="str">
        <f t="shared" si="146"/>
        <v/>
      </c>
      <c r="G524" s="25" t="str">
        <f t="shared" si="147"/>
        <v>.xlsx</v>
      </c>
      <c r="H524" s="29" t="e" cm="1">
        <f t="array" aca="1" ref="H524" ca="1">IF(AND(VALUE(E524)=INDIRECT("'["&amp;G524&amp;"]"&amp;E524&amp;"'!"&amp;$X$2),G524=INDIRECT("'["&amp;G524&amp;"]"&amp;E524&amp;"'!"&amp;$X$3)),INDIRECT("'["&amp;G524&amp;"]"&amp;E524&amp;"'!"&amp;$X$1),0)</f>
        <v>#VALUE!</v>
      </c>
      <c r="I524" s="25" t="str">
        <f t="shared" si="148"/>
        <v/>
      </c>
      <c r="J524" s="32" t="str">
        <f t="shared" si="149"/>
        <v/>
      </c>
      <c r="K524" s="25" t="str">
        <f t="shared" si="150"/>
        <v/>
      </c>
      <c r="L524" s="25" t="str">
        <f t="shared" si="151"/>
        <v/>
      </c>
      <c r="M524" s="33" t="e" cm="1">
        <f t="array" aca="1" ref="M524" ca="1">IF(AND(J524=INDIRECT("'["&amp;G524&amp;"]"&amp;E524&amp;"'!"&amp;$Y$2),G524=INDIRECT("'["&amp;G524&amp;"]"&amp;E524&amp;"'!"&amp;$AH$2)),INDIRECT("'["&amp;G524&amp;"]"&amp;E524&amp;"'!"&amp;$Y$3),0)</f>
        <v>#VALUE!</v>
      </c>
      <c r="N524" s="34" t="e" cm="1">
        <f t="array" aca="1" ref="N524" ca="1">IF(AND(G524=INDIRECT("'["&amp;G524&amp;"]"&amp;E524&amp;"'!"&amp;$AH$2),OR(K524=INDIRECT("'["&amp;G524&amp;"]"&amp;E524&amp;"'!"&amp;$Z$2))),INDIRECT("'["&amp;G524&amp;"]"&amp;E524&amp;"'!"&amp;$Z$3),0)</f>
        <v>#VALUE!</v>
      </c>
      <c r="O524" s="34" t="e" cm="1">
        <f t="array" aca="1" ref="O524" ca="1">IF(AND(G524=INDIRECT("'["&amp;G524&amp;"]"&amp;E524&amp;"'!"&amp;$AH$2),OR(L524=INDIRECT("'["&amp;G524&amp;"]"&amp;E524&amp;"'!"&amp;$AA$2))),INDIRECT("'["&amp;G524&amp;"]"&amp;E524&amp;"'!"&amp;$AA$3),0)</f>
        <v>#VALUE!</v>
      </c>
      <c r="P524" s="34" t="e" cm="1">
        <f t="array" aca="1" ref="P524" ca="1">IF(AND(G524=INDIRECT("'["&amp;G524&amp;"]"&amp;E524&amp;"'!"&amp;$AH$2),OR(VALUE(I524)=INDIRECT("'["&amp;G524&amp;"]"&amp;E524&amp;"'!"&amp;$AB$2))),INDIRECT("'["&amp;G524&amp;"]"&amp;E524&amp;"'!"&amp;$AB$3),0)</f>
        <v>#VALUE!</v>
      </c>
      <c r="Q524" s="34" t="e" cm="1">
        <f t="array" aca="1" ref="Q524" ca="1">IF(AND(G524=INDIRECT("'["&amp;G524&amp;"]"&amp;E524&amp;"'!"&amp;$AH$2),OR(VALUE(I524)=INDIRECT("'["&amp;G524&amp;"]"&amp;E524&amp;"'!"&amp;$AC$2))),INDIRECT("'["&amp;G524&amp;"]"&amp;E524&amp;"'!"&amp;$AC$3),0)</f>
        <v>#VALUE!</v>
      </c>
      <c r="R524" s="34" t="e" cm="1">
        <f t="array" aca="1" ref="R524" ca="1">IF(AND(G524=INDIRECT("'["&amp;G524&amp;"]"&amp;E524&amp;"'!"&amp;$AH$2),OR(I524=INDIRECT("'["&amp;G524&amp;"]"&amp;E524&amp;"'!"&amp;$AD$2))),INDIRECT("'["&amp;G524&amp;"]"&amp;E524&amp;"'!"&amp;$AD$3),0)</f>
        <v>#VALUE!</v>
      </c>
      <c r="S524" s="34" t="e" cm="1">
        <f t="array" aca="1" ref="S524" ca="1">IF(AND(G524=INDIRECT("'["&amp;G524&amp;"]"&amp;E524&amp;"'!"&amp;$AH$2),OR(I524=INDIRECT("'["&amp;G524&amp;"]"&amp;E524&amp;"'!"&amp;$AE$2))),INDIRECT("'["&amp;G524&amp;"]"&amp;E524&amp;"'!"&amp;$AE$3),0)</f>
        <v>#VALUE!</v>
      </c>
      <c r="T524" s="35" t="e" cm="1">
        <f t="array" aca="1" ref="T524" ca="1">IF(AND(G524=INDIRECT("'["&amp;G524&amp;"]"&amp;E524&amp;"'!"&amp;$AH$2),OR(I524=INDIRECT("'["&amp;G524&amp;"]"&amp;E524&amp;"'!"&amp;$AF$2))),INDIRECT("'["&amp;G524&amp;"]"&amp;E524&amp;"'!"&amp;$AF$3),0)</f>
        <v>#VALUE!</v>
      </c>
      <c r="U524" s="34" t="e" cm="1">
        <f t="array" aca="1" ref="U524" ca="1">IF(AND(G524=INDIRECT("'["&amp;G524&amp;"]"&amp;E524&amp;"'!"&amp;$AH$2),OR(I524=INDIRECT("'["&amp;G524&amp;"]"&amp;E524&amp;"'!"&amp;$AG$2))),INDIRECT("'["&amp;G524&amp;"]"&amp;E524&amp;"'!"&amp;$AG$3),0)</f>
        <v>#VALUE!</v>
      </c>
      <c r="V524" s="25" t="str">
        <f t="shared" si="152"/>
        <v/>
      </c>
      <c r="W524" s="36" t="e" cm="1">
        <f t="array" aca="1" ref="W524" ca="1">IF(AND(G524=INDIRECT("'["&amp;G524&amp;"]"&amp;E524&amp;"'!"&amp;$AH$2),OR(V524=INDIRECT("'["&amp;G524&amp;"]"&amp;E524&amp;"'!"&amp;$AI$2))),INDIRECT("'["&amp;G524&amp;"]"&amp;E524&amp;"'!"&amp;$AI$3),0)</f>
        <v>#VALUE!</v>
      </c>
      <c r="AJ524" s="25">
        <v>1</v>
      </c>
      <c r="AK524" s="38">
        <f t="shared" ca="1" si="153"/>
        <v>0</v>
      </c>
      <c r="AL524" s="38">
        <f t="shared" ca="1" si="154"/>
        <v>0</v>
      </c>
      <c r="AM524" s="54" t="str">
        <f t="shared" ca="1" si="155"/>
        <v/>
      </c>
      <c r="AN524" s="25" t="e">
        <f t="shared" ca="1" si="156"/>
        <v>#VALUE!</v>
      </c>
      <c r="AO524" s="25" t="e">
        <f t="shared" ca="1" si="157"/>
        <v>#VALUE!</v>
      </c>
      <c r="AQ524" s="46" t="str">
        <f ca="1">IF(AND(C524&lt;&gt;0, C525=0), SUM($C$2:C524)-SUM($AQ$1:AQ523), "")</f>
        <v/>
      </c>
      <c r="AR524" s="46" t="str">
        <f ca="1">IF(AND(AK524&lt;&gt;0, AK525=0), SUM($AK$2:AK524)-SUM($AR$1:AR523), "")</f>
        <v/>
      </c>
    </row>
    <row r="525" spans="2:44" ht="13.15" customHeight="1">
      <c r="B525" s="68" t="str">
        <f t="shared" si="143"/>
        <v/>
      </c>
      <c r="C525" s="55" cm="1">
        <f t="array" aca="1" ref="C525" ca="1">SUM(IF(ISNUMBER(M525:U525),M525:U525,""))</f>
        <v>0</v>
      </c>
      <c r="D525" s="25" t="str">
        <f t="shared" si="144"/>
        <v/>
      </c>
      <c r="E525" s="25" t="e">
        <f t="shared" si="145"/>
        <v>#VALUE!</v>
      </c>
      <c r="F525" s="25" t="str">
        <f t="shared" si="146"/>
        <v/>
      </c>
      <c r="G525" s="25" t="str">
        <f t="shared" si="147"/>
        <v>.xlsx</v>
      </c>
      <c r="H525" s="29" t="e" cm="1">
        <f t="array" aca="1" ref="H525" ca="1">IF(AND(VALUE(E525)=INDIRECT("'["&amp;G525&amp;"]"&amp;E525&amp;"'!"&amp;$X$2),G525=INDIRECT("'["&amp;G525&amp;"]"&amp;E525&amp;"'!"&amp;$X$3)),INDIRECT("'["&amp;G525&amp;"]"&amp;E525&amp;"'!"&amp;$X$1),0)</f>
        <v>#VALUE!</v>
      </c>
      <c r="I525" s="25" t="str">
        <f t="shared" si="148"/>
        <v/>
      </c>
      <c r="J525" s="32" t="str">
        <f t="shared" si="149"/>
        <v/>
      </c>
      <c r="K525" s="25" t="str">
        <f t="shared" si="150"/>
        <v/>
      </c>
      <c r="L525" s="25" t="str">
        <f t="shared" si="151"/>
        <v/>
      </c>
      <c r="M525" s="33" t="e" cm="1">
        <f t="array" aca="1" ref="M525" ca="1">IF(AND(J525=INDIRECT("'["&amp;G525&amp;"]"&amp;E525&amp;"'!"&amp;$Y$2),G525=INDIRECT("'["&amp;G525&amp;"]"&amp;E525&amp;"'!"&amp;$AH$2)),INDIRECT("'["&amp;G525&amp;"]"&amp;E525&amp;"'!"&amp;$Y$3),0)</f>
        <v>#VALUE!</v>
      </c>
      <c r="N525" s="34" t="e" cm="1">
        <f t="array" aca="1" ref="N525" ca="1">IF(AND(G525=INDIRECT("'["&amp;G525&amp;"]"&amp;E525&amp;"'!"&amp;$AH$2),OR(K525=INDIRECT("'["&amp;G525&amp;"]"&amp;E525&amp;"'!"&amp;$Z$2))),INDIRECT("'["&amp;G525&amp;"]"&amp;E525&amp;"'!"&amp;$Z$3),0)</f>
        <v>#VALUE!</v>
      </c>
      <c r="O525" s="34" t="e" cm="1">
        <f t="array" aca="1" ref="O525" ca="1">IF(AND(G525=INDIRECT("'["&amp;G525&amp;"]"&amp;E525&amp;"'!"&amp;$AH$2),OR(L525=INDIRECT("'["&amp;G525&amp;"]"&amp;E525&amp;"'!"&amp;$AA$2))),INDIRECT("'["&amp;G525&amp;"]"&amp;E525&amp;"'!"&amp;$AA$3),0)</f>
        <v>#VALUE!</v>
      </c>
      <c r="P525" s="34" t="e" cm="1">
        <f t="array" aca="1" ref="P525" ca="1">IF(AND(G525=INDIRECT("'["&amp;G525&amp;"]"&amp;E525&amp;"'!"&amp;$AH$2),OR(VALUE(I525)=INDIRECT("'["&amp;G525&amp;"]"&amp;E525&amp;"'!"&amp;$AB$2))),INDIRECT("'["&amp;G525&amp;"]"&amp;E525&amp;"'!"&amp;$AB$3),0)</f>
        <v>#VALUE!</v>
      </c>
      <c r="Q525" s="34" t="e" cm="1">
        <f t="array" aca="1" ref="Q525" ca="1">IF(AND(G525=INDIRECT("'["&amp;G525&amp;"]"&amp;E525&amp;"'!"&amp;$AH$2),OR(VALUE(I525)=INDIRECT("'["&amp;G525&amp;"]"&amp;E525&amp;"'!"&amp;$AC$2))),INDIRECT("'["&amp;G525&amp;"]"&amp;E525&amp;"'!"&amp;$AC$3),0)</f>
        <v>#VALUE!</v>
      </c>
      <c r="R525" s="34" t="e" cm="1">
        <f t="array" aca="1" ref="R525" ca="1">IF(AND(G525=INDIRECT("'["&amp;G525&amp;"]"&amp;E525&amp;"'!"&amp;$AH$2),OR(I525=INDIRECT("'["&amp;G525&amp;"]"&amp;E525&amp;"'!"&amp;$AD$2))),INDIRECT("'["&amp;G525&amp;"]"&amp;E525&amp;"'!"&amp;$AD$3),0)</f>
        <v>#VALUE!</v>
      </c>
      <c r="S525" s="34" t="e" cm="1">
        <f t="array" aca="1" ref="S525" ca="1">IF(AND(G525=INDIRECT("'["&amp;G525&amp;"]"&amp;E525&amp;"'!"&amp;$AH$2),OR(I525=INDIRECT("'["&amp;G525&amp;"]"&amp;E525&amp;"'!"&amp;$AE$2))),INDIRECT("'["&amp;G525&amp;"]"&amp;E525&amp;"'!"&amp;$AE$3),0)</f>
        <v>#VALUE!</v>
      </c>
      <c r="T525" s="35" t="e" cm="1">
        <f t="array" aca="1" ref="T525" ca="1">IF(AND(G525=INDIRECT("'["&amp;G525&amp;"]"&amp;E525&amp;"'!"&amp;$AH$2),OR(I525=INDIRECT("'["&amp;G525&amp;"]"&amp;E525&amp;"'!"&amp;$AF$2))),INDIRECT("'["&amp;G525&amp;"]"&amp;E525&amp;"'!"&amp;$AF$3),0)</f>
        <v>#VALUE!</v>
      </c>
      <c r="U525" s="34" t="e" cm="1">
        <f t="array" aca="1" ref="U525" ca="1">IF(AND(G525=INDIRECT("'["&amp;G525&amp;"]"&amp;E525&amp;"'!"&amp;$AH$2),OR(I525=INDIRECT("'["&amp;G525&amp;"]"&amp;E525&amp;"'!"&amp;$AG$2))),INDIRECT("'["&amp;G525&amp;"]"&amp;E525&amp;"'!"&amp;$AG$3),0)</f>
        <v>#VALUE!</v>
      </c>
      <c r="V525" s="25" t="str">
        <f t="shared" si="152"/>
        <v/>
      </c>
      <c r="W525" s="36" t="e" cm="1">
        <f t="array" aca="1" ref="W525" ca="1">IF(AND(G525=INDIRECT("'["&amp;G525&amp;"]"&amp;E525&amp;"'!"&amp;$AH$2),OR(V525=INDIRECT("'["&amp;G525&amp;"]"&amp;E525&amp;"'!"&amp;$AI$2))),INDIRECT("'["&amp;G525&amp;"]"&amp;E525&amp;"'!"&amp;$AI$3),0)</f>
        <v>#VALUE!</v>
      </c>
      <c r="AJ525" s="25">
        <v>1</v>
      </c>
      <c r="AK525" s="38">
        <f t="shared" ca="1" si="153"/>
        <v>0</v>
      </c>
      <c r="AL525" s="38">
        <f t="shared" ca="1" si="154"/>
        <v>0</v>
      </c>
      <c r="AM525" s="54" t="str">
        <f t="shared" ca="1" si="155"/>
        <v/>
      </c>
      <c r="AN525" s="25" t="e">
        <f t="shared" ca="1" si="156"/>
        <v>#VALUE!</v>
      </c>
      <c r="AO525" s="25" t="e">
        <f t="shared" ca="1" si="157"/>
        <v>#VALUE!</v>
      </c>
      <c r="AQ525" s="46" t="str">
        <f ca="1">IF(AND(C525&lt;&gt;0, C526=0), SUM($C$2:C525)-SUM($AQ$1:AQ524), "")</f>
        <v/>
      </c>
      <c r="AR525" s="46" t="str">
        <f ca="1">IF(AND(AK525&lt;&gt;0, AK526=0), SUM($AK$2:AK525)-SUM($AR$1:AR524), "")</f>
        <v/>
      </c>
    </row>
    <row r="526" spans="2:44" ht="13.15" customHeight="1">
      <c r="B526" s="68" t="str">
        <f t="shared" si="143"/>
        <v/>
      </c>
      <c r="C526" s="55" cm="1">
        <f t="array" aca="1" ref="C526" ca="1">SUM(IF(ISNUMBER(M526:U526),M526:U526,""))</f>
        <v>0</v>
      </c>
      <c r="D526" s="25" t="str">
        <f t="shared" si="144"/>
        <v/>
      </c>
      <c r="E526" s="25" t="e">
        <f t="shared" si="145"/>
        <v>#VALUE!</v>
      </c>
      <c r="F526" s="25" t="str">
        <f t="shared" si="146"/>
        <v/>
      </c>
      <c r="G526" s="25" t="str">
        <f t="shared" si="147"/>
        <v>.xlsx</v>
      </c>
      <c r="H526" s="29" t="e" cm="1">
        <f t="array" aca="1" ref="H526" ca="1">IF(AND(VALUE(E526)=INDIRECT("'["&amp;G526&amp;"]"&amp;E526&amp;"'!"&amp;$X$2),G526=INDIRECT("'["&amp;G526&amp;"]"&amp;E526&amp;"'!"&amp;$X$3)),INDIRECT("'["&amp;G526&amp;"]"&amp;E526&amp;"'!"&amp;$X$1),0)</f>
        <v>#VALUE!</v>
      </c>
      <c r="I526" s="25" t="str">
        <f t="shared" si="148"/>
        <v/>
      </c>
      <c r="J526" s="32" t="str">
        <f t="shared" si="149"/>
        <v/>
      </c>
      <c r="K526" s="25" t="str">
        <f t="shared" si="150"/>
        <v/>
      </c>
      <c r="L526" s="25" t="str">
        <f t="shared" si="151"/>
        <v/>
      </c>
      <c r="M526" s="33" t="e" cm="1">
        <f t="array" aca="1" ref="M526" ca="1">IF(AND(J526=INDIRECT("'["&amp;G526&amp;"]"&amp;E526&amp;"'!"&amp;$Y$2),G526=INDIRECT("'["&amp;G526&amp;"]"&amp;E526&amp;"'!"&amp;$AH$2)),INDIRECT("'["&amp;G526&amp;"]"&amp;E526&amp;"'!"&amp;$Y$3),0)</f>
        <v>#VALUE!</v>
      </c>
      <c r="N526" s="34" t="e" cm="1">
        <f t="array" aca="1" ref="N526" ca="1">IF(AND(G526=INDIRECT("'["&amp;G526&amp;"]"&amp;E526&amp;"'!"&amp;$AH$2),OR(K526=INDIRECT("'["&amp;G526&amp;"]"&amp;E526&amp;"'!"&amp;$Z$2))),INDIRECT("'["&amp;G526&amp;"]"&amp;E526&amp;"'!"&amp;$Z$3),0)</f>
        <v>#VALUE!</v>
      </c>
      <c r="O526" s="34" t="e" cm="1">
        <f t="array" aca="1" ref="O526" ca="1">IF(AND(G526=INDIRECT("'["&amp;G526&amp;"]"&amp;E526&amp;"'!"&amp;$AH$2),OR(L526=INDIRECT("'["&amp;G526&amp;"]"&amp;E526&amp;"'!"&amp;$AA$2))),INDIRECT("'["&amp;G526&amp;"]"&amp;E526&amp;"'!"&amp;$AA$3),0)</f>
        <v>#VALUE!</v>
      </c>
      <c r="P526" s="34" t="e" cm="1">
        <f t="array" aca="1" ref="P526" ca="1">IF(AND(G526=INDIRECT("'["&amp;G526&amp;"]"&amp;E526&amp;"'!"&amp;$AH$2),OR(VALUE(I526)=INDIRECT("'["&amp;G526&amp;"]"&amp;E526&amp;"'!"&amp;$AB$2))),INDIRECT("'["&amp;G526&amp;"]"&amp;E526&amp;"'!"&amp;$AB$3),0)</f>
        <v>#VALUE!</v>
      </c>
      <c r="Q526" s="34" t="e" cm="1">
        <f t="array" aca="1" ref="Q526" ca="1">IF(AND(G526=INDIRECT("'["&amp;G526&amp;"]"&amp;E526&amp;"'!"&amp;$AH$2),OR(VALUE(I526)=INDIRECT("'["&amp;G526&amp;"]"&amp;E526&amp;"'!"&amp;$AC$2))),INDIRECT("'["&amp;G526&amp;"]"&amp;E526&amp;"'!"&amp;$AC$3),0)</f>
        <v>#VALUE!</v>
      </c>
      <c r="R526" s="34" t="e" cm="1">
        <f t="array" aca="1" ref="R526" ca="1">IF(AND(G526=INDIRECT("'["&amp;G526&amp;"]"&amp;E526&amp;"'!"&amp;$AH$2),OR(I526=INDIRECT("'["&amp;G526&amp;"]"&amp;E526&amp;"'!"&amp;$AD$2))),INDIRECT("'["&amp;G526&amp;"]"&amp;E526&amp;"'!"&amp;$AD$3),0)</f>
        <v>#VALUE!</v>
      </c>
      <c r="S526" s="34" t="e" cm="1">
        <f t="array" aca="1" ref="S526" ca="1">IF(AND(G526=INDIRECT("'["&amp;G526&amp;"]"&amp;E526&amp;"'!"&amp;$AH$2),OR(I526=INDIRECT("'["&amp;G526&amp;"]"&amp;E526&amp;"'!"&amp;$AE$2))),INDIRECT("'["&amp;G526&amp;"]"&amp;E526&amp;"'!"&amp;$AE$3),0)</f>
        <v>#VALUE!</v>
      </c>
      <c r="T526" s="35" t="e" cm="1">
        <f t="array" aca="1" ref="T526" ca="1">IF(AND(G526=INDIRECT("'["&amp;G526&amp;"]"&amp;E526&amp;"'!"&amp;$AH$2),OR(I526=INDIRECT("'["&amp;G526&amp;"]"&amp;E526&amp;"'!"&amp;$AF$2))),INDIRECT("'["&amp;G526&amp;"]"&amp;E526&amp;"'!"&amp;$AF$3),0)</f>
        <v>#VALUE!</v>
      </c>
      <c r="U526" s="34" t="e" cm="1">
        <f t="array" aca="1" ref="U526" ca="1">IF(AND(G526=INDIRECT("'["&amp;G526&amp;"]"&amp;E526&amp;"'!"&amp;$AH$2),OR(I526=INDIRECT("'["&amp;G526&amp;"]"&amp;E526&amp;"'!"&amp;$AG$2))),INDIRECT("'["&amp;G526&amp;"]"&amp;E526&amp;"'!"&amp;$AG$3),0)</f>
        <v>#VALUE!</v>
      </c>
      <c r="V526" s="25" t="str">
        <f t="shared" si="152"/>
        <v/>
      </c>
      <c r="W526" s="36" t="e" cm="1">
        <f t="array" aca="1" ref="W526" ca="1">IF(AND(G526=INDIRECT("'["&amp;G526&amp;"]"&amp;E526&amp;"'!"&amp;$AH$2),OR(V526=INDIRECT("'["&amp;G526&amp;"]"&amp;E526&amp;"'!"&amp;$AI$2))),INDIRECT("'["&amp;G526&amp;"]"&amp;E526&amp;"'!"&amp;$AI$3),0)</f>
        <v>#VALUE!</v>
      </c>
      <c r="AJ526" s="25">
        <v>1</v>
      </c>
      <c r="AK526" s="38">
        <f t="shared" ca="1" si="153"/>
        <v>0</v>
      </c>
      <c r="AL526" s="38">
        <f t="shared" ca="1" si="154"/>
        <v>0</v>
      </c>
      <c r="AM526" s="54" t="str">
        <f t="shared" ca="1" si="155"/>
        <v/>
      </c>
      <c r="AN526" s="25" t="e">
        <f t="shared" ca="1" si="156"/>
        <v>#VALUE!</v>
      </c>
      <c r="AO526" s="25" t="e">
        <f t="shared" ca="1" si="157"/>
        <v>#VALUE!</v>
      </c>
      <c r="AQ526" s="46" t="str">
        <f ca="1">IF(AND(C526&lt;&gt;0, C527=0), SUM($C$2:C526)-SUM($AQ$1:AQ525), "")</f>
        <v/>
      </c>
      <c r="AR526" s="46" t="str">
        <f ca="1">IF(AND(AK526&lt;&gt;0, AK527=0), SUM($AK$2:AK526)-SUM($AR$1:AR525), "")</f>
        <v/>
      </c>
    </row>
    <row r="527" spans="2:44" ht="13.15" customHeight="1">
      <c r="B527" s="68" t="str">
        <f t="shared" si="143"/>
        <v/>
      </c>
      <c r="C527" s="55" cm="1">
        <f t="array" aca="1" ref="C527" ca="1">SUM(IF(ISNUMBER(M527:U527),M527:U527,""))</f>
        <v>0</v>
      </c>
      <c r="D527" s="25" t="str">
        <f t="shared" si="144"/>
        <v/>
      </c>
      <c r="E527" s="25" t="e">
        <f t="shared" si="145"/>
        <v>#VALUE!</v>
      </c>
      <c r="F527" s="25" t="str">
        <f t="shared" si="146"/>
        <v/>
      </c>
      <c r="G527" s="25" t="str">
        <f t="shared" si="147"/>
        <v>.xlsx</v>
      </c>
      <c r="H527" s="29" t="e" cm="1">
        <f t="array" aca="1" ref="H527" ca="1">IF(AND(VALUE(E527)=INDIRECT("'["&amp;G527&amp;"]"&amp;E527&amp;"'!"&amp;$X$2),G527=INDIRECT("'["&amp;G527&amp;"]"&amp;E527&amp;"'!"&amp;$X$3)),INDIRECT("'["&amp;G527&amp;"]"&amp;E527&amp;"'!"&amp;$X$1),0)</f>
        <v>#VALUE!</v>
      </c>
      <c r="I527" s="25" t="str">
        <f t="shared" si="148"/>
        <v/>
      </c>
      <c r="J527" s="32" t="str">
        <f t="shared" si="149"/>
        <v/>
      </c>
      <c r="K527" s="25" t="str">
        <f t="shared" si="150"/>
        <v/>
      </c>
      <c r="L527" s="25" t="str">
        <f t="shared" si="151"/>
        <v/>
      </c>
      <c r="M527" s="33" t="e" cm="1">
        <f t="array" aca="1" ref="M527" ca="1">IF(AND(J527=INDIRECT("'["&amp;G527&amp;"]"&amp;E527&amp;"'!"&amp;$Y$2),G527=INDIRECT("'["&amp;G527&amp;"]"&amp;E527&amp;"'!"&amp;$AH$2)),INDIRECT("'["&amp;G527&amp;"]"&amp;E527&amp;"'!"&amp;$Y$3),0)</f>
        <v>#VALUE!</v>
      </c>
      <c r="N527" s="34" t="e" cm="1">
        <f t="array" aca="1" ref="N527" ca="1">IF(AND(G527=INDIRECT("'["&amp;G527&amp;"]"&amp;E527&amp;"'!"&amp;$AH$2),OR(K527=INDIRECT("'["&amp;G527&amp;"]"&amp;E527&amp;"'!"&amp;$Z$2))),INDIRECT("'["&amp;G527&amp;"]"&amp;E527&amp;"'!"&amp;$Z$3),0)</f>
        <v>#VALUE!</v>
      </c>
      <c r="O527" s="34" t="e" cm="1">
        <f t="array" aca="1" ref="O527" ca="1">IF(AND(G527=INDIRECT("'["&amp;G527&amp;"]"&amp;E527&amp;"'!"&amp;$AH$2),OR(L527=INDIRECT("'["&amp;G527&amp;"]"&amp;E527&amp;"'!"&amp;$AA$2))),INDIRECT("'["&amp;G527&amp;"]"&amp;E527&amp;"'!"&amp;$AA$3),0)</f>
        <v>#VALUE!</v>
      </c>
      <c r="P527" s="34" t="e" cm="1">
        <f t="array" aca="1" ref="P527" ca="1">IF(AND(G527=INDIRECT("'["&amp;G527&amp;"]"&amp;E527&amp;"'!"&amp;$AH$2),OR(VALUE(I527)=INDIRECT("'["&amp;G527&amp;"]"&amp;E527&amp;"'!"&amp;$AB$2))),INDIRECT("'["&amp;G527&amp;"]"&amp;E527&amp;"'!"&amp;$AB$3),0)</f>
        <v>#VALUE!</v>
      </c>
      <c r="Q527" s="34" t="e" cm="1">
        <f t="array" aca="1" ref="Q527" ca="1">IF(AND(G527=INDIRECT("'["&amp;G527&amp;"]"&amp;E527&amp;"'!"&amp;$AH$2),OR(VALUE(I527)=INDIRECT("'["&amp;G527&amp;"]"&amp;E527&amp;"'!"&amp;$AC$2))),INDIRECT("'["&amp;G527&amp;"]"&amp;E527&amp;"'!"&amp;$AC$3),0)</f>
        <v>#VALUE!</v>
      </c>
      <c r="R527" s="34" t="e" cm="1">
        <f t="array" aca="1" ref="R527" ca="1">IF(AND(G527=INDIRECT("'["&amp;G527&amp;"]"&amp;E527&amp;"'!"&amp;$AH$2),OR(I527=INDIRECT("'["&amp;G527&amp;"]"&amp;E527&amp;"'!"&amp;$AD$2))),INDIRECT("'["&amp;G527&amp;"]"&amp;E527&amp;"'!"&amp;$AD$3),0)</f>
        <v>#VALUE!</v>
      </c>
      <c r="S527" s="34" t="e" cm="1">
        <f t="array" aca="1" ref="S527" ca="1">IF(AND(G527=INDIRECT("'["&amp;G527&amp;"]"&amp;E527&amp;"'!"&amp;$AH$2),OR(I527=INDIRECT("'["&amp;G527&amp;"]"&amp;E527&amp;"'!"&amp;$AE$2))),INDIRECT("'["&amp;G527&amp;"]"&amp;E527&amp;"'!"&amp;$AE$3),0)</f>
        <v>#VALUE!</v>
      </c>
      <c r="T527" s="35" t="e" cm="1">
        <f t="array" aca="1" ref="T527" ca="1">IF(AND(G527=INDIRECT("'["&amp;G527&amp;"]"&amp;E527&amp;"'!"&amp;$AH$2),OR(I527=INDIRECT("'["&amp;G527&amp;"]"&amp;E527&amp;"'!"&amp;$AF$2))),INDIRECT("'["&amp;G527&amp;"]"&amp;E527&amp;"'!"&amp;$AF$3),0)</f>
        <v>#VALUE!</v>
      </c>
      <c r="U527" s="34" t="e" cm="1">
        <f t="array" aca="1" ref="U527" ca="1">IF(AND(G527=INDIRECT("'["&amp;G527&amp;"]"&amp;E527&amp;"'!"&amp;$AH$2),OR(I527=INDIRECT("'["&amp;G527&amp;"]"&amp;E527&amp;"'!"&amp;$AG$2))),INDIRECT("'["&amp;G527&amp;"]"&amp;E527&amp;"'!"&amp;$AG$3),0)</f>
        <v>#VALUE!</v>
      </c>
      <c r="V527" s="25" t="str">
        <f t="shared" si="152"/>
        <v/>
      </c>
      <c r="W527" s="36" t="e" cm="1">
        <f t="array" aca="1" ref="W527" ca="1">IF(AND(G527=INDIRECT("'["&amp;G527&amp;"]"&amp;E527&amp;"'!"&amp;$AH$2),OR(V527=INDIRECT("'["&amp;G527&amp;"]"&amp;E527&amp;"'!"&amp;$AI$2))),INDIRECT("'["&amp;G527&amp;"]"&amp;E527&amp;"'!"&amp;$AI$3),0)</f>
        <v>#VALUE!</v>
      </c>
      <c r="AJ527" s="25">
        <v>1</v>
      </c>
      <c r="AK527" s="38">
        <f t="shared" ca="1" si="153"/>
        <v>0</v>
      </c>
      <c r="AL527" s="38">
        <f t="shared" ca="1" si="154"/>
        <v>0</v>
      </c>
      <c r="AM527" s="54" t="str">
        <f t="shared" ca="1" si="155"/>
        <v/>
      </c>
      <c r="AN527" s="25" t="e">
        <f t="shared" ca="1" si="156"/>
        <v>#VALUE!</v>
      </c>
      <c r="AO527" s="25" t="e">
        <f t="shared" ca="1" si="157"/>
        <v>#VALUE!</v>
      </c>
      <c r="AQ527" s="46" t="str">
        <f ca="1">IF(AND(C527&lt;&gt;0, C528=0), SUM($C$2:C527)-SUM($AQ$1:AQ526), "")</f>
        <v/>
      </c>
      <c r="AR527" s="46" t="str">
        <f ca="1">IF(AND(AK527&lt;&gt;0, AK528=0), SUM($AK$2:AK527)-SUM($AR$1:AR526), "")</f>
        <v/>
      </c>
    </row>
    <row r="528" spans="2:44" ht="13.15" customHeight="1">
      <c r="B528" s="68" t="str">
        <f t="shared" si="143"/>
        <v/>
      </c>
      <c r="C528" s="55" cm="1">
        <f t="array" aca="1" ref="C528" ca="1">SUM(IF(ISNUMBER(M528:U528),M528:U528,""))</f>
        <v>0</v>
      </c>
      <c r="D528" s="25" t="str">
        <f t="shared" si="144"/>
        <v/>
      </c>
      <c r="E528" s="25" t="e">
        <f t="shared" si="145"/>
        <v>#VALUE!</v>
      </c>
      <c r="F528" s="25" t="str">
        <f t="shared" si="146"/>
        <v/>
      </c>
      <c r="G528" s="25" t="str">
        <f t="shared" si="147"/>
        <v>.xlsx</v>
      </c>
      <c r="H528" s="29" t="e" cm="1">
        <f t="array" aca="1" ref="H528" ca="1">IF(AND(VALUE(E528)=INDIRECT("'["&amp;G528&amp;"]"&amp;E528&amp;"'!"&amp;$X$2),G528=INDIRECT("'["&amp;G528&amp;"]"&amp;E528&amp;"'!"&amp;$X$3)),INDIRECT("'["&amp;G528&amp;"]"&amp;E528&amp;"'!"&amp;$X$1),0)</f>
        <v>#VALUE!</v>
      </c>
      <c r="I528" s="25" t="str">
        <f t="shared" si="148"/>
        <v/>
      </c>
      <c r="J528" s="32" t="str">
        <f t="shared" si="149"/>
        <v/>
      </c>
      <c r="K528" s="25" t="str">
        <f t="shared" si="150"/>
        <v/>
      </c>
      <c r="L528" s="25" t="str">
        <f t="shared" si="151"/>
        <v/>
      </c>
      <c r="M528" s="33" t="e" cm="1">
        <f t="array" aca="1" ref="M528" ca="1">IF(AND(J528=INDIRECT("'["&amp;G528&amp;"]"&amp;E528&amp;"'!"&amp;$Y$2),G528=INDIRECT("'["&amp;G528&amp;"]"&amp;E528&amp;"'!"&amp;$AH$2)),INDIRECT("'["&amp;G528&amp;"]"&amp;E528&amp;"'!"&amp;$Y$3),0)</f>
        <v>#VALUE!</v>
      </c>
      <c r="N528" s="34" t="e" cm="1">
        <f t="array" aca="1" ref="N528" ca="1">IF(AND(G528=INDIRECT("'["&amp;G528&amp;"]"&amp;E528&amp;"'!"&amp;$AH$2),OR(K528=INDIRECT("'["&amp;G528&amp;"]"&amp;E528&amp;"'!"&amp;$Z$2))),INDIRECT("'["&amp;G528&amp;"]"&amp;E528&amp;"'!"&amp;$Z$3),0)</f>
        <v>#VALUE!</v>
      </c>
      <c r="O528" s="34" t="e" cm="1">
        <f t="array" aca="1" ref="O528" ca="1">IF(AND(G528=INDIRECT("'["&amp;G528&amp;"]"&amp;E528&amp;"'!"&amp;$AH$2),OR(L528=INDIRECT("'["&amp;G528&amp;"]"&amp;E528&amp;"'!"&amp;$AA$2))),INDIRECT("'["&amp;G528&amp;"]"&amp;E528&amp;"'!"&amp;$AA$3),0)</f>
        <v>#VALUE!</v>
      </c>
      <c r="P528" s="34" t="e" cm="1">
        <f t="array" aca="1" ref="P528" ca="1">IF(AND(G528=INDIRECT("'["&amp;G528&amp;"]"&amp;E528&amp;"'!"&amp;$AH$2),OR(VALUE(I528)=INDIRECT("'["&amp;G528&amp;"]"&amp;E528&amp;"'!"&amp;$AB$2))),INDIRECT("'["&amp;G528&amp;"]"&amp;E528&amp;"'!"&amp;$AB$3),0)</f>
        <v>#VALUE!</v>
      </c>
      <c r="Q528" s="34" t="e" cm="1">
        <f t="array" aca="1" ref="Q528" ca="1">IF(AND(G528=INDIRECT("'["&amp;G528&amp;"]"&amp;E528&amp;"'!"&amp;$AH$2),OR(VALUE(I528)=INDIRECT("'["&amp;G528&amp;"]"&amp;E528&amp;"'!"&amp;$AC$2))),INDIRECT("'["&amp;G528&amp;"]"&amp;E528&amp;"'!"&amp;$AC$3),0)</f>
        <v>#VALUE!</v>
      </c>
      <c r="R528" s="34" t="e" cm="1">
        <f t="array" aca="1" ref="R528" ca="1">IF(AND(G528=INDIRECT("'["&amp;G528&amp;"]"&amp;E528&amp;"'!"&amp;$AH$2),OR(I528=INDIRECT("'["&amp;G528&amp;"]"&amp;E528&amp;"'!"&amp;$AD$2))),INDIRECT("'["&amp;G528&amp;"]"&amp;E528&amp;"'!"&amp;$AD$3),0)</f>
        <v>#VALUE!</v>
      </c>
      <c r="S528" s="34" t="e" cm="1">
        <f t="array" aca="1" ref="S528" ca="1">IF(AND(G528=INDIRECT("'["&amp;G528&amp;"]"&amp;E528&amp;"'!"&amp;$AH$2),OR(I528=INDIRECT("'["&amp;G528&amp;"]"&amp;E528&amp;"'!"&amp;$AE$2))),INDIRECT("'["&amp;G528&amp;"]"&amp;E528&amp;"'!"&amp;$AE$3),0)</f>
        <v>#VALUE!</v>
      </c>
      <c r="T528" s="35" t="e" cm="1">
        <f t="array" aca="1" ref="T528" ca="1">IF(AND(G528=INDIRECT("'["&amp;G528&amp;"]"&amp;E528&amp;"'!"&amp;$AH$2),OR(I528=INDIRECT("'["&amp;G528&amp;"]"&amp;E528&amp;"'!"&amp;$AF$2))),INDIRECT("'["&amp;G528&amp;"]"&amp;E528&amp;"'!"&amp;$AF$3),0)</f>
        <v>#VALUE!</v>
      </c>
      <c r="U528" s="34" t="e" cm="1">
        <f t="array" aca="1" ref="U528" ca="1">IF(AND(G528=INDIRECT("'["&amp;G528&amp;"]"&amp;E528&amp;"'!"&amp;$AH$2),OR(I528=INDIRECT("'["&amp;G528&amp;"]"&amp;E528&amp;"'!"&amp;$AG$2))),INDIRECT("'["&amp;G528&amp;"]"&amp;E528&amp;"'!"&amp;$AG$3),0)</f>
        <v>#VALUE!</v>
      </c>
      <c r="V528" s="25" t="str">
        <f t="shared" si="152"/>
        <v/>
      </c>
      <c r="W528" s="36" t="e" cm="1">
        <f t="array" aca="1" ref="W528" ca="1">IF(AND(G528=INDIRECT("'["&amp;G528&amp;"]"&amp;E528&amp;"'!"&amp;$AH$2),OR(V528=INDIRECT("'["&amp;G528&amp;"]"&amp;E528&amp;"'!"&amp;$AI$2))),INDIRECT("'["&amp;G528&amp;"]"&amp;E528&amp;"'!"&amp;$AI$3),0)</f>
        <v>#VALUE!</v>
      </c>
      <c r="AJ528" s="25">
        <v>1</v>
      </c>
      <c r="AK528" s="38">
        <f t="shared" ca="1" si="153"/>
        <v>0</v>
      </c>
      <c r="AL528" s="38">
        <f t="shared" ca="1" si="154"/>
        <v>0</v>
      </c>
      <c r="AM528" s="54" t="str">
        <f t="shared" ca="1" si="155"/>
        <v/>
      </c>
      <c r="AN528" s="25" t="e">
        <f t="shared" ca="1" si="156"/>
        <v>#VALUE!</v>
      </c>
      <c r="AO528" s="25" t="e">
        <f t="shared" ca="1" si="157"/>
        <v>#VALUE!</v>
      </c>
      <c r="AQ528" s="46" t="str">
        <f ca="1">IF(AND(C528&lt;&gt;0, C529=0), SUM($C$2:C528)-SUM($AQ$1:AQ527), "")</f>
        <v/>
      </c>
      <c r="AR528" s="46" t="str">
        <f ca="1">IF(AND(AK528&lt;&gt;0, AK529=0), SUM($AK$2:AK528)-SUM($AR$1:AR527), "")</f>
        <v/>
      </c>
    </row>
    <row r="529" spans="2:44" ht="13.15" customHeight="1">
      <c r="B529" s="68" t="str">
        <f t="shared" si="143"/>
        <v/>
      </c>
      <c r="C529" s="55" cm="1">
        <f t="array" aca="1" ref="C529" ca="1">SUM(IF(ISNUMBER(M529:U529),M529:U529,""))</f>
        <v>0</v>
      </c>
      <c r="D529" s="25" t="str">
        <f t="shared" si="144"/>
        <v/>
      </c>
      <c r="E529" s="25" t="e">
        <f t="shared" si="145"/>
        <v>#VALUE!</v>
      </c>
      <c r="F529" s="25" t="str">
        <f t="shared" si="146"/>
        <v/>
      </c>
      <c r="G529" s="25" t="str">
        <f t="shared" si="147"/>
        <v>.xlsx</v>
      </c>
      <c r="H529" s="29" t="e" cm="1">
        <f t="array" aca="1" ref="H529" ca="1">IF(AND(VALUE(E529)=INDIRECT("'["&amp;G529&amp;"]"&amp;E529&amp;"'!"&amp;$X$2),G529=INDIRECT("'["&amp;G529&amp;"]"&amp;E529&amp;"'!"&amp;$X$3)),INDIRECT("'["&amp;G529&amp;"]"&amp;E529&amp;"'!"&amp;$X$1),0)</f>
        <v>#VALUE!</v>
      </c>
      <c r="I529" s="25" t="str">
        <f t="shared" si="148"/>
        <v/>
      </c>
      <c r="J529" s="32" t="str">
        <f t="shared" si="149"/>
        <v/>
      </c>
      <c r="K529" s="25" t="str">
        <f t="shared" si="150"/>
        <v/>
      </c>
      <c r="L529" s="25" t="str">
        <f t="shared" si="151"/>
        <v/>
      </c>
      <c r="M529" s="33" t="e" cm="1">
        <f t="array" aca="1" ref="M529" ca="1">IF(AND(J529=INDIRECT("'["&amp;G529&amp;"]"&amp;E529&amp;"'!"&amp;$Y$2),G529=INDIRECT("'["&amp;G529&amp;"]"&amp;E529&amp;"'!"&amp;$AH$2)),INDIRECT("'["&amp;G529&amp;"]"&amp;E529&amp;"'!"&amp;$Y$3),0)</f>
        <v>#VALUE!</v>
      </c>
      <c r="N529" s="34" t="e" cm="1">
        <f t="array" aca="1" ref="N529" ca="1">IF(AND(G529=INDIRECT("'["&amp;G529&amp;"]"&amp;E529&amp;"'!"&amp;$AH$2),OR(K529=INDIRECT("'["&amp;G529&amp;"]"&amp;E529&amp;"'!"&amp;$Z$2))),INDIRECT("'["&amp;G529&amp;"]"&amp;E529&amp;"'!"&amp;$Z$3),0)</f>
        <v>#VALUE!</v>
      </c>
      <c r="O529" s="34" t="e" cm="1">
        <f t="array" aca="1" ref="O529" ca="1">IF(AND(G529=INDIRECT("'["&amp;G529&amp;"]"&amp;E529&amp;"'!"&amp;$AH$2),OR(L529=INDIRECT("'["&amp;G529&amp;"]"&amp;E529&amp;"'!"&amp;$AA$2))),INDIRECT("'["&amp;G529&amp;"]"&amp;E529&amp;"'!"&amp;$AA$3),0)</f>
        <v>#VALUE!</v>
      </c>
      <c r="P529" s="34" t="e" cm="1">
        <f t="array" aca="1" ref="P529" ca="1">IF(AND(G529=INDIRECT("'["&amp;G529&amp;"]"&amp;E529&amp;"'!"&amp;$AH$2),OR(VALUE(I529)=INDIRECT("'["&amp;G529&amp;"]"&amp;E529&amp;"'!"&amp;$AB$2))),INDIRECT("'["&amp;G529&amp;"]"&amp;E529&amp;"'!"&amp;$AB$3),0)</f>
        <v>#VALUE!</v>
      </c>
      <c r="Q529" s="34" t="e" cm="1">
        <f t="array" aca="1" ref="Q529" ca="1">IF(AND(G529=INDIRECT("'["&amp;G529&amp;"]"&amp;E529&amp;"'!"&amp;$AH$2),OR(VALUE(I529)=INDIRECT("'["&amp;G529&amp;"]"&amp;E529&amp;"'!"&amp;$AC$2))),INDIRECT("'["&amp;G529&amp;"]"&amp;E529&amp;"'!"&amp;$AC$3),0)</f>
        <v>#VALUE!</v>
      </c>
      <c r="R529" s="34" t="e" cm="1">
        <f t="array" aca="1" ref="R529" ca="1">IF(AND(G529=INDIRECT("'["&amp;G529&amp;"]"&amp;E529&amp;"'!"&amp;$AH$2),OR(I529=INDIRECT("'["&amp;G529&amp;"]"&amp;E529&amp;"'!"&amp;$AD$2))),INDIRECT("'["&amp;G529&amp;"]"&amp;E529&amp;"'!"&amp;$AD$3),0)</f>
        <v>#VALUE!</v>
      </c>
      <c r="S529" s="34" t="e" cm="1">
        <f t="array" aca="1" ref="S529" ca="1">IF(AND(G529=INDIRECT("'["&amp;G529&amp;"]"&amp;E529&amp;"'!"&amp;$AH$2),OR(I529=INDIRECT("'["&amp;G529&amp;"]"&amp;E529&amp;"'!"&amp;$AE$2))),INDIRECT("'["&amp;G529&amp;"]"&amp;E529&amp;"'!"&amp;$AE$3),0)</f>
        <v>#VALUE!</v>
      </c>
      <c r="T529" s="35" t="e" cm="1">
        <f t="array" aca="1" ref="T529" ca="1">IF(AND(G529=INDIRECT("'["&amp;G529&amp;"]"&amp;E529&amp;"'!"&amp;$AH$2),OR(I529=INDIRECT("'["&amp;G529&amp;"]"&amp;E529&amp;"'!"&amp;$AF$2))),INDIRECT("'["&amp;G529&amp;"]"&amp;E529&amp;"'!"&amp;$AF$3),0)</f>
        <v>#VALUE!</v>
      </c>
      <c r="U529" s="34" t="e" cm="1">
        <f t="array" aca="1" ref="U529" ca="1">IF(AND(G529=INDIRECT("'["&amp;G529&amp;"]"&amp;E529&amp;"'!"&amp;$AH$2),OR(I529=INDIRECT("'["&amp;G529&amp;"]"&amp;E529&amp;"'!"&amp;$AG$2))),INDIRECT("'["&amp;G529&amp;"]"&amp;E529&amp;"'!"&amp;$AG$3),0)</f>
        <v>#VALUE!</v>
      </c>
      <c r="V529" s="25" t="str">
        <f t="shared" si="152"/>
        <v/>
      </c>
      <c r="W529" s="36" t="e" cm="1">
        <f t="array" aca="1" ref="W529" ca="1">IF(AND(G529=INDIRECT("'["&amp;G529&amp;"]"&amp;E529&amp;"'!"&amp;$AH$2),OR(V529=INDIRECT("'["&amp;G529&amp;"]"&amp;E529&amp;"'!"&amp;$AI$2))),INDIRECT("'["&amp;G529&amp;"]"&amp;E529&amp;"'!"&amp;$AI$3),0)</f>
        <v>#VALUE!</v>
      </c>
      <c r="AJ529" s="25">
        <v>1</v>
      </c>
      <c r="AK529" s="38">
        <f t="shared" ca="1" si="153"/>
        <v>0</v>
      </c>
      <c r="AL529" s="38">
        <f t="shared" ca="1" si="154"/>
        <v>0</v>
      </c>
      <c r="AM529" s="54" t="str">
        <f t="shared" ca="1" si="155"/>
        <v/>
      </c>
      <c r="AN529" s="25" t="e">
        <f t="shared" ca="1" si="156"/>
        <v>#VALUE!</v>
      </c>
      <c r="AO529" s="25" t="e">
        <f t="shared" ca="1" si="157"/>
        <v>#VALUE!</v>
      </c>
      <c r="AQ529" s="46" t="str">
        <f ca="1">IF(AND(C529&lt;&gt;0, C530=0), SUM($C$2:C529)-SUM($AQ$1:AQ528), "")</f>
        <v/>
      </c>
      <c r="AR529" s="46" t="str">
        <f ca="1">IF(AND(AK529&lt;&gt;0, AK530=0), SUM($AK$2:AK529)-SUM($AR$1:AR528), "")</f>
        <v/>
      </c>
    </row>
    <row r="530" spans="2:44" ht="13.15" customHeight="1">
      <c r="B530" s="68" t="str">
        <f t="shared" si="143"/>
        <v/>
      </c>
      <c r="C530" s="55" cm="1">
        <f t="array" aca="1" ref="C530" ca="1">SUM(IF(ISNUMBER(M530:U530),M530:U530,""))</f>
        <v>0</v>
      </c>
      <c r="D530" s="25" t="str">
        <f t="shared" si="144"/>
        <v/>
      </c>
      <c r="E530" s="25" t="e">
        <f t="shared" si="145"/>
        <v>#VALUE!</v>
      </c>
      <c r="F530" s="25" t="str">
        <f t="shared" si="146"/>
        <v/>
      </c>
      <c r="G530" s="25" t="str">
        <f t="shared" si="147"/>
        <v>.xlsx</v>
      </c>
      <c r="H530" s="29" t="e" cm="1">
        <f t="array" aca="1" ref="H530" ca="1">IF(AND(VALUE(E530)=INDIRECT("'["&amp;G530&amp;"]"&amp;E530&amp;"'!"&amp;$X$2),G530=INDIRECT("'["&amp;G530&amp;"]"&amp;E530&amp;"'!"&amp;$X$3)),INDIRECT("'["&amp;G530&amp;"]"&amp;E530&amp;"'!"&amp;$X$1),0)</f>
        <v>#VALUE!</v>
      </c>
      <c r="I530" s="25" t="str">
        <f t="shared" si="148"/>
        <v/>
      </c>
      <c r="J530" s="32" t="str">
        <f t="shared" si="149"/>
        <v/>
      </c>
      <c r="K530" s="25" t="str">
        <f t="shared" si="150"/>
        <v/>
      </c>
      <c r="L530" s="25" t="str">
        <f t="shared" si="151"/>
        <v/>
      </c>
      <c r="M530" s="33" t="e" cm="1">
        <f t="array" aca="1" ref="M530" ca="1">IF(AND(J530=INDIRECT("'["&amp;G530&amp;"]"&amp;E530&amp;"'!"&amp;$Y$2),G530=INDIRECT("'["&amp;G530&amp;"]"&amp;E530&amp;"'!"&amp;$AH$2)),INDIRECT("'["&amp;G530&amp;"]"&amp;E530&amp;"'!"&amp;$Y$3),0)</f>
        <v>#VALUE!</v>
      </c>
      <c r="N530" s="34" t="e" cm="1">
        <f t="array" aca="1" ref="N530" ca="1">IF(AND(G530=INDIRECT("'["&amp;G530&amp;"]"&amp;E530&amp;"'!"&amp;$AH$2),OR(K530=INDIRECT("'["&amp;G530&amp;"]"&amp;E530&amp;"'!"&amp;$Z$2))),INDIRECT("'["&amp;G530&amp;"]"&amp;E530&amp;"'!"&amp;$Z$3),0)</f>
        <v>#VALUE!</v>
      </c>
      <c r="O530" s="34" t="e" cm="1">
        <f t="array" aca="1" ref="O530" ca="1">IF(AND(G530=INDIRECT("'["&amp;G530&amp;"]"&amp;E530&amp;"'!"&amp;$AH$2),OR(L530=INDIRECT("'["&amp;G530&amp;"]"&amp;E530&amp;"'!"&amp;$AA$2))),INDIRECT("'["&amp;G530&amp;"]"&amp;E530&amp;"'!"&amp;$AA$3),0)</f>
        <v>#VALUE!</v>
      </c>
      <c r="P530" s="34" t="e" cm="1">
        <f t="array" aca="1" ref="P530" ca="1">IF(AND(G530=INDIRECT("'["&amp;G530&amp;"]"&amp;E530&amp;"'!"&amp;$AH$2),OR(VALUE(I530)=INDIRECT("'["&amp;G530&amp;"]"&amp;E530&amp;"'!"&amp;$AB$2))),INDIRECT("'["&amp;G530&amp;"]"&amp;E530&amp;"'!"&amp;$AB$3),0)</f>
        <v>#VALUE!</v>
      </c>
      <c r="Q530" s="34" t="e" cm="1">
        <f t="array" aca="1" ref="Q530" ca="1">IF(AND(G530=INDIRECT("'["&amp;G530&amp;"]"&amp;E530&amp;"'!"&amp;$AH$2),OR(VALUE(I530)=INDIRECT("'["&amp;G530&amp;"]"&amp;E530&amp;"'!"&amp;$AC$2))),INDIRECT("'["&amp;G530&amp;"]"&amp;E530&amp;"'!"&amp;$AC$3),0)</f>
        <v>#VALUE!</v>
      </c>
      <c r="R530" s="34" t="e" cm="1">
        <f t="array" aca="1" ref="R530" ca="1">IF(AND(G530=INDIRECT("'["&amp;G530&amp;"]"&amp;E530&amp;"'!"&amp;$AH$2),OR(I530=INDIRECT("'["&amp;G530&amp;"]"&amp;E530&amp;"'!"&amp;$AD$2))),INDIRECT("'["&amp;G530&amp;"]"&amp;E530&amp;"'!"&amp;$AD$3),0)</f>
        <v>#VALUE!</v>
      </c>
      <c r="S530" s="34" t="e" cm="1">
        <f t="array" aca="1" ref="S530" ca="1">IF(AND(G530=INDIRECT("'["&amp;G530&amp;"]"&amp;E530&amp;"'!"&amp;$AH$2),OR(I530=INDIRECT("'["&amp;G530&amp;"]"&amp;E530&amp;"'!"&amp;$AE$2))),INDIRECT("'["&amp;G530&amp;"]"&amp;E530&amp;"'!"&amp;$AE$3),0)</f>
        <v>#VALUE!</v>
      </c>
      <c r="T530" s="35" t="e" cm="1">
        <f t="array" aca="1" ref="T530" ca="1">IF(AND(G530=INDIRECT("'["&amp;G530&amp;"]"&amp;E530&amp;"'!"&amp;$AH$2),OR(I530=INDIRECT("'["&amp;G530&amp;"]"&amp;E530&amp;"'!"&amp;$AF$2))),INDIRECT("'["&amp;G530&amp;"]"&amp;E530&amp;"'!"&amp;$AF$3),0)</f>
        <v>#VALUE!</v>
      </c>
      <c r="U530" s="34" t="e" cm="1">
        <f t="array" aca="1" ref="U530" ca="1">IF(AND(G530=INDIRECT("'["&amp;G530&amp;"]"&amp;E530&amp;"'!"&amp;$AH$2),OR(I530=INDIRECT("'["&amp;G530&amp;"]"&amp;E530&amp;"'!"&amp;$AG$2))),INDIRECT("'["&amp;G530&amp;"]"&amp;E530&amp;"'!"&amp;$AG$3),0)</f>
        <v>#VALUE!</v>
      </c>
      <c r="V530" s="25" t="str">
        <f t="shared" si="152"/>
        <v/>
      </c>
      <c r="W530" s="36" t="e" cm="1">
        <f t="array" aca="1" ref="W530" ca="1">IF(AND(G530=INDIRECT("'["&amp;G530&amp;"]"&amp;E530&amp;"'!"&amp;$AH$2),OR(V530=INDIRECT("'["&amp;G530&amp;"]"&amp;E530&amp;"'!"&amp;$AI$2))),INDIRECT("'["&amp;G530&amp;"]"&amp;E530&amp;"'!"&amp;$AI$3),0)</f>
        <v>#VALUE!</v>
      </c>
      <c r="AJ530" s="25">
        <v>1</v>
      </c>
      <c r="AK530" s="38">
        <f t="shared" ca="1" si="153"/>
        <v>0</v>
      </c>
      <c r="AL530" s="38">
        <f t="shared" ca="1" si="154"/>
        <v>0</v>
      </c>
      <c r="AM530" s="54" t="str">
        <f t="shared" ca="1" si="155"/>
        <v/>
      </c>
      <c r="AN530" s="25" t="e">
        <f t="shared" ca="1" si="156"/>
        <v>#VALUE!</v>
      </c>
      <c r="AO530" s="25" t="e">
        <f t="shared" ca="1" si="157"/>
        <v>#VALUE!</v>
      </c>
      <c r="AQ530" s="46" t="str">
        <f ca="1">IF(AND(C530&lt;&gt;0, C531=0), SUM($C$2:C530)-SUM($AQ$1:AQ529), "")</f>
        <v/>
      </c>
      <c r="AR530" s="46" t="str">
        <f ca="1">IF(AND(AK530&lt;&gt;0, AK531=0), SUM($AK$2:AK530)-SUM($AR$1:AR529), "")</f>
        <v/>
      </c>
    </row>
    <row r="531" spans="2:44" ht="13.15" customHeight="1">
      <c r="B531" s="68" t="str">
        <f t="shared" si="143"/>
        <v/>
      </c>
      <c r="C531" s="55" cm="1">
        <f t="array" aca="1" ref="C531" ca="1">SUM(IF(ISNUMBER(M531:U531),M531:U531,""))</f>
        <v>0</v>
      </c>
      <c r="D531" s="25" t="str">
        <f t="shared" si="144"/>
        <v/>
      </c>
      <c r="E531" s="25" t="e">
        <f t="shared" si="145"/>
        <v>#VALUE!</v>
      </c>
      <c r="F531" s="25" t="str">
        <f t="shared" si="146"/>
        <v/>
      </c>
      <c r="G531" s="25" t="str">
        <f t="shared" si="147"/>
        <v>.xlsx</v>
      </c>
      <c r="H531" s="29" t="e" cm="1">
        <f t="array" aca="1" ref="H531" ca="1">IF(AND(VALUE(E531)=INDIRECT("'["&amp;G531&amp;"]"&amp;E531&amp;"'!"&amp;$X$2),G531=INDIRECT("'["&amp;G531&amp;"]"&amp;E531&amp;"'!"&amp;$X$3)),INDIRECT("'["&amp;G531&amp;"]"&amp;E531&amp;"'!"&amp;$X$1),0)</f>
        <v>#VALUE!</v>
      </c>
      <c r="I531" s="25" t="str">
        <f t="shared" si="148"/>
        <v/>
      </c>
      <c r="J531" s="32" t="str">
        <f t="shared" si="149"/>
        <v/>
      </c>
      <c r="K531" s="25" t="str">
        <f t="shared" si="150"/>
        <v/>
      </c>
      <c r="L531" s="25" t="str">
        <f t="shared" si="151"/>
        <v/>
      </c>
      <c r="M531" s="33" t="e" cm="1">
        <f t="array" aca="1" ref="M531" ca="1">IF(AND(J531=INDIRECT("'["&amp;G531&amp;"]"&amp;E531&amp;"'!"&amp;$Y$2),G531=INDIRECT("'["&amp;G531&amp;"]"&amp;E531&amp;"'!"&amp;$AH$2)),INDIRECT("'["&amp;G531&amp;"]"&amp;E531&amp;"'!"&amp;$Y$3),0)</f>
        <v>#VALUE!</v>
      </c>
      <c r="N531" s="34" t="e" cm="1">
        <f t="array" aca="1" ref="N531" ca="1">IF(AND(G531=INDIRECT("'["&amp;G531&amp;"]"&amp;E531&amp;"'!"&amp;$AH$2),OR(K531=INDIRECT("'["&amp;G531&amp;"]"&amp;E531&amp;"'!"&amp;$Z$2))),INDIRECT("'["&amp;G531&amp;"]"&amp;E531&amp;"'!"&amp;$Z$3),0)</f>
        <v>#VALUE!</v>
      </c>
      <c r="O531" s="34" t="e" cm="1">
        <f t="array" aca="1" ref="O531" ca="1">IF(AND(G531=INDIRECT("'["&amp;G531&amp;"]"&amp;E531&amp;"'!"&amp;$AH$2),OR(L531=INDIRECT("'["&amp;G531&amp;"]"&amp;E531&amp;"'!"&amp;$AA$2))),INDIRECT("'["&amp;G531&amp;"]"&amp;E531&amp;"'!"&amp;$AA$3),0)</f>
        <v>#VALUE!</v>
      </c>
      <c r="P531" s="34" t="e" cm="1">
        <f t="array" aca="1" ref="P531" ca="1">IF(AND(G531=INDIRECT("'["&amp;G531&amp;"]"&amp;E531&amp;"'!"&amp;$AH$2),OR(VALUE(I531)=INDIRECT("'["&amp;G531&amp;"]"&amp;E531&amp;"'!"&amp;$AB$2))),INDIRECT("'["&amp;G531&amp;"]"&amp;E531&amp;"'!"&amp;$AB$3),0)</f>
        <v>#VALUE!</v>
      </c>
      <c r="Q531" s="34" t="e" cm="1">
        <f t="array" aca="1" ref="Q531" ca="1">IF(AND(G531=INDIRECT("'["&amp;G531&amp;"]"&amp;E531&amp;"'!"&amp;$AH$2),OR(VALUE(I531)=INDIRECT("'["&amp;G531&amp;"]"&amp;E531&amp;"'!"&amp;$AC$2))),INDIRECT("'["&amp;G531&amp;"]"&amp;E531&amp;"'!"&amp;$AC$3),0)</f>
        <v>#VALUE!</v>
      </c>
      <c r="R531" s="34" t="e" cm="1">
        <f t="array" aca="1" ref="R531" ca="1">IF(AND(G531=INDIRECT("'["&amp;G531&amp;"]"&amp;E531&amp;"'!"&amp;$AH$2),OR(I531=INDIRECT("'["&amp;G531&amp;"]"&amp;E531&amp;"'!"&amp;$AD$2))),INDIRECT("'["&amp;G531&amp;"]"&amp;E531&amp;"'!"&amp;$AD$3),0)</f>
        <v>#VALUE!</v>
      </c>
      <c r="S531" s="34" t="e" cm="1">
        <f t="array" aca="1" ref="S531" ca="1">IF(AND(G531=INDIRECT("'["&amp;G531&amp;"]"&amp;E531&amp;"'!"&amp;$AH$2),OR(I531=INDIRECT("'["&amp;G531&amp;"]"&amp;E531&amp;"'!"&amp;$AE$2))),INDIRECT("'["&amp;G531&amp;"]"&amp;E531&amp;"'!"&amp;$AE$3),0)</f>
        <v>#VALUE!</v>
      </c>
      <c r="T531" s="35" t="e" cm="1">
        <f t="array" aca="1" ref="T531" ca="1">IF(AND(G531=INDIRECT("'["&amp;G531&amp;"]"&amp;E531&amp;"'!"&amp;$AH$2),OR(I531=INDIRECT("'["&amp;G531&amp;"]"&amp;E531&amp;"'!"&amp;$AF$2))),INDIRECT("'["&amp;G531&amp;"]"&amp;E531&amp;"'!"&amp;$AF$3),0)</f>
        <v>#VALUE!</v>
      </c>
      <c r="U531" s="34" t="e" cm="1">
        <f t="array" aca="1" ref="U531" ca="1">IF(AND(G531=INDIRECT("'["&amp;G531&amp;"]"&amp;E531&amp;"'!"&amp;$AH$2),OR(I531=INDIRECT("'["&amp;G531&amp;"]"&amp;E531&amp;"'!"&amp;$AG$2))),INDIRECT("'["&amp;G531&amp;"]"&amp;E531&amp;"'!"&amp;$AG$3),0)</f>
        <v>#VALUE!</v>
      </c>
      <c r="V531" s="25" t="str">
        <f t="shared" si="152"/>
        <v/>
      </c>
      <c r="W531" s="36" t="e" cm="1">
        <f t="array" aca="1" ref="W531" ca="1">IF(AND(G531=INDIRECT("'["&amp;G531&amp;"]"&amp;E531&amp;"'!"&amp;$AH$2),OR(V531=INDIRECT("'["&amp;G531&amp;"]"&amp;E531&amp;"'!"&amp;$AI$2))),INDIRECT("'["&amp;G531&amp;"]"&amp;E531&amp;"'!"&amp;$AI$3),0)</f>
        <v>#VALUE!</v>
      </c>
      <c r="AJ531" s="25">
        <v>1</v>
      </c>
      <c r="AK531" s="38">
        <f t="shared" ca="1" si="153"/>
        <v>0</v>
      </c>
      <c r="AL531" s="38">
        <f t="shared" ca="1" si="154"/>
        <v>0</v>
      </c>
      <c r="AM531" s="54" t="str">
        <f t="shared" ca="1" si="155"/>
        <v/>
      </c>
      <c r="AN531" s="25" t="e">
        <f t="shared" ca="1" si="156"/>
        <v>#VALUE!</v>
      </c>
      <c r="AO531" s="25" t="e">
        <f t="shared" ca="1" si="157"/>
        <v>#VALUE!</v>
      </c>
      <c r="AQ531" s="46" t="str">
        <f ca="1">IF(AND(C531&lt;&gt;0, C532=0), SUM($C$2:C531)-SUM($AQ$1:AQ530), "")</f>
        <v/>
      </c>
      <c r="AR531" s="46" t="str">
        <f ca="1">IF(AND(AK531&lt;&gt;0, AK532=0), SUM($AK$2:AK531)-SUM($AR$1:AR530), "")</f>
        <v/>
      </c>
    </row>
    <row r="532" spans="2:44" ht="13.15" customHeight="1">
      <c r="B532" s="68" t="str">
        <f t="shared" si="143"/>
        <v/>
      </c>
      <c r="C532" s="55" cm="1">
        <f t="array" aca="1" ref="C532" ca="1">SUM(IF(ISNUMBER(M532:U532),M532:U532,""))</f>
        <v>0</v>
      </c>
      <c r="D532" s="25" t="str">
        <f t="shared" si="144"/>
        <v/>
      </c>
      <c r="E532" s="25" t="e">
        <f t="shared" si="145"/>
        <v>#VALUE!</v>
      </c>
      <c r="F532" s="25" t="str">
        <f t="shared" si="146"/>
        <v/>
      </c>
      <c r="G532" s="25" t="str">
        <f t="shared" si="147"/>
        <v>.xlsx</v>
      </c>
      <c r="H532" s="29" t="e" cm="1">
        <f t="array" aca="1" ref="H532" ca="1">IF(AND(VALUE(E532)=INDIRECT("'["&amp;G532&amp;"]"&amp;E532&amp;"'!"&amp;$X$2),G532=INDIRECT("'["&amp;G532&amp;"]"&amp;E532&amp;"'!"&amp;$X$3)),INDIRECT("'["&amp;G532&amp;"]"&amp;E532&amp;"'!"&amp;$X$1),0)</f>
        <v>#VALUE!</v>
      </c>
      <c r="I532" s="25" t="str">
        <f t="shared" si="148"/>
        <v/>
      </c>
      <c r="J532" s="32" t="str">
        <f t="shared" si="149"/>
        <v/>
      </c>
      <c r="K532" s="25" t="str">
        <f t="shared" si="150"/>
        <v/>
      </c>
      <c r="L532" s="25" t="str">
        <f t="shared" si="151"/>
        <v/>
      </c>
      <c r="M532" s="33" t="e" cm="1">
        <f t="array" aca="1" ref="M532" ca="1">IF(AND(J532=INDIRECT("'["&amp;G532&amp;"]"&amp;E532&amp;"'!"&amp;$Y$2),G532=INDIRECT("'["&amp;G532&amp;"]"&amp;E532&amp;"'!"&amp;$AH$2)),INDIRECT("'["&amp;G532&amp;"]"&amp;E532&amp;"'!"&amp;$Y$3),0)</f>
        <v>#VALUE!</v>
      </c>
      <c r="N532" s="34" t="e" cm="1">
        <f t="array" aca="1" ref="N532" ca="1">IF(AND(G532=INDIRECT("'["&amp;G532&amp;"]"&amp;E532&amp;"'!"&amp;$AH$2),OR(K532=INDIRECT("'["&amp;G532&amp;"]"&amp;E532&amp;"'!"&amp;$Z$2))),INDIRECT("'["&amp;G532&amp;"]"&amp;E532&amp;"'!"&amp;$Z$3),0)</f>
        <v>#VALUE!</v>
      </c>
      <c r="O532" s="34" t="e" cm="1">
        <f t="array" aca="1" ref="O532" ca="1">IF(AND(G532=INDIRECT("'["&amp;G532&amp;"]"&amp;E532&amp;"'!"&amp;$AH$2),OR(L532=INDIRECT("'["&amp;G532&amp;"]"&amp;E532&amp;"'!"&amp;$AA$2))),INDIRECT("'["&amp;G532&amp;"]"&amp;E532&amp;"'!"&amp;$AA$3),0)</f>
        <v>#VALUE!</v>
      </c>
      <c r="P532" s="34" t="e" cm="1">
        <f t="array" aca="1" ref="P532" ca="1">IF(AND(G532=INDIRECT("'["&amp;G532&amp;"]"&amp;E532&amp;"'!"&amp;$AH$2),OR(VALUE(I532)=INDIRECT("'["&amp;G532&amp;"]"&amp;E532&amp;"'!"&amp;$AB$2))),INDIRECT("'["&amp;G532&amp;"]"&amp;E532&amp;"'!"&amp;$AB$3),0)</f>
        <v>#VALUE!</v>
      </c>
      <c r="Q532" s="34" t="e" cm="1">
        <f t="array" aca="1" ref="Q532" ca="1">IF(AND(G532=INDIRECT("'["&amp;G532&amp;"]"&amp;E532&amp;"'!"&amp;$AH$2),OR(VALUE(I532)=INDIRECT("'["&amp;G532&amp;"]"&amp;E532&amp;"'!"&amp;$AC$2))),INDIRECT("'["&amp;G532&amp;"]"&amp;E532&amp;"'!"&amp;$AC$3),0)</f>
        <v>#VALUE!</v>
      </c>
      <c r="R532" s="34" t="e" cm="1">
        <f t="array" aca="1" ref="R532" ca="1">IF(AND(G532=INDIRECT("'["&amp;G532&amp;"]"&amp;E532&amp;"'!"&amp;$AH$2),OR(I532=INDIRECT("'["&amp;G532&amp;"]"&amp;E532&amp;"'!"&amp;$AD$2))),INDIRECT("'["&amp;G532&amp;"]"&amp;E532&amp;"'!"&amp;$AD$3),0)</f>
        <v>#VALUE!</v>
      </c>
      <c r="S532" s="34" t="e" cm="1">
        <f t="array" aca="1" ref="S532" ca="1">IF(AND(G532=INDIRECT("'["&amp;G532&amp;"]"&amp;E532&amp;"'!"&amp;$AH$2),OR(I532=INDIRECT("'["&amp;G532&amp;"]"&amp;E532&amp;"'!"&amp;$AE$2))),INDIRECT("'["&amp;G532&amp;"]"&amp;E532&amp;"'!"&amp;$AE$3),0)</f>
        <v>#VALUE!</v>
      </c>
      <c r="T532" s="35" t="e" cm="1">
        <f t="array" aca="1" ref="T532" ca="1">IF(AND(G532=INDIRECT("'["&amp;G532&amp;"]"&amp;E532&amp;"'!"&amp;$AH$2),OR(I532=INDIRECT("'["&amp;G532&amp;"]"&amp;E532&amp;"'!"&amp;$AF$2))),INDIRECT("'["&amp;G532&amp;"]"&amp;E532&amp;"'!"&amp;$AF$3),0)</f>
        <v>#VALUE!</v>
      </c>
      <c r="U532" s="34" t="e" cm="1">
        <f t="array" aca="1" ref="U532" ca="1">IF(AND(G532=INDIRECT("'["&amp;G532&amp;"]"&amp;E532&amp;"'!"&amp;$AH$2),OR(I532=INDIRECT("'["&amp;G532&amp;"]"&amp;E532&amp;"'!"&amp;$AG$2))),INDIRECT("'["&amp;G532&amp;"]"&amp;E532&amp;"'!"&amp;$AG$3),0)</f>
        <v>#VALUE!</v>
      </c>
      <c r="V532" s="25" t="str">
        <f t="shared" si="152"/>
        <v/>
      </c>
      <c r="W532" s="36" t="e" cm="1">
        <f t="array" aca="1" ref="W532" ca="1">IF(AND(G532=INDIRECT("'["&amp;G532&amp;"]"&amp;E532&amp;"'!"&amp;$AH$2),OR(V532=INDIRECT("'["&amp;G532&amp;"]"&amp;E532&amp;"'!"&amp;$AI$2))),INDIRECT("'["&amp;G532&amp;"]"&amp;E532&amp;"'!"&amp;$AI$3),0)</f>
        <v>#VALUE!</v>
      </c>
      <c r="AJ532" s="25">
        <v>1</v>
      </c>
      <c r="AK532" s="38">
        <f t="shared" ca="1" si="153"/>
        <v>0</v>
      </c>
      <c r="AL532" s="38">
        <f t="shared" ca="1" si="154"/>
        <v>0</v>
      </c>
      <c r="AM532" s="54" t="str">
        <f t="shared" ca="1" si="155"/>
        <v/>
      </c>
      <c r="AN532" s="25" t="e">
        <f t="shared" ca="1" si="156"/>
        <v>#VALUE!</v>
      </c>
      <c r="AO532" s="25" t="e">
        <f t="shared" ca="1" si="157"/>
        <v>#VALUE!</v>
      </c>
      <c r="AQ532" s="46" t="str">
        <f ca="1">IF(AND(C532&lt;&gt;0, C533=0), SUM($C$2:C532)-SUM($AQ$1:AQ531), "")</f>
        <v/>
      </c>
      <c r="AR532" s="46" t="str">
        <f ca="1">IF(AND(AK532&lt;&gt;0, AK533=0), SUM($AK$2:AK532)-SUM($AR$1:AR531), "")</f>
        <v/>
      </c>
    </row>
    <row r="533" spans="2:44" ht="13.15" customHeight="1">
      <c r="B533" s="68" t="str">
        <f t="shared" si="143"/>
        <v/>
      </c>
      <c r="C533" s="55" cm="1">
        <f t="array" aca="1" ref="C533" ca="1">SUM(IF(ISNUMBER(M533:U533),M533:U533,""))</f>
        <v>0</v>
      </c>
      <c r="D533" s="25" t="str">
        <f t="shared" si="144"/>
        <v/>
      </c>
      <c r="E533" s="25" t="e">
        <f t="shared" si="145"/>
        <v>#VALUE!</v>
      </c>
      <c r="F533" s="25" t="str">
        <f t="shared" si="146"/>
        <v/>
      </c>
      <c r="G533" s="25" t="str">
        <f t="shared" si="147"/>
        <v>.xlsx</v>
      </c>
      <c r="H533" s="29" t="e" cm="1">
        <f t="array" aca="1" ref="H533" ca="1">IF(AND(VALUE(E533)=INDIRECT("'["&amp;G533&amp;"]"&amp;E533&amp;"'!"&amp;$X$2),G533=INDIRECT("'["&amp;G533&amp;"]"&amp;E533&amp;"'!"&amp;$X$3)),INDIRECT("'["&amp;G533&amp;"]"&amp;E533&amp;"'!"&amp;$X$1),0)</f>
        <v>#VALUE!</v>
      </c>
      <c r="I533" s="25" t="str">
        <f t="shared" si="148"/>
        <v/>
      </c>
      <c r="J533" s="32" t="str">
        <f t="shared" si="149"/>
        <v/>
      </c>
      <c r="K533" s="25" t="str">
        <f t="shared" si="150"/>
        <v/>
      </c>
      <c r="L533" s="25" t="str">
        <f t="shared" si="151"/>
        <v/>
      </c>
      <c r="M533" s="33" t="e" cm="1">
        <f t="array" aca="1" ref="M533" ca="1">IF(AND(J533=INDIRECT("'["&amp;G533&amp;"]"&amp;E533&amp;"'!"&amp;$Y$2),G533=INDIRECT("'["&amp;G533&amp;"]"&amp;E533&amp;"'!"&amp;$AH$2)),INDIRECT("'["&amp;G533&amp;"]"&amp;E533&amp;"'!"&amp;$Y$3),0)</f>
        <v>#VALUE!</v>
      </c>
      <c r="N533" s="34" t="e" cm="1">
        <f t="array" aca="1" ref="N533" ca="1">IF(AND(G533=INDIRECT("'["&amp;G533&amp;"]"&amp;E533&amp;"'!"&amp;$AH$2),OR(K533=INDIRECT("'["&amp;G533&amp;"]"&amp;E533&amp;"'!"&amp;$Z$2))),INDIRECT("'["&amp;G533&amp;"]"&amp;E533&amp;"'!"&amp;$Z$3),0)</f>
        <v>#VALUE!</v>
      </c>
      <c r="O533" s="34" t="e" cm="1">
        <f t="array" aca="1" ref="O533" ca="1">IF(AND(G533=INDIRECT("'["&amp;G533&amp;"]"&amp;E533&amp;"'!"&amp;$AH$2),OR(L533=INDIRECT("'["&amp;G533&amp;"]"&amp;E533&amp;"'!"&amp;$AA$2))),INDIRECT("'["&amp;G533&amp;"]"&amp;E533&amp;"'!"&amp;$AA$3),0)</f>
        <v>#VALUE!</v>
      </c>
      <c r="P533" s="34" t="e" cm="1">
        <f t="array" aca="1" ref="P533" ca="1">IF(AND(G533=INDIRECT("'["&amp;G533&amp;"]"&amp;E533&amp;"'!"&amp;$AH$2),OR(VALUE(I533)=INDIRECT("'["&amp;G533&amp;"]"&amp;E533&amp;"'!"&amp;$AB$2))),INDIRECT("'["&amp;G533&amp;"]"&amp;E533&amp;"'!"&amp;$AB$3),0)</f>
        <v>#VALUE!</v>
      </c>
      <c r="Q533" s="34" t="e" cm="1">
        <f t="array" aca="1" ref="Q533" ca="1">IF(AND(G533=INDIRECT("'["&amp;G533&amp;"]"&amp;E533&amp;"'!"&amp;$AH$2),OR(VALUE(I533)=INDIRECT("'["&amp;G533&amp;"]"&amp;E533&amp;"'!"&amp;$AC$2))),INDIRECT("'["&amp;G533&amp;"]"&amp;E533&amp;"'!"&amp;$AC$3),0)</f>
        <v>#VALUE!</v>
      </c>
      <c r="R533" s="34" t="e" cm="1">
        <f t="array" aca="1" ref="R533" ca="1">IF(AND(G533=INDIRECT("'["&amp;G533&amp;"]"&amp;E533&amp;"'!"&amp;$AH$2),OR(I533=INDIRECT("'["&amp;G533&amp;"]"&amp;E533&amp;"'!"&amp;$AD$2))),INDIRECT("'["&amp;G533&amp;"]"&amp;E533&amp;"'!"&amp;$AD$3),0)</f>
        <v>#VALUE!</v>
      </c>
      <c r="S533" s="34" t="e" cm="1">
        <f t="array" aca="1" ref="S533" ca="1">IF(AND(G533=INDIRECT("'["&amp;G533&amp;"]"&amp;E533&amp;"'!"&amp;$AH$2),OR(I533=INDIRECT("'["&amp;G533&amp;"]"&amp;E533&amp;"'!"&amp;$AE$2))),INDIRECT("'["&amp;G533&amp;"]"&amp;E533&amp;"'!"&amp;$AE$3),0)</f>
        <v>#VALUE!</v>
      </c>
      <c r="T533" s="35" t="e" cm="1">
        <f t="array" aca="1" ref="T533" ca="1">IF(AND(G533=INDIRECT("'["&amp;G533&amp;"]"&amp;E533&amp;"'!"&amp;$AH$2),OR(I533=INDIRECT("'["&amp;G533&amp;"]"&amp;E533&amp;"'!"&amp;$AF$2))),INDIRECT("'["&amp;G533&amp;"]"&amp;E533&amp;"'!"&amp;$AF$3),0)</f>
        <v>#VALUE!</v>
      </c>
      <c r="U533" s="34" t="e" cm="1">
        <f t="array" aca="1" ref="U533" ca="1">IF(AND(G533=INDIRECT("'["&amp;G533&amp;"]"&amp;E533&amp;"'!"&amp;$AH$2),OR(I533=INDIRECT("'["&amp;G533&amp;"]"&amp;E533&amp;"'!"&amp;$AG$2))),INDIRECT("'["&amp;G533&amp;"]"&amp;E533&amp;"'!"&amp;$AG$3),0)</f>
        <v>#VALUE!</v>
      </c>
      <c r="V533" s="25" t="str">
        <f t="shared" si="152"/>
        <v/>
      </c>
      <c r="W533" s="36" t="e" cm="1">
        <f t="array" aca="1" ref="W533" ca="1">IF(AND(G533=INDIRECT("'["&amp;G533&amp;"]"&amp;E533&amp;"'!"&amp;$AH$2),OR(V533=INDIRECT("'["&amp;G533&amp;"]"&amp;E533&amp;"'!"&amp;$AI$2))),INDIRECT("'["&amp;G533&amp;"]"&amp;E533&amp;"'!"&amp;$AI$3),0)</f>
        <v>#VALUE!</v>
      </c>
      <c r="AJ533" s="25">
        <v>1</v>
      </c>
      <c r="AK533" s="38">
        <f t="shared" ca="1" si="153"/>
        <v>0</v>
      </c>
      <c r="AL533" s="38">
        <f t="shared" ca="1" si="154"/>
        <v>0</v>
      </c>
      <c r="AM533" s="54" t="str">
        <f t="shared" ca="1" si="155"/>
        <v/>
      </c>
      <c r="AN533" s="25" t="e">
        <f t="shared" ca="1" si="156"/>
        <v>#VALUE!</v>
      </c>
      <c r="AO533" s="25" t="e">
        <f t="shared" ca="1" si="157"/>
        <v>#VALUE!</v>
      </c>
      <c r="AQ533" s="46" t="str">
        <f ca="1">IF(AND(C533&lt;&gt;0, C534=0), SUM($C$2:C533)-SUM($AQ$1:AQ532), "")</f>
        <v/>
      </c>
      <c r="AR533" s="46" t="str">
        <f ca="1">IF(AND(AK533&lt;&gt;0, AK534=0), SUM($AK$2:AK533)-SUM($AR$1:AR532), "")</f>
        <v/>
      </c>
    </row>
    <row r="534" spans="2:44" ht="13.15" customHeight="1">
      <c r="B534" s="68" t="str">
        <f t="shared" si="143"/>
        <v/>
      </c>
      <c r="C534" s="55" cm="1">
        <f t="array" aca="1" ref="C534" ca="1">SUM(IF(ISNUMBER(M534:U534),M534:U534,""))</f>
        <v>0</v>
      </c>
      <c r="D534" s="25" t="str">
        <f t="shared" si="144"/>
        <v/>
      </c>
      <c r="E534" s="25" t="e">
        <f t="shared" si="145"/>
        <v>#VALUE!</v>
      </c>
      <c r="F534" s="25" t="str">
        <f t="shared" si="146"/>
        <v/>
      </c>
      <c r="G534" s="25" t="str">
        <f t="shared" si="147"/>
        <v>.xlsx</v>
      </c>
      <c r="H534" s="29" t="e" cm="1">
        <f t="array" aca="1" ref="H534" ca="1">IF(AND(VALUE(E534)=INDIRECT("'["&amp;G534&amp;"]"&amp;E534&amp;"'!"&amp;$X$2),G534=INDIRECT("'["&amp;G534&amp;"]"&amp;E534&amp;"'!"&amp;$X$3)),INDIRECT("'["&amp;G534&amp;"]"&amp;E534&amp;"'!"&amp;$X$1),0)</f>
        <v>#VALUE!</v>
      </c>
      <c r="I534" s="25" t="str">
        <f t="shared" si="148"/>
        <v/>
      </c>
      <c r="J534" s="32" t="str">
        <f t="shared" si="149"/>
        <v/>
      </c>
      <c r="K534" s="25" t="str">
        <f t="shared" si="150"/>
        <v/>
      </c>
      <c r="L534" s="25" t="str">
        <f t="shared" si="151"/>
        <v/>
      </c>
      <c r="M534" s="33" t="e" cm="1">
        <f t="array" aca="1" ref="M534" ca="1">IF(AND(J534=INDIRECT("'["&amp;G534&amp;"]"&amp;E534&amp;"'!"&amp;$Y$2),G534=INDIRECT("'["&amp;G534&amp;"]"&amp;E534&amp;"'!"&amp;$AH$2)),INDIRECT("'["&amp;G534&amp;"]"&amp;E534&amp;"'!"&amp;$Y$3),0)</f>
        <v>#VALUE!</v>
      </c>
      <c r="N534" s="34" t="e" cm="1">
        <f t="array" aca="1" ref="N534" ca="1">IF(AND(G534=INDIRECT("'["&amp;G534&amp;"]"&amp;E534&amp;"'!"&amp;$AH$2),OR(K534=INDIRECT("'["&amp;G534&amp;"]"&amp;E534&amp;"'!"&amp;$Z$2))),INDIRECT("'["&amp;G534&amp;"]"&amp;E534&amp;"'!"&amp;$Z$3),0)</f>
        <v>#VALUE!</v>
      </c>
      <c r="O534" s="34" t="e" cm="1">
        <f t="array" aca="1" ref="O534" ca="1">IF(AND(G534=INDIRECT("'["&amp;G534&amp;"]"&amp;E534&amp;"'!"&amp;$AH$2),OR(L534=INDIRECT("'["&amp;G534&amp;"]"&amp;E534&amp;"'!"&amp;$AA$2))),INDIRECT("'["&amp;G534&amp;"]"&amp;E534&amp;"'!"&amp;$AA$3),0)</f>
        <v>#VALUE!</v>
      </c>
      <c r="P534" s="34" t="e" cm="1">
        <f t="array" aca="1" ref="P534" ca="1">IF(AND(G534=INDIRECT("'["&amp;G534&amp;"]"&amp;E534&amp;"'!"&amp;$AH$2),OR(VALUE(I534)=INDIRECT("'["&amp;G534&amp;"]"&amp;E534&amp;"'!"&amp;$AB$2))),INDIRECT("'["&amp;G534&amp;"]"&amp;E534&amp;"'!"&amp;$AB$3),0)</f>
        <v>#VALUE!</v>
      </c>
      <c r="Q534" s="34" t="e" cm="1">
        <f t="array" aca="1" ref="Q534" ca="1">IF(AND(G534=INDIRECT("'["&amp;G534&amp;"]"&amp;E534&amp;"'!"&amp;$AH$2),OR(VALUE(I534)=INDIRECT("'["&amp;G534&amp;"]"&amp;E534&amp;"'!"&amp;$AC$2))),INDIRECT("'["&amp;G534&amp;"]"&amp;E534&amp;"'!"&amp;$AC$3),0)</f>
        <v>#VALUE!</v>
      </c>
      <c r="R534" s="34" t="e" cm="1">
        <f t="array" aca="1" ref="R534" ca="1">IF(AND(G534=INDIRECT("'["&amp;G534&amp;"]"&amp;E534&amp;"'!"&amp;$AH$2),OR(I534=INDIRECT("'["&amp;G534&amp;"]"&amp;E534&amp;"'!"&amp;$AD$2))),INDIRECT("'["&amp;G534&amp;"]"&amp;E534&amp;"'!"&amp;$AD$3),0)</f>
        <v>#VALUE!</v>
      </c>
      <c r="S534" s="34" t="e" cm="1">
        <f t="array" aca="1" ref="S534" ca="1">IF(AND(G534=INDIRECT("'["&amp;G534&amp;"]"&amp;E534&amp;"'!"&amp;$AH$2),OR(I534=INDIRECT("'["&amp;G534&amp;"]"&amp;E534&amp;"'!"&amp;$AE$2))),INDIRECT("'["&amp;G534&amp;"]"&amp;E534&amp;"'!"&amp;$AE$3),0)</f>
        <v>#VALUE!</v>
      </c>
      <c r="T534" s="35" t="e" cm="1">
        <f t="array" aca="1" ref="T534" ca="1">IF(AND(G534=INDIRECT("'["&amp;G534&amp;"]"&amp;E534&amp;"'!"&amp;$AH$2),OR(I534=INDIRECT("'["&amp;G534&amp;"]"&amp;E534&amp;"'!"&amp;$AF$2))),INDIRECT("'["&amp;G534&amp;"]"&amp;E534&amp;"'!"&amp;$AF$3),0)</f>
        <v>#VALUE!</v>
      </c>
      <c r="U534" s="34" t="e" cm="1">
        <f t="array" aca="1" ref="U534" ca="1">IF(AND(G534=INDIRECT("'["&amp;G534&amp;"]"&amp;E534&amp;"'!"&amp;$AH$2),OR(I534=INDIRECT("'["&amp;G534&amp;"]"&amp;E534&amp;"'!"&amp;$AG$2))),INDIRECT("'["&amp;G534&amp;"]"&amp;E534&amp;"'!"&amp;$AG$3),0)</f>
        <v>#VALUE!</v>
      </c>
      <c r="V534" s="25" t="str">
        <f t="shared" si="152"/>
        <v/>
      </c>
      <c r="W534" s="36" t="e" cm="1">
        <f t="array" aca="1" ref="W534" ca="1">IF(AND(G534=INDIRECT("'["&amp;G534&amp;"]"&amp;E534&amp;"'!"&amp;$AH$2),OR(V534=INDIRECT("'["&amp;G534&amp;"]"&amp;E534&amp;"'!"&amp;$AI$2))),INDIRECT("'["&amp;G534&amp;"]"&amp;E534&amp;"'!"&amp;$AI$3),0)</f>
        <v>#VALUE!</v>
      </c>
      <c r="AJ534" s="25">
        <v>1</v>
      </c>
      <c r="AK534" s="38">
        <f t="shared" ca="1" si="153"/>
        <v>0</v>
      </c>
      <c r="AL534" s="38">
        <f t="shared" ca="1" si="154"/>
        <v>0</v>
      </c>
      <c r="AM534" s="54" t="str">
        <f t="shared" ca="1" si="155"/>
        <v/>
      </c>
      <c r="AN534" s="25" t="e">
        <f t="shared" ca="1" si="156"/>
        <v>#VALUE!</v>
      </c>
      <c r="AO534" s="25" t="e">
        <f t="shared" ca="1" si="157"/>
        <v>#VALUE!</v>
      </c>
      <c r="AQ534" s="46" t="str">
        <f ca="1">IF(AND(C534&lt;&gt;0, C535=0), SUM($C$2:C534)-SUM($AQ$1:AQ533), "")</f>
        <v/>
      </c>
      <c r="AR534" s="46" t="str">
        <f ca="1">IF(AND(AK534&lt;&gt;0, AK535=0), SUM($AK$2:AK534)-SUM($AR$1:AR533), "")</f>
        <v/>
      </c>
    </row>
    <row r="535" spans="2:44" ht="13.15" customHeight="1">
      <c r="B535" s="68" t="str">
        <f t="shared" si="143"/>
        <v/>
      </c>
      <c r="C535" s="55" cm="1">
        <f t="array" aca="1" ref="C535" ca="1">SUM(IF(ISNUMBER(M535:U535),M535:U535,""))</f>
        <v>0</v>
      </c>
      <c r="D535" s="25" t="str">
        <f t="shared" si="144"/>
        <v/>
      </c>
      <c r="E535" s="25" t="e">
        <f t="shared" si="145"/>
        <v>#VALUE!</v>
      </c>
      <c r="F535" s="25" t="str">
        <f t="shared" si="146"/>
        <v/>
      </c>
      <c r="G535" s="25" t="str">
        <f t="shared" si="147"/>
        <v>.xlsx</v>
      </c>
      <c r="H535" s="29" t="e" cm="1">
        <f t="array" aca="1" ref="H535" ca="1">IF(AND(VALUE(E535)=INDIRECT("'["&amp;G535&amp;"]"&amp;E535&amp;"'!"&amp;$X$2),G535=INDIRECT("'["&amp;G535&amp;"]"&amp;E535&amp;"'!"&amp;$X$3)),INDIRECT("'["&amp;G535&amp;"]"&amp;E535&amp;"'!"&amp;$X$1),0)</f>
        <v>#VALUE!</v>
      </c>
      <c r="I535" s="25" t="str">
        <f t="shared" si="148"/>
        <v/>
      </c>
      <c r="J535" s="32" t="str">
        <f t="shared" si="149"/>
        <v/>
      </c>
      <c r="K535" s="25" t="str">
        <f t="shared" si="150"/>
        <v/>
      </c>
      <c r="L535" s="25" t="str">
        <f t="shared" si="151"/>
        <v/>
      </c>
      <c r="M535" s="33" t="e" cm="1">
        <f t="array" aca="1" ref="M535" ca="1">IF(AND(J535=INDIRECT("'["&amp;G535&amp;"]"&amp;E535&amp;"'!"&amp;$Y$2),G535=INDIRECT("'["&amp;G535&amp;"]"&amp;E535&amp;"'!"&amp;$AH$2)),INDIRECT("'["&amp;G535&amp;"]"&amp;E535&amp;"'!"&amp;$Y$3),0)</f>
        <v>#VALUE!</v>
      </c>
      <c r="N535" s="34" t="e" cm="1">
        <f t="array" aca="1" ref="N535" ca="1">IF(AND(G535=INDIRECT("'["&amp;G535&amp;"]"&amp;E535&amp;"'!"&amp;$AH$2),OR(K535=INDIRECT("'["&amp;G535&amp;"]"&amp;E535&amp;"'!"&amp;$Z$2))),INDIRECT("'["&amp;G535&amp;"]"&amp;E535&amp;"'!"&amp;$Z$3),0)</f>
        <v>#VALUE!</v>
      </c>
      <c r="O535" s="34" t="e" cm="1">
        <f t="array" aca="1" ref="O535" ca="1">IF(AND(G535=INDIRECT("'["&amp;G535&amp;"]"&amp;E535&amp;"'!"&amp;$AH$2),OR(L535=INDIRECT("'["&amp;G535&amp;"]"&amp;E535&amp;"'!"&amp;$AA$2))),INDIRECT("'["&amp;G535&amp;"]"&amp;E535&amp;"'!"&amp;$AA$3),0)</f>
        <v>#VALUE!</v>
      </c>
      <c r="P535" s="34" t="e" cm="1">
        <f t="array" aca="1" ref="P535" ca="1">IF(AND(G535=INDIRECT("'["&amp;G535&amp;"]"&amp;E535&amp;"'!"&amp;$AH$2),OR(VALUE(I535)=INDIRECT("'["&amp;G535&amp;"]"&amp;E535&amp;"'!"&amp;$AB$2))),INDIRECT("'["&amp;G535&amp;"]"&amp;E535&amp;"'!"&amp;$AB$3),0)</f>
        <v>#VALUE!</v>
      </c>
      <c r="Q535" s="34" t="e" cm="1">
        <f t="array" aca="1" ref="Q535" ca="1">IF(AND(G535=INDIRECT("'["&amp;G535&amp;"]"&amp;E535&amp;"'!"&amp;$AH$2),OR(VALUE(I535)=INDIRECT("'["&amp;G535&amp;"]"&amp;E535&amp;"'!"&amp;$AC$2))),INDIRECT("'["&amp;G535&amp;"]"&amp;E535&amp;"'!"&amp;$AC$3),0)</f>
        <v>#VALUE!</v>
      </c>
      <c r="R535" s="34" t="e" cm="1">
        <f t="array" aca="1" ref="R535" ca="1">IF(AND(G535=INDIRECT("'["&amp;G535&amp;"]"&amp;E535&amp;"'!"&amp;$AH$2),OR(I535=INDIRECT("'["&amp;G535&amp;"]"&amp;E535&amp;"'!"&amp;$AD$2))),INDIRECT("'["&amp;G535&amp;"]"&amp;E535&amp;"'!"&amp;$AD$3),0)</f>
        <v>#VALUE!</v>
      </c>
      <c r="S535" s="34" t="e" cm="1">
        <f t="array" aca="1" ref="S535" ca="1">IF(AND(G535=INDIRECT("'["&amp;G535&amp;"]"&amp;E535&amp;"'!"&amp;$AH$2),OR(I535=INDIRECT("'["&amp;G535&amp;"]"&amp;E535&amp;"'!"&amp;$AE$2))),INDIRECT("'["&amp;G535&amp;"]"&amp;E535&amp;"'!"&amp;$AE$3),0)</f>
        <v>#VALUE!</v>
      </c>
      <c r="T535" s="35" t="e" cm="1">
        <f t="array" aca="1" ref="T535" ca="1">IF(AND(G535=INDIRECT("'["&amp;G535&amp;"]"&amp;E535&amp;"'!"&amp;$AH$2),OR(I535=INDIRECT("'["&amp;G535&amp;"]"&amp;E535&amp;"'!"&amp;$AF$2))),INDIRECT("'["&amp;G535&amp;"]"&amp;E535&amp;"'!"&amp;$AF$3),0)</f>
        <v>#VALUE!</v>
      </c>
      <c r="U535" s="34" t="e" cm="1">
        <f t="array" aca="1" ref="U535" ca="1">IF(AND(G535=INDIRECT("'["&amp;G535&amp;"]"&amp;E535&amp;"'!"&amp;$AH$2),OR(I535=INDIRECT("'["&amp;G535&amp;"]"&amp;E535&amp;"'!"&amp;$AG$2))),INDIRECT("'["&amp;G535&amp;"]"&amp;E535&amp;"'!"&amp;$AG$3),0)</f>
        <v>#VALUE!</v>
      </c>
      <c r="V535" s="25" t="str">
        <f t="shared" si="152"/>
        <v/>
      </c>
      <c r="W535" s="36" t="e" cm="1">
        <f t="array" aca="1" ref="W535" ca="1">IF(AND(G535=INDIRECT("'["&amp;G535&amp;"]"&amp;E535&amp;"'!"&amp;$AH$2),OR(V535=INDIRECT("'["&amp;G535&amp;"]"&amp;E535&amp;"'!"&amp;$AI$2))),INDIRECT("'["&amp;G535&amp;"]"&amp;E535&amp;"'!"&amp;$AI$3),0)</f>
        <v>#VALUE!</v>
      </c>
      <c r="AJ535" s="25">
        <v>1</v>
      </c>
      <c r="AK535" s="38">
        <f t="shared" ca="1" si="153"/>
        <v>0</v>
      </c>
      <c r="AL535" s="38">
        <f t="shared" ca="1" si="154"/>
        <v>0</v>
      </c>
      <c r="AM535" s="54" t="str">
        <f t="shared" ca="1" si="155"/>
        <v/>
      </c>
      <c r="AN535" s="25" t="e">
        <f t="shared" ca="1" si="156"/>
        <v>#VALUE!</v>
      </c>
      <c r="AO535" s="25" t="e">
        <f t="shared" ca="1" si="157"/>
        <v>#VALUE!</v>
      </c>
      <c r="AQ535" s="46" t="str">
        <f ca="1">IF(AND(C535&lt;&gt;0, C536=0), SUM($C$2:C535)-SUM($AQ$1:AQ534), "")</f>
        <v/>
      </c>
      <c r="AR535" s="46" t="str">
        <f ca="1">IF(AND(AK535&lt;&gt;0, AK536=0), SUM($AK$2:AK535)-SUM($AR$1:AR534), "")</f>
        <v/>
      </c>
    </row>
    <row r="536" spans="2:44" ht="13.15" customHeight="1">
      <c r="B536" s="68" t="str">
        <f t="shared" si="143"/>
        <v/>
      </c>
      <c r="C536" s="55" cm="1">
        <f t="array" aca="1" ref="C536" ca="1">SUM(IF(ISNUMBER(M536:U536),M536:U536,""))</f>
        <v>0</v>
      </c>
      <c r="D536" s="25" t="str">
        <f t="shared" si="144"/>
        <v/>
      </c>
      <c r="E536" s="25" t="e">
        <f t="shared" si="145"/>
        <v>#VALUE!</v>
      </c>
      <c r="F536" s="25" t="str">
        <f t="shared" si="146"/>
        <v/>
      </c>
      <c r="G536" s="25" t="str">
        <f t="shared" si="147"/>
        <v>.xlsx</v>
      </c>
      <c r="H536" s="29" t="e" cm="1">
        <f t="array" aca="1" ref="H536" ca="1">IF(AND(VALUE(E536)=INDIRECT("'["&amp;G536&amp;"]"&amp;E536&amp;"'!"&amp;$X$2),G536=INDIRECT("'["&amp;G536&amp;"]"&amp;E536&amp;"'!"&amp;$X$3)),INDIRECT("'["&amp;G536&amp;"]"&amp;E536&amp;"'!"&amp;$X$1),0)</f>
        <v>#VALUE!</v>
      </c>
      <c r="I536" s="25" t="str">
        <f t="shared" si="148"/>
        <v/>
      </c>
      <c r="J536" s="32" t="str">
        <f t="shared" si="149"/>
        <v/>
      </c>
      <c r="K536" s="25" t="str">
        <f t="shared" si="150"/>
        <v/>
      </c>
      <c r="L536" s="25" t="str">
        <f t="shared" si="151"/>
        <v/>
      </c>
      <c r="M536" s="33" t="e" cm="1">
        <f t="array" aca="1" ref="M536" ca="1">IF(AND(J536=INDIRECT("'["&amp;G536&amp;"]"&amp;E536&amp;"'!"&amp;$Y$2),G536=INDIRECT("'["&amp;G536&amp;"]"&amp;E536&amp;"'!"&amp;$AH$2)),INDIRECT("'["&amp;G536&amp;"]"&amp;E536&amp;"'!"&amp;$Y$3),0)</f>
        <v>#VALUE!</v>
      </c>
      <c r="N536" s="34" t="e" cm="1">
        <f t="array" aca="1" ref="N536" ca="1">IF(AND(G536=INDIRECT("'["&amp;G536&amp;"]"&amp;E536&amp;"'!"&amp;$AH$2),OR(K536=INDIRECT("'["&amp;G536&amp;"]"&amp;E536&amp;"'!"&amp;$Z$2))),INDIRECT("'["&amp;G536&amp;"]"&amp;E536&amp;"'!"&amp;$Z$3),0)</f>
        <v>#VALUE!</v>
      </c>
      <c r="O536" s="34" t="e" cm="1">
        <f t="array" aca="1" ref="O536" ca="1">IF(AND(G536=INDIRECT("'["&amp;G536&amp;"]"&amp;E536&amp;"'!"&amp;$AH$2),OR(L536=INDIRECT("'["&amp;G536&amp;"]"&amp;E536&amp;"'!"&amp;$AA$2))),INDIRECT("'["&amp;G536&amp;"]"&amp;E536&amp;"'!"&amp;$AA$3),0)</f>
        <v>#VALUE!</v>
      </c>
      <c r="P536" s="34" t="e" cm="1">
        <f t="array" aca="1" ref="P536" ca="1">IF(AND(G536=INDIRECT("'["&amp;G536&amp;"]"&amp;E536&amp;"'!"&amp;$AH$2),OR(VALUE(I536)=INDIRECT("'["&amp;G536&amp;"]"&amp;E536&amp;"'!"&amp;$AB$2))),INDIRECT("'["&amp;G536&amp;"]"&amp;E536&amp;"'!"&amp;$AB$3),0)</f>
        <v>#VALUE!</v>
      </c>
      <c r="Q536" s="34" t="e" cm="1">
        <f t="array" aca="1" ref="Q536" ca="1">IF(AND(G536=INDIRECT("'["&amp;G536&amp;"]"&amp;E536&amp;"'!"&amp;$AH$2),OR(VALUE(I536)=INDIRECT("'["&amp;G536&amp;"]"&amp;E536&amp;"'!"&amp;$AC$2))),INDIRECT("'["&amp;G536&amp;"]"&amp;E536&amp;"'!"&amp;$AC$3),0)</f>
        <v>#VALUE!</v>
      </c>
      <c r="R536" s="34" t="e" cm="1">
        <f t="array" aca="1" ref="R536" ca="1">IF(AND(G536=INDIRECT("'["&amp;G536&amp;"]"&amp;E536&amp;"'!"&amp;$AH$2),OR(I536=INDIRECT("'["&amp;G536&amp;"]"&amp;E536&amp;"'!"&amp;$AD$2))),INDIRECT("'["&amp;G536&amp;"]"&amp;E536&amp;"'!"&amp;$AD$3),0)</f>
        <v>#VALUE!</v>
      </c>
      <c r="S536" s="34" t="e" cm="1">
        <f t="array" aca="1" ref="S536" ca="1">IF(AND(G536=INDIRECT("'["&amp;G536&amp;"]"&amp;E536&amp;"'!"&amp;$AH$2),OR(I536=INDIRECT("'["&amp;G536&amp;"]"&amp;E536&amp;"'!"&amp;$AE$2))),INDIRECT("'["&amp;G536&amp;"]"&amp;E536&amp;"'!"&amp;$AE$3),0)</f>
        <v>#VALUE!</v>
      </c>
      <c r="T536" s="35" t="e" cm="1">
        <f t="array" aca="1" ref="T536" ca="1">IF(AND(G536=INDIRECT("'["&amp;G536&amp;"]"&amp;E536&amp;"'!"&amp;$AH$2),OR(I536=INDIRECT("'["&amp;G536&amp;"]"&amp;E536&amp;"'!"&amp;$AF$2))),INDIRECT("'["&amp;G536&amp;"]"&amp;E536&amp;"'!"&amp;$AF$3),0)</f>
        <v>#VALUE!</v>
      </c>
      <c r="U536" s="34" t="e" cm="1">
        <f t="array" aca="1" ref="U536" ca="1">IF(AND(G536=INDIRECT("'["&amp;G536&amp;"]"&amp;E536&amp;"'!"&amp;$AH$2),OR(I536=INDIRECT("'["&amp;G536&amp;"]"&amp;E536&amp;"'!"&amp;$AG$2))),INDIRECT("'["&amp;G536&amp;"]"&amp;E536&amp;"'!"&amp;$AG$3),0)</f>
        <v>#VALUE!</v>
      </c>
      <c r="V536" s="25" t="str">
        <f t="shared" si="152"/>
        <v/>
      </c>
      <c r="W536" s="36" t="e" cm="1">
        <f t="array" aca="1" ref="W536" ca="1">IF(AND(G536=INDIRECT("'["&amp;G536&amp;"]"&amp;E536&amp;"'!"&amp;$AH$2),OR(V536=INDIRECT("'["&amp;G536&amp;"]"&amp;E536&amp;"'!"&amp;$AI$2))),INDIRECT("'["&amp;G536&amp;"]"&amp;E536&amp;"'!"&amp;$AI$3),0)</f>
        <v>#VALUE!</v>
      </c>
      <c r="AJ536" s="25">
        <v>1</v>
      </c>
      <c r="AK536" s="38">
        <f t="shared" ca="1" si="153"/>
        <v>0</v>
      </c>
      <c r="AL536" s="38">
        <f t="shared" ca="1" si="154"/>
        <v>0</v>
      </c>
      <c r="AM536" s="54" t="str">
        <f t="shared" ca="1" si="155"/>
        <v/>
      </c>
      <c r="AN536" s="25" t="e">
        <f t="shared" ca="1" si="156"/>
        <v>#VALUE!</v>
      </c>
      <c r="AO536" s="25" t="e">
        <f t="shared" ca="1" si="157"/>
        <v>#VALUE!</v>
      </c>
      <c r="AQ536" s="46" t="str">
        <f ca="1">IF(AND(C536&lt;&gt;0, C537=0), SUM($C$2:C536)-SUM($AQ$1:AQ535), "")</f>
        <v/>
      </c>
      <c r="AR536" s="46" t="str">
        <f ca="1">IF(AND(AK536&lt;&gt;0, AK537=0), SUM($AK$2:AK536)-SUM($AR$1:AR535), "")</f>
        <v/>
      </c>
    </row>
    <row r="537" spans="2:44" ht="13.15" customHeight="1">
      <c r="B537" s="68" t="str">
        <f t="shared" si="143"/>
        <v/>
      </c>
      <c r="C537" s="55" cm="1">
        <f t="array" aca="1" ref="C537" ca="1">SUM(IF(ISNUMBER(M537:U537),M537:U537,""))</f>
        <v>0</v>
      </c>
      <c r="D537" s="25" t="str">
        <f t="shared" si="144"/>
        <v/>
      </c>
      <c r="E537" s="25" t="e">
        <f t="shared" si="145"/>
        <v>#VALUE!</v>
      </c>
      <c r="F537" s="25" t="str">
        <f t="shared" si="146"/>
        <v/>
      </c>
      <c r="G537" s="25" t="str">
        <f t="shared" si="147"/>
        <v>.xlsx</v>
      </c>
      <c r="H537" s="29" t="e" cm="1">
        <f t="array" aca="1" ref="H537" ca="1">IF(AND(VALUE(E537)=INDIRECT("'["&amp;G537&amp;"]"&amp;E537&amp;"'!"&amp;$X$2),G537=INDIRECT("'["&amp;G537&amp;"]"&amp;E537&amp;"'!"&amp;$X$3)),INDIRECT("'["&amp;G537&amp;"]"&amp;E537&amp;"'!"&amp;$X$1),0)</f>
        <v>#VALUE!</v>
      </c>
      <c r="I537" s="25" t="str">
        <f t="shared" si="148"/>
        <v/>
      </c>
      <c r="J537" s="32" t="str">
        <f t="shared" si="149"/>
        <v/>
      </c>
      <c r="K537" s="25" t="str">
        <f t="shared" si="150"/>
        <v/>
      </c>
      <c r="L537" s="25" t="str">
        <f t="shared" si="151"/>
        <v/>
      </c>
      <c r="M537" s="33" t="e" cm="1">
        <f t="array" aca="1" ref="M537" ca="1">IF(AND(J537=INDIRECT("'["&amp;G537&amp;"]"&amp;E537&amp;"'!"&amp;$Y$2),G537=INDIRECT("'["&amp;G537&amp;"]"&amp;E537&amp;"'!"&amp;$AH$2)),INDIRECT("'["&amp;G537&amp;"]"&amp;E537&amp;"'!"&amp;$Y$3),0)</f>
        <v>#VALUE!</v>
      </c>
      <c r="N537" s="34" t="e" cm="1">
        <f t="array" aca="1" ref="N537" ca="1">IF(AND(G537=INDIRECT("'["&amp;G537&amp;"]"&amp;E537&amp;"'!"&amp;$AH$2),OR(K537=INDIRECT("'["&amp;G537&amp;"]"&amp;E537&amp;"'!"&amp;$Z$2))),INDIRECT("'["&amp;G537&amp;"]"&amp;E537&amp;"'!"&amp;$Z$3),0)</f>
        <v>#VALUE!</v>
      </c>
      <c r="O537" s="34" t="e" cm="1">
        <f t="array" aca="1" ref="O537" ca="1">IF(AND(G537=INDIRECT("'["&amp;G537&amp;"]"&amp;E537&amp;"'!"&amp;$AH$2),OR(L537=INDIRECT("'["&amp;G537&amp;"]"&amp;E537&amp;"'!"&amp;$AA$2))),INDIRECT("'["&amp;G537&amp;"]"&amp;E537&amp;"'!"&amp;$AA$3),0)</f>
        <v>#VALUE!</v>
      </c>
      <c r="P537" s="34" t="e" cm="1">
        <f t="array" aca="1" ref="P537" ca="1">IF(AND(G537=INDIRECT("'["&amp;G537&amp;"]"&amp;E537&amp;"'!"&amp;$AH$2),OR(VALUE(I537)=INDIRECT("'["&amp;G537&amp;"]"&amp;E537&amp;"'!"&amp;$AB$2))),INDIRECT("'["&amp;G537&amp;"]"&amp;E537&amp;"'!"&amp;$AB$3),0)</f>
        <v>#VALUE!</v>
      </c>
      <c r="Q537" s="34" t="e" cm="1">
        <f t="array" aca="1" ref="Q537" ca="1">IF(AND(G537=INDIRECT("'["&amp;G537&amp;"]"&amp;E537&amp;"'!"&amp;$AH$2),OR(VALUE(I537)=INDIRECT("'["&amp;G537&amp;"]"&amp;E537&amp;"'!"&amp;$AC$2))),INDIRECT("'["&amp;G537&amp;"]"&amp;E537&amp;"'!"&amp;$AC$3),0)</f>
        <v>#VALUE!</v>
      </c>
      <c r="R537" s="34" t="e" cm="1">
        <f t="array" aca="1" ref="R537" ca="1">IF(AND(G537=INDIRECT("'["&amp;G537&amp;"]"&amp;E537&amp;"'!"&amp;$AH$2),OR(I537=INDIRECT("'["&amp;G537&amp;"]"&amp;E537&amp;"'!"&amp;$AD$2))),INDIRECT("'["&amp;G537&amp;"]"&amp;E537&amp;"'!"&amp;$AD$3),0)</f>
        <v>#VALUE!</v>
      </c>
      <c r="S537" s="34" t="e" cm="1">
        <f t="array" aca="1" ref="S537" ca="1">IF(AND(G537=INDIRECT("'["&amp;G537&amp;"]"&amp;E537&amp;"'!"&amp;$AH$2),OR(I537=INDIRECT("'["&amp;G537&amp;"]"&amp;E537&amp;"'!"&amp;$AE$2))),INDIRECT("'["&amp;G537&amp;"]"&amp;E537&amp;"'!"&amp;$AE$3),0)</f>
        <v>#VALUE!</v>
      </c>
      <c r="T537" s="35" t="e" cm="1">
        <f t="array" aca="1" ref="T537" ca="1">IF(AND(G537=INDIRECT("'["&amp;G537&amp;"]"&amp;E537&amp;"'!"&amp;$AH$2),OR(I537=INDIRECT("'["&amp;G537&amp;"]"&amp;E537&amp;"'!"&amp;$AF$2))),INDIRECT("'["&amp;G537&amp;"]"&amp;E537&amp;"'!"&amp;$AF$3),0)</f>
        <v>#VALUE!</v>
      </c>
      <c r="U537" s="34" t="e" cm="1">
        <f t="array" aca="1" ref="U537" ca="1">IF(AND(G537=INDIRECT("'["&amp;G537&amp;"]"&amp;E537&amp;"'!"&amp;$AH$2),OR(I537=INDIRECT("'["&amp;G537&amp;"]"&amp;E537&amp;"'!"&amp;$AG$2))),INDIRECT("'["&amp;G537&amp;"]"&amp;E537&amp;"'!"&amp;$AG$3),0)</f>
        <v>#VALUE!</v>
      </c>
      <c r="V537" s="25" t="str">
        <f t="shared" si="152"/>
        <v/>
      </c>
      <c r="W537" s="36" t="e" cm="1">
        <f t="array" aca="1" ref="W537" ca="1">IF(AND(G537=INDIRECT("'["&amp;G537&amp;"]"&amp;E537&amp;"'!"&amp;$AH$2),OR(V537=INDIRECT("'["&amp;G537&amp;"]"&amp;E537&amp;"'!"&amp;$AI$2))),INDIRECT("'["&amp;G537&amp;"]"&amp;E537&amp;"'!"&amp;$AI$3),0)</f>
        <v>#VALUE!</v>
      </c>
      <c r="AJ537" s="25">
        <v>1</v>
      </c>
      <c r="AK537" s="38">
        <f t="shared" ca="1" si="153"/>
        <v>0</v>
      </c>
      <c r="AL537" s="38">
        <f t="shared" ca="1" si="154"/>
        <v>0</v>
      </c>
      <c r="AM537" s="54" t="str">
        <f t="shared" ca="1" si="155"/>
        <v/>
      </c>
      <c r="AN537" s="25" t="e">
        <f t="shared" ca="1" si="156"/>
        <v>#VALUE!</v>
      </c>
      <c r="AO537" s="25" t="e">
        <f t="shared" ca="1" si="157"/>
        <v>#VALUE!</v>
      </c>
      <c r="AQ537" s="46" t="str">
        <f ca="1">IF(AND(C537&lt;&gt;0, C538=0), SUM($C$2:C537)-SUM($AQ$1:AQ536), "")</f>
        <v/>
      </c>
      <c r="AR537" s="46" t="str">
        <f ca="1">IF(AND(AK537&lt;&gt;0, AK538=0), SUM($AK$2:AK537)-SUM($AR$1:AR536), "")</f>
        <v/>
      </c>
    </row>
    <row r="538" spans="2:44" ht="13.15" customHeight="1">
      <c r="B538" s="68" t="str">
        <f t="shared" si="143"/>
        <v/>
      </c>
      <c r="C538" s="55" cm="1">
        <f t="array" aca="1" ref="C538" ca="1">SUM(IF(ISNUMBER(M538:U538),M538:U538,""))</f>
        <v>0</v>
      </c>
      <c r="D538" s="25" t="str">
        <f t="shared" si="144"/>
        <v/>
      </c>
      <c r="E538" s="25" t="e">
        <f t="shared" si="145"/>
        <v>#VALUE!</v>
      </c>
      <c r="F538" s="25" t="str">
        <f t="shared" si="146"/>
        <v/>
      </c>
      <c r="G538" s="25" t="str">
        <f t="shared" si="147"/>
        <v>.xlsx</v>
      </c>
      <c r="H538" s="29" t="e" cm="1">
        <f t="array" aca="1" ref="H538" ca="1">IF(AND(VALUE(E538)=INDIRECT("'["&amp;G538&amp;"]"&amp;E538&amp;"'!"&amp;$X$2),G538=INDIRECT("'["&amp;G538&amp;"]"&amp;E538&amp;"'!"&amp;$X$3)),INDIRECT("'["&amp;G538&amp;"]"&amp;E538&amp;"'!"&amp;$X$1),0)</f>
        <v>#VALUE!</v>
      </c>
      <c r="I538" s="25" t="str">
        <f t="shared" si="148"/>
        <v/>
      </c>
      <c r="J538" s="32" t="str">
        <f t="shared" si="149"/>
        <v/>
      </c>
      <c r="K538" s="25" t="str">
        <f t="shared" si="150"/>
        <v/>
      </c>
      <c r="L538" s="25" t="str">
        <f t="shared" si="151"/>
        <v/>
      </c>
      <c r="M538" s="33" t="e" cm="1">
        <f t="array" aca="1" ref="M538" ca="1">IF(AND(J538=INDIRECT("'["&amp;G538&amp;"]"&amp;E538&amp;"'!"&amp;$Y$2),G538=INDIRECT("'["&amp;G538&amp;"]"&amp;E538&amp;"'!"&amp;$AH$2)),INDIRECT("'["&amp;G538&amp;"]"&amp;E538&amp;"'!"&amp;$Y$3),0)</f>
        <v>#VALUE!</v>
      </c>
      <c r="N538" s="34" t="e" cm="1">
        <f t="array" aca="1" ref="N538" ca="1">IF(AND(G538=INDIRECT("'["&amp;G538&amp;"]"&amp;E538&amp;"'!"&amp;$AH$2),OR(K538=INDIRECT("'["&amp;G538&amp;"]"&amp;E538&amp;"'!"&amp;$Z$2))),INDIRECT("'["&amp;G538&amp;"]"&amp;E538&amp;"'!"&amp;$Z$3),0)</f>
        <v>#VALUE!</v>
      </c>
      <c r="O538" s="34" t="e" cm="1">
        <f t="array" aca="1" ref="O538" ca="1">IF(AND(G538=INDIRECT("'["&amp;G538&amp;"]"&amp;E538&amp;"'!"&amp;$AH$2),OR(L538=INDIRECT("'["&amp;G538&amp;"]"&amp;E538&amp;"'!"&amp;$AA$2))),INDIRECT("'["&amp;G538&amp;"]"&amp;E538&amp;"'!"&amp;$AA$3),0)</f>
        <v>#VALUE!</v>
      </c>
      <c r="P538" s="34" t="e" cm="1">
        <f t="array" aca="1" ref="P538" ca="1">IF(AND(G538=INDIRECT("'["&amp;G538&amp;"]"&amp;E538&amp;"'!"&amp;$AH$2),OR(VALUE(I538)=INDIRECT("'["&amp;G538&amp;"]"&amp;E538&amp;"'!"&amp;$AB$2))),INDIRECT("'["&amp;G538&amp;"]"&amp;E538&amp;"'!"&amp;$AB$3),0)</f>
        <v>#VALUE!</v>
      </c>
      <c r="Q538" s="34" t="e" cm="1">
        <f t="array" aca="1" ref="Q538" ca="1">IF(AND(G538=INDIRECT("'["&amp;G538&amp;"]"&amp;E538&amp;"'!"&amp;$AH$2),OR(VALUE(I538)=INDIRECT("'["&amp;G538&amp;"]"&amp;E538&amp;"'!"&amp;$AC$2))),INDIRECT("'["&amp;G538&amp;"]"&amp;E538&amp;"'!"&amp;$AC$3),0)</f>
        <v>#VALUE!</v>
      </c>
      <c r="R538" s="34" t="e" cm="1">
        <f t="array" aca="1" ref="R538" ca="1">IF(AND(G538=INDIRECT("'["&amp;G538&amp;"]"&amp;E538&amp;"'!"&amp;$AH$2),OR(I538=INDIRECT("'["&amp;G538&amp;"]"&amp;E538&amp;"'!"&amp;$AD$2))),INDIRECT("'["&amp;G538&amp;"]"&amp;E538&amp;"'!"&amp;$AD$3),0)</f>
        <v>#VALUE!</v>
      </c>
      <c r="S538" s="34" t="e" cm="1">
        <f t="array" aca="1" ref="S538" ca="1">IF(AND(G538=INDIRECT("'["&amp;G538&amp;"]"&amp;E538&amp;"'!"&amp;$AH$2),OR(I538=INDIRECT("'["&amp;G538&amp;"]"&amp;E538&amp;"'!"&amp;$AE$2))),INDIRECT("'["&amp;G538&amp;"]"&amp;E538&amp;"'!"&amp;$AE$3),0)</f>
        <v>#VALUE!</v>
      </c>
      <c r="T538" s="35" t="e" cm="1">
        <f t="array" aca="1" ref="T538" ca="1">IF(AND(G538=INDIRECT("'["&amp;G538&amp;"]"&amp;E538&amp;"'!"&amp;$AH$2),OR(I538=INDIRECT("'["&amp;G538&amp;"]"&amp;E538&amp;"'!"&amp;$AF$2))),INDIRECT("'["&amp;G538&amp;"]"&amp;E538&amp;"'!"&amp;$AF$3),0)</f>
        <v>#VALUE!</v>
      </c>
      <c r="U538" s="34" t="e" cm="1">
        <f t="array" aca="1" ref="U538" ca="1">IF(AND(G538=INDIRECT("'["&amp;G538&amp;"]"&amp;E538&amp;"'!"&amp;$AH$2),OR(I538=INDIRECT("'["&amp;G538&amp;"]"&amp;E538&amp;"'!"&amp;$AG$2))),INDIRECT("'["&amp;G538&amp;"]"&amp;E538&amp;"'!"&amp;$AG$3),0)</f>
        <v>#VALUE!</v>
      </c>
      <c r="V538" s="25" t="str">
        <f t="shared" si="152"/>
        <v/>
      </c>
      <c r="W538" s="36" t="e" cm="1">
        <f t="array" aca="1" ref="W538" ca="1">IF(AND(G538=INDIRECT("'["&amp;G538&amp;"]"&amp;E538&amp;"'!"&amp;$AH$2),OR(V538=INDIRECT("'["&amp;G538&amp;"]"&amp;E538&amp;"'!"&amp;$AI$2))),INDIRECT("'["&amp;G538&amp;"]"&amp;E538&amp;"'!"&amp;$AI$3),0)</f>
        <v>#VALUE!</v>
      </c>
      <c r="AJ538" s="25">
        <v>1</v>
      </c>
      <c r="AK538" s="38">
        <f t="shared" ca="1" si="153"/>
        <v>0</v>
      </c>
      <c r="AL538" s="38">
        <f t="shared" ca="1" si="154"/>
        <v>0</v>
      </c>
      <c r="AM538" s="54" t="str">
        <f t="shared" ca="1" si="155"/>
        <v/>
      </c>
      <c r="AN538" s="25" t="e">
        <f t="shared" ca="1" si="156"/>
        <v>#VALUE!</v>
      </c>
      <c r="AO538" s="25" t="e">
        <f t="shared" ca="1" si="157"/>
        <v>#VALUE!</v>
      </c>
      <c r="AQ538" s="46" t="str">
        <f ca="1">IF(AND(C538&lt;&gt;0, C539=0), SUM($C$2:C538)-SUM($AQ$1:AQ537), "")</f>
        <v/>
      </c>
      <c r="AR538" s="46" t="str">
        <f ca="1">IF(AND(AK538&lt;&gt;0, AK539=0), SUM($AK$2:AK538)-SUM($AR$1:AR537), "")</f>
        <v/>
      </c>
    </row>
    <row r="539" spans="2:44" ht="13.15" customHeight="1">
      <c r="B539" s="68" t="str">
        <f t="shared" si="143"/>
        <v/>
      </c>
      <c r="C539" s="55" cm="1">
        <f t="array" aca="1" ref="C539" ca="1">SUM(IF(ISNUMBER(M539:U539),M539:U539,""))</f>
        <v>0</v>
      </c>
      <c r="D539" s="25" t="str">
        <f t="shared" si="144"/>
        <v/>
      </c>
      <c r="E539" s="25" t="e">
        <f t="shared" si="145"/>
        <v>#VALUE!</v>
      </c>
      <c r="F539" s="25" t="str">
        <f t="shared" si="146"/>
        <v/>
      </c>
      <c r="G539" s="25" t="str">
        <f t="shared" si="147"/>
        <v>.xlsx</v>
      </c>
      <c r="H539" s="29" t="e" cm="1">
        <f t="array" aca="1" ref="H539" ca="1">IF(AND(VALUE(E539)=INDIRECT("'["&amp;G539&amp;"]"&amp;E539&amp;"'!"&amp;$X$2),G539=INDIRECT("'["&amp;G539&amp;"]"&amp;E539&amp;"'!"&amp;$X$3)),INDIRECT("'["&amp;G539&amp;"]"&amp;E539&amp;"'!"&amp;$X$1),0)</f>
        <v>#VALUE!</v>
      </c>
      <c r="I539" s="25" t="str">
        <f t="shared" si="148"/>
        <v/>
      </c>
      <c r="J539" s="32" t="str">
        <f t="shared" si="149"/>
        <v/>
      </c>
      <c r="K539" s="25" t="str">
        <f t="shared" si="150"/>
        <v/>
      </c>
      <c r="L539" s="25" t="str">
        <f t="shared" si="151"/>
        <v/>
      </c>
      <c r="M539" s="33" t="e" cm="1">
        <f t="array" aca="1" ref="M539" ca="1">IF(AND(J539=INDIRECT("'["&amp;G539&amp;"]"&amp;E539&amp;"'!"&amp;$Y$2),G539=INDIRECT("'["&amp;G539&amp;"]"&amp;E539&amp;"'!"&amp;$AH$2)),INDIRECT("'["&amp;G539&amp;"]"&amp;E539&amp;"'!"&amp;$Y$3),0)</f>
        <v>#VALUE!</v>
      </c>
      <c r="N539" s="34" t="e" cm="1">
        <f t="array" aca="1" ref="N539" ca="1">IF(AND(G539=INDIRECT("'["&amp;G539&amp;"]"&amp;E539&amp;"'!"&amp;$AH$2),OR(K539=INDIRECT("'["&amp;G539&amp;"]"&amp;E539&amp;"'!"&amp;$Z$2))),INDIRECT("'["&amp;G539&amp;"]"&amp;E539&amp;"'!"&amp;$Z$3),0)</f>
        <v>#VALUE!</v>
      </c>
      <c r="O539" s="34" t="e" cm="1">
        <f t="array" aca="1" ref="O539" ca="1">IF(AND(G539=INDIRECT("'["&amp;G539&amp;"]"&amp;E539&amp;"'!"&amp;$AH$2),OR(L539=INDIRECT("'["&amp;G539&amp;"]"&amp;E539&amp;"'!"&amp;$AA$2))),INDIRECT("'["&amp;G539&amp;"]"&amp;E539&amp;"'!"&amp;$AA$3),0)</f>
        <v>#VALUE!</v>
      </c>
      <c r="P539" s="34" t="e" cm="1">
        <f t="array" aca="1" ref="P539" ca="1">IF(AND(G539=INDIRECT("'["&amp;G539&amp;"]"&amp;E539&amp;"'!"&amp;$AH$2),OR(VALUE(I539)=INDIRECT("'["&amp;G539&amp;"]"&amp;E539&amp;"'!"&amp;$AB$2))),INDIRECT("'["&amp;G539&amp;"]"&amp;E539&amp;"'!"&amp;$AB$3),0)</f>
        <v>#VALUE!</v>
      </c>
      <c r="Q539" s="34" t="e" cm="1">
        <f t="array" aca="1" ref="Q539" ca="1">IF(AND(G539=INDIRECT("'["&amp;G539&amp;"]"&amp;E539&amp;"'!"&amp;$AH$2),OR(VALUE(I539)=INDIRECT("'["&amp;G539&amp;"]"&amp;E539&amp;"'!"&amp;$AC$2))),INDIRECT("'["&amp;G539&amp;"]"&amp;E539&amp;"'!"&amp;$AC$3),0)</f>
        <v>#VALUE!</v>
      </c>
      <c r="R539" s="34" t="e" cm="1">
        <f t="array" aca="1" ref="R539" ca="1">IF(AND(G539=INDIRECT("'["&amp;G539&amp;"]"&amp;E539&amp;"'!"&amp;$AH$2),OR(I539=INDIRECT("'["&amp;G539&amp;"]"&amp;E539&amp;"'!"&amp;$AD$2))),INDIRECT("'["&amp;G539&amp;"]"&amp;E539&amp;"'!"&amp;$AD$3),0)</f>
        <v>#VALUE!</v>
      </c>
      <c r="S539" s="34" t="e" cm="1">
        <f t="array" aca="1" ref="S539" ca="1">IF(AND(G539=INDIRECT("'["&amp;G539&amp;"]"&amp;E539&amp;"'!"&amp;$AH$2),OR(I539=INDIRECT("'["&amp;G539&amp;"]"&amp;E539&amp;"'!"&amp;$AE$2))),INDIRECT("'["&amp;G539&amp;"]"&amp;E539&amp;"'!"&amp;$AE$3),0)</f>
        <v>#VALUE!</v>
      </c>
      <c r="T539" s="35" t="e" cm="1">
        <f t="array" aca="1" ref="T539" ca="1">IF(AND(G539=INDIRECT("'["&amp;G539&amp;"]"&amp;E539&amp;"'!"&amp;$AH$2),OR(I539=INDIRECT("'["&amp;G539&amp;"]"&amp;E539&amp;"'!"&amp;$AF$2))),INDIRECT("'["&amp;G539&amp;"]"&amp;E539&amp;"'!"&amp;$AF$3),0)</f>
        <v>#VALUE!</v>
      </c>
      <c r="U539" s="34" t="e" cm="1">
        <f t="array" aca="1" ref="U539" ca="1">IF(AND(G539=INDIRECT("'["&amp;G539&amp;"]"&amp;E539&amp;"'!"&amp;$AH$2),OR(I539=INDIRECT("'["&amp;G539&amp;"]"&amp;E539&amp;"'!"&amp;$AG$2))),INDIRECT("'["&amp;G539&amp;"]"&amp;E539&amp;"'!"&amp;$AG$3),0)</f>
        <v>#VALUE!</v>
      </c>
      <c r="V539" s="25" t="str">
        <f t="shared" si="152"/>
        <v/>
      </c>
      <c r="W539" s="36" t="e" cm="1">
        <f t="array" aca="1" ref="W539" ca="1">IF(AND(G539=INDIRECT("'["&amp;G539&amp;"]"&amp;E539&amp;"'!"&amp;$AH$2),OR(V539=INDIRECT("'["&amp;G539&amp;"]"&amp;E539&amp;"'!"&amp;$AI$2))),INDIRECT("'["&amp;G539&amp;"]"&amp;E539&amp;"'!"&amp;$AI$3),0)</f>
        <v>#VALUE!</v>
      </c>
      <c r="AJ539" s="25">
        <v>1</v>
      </c>
      <c r="AK539" s="38">
        <f t="shared" ca="1" si="153"/>
        <v>0</v>
      </c>
      <c r="AL539" s="38">
        <f t="shared" ca="1" si="154"/>
        <v>0</v>
      </c>
      <c r="AM539" s="54" t="str">
        <f t="shared" ca="1" si="155"/>
        <v/>
      </c>
      <c r="AN539" s="25" t="e">
        <f t="shared" ca="1" si="156"/>
        <v>#VALUE!</v>
      </c>
      <c r="AO539" s="25" t="e">
        <f t="shared" ca="1" si="157"/>
        <v>#VALUE!</v>
      </c>
      <c r="AQ539" s="46" t="str">
        <f ca="1">IF(AND(C539&lt;&gt;0, C540=0), SUM($C$2:C539)-SUM($AQ$1:AQ538), "")</f>
        <v/>
      </c>
      <c r="AR539" s="46" t="str">
        <f ca="1">IF(AND(AK539&lt;&gt;0, AK540=0), SUM($AK$2:AK539)-SUM($AR$1:AR538), "")</f>
        <v/>
      </c>
    </row>
    <row r="540" spans="2:44" ht="13.15" customHeight="1">
      <c r="B540" s="68" t="str">
        <f t="shared" si="143"/>
        <v/>
      </c>
      <c r="C540" s="55" cm="1">
        <f t="array" aca="1" ref="C540" ca="1">SUM(IF(ISNUMBER(M540:U540),M540:U540,""))</f>
        <v>0</v>
      </c>
      <c r="D540" s="25" t="str">
        <f t="shared" si="144"/>
        <v/>
      </c>
      <c r="E540" s="25" t="e">
        <f t="shared" si="145"/>
        <v>#VALUE!</v>
      </c>
      <c r="F540" s="25" t="str">
        <f t="shared" si="146"/>
        <v/>
      </c>
      <c r="G540" s="25" t="str">
        <f t="shared" si="147"/>
        <v>.xlsx</v>
      </c>
      <c r="H540" s="29" t="e" cm="1">
        <f t="array" aca="1" ref="H540" ca="1">IF(AND(VALUE(E540)=INDIRECT("'["&amp;G540&amp;"]"&amp;E540&amp;"'!"&amp;$X$2),G540=INDIRECT("'["&amp;G540&amp;"]"&amp;E540&amp;"'!"&amp;$X$3)),INDIRECT("'["&amp;G540&amp;"]"&amp;E540&amp;"'!"&amp;$X$1),0)</f>
        <v>#VALUE!</v>
      </c>
      <c r="I540" s="25" t="str">
        <f t="shared" si="148"/>
        <v/>
      </c>
      <c r="J540" s="32" t="str">
        <f t="shared" si="149"/>
        <v/>
      </c>
      <c r="K540" s="25" t="str">
        <f t="shared" si="150"/>
        <v/>
      </c>
      <c r="L540" s="25" t="str">
        <f t="shared" si="151"/>
        <v/>
      </c>
      <c r="M540" s="33" t="e" cm="1">
        <f t="array" aca="1" ref="M540" ca="1">IF(AND(J540=INDIRECT("'["&amp;G540&amp;"]"&amp;E540&amp;"'!"&amp;$Y$2),G540=INDIRECT("'["&amp;G540&amp;"]"&amp;E540&amp;"'!"&amp;$AH$2)),INDIRECT("'["&amp;G540&amp;"]"&amp;E540&amp;"'!"&amp;$Y$3),0)</f>
        <v>#VALUE!</v>
      </c>
      <c r="N540" s="34" t="e" cm="1">
        <f t="array" aca="1" ref="N540" ca="1">IF(AND(G540=INDIRECT("'["&amp;G540&amp;"]"&amp;E540&amp;"'!"&amp;$AH$2),OR(K540=INDIRECT("'["&amp;G540&amp;"]"&amp;E540&amp;"'!"&amp;$Z$2))),INDIRECT("'["&amp;G540&amp;"]"&amp;E540&amp;"'!"&amp;$Z$3),0)</f>
        <v>#VALUE!</v>
      </c>
      <c r="O540" s="34" t="e" cm="1">
        <f t="array" aca="1" ref="O540" ca="1">IF(AND(G540=INDIRECT("'["&amp;G540&amp;"]"&amp;E540&amp;"'!"&amp;$AH$2),OR(L540=INDIRECT("'["&amp;G540&amp;"]"&amp;E540&amp;"'!"&amp;$AA$2))),INDIRECT("'["&amp;G540&amp;"]"&amp;E540&amp;"'!"&amp;$AA$3),0)</f>
        <v>#VALUE!</v>
      </c>
      <c r="P540" s="34" t="e" cm="1">
        <f t="array" aca="1" ref="P540" ca="1">IF(AND(G540=INDIRECT("'["&amp;G540&amp;"]"&amp;E540&amp;"'!"&amp;$AH$2),OR(VALUE(I540)=INDIRECT("'["&amp;G540&amp;"]"&amp;E540&amp;"'!"&amp;$AB$2))),INDIRECT("'["&amp;G540&amp;"]"&amp;E540&amp;"'!"&amp;$AB$3),0)</f>
        <v>#VALUE!</v>
      </c>
      <c r="Q540" s="34" t="e" cm="1">
        <f t="array" aca="1" ref="Q540" ca="1">IF(AND(G540=INDIRECT("'["&amp;G540&amp;"]"&amp;E540&amp;"'!"&amp;$AH$2),OR(VALUE(I540)=INDIRECT("'["&amp;G540&amp;"]"&amp;E540&amp;"'!"&amp;$AC$2))),INDIRECT("'["&amp;G540&amp;"]"&amp;E540&amp;"'!"&amp;$AC$3),0)</f>
        <v>#VALUE!</v>
      </c>
      <c r="R540" s="34" t="e" cm="1">
        <f t="array" aca="1" ref="R540" ca="1">IF(AND(G540=INDIRECT("'["&amp;G540&amp;"]"&amp;E540&amp;"'!"&amp;$AH$2),OR(I540=INDIRECT("'["&amp;G540&amp;"]"&amp;E540&amp;"'!"&amp;$AD$2))),INDIRECT("'["&amp;G540&amp;"]"&amp;E540&amp;"'!"&amp;$AD$3),0)</f>
        <v>#VALUE!</v>
      </c>
      <c r="S540" s="34" t="e" cm="1">
        <f t="array" aca="1" ref="S540" ca="1">IF(AND(G540=INDIRECT("'["&amp;G540&amp;"]"&amp;E540&amp;"'!"&amp;$AH$2),OR(I540=INDIRECT("'["&amp;G540&amp;"]"&amp;E540&amp;"'!"&amp;$AE$2))),INDIRECT("'["&amp;G540&amp;"]"&amp;E540&amp;"'!"&amp;$AE$3),0)</f>
        <v>#VALUE!</v>
      </c>
      <c r="T540" s="35" t="e" cm="1">
        <f t="array" aca="1" ref="T540" ca="1">IF(AND(G540=INDIRECT("'["&amp;G540&amp;"]"&amp;E540&amp;"'!"&amp;$AH$2),OR(I540=INDIRECT("'["&amp;G540&amp;"]"&amp;E540&amp;"'!"&amp;$AF$2))),INDIRECT("'["&amp;G540&amp;"]"&amp;E540&amp;"'!"&amp;$AF$3),0)</f>
        <v>#VALUE!</v>
      </c>
      <c r="U540" s="34" t="e" cm="1">
        <f t="array" aca="1" ref="U540" ca="1">IF(AND(G540=INDIRECT("'["&amp;G540&amp;"]"&amp;E540&amp;"'!"&amp;$AH$2),OR(I540=INDIRECT("'["&amp;G540&amp;"]"&amp;E540&amp;"'!"&amp;$AG$2))),INDIRECT("'["&amp;G540&amp;"]"&amp;E540&amp;"'!"&amp;$AG$3),0)</f>
        <v>#VALUE!</v>
      </c>
      <c r="V540" s="25" t="str">
        <f t="shared" si="152"/>
        <v/>
      </c>
      <c r="W540" s="36" t="e" cm="1">
        <f t="array" aca="1" ref="W540" ca="1">IF(AND(G540=INDIRECT("'["&amp;G540&amp;"]"&amp;E540&amp;"'!"&amp;$AH$2),OR(V540=INDIRECT("'["&amp;G540&amp;"]"&amp;E540&amp;"'!"&amp;$AI$2))),INDIRECT("'["&amp;G540&amp;"]"&amp;E540&amp;"'!"&amp;$AI$3),0)</f>
        <v>#VALUE!</v>
      </c>
      <c r="AJ540" s="25">
        <v>1</v>
      </c>
      <c r="AK540" s="38">
        <f t="shared" ca="1" si="153"/>
        <v>0</v>
      </c>
      <c r="AL540" s="38">
        <f t="shared" ca="1" si="154"/>
        <v>0</v>
      </c>
      <c r="AM540" s="54" t="str">
        <f t="shared" ca="1" si="155"/>
        <v/>
      </c>
      <c r="AN540" s="25" t="e">
        <f t="shared" ca="1" si="156"/>
        <v>#VALUE!</v>
      </c>
      <c r="AO540" s="25" t="e">
        <f t="shared" ca="1" si="157"/>
        <v>#VALUE!</v>
      </c>
      <c r="AQ540" s="46" t="str">
        <f ca="1">IF(AND(C540&lt;&gt;0, C541=0), SUM($C$2:C540)-SUM($AQ$1:AQ539), "")</f>
        <v/>
      </c>
      <c r="AR540" s="46" t="str">
        <f ca="1">IF(AND(AK540&lt;&gt;0, AK541=0), SUM($AK$2:AK540)-SUM($AR$1:AR539), "")</f>
        <v/>
      </c>
    </row>
    <row r="541" spans="2:44" ht="13.15" customHeight="1">
      <c r="B541" s="68" t="str">
        <f t="shared" si="143"/>
        <v/>
      </c>
      <c r="C541" s="55" cm="1">
        <f t="array" aca="1" ref="C541" ca="1">SUM(IF(ISNUMBER(M541:U541),M541:U541,""))</f>
        <v>0</v>
      </c>
      <c r="D541" s="25" t="str">
        <f t="shared" si="144"/>
        <v/>
      </c>
      <c r="E541" s="25" t="e">
        <f t="shared" si="145"/>
        <v>#VALUE!</v>
      </c>
      <c r="F541" s="25" t="str">
        <f t="shared" si="146"/>
        <v/>
      </c>
      <c r="G541" s="25" t="str">
        <f t="shared" si="147"/>
        <v>.xlsx</v>
      </c>
      <c r="H541" s="29" t="e" cm="1">
        <f t="array" aca="1" ref="H541" ca="1">IF(AND(VALUE(E541)=INDIRECT("'["&amp;G541&amp;"]"&amp;E541&amp;"'!"&amp;$X$2),G541=INDIRECT("'["&amp;G541&amp;"]"&amp;E541&amp;"'!"&amp;$X$3)),INDIRECT("'["&amp;G541&amp;"]"&amp;E541&amp;"'!"&amp;$X$1),0)</f>
        <v>#VALUE!</v>
      </c>
      <c r="I541" s="25" t="str">
        <f t="shared" si="148"/>
        <v/>
      </c>
      <c r="J541" s="32" t="str">
        <f t="shared" si="149"/>
        <v/>
      </c>
      <c r="K541" s="25" t="str">
        <f t="shared" si="150"/>
        <v/>
      </c>
      <c r="L541" s="25" t="str">
        <f t="shared" si="151"/>
        <v/>
      </c>
      <c r="M541" s="33" t="e" cm="1">
        <f t="array" aca="1" ref="M541" ca="1">IF(AND(J541=INDIRECT("'["&amp;G541&amp;"]"&amp;E541&amp;"'!"&amp;$Y$2),G541=INDIRECT("'["&amp;G541&amp;"]"&amp;E541&amp;"'!"&amp;$AH$2)),INDIRECT("'["&amp;G541&amp;"]"&amp;E541&amp;"'!"&amp;$Y$3),0)</f>
        <v>#VALUE!</v>
      </c>
      <c r="N541" s="34" t="e" cm="1">
        <f t="array" aca="1" ref="N541" ca="1">IF(AND(G541=INDIRECT("'["&amp;G541&amp;"]"&amp;E541&amp;"'!"&amp;$AH$2),OR(K541=INDIRECT("'["&amp;G541&amp;"]"&amp;E541&amp;"'!"&amp;$Z$2))),INDIRECT("'["&amp;G541&amp;"]"&amp;E541&amp;"'!"&amp;$Z$3),0)</f>
        <v>#VALUE!</v>
      </c>
      <c r="O541" s="34" t="e" cm="1">
        <f t="array" aca="1" ref="O541" ca="1">IF(AND(G541=INDIRECT("'["&amp;G541&amp;"]"&amp;E541&amp;"'!"&amp;$AH$2),OR(L541=INDIRECT("'["&amp;G541&amp;"]"&amp;E541&amp;"'!"&amp;$AA$2))),INDIRECT("'["&amp;G541&amp;"]"&amp;E541&amp;"'!"&amp;$AA$3),0)</f>
        <v>#VALUE!</v>
      </c>
      <c r="P541" s="34" t="e" cm="1">
        <f t="array" aca="1" ref="P541" ca="1">IF(AND(G541=INDIRECT("'["&amp;G541&amp;"]"&amp;E541&amp;"'!"&amp;$AH$2),OR(VALUE(I541)=INDIRECT("'["&amp;G541&amp;"]"&amp;E541&amp;"'!"&amp;$AB$2))),INDIRECT("'["&amp;G541&amp;"]"&amp;E541&amp;"'!"&amp;$AB$3),0)</f>
        <v>#VALUE!</v>
      </c>
      <c r="Q541" s="34" t="e" cm="1">
        <f t="array" aca="1" ref="Q541" ca="1">IF(AND(G541=INDIRECT("'["&amp;G541&amp;"]"&amp;E541&amp;"'!"&amp;$AH$2),OR(VALUE(I541)=INDIRECT("'["&amp;G541&amp;"]"&amp;E541&amp;"'!"&amp;$AC$2))),INDIRECT("'["&amp;G541&amp;"]"&amp;E541&amp;"'!"&amp;$AC$3),0)</f>
        <v>#VALUE!</v>
      </c>
      <c r="R541" s="34" t="e" cm="1">
        <f t="array" aca="1" ref="R541" ca="1">IF(AND(G541=INDIRECT("'["&amp;G541&amp;"]"&amp;E541&amp;"'!"&amp;$AH$2),OR(I541=INDIRECT("'["&amp;G541&amp;"]"&amp;E541&amp;"'!"&amp;$AD$2))),INDIRECT("'["&amp;G541&amp;"]"&amp;E541&amp;"'!"&amp;$AD$3),0)</f>
        <v>#VALUE!</v>
      </c>
      <c r="S541" s="34" t="e" cm="1">
        <f t="array" aca="1" ref="S541" ca="1">IF(AND(G541=INDIRECT("'["&amp;G541&amp;"]"&amp;E541&amp;"'!"&amp;$AH$2),OR(I541=INDIRECT("'["&amp;G541&amp;"]"&amp;E541&amp;"'!"&amp;$AE$2))),INDIRECT("'["&amp;G541&amp;"]"&amp;E541&amp;"'!"&amp;$AE$3),0)</f>
        <v>#VALUE!</v>
      </c>
      <c r="T541" s="35" t="e" cm="1">
        <f t="array" aca="1" ref="T541" ca="1">IF(AND(G541=INDIRECT("'["&amp;G541&amp;"]"&amp;E541&amp;"'!"&amp;$AH$2),OR(I541=INDIRECT("'["&amp;G541&amp;"]"&amp;E541&amp;"'!"&amp;$AF$2))),INDIRECT("'["&amp;G541&amp;"]"&amp;E541&amp;"'!"&amp;$AF$3),0)</f>
        <v>#VALUE!</v>
      </c>
      <c r="U541" s="34" t="e" cm="1">
        <f t="array" aca="1" ref="U541" ca="1">IF(AND(G541=INDIRECT("'["&amp;G541&amp;"]"&amp;E541&amp;"'!"&amp;$AH$2),OR(I541=INDIRECT("'["&amp;G541&amp;"]"&amp;E541&amp;"'!"&amp;$AG$2))),INDIRECT("'["&amp;G541&amp;"]"&amp;E541&amp;"'!"&amp;$AG$3),0)</f>
        <v>#VALUE!</v>
      </c>
      <c r="V541" s="25" t="str">
        <f t="shared" si="152"/>
        <v/>
      </c>
      <c r="W541" s="36" t="e" cm="1">
        <f t="array" aca="1" ref="W541" ca="1">IF(AND(G541=INDIRECT("'["&amp;G541&amp;"]"&amp;E541&amp;"'!"&amp;$AH$2),OR(V541=INDIRECT("'["&amp;G541&amp;"]"&amp;E541&amp;"'!"&amp;$AI$2))),INDIRECT("'["&amp;G541&amp;"]"&amp;E541&amp;"'!"&amp;$AI$3),0)</f>
        <v>#VALUE!</v>
      </c>
      <c r="AJ541" s="25">
        <v>1</v>
      </c>
      <c r="AK541" s="38">
        <f t="shared" ca="1" si="153"/>
        <v>0</v>
      </c>
      <c r="AL541" s="38">
        <f t="shared" ca="1" si="154"/>
        <v>0</v>
      </c>
      <c r="AM541" s="54" t="str">
        <f t="shared" ca="1" si="155"/>
        <v/>
      </c>
      <c r="AN541" s="25" t="e">
        <f t="shared" ca="1" si="156"/>
        <v>#VALUE!</v>
      </c>
      <c r="AO541" s="25" t="e">
        <f t="shared" ca="1" si="157"/>
        <v>#VALUE!</v>
      </c>
      <c r="AQ541" s="46" t="str">
        <f ca="1">IF(AND(C541&lt;&gt;0, C542=0), SUM($C$2:C541)-SUM($AQ$1:AQ540), "")</f>
        <v/>
      </c>
      <c r="AR541" s="46" t="str">
        <f ca="1">IF(AND(AK541&lt;&gt;0, AK542=0), SUM($AK$2:AK541)-SUM($AR$1:AR540), "")</f>
        <v/>
      </c>
    </row>
    <row r="542" spans="2:44" ht="13.15" customHeight="1">
      <c r="B542" s="68" t="str">
        <f t="shared" si="143"/>
        <v/>
      </c>
      <c r="C542" s="55" cm="1">
        <f t="array" aca="1" ref="C542" ca="1">SUM(IF(ISNUMBER(M542:U542),M542:U542,""))</f>
        <v>0</v>
      </c>
      <c r="D542" s="25" t="str">
        <f t="shared" si="144"/>
        <v/>
      </c>
      <c r="E542" s="25" t="e">
        <f t="shared" si="145"/>
        <v>#VALUE!</v>
      </c>
      <c r="F542" s="25" t="str">
        <f t="shared" si="146"/>
        <v/>
      </c>
      <c r="G542" s="25" t="str">
        <f t="shared" si="147"/>
        <v>.xlsx</v>
      </c>
      <c r="H542" s="29" t="e" cm="1">
        <f t="array" aca="1" ref="H542" ca="1">IF(AND(VALUE(E542)=INDIRECT("'["&amp;G542&amp;"]"&amp;E542&amp;"'!"&amp;$X$2),G542=INDIRECT("'["&amp;G542&amp;"]"&amp;E542&amp;"'!"&amp;$X$3)),INDIRECT("'["&amp;G542&amp;"]"&amp;E542&amp;"'!"&amp;$X$1),0)</f>
        <v>#VALUE!</v>
      </c>
      <c r="I542" s="25" t="str">
        <f t="shared" si="148"/>
        <v/>
      </c>
      <c r="J542" s="32" t="str">
        <f t="shared" si="149"/>
        <v/>
      </c>
      <c r="K542" s="25" t="str">
        <f t="shared" si="150"/>
        <v/>
      </c>
      <c r="L542" s="25" t="str">
        <f t="shared" si="151"/>
        <v/>
      </c>
      <c r="M542" s="33" t="e" cm="1">
        <f t="array" aca="1" ref="M542" ca="1">IF(AND(J542=INDIRECT("'["&amp;G542&amp;"]"&amp;E542&amp;"'!"&amp;$Y$2),G542=INDIRECT("'["&amp;G542&amp;"]"&amp;E542&amp;"'!"&amp;$AH$2)),INDIRECT("'["&amp;G542&amp;"]"&amp;E542&amp;"'!"&amp;$Y$3),0)</f>
        <v>#VALUE!</v>
      </c>
      <c r="N542" s="34" t="e" cm="1">
        <f t="array" aca="1" ref="N542" ca="1">IF(AND(G542=INDIRECT("'["&amp;G542&amp;"]"&amp;E542&amp;"'!"&amp;$AH$2),OR(K542=INDIRECT("'["&amp;G542&amp;"]"&amp;E542&amp;"'!"&amp;$Z$2))),INDIRECT("'["&amp;G542&amp;"]"&amp;E542&amp;"'!"&amp;$Z$3),0)</f>
        <v>#VALUE!</v>
      </c>
      <c r="O542" s="34" t="e" cm="1">
        <f t="array" aca="1" ref="O542" ca="1">IF(AND(G542=INDIRECT("'["&amp;G542&amp;"]"&amp;E542&amp;"'!"&amp;$AH$2),OR(L542=INDIRECT("'["&amp;G542&amp;"]"&amp;E542&amp;"'!"&amp;$AA$2))),INDIRECT("'["&amp;G542&amp;"]"&amp;E542&amp;"'!"&amp;$AA$3),0)</f>
        <v>#VALUE!</v>
      </c>
      <c r="P542" s="34" t="e" cm="1">
        <f t="array" aca="1" ref="P542" ca="1">IF(AND(G542=INDIRECT("'["&amp;G542&amp;"]"&amp;E542&amp;"'!"&amp;$AH$2),OR(VALUE(I542)=INDIRECT("'["&amp;G542&amp;"]"&amp;E542&amp;"'!"&amp;$AB$2))),INDIRECT("'["&amp;G542&amp;"]"&amp;E542&amp;"'!"&amp;$AB$3),0)</f>
        <v>#VALUE!</v>
      </c>
      <c r="Q542" s="34" t="e" cm="1">
        <f t="array" aca="1" ref="Q542" ca="1">IF(AND(G542=INDIRECT("'["&amp;G542&amp;"]"&amp;E542&amp;"'!"&amp;$AH$2),OR(VALUE(I542)=INDIRECT("'["&amp;G542&amp;"]"&amp;E542&amp;"'!"&amp;$AC$2))),INDIRECT("'["&amp;G542&amp;"]"&amp;E542&amp;"'!"&amp;$AC$3),0)</f>
        <v>#VALUE!</v>
      </c>
      <c r="R542" s="34" t="e" cm="1">
        <f t="array" aca="1" ref="R542" ca="1">IF(AND(G542=INDIRECT("'["&amp;G542&amp;"]"&amp;E542&amp;"'!"&amp;$AH$2),OR(I542=INDIRECT("'["&amp;G542&amp;"]"&amp;E542&amp;"'!"&amp;$AD$2))),INDIRECT("'["&amp;G542&amp;"]"&amp;E542&amp;"'!"&amp;$AD$3),0)</f>
        <v>#VALUE!</v>
      </c>
      <c r="S542" s="34" t="e" cm="1">
        <f t="array" aca="1" ref="S542" ca="1">IF(AND(G542=INDIRECT("'["&amp;G542&amp;"]"&amp;E542&amp;"'!"&amp;$AH$2),OR(I542=INDIRECT("'["&amp;G542&amp;"]"&amp;E542&amp;"'!"&amp;$AE$2))),INDIRECT("'["&amp;G542&amp;"]"&amp;E542&amp;"'!"&amp;$AE$3),0)</f>
        <v>#VALUE!</v>
      </c>
      <c r="T542" s="35" t="e" cm="1">
        <f t="array" aca="1" ref="T542" ca="1">IF(AND(G542=INDIRECT("'["&amp;G542&amp;"]"&amp;E542&amp;"'!"&amp;$AH$2),OR(I542=INDIRECT("'["&amp;G542&amp;"]"&amp;E542&amp;"'!"&amp;$AF$2))),INDIRECT("'["&amp;G542&amp;"]"&amp;E542&amp;"'!"&amp;$AF$3),0)</f>
        <v>#VALUE!</v>
      </c>
      <c r="U542" s="34" t="e" cm="1">
        <f t="array" aca="1" ref="U542" ca="1">IF(AND(G542=INDIRECT("'["&amp;G542&amp;"]"&amp;E542&amp;"'!"&amp;$AH$2),OR(I542=INDIRECT("'["&amp;G542&amp;"]"&amp;E542&amp;"'!"&amp;$AG$2))),INDIRECT("'["&amp;G542&amp;"]"&amp;E542&amp;"'!"&amp;$AG$3),0)</f>
        <v>#VALUE!</v>
      </c>
      <c r="V542" s="25" t="str">
        <f t="shared" si="152"/>
        <v/>
      </c>
      <c r="W542" s="36" t="e" cm="1">
        <f t="array" aca="1" ref="W542" ca="1">IF(AND(G542=INDIRECT("'["&amp;G542&amp;"]"&amp;E542&amp;"'!"&amp;$AH$2),OR(V542=INDIRECT("'["&amp;G542&amp;"]"&amp;E542&amp;"'!"&amp;$AI$2))),INDIRECT("'["&amp;G542&amp;"]"&amp;E542&amp;"'!"&amp;$AI$3),0)</f>
        <v>#VALUE!</v>
      </c>
      <c r="AJ542" s="25">
        <v>1</v>
      </c>
      <c r="AK542" s="38">
        <f t="shared" ca="1" si="153"/>
        <v>0</v>
      </c>
      <c r="AL542" s="38">
        <f t="shared" ca="1" si="154"/>
        <v>0</v>
      </c>
      <c r="AM542" s="54" t="str">
        <f t="shared" ca="1" si="155"/>
        <v/>
      </c>
      <c r="AN542" s="25" t="e">
        <f t="shared" ca="1" si="156"/>
        <v>#VALUE!</v>
      </c>
      <c r="AO542" s="25" t="e">
        <f t="shared" ca="1" si="157"/>
        <v>#VALUE!</v>
      </c>
      <c r="AQ542" s="46" t="str">
        <f ca="1">IF(AND(C542&lt;&gt;0, C543=0), SUM($C$2:C542)-SUM($AQ$1:AQ541), "")</f>
        <v/>
      </c>
      <c r="AR542" s="46" t="str">
        <f ca="1">IF(AND(AK542&lt;&gt;0, AK543=0), SUM($AK$2:AK542)-SUM($AR$1:AR541), "")</f>
        <v/>
      </c>
    </row>
    <row r="543" spans="2:44" ht="13.15" customHeight="1">
      <c r="B543" s="68" t="str">
        <f t="shared" si="143"/>
        <v/>
      </c>
      <c r="C543" s="55" cm="1">
        <f t="array" aca="1" ref="C543" ca="1">SUM(IF(ISNUMBER(M543:U543),M543:U543,""))</f>
        <v>0</v>
      </c>
      <c r="D543" s="25" t="str">
        <f t="shared" si="144"/>
        <v/>
      </c>
      <c r="E543" s="25" t="e">
        <f t="shared" si="145"/>
        <v>#VALUE!</v>
      </c>
      <c r="F543" s="25" t="str">
        <f t="shared" si="146"/>
        <v/>
      </c>
      <c r="G543" s="25" t="str">
        <f t="shared" si="147"/>
        <v>.xlsx</v>
      </c>
      <c r="H543" s="29" t="e" cm="1">
        <f t="array" aca="1" ref="H543" ca="1">IF(AND(VALUE(E543)=INDIRECT("'["&amp;G543&amp;"]"&amp;E543&amp;"'!"&amp;$X$2),G543=INDIRECT("'["&amp;G543&amp;"]"&amp;E543&amp;"'!"&amp;$X$3)),INDIRECT("'["&amp;G543&amp;"]"&amp;E543&amp;"'!"&amp;$X$1),0)</f>
        <v>#VALUE!</v>
      </c>
      <c r="I543" s="25" t="str">
        <f t="shared" si="148"/>
        <v/>
      </c>
      <c r="J543" s="32" t="str">
        <f t="shared" si="149"/>
        <v/>
      </c>
      <c r="K543" s="25" t="str">
        <f t="shared" si="150"/>
        <v/>
      </c>
      <c r="L543" s="25" t="str">
        <f t="shared" si="151"/>
        <v/>
      </c>
      <c r="M543" s="33" t="e" cm="1">
        <f t="array" aca="1" ref="M543" ca="1">IF(AND(J543=INDIRECT("'["&amp;G543&amp;"]"&amp;E543&amp;"'!"&amp;$Y$2),G543=INDIRECT("'["&amp;G543&amp;"]"&amp;E543&amp;"'!"&amp;$AH$2)),INDIRECT("'["&amp;G543&amp;"]"&amp;E543&amp;"'!"&amp;$Y$3),0)</f>
        <v>#VALUE!</v>
      </c>
      <c r="N543" s="34" t="e" cm="1">
        <f t="array" aca="1" ref="N543" ca="1">IF(AND(G543=INDIRECT("'["&amp;G543&amp;"]"&amp;E543&amp;"'!"&amp;$AH$2),OR(K543=INDIRECT("'["&amp;G543&amp;"]"&amp;E543&amp;"'!"&amp;$Z$2))),INDIRECT("'["&amp;G543&amp;"]"&amp;E543&amp;"'!"&amp;$Z$3),0)</f>
        <v>#VALUE!</v>
      </c>
      <c r="O543" s="34" t="e" cm="1">
        <f t="array" aca="1" ref="O543" ca="1">IF(AND(G543=INDIRECT("'["&amp;G543&amp;"]"&amp;E543&amp;"'!"&amp;$AH$2),OR(L543=INDIRECT("'["&amp;G543&amp;"]"&amp;E543&amp;"'!"&amp;$AA$2))),INDIRECT("'["&amp;G543&amp;"]"&amp;E543&amp;"'!"&amp;$AA$3),0)</f>
        <v>#VALUE!</v>
      </c>
      <c r="P543" s="34" t="e" cm="1">
        <f t="array" aca="1" ref="P543" ca="1">IF(AND(G543=INDIRECT("'["&amp;G543&amp;"]"&amp;E543&amp;"'!"&amp;$AH$2),OR(VALUE(I543)=INDIRECT("'["&amp;G543&amp;"]"&amp;E543&amp;"'!"&amp;$AB$2))),INDIRECT("'["&amp;G543&amp;"]"&amp;E543&amp;"'!"&amp;$AB$3),0)</f>
        <v>#VALUE!</v>
      </c>
      <c r="Q543" s="34" t="e" cm="1">
        <f t="array" aca="1" ref="Q543" ca="1">IF(AND(G543=INDIRECT("'["&amp;G543&amp;"]"&amp;E543&amp;"'!"&amp;$AH$2),OR(VALUE(I543)=INDIRECT("'["&amp;G543&amp;"]"&amp;E543&amp;"'!"&amp;$AC$2))),INDIRECT("'["&amp;G543&amp;"]"&amp;E543&amp;"'!"&amp;$AC$3),0)</f>
        <v>#VALUE!</v>
      </c>
      <c r="R543" s="34" t="e" cm="1">
        <f t="array" aca="1" ref="R543" ca="1">IF(AND(G543=INDIRECT("'["&amp;G543&amp;"]"&amp;E543&amp;"'!"&amp;$AH$2),OR(I543=INDIRECT("'["&amp;G543&amp;"]"&amp;E543&amp;"'!"&amp;$AD$2))),INDIRECT("'["&amp;G543&amp;"]"&amp;E543&amp;"'!"&amp;$AD$3),0)</f>
        <v>#VALUE!</v>
      </c>
      <c r="S543" s="34" t="e" cm="1">
        <f t="array" aca="1" ref="S543" ca="1">IF(AND(G543=INDIRECT("'["&amp;G543&amp;"]"&amp;E543&amp;"'!"&amp;$AH$2),OR(I543=INDIRECT("'["&amp;G543&amp;"]"&amp;E543&amp;"'!"&amp;$AE$2))),INDIRECT("'["&amp;G543&amp;"]"&amp;E543&amp;"'!"&amp;$AE$3),0)</f>
        <v>#VALUE!</v>
      </c>
      <c r="T543" s="35" t="e" cm="1">
        <f t="array" aca="1" ref="T543" ca="1">IF(AND(G543=INDIRECT("'["&amp;G543&amp;"]"&amp;E543&amp;"'!"&amp;$AH$2),OR(I543=INDIRECT("'["&amp;G543&amp;"]"&amp;E543&amp;"'!"&amp;$AF$2))),INDIRECT("'["&amp;G543&amp;"]"&amp;E543&amp;"'!"&amp;$AF$3),0)</f>
        <v>#VALUE!</v>
      </c>
      <c r="U543" s="34" t="e" cm="1">
        <f t="array" aca="1" ref="U543" ca="1">IF(AND(G543=INDIRECT("'["&amp;G543&amp;"]"&amp;E543&amp;"'!"&amp;$AH$2),OR(I543=INDIRECT("'["&amp;G543&amp;"]"&amp;E543&amp;"'!"&amp;$AG$2))),INDIRECT("'["&amp;G543&amp;"]"&amp;E543&amp;"'!"&amp;$AG$3),0)</f>
        <v>#VALUE!</v>
      </c>
      <c r="V543" s="25" t="str">
        <f t="shared" si="152"/>
        <v/>
      </c>
      <c r="W543" s="36" t="e" cm="1">
        <f t="array" aca="1" ref="W543" ca="1">IF(AND(G543=INDIRECT("'["&amp;G543&amp;"]"&amp;E543&amp;"'!"&amp;$AH$2),OR(V543=INDIRECT("'["&amp;G543&amp;"]"&amp;E543&amp;"'!"&amp;$AI$2))),INDIRECT("'["&amp;G543&amp;"]"&amp;E543&amp;"'!"&amp;$AI$3),0)</f>
        <v>#VALUE!</v>
      </c>
      <c r="AJ543" s="25">
        <v>1</v>
      </c>
      <c r="AK543" s="38">
        <f t="shared" ca="1" si="153"/>
        <v>0</v>
      </c>
      <c r="AL543" s="38">
        <f t="shared" ca="1" si="154"/>
        <v>0</v>
      </c>
      <c r="AM543" s="54" t="str">
        <f t="shared" ca="1" si="155"/>
        <v/>
      </c>
      <c r="AN543" s="25" t="e">
        <f t="shared" ca="1" si="156"/>
        <v>#VALUE!</v>
      </c>
      <c r="AO543" s="25" t="e">
        <f t="shared" ca="1" si="157"/>
        <v>#VALUE!</v>
      </c>
      <c r="AQ543" s="46" t="str">
        <f ca="1">IF(AND(C543&lt;&gt;0, C544=0), SUM($C$2:C543)-SUM($AQ$1:AQ542), "")</f>
        <v/>
      </c>
      <c r="AR543" s="46" t="str">
        <f ca="1">IF(AND(AK543&lt;&gt;0, AK544=0), SUM($AK$2:AK543)-SUM($AR$1:AR542), "")</f>
        <v/>
      </c>
    </row>
    <row r="544" spans="2:44" ht="13.15" customHeight="1">
      <c r="B544" s="68" t="str">
        <f t="shared" si="143"/>
        <v/>
      </c>
      <c r="C544" s="55" cm="1">
        <f t="array" aca="1" ref="C544" ca="1">SUM(IF(ISNUMBER(M544:U544),M544:U544,""))</f>
        <v>0</v>
      </c>
      <c r="D544" s="25" t="str">
        <f t="shared" si="144"/>
        <v/>
      </c>
      <c r="E544" s="25" t="e">
        <f t="shared" si="145"/>
        <v>#VALUE!</v>
      </c>
      <c r="F544" s="25" t="str">
        <f t="shared" si="146"/>
        <v/>
      </c>
      <c r="G544" s="25" t="str">
        <f t="shared" si="147"/>
        <v>.xlsx</v>
      </c>
      <c r="H544" s="29" t="e" cm="1">
        <f t="array" aca="1" ref="H544" ca="1">IF(AND(VALUE(E544)=INDIRECT("'["&amp;G544&amp;"]"&amp;E544&amp;"'!"&amp;$X$2),G544=INDIRECT("'["&amp;G544&amp;"]"&amp;E544&amp;"'!"&amp;$X$3)),INDIRECT("'["&amp;G544&amp;"]"&amp;E544&amp;"'!"&amp;$X$1),0)</f>
        <v>#VALUE!</v>
      </c>
      <c r="I544" s="25" t="str">
        <f t="shared" si="148"/>
        <v/>
      </c>
      <c r="J544" s="32" t="str">
        <f t="shared" si="149"/>
        <v/>
      </c>
      <c r="K544" s="25" t="str">
        <f t="shared" si="150"/>
        <v/>
      </c>
      <c r="L544" s="25" t="str">
        <f t="shared" si="151"/>
        <v/>
      </c>
      <c r="M544" s="33" t="e" cm="1">
        <f t="array" aca="1" ref="M544" ca="1">IF(AND(J544=INDIRECT("'["&amp;G544&amp;"]"&amp;E544&amp;"'!"&amp;$Y$2),G544=INDIRECT("'["&amp;G544&amp;"]"&amp;E544&amp;"'!"&amp;$AH$2)),INDIRECT("'["&amp;G544&amp;"]"&amp;E544&amp;"'!"&amp;$Y$3),0)</f>
        <v>#VALUE!</v>
      </c>
      <c r="N544" s="34" t="e" cm="1">
        <f t="array" aca="1" ref="N544" ca="1">IF(AND(G544=INDIRECT("'["&amp;G544&amp;"]"&amp;E544&amp;"'!"&amp;$AH$2),OR(K544=INDIRECT("'["&amp;G544&amp;"]"&amp;E544&amp;"'!"&amp;$Z$2))),INDIRECT("'["&amp;G544&amp;"]"&amp;E544&amp;"'!"&amp;$Z$3),0)</f>
        <v>#VALUE!</v>
      </c>
      <c r="O544" s="34" t="e" cm="1">
        <f t="array" aca="1" ref="O544" ca="1">IF(AND(G544=INDIRECT("'["&amp;G544&amp;"]"&amp;E544&amp;"'!"&amp;$AH$2),OR(L544=INDIRECT("'["&amp;G544&amp;"]"&amp;E544&amp;"'!"&amp;$AA$2))),INDIRECT("'["&amp;G544&amp;"]"&amp;E544&amp;"'!"&amp;$AA$3),0)</f>
        <v>#VALUE!</v>
      </c>
      <c r="P544" s="34" t="e" cm="1">
        <f t="array" aca="1" ref="P544" ca="1">IF(AND(G544=INDIRECT("'["&amp;G544&amp;"]"&amp;E544&amp;"'!"&amp;$AH$2),OR(VALUE(I544)=INDIRECT("'["&amp;G544&amp;"]"&amp;E544&amp;"'!"&amp;$AB$2))),INDIRECT("'["&amp;G544&amp;"]"&amp;E544&amp;"'!"&amp;$AB$3),0)</f>
        <v>#VALUE!</v>
      </c>
      <c r="Q544" s="34" t="e" cm="1">
        <f t="array" aca="1" ref="Q544" ca="1">IF(AND(G544=INDIRECT("'["&amp;G544&amp;"]"&amp;E544&amp;"'!"&amp;$AH$2),OR(VALUE(I544)=INDIRECT("'["&amp;G544&amp;"]"&amp;E544&amp;"'!"&amp;$AC$2))),INDIRECT("'["&amp;G544&amp;"]"&amp;E544&amp;"'!"&amp;$AC$3),0)</f>
        <v>#VALUE!</v>
      </c>
      <c r="R544" s="34" t="e" cm="1">
        <f t="array" aca="1" ref="R544" ca="1">IF(AND(G544=INDIRECT("'["&amp;G544&amp;"]"&amp;E544&amp;"'!"&amp;$AH$2),OR(I544=INDIRECT("'["&amp;G544&amp;"]"&amp;E544&amp;"'!"&amp;$AD$2))),INDIRECT("'["&amp;G544&amp;"]"&amp;E544&amp;"'!"&amp;$AD$3),0)</f>
        <v>#VALUE!</v>
      </c>
      <c r="S544" s="34" t="e" cm="1">
        <f t="array" aca="1" ref="S544" ca="1">IF(AND(G544=INDIRECT("'["&amp;G544&amp;"]"&amp;E544&amp;"'!"&amp;$AH$2),OR(I544=INDIRECT("'["&amp;G544&amp;"]"&amp;E544&amp;"'!"&amp;$AE$2))),INDIRECT("'["&amp;G544&amp;"]"&amp;E544&amp;"'!"&amp;$AE$3),0)</f>
        <v>#VALUE!</v>
      </c>
      <c r="T544" s="35" t="e" cm="1">
        <f t="array" aca="1" ref="T544" ca="1">IF(AND(G544=INDIRECT("'["&amp;G544&amp;"]"&amp;E544&amp;"'!"&amp;$AH$2),OR(I544=INDIRECT("'["&amp;G544&amp;"]"&amp;E544&amp;"'!"&amp;$AF$2))),INDIRECT("'["&amp;G544&amp;"]"&amp;E544&amp;"'!"&amp;$AF$3),0)</f>
        <v>#VALUE!</v>
      </c>
      <c r="U544" s="34" t="e" cm="1">
        <f t="array" aca="1" ref="U544" ca="1">IF(AND(G544=INDIRECT("'["&amp;G544&amp;"]"&amp;E544&amp;"'!"&amp;$AH$2),OR(I544=INDIRECT("'["&amp;G544&amp;"]"&amp;E544&amp;"'!"&amp;$AG$2))),INDIRECT("'["&amp;G544&amp;"]"&amp;E544&amp;"'!"&amp;$AG$3),0)</f>
        <v>#VALUE!</v>
      </c>
      <c r="V544" s="25" t="str">
        <f t="shared" si="152"/>
        <v/>
      </c>
      <c r="W544" s="36" t="e" cm="1">
        <f t="array" aca="1" ref="W544" ca="1">IF(AND(G544=INDIRECT("'["&amp;G544&amp;"]"&amp;E544&amp;"'!"&amp;$AH$2),OR(V544=INDIRECT("'["&amp;G544&amp;"]"&amp;E544&amp;"'!"&amp;$AI$2))),INDIRECT("'["&amp;G544&amp;"]"&amp;E544&amp;"'!"&amp;$AI$3),0)</f>
        <v>#VALUE!</v>
      </c>
      <c r="AJ544" s="25">
        <v>1</v>
      </c>
      <c r="AK544" s="38">
        <f t="shared" ca="1" si="153"/>
        <v>0</v>
      </c>
      <c r="AL544" s="38">
        <f t="shared" ca="1" si="154"/>
        <v>0</v>
      </c>
      <c r="AM544" s="54" t="str">
        <f t="shared" ca="1" si="155"/>
        <v/>
      </c>
      <c r="AN544" s="25" t="e">
        <f t="shared" ca="1" si="156"/>
        <v>#VALUE!</v>
      </c>
      <c r="AO544" s="25" t="e">
        <f t="shared" ca="1" si="157"/>
        <v>#VALUE!</v>
      </c>
      <c r="AQ544" s="46" t="str">
        <f ca="1">IF(AND(C544&lt;&gt;0, C545=0), SUM($C$2:C544)-SUM($AQ$1:AQ543), "")</f>
        <v/>
      </c>
      <c r="AR544" s="46" t="str">
        <f ca="1">IF(AND(AK544&lt;&gt;0, AK545=0), SUM($AK$2:AK544)-SUM($AR$1:AR543), "")</f>
        <v/>
      </c>
    </row>
    <row r="545" spans="2:44" ht="13.15" customHeight="1">
      <c r="B545" s="68" t="str">
        <f t="shared" si="143"/>
        <v/>
      </c>
      <c r="C545" s="55" cm="1">
        <f t="array" aca="1" ref="C545" ca="1">SUM(IF(ISNUMBER(M545:U545),M545:U545,""))</f>
        <v>0</v>
      </c>
      <c r="D545" s="25" t="str">
        <f t="shared" si="144"/>
        <v/>
      </c>
      <c r="E545" s="25" t="e">
        <f t="shared" si="145"/>
        <v>#VALUE!</v>
      </c>
      <c r="F545" s="25" t="str">
        <f t="shared" si="146"/>
        <v/>
      </c>
      <c r="G545" s="25" t="str">
        <f t="shared" si="147"/>
        <v>.xlsx</v>
      </c>
      <c r="H545" s="29" t="e" cm="1">
        <f t="array" aca="1" ref="H545" ca="1">IF(AND(VALUE(E545)=INDIRECT("'["&amp;G545&amp;"]"&amp;E545&amp;"'!"&amp;$X$2),G545=INDIRECT("'["&amp;G545&amp;"]"&amp;E545&amp;"'!"&amp;$X$3)),INDIRECT("'["&amp;G545&amp;"]"&amp;E545&amp;"'!"&amp;$X$1),0)</f>
        <v>#VALUE!</v>
      </c>
      <c r="I545" s="25" t="str">
        <f t="shared" si="148"/>
        <v/>
      </c>
      <c r="J545" s="32" t="str">
        <f t="shared" si="149"/>
        <v/>
      </c>
      <c r="K545" s="25" t="str">
        <f t="shared" si="150"/>
        <v/>
      </c>
      <c r="L545" s="25" t="str">
        <f t="shared" si="151"/>
        <v/>
      </c>
      <c r="M545" s="33" t="e" cm="1">
        <f t="array" aca="1" ref="M545" ca="1">IF(AND(J545=INDIRECT("'["&amp;G545&amp;"]"&amp;E545&amp;"'!"&amp;$Y$2),G545=INDIRECT("'["&amp;G545&amp;"]"&amp;E545&amp;"'!"&amp;$AH$2)),INDIRECT("'["&amp;G545&amp;"]"&amp;E545&amp;"'!"&amp;$Y$3),0)</f>
        <v>#VALUE!</v>
      </c>
      <c r="N545" s="34" t="e" cm="1">
        <f t="array" aca="1" ref="N545" ca="1">IF(AND(G545=INDIRECT("'["&amp;G545&amp;"]"&amp;E545&amp;"'!"&amp;$AH$2),OR(K545=INDIRECT("'["&amp;G545&amp;"]"&amp;E545&amp;"'!"&amp;$Z$2))),INDIRECT("'["&amp;G545&amp;"]"&amp;E545&amp;"'!"&amp;$Z$3),0)</f>
        <v>#VALUE!</v>
      </c>
      <c r="O545" s="34" t="e" cm="1">
        <f t="array" aca="1" ref="O545" ca="1">IF(AND(G545=INDIRECT("'["&amp;G545&amp;"]"&amp;E545&amp;"'!"&amp;$AH$2),OR(L545=INDIRECT("'["&amp;G545&amp;"]"&amp;E545&amp;"'!"&amp;$AA$2))),INDIRECT("'["&amp;G545&amp;"]"&amp;E545&amp;"'!"&amp;$AA$3),0)</f>
        <v>#VALUE!</v>
      </c>
      <c r="P545" s="34" t="e" cm="1">
        <f t="array" aca="1" ref="P545" ca="1">IF(AND(G545=INDIRECT("'["&amp;G545&amp;"]"&amp;E545&amp;"'!"&amp;$AH$2),OR(VALUE(I545)=INDIRECT("'["&amp;G545&amp;"]"&amp;E545&amp;"'!"&amp;$AB$2))),INDIRECT("'["&amp;G545&amp;"]"&amp;E545&amp;"'!"&amp;$AB$3),0)</f>
        <v>#VALUE!</v>
      </c>
      <c r="Q545" s="34" t="e" cm="1">
        <f t="array" aca="1" ref="Q545" ca="1">IF(AND(G545=INDIRECT("'["&amp;G545&amp;"]"&amp;E545&amp;"'!"&amp;$AH$2),OR(VALUE(I545)=INDIRECT("'["&amp;G545&amp;"]"&amp;E545&amp;"'!"&amp;$AC$2))),INDIRECT("'["&amp;G545&amp;"]"&amp;E545&amp;"'!"&amp;$AC$3),0)</f>
        <v>#VALUE!</v>
      </c>
      <c r="R545" s="34" t="e" cm="1">
        <f t="array" aca="1" ref="R545" ca="1">IF(AND(G545=INDIRECT("'["&amp;G545&amp;"]"&amp;E545&amp;"'!"&amp;$AH$2),OR(I545=INDIRECT("'["&amp;G545&amp;"]"&amp;E545&amp;"'!"&amp;$AD$2))),INDIRECT("'["&amp;G545&amp;"]"&amp;E545&amp;"'!"&amp;$AD$3),0)</f>
        <v>#VALUE!</v>
      </c>
      <c r="S545" s="34" t="e" cm="1">
        <f t="array" aca="1" ref="S545" ca="1">IF(AND(G545=INDIRECT("'["&amp;G545&amp;"]"&amp;E545&amp;"'!"&amp;$AH$2),OR(I545=INDIRECT("'["&amp;G545&amp;"]"&amp;E545&amp;"'!"&amp;$AE$2))),INDIRECT("'["&amp;G545&amp;"]"&amp;E545&amp;"'!"&amp;$AE$3),0)</f>
        <v>#VALUE!</v>
      </c>
      <c r="T545" s="35" t="e" cm="1">
        <f t="array" aca="1" ref="T545" ca="1">IF(AND(G545=INDIRECT("'["&amp;G545&amp;"]"&amp;E545&amp;"'!"&amp;$AH$2),OR(I545=INDIRECT("'["&amp;G545&amp;"]"&amp;E545&amp;"'!"&amp;$AF$2))),INDIRECT("'["&amp;G545&amp;"]"&amp;E545&amp;"'!"&amp;$AF$3),0)</f>
        <v>#VALUE!</v>
      </c>
      <c r="U545" s="34" t="e" cm="1">
        <f t="array" aca="1" ref="U545" ca="1">IF(AND(G545=INDIRECT("'["&amp;G545&amp;"]"&amp;E545&amp;"'!"&amp;$AH$2),OR(I545=INDIRECT("'["&amp;G545&amp;"]"&amp;E545&amp;"'!"&amp;$AG$2))),INDIRECT("'["&amp;G545&amp;"]"&amp;E545&amp;"'!"&amp;$AG$3),0)</f>
        <v>#VALUE!</v>
      </c>
      <c r="V545" s="25" t="str">
        <f t="shared" si="152"/>
        <v/>
      </c>
      <c r="W545" s="36" t="e" cm="1">
        <f t="array" aca="1" ref="W545" ca="1">IF(AND(G545=INDIRECT("'["&amp;G545&amp;"]"&amp;E545&amp;"'!"&amp;$AH$2),OR(V545=INDIRECT("'["&amp;G545&amp;"]"&amp;E545&amp;"'!"&amp;$AI$2))),INDIRECT("'["&amp;G545&amp;"]"&amp;E545&amp;"'!"&amp;$AI$3),0)</f>
        <v>#VALUE!</v>
      </c>
      <c r="AJ545" s="25">
        <v>1</v>
      </c>
      <c r="AK545" s="38">
        <f t="shared" ca="1" si="153"/>
        <v>0</v>
      </c>
      <c r="AL545" s="38">
        <f t="shared" ca="1" si="154"/>
        <v>0</v>
      </c>
      <c r="AM545" s="54" t="str">
        <f t="shared" ca="1" si="155"/>
        <v/>
      </c>
      <c r="AN545" s="25" t="e">
        <f t="shared" ca="1" si="156"/>
        <v>#VALUE!</v>
      </c>
      <c r="AO545" s="25" t="e">
        <f t="shared" ca="1" si="157"/>
        <v>#VALUE!</v>
      </c>
      <c r="AQ545" s="46" t="str">
        <f ca="1">IF(AND(C545&lt;&gt;0, C546=0), SUM($C$2:C545)-SUM($AQ$1:AQ544), "")</f>
        <v/>
      </c>
      <c r="AR545" s="46" t="str">
        <f ca="1">IF(AND(AK545&lt;&gt;0, AK546=0), SUM($AK$2:AK545)-SUM($AR$1:AR544), "")</f>
        <v/>
      </c>
    </row>
    <row r="546" spans="2:44" ht="13.15" customHeight="1">
      <c r="B546" s="68" t="str">
        <f t="shared" si="143"/>
        <v/>
      </c>
      <c r="C546" s="55" cm="1">
        <f t="array" aca="1" ref="C546" ca="1">SUM(IF(ISNUMBER(M546:U546),M546:U546,""))</f>
        <v>0</v>
      </c>
      <c r="D546" s="25" t="str">
        <f t="shared" si="144"/>
        <v/>
      </c>
      <c r="E546" s="25" t="e">
        <f t="shared" si="145"/>
        <v>#VALUE!</v>
      </c>
      <c r="F546" s="25" t="str">
        <f t="shared" si="146"/>
        <v/>
      </c>
      <c r="G546" s="25" t="str">
        <f t="shared" si="147"/>
        <v>.xlsx</v>
      </c>
      <c r="H546" s="29" t="e" cm="1">
        <f t="array" aca="1" ref="H546" ca="1">IF(AND(VALUE(E546)=INDIRECT("'["&amp;G546&amp;"]"&amp;E546&amp;"'!"&amp;$X$2),G546=INDIRECT("'["&amp;G546&amp;"]"&amp;E546&amp;"'!"&amp;$X$3)),INDIRECT("'["&amp;G546&amp;"]"&amp;E546&amp;"'!"&amp;$X$1),0)</f>
        <v>#VALUE!</v>
      </c>
      <c r="I546" s="25" t="str">
        <f t="shared" si="148"/>
        <v/>
      </c>
      <c r="J546" s="32" t="str">
        <f t="shared" si="149"/>
        <v/>
      </c>
      <c r="K546" s="25" t="str">
        <f t="shared" si="150"/>
        <v/>
      </c>
      <c r="L546" s="25" t="str">
        <f t="shared" si="151"/>
        <v/>
      </c>
      <c r="M546" s="33" t="e" cm="1">
        <f t="array" aca="1" ref="M546" ca="1">IF(AND(J546=INDIRECT("'["&amp;G546&amp;"]"&amp;E546&amp;"'!"&amp;$Y$2),G546=INDIRECT("'["&amp;G546&amp;"]"&amp;E546&amp;"'!"&amp;$AH$2)),INDIRECT("'["&amp;G546&amp;"]"&amp;E546&amp;"'!"&amp;$Y$3),0)</f>
        <v>#VALUE!</v>
      </c>
      <c r="N546" s="34" t="e" cm="1">
        <f t="array" aca="1" ref="N546" ca="1">IF(AND(G546=INDIRECT("'["&amp;G546&amp;"]"&amp;E546&amp;"'!"&amp;$AH$2),OR(K546=INDIRECT("'["&amp;G546&amp;"]"&amp;E546&amp;"'!"&amp;$Z$2))),INDIRECT("'["&amp;G546&amp;"]"&amp;E546&amp;"'!"&amp;$Z$3),0)</f>
        <v>#VALUE!</v>
      </c>
      <c r="O546" s="34" t="e" cm="1">
        <f t="array" aca="1" ref="O546" ca="1">IF(AND(G546=INDIRECT("'["&amp;G546&amp;"]"&amp;E546&amp;"'!"&amp;$AH$2),OR(L546=INDIRECT("'["&amp;G546&amp;"]"&amp;E546&amp;"'!"&amp;$AA$2))),INDIRECT("'["&amp;G546&amp;"]"&amp;E546&amp;"'!"&amp;$AA$3),0)</f>
        <v>#VALUE!</v>
      </c>
      <c r="P546" s="34" t="e" cm="1">
        <f t="array" aca="1" ref="P546" ca="1">IF(AND(G546=INDIRECT("'["&amp;G546&amp;"]"&amp;E546&amp;"'!"&amp;$AH$2),OR(VALUE(I546)=INDIRECT("'["&amp;G546&amp;"]"&amp;E546&amp;"'!"&amp;$AB$2))),INDIRECT("'["&amp;G546&amp;"]"&amp;E546&amp;"'!"&amp;$AB$3),0)</f>
        <v>#VALUE!</v>
      </c>
      <c r="Q546" s="34" t="e" cm="1">
        <f t="array" aca="1" ref="Q546" ca="1">IF(AND(G546=INDIRECT("'["&amp;G546&amp;"]"&amp;E546&amp;"'!"&amp;$AH$2),OR(VALUE(I546)=INDIRECT("'["&amp;G546&amp;"]"&amp;E546&amp;"'!"&amp;$AC$2))),INDIRECT("'["&amp;G546&amp;"]"&amp;E546&amp;"'!"&amp;$AC$3),0)</f>
        <v>#VALUE!</v>
      </c>
      <c r="R546" s="34" t="e" cm="1">
        <f t="array" aca="1" ref="R546" ca="1">IF(AND(G546=INDIRECT("'["&amp;G546&amp;"]"&amp;E546&amp;"'!"&amp;$AH$2),OR(I546=INDIRECT("'["&amp;G546&amp;"]"&amp;E546&amp;"'!"&amp;$AD$2))),INDIRECT("'["&amp;G546&amp;"]"&amp;E546&amp;"'!"&amp;$AD$3),0)</f>
        <v>#VALUE!</v>
      </c>
      <c r="S546" s="34" t="e" cm="1">
        <f t="array" aca="1" ref="S546" ca="1">IF(AND(G546=INDIRECT("'["&amp;G546&amp;"]"&amp;E546&amp;"'!"&amp;$AH$2),OR(I546=INDIRECT("'["&amp;G546&amp;"]"&amp;E546&amp;"'!"&amp;$AE$2))),INDIRECT("'["&amp;G546&amp;"]"&amp;E546&amp;"'!"&amp;$AE$3),0)</f>
        <v>#VALUE!</v>
      </c>
      <c r="T546" s="35" t="e" cm="1">
        <f t="array" aca="1" ref="T546" ca="1">IF(AND(G546=INDIRECT("'["&amp;G546&amp;"]"&amp;E546&amp;"'!"&amp;$AH$2),OR(I546=INDIRECT("'["&amp;G546&amp;"]"&amp;E546&amp;"'!"&amp;$AF$2))),INDIRECT("'["&amp;G546&amp;"]"&amp;E546&amp;"'!"&amp;$AF$3),0)</f>
        <v>#VALUE!</v>
      </c>
      <c r="U546" s="34" t="e" cm="1">
        <f t="array" aca="1" ref="U546" ca="1">IF(AND(G546=INDIRECT("'["&amp;G546&amp;"]"&amp;E546&amp;"'!"&amp;$AH$2),OR(I546=INDIRECT("'["&amp;G546&amp;"]"&amp;E546&amp;"'!"&amp;$AG$2))),INDIRECT("'["&amp;G546&amp;"]"&amp;E546&amp;"'!"&amp;$AG$3),0)</f>
        <v>#VALUE!</v>
      </c>
      <c r="V546" s="25" t="str">
        <f t="shared" si="152"/>
        <v/>
      </c>
      <c r="W546" s="36" t="e" cm="1">
        <f t="array" aca="1" ref="W546" ca="1">IF(AND(G546=INDIRECT("'["&amp;G546&amp;"]"&amp;E546&amp;"'!"&amp;$AH$2),OR(V546=INDIRECT("'["&amp;G546&amp;"]"&amp;E546&amp;"'!"&amp;$AI$2))),INDIRECT("'["&amp;G546&amp;"]"&amp;E546&amp;"'!"&amp;$AI$3),0)</f>
        <v>#VALUE!</v>
      </c>
      <c r="AJ546" s="25">
        <v>1</v>
      </c>
      <c r="AK546" s="38">
        <f t="shared" ca="1" si="153"/>
        <v>0</v>
      </c>
      <c r="AL546" s="38">
        <f t="shared" ca="1" si="154"/>
        <v>0</v>
      </c>
      <c r="AM546" s="54" t="str">
        <f t="shared" ca="1" si="155"/>
        <v/>
      </c>
      <c r="AN546" s="25" t="e">
        <f t="shared" ca="1" si="156"/>
        <v>#VALUE!</v>
      </c>
      <c r="AO546" s="25" t="e">
        <f t="shared" ca="1" si="157"/>
        <v>#VALUE!</v>
      </c>
      <c r="AQ546" s="46" t="str">
        <f ca="1">IF(AND(C546&lt;&gt;0, C547=0), SUM($C$2:C546)-SUM($AQ$1:AQ545), "")</f>
        <v/>
      </c>
      <c r="AR546" s="46" t="str">
        <f ca="1">IF(AND(AK546&lt;&gt;0, AK547=0), SUM($AK$2:AK546)-SUM($AR$1:AR545), "")</f>
        <v/>
      </c>
    </row>
    <row r="547" spans="2:44" ht="13.15" customHeight="1">
      <c r="B547" s="68" t="str">
        <f t="shared" si="143"/>
        <v/>
      </c>
      <c r="C547" s="55" cm="1">
        <f t="array" aca="1" ref="C547" ca="1">SUM(IF(ISNUMBER(M547:U547),M547:U547,""))</f>
        <v>0</v>
      </c>
      <c r="D547" s="25" t="str">
        <f t="shared" si="144"/>
        <v/>
      </c>
      <c r="E547" s="25" t="e">
        <f t="shared" si="145"/>
        <v>#VALUE!</v>
      </c>
      <c r="F547" s="25" t="str">
        <f t="shared" si="146"/>
        <v/>
      </c>
      <c r="G547" s="25" t="str">
        <f t="shared" si="147"/>
        <v>.xlsx</v>
      </c>
      <c r="H547" s="29" t="e" cm="1">
        <f t="array" aca="1" ref="H547" ca="1">IF(AND(VALUE(E547)=INDIRECT("'["&amp;G547&amp;"]"&amp;E547&amp;"'!"&amp;$X$2),G547=INDIRECT("'["&amp;G547&amp;"]"&amp;E547&amp;"'!"&amp;$X$3)),INDIRECT("'["&amp;G547&amp;"]"&amp;E547&amp;"'!"&amp;$X$1),0)</f>
        <v>#VALUE!</v>
      </c>
      <c r="I547" s="25" t="str">
        <f t="shared" si="148"/>
        <v/>
      </c>
      <c r="J547" s="32" t="str">
        <f t="shared" si="149"/>
        <v/>
      </c>
      <c r="K547" s="25" t="str">
        <f t="shared" si="150"/>
        <v/>
      </c>
      <c r="L547" s="25" t="str">
        <f t="shared" si="151"/>
        <v/>
      </c>
      <c r="M547" s="33" t="e" cm="1">
        <f t="array" aca="1" ref="M547" ca="1">IF(AND(J547=INDIRECT("'["&amp;G547&amp;"]"&amp;E547&amp;"'!"&amp;$Y$2),G547=INDIRECT("'["&amp;G547&amp;"]"&amp;E547&amp;"'!"&amp;$AH$2)),INDIRECT("'["&amp;G547&amp;"]"&amp;E547&amp;"'!"&amp;$Y$3),0)</f>
        <v>#VALUE!</v>
      </c>
      <c r="N547" s="34" t="e" cm="1">
        <f t="array" aca="1" ref="N547" ca="1">IF(AND(G547=INDIRECT("'["&amp;G547&amp;"]"&amp;E547&amp;"'!"&amp;$AH$2),OR(K547=INDIRECT("'["&amp;G547&amp;"]"&amp;E547&amp;"'!"&amp;$Z$2))),INDIRECT("'["&amp;G547&amp;"]"&amp;E547&amp;"'!"&amp;$Z$3),0)</f>
        <v>#VALUE!</v>
      </c>
      <c r="O547" s="34" t="e" cm="1">
        <f t="array" aca="1" ref="O547" ca="1">IF(AND(G547=INDIRECT("'["&amp;G547&amp;"]"&amp;E547&amp;"'!"&amp;$AH$2),OR(L547=INDIRECT("'["&amp;G547&amp;"]"&amp;E547&amp;"'!"&amp;$AA$2))),INDIRECT("'["&amp;G547&amp;"]"&amp;E547&amp;"'!"&amp;$AA$3),0)</f>
        <v>#VALUE!</v>
      </c>
      <c r="P547" s="34" t="e" cm="1">
        <f t="array" aca="1" ref="P547" ca="1">IF(AND(G547=INDIRECT("'["&amp;G547&amp;"]"&amp;E547&amp;"'!"&amp;$AH$2),OR(VALUE(I547)=INDIRECT("'["&amp;G547&amp;"]"&amp;E547&amp;"'!"&amp;$AB$2))),INDIRECT("'["&amp;G547&amp;"]"&amp;E547&amp;"'!"&amp;$AB$3),0)</f>
        <v>#VALUE!</v>
      </c>
      <c r="Q547" s="34" t="e" cm="1">
        <f t="array" aca="1" ref="Q547" ca="1">IF(AND(G547=INDIRECT("'["&amp;G547&amp;"]"&amp;E547&amp;"'!"&amp;$AH$2),OR(VALUE(I547)=INDIRECT("'["&amp;G547&amp;"]"&amp;E547&amp;"'!"&amp;$AC$2))),INDIRECT("'["&amp;G547&amp;"]"&amp;E547&amp;"'!"&amp;$AC$3),0)</f>
        <v>#VALUE!</v>
      </c>
      <c r="R547" s="34" t="e" cm="1">
        <f t="array" aca="1" ref="R547" ca="1">IF(AND(G547=INDIRECT("'["&amp;G547&amp;"]"&amp;E547&amp;"'!"&amp;$AH$2),OR(I547=INDIRECT("'["&amp;G547&amp;"]"&amp;E547&amp;"'!"&amp;$AD$2))),INDIRECT("'["&amp;G547&amp;"]"&amp;E547&amp;"'!"&amp;$AD$3),0)</f>
        <v>#VALUE!</v>
      </c>
      <c r="S547" s="34" t="e" cm="1">
        <f t="array" aca="1" ref="S547" ca="1">IF(AND(G547=INDIRECT("'["&amp;G547&amp;"]"&amp;E547&amp;"'!"&amp;$AH$2),OR(I547=INDIRECT("'["&amp;G547&amp;"]"&amp;E547&amp;"'!"&amp;$AE$2))),INDIRECT("'["&amp;G547&amp;"]"&amp;E547&amp;"'!"&amp;$AE$3),0)</f>
        <v>#VALUE!</v>
      </c>
      <c r="T547" s="35" t="e" cm="1">
        <f t="array" aca="1" ref="T547" ca="1">IF(AND(G547=INDIRECT("'["&amp;G547&amp;"]"&amp;E547&amp;"'!"&amp;$AH$2),OR(I547=INDIRECT("'["&amp;G547&amp;"]"&amp;E547&amp;"'!"&amp;$AF$2))),INDIRECT("'["&amp;G547&amp;"]"&amp;E547&amp;"'!"&amp;$AF$3),0)</f>
        <v>#VALUE!</v>
      </c>
      <c r="U547" s="34" t="e" cm="1">
        <f t="array" aca="1" ref="U547" ca="1">IF(AND(G547=INDIRECT("'["&amp;G547&amp;"]"&amp;E547&amp;"'!"&amp;$AH$2),OR(I547=INDIRECT("'["&amp;G547&amp;"]"&amp;E547&amp;"'!"&amp;$AG$2))),INDIRECT("'["&amp;G547&amp;"]"&amp;E547&amp;"'!"&amp;$AG$3),0)</f>
        <v>#VALUE!</v>
      </c>
      <c r="V547" s="25" t="str">
        <f t="shared" si="152"/>
        <v/>
      </c>
      <c r="W547" s="36" t="e" cm="1">
        <f t="array" aca="1" ref="W547" ca="1">IF(AND(G547=INDIRECT("'["&amp;G547&amp;"]"&amp;E547&amp;"'!"&amp;$AH$2),OR(V547=INDIRECT("'["&amp;G547&amp;"]"&amp;E547&amp;"'!"&amp;$AI$2))),INDIRECT("'["&amp;G547&amp;"]"&amp;E547&amp;"'!"&amp;$AI$3),0)</f>
        <v>#VALUE!</v>
      </c>
      <c r="AJ547" s="25">
        <v>1</v>
      </c>
      <c r="AK547" s="38">
        <f t="shared" ca="1" si="153"/>
        <v>0</v>
      </c>
      <c r="AL547" s="38">
        <f t="shared" ca="1" si="154"/>
        <v>0</v>
      </c>
      <c r="AM547" s="54" t="str">
        <f t="shared" ca="1" si="155"/>
        <v/>
      </c>
      <c r="AN547" s="25" t="e">
        <f t="shared" ca="1" si="156"/>
        <v>#VALUE!</v>
      </c>
      <c r="AO547" s="25" t="e">
        <f t="shared" ca="1" si="157"/>
        <v>#VALUE!</v>
      </c>
      <c r="AQ547" s="46" t="str">
        <f ca="1">IF(AND(C547&lt;&gt;0, C548=0), SUM($C$2:C547)-SUM($AQ$1:AQ546), "")</f>
        <v/>
      </c>
      <c r="AR547" s="46" t="str">
        <f ca="1">IF(AND(AK547&lt;&gt;0, AK548=0), SUM($AK$2:AK547)-SUM($AR$1:AR546), "")</f>
        <v/>
      </c>
    </row>
    <row r="548" spans="2:44" ht="13.15" customHeight="1">
      <c r="B548" s="68" t="str">
        <f t="shared" si="143"/>
        <v/>
      </c>
      <c r="C548" s="55" cm="1">
        <f t="array" aca="1" ref="C548" ca="1">SUM(IF(ISNUMBER(M548:U548),M548:U548,""))</f>
        <v>0</v>
      </c>
      <c r="D548" s="25" t="str">
        <f t="shared" si="144"/>
        <v/>
      </c>
      <c r="E548" s="25" t="e">
        <f t="shared" si="145"/>
        <v>#VALUE!</v>
      </c>
      <c r="F548" s="25" t="str">
        <f t="shared" si="146"/>
        <v/>
      </c>
      <c r="G548" s="25" t="str">
        <f t="shared" si="147"/>
        <v>.xlsx</v>
      </c>
      <c r="H548" s="29" t="e" cm="1">
        <f t="array" aca="1" ref="H548" ca="1">IF(AND(VALUE(E548)=INDIRECT("'["&amp;G548&amp;"]"&amp;E548&amp;"'!"&amp;$X$2),G548=INDIRECT("'["&amp;G548&amp;"]"&amp;E548&amp;"'!"&amp;$X$3)),INDIRECT("'["&amp;G548&amp;"]"&amp;E548&amp;"'!"&amp;$X$1),0)</f>
        <v>#VALUE!</v>
      </c>
      <c r="I548" s="25" t="str">
        <f t="shared" si="148"/>
        <v/>
      </c>
      <c r="J548" s="32" t="str">
        <f t="shared" si="149"/>
        <v/>
      </c>
      <c r="K548" s="25" t="str">
        <f t="shared" si="150"/>
        <v/>
      </c>
      <c r="L548" s="25" t="str">
        <f t="shared" si="151"/>
        <v/>
      </c>
      <c r="M548" s="33" t="e" cm="1">
        <f t="array" aca="1" ref="M548" ca="1">IF(AND(J548=INDIRECT("'["&amp;G548&amp;"]"&amp;E548&amp;"'!"&amp;$Y$2),G548=INDIRECT("'["&amp;G548&amp;"]"&amp;E548&amp;"'!"&amp;$AH$2)),INDIRECT("'["&amp;G548&amp;"]"&amp;E548&amp;"'!"&amp;$Y$3),0)</f>
        <v>#VALUE!</v>
      </c>
      <c r="N548" s="34" t="e" cm="1">
        <f t="array" aca="1" ref="N548" ca="1">IF(AND(G548=INDIRECT("'["&amp;G548&amp;"]"&amp;E548&amp;"'!"&amp;$AH$2),OR(K548=INDIRECT("'["&amp;G548&amp;"]"&amp;E548&amp;"'!"&amp;$Z$2))),INDIRECT("'["&amp;G548&amp;"]"&amp;E548&amp;"'!"&amp;$Z$3),0)</f>
        <v>#VALUE!</v>
      </c>
      <c r="O548" s="34" t="e" cm="1">
        <f t="array" aca="1" ref="O548" ca="1">IF(AND(G548=INDIRECT("'["&amp;G548&amp;"]"&amp;E548&amp;"'!"&amp;$AH$2),OR(L548=INDIRECT("'["&amp;G548&amp;"]"&amp;E548&amp;"'!"&amp;$AA$2))),INDIRECT("'["&amp;G548&amp;"]"&amp;E548&amp;"'!"&amp;$AA$3),0)</f>
        <v>#VALUE!</v>
      </c>
      <c r="P548" s="34" t="e" cm="1">
        <f t="array" aca="1" ref="P548" ca="1">IF(AND(G548=INDIRECT("'["&amp;G548&amp;"]"&amp;E548&amp;"'!"&amp;$AH$2),OR(VALUE(I548)=INDIRECT("'["&amp;G548&amp;"]"&amp;E548&amp;"'!"&amp;$AB$2))),INDIRECT("'["&amp;G548&amp;"]"&amp;E548&amp;"'!"&amp;$AB$3),0)</f>
        <v>#VALUE!</v>
      </c>
      <c r="Q548" s="34" t="e" cm="1">
        <f t="array" aca="1" ref="Q548" ca="1">IF(AND(G548=INDIRECT("'["&amp;G548&amp;"]"&amp;E548&amp;"'!"&amp;$AH$2),OR(VALUE(I548)=INDIRECT("'["&amp;G548&amp;"]"&amp;E548&amp;"'!"&amp;$AC$2))),INDIRECT("'["&amp;G548&amp;"]"&amp;E548&amp;"'!"&amp;$AC$3),0)</f>
        <v>#VALUE!</v>
      </c>
      <c r="R548" s="34" t="e" cm="1">
        <f t="array" aca="1" ref="R548" ca="1">IF(AND(G548=INDIRECT("'["&amp;G548&amp;"]"&amp;E548&amp;"'!"&amp;$AH$2),OR(I548=INDIRECT("'["&amp;G548&amp;"]"&amp;E548&amp;"'!"&amp;$AD$2))),INDIRECT("'["&amp;G548&amp;"]"&amp;E548&amp;"'!"&amp;$AD$3),0)</f>
        <v>#VALUE!</v>
      </c>
      <c r="S548" s="34" t="e" cm="1">
        <f t="array" aca="1" ref="S548" ca="1">IF(AND(G548=INDIRECT("'["&amp;G548&amp;"]"&amp;E548&amp;"'!"&amp;$AH$2),OR(I548=INDIRECT("'["&amp;G548&amp;"]"&amp;E548&amp;"'!"&amp;$AE$2))),INDIRECT("'["&amp;G548&amp;"]"&amp;E548&amp;"'!"&amp;$AE$3),0)</f>
        <v>#VALUE!</v>
      </c>
      <c r="T548" s="35" t="e" cm="1">
        <f t="array" aca="1" ref="T548" ca="1">IF(AND(G548=INDIRECT("'["&amp;G548&amp;"]"&amp;E548&amp;"'!"&amp;$AH$2),OR(I548=INDIRECT("'["&amp;G548&amp;"]"&amp;E548&amp;"'!"&amp;$AF$2))),INDIRECT("'["&amp;G548&amp;"]"&amp;E548&amp;"'!"&amp;$AF$3),0)</f>
        <v>#VALUE!</v>
      </c>
      <c r="U548" s="34" t="e" cm="1">
        <f t="array" aca="1" ref="U548" ca="1">IF(AND(G548=INDIRECT("'["&amp;G548&amp;"]"&amp;E548&amp;"'!"&amp;$AH$2),OR(I548=INDIRECT("'["&amp;G548&amp;"]"&amp;E548&amp;"'!"&amp;$AG$2))),INDIRECT("'["&amp;G548&amp;"]"&amp;E548&amp;"'!"&amp;$AG$3),0)</f>
        <v>#VALUE!</v>
      </c>
      <c r="V548" s="25" t="str">
        <f t="shared" si="152"/>
        <v/>
      </c>
      <c r="W548" s="36" t="e" cm="1">
        <f t="array" aca="1" ref="W548" ca="1">IF(AND(G548=INDIRECT("'["&amp;G548&amp;"]"&amp;E548&amp;"'!"&amp;$AH$2),OR(V548=INDIRECT("'["&amp;G548&amp;"]"&amp;E548&amp;"'!"&amp;$AI$2))),INDIRECT("'["&amp;G548&amp;"]"&amp;E548&amp;"'!"&amp;$AI$3),0)</f>
        <v>#VALUE!</v>
      </c>
      <c r="AJ548" s="25">
        <v>1</v>
      </c>
      <c r="AK548" s="38">
        <f t="shared" ca="1" si="153"/>
        <v>0</v>
      </c>
      <c r="AL548" s="38">
        <f t="shared" ca="1" si="154"/>
        <v>0</v>
      </c>
      <c r="AM548" s="54" t="str">
        <f t="shared" ca="1" si="155"/>
        <v/>
      </c>
      <c r="AN548" s="25" t="e">
        <f t="shared" ca="1" si="156"/>
        <v>#VALUE!</v>
      </c>
      <c r="AO548" s="25" t="e">
        <f t="shared" ca="1" si="157"/>
        <v>#VALUE!</v>
      </c>
      <c r="AQ548" s="46" t="str">
        <f ca="1">IF(AND(C548&lt;&gt;0, C549=0), SUM($C$2:C548)-SUM($AQ$1:AQ547), "")</f>
        <v/>
      </c>
      <c r="AR548" s="46" t="str">
        <f ca="1">IF(AND(AK548&lt;&gt;0, AK549=0), SUM($AK$2:AK548)-SUM($AR$1:AR547), "")</f>
        <v/>
      </c>
    </row>
    <row r="549" spans="2:44" ht="13.15" customHeight="1">
      <c r="B549" s="68" t="str">
        <f t="shared" si="143"/>
        <v/>
      </c>
      <c r="C549" s="55" cm="1">
        <f t="array" aca="1" ref="C549" ca="1">SUM(IF(ISNUMBER(M549:U549),M549:U549,""))</f>
        <v>0</v>
      </c>
      <c r="D549" s="25" t="str">
        <f t="shared" si="144"/>
        <v/>
      </c>
      <c r="E549" s="25" t="e">
        <f t="shared" si="145"/>
        <v>#VALUE!</v>
      </c>
      <c r="F549" s="25" t="str">
        <f t="shared" si="146"/>
        <v/>
      </c>
      <c r="G549" s="25" t="str">
        <f t="shared" si="147"/>
        <v>.xlsx</v>
      </c>
      <c r="H549" s="29" t="e" cm="1">
        <f t="array" aca="1" ref="H549" ca="1">IF(AND(VALUE(E549)=INDIRECT("'["&amp;G549&amp;"]"&amp;E549&amp;"'!"&amp;$X$2),G549=INDIRECT("'["&amp;G549&amp;"]"&amp;E549&amp;"'!"&amp;$X$3)),INDIRECT("'["&amp;G549&amp;"]"&amp;E549&amp;"'!"&amp;$X$1),0)</f>
        <v>#VALUE!</v>
      </c>
      <c r="I549" s="25" t="str">
        <f t="shared" si="148"/>
        <v/>
      </c>
      <c r="J549" s="32" t="str">
        <f t="shared" si="149"/>
        <v/>
      </c>
      <c r="K549" s="25" t="str">
        <f t="shared" si="150"/>
        <v/>
      </c>
      <c r="L549" s="25" t="str">
        <f t="shared" si="151"/>
        <v/>
      </c>
      <c r="M549" s="33" t="e" cm="1">
        <f t="array" aca="1" ref="M549" ca="1">IF(AND(J549=INDIRECT("'["&amp;G549&amp;"]"&amp;E549&amp;"'!"&amp;$Y$2),G549=INDIRECT("'["&amp;G549&amp;"]"&amp;E549&amp;"'!"&amp;$AH$2)),INDIRECT("'["&amp;G549&amp;"]"&amp;E549&amp;"'!"&amp;$Y$3),0)</f>
        <v>#VALUE!</v>
      </c>
      <c r="N549" s="34" t="e" cm="1">
        <f t="array" aca="1" ref="N549" ca="1">IF(AND(G549=INDIRECT("'["&amp;G549&amp;"]"&amp;E549&amp;"'!"&amp;$AH$2),OR(K549=INDIRECT("'["&amp;G549&amp;"]"&amp;E549&amp;"'!"&amp;$Z$2))),INDIRECT("'["&amp;G549&amp;"]"&amp;E549&amp;"'!"&amp;$Z$3),0)</f>
        <v>#VALUE!</v>
      </c>
      <c r="O549" s="34" t="e" cm="1">
        <f t="array" aca="1" ref="O549" ca="1">IF(AND(G549=INDIRECT("'["&amp;G549&amp;"]"&amp;E549&amp;"'!"&amp;$AH$2),OR(L549=INDIRECT("'["&amp;G549&amp;"]"&amp;E549&amp;"'!"&amp;$AA$2))),INDIRECT("'["&amp;G549&amp;"]"&amp;E549&amp;"'!"&amp;$AA$3),0)</f>
        <v>#VALUE!</v>
      </c>
      <c r="P549" s="34" t="e" cm="1">
        <f t="array" aca="1" ref="P549" ca="1">IF(AND(G549=INDIRECT("'["&amp;G549&amp;"]"&amp;E549&amp;"'!"&amp;$AH$2),OR(VALUE(I549)=INDIRECT("'["&amp;G549&amp;"]"&amp;E549&amp;"'!"&amp;$AB$2))),INDIRECT("'["&amp;G549&amp;"]"&amp;E549&amp;"'!"&amp;$AB$3),0)</f>
        <v>#VALUE!</v>
      </c>
      <c r="Q549" s="34" t="e" cm="1">
        <f t="array" aca="1" ref="Q549" ca="1">IF(AND(G549=INDIRECT("'["&amp;G549&amp;"]"&amp;E549&amp;"'!"&amp;$AH$2),OR(VALUE(I549)=INDIRECT("'["&amp;G549&amp;"]"&amp;E549&amp;"'!"&amp;$AC$2))),INDIRECT("'["&amp;G549&amp;"]"&amp;E549&amp;"'!"&amp;$AC$3),0)</f>
        <v>#VALUE!</v>
      </c>
      <c r="R549" s="34" t="e" cm="1">
        <f t="array" aca="1" ref="R549" ca="1">IF(AND(G549=INDIRECT("'["&amp;G549&amp;"]"&amp;E549&amp;"'!"&amp;$AH$2),OR(I549=INDIRECT("'["&amp;G549&amp;"]"&amp;E549&amp;"'!"&amp;$AD$2))),INDIRECT("'["&amp;G549&amp;"]"&amp;E549&amp;"'!"&amp;$AD$3),0)</f>
        <v>#VALUE!</v>
      </c>
      <c r="S549" s="34" t="e" cm="1">
        <f t="array" aca="1" ref="S549" ca="1">IF(AND(G549=INDIRECT("'["&amp;G549&amp;"]"&amp;E549&amp;"'!"&amp;$AH$2),OR(I549=INDIRECT("'["&amp;G549&amp;"]"&amp;E549&amp;"'!"&amp;$AE$2))),INDIRECT("'["&amp;G549&amp;"]"&amp;E549&amp;"'!"&amp;$AE$3),0)</f>
        <v>#VALUE!</v>
      </c>
      <c r="T549" s="35" t="e" cm="1">
        <f t="array" aca="1" ref="T549" ca="1">IF(AND(G549=INDIRECT("'["&amp;G549&amp;"]"&amp;E549&amp;"'!"&amp;$AH$2),OR(I549=INDIRECT("'["&amp;G549&amp;"]"&amp;E549&amp;"'!"&amp;$AF$2))),INDIRECT("'["&amp;G549&amp;"]"&amp;E549&amp;"'!"&amp;$AF$3),0)</f>
        <v>#VALUE!</v>
      </c>
      <c r="U549" s="34" t="e" cm="1">
        <f t="array" aca="1" ref="U549" ca="1">IF(AND(G549=INDIRECT("'["&amp;G549&amp;"]"&amp;E549&amp;"'!"&amp;$AH$2),OR(I549=INDIRECT("'["&amp;G549&amp;"]"&amp;E549&amp;"'!"&amp;$AG$2))),INDIRECT("'["&amp;G549&amp;"]"&amp;E549&amp;"'!"&amp;$AG$3),0)</f>
        <v>#VALUE!</v>
      </c>
      <c r="V549" s="25" t="str">
        <f t="shared" si="152"/>
        <v/>
      </c>
      <c r="W549" s="36" t="e" cm="1">
        <f t="array" aca="1" ref="W549" ca="1">IF(AND(G549=INDIRECT("'["&amp;G549&amp;"]"&amp;E549&amp;"'!"&amp;$AH$2),OR(V549=INDIRECT("'["&amp;G549&amp;"]"&amp;E549&amp;"'!"&amp;$AI$2))),INDIRECT("'["&amp;G549&amp;"]"&amp;E549&amp;"'!"&amp;$AI$3),0)</f>
        <v>#VALUE!</v>
      </c>
      <c r="AJ549" s="25">
        <v>1</v>
      </c>
      <c r="AK549" s="38">
        <f t="shared" ca="1" si="153"/>
        <v>0</v>
      </c>
      <c r="AL549" s="38">
        <f t="shared" ca="1" si="154"/>
        <v>0</v>
      </c>
      <c r="AM549" s="54" t="str">
        <f t="shared" ca="1" si="155"/>
        <v/>
      </c>
      <c r="AN549" s="25" t="e">
        <f t="shared" ca="1" si="156"/>
        <v>#VALUE!</v>
      </c>
      <c r="AO549" s="25" t="e">
        <f t="shared" ca="1" si="157"/>
        <v>#VALUE!</v>
      </c>
      <c r="AQ549" s="46" t="str">
        <f ca="1">IF(AND(C549&lt;&gt;0, C550=0), SUM($C$2:C549)-SUM($AQ$1:AQ548), "")</f>
        <v/>
      </c>
      <c r="AR549" s="46" t="str">
        <f ca="1">IF(AND(AK549&lt;&gt;0, AK550=0), SUM($AK$2:AK549)-SUM($AR$1:AR548), "")</f>
        <v/>
      </c>
    </row>
    <row r="550" spans="2:44" ht="13.15" customHeight="1">
      <c r="B550" s="68" t="str">
        <f t="shared" si="143"/>
        <v/>
      </c>
      <c r="C550" s="55" cm="1">
        <f t="array" aca="1" ref="C550" ca="1">SUM(IF(ISNUMBER(M550:U550),M550:U550,""))</f>
        <v>0</v>
      </c>
      <c r="D550" s="25" t="str">
        <f t="shared" si="144"/>
        <v/>
      </c>
      <c r="E550" s="25" t="e">
        <f t="shared" si="145"/>
        <v>#VALUE!</v>
      </c>
      <c r="F550" s="25" t="str">
        <f t="shared" si="146"/>
        <v/>
      </c>
      <c r="G550" s="25" t="str">
        <f t="shared" si="147"/>
        <v>.xlsx</v>
      </c>
      <c r="H550" s="29" t="e" cm="1">
        <f t="array" aca="1" ref="H550" ca="1">IF(AND(VALUE(E550)=INDIRECT("'["&amp;G550&amp;"]"&amp;E550&amp;"'!"&amp;$X$2),G550=INDIRECT("'["&amp;G550&amp;"]"&amp;E550&amp;"'!"&amp;$X$3)),INDIRECT("'["&amp;G550&amp;"]"&amp;E550&amp;"'!"&amp;$X$1),0)</f>
        <v>#VALUE!</v>
      </c>
      <c r="I550" s="25" t="str">
        <f t="shared" si="148"/>
        <v/>
      </c>
      <c r="J550" s="32" t="str">
        <f t="shared" si="149"/>
        <v/>
      </c>
      <c r="K550" s="25" t="str">
        <f t="shared" si="150"/>
        <v/>
      </c>
      <c r="L550" s="25" t="str">
        <f t="shared" si="151"/>
        <v/>
      </c>
      <c r="M550" s="33" t="e" cm="1">
        <f t="array" aca="1" ref="M550" ca="1">IF(AND(J550=INDIRECT("'["&amp;G550&amp;"]"&amp;E550&amp;"'!"&amp;$Y$2),G550=INDIRECT("'["&amp;G550&amp;"]"&amp;E550&amp;"'!"&amp;$AH$2)),INDIRECT("'["&amp;G550&amp;"]"&amp;E550&amp;"'!"&amp;$Y$3),0)</f>
        <v>#VALUE!</v>
      </c>
      <c r="N550" s="34" t="e" cm="1">
        <f t="array" aca="1" ref="N550" ca="1">IF(AND(G550=INDIRECT("'["&amp;G550&amp;"]"&amp;E550&amp;"'!"&amp;$AH$2),OR(K550=INDIRECT("'["&amp;G550&amp;"]"&amp;E550&amp;"'!"&amp;$Z$2))),INDIRECT("'["&amp;G550&amp;"]"&amp;E550&amp;"'!"&amp;$Z$3),0)</f>
        <v>#VALUE!</v>
      </c>
      <c r="O550" s="34" t="e" cm="1">
        <f t="array" aca="1" ref="O550" ca="1">IF(AND(G550=INDIRECT("'["&amp;G550&amp;"]"&amp;E550&amp;"'!"&amp;$AH$2),OR(L550=INDIRECT("'["&amp;G550&amp;"]"&amp;E550&amp;"'!"&amp;$AA$2))),INDIRECT("'["&amp;G550&amp;"]"&amp;E550&amp;"'!"&amp;$AA$3),0)</f>
        <v>#VALUE!</v>
      </c>
      <c r="P550" s="34" t="e" cm="1">
        <f t="array" aca="1" ref="P550" ca="1">IF(AND(G550=INDIRECT("'["&amp;G550&amp;"]"&amp;E550&amp;"'!"&amp;$AH$2),OR(VALUE(I550)=INDIRECT("'["&amp;G550&amp;"]"&amp;E550&amp;"'!"&amp;$AB$2))),INDIRECT("'["&amp;G550&amp;"]"&amp;E550&amp;"'!"&amp;$AB$3),0)</f>
        <v>#VALUE!</v>
      </c>
      <c r="Q550" s="34" t="e" cm="1">
        <f t="array" aca="1" ref="Q550" ca="1">IF(AND(G550=INDIRECT("'["&amp;G550&amp;"]"&amp;E550&amp;"'!"&amp;$AH$2),OR(VALUE(I550)=INDIRECT("'["&amp;G550&amp;"]"&amp;E550&amp;"'!"&amp;$AC$2))),INDIRECT("'["&amp;G550&amp;"]"&amp;E550&amp;"'!"&amp;$AC$3),0)</f>
        <v>#VALUE!</v>
      </c>
      <c r="R550" s="34" t="e" cm="1">
        <f t="array" aca="1" ref="R550" ca="1">IF(AND(G550=INDIRECT("'["&amp;G550&amp;"]"&amp;E550&amp;"'!"&amp;$AH$2),OR(I550=INDIRECT("'["&amp;G550&amp;"]"&amp;E550&amp;"'!"&amp;$AD$2))),INDIRECT("'["&amp;G550&amp;"]"&amp;E550&amp;"'!"&amp;$AD$3),0)</f>
        <v>#VALUE!</v>
      </c>
      <c r="S550" s="34" t="e" cm="1">
        <f t="array" aca="1" ref="S550" ca="1">IF(AND(G550=INDIRECT("'["&amp;G550&amp;"]"&amp;E550&amp;"'!"&amp;$AH$2),OR(I550=INDIRECT("'["&amp;G550&amp;"]"&amp;E550&amp;"'!"&amp;$AE$2))),INDIRECT("'["&amp;G550&amp;"]"&amp;E550&amp;"'!"&amp;$AE$3),0)</f>
        <v>#VALUE!</v>
      </c>
      <c r="T550" s="35" t="e" cm="1">
        <f t="array" aca="1" ref="T550" ca="1">IF(AND(G550=INDIRECT("'["&amp;G550&amp;"]"&amp;E550&amp;"'!"&amp;$AH$2),OR(I550=INDIRECT("'["&amp;G550&amp;"]"&amp;E550&amp;"'!"&amp;$AF$2))),INDIRECT("'["&amp;G550&amp;"]"&amp;E550&amp;"'!"&amp;$AF$3),0)</f>
        <v>#VALUE!</v>
      </c>
      <c r="U550" s="34" t="e" cm="1">
        <f t="array" aca="1" ref="U550" ca="1">IF(AND(G550=INDIRECT("'["&amp;G550&amp;"]"&amp;E550&amp;"'!"&amp;$AH$2),OR(I550=INDIRECT("'["&amp;G550&amp;"]"&amp;E550&amp;"'!"&amp;$AG$2))),INDIRECT("'["&amp;G550&amp;"]"&amp;E550&amp;"'!"&amp;$AG$3),0)</f>
        <v>#VALUE!</v>
      </c>
      <c r="V550" s="25" t="str">
        <f t="shared" si="152"/>
        <v/>
      </c>
      <c r="W550" s="36" t="e" cm="1">
        <f t="array" aca="1" ref="W550" ca="1">IF(AND(G550=INDIRECT("'["&amp;G550&amp;"]"&amp;E550&amp;"'!"&amp;$AH$2),OR(V550=INDIRECT("'["&amp;G550&amp;"]"&amp;E550&amp;"'!"&amp;$AI$2))),INDIRECT("'["&amp;G550&amp;"]"&amp;E550&amp;"'!"&amp;$AI$3),0)</f>
        <v>#VALUE!</v>
      </c>
      <c r="AJ550" s="25">
        <v>1</v>
      </c>
      <c r="AK550" s="38">
        <f t="shared" ca="1" si="153"/>
        <v>0</v>
      </c>
      <c r="AL550" s="38">
        <f t="shared" ca="1" si="154"/>
        <v>0</v>
      </c>
      <c r="AM550" s="54" t="str">
        <f t="shared" ca="1" si="155"/>
        <v/>
      </c>
      <c r="AN550" s="25" t="e">
        <f t="shared" ca="1" si="156"/>
        <v>#VALUE!</v>
      </c>
      <c r="AO550" s="25" t="e">
        <f t="shared" ca="1" si="157"/>
        <v>#VALUE!</v>
      </c>
      <c r="AQ550" s="46" t="str">
        <f ca="1">IF(AND(C550&lt;&gt;0, C551=0), SUM($C$2:C550)-SUM($AQ$1:AQ549), "")</f>
        <v/>
      </c>
      <c r="AR550" s="46" t="str">
        <f ca="1">IF(AND(AK550&lt;&gt;0, AK551=0), SUM($AK$2:AK550)-SUM($AR$1:AR549), "")</f>
        <v/>
      </c>
    </row>
    <row r="551" spans="2:44" ht="13.15" customHeight="1">
      <c r="B551" s="68" t="str">
        <f t="shared" si="143"/>
        <v/>
      </c>
      <c r="C551" s="55" cm="1">
        <f t="array" aca="1" ref="C551" ca="1">SUM(IF(ISNUMBER(M551:U551),M551:U551,""))</f>
        <v>0</v>
      </c>
      <c r="D551" s="25" t="str">
        <f t="shared" si="144"/>
        <v/>
      </c>
      <c r="E551" s="25" t="e">
        <f t="shared" si="145"/>
        <v>#VALUE!</v>
      </c>
      <c r="F551" s="25" t="str">
        <f t="shared" si="146"/>
        <v/>
      </c>
      <c r="G551" s="25" t="str">
        <f t="shared" si="147"/>
        <v>.xlsx</v>
      </c>
      <c r="H551" s="29" t="e" cm="1">
        <f t="array" aca="1" ref="H551" ca="1">IF(AND(VALUE(E551)=INDIRECT("'["&amp;G551&amp;"]"&amp;E551&amp;"'!"&amp;$X$2),G551=INDIRECT("'["&amp;G551&amp;"]"&amp;E551&amp;"'!"&amp;$X$3)),INDIRECT("'["&amp;G551&amp;"]"&amp;E551&amp;"'!"&amp;$X$1),0)</f>
        <v>#VALUE!</v>
      </c>
      <c r="I551" s="25" t="str">
        <f t="shared" si="148"/>
        <v/>
      </c>
      <c r="J551" s="32" t="str">
        <f t="shared" si="149"/>
        <v/>
      </c>
      <c r="K551" s="25" t="str">
        <f t="shared" si="150"/>
        <v/>
      </c>
      <c r="L551" s="25" t="str">
        <f t="shared" si="151"/>
        <v/>
      </c>
      <c r="M551" s="33" t="e" cm="1">
        <f t="array" aca="1" ref="M551" ca="1">IF(AND(J551=INDIRECT("'["&amp;G551&amp;"]"&amp;E551&amp;"'!"&amp;$Y$2),G551=INDIRECT("'["&amp;G551&amp;"]"&amp;E551&amp;"'!"&amp;$AH$2)),INDIRECT("'["&amp;G551&amp;"]"&amp;E551&amp;"'!"&amp;$Y$3),0)</f>
        <v>#VALUE!</v>
      </c>
      <c r="N551" s="34" t="e" cm="1">
        <f t="array" aca="1" ref="N551" ca="1">IF(AND(G551=INDIRECT("'["&amp;G551&amp;"]"&amp;E551&amp;"'!"&amp;$AH$2),OR(K551=INDIRECT("'["&amp;G551&amp;"]"&amp;E551&amp;"'!"&amp;$Z$2))),INDIRECT("'["&amp;G551&amp;"]"&amp;E551&amp;"'!"&amp;$Z$3),0)</f>
        <v>#VALUE!</v>
      </c>
      <c r="O551" s="34" t="e" cm="1">
        <f t="array" aca="1" ref="O551" ca="1">IF(AND(G551=INDIRECT("'["&amp;G551&amp;"]"&amp;E551&amp;"'!"&amp;$AH$2),OR(L551=INDIRECT("'["&amp;G551&amp;"]"&amp;E551&amp;"'!"&amp;$AA$2))),INDIRECT("'["&amp;G551&amp;"]"&amp;E551&amp;"'!"&amp;$AA$3),0)</f>
        <v>#VALUE!</v>
      </c>
      <c r="P551" s="34" t="e" cm="1">
        <f t="array" aca="1" ref="P551" ca="1">IF(AND(G551=INDIRECT("'["&amp;G551&amp;"]"&amp;E551&amp;"'!"&amp;$AH$2),OR(VALUE(I551)=INDIRECT("'["&amp;G551&amp;"]"&amp;E551&amp;"'!"&amp;$AB$2))),INDIRECT("'["&amp;G551&amp;"]"&amp;E551&amp;"'!"&amp;$AB$3),0)</f>
        <v>#VALUE!</v>
      </c>
      <c r="Q551" s="34" t="e" cm="1">
        <f t="array" aca="1" ref="Q551" ca="1">IF(AND(G551=INDIRECT("'["&amp;G551&amp;"]"&amp;E551&amp;"'!"&amp;$AH$2),OR(VALUE(I551)=INDIRECT("'["&amp;G551&amp;"]"&amp;E551&amp;"'!"&amp;$AC$2))),INDIRECT("'["&amp;G551&amp;"]"&amp;E551&amp;"'!"&amp;$AC$3),0)</f>
        <v>#VALUE!</v>
      </c>
      <c r="R551" s="34" t="e" cm="1">
        <f t="array" aca="1" ref="R551" ca="1">IF(AND(G551=INDIRECT("'["&amp;G551&amp;"]"&amp;E551&amp;"'!"&amp;$AH$2),OR(I551=INDIRECT("'["&amp;G551&amp;"]"&amp;E551&amp;"'!"&amp;$AD$2))),INDIRECT("'["&amp;G551&amp;"]"&amp;E551&amp;"'!"&amp;$AD$3),0)</f>
        <v>#VALUE!</v>
      </c>
      <c r="S551" s="34" t="e" cm="1">
        <f t="array" aca="1" ref="S551" ca="1">IF(AND(G551=INDIRECT("'["&amp;G551&amp;"]"&amp;E551&amp;"'!"&amp;$AH$2),OR(I551=INDIRECT("'["&amp;G551&amp;"]"&amp;E551&amp;"'!"&amp;$AE$2))),INDIRECT("'["&amp;G551&amp;"]"&amp;E551&amp;"'!"&amp;$AE$3),0)</f>
        <v>#VALUE!</v>
      </c>
      <c r="T551" s="35" t="e" cm="1">
        <f t="array" aca="1" ref="T551" ca="1">IF(AND(G551=INDIRECT("'["&amp;G551&amp;"]"&amp;E551&amp;"'!"&amp;$AH$2),OR(I551=INDIRECT("'["&amp;G551&amp;"]"&amp;E551&amp;"'!"&amp;$AF$2))),INDIRECT("'["&amp;G551&amp;"]"&amp;E551&amp;"'!"&amp;$AF$3),0)</f>
        <v>#VALUE!</v>
      </c>
      <c r="U551" s="34" t="e" cm="1">
        <f t="array" aca="1" ref="U551" ca="1">IF(AND(G551=INDIRECT("'["&amp;G551&amp;"]"&amp;E551&amp;"'!"&amp;$AH$2),OR(I551=INDIRECT("'["&amp;G551&amp;"]"&amp;E551&amp;"'!"&amp;$AG$2))),INDIRECT("'["&amp;G551&amp;"]"&amp;E551&amp;"'!"&amp;$AG$3),0)</f>
        <v>#VALUE!</v>
      </c>
      <c r="V551" s="25" t="str">
        <f t="shared" si="152"/>
        <v/>
      </c>
      <c r="W551" s="36" t="e" cm="1">
        <f t="array" aca="1" ref="W551" ca="1">IF(AND(G551=INDIRECT("'["&amp;G551&amp;"]"&amp;E551&amp;"'!"&amp;$AH$2),OR(V551=INDIRECT("'["&amp;G551&amp;"]"&amp;E551&amp;"'!"&amp;$AI$2))),INDIRECT("'["&amp;G551&amp;"]"&amp;E551&amp;"'!"&amp;$AI$3),0)</f>
        <v>#VALUE!</v>
      </c>
      <c r="AJ551" s="25">
        <v>1</v>
      </c>
      <c r="AK551" s="38">
        <f t="shared" ca="1" si="153"/>
        <v>0</v>
      </c>
      <c r="AL551" s="38">
        <f t="shared" ca="1" si="154"/>
        <v>0</v>
      </c>
      <c r="AM551" s="54" t="str">
        <f t="shared" ca="1" si="155"/>
        <v/>
      </c>
      <c r="AN551" s="25" t="e">
        <f t="shared" ca="1" si="156"/>
        <v>#VALUE!</v>
      </c>
      <c r="AO551" s="25" t="e">
        <f t="shared" ca="1" si="157"/>
        <v>#VALUE!</v>
      </c>
      <c r="AQ551" s="46" t="str">
        <f ca="1">IF(AND(C551&lt;&gt;0, C552=0), SUM($C$2:C551)-SUM($AQ$1:AQ550), "")</f>
        <v/>
      </c>
      <c r="AR551" s="46" t="str">
        <f ca="1">IF(AND(AK551&lt;&gt;0, AK552=0), SUM($AK$2:AK551)-SUM($AR$1:AR550), "")</f>
        <v/>
      </c>
    </row>
    <row r="552" spans="2:44" ht="13.15" customHeight="1">
      <c r="B552" s="68" t="str">
        <f t="shared" si="143"/>
        <v/>
      </c>
      <c r="C552" s="55" cm="1">
        <f t="array" aca="1" ref="C552" ca="1">SUM(IF(ISNUMBER(M552:U552),M552:U552,""))</f>
        <v>0</v>
      </c>
      <c r="D552" s="25" t="str">
        <f t="shared" si="144"/>
        <v/>
      </c>
      <c r="E552" s="25" t="e">
        <f t="shared" si="145"/>
        <v>#VALUE!</v>
      </c>
      <c r="F552" s="25" t="str">
        <f t="shared" si="146"/>
        <v/>
      </c>
      <c r="G552" s="25" t="str">
        <f t="shared" si="147"/>
        <v>.xlsx</v>
      </c>
      <c r="H552" s="29" t="e" cm="1">
        <f t="array" aca="1" ref="H552" ca="1">IF(AND(VALUE(E552)=INDIRECT("'["&amp;G552&amp;"]"&amp;E552&amp;"'!"&amp;$X$2),G552=INDIRECT("'["&amp;G552&amp;"]"&amp;E552&amp;"'!"&amp;$X$3)),INDIRECT("'["&amp;G552&amp;"]"&amp;E552&amp;"'!"&amp;$X$1),0)</f>
        <v>#VALUE!</v>
      </c>
      <c r="I552" s="25" t="str">
        <f t="shared" si="148"/>
        <v/>
      </c>
      <c r="J552" s="32" t="str">
        <f t="shared" si="149"/>
        <v/>
      </c>
      <c r="K552" s="25" t="str">
        <f t="shared" si="150"/>
        <v/>
      </c>
      <c r="L552" s="25" t="str">
        <f t="shared" si="151"/>
        <v/>
      </c>
      <c r="M552" s="33" t="e" cm="1">
        <f t="array" aca="1" ref="M552" ca="1">IF(AND(J552=INDIRECT("'["&amp;G552&amp;"]"&amp;E552&amp;"'!"&amp;$Y$2),G552=INDIRECT("'["&amp;G552&amp;"]"&amp;E552&amp;"'!"&amp;$AH$2)),INDIRECT("'["&amp;G552&amp;"]"&amp;E552&amp;"'!"&amp;$Y$3),0)</f>
        <v>#VALUE!</v>
      </c>
      <c r="N552" s="34" t="e" cm="1">
        <f t="array" aca="1" ref="N552" ca="1">IF(AND(G552=INDIRECT("'["&amp;G552&amp;"]"&amp;E552&amp;"'!"&amp;$AH$2),OR(K552=INDIRECT("'["&amp;G552&amp;"]"&amp;E552&amp;"'!"&amp;$Z$2))),INDIRECT("'["&amp;G552&amp;"]"&amp;E552&amp;"'!"&amp;$Z$3),0)</f>
        <v>#VALUE!</v>
      </c>
      <c r="O552" s="34" t="e" cm="1">
        <f t="array" aca="1" ref="O552" ca="1">IF(AND(G552=INDIRECT("'["&amp;G552&amp;"]"&amp;E552&amp;"'!"&amp;$AH$2),OR(L552=INDIRECT("'["&amp;G552&amp;"]"&amp;E552&amp;"'!"&amp;$AA$2))),INDIRECT("'["&amp;G552&amp;"]"&amp;E552&amp;"'!"&amp;$AA$3),0)</f>
        <v>#VALUE!</v>
      </c>
      <c r="P552" s="34" t="e" cm="1">
        <f t="array" aca="1" ref="P552" ca="1">IF(AND(G552=INDIRECT("'["&amp;G552&amp;"]"&amp;E552&amp;"'!"&amp;$AH$2),OR(VALUE(I552)=INDIRECT("'["&amp;G552&amp;"]"&amp;E552&amp;"'!"&amp;$AB$2))),INDIRECT("'["&amp;G552&amp;"]"&amp;E552&amp;"'!"&amp;$AB$3),0)</f>
        <v>#VALUE!</v>
      </c>
      <c r="Q552" s="34" t="e" cm="1">
        <f t="array" aca="1" ref="Q552" ca="1">IF(AND(G552=INDIRECT("'["&amp;G552&amp;"]"&amp;E552&amp;"'!"&amp;$AH$2),OR(VALUE(I552)=INDIRECT("'["&amp;G552&amp;"]"&amp;E552&amp;"'!"&amp;$AC$2))),INDIRECT("'["&amp;G552&amp;"]"&amp;E552&amp;"'!"&amp;$AC$3),0)</f>
        <v>#VALUE!</v>
      </c>
      <c r="R552" s="34" t="e" cm="1">
        <f t="array" aca="1" ref="R552" ca="1">IF(AND(G552=INDIRECT("'["&amp;G552&amp;"]"&amp;E552&amp;"'!"&amp;$AH$2),OR(I552=INDIRECT("'["&amp;G552&amp;"]"&amp;E552&amp;"'!"&amp;$AD$2))),INDIRECT("'["&amp;G552&amp;"]"&amp;E552&amp;"'!"&amp;$AD$3),0)</f>
        <v>#VALUE!</v>
      </c>
      <c r="S552" s="34" t="e" cm="1">
        <f t="array" aca="1" ref="S552" ca="1">IF(AND(G552=INDIRECT("'["&amp;G552&amp;"]"&amp;E552&amp;"'!"&amp;$AH$2),OR(I552=INDIRECT("'["&amp;G552&amp;"]"&amp;E552&amp;"'!"&amp;$AE$2))),INDIRECT("'["&amp;G552&amp;"]"&amp;E552&amp;"'!"&amp;$AE$3),0)</f>
        <v>#VALUE!</v>
      </c>
      <c r="T552" s="35" t="e" cm="1">
        <f t="array" aca="1" ref="T552" ca="1">IF(AND(G552=INDIRECT("'["&amp;G552&amp;"]"&amp;E552&amp;"'!"&amp;$AH$2),OR(I552=INDIRECT("'["&amp;G552&amp;"]"&amp;E552&amp;"'!"&amp;$AF$2))),INDIRECT("'["&amp;G552&amp;"]"&amp;E552&amp;"'!"&amp;$AF$3),0)</f>
        <v>#VALUE!</v>
      </c>
      <c r="U552" s="34" t="e" cm="1">
        <f t="array" aca="1" ref="U552" ca="1">IF(AND(G552=INDIRECT("'["&amp;G552&amp;"]"&amp;E552&amp;"'!"&amp;$AH$2),OR(I552=INDIRECT("'["&amp;G552&amp;"]"&amp;E552&amp;"'!"&amp;$AG$2))),INDIRECT("'["&amp;G552&amp;"]"&amp;E552&amp;"'!"&amp;$AG$3),0)</f>
        <v>#VALUE!</v>
      </c>
      <c r="V552" s="25" t="str">
        <f t="shared" si="152"/>
        <v/>
      </c>
      <c r="W552" s="36" t="e" cm="1">
        <f t="array" aca="1" ref="W552" ca="1">IF(AND(G552=INDIRECT("'["&amp;G552&amp;"]"&amp;E552&amp;"'!"&amp;$AH$2),OR(V552=INDIRECT("'["&amp;G552&amp;"]"&amp;E552&amp;"'!"&amp;$AI$2))),INDIRECT("'["&amp;G552&amp;"]"&amp;E552&amp;"'!"&amp;$AI$3),0)</f>
        <v>#VALUE!</v>
      </c>
      <c r="AJ552" s="25">
        <v>1</v>
      </c>
      <c r="AK552" s="38">
        <f t="shared" ca="1" si="153"/>
        <v>0</v>
      </c>
      <c r="AL552" s="38">
        <f t="shared" ca="1" si="154"/>
        <v>0</v>
      </c>
      <c r="AM552" s="54" t="str">
        <f t="shared" ca="1" si="155"/>
        <v/>
      </c>
      <c r="AN552" s="25" t="e">
        <f t="shared" ca="1" si="156"/>
        <v>#VALUE!</v>
      </c>
      <c r="AO552" s="25" t="e">
        <f t="shared" ca="1" si="157"/>
        <v>#VALUE!</v>
      </c>
      <c r="AQ552" s="46" t="str">
        <f ca="1">IF(AND(C552&lt;&gt;0, C553=0), SUM($C$2:C552)-SUM($AQ$1:AQ551), "")</f>
        <v/>
      </c>
      <c r="AR552" s="46" t="str">
        <f ca="1">IF(AND(AK552&lt;&gt;0, AK553=0), SUM($AK$2:AK552)-SUM($AR$1:AR551), "")</f>
        <v/>
      </c>
    </row>
    <row r="553" spans="2:44" ht="13.15" customHeight="1">
      <c r="B553" s="68" t="str">
        <f t="shared" si="143"/>
        <v/>
      </c>
      <c r="C553" s="55" cm="1">
        <f t="array" aca="1" ref="C553" ca="1">SUM(IF(ISNUMBER(M553:U553),M553:U553,""))</f>
        <v>0</v>
      </c>
      <c r="D553" s="25" t="str">
        <f t="shared" si="144"/>
        <v/>
      </c>
      <c r="E553" s="25" t="e">
        <f t="shared" si="145"/>
        <v>#VALUE!</v>
      </c>
      <c r="F553" s="25" t="str">
        <f t="shared" si="146"/>
        <v/>
      </c>
      <c r="G553" s="25" t="str">
        <f t="shared" si="147"/>
        <v>.xlsx</v>
      </c>
      <c r="H553" s="29" t="e" cm="1">
        <f t="array" aca="1" ref="H553" ca="1">IF(AND(VALUE(E553)=INDIRECT("'["&amp;G553&amp;"]"&amp;E553&amp;"'!"&amp;$X$2),G553=INDIRECT("'["&amp;G553&amp;"]"&amp;E553&amp;"'!"&amp;$X$3)),INDIRECT("'["&amp;G553&amp;"]"&amp;E553&amp;"'!"&amp;$X$1),0)</f>
        <v>#VALUE!</v>
      </c>
      <c r="I553" s="25" t="str">
        <f t="shared" si="148"/>
        <v/>
      </c>
      <c r="J553" s="32" t="str">
        <f t="shared" si="149"/>
        <v/>
      </c>
      <c r="K553" s="25" t="str">
        <f t="shared" si="150"/>
        <v/>
      </c>
      <c r="L553" s="25" t="str">
        <f t="shared" si="151"/>
        <v/>
      </c>
      <c r="M553" s="33" t="e" cm="1">
        <f t="array" aca="1" ref="M553" ca="1">IF(AND(J553=INDIRECT("'["&amp;G553&amp;"]"&amp;E553&amp;"'!"&amp;$Y$2),G553=INDIRECT("'["&amp;G553&amp;"]"&amp;E553&amp;"'!"&amp;$AH$2)),INDIRECT("'["&amp;G553&amp;"]"&amp;E553&amp;"'!"&amp;$Y$3),0)</f>
        <v>#VALUE!</v>
      </c>
      <c r="N553" s="34" t="e" cm="1">
        <f t="array" aca="1" ref="N553" ca="1">IF(AND(G553=INDIRECT("'["&amp;G553&amp;"]"&amp;E553&amp;"'!"&amp;$AH$2),OR(K553=INDIRECT("'["&amp;G553&amp;"]"&amp;E553&amp;"'!"&amp;$Z$2))),INDIRECT("'["&amp;G553&amp;"]"&amp;E553&amp;"'!"&amp;$Z$3),0)</f>
        <v>#VALUE!</v>
      </c>
      <c r="O553" s="34" t="e" cm="1">
        <f t="array" aca="1" ref="O553" ca="1">IF(AND(G553=INDIRECT("'["&amp;G553&amp;"]"&amp;E553&amp;"'!"&amp;$AH$2),OR(L553=INDIRECT("'["&amp;G553&amp;"]"&amp;E553&amp;"'!"&amp;$AA$2))),INDIRECT("'["&amp;G553&amp;"]"&amp;E553&amp;"'!"&amp;$AA$3),0)</f>
        <v>#VALUE!</v>
      </c>
      <c r="P553" s="34" t="e" cm="1">
        <f t="array" aca="1" ref="P553" ca="1">IF(AND(G553=INDIRECT("'["&amp;G553&amp;"]"&amp;E553&amp;"'!"&amp;$AH$2),OR(VALUE(I553)=INDIRECT("'["&amp;G553&amp;"]"&amp;E553&amp;"'!"&amp;$AB$2))),INDIRECT("'["&amp;G553&amp;"]"&amp;E553&amp;"'!"&amp;$AB$3),0)</f>
        <v>#VALUE!</v>
      </c>
      <c r="Q553" s="34" t="e" cm="1">
        <f t="array" aca="1" ref="Q553" ca="1">IF(AND(G553=INDIRECT("'["&amp;G553&amp;"]"&amp;E553&amp;"'!"&amp;$AH$2),OR(VALUE(I553)=INDIRECT("'["&amp;G553&amp;"]"&amp;E553&amp;"'!"&amp;$AC$2))),INDIRECT("'["&amp;G553&amp;"]"&amp;E553&amp;"'!"&amp;$AC$3),0)</f>
        <v>#VALUE!</v>
      </c>
      <c r="R553" s="34" t="e" cm="1">
        <f t="array" aca="1" ref="R553" ca="1">IF(AND(G553=INDIRECT("'["&amp;G553&amp;"]"&amp;E553&amp;"'!"&amp;$AH$2),OR(I553=INDIRECT("'["&amp;G553&amp;"]"&amp;E553&amp;"'!"&amp;$AD$2))),INDIRECT("'["&amp;G553&amp;"]"&amp;E553&amp;"'!"&amp;$AD$3),0)</f>
        <v>#VALUE!</v>
      </c>
      <c r="S553" s="34" t="e" cm="1">
        <f t="array" aca="1" ref="S553" ca="1">IF(AND(G553=INDIRECT("'["&amp;G553&amp;"]"&amp;E553&amp;"'!"&amp;$AH$2),OR(I553=INDIRECT("'["&amp;G553&amp;"]"&amp;E553&amp;"'!"&amp;$AE$2))),INDIRECT("'["&amp;G553&amp;"]"&amp;E553&amp;"'!"&amp;$AE$3),0)</f>
        <v>#VALUE!</v>
      </c>
      <c r="T553" s="35" t="e" cm="1">
        <f t="array" aca="1" ref="T553" ca="1">IF(AND(G553=INDIRECT("'["&amp;G553&amp;"]"&amp;E553&amp;"'!"&amp;$AH$2),OR(I553=INDIRECT("'["&amp;G553&amp;"]"&amp;E553&amp;"'!"&amp;$AF$2))),INDIRECT("'["&amp;G553&amp;"]"&amp;E553&amp;"'!"&amp;$AF$3),0)</f>
        <v>#VALUE!</v>
      </c>
      <c r="U553" s="34" t="e" cm="1">
        <f t="array" aca="1" ref="U553" ca="1">IF(AND(G553=INDIRECT("'["&amp;G553&amp;"]"&amp;E553&amp;"'!"&amp;$AH$2),OR(I553=INDIRECT("'["&amp;G553&amp;"]"&amp;E553&amp;"'!"&amp;$AG$2))),INDIRECT("'["&amp;G553&amp;"]"&amp;E553&amp;"'!"&amp;$AG$3),0)</f>
        <v>#VALUE!</v>
      </c>
      <c r="V553" s="25" t="str">
        <f t="shared" si="152"/>
        <v/>
      </c>
      <c r="W553" s="36" t="e" cm="1">
        <f t="array" aca="1" ref="W553" ca="1">IF(AND(G553=INDIRECT("'["&amp;G553&amp;"]"&amp;E553&amp;"'!"&amp;$AH$2),OR(V553=INDIRECT("'["&amp;G553&amp;"]"&amp;E553&amp;"'!"&amp;$AI$2))),INDIRECT("'["&amp;G553&amp;"]"&amp;E553&amp;"'!"&amp;$AI$3),0)</f>
        <v>#VALUE!</v>
      </c>
      <c r="AJ553" s="25">
        <v>1</v>
      </c>
      <c r="AK553" s="38">
        <f t="shared" ca="1" si="153"/>
        <v>0</v>
      </c>
      <c r="AL553" s="38">
        <f t="shared" ca="1" si="154"/>
        <v>0</v>
      </c>
      <c r="AM553" s="54" t="str">
        <f t="shared" ca="1" si="155"/>
        <v/>
      </c>
      <c r="AN553" s="25" t="e">
        <f t="shared" ca="1" si="156"/>
        <v>#VALUE!</v>
      </c>
      <c r="AO553" s="25" t="e">
        <f t="shared" ca="1" si="157"/>
        <v>#VALUE!</v>
      </c>
      <c r="AQ553" s="46" t="str">
        <f ca="1">IF(AND(C553&lt;&gt;0, C554=0), SUM($C$2:C553)-SUM($AQ$1:AQ552), "")</f>
        <v/>
      </c>
      <c r="AR553" s="46" t="str">
        <f ca="1">IF(AND(AK553&lt;&gt;0, AK554=0), SUM($AK$2:AK553)-SUM($AR$1:AR552), "")</f>
        <v/>
      </c>
    </row>
    <row r="554" spans="2:44" ht="13.15" customHeight="1">
      <c r="B554" s="68" t="str">
        <f t="shared" si="143"/>
        <v/>
      </c>
      <c r="C554" s="55" cm="1">
        <f t="array" aca="1" ref="C554" ca="1">SUM(IF(ISNUMBER(M554:U554),M554:U554,""))</f>
        <v>0</v>
      </c>
      <c r="D554" s="25" t="str">
        <f t="shared" si="144"/>
        <v/>
      </c>
      <c r="E554" s="25" t="e">
        <f t="shared" si="145"/>
        <v>#VALUE!</v>
      </c>
      <c r="F554" s="25" t="str">
        <f t="shared" si="146"/>
        <v/>
      </c>
      <c r="G554" s="25" t="str">
        <f t="shared" si="147"/>
        <v>.xlsx</v>
      </c>
      <c r="H554" s="29" t="e" cm="1">
        <f t="array" aca="1" ref="H554" ca="1">IF(AND(VALUE(E554)=INDIRECT("'["&amp;G554&amp;"]"&amp;E554&amp;"'!"&amp;$X$2),G554=INDIRECT("'["&amp;G554&amp;"]"&amp;E554&amp;"'!"&amp;$X$3)),INDIRECT("'["&amp;G554&amp;"]"&amp;E554&amp;"'!"&amp;$X$1),0)</f>
        <v>#VALUE!</v>
      </c>
      <c r="I554" s="25" t="str">
        <f t="shared" si="148"/>
        <v/>
      </c>
      <c r="J554" s="32" t="str">
        <f t="shared" si="149"/>
        <v/>
      </c>
      <c r="K554" s="25" t="str">
        <f t="shared" si="150"/>
        <v/>
      </c>
      <c r="L554" s="25" t="str">
        <f t="shared" si="151"/>
        <v/>
      </c>
      <c r="M554" s="33" t="e" cm="1">
        <f t="array" aca="1" ref="M554" ca="1">IF(AND(J554=INDIRECT("'["&amp;G554&amp;"]"&amp;E554&amp;"'!"&amp;$Y$2),G554=INDIRECT("'["&amp;G554&amp;"]"&amp;E554&amp;"'!"&amp;$AH$2)),INDIRECT("'["&amp;G554&amp;"]"&amp;E554&amp;"'!"&amp;$Y$3),0)</f>
        <v>#VALUE!</v>
      </c>
      <c r="N554" s="34" t="e" cm="1">
        <f t="array" aca="1" ref="N554" ca="1">IF(AND(G554=INDIRECT("'["&amp;G554&amp;"]"&amp;E554&amp;"'!"&amp;$AH$2),OR(K554=INDIRECT("'["&amp;G554&amp;"]"&amp;E554&amp;"'!"&amp;$Z$2))),INDIRECT("'["&amp;G554&amp;"]"&amp;E554&amp;"'!"&amp;$Z$3),0)</f>
        <v>#VALUE!</v>
      </c>
      <c r="O554" s="34" t="e" cm="1">
        <f t="array" aca="1" ref="O554" ca="1">IF(AND(G554=INDIRECT("'["&amp;G554&amp;"]"&amp;E554&amp;"'!"&amp;$AH$2),OR(L554=INDIRECT("'["&amp;G554&amp;"]"&amp;E554&amp;"'!"&amp;$AA$2))),INDIRECT("'["&amp;G554&amp;"]"&amp;E554&amp;"'!"&amp;$AA$3),0)</f>
        <v>#VALUE!</v>
      </c>
      <c r="P554" s="34" t="e" cm="1">
        <f t="array" aca="1" ref="P554" ca="1">IF(AND(G554=INDIRECT("'["&amp;G554&amp;"]"&amp;E554&amp;"'!"&amp;$AH$2),OR(VALUE(I554)=INDIRECT("'["&amp;G554&amp;"]"&amp;E554&amp;"'!"&amp;$AB$2))),INDIRECT("'["&amp;G554&amp;"]"&amp;E554&amp;"'!"&amp;$AB$3),0)</f>
        <v>#VALUE!</v>
      </c>
      <c r="Q554" s="34" t="e" cm="1">
        <f t="array" aca="1" ref="Q554" ca="1">IF(AND(G554=INDIRECT("'["&amp;G554&amp;"]"&amp;E554&amp;"'!"&amp;$AH$2),OR(VALUE(I554)=INDIRECT("'["&amp;G554&amp;"]"&amp;E554&amp;"'!"&amp;$AC$2))),INDIRECT("'["&amp;G554&amp;"]"&amp;E554&amp;"'!"&amp;$AC$3),0)</f>
        <v>#VALUE!</v>
      </c>
      <c r="R554" s="34" t="e" cm="1">
        <f t="array" aca="1" ref="R554" ca="1">IF(AND(G554=INDIRECT("'["&amp;G554&amp;"]"&amp;E554&amp;"'!"&amp;$AH$2),OR(I554=INDIRECT("'["&amp;G554&amp;"]"&amp;E554&amp;"'!"&amp;$AD$2))),INDIRECT("'["&amp;G554&amp;"]"&amp;E554&amp;"'!"&amp;$AD$3),0)</f>
        <v>#VALUE!</v>
      </c>
      <c r="S554" s="34" t="e" cm="1">
        <f t="array" aca="1" ref="S554" ca="1">IF(AND(G554=INDIRECT("'["&amp;G554&amp;"]"&amp;E554&amp;"'!"&amp;$AH$2),OR(I554=INDIRECT("'["&amp;G554&amp;"]"&amp;E554&amp;"'!"&amp;$AE$2))),INDIRECT("'["&amp;G554&amp;"]"&amp;E554&amp;"'!"&amp;$AE$3),0)</f>
        <v>#VALUE!</v>
      </c>
      <c r="T554" s="35" t="e" cm="1">
        <f t="array" aca="1" ref="T554" ca="1">IF(AND(G554=INDIRECT("'["&amp;G554&amp;"]"&amp;E554&amp;"'!"&amp;$AH$2),OR(I554=INDIRECT("'["&amp;G554&amp;"]"&amp;E554&amp;"'!"&amp;$AF$2))),INDIRECT("'["&amp;G554&amp;"]"&amp;E554&amp;"'!"&amp;$AF$3),0)</f>
        <v>#VALUE!</v>
      </c>
      <c r="U554" s="34" t="e" cm="1">
        <f t="array" aca="1" ref="U554" ca="1">IF(AND(G554=INDIRECT("'["&amp;G554&amp;"]"&amp;E554&amp;"'!"&amp;$AH$2),OR(I554=INDIRECT("'["&amp;G554&amp;"]"&amp;E554&amp;"'!"&amp;$AG$2))),INDIRECT("'["&amp;G554&amp;"]"&amp;E554&amp;"'!"&amp;$AG$3),0)</f>
        <v>#VALUE!</v>
      </c>
      <c r="V554" s="25" t="str">
        <f t="shared" si="152"/>
        <v/>
      </c>
      <c r="W554" s="36" t="e" cm="1">
        <f t="array" aca="1" ref="W554" ca="1">IF(AND(G554=INDIRECT("'["&amp;G554&amp;"]"&amp;E554&amp;"'!"&amp;$AH$2),OR(V554=INDIRECT("'["&amp;G554&amp;"]"&amp;E554&amp;"'!"&amp;$AI$2))),INDIRECT("'["&amp;G554&amp;"]"&amp;E554&amp;"'!"&amp;$AI$3),0)</f>
        <v>#VALUE!</v>
      </c>
      <c r="AJ554" s="25">
        <v>1</v>
      </c>
      <c r="AK554" s="38">
        <f t="shared" ca="1" si="153"/>
        <v>0</v>
      </c>
      <c r="AL554" s="38">
        <f t="shared" ca="1" si="154"/>
        <v>0</v>
      </c>
      <c r="AM554" s="54" t="str">
        <f t="shared" ca="1" si="155"/>
        <v/>
      </c>
      <c r="AN554" s="25" t="e">
        <f t="shared" ca="1" si="156"/>
        <v>#VALUE!</v>
      </c>
      <c r="AO554" s="25" t="e">
        <f t="shared" ca="1" si="157"/>
        <v>#VALUE!</v>
      </c>
      <c r="AQ554" s="46" t="str">
        <f ca="1">IF(AND(C554&lt;&gt;0, C555=0), SUM($C$2:C554)-SUM($AQ$1:AQ553), "")</f>
        <v/>
      </c>
      <c r="AR554" s="46" t="str">
        <f ca="1">IF(AND(AK554&lt;&gt;0, AK555=0), SUM($AK$2:AK554)-SUM($AR$1:AR553), "")</f>
        <v/>
      </c>
    </row>
    <row r="555" spans="2:44" ht="13.15" customHeight="1">
      <c r="B555" s="68" t="str">
        <f t="shared" si="143"/>
        <v/>
      </c>
      <c r="C555" s="55" cm="1">
        <f t="array" aca="1" ref="C555" ca="1">SUM(IF(ISNUMBER(M555:U555),M555:U555,""))</f>
        <v>0</v>
      </c>
      <c r="D555" s="25" t="str">
        <f t="shared" si="144"/>
        <v/>
      </c>
      <c r="E555" s="25" t="e">
        <f t="shared" si="145"/>
        <v>#VALUE!</v>
      </c>
      <c r="F555" s="25" t="str">
        <f t="shared" si="146"/>
        <v/>
      </c>
      <c r="G555" s="25" t="str">
        <f t="shared" si="147"/>
        <v>.xlsx</v>
      </c>
      <c r="H555" s="29" t="e" cm="1">
        <f t="array" aca="1" ref="H555" ca="1">IF(AND(VALUE(E555)=INDIRECT("'["&amp;G555&amp;"]"&amp;E555&amp;"'!"&amp;$X$2),G555=INDIRECT("'["&amp;G555&amp;"]"&amp;E555&amp;"'!"&amp;$X$3)),INDIRECT("'["&amp;G555&amp;"]"&amp;E555&amp;"'!"&amp;$X$1),0)</f>
        <v>#VALUE!</v>
      </c>
      <c r="I555" s="25" t="str">
        <f t="shared" si="148"/>
        <v/>
      </c>
      <c r="J555" s="32" t="str">
        <f t="shared" si="149"/>
        <v/>
      </c>
      <c r="K555" s="25" t="str">
        <f t="shared" si="150"/>
        <v/>
      </c>
      <c r="L555" s="25" t="str">
        <f t="shared" si="151"/>
        <v/>
      </c>
      <c r="M555" s="33" t="e" cm="1">
        <f t="array" aca="1" ref="M555" ca="1">IF(AND(J555=INDIRECT("'["&amp;G555&amp;"]"&amp;E555&amp;"'!"&amp;$Y$2),G555=INDIRECT("'["&amp;G555&amp;"]"&amp;E555&amp;"'!"&amp;$AH$2)),INDIRECT("'["&amp;G555&amp;"]"&amp;E555&amp;"'!"&amp;$Y$3),0)</f>
        <v>#VALUE!</v>
      </c>
      <c r="N555" s="34" t="e" cm="1">
        <f t="array" aca="1" ref="N555" ca="1">IF(AND(G555=INDIRECT("'["&amp;G555&amp;"]"&amp;E555&amp;"'!"&amp;$AH$2),OR(K555=INDIRECT("'["&amp;G555&amp;"]"&amp;E555&amp;"'!"&amp;$Z$2))),INDIRECT("'["&amp;G555&amp;"]"&amp;E555&amp;"'!"&amp;$Z$3),0)</f>
        <v>#VALUE!</v>
      </c>
      <c r="O555" s="34" t="e" cm="1">
        <f t="array" aca="1" ref="O555" ca="1">IF(AND(G555=INDIRECT("'["&amp;G555&amp;"]"&amp;E555&amp;"'!"&amp;$AH$2),OR(L555=INDIRECT("'["&amp;G555&amp;"]"&amp;E555&amp;"'!"&amp;$AA$2))),INDIRECT("'["&amp;G555&amp;"]"&amp;E555&amp;"'!"&amp;$AA$3),0)</f>
        <v>#VALUE!</v>
      </c>
      <c r="P555" s="34" t="e" cm="1">
        <f t="array" aca="1" ref="P555" ca="1">IF(AND(G555=INDIRECT("'["&amp;G555&amp;"]"&amp;E555&amp;"'!"&amp;$AH$2),OR(VALUE(I555)=INDIRECT("'["&amp;G555&amp;"]"&amp;E555&amp;"'!"&amp;$AB$2))),INDIRECT("'["&amp;G555&amp;"]"&amp;E555&amp;"'!"&amp;$AB$3),0)</f>
        <v>#VALUE!</v>
      </c>
      <c r="Q555" s="34" t="e" cm="1">
        <f t="array" aca="1" ref="Q555" ca="1">IF(AND(G555=INDIRECT("'["&amp;G555&amp;"]"&amp;E555&amp;"'!"&amp;$AH$2),OR(VALUE(I555)=INDIRECT("'["&amp;G555&amp;"]"&amp;E555&amp;"'!"&amp;$AC$2))),INDIRECT("'["&amp;G555&amp;"]"&amp;E555&amp;"'!"&amp;$AC$3),0)</f>
        <v>#VALUE!</v>
      </c>
      <c r="R555" s="34" t="e" cm="1">
        <f t="array" aca="1" ref="R555" ca="1">IF(AND(G555=INDIRECT("'["&amp;G555&amp;"]"&amp;E555&amp;"'!"&amp;$AH$2),OR(I555=INDIRECT("'["&amp;G555&amp;"]"&amp;E555&amp;"'!"&amp;$AD$2))),INDIRECT("'["&amp;G555&amp;"]"&amp;E555&amp;"'!"&amp;$AD$3),0)</f>
        <v>#VALUE!</v>
      </c>
      <c r="S555" s="34" t="e" cm="1">
        <f t="array" aca="1" ref="S555" ca="1">IF(AND(G555=INDIRECT("'["&amp;G555&amp;"]"&amp;E555&amp;"'!"&amp;$AH$2),OR(I555=INDIRECT("'["&amp;G555&amp;"]"&amp;E555&amp;"'!"&amp;$AE$2))),INDIRECT("'["&amp;G555&amp;"]"&amp;E555&amp;"'!"&amp;$AE$3),0)</f>
        <v>#VALUE!</v>
      </c>
      <c r="T555" s="35" t="e" cm="1">
        <f t="array" aca="1" ref="T555" ca="1">IF(AND(G555=INDIRECT("'["&amp;G555&amp;"]"&amp;E555&amp;"'!"&amp;$AH$2),OR(I555=INDIRECT("'["&amp;G555&amp;"]"&amp;E555&amp;"'!"&amp;$AF$2))),INDIRECT("'["&amp;G555&amp;"]"&amp;E555&amp;"'!"&amp;$AF$3),0)</f>
        <v>#VALUE!</v>
      </c>
      <c r="U555" s="34" t="e" cm="1">
        <f t="array" aca="1" ref="U555" ca="1">IF(AND(G555=INDIRECT("'["&amp;G555&amp;"]"&amp;E555&amp;"'!"&amp;$AH$2),OR(I555=INDIRECT("'["&amp;G555&amp;"]"&amp;E555&amp;"'!"&amp;$AG$2))),INDIRECT("'["&amp;G555&amp;"]"&amp;E555&amp;"'!"&amp;$AG$3),0)</f>
        <v>#VALUE!</v>
      </c>
      <c r="V555" s="25" t="str">
        <f t="shared" si="152"/>
        <v/>
      </c>
      <c r="W555" s="36" t="e" cm="1">
        <f t="array" aca="1" ref="W555" ca="1">IF(AND(G555=INDIRECT("'["&amp;G555&amp;"]"&amp;E555&amp;"'!"&amp;$AH$2),OR(V555=INDIRECT("'["&amp;G555&amp;"]"&amp;E555&amp;"'!"&amp;$AI$2))),INDIRECT("'["&amp;G555&amp;"]"&amp;E555&amp;"'!"&amp;$AI$3),0)</f>
        <v>#VALUE!</v>
      </c>
      <c r="AJ555" s="25">
        <v>1</v>
      </c>
      <c r="AK555" s="38">
        <f t="shared" ca="1" si="153"/>
        <v>0</v>
      </c>
      <c r="AL555" s="38">
        <f t="shared" ca="1" si="154"/>
        <v>0</v>
      </c>
      <c r="AM555" s="54" t="str">
        <f t="shared" ca="1" si="155"/>
        <v/>
      </c>
      <c r="AN555" s="25" t="e">
        <f t="shared" ca="1" si="156"/>
        <v>#VALUE!</v>
      </c>
      <c r="AO555" s="25" t="e">
        <f t="shared" ca="1" si="157"/>
        <v>#VALUE!</v>
      </c>
      <c r="AQ555" s="46" t="str">
        <f ca="1">IF(AND(C555&lt;&gt;0, C556=0), SUM($C$2:C555)-SUM($AQ$1:AQ554), "")</f>
        <v/>
      </c>
      <c r="AR555" s="46" t="str">
        <f ca="1">IF(AND(AK555&lt;&gt;0, AK556=0), SUM($AK$2:AK555)-SUM($AR$1:AR554), "")</f>
        <v/>
      </c>
    </row>
    <row r="556" spans="2:44" ht="13.15" customHeight="1">
      <c r="B556" s="68" t="str">
        <f t="shared" si="143"/>
        <v/>
      </c>
      <c r="C556" s="55" cm="1">
        <f t="array" aca="1" ref="C556" ca="1">SUM(IF(ISNUMBER(M556:U556),M556:U556,""))</f>
        <v>0</v>
      </c>
      <c r="D556" s="25" t="str">
        <f t="shared" si="144"/>
        <v/>
      </c>
      <c r="E556" s="25" t="e">
        <f t="shared" si="145"/>
        <v>#VALUE!</v>
      </c>
      <c r="F556" s="25" t="str">
        <f t="shared" si="146"/>
        <v/>
      </c>
      <c r="G556" s="25" t="str">
        <f t="shared" si="147"/>
        <v>.xlsx</v>
      </c>
      <c r="H556" s="29" t="e" cm="1">
        <f t="array" aca="1" ref="H556" ca="1">IF(AND(VALUE(E556)=INDIRECT("'["&amp;G556&amp;"]"&amp;E556&amp;"'!"&amp;$X$2),G556=INDIRECT("'["&amp;G556&amp;"]"&amp;E556&amp;"'!"&amp;$X$3)),INDIRECT("'["&amp;G556&amp;"]"&amp;E556&amp;"'!"&amp;$X$1),0)</f>
        <v>#VALUE!</v>
      </c>
      <c r="I556" s="25" t="str">
        <f t="shared" si="148"/>
        <v/>
      </c>
      <c r="J556" s="32" t="str">
        <f t="shared" si="149"/>
        <v/>
      </c>
      <c r="K556" s="25" t="str">
        <f t="shared" si="150"/>
        <v/>
      </c>
      <c r="L556" s="25" t="str">
        <f t="shared" si="151"/>
        <v/>
      </c>
      <c r="M556" s="33" t="e" cm="1">
        <f t="array" aca="1" ref="M556" ca="1">IF(AND(J556=INDIRECT("'["&amp;G556&amp;"]"&amp;E556&amp;"'!"&amp;$Y$2),G556=INDIRECT("'["&amp;G556&amp;"]"&amp;E556&amp;"'!"&amp;$AH$2)),INDIRECT("'["&amp;G556&amp;"]"&amp;E556&amp;"'!"&amp;$Y$3),0)</f>
        <v>#VALUE!</v>
      </c>
      <c r="N556" s="34" t="e" cm="1">
        <f t="array" aca="1" ref="N556" ca="1">IF(AND(G556=INDIRECT("'["&amp;G556&amp;"]"&amp;E556&amp;"'!"&amp;$AH$2),OR(K556=INDIRECT("'["&amp;G556&amp;"]"&amp;E556&amp;"'!"&amp;$Z$2))),INDIRECT("'["&amp;G556&amp;"]"&amp;E556&amp;"'!"&amp;$Z$3),0)</f>
        <v>#VALUE!</v>
      </c>
      <c r="O556" s="34" t="e" cm="1">
        <f t="array" aca="1" ref="O556" ca="1">IF(AND(G556=INDIRECT("'["&amp;G556&amp;"]"&amp;E556&amp;"'!"&amp;$AH$2),OR(L556=INDIRECT("'["&amp;G556&amp;"]"&amp;E556&amp;"'!"&amp;$AA$2))),INDIRECT("'["&amp;G556&amp;"]"&amp;E556&amp;"'!"&amp;$AA$3),0)</f>
        <v>#VALUE!</v>
      </c>
      <c r="P556" s="34" t="e" cm="1">
        <f t="array" aca="1" ref="P556" ca="1">IF(AND(G556=INDIRECT("'["&amp;G556&amp;"]"&amp;E556&amp;"'!"&amp;$AH$2),OR(VALUE(I556)=INDIRECT("'["&amp;G556&amp;"]"&amp;E556&amp;"'!"&amp;$AB$2))),INDIRECT("'["&amp;G556&amp;"]"&amp;E556&amp;"'!"&amp;$AB$3),0)</f>
        <v>#VALUE!</v>
      </c>
      <c r="Q556" s="34" t="e" cm="1">
        <f t="array" aca="1" ref="Q556" ca="1">IF(AND(G556=INDIRECT("'["&amp;G556&amp;"]"&amp;E556&amp;"'!"&amp;$AH$2),OR(VALUE(I556)=INDIRECT("'["&amp;G556&amp;"]"&amp;E556&amp;"'!"&amp;$AC$2))),INDIRECT("'["&amp;G556&amp;"]"&amp;E556&amp;"'!"&amp;$AC$3),0)</f>
        <v>#VALUE!</v>
      </c>
      <c r="R556" s="34" t="e" cm="1">
        <f t="array" aca="1" ref="R556" ca="1">IF(AND(G556=INDIRECT("'["&amp;G556&amp;"]"&amp;E556&amp;"'!"&amp;$AH$2),OR(I556=INDIRECT("'["&amp;G556&amp;"]"&amp;E556&amp;"'!"&amp;$AD$2))),INDIRECT("'["&amp;G556&amp;"]"&amp;E556&amp;"'!"&amp;$AD$3),0)</f>
        <v>#VALUE!</v>
      </c>
      <c r="S556" s="34" t="e" cm="1">
        <f t="array" aca="1" ref="S556" ca="1">IF(AND(G556=INDIRECT("'["&amp;G556&amp;"]"&amp;E556&amp;"'!"&amp;$AH$2),OR(I556=INDIRECT("'["&amp;G556&amp;"]"&amp;E556&amp;"'!"&amp;$AE$2))),INDIRECT("'["&amp;G556&amp;"]"&amp;E556&amp;"'!"&amp;$AE$3),0)</f>
        <v>#VALUE!</v>
      </c>
      <c r="T556" s="35" t="e" cm="1">
        <f t="array" aca="1" ref="T556" ca="1">IF(AND(G556=INDIRECT("'["&amp;G556&amp;"]"&amp;E556&amp;"'!"&amp;$AH$2),OR(I556=INDIRECT("'["&amp;G556&amp;"]"&amp;E556&amp;"'!"&amp;$AF$2))),INDIRECT("'["&amp;G556&amp;"]"&amp;E556&amp;"'!"&amp;$AF$3),0)</f>
        <v>#VALUE!</v>
      </c>
      <c r="U556" s="34" t="e" cm="1">
        <f t="array" aca="1" ref="U556" ca="1">IF(AND(G556=INDIRECT("'["&amp;G556&amp;"]"&amp;E556&amp;"'!"&amp;$AH$2),OR(I556=INDIRECT("'["&amp;G556&amp;"]"&amp;E556&amp;"'!"&amp;$AG$2))),INDIRECT("'["&amp;G556&amp;"]"&amp;E556&amp;"'!"&amp;$AG$3),0)</f>
        <v>#VALUE!</v>
      </c>
      <c r="V556" s="25" t="str">
        <f t="shared" si="152"/>
        <v/>
      </c>
      <c r="W556" s="36" t="e" cm="1">
        <f t="array" aca="1" ref="W556" ca="1">IF(AND(G556=INDIRECT("'["&amp;G556&amp;"]"&amp;E556&amp;"'!"&amp;$AH$2),OR(V556=INDIRECT("'["&amp;G556&amp;"]"&amp;E556&amp;"'!"&amp;$AI$2))),INDIRECT("'["&amp;G556&amp;"]"&amp;E556&amp;"'!"&amp;$AI$3),0)</f>
        <v>#VALUE!</v>
      </c>
      <c r="AJ556" s="25">
        <v>1</v>
      </c>
      <c r="AK556" s="38">
        <f t="shared" ca="1" si="153"/>
        <v>0</v>
      </c>
      <c r="AL556" s="38">
        <f t="shared" ca="1" si="154"/>
        <v>0</v>
      </c>
      <c r="AM556" s="54" t="str">
        <f t="shared" ca="1" si="155"/>
        <v/>
      </c>
      <c r="AN556" s="25" t="e">
        <f t="shared" ca="1" si="156"/>
        <v>#VALUE!</v>
      </c>
      <c r="AO556" s="25" t="e">
        <f t="shared" ca="1" si="157"/>
        <v>#VALUE!</v>
      </c>
      <c r="AQ556" s="46" t="str">
        <f ca="1">IF(AND(C556&lt;&gt;0, C557=0), SUM($C$2:C556)-SUM($AQ$1:AQ555), "")</f>
        <v/>
      </c>
      <c r="AR556" s="46" t="str">
        <f ca="1">IF(AND(AK556&lt;&gt;0, AK557=0), SUM($AK$2:AK556)-SUM($AR$1:AR555), "")</f>
        <v/>
      </c>
    </row>
    <row r="557" spans="2:44" ht="13.15" customHeight="1">
      <c r="B557" s="68" t="str">
        <f t="shared" si="143"/>
        <v/>
      </c>
      <c r="C557" s="55" cm="1">
        <f t="array" aca="1" ref="C557" ca="1">SUM(IF(ISNUMBER(M557:U557),M557:U557,""))</f>
        <v>0</v>
      </c>
      <c r="D557" s="25" t="str">
        <f t="shared" si="144"/>
        <v/>
      </c>
      <c r="E557" s="25" t="e">
        <f t="shared" si="145"/>
        <v>#VALUE!</v>
      </c>
      <c r="F557" s="25" t="str">
        <f t="shared" si="146"/>
        <v/>
      </c>
      <c r="G557" s="25" t="str">
        <f t="shared" si="147"/>
        <v>.xlsx</v>
      </c>
      <c r="H557" s="29" t="e" cm="1">
        <f t="array" aca="1" ref="H557" ca="1">IF(AND(VALUE(E557)=INDIRECT("'["&amp;G557&amp;"]"&amp;E557&amp;"'!"&amp;$X$2),G557=INDIRECT("'["&amp;G557&amp;"]"&amp;E557&amp;"'!"&amp;$X$3)),INDIRECT("'["&amp;G557&amp;"]"&amp;E557&amp;"'!"&amp;$X$1),0)</f>
        <v>#VALUE!</v>
      </c>
      <c r="I557" s="25" t="str">
        <f t="shared" si="148"/>
        <v/>
      </c>
      <c r="J557" s="32" t="str">
        <f t="shared" si="149"/>
        <v/>
      </c>
      <c r="K557" s="25" t="str">
        <f t="shared" si="150"/>
        <v/>
      </c>
      <c r="L557" s="25" t="str">
        <f t="shared" si="151"/>
        <v/>
      </c>
      <c r="M557" s="33" t="e" cm="1">
        <f t="array" aca="1" ref="M557" ca="1">IF(AND(J557=INDIRECT("'["&amp;G557&amp;"]"&amp;E557&amp;"'!"&amp;$Y$2),G557=INDIRECT("'["&amp;G557&amp;"]"&amp;E557&amp;"'!"&amp;$AH$2)),INDIRECT("'["&amp;G557&amp;"]"&amp;E557&amp;"'!"&amp;$Y$3),0)</f>
        <v>#VALUE!</v>
      </c>
      <c r="N557" s="34" t="e" cm="1">
        <f t="array" aca="1" ref="N557" ca="1">IF(AND(G557=INDIRECT("'["&amp;G557&amp;"]"&amp;E557&amp;"'!"&amp;$AH$2),OR(K557=INDIRECT("'["&amp;G557&amp;"]"&amp;E557&amp;"'!"&amp;$Z$2))),INDIRECT("'["&amp;G557&amp;"]"&amp;E557&amp;"'!"&amp;$Z$3),0)</f>
        <v>#VALUE!</v>
      </c>
      <c r="O557" s="34" t="e" cm="1">
        <f t="array" aca="1" ref="O557" ca="1">IF(AND(G557=INDIRECT("'["&amp;G557&amp;"]"&amp;E557&amp;"'!"&amp;$AH$2),OR(L557=INDIRECT("'["&amp;G557&amp;"]"&amp;E557&amp;"'!"&amp;$AA$2))),INDIRECT("'["&amp;G557&amp;"]"&amp;E557&amp;"'!"&amp;$AA$3),0)</f>
        <v>#VALUE!</v>
      </c>
      <c r="P557" s="34" t="e" cm="1">
        <f t="array" aca="1" ref="P557" ca="1">IF(AND(G557=INDIRECT("'["&amp;G557&amp;"]"&amp;E557&amp;"'!"&amp;$AH$2),OR(VALUE(I557)=INDIRECT("'["&amp;G557&amp;"]"&amp;E557&amp;"'!"&amp;$AB$2))),INDIRECT("'["&amp;G557&amp;"]"&amp;E557&amp;"'!"&amp;$AB$3),0)</f>
        <v>#VALUE!</v>
      </c>
      <c r="Q557" s="34" t="e" cm="1">
        <f t="array" aca="1" ref="Q557" ca="1">IF(AND(G557=INDIRECT("'["&amp;G557&amp;"]"&amp;E557&amp;"'!"&amp;$AH$2),OR(VALUE(I557)=INDIRECT("'["&amp;G557&amp;"]"&amp;E557&amp;"'!"&amp;$AC$2))),INDIRECT("'["&amp;G557&amp;"]"&amp;E557&amp;"'!"&amp;$AC$3),0)</f>
        <v>#VALUE!</v>
      </c>
      <c r="R557" s="34" t="e" cm="1">
        <f t="array" aca="1" ref="R557" ca="1">IF(AND(G557=INDIRECT("'["&amp;G557&amp;"]"&amp;E557&amp;"'!"&amp;$AH$2),OR(I557=INDIRECT("'["&amp;G557&amp;"]"&amp;E557&amp;"'!"&amp;$AD$2))),INDIRECT("'["&amp;G557&amp;"]"&amp;E557&amp;"'!"&amp;$AD$3),0)</f>
        <v>#VALUE!</v>
      </c>
      <c r="S557" s="34" t="e" cm="1">
        <f t="array" aca="1" ref="S557" ca="1">IF(AND(G557=INDIRECT("'["&amp;G557&amp;"]"&amp;E557&amp;"'!"&amp;$AH$2),OR(I557=INDIRECT("'["&amp;G557&amp;"]"&amp;E557&amp;"'!"&amp;$AE$2))),INDIRECT("'["&amp;G557&amp;"]"&amp;E557&amp;"'!"&amp;$AE$3),0)</f>
        <v>#VALUE!</v>
      </c>
      <c r="T557" s="35" t="e" cm="1">
        <f t="array" aca="1" ref="T557" ca="1">IF(AND(G557=INDIRECT("'["&amp;G557&amp;"]"&amp;E557&amp;"'!"&amp;$AH$2),OR(I557=INDIRECT("'["&amp;G557&amp;"]"&amp;E557&amp;"'!"&amp;$AF$2))),INDIRECT("'["&amp;G557&amp;"]"&amp;E557&amp;"'!"&amp;$AF$3),0)</f>
        <v>#VALUE!</v>
      </c>
      <c r="U557" s="34" t="e" cm="1">
        <f t="array" aca="1" ref="U557" ca="1">IF(AND(G557=INDIRECT("'["&amp;G557&amp;"]"&amp;E557&amp;"'!"&amp;$AH$2),OR(I557=INDIRECT("'["&amp;G557&amp;"]"&amp;E557&amp;"'!"&amp;$AG$2))),INDIRECT("'["&amp;G557&amp;"]"&amp;E557&amp;"'!"&amp;$AG$3),0)</f>
        <v>#VALUE!</v>
      </c>
      <c r="V557" s="25" t="str">
        <f t="shared" si="152"/>
        <v/>
      </c>
      <c r="W557" s="36" t="e" cm="1">
        <f t="array" aca="1" ref="W557" ca="1">IF(AND(G557=INDIRECT("'["&amp;G557&amp;"]"&amp;E557&amp;"'!"&amp;$AH$2),OR(V557=INDIRECT("'["&amp;G557&amp;"]"&amp;E557&amp;"'!"&amp;$AI$2))),INDIRECT("'["&amp;G557&amp;"]"&amp;E557&amp;"'!"&amp;$AI$3),0)</f>
        <v>#VALUE!</v>
      </c>
      <c r="AJ557" s="25">
        <v>1</v>
      </c>
      <c r="AK557" s="38">
        <f t="shared" ca="1" si="153"/>
        <v>0</v>
      </c>
      <c r="AL557" s="38">
        <f t="shared" ca="1" si="154"/>
        <v>0</v>
      </c>
      <c r="AM557" s="54" t="str">
        <f t="shared" ca="1" si="155"/>
        <v/>
      </c>
      <c r="AN557" s="25" t="e">
        <f t="shared" ca="1" si="156"/>
        <v>#VALUE!</v>
      </c>
      <c r="AO557" s="25" t="e">
        <f t="shared" ca="1" si="157"/>
        <v>#VALUE!</v>
      </c>
      <c r="AQ557" s="46" t="str">
        <f ca="1">IF(AND(C557&lt;&gt;0, C558=0), SUM($C$2:C557)-SUM($AQ$1:AQ556), "")</f>
        <v/>
      </c>
      <c r="AR557" s="46" t="str">
        <f ca="1">IF(AND(AK557&lt;&gt;0, AK558=0), SUM($AK$2:AK557)-SUM($AR$1:AR556), "")</f>
        <v/>
      </c>
    </row>
    <row r="558" spans="2:44" ht="13.15" customHeight="1">
      <c r="B558" s="68" t="str">
        <f t="shared" si="143"/>
        <v/>
      </c>
      <c r="C558" s="55" cm="1">
        <f t="array" aca="1" ref="C558" ca="1">SUM(IF(ISNUMBER(M558:U558),M558:U558,""))</f>
        <v>0</v>
      </c>
      <c r="D558" s="25" t="str">
        <f t="shared" si="144"/>
        <v/>
      </c>
      <c r="E558" s="25" t="e">
        <f t="shared" si="145"/>
        <v>#VALUE!</v>
      </c>
      <c r="F558" s="25" t="str">
        <f t="shared" si="146"/>
        <v/>
      </c>
      <c r="G558" s="25" t="str">
        <f t="shared" si="147"/>
        <v>.xlsx</v>
      </c>
      <c r="H558" s="29" t="e" cm="1">
        <f t="array" aca="1" ref="H558" ca="1">IF(AND(VALUE(E558)=INDIRECT("'["&amp;G558&amp;"]"&amp;E558&amp;"'!"&amp;$X$2),G558=INDIRECT("'["&amp;G558&amp;"]"&amp;E558&amp;"'!"&amp;$X$3)),INDIRECT("'["&amp;G558&amp;"]"&amp;E558&amp;"'!"&amp;$X$1),0)</f>
        <v>#VALUE!</v>
      </c>
      <c r="I558" s="25" t="str">
        <f t="shared" si="148"/>
        <v/>
      </c>
      <c r="J558" s="32" t="str">
        <f t="shared" si="149"/>
        <v/>
      </c>
      <c r="K558" s="25" t="str">
        <f t="shared" si="150"/>
        <v/>
      </c>
      <c r="L558" s="25" t="str">
        <f t="shared" si="151"/>
        <v/>
      </c>
      <c r="M558" s="33" t="e" cm="1">
        <f t="array" aca="1" ref="M558" ca="1">IF(AND(J558=INDIRECT("'["&amp;G558&amp;"]"&amp;E558&amp;"'!"&amp;$Y$2),G558=INDIRECT("'["&amp;G558&amp;"]"&amp;E558&amp;"'!"&amp;$AH$2)),INDIRECT("'["&amp;G558&amp;"]"&amp;E558&amp;"'!"&amp;$Y$3),0)</f>
        <v>#VALUE!</v>
      </c>
      <c r="N558" s="34" t="e" cm="1">
        <f t="array" aca="1" ref="N558" ca="1">IF(AND(G558=INDIRECT("'["&amp;G558&amp;"]"&amp;E558&amp;"'!"&amp;$AH$2),OR(K558=INDIRECT("'["&amp;G558&amp;"]"&amp;E558&amp;"'!"&amp;$Z$2))),INDIRECT("'["&amp;G558&amp;"]"&amp;E558&amp;"'!"&amp;$Z$3),0)</f>
        <v>#VALUE!</v>
      </c>
      <c r="O558" s="34" t="e" cm="1">
        <f t="array" aca="1" ref="O558" ca="1">IF(AND(G558=INDIRECT("'["&amp;G558&amp;"]"&amp;E558&amp;"'!"&amp;$AH$2),OR(L558=INDIRECT("'["&amp;G558&amp;"]"&amp;E558&amp;"'!"&amp;$AA$2))),INDIRECT("'["&amp;G558&amp;"]"&amp;E558&amp;"'!"&amp;$AA$3),0)</f>
        <v>#VALUE!</v>
      </c>
      <c r="P558" s="34" t="e" cm="1">
        <f t="array" aca="1" ref="P558" ca="1">IF(AND(G558=INDIRECT("'["&amp;G558&amp;"]"&amp;E558&amp;"'!"&amp;$AH$2),OR(VALUE(I558)=INDIRECT("'["&amp;G558&amp;"]"&amp;E558&amp;"'!"&amp;$AB$2))),INDIRECT("'["&amp;G558&amp;"]"&amp;E558&amp;"'!"&amp;$AB$3),0)</f>
        <v>#VALUE!</v>
      </c>
      <c r="Q558" s="34" t="e" cm="1">
        <f t="array" aca="1" ref="Q558" ca="1">IF(AND(G558=INDIRECT("'["&amp;G558&amp;"]"&amp;E558&amp;"'!"&amp;$AH$2),OR(VALUE(I558)=INDIRECT("'["&amp;G558&amp;"]"&amp;E558&amp;"'!"&amp;$AC$2))),INDIRECT("'["&amp;G558&amp;"]"&amp;E558&amp;"'!"&amp;$AC$3),0)</f>
        <v>#VALUE!</v>
      </c>
      <c r="R558" s="34" t="e" cm="1">
        <f t="array" aca="1" ref="R558" ca="1">IF(AND(G558=INDIRECT("'["&amp;G558&amp;"]"&amp;E558&amp;"'!"&amp;$AH$2),OR(I558=INDIRECT("'["&amp;G558&amp;"]"&amp;E558&amp;"'!"&amp;$AD$2))),INDIRECT("'["&amp;G558&amp;"]"&amp;E558&amp;"'!"&amp;$AD$3),0)</f>
        <v>#VALUE!</v>
      </c>
      <c r="S558" s="34" t="e" cm="1">
        <f t="array" aca="1" ref="S558" ca="1">IF(AND(G558=INDIRECT("'["&amp;G558&amp;"]"&amp;E558&amp;"'!"&amp;$AH$2),OR(I558=INDIRECT("'["&amp;G558&amp;"]"&amp;E558&amp;"'!"&amp;$AE$2))),INDIRECT("'["&amp;G558&amp;"]"&amp;E558&amp;"'!"&amp;$AE$3),0)</f>
        <v>#VALUE!</v>
      </c>
      <c r="T558" s="35" t="e" cm="1">
        <f t="array" aca="1" ref="T558" ca="1">IF(AND(G558=INDIRECT("'["&amp;G558&amp;"]"&amp;E558&amp;"'!"&amp;$AH$2),OR(I558=INDIRECT("'["&amp;G558&amp;"]"&amp;E558&amp;"'!"&amp;$AF$2))),INDIRECT("'["&amp;G558&amp;"]"&amp;E558&amp;"'!"&amp;$AF$3),0)</f>
        <v>#VALUE!</v>
      </c>
      <c r="U558" s="34" t="e" cm="1">
        <f t="array" aca="1" ref="U558" ca="1">IF(AND(G558=INDIRECT("'["&amp;G558&amp;"]"&amp;E558&amp;"'!"&amp;$AH$2),OR(I558=INDIRECT("'["&amp;G558&amp;"]"&amp;E558&amp;"'!"&amp;$AG$2))),INDIRECT("'["&amp;G558&amp;"]"&amp;E558&amp;"'!"&amp;$AG$3),0)</f>
        <v>#VALUE!</v>
      </c>
      <c r="V558" s="25" t="str">
        <f t="shared" si="152"/>
        <v/>
      </c>
      <c r="W558" s="36" t="e" cm="1">
        <f t="array" aca="1" ref="W558" ca="1">IF(AND(G558=INDIRECT("'["&amp;G558&amp;"]"&amp;E558&amp;"'!"&amp;$AH$2),OR(V558=INDIRECT("'["&amp;G558&amp;"]"&amp;E558&amp;"'!"&amp;$AI$2))),INDIRECT("'["&amp;G558&amp;"]"&amp;E558&amp;"'!"&amp;$AI$3),0)</f>
        <v>#VALUE!</v>
      </c>
      <c r="AJ558" s="25">
        <v>1</v>
      </c>
      <c r="AK558" s="38">
        <f t="shared" ca="1" si="153"/>
        <v>0</v>
      </c>
      <c r="AL558" s="38">
        <f t="shared" ca="1" si="154"/>
        <v>0</v>
      </c>
      <c r="AM558" s="54" t="str">
        <f t="shared" ca="1" si="155"/>
        <v/>
      </c>
      <c r="AN558" s="25" t="e">
        <f t="shared" ca="1" si="156"/>
        <v>#VALUE!</v>
      </c>
      <c r="AO558" s="25" t="e">
        <f t="shared" ca="1" si="157"/>
        <v>#VALUE!</v>
      </c>
      <c r="AQ558" s="46" t="str">
        <f ca="1">IF(AND(C558&lt;&gt;0, C559=0), SUM($C$2:C558)-SUM($AQ$1:AQ557), "")</f>
        <v/>
      </c>
      <c r="AR558" s="46" t="str">
        <f ca="1">IF(AND(AK558&lt;&gt;0, AK559=0), SUM($AK$2:AK558)-SUM($AR$1:AR557), "")</f>
        <v/>
      </c>
    </row>
    <row r="559" spans="2:44" ht="13.15" customHeight="1">
      <c r="B559" s="68" t="str">
        <f t="shared" si="143"/>
        <v/>
      </c>
      <c r="C559" s="55" cm="1">
        <f t="array" aca="1" ref="C559" ca="1">SUM(IF(ISNUMBER(M559:U559),M559:U559,""))</f>
        <v>0</v>
      </c>
      <c r="D559" s="25" t="str">
        <f t="shared" si="144"/>
        <v/>
      </c>
      <c r="E559" s="25" t="e">
        <f t="shared" si="145"/>
        <v>#VALUE!</v>
      </c>
      <c r="F559" s="25" t="str">
        <f t="shared" si="146"/>
        <v/>
      </c>
      <c r="G559" s="25" t="str">
        <f t="shared" si="147"/>
        <v>.xlsx</v>
      </c>
      <c r="H559" s="29" t="e" cm="1">
        <f t="array" aca="1" ref="H559" ca="1">IF(AND(VALUE(E559)=INDIRECT("'["&amp;G559&amp;"]"&amp;E559&amp;"'!"&amp;$X$2),G559=INDIRECT("'["&amp;G559&amp;"]"&amp;E559&amp;"'!"&amp;$X$3)),INDIRECT("'["&amp;G559&amp;"]"&amp;E559&amp;"'!"&amp;$X$1),0)</f>
        <v>#VALUE!</v>
      </c>
      <c r="I559" s="25" t="str">
        <f t="shared" si="148"/>
        <v/>
      </c>
      <c r="J559" s="32" t="str">
        <f t="shared" si="149"/>
        <v/>
      </c>
      <c r="K559" s="25" t="str">
        <f t="shared" si="150"/>
        <v/>
      </c>
      <c r="L559" s="25" t="str">
        <f t="shared" si="151"/>
        <v/>
      </c>
      <c r="M559" s="33" t="e" cm="1">
        <f t="array" aca="1" ref="M559" ca="1">IF(AND(J559=INDIRECT("'["&amp;G559&amp;"]"&amp;E559&amp;"'!"&amp;$Y$2),G559=INDIRECT("'["&amp;G559&amp;"]"&amp;E559&amp;"'!"&amp;$AH$2)),INDIRECT("'["&amp;G559&amp;"]"&amp;E559&amp;"'!"&amp;$Y$3),0)</f>
        <v>#VALUE!</v>
      </c>
      <c r="N559" s="34" t="e" cm="1">
        <f t="array" aca="1" ref="N559" ca="1">IF(AND(G559=INDIRECT("'["&amp;G559&amp;"]"&amp;E559&amp;"'!"&amp;$AH$2),OR(K559=INDIRECT("'["&amp;G559&amp;"]"&amp;E559&amp;"'!"&amp;$Z$2))),INDIRECT("'["&amp;G559&amp;"]"&amp;E559&amp;"'!"&amp;$Z$3),0)</f>
        <v>#VALUE!</v>
      </c>
      <c r="O559" s="34" t="e" cm="1">
        <f t="array" aca="1" ref="O559" ca="1">IF(AND(G559=INDIRECT("'["&amp;G559&amp;"]"&amp;E559&amp;"'!"&amp;$AH$2),OR(L559=INDIRECT("'["&amp;G559&amp;"]"&amp;E559&amp;"'!"&amp;$AA$2))),INDIRECT("'["&amp;G559&amp;"]"&amp;E559&amp;"'!"&amp;$AA$3),0)</f>
        <v>#VALUE!</v>
      </c>
      <c r="P559" s="34" t="e" cm="1">
        <f t="array" aca="1" ref="P559" ca="1">IF(AND(G559=INDIRECT("'["&amp;G559&amp;"]"&amp;E559&amp;"'!"&amp;$AH$2),OR(VALUE(I559)=INDIRECT("'["&amp;G559&amp;"]"&amp;E559&amp;"'!"&amp;$AB$2))),INDIRECT("'["&amp;G559&amp;"]"&amp;E559&amp;"'!"&amp;$AB$3),0)</f>
        <v>#VALUE!</v>
      </c>
      <c r="Q559" s="34" t="e" cm="1">
        <f t="array" aca="1" ref="Q559" ca="1">IF(AND(G559=INDIRECT("'["&amp;G559&amp;"]"&amp;E559&amp;"'!"&amp;$AH$2),OR(VALUE(I559)=INDIRECT("'["&amp;G559&amp;"]"&amp;E559&amp;"'!"&amp;$AC$2))),INDIRECT("'["&amp;G559&amp;"]"&amp;E559&amp;"'!"&amp;$AC$3),0)</f>
        <v>#VALUE!</v>
      </c>
      <c r="R559" s="34" t="e" cm="1">
        <f t="array" aca="1" ref="R559" ca="1">IF(AND(G559=INDIRECT("'["&amp;G559&amp;"]"&amp;E559&amp;"'!"&amp;$AH$2),OR(I559=INDIRECT("'["&amp;G559&amp;"]"&amp;E559&amp;"'!"&amp;$AD$2))),INDIRECT("'["&amp;G559&amp;"]"&amp;E559&amp;"'!"&amp;$AD$3),0)</f>
        <v>#VALUE!</v>
      </c>
      <c r="S559" s="34" t="e" cm="1">
        <f t="array" aca="1" ref="S559" ca="1">IF(AND(G559=INDIRECT("'["&amp;G559&amp;"]"&amp;E559&amp;"'!"&amp;$AH$2),OR(I559=INDIRECT("'["&amp;G559&amp;"]"&amp;E559&amp;"'!"&amp;$AE$2))),INDIRECT("'["&amp;G559&amp;"]"&amp;E559&amp;"'!"&amp;$AE$3),0)</f>
        <v>#VALUE!</v>
      </c>
      <c r="T559" s="35" t="e" cm="1">
        <f t="array" aca="1" ref="T559" ca="1">IF(AND(G559=INDIRECT("'["&amp;G559&amp;"]"&amp;E559&amp;"'!"&amp;$AH$2),OR(I559=INDIRECT("'["&amp;G559&amp;"]"&amp;E559&amp;"'!"&amp;$AF$2))),INDIRECT("'["&amp;G559&amp;"]"&amp;E559&amp;"'!"&amp;$AF$3),0)</f>
        <v>#VALUE!</v>
      </c>
      <c r="U559" s="34" t="e" cm="1">
        <f t="array" aca="1" ref="U559" ca="1">IF(AND(G559=INDIRECT("'["&amp;G559&amp;"]"&amp;E559&amp;"'!"&amp;$AH$2),OR(I559=INDIRECT("'["&amp;G559&amp;"]"&amp;E559&amp;"'!"&amp;$AG$2))),INDIRECT("'["&amp;G559&amp;"]"&amp;E559&amp;"'!"&amp;$AG$3),0)</f>
        <v>#VALUE!</v>
      </c>
      <c r="V559" s="25" t="str">
        <f t="shared" si="152"/>
        <v/>
      </c>
      <c r="W559" s="36" t="e" cm="1">
        <f t="array" aca="1" ref="W559" ca="1">IF(AND(G559=INDIRECT("'["&amp;G559&amp;"]"&amp;E559&amp;"'!"&amp;$AH$2),OR(V559=INDIRECT("'["&amp;G559&amp;"]"&amp;E559&amp;"'!"&amp;$AI$2))),INDIRECT("'["&amp;G559&amp;"]"&amp;E559&amp;"'!"&amp;$AI$3),0)</f>
        <v>#VALUE!</v>
      </c>
      <c r="AJ559" s="25">
        <v>1</v>
      </c>
      <c r="AK559" s="38">
        <f t="shared" ca="1" si="153"/>
        <v>0</v>
      </c>
      <c r="AL559" s="38">
        <f t="shared" ca="1" si="154"/>
        <v>0</v>
      </c>
      <c r="AM559" s="54" t="str">
        <f t="shared" ca="1" si="155"/>
        <v/>
      </c>
      <c r="AN559" s="25" t="e">
        <f t="shared" ca="1" si="156"/>
        <v>#VALUE!</v>
      </c>
      <c r="AO559" s="25" t="e">
        <f t="shared" ca="1" si="157"/>
        <v>#VALUE!</v>
      </c>
      <c r="AQ559" s="46" t="str">
        <f ca="1">IF(AND(C559&lt;&gt;0, C560=0), SUM($C$2:C559)-SUM($AQ$1:AQ558), "")</f>
        <v/>
      </c>
      <c r="AR559" s="46" t="str">
        <f ca="1">IF(AND(AK559&lt;&gt;0, AK560=0), SUM($AK$2:AK559)-SUM($AR$1:AR558), "")</f>
        <v/>
      </c>
    </row>
    <row r="560" spans="2:44" ht="13.15" customHeight="1">
      <c r="B560" s="68" t="str">
        <f t="shared" si="143"/>
        <v/>
      </c>
      <c r="C560" s="55" cm="1">
        <f t="array" aca="1" ref="C560" ca="1">SUM(IF(ISNUMBER(M560:U560),M560:U560,""))</f>
        <v>0</v>
      </c>
      <c r="D560" s="25" t="str">
        <f t="shared" si="144"/>
        <v/>
      </c>
      <c r="E560" s="25" t="e">
        <f t="shared" si="145"/>
        <v>#VALUE!</v>
      </c>
      <c r="F560" s="25" t="str">
        <f t="shared" si="146"/>
        <v/>
      </c>
      <c r="G560" s="25" t="str">
        <f t="shared" si="147"/>
        <v>.xlsx</v>
      </c>
      <c r="H560" s="29" t="e" cm="1">
        <f t="array" aca="1" ref="H560" ca="1">IF(AND(VALUE(E560)=INDIRECT("'["&amp;G560&amp;"]"&amp;E560&amp;"'!"&amp;$X$2),G560=INDIRECT("'["&amp;G560&amp;"]"&amp;E560&amp;"'!"&amp;$X$3)),INDIRECT("'["&amp;G560&amp;"]"&amp;E560&amp;"'!"&amp;$X$1),0)</f>
        <v>#VALUE!</v>
      </c>
      <c r="I560" s="25" t="str">
        <f t="shared" si="148"/>
        <v/>
      </c>
      <c r="J560" s="32" t="str">
        <f t="shared" si="149"/>
        <v/>
      </c>
      <c r="K560" s="25" t="str">
        <f t="shared" si="150"/>
        <v/>
      </c>
      <c r="L560" s="25" t="str">
        <f t="shared" si="151"/>
        <v/>
      </c>
      <c r="M560" s="33" t="e" cm="1">
        <f t="array" aca="1" ref="M560" ca="1">IF(AND(J560=INDIRECT("'["&amp;G560&amp;"]"&amp;E560&amp;"'!"&amp;$Y$2),G560=INDIRECT("'["&amp;G560&amp;"]"&amp;E560&amp;"'!"&amp;$AH$2)),INDIRECT("'["&amp;G560&amp;"]"&amp;E560&amp;"'!"&amp;$Y$3),0)</f>
        <v>#VALUE!</v>
      </c>
      <c r="N560" s="34" t="e" cm="1">
        <f t="array" aca="1" ref="N560" ca="1">IF(AND(G560=INDIRECT("'["&amp;G560&amp;"]"&amp;E560&amp;"'!"&amp;$AH$2),OR(K560=INDIRECT("'["&amp;G560&amp;"]"&amp;E560&amp;"'!"&amp;$Z$2))),INDIRECT("'["&amp;G560&amp;"]"&amp;E560&amp;"'!"&amp;$Z$3),0)</f>
        <v>#VALUE!</v>
      </c>
      <c r="O560" s="34" t="e" cm="1">
        <f t="array" aca="1" ref="O560" ca="1">IF(AND(G560=INDIRECT("'["&amp;G560&amp;"]"&amp;E560&amp;"'!"&amp;$AH$2),OR(L560=INDIRECT("'["&amp;G560&amp;"]"&amp;E560&amp;"'!"&amp;$AA$2))),INDIRECT("'["&amp;G560&amp;"]"&amp;E560&amp;"'!"&amp;$AA$3),0)</f>
        <v>#VALUE!</v>
      </c>
      <c r="P560" s="34" t="e" cm="1">
        <f t="array" aca="1" ref="P560" ca="1">IF(AND(G560=INDIRECT("'["&amp;G560&amp;"]"&amp;E560&amp;"'!"&amp;$AH$2),OR(VALUE(I560)=INDIRECT("'["&amp;G560&amp;"]"&amp;E560&amp;"'!"&amp;$AB$2))),INDIRECT("'["&amp;G560&amp;"]"&amp;E560&amp;"'!"&amp;$AB$3),0)</f>
        <v>#VALUE!</v>
      </c>
      <c r="Q560" s="34" t="e" cm="1">
        <f t="array" aca="1" ref="Q560" ca="1">IF(AND(G560=INDIRECT("'["&amp;G560&amp;"]"&amp;E560&amp;"'!"&amp;$AH$2),OR(VALUE(I560)=INDIRECT("'["&amp;G560&amp;"]"&amp;E560&amp;"'!"&amp;$AC$2))),INDIRECT("'["&amp;G560&amp;"]"&amp;E560&amp;"'!"&amp;$AC$3),0)</f>
        <v>#VALUE!</v>
      </c>
      <c r="R560" s="34" t="e" cm="1">
        <f t="array" aca="1" ref="R560" ca="1">IF(AND(G560=INDIRECT("'["&amp;G560&amp;"]"&amp;E560&amp;"'!"&amp;$AH$2),OR(I560=INDIRECT("'["&amp;G560&amp;"]"&amp;E560&amp;"'!"&amp;$AD$2))),INDIRECT("'["&amp;G560&amp;"]"&amp;E560&amp;"'!"&amp;$AD$3),0)</f>
        <v>#VALUE!</v>
      </c>
      <c r="S560" s="34" t="e" cm="1">
        <f t="array" aca="1" ref="S560" ca="1">IF(AND(G560=INDIRECT("'["&amp;G560&amp;"]"&amp;E560&amp;"'!"&amp;$AH$2),OR(I560=INDIRECT("'["&amp;G560&amp;"]"&amp;E560&amp;"'!"&amp;$AE$2))),INDIRECT("'["&amp;G560&amp;"]"&amp;E560&amp;"'!"&amp;$AE$3),0)</f>
        <v>#VALUE!</v>
      </c>
      <c r="T560" s="35" t="e" cm="1">
        <f t="array" aca="1" ref="T560" ca="1">IF(AND(G560=INDIRECT("'["&amp;G560&amp;"]"&amp;E560&amp;"'!"&amp;$AH$2),OR(I560=INDIRECT("'["&amp;G560&amp;"]"&amp;E560&amp;"'!"&amp;$AF$2))),INDIRECT("'["&amp;G560&amp;"]"&amp;E560&amp;"'!"&amp;$AF$3),0)</f>
        <v>#VALUE!</v>
      </c>
      <c r="U560" s="34" t="e" cm="1">
        <f t="array" aca="1" ref="U560" ca="1">IF(AND(G560=INDIRECT("'["&amp;G560&amp;"]"&amp;E560&amp;"'!"&amp;$AH$2),OR(I560=INDIRECT("'["&amp;G560&amp;"]"&amp;E560&amp;"'!"&amp;$AG$2))),INDIRECT("'["&amp;G560&amp;"]"&amp;E560&amp;"'!"&amp;$AG$3),0)</f>
        <v>#VALUE!</v>
      </c>
      <c r="V560" s="25" t="str">
        <f t="shared" si="152"/>
        <v/>
      </c>
      <c r="W560" s="36" t="e" cm="1">
        <f t="array" aca="1" ref="W560" ca="1">IF(AND(G560=INDIRECT("'["&amp;G560&amp;"]"&amp;E560&amp;"'!"&amp;$AH$2),OR(V560=INDIRECT("'["&amp;G560&amp;"]"&amp;E560&amp;"'!"&amp;$AI$2))),INDIRECT("'["&amp;G560&amp;"]"&amp;E560&amp;"'!"&amp;$AI$3),0)</f>
        <v>#VALUE!</v>
      </c>
      <c r="AJ560" s="25">
        <v>1</v>
      </c>
      <c r="AK560" s="38">
        <f t="shared" ca="1" si="153"/>
        <v>0</v>
      </c>
      <c r="AL560" s="38">
        <f t="shared" ca="1" si="154"/>
        <v>0</v>
      </c>
      <c r="AM560" s="54" t="str">
        <f t="shared" ca="1" si="155"/>
        <v/>
      </c>
      <c r="AN560" s="25" t="e">
        <f t="shared" ca="1" si="156"/>
        <v>#VALUE!</v>
      </c>
      <c r="AO560" s="25" t="e">
        <f t="shared" ca="1" si="157"/>
        <v>#VALUE!</v>
      </c>
      <c r="AQ560" s="46" t="str">
        <f ca="1">IF(AND(C560&lt;&gt;0, C561=0), SUM($C$2:C560)-SUM($AQ$1:AQ559), "")</f>
        <v/>
      </c>
      <c r="AR560" s="46" t="str">
        <f ca="1">IF(AND(AK560&lt;&gt;0, AK561=0), SUM($AK$2:AK560)-SUM($AR$1:AR559), "")</f>
        <v/>
      </c>
    </row>
    <row r="561" spans="2:44" ht="13.15" customHeight="1">
      <c r="B561" s="68" t="str">
        <f t="shared" si="143"/>
        <v/>
      </c>
      <c r="C561" s="55" cm="1">
        <f t="array" aca="1" ref="C561" ca="1">SUM(IF(ISNUMBER(M561:U561),M561:U561,""))</f>
        <v>0</v>
      </c>
      <c r="D561" s="25" t="str">
        <f t="shared" si="144"/>
        <v/>
      </c>
      <c r="E561" s="25" t="e">
        <f t="shared" si="145"/>
        <v>#VALUE!</v>
      </c>
      <c r="F561" s="25" t="str">
        <f t="shared" si="146"/>
        <v/>
      </c>
      <c r="G561" s="25" t="str">
        <f t="shared" si="147"/>
        <v>.xlsx</v>
      </c>
      <c r="H561" s="29" t="e" cm="1">
        <f t="array" aca="1" ref="H561" ca="1">IF(AND(VALUE(E561)=INDIRECT("'["&amp;G561&amp;"]"&amp;E561&amp;"'!"&amp;$X$2),G561=INDIRECT("'["&amp;G561&amp;"]"&amp;E561&amp;"'!"&amp;$X$3)),INDIRECT("'["&amp;G561&amp;"]"&amp;E561&amp;"'!"&amp;$X$1),0)</f>
        <v>#VALUE!</v>
      </c>
      <c r="I561" s="25" t="str">
        <f t="shared" si="148"/>
        <v/>
      </c>
      <c r="J561" s="32" t="str">
        <f t="shared" si="149"/>
        <v/>
      </c>
      <c r="K561" s="25" t="str">
        <f t="shared" si="150"/>
        <v/>
      </c>
      <c r="L561" s="25" t="str">
        <f t="shared" si="151"/>
        <v/>
      </c>
      <c r="M561" s="33" t="e" cm="1">
        <f t="array" aca="1" ref="M561" ca="1">IF(AND(J561=INDIRECT("'["&amp;G561&amp;"]"&amp;E561&amp;"'!"&amp;$Y$2),G561=INDIRECT("'["&amp;G561&amp;"]"&amp;E561&amp;"'!"&amp;$AH$2)),INDIRECT("'["&amp;G561&amp;"]"&amp;E561&amp;"'!"&amp;$Y$3),0)</f>
        <v>#VALUE!</v>
      </c>
      <c r="N561" s="34" t="e" cm="1">
        <f t="array" aca="1" ref="N561" ca="1">IF(AND(G561=INDIRECT("'["&amp;G561&amp;"]"&amp;E561&amp;"'!"&amp;$AH$2),OR(K561=INDIRECT("'["&amp;G561&amp;"]"&amp;E561&amp;"'!"&amp;$Z$2))),INDIRECT("'["&amp;G561&amp;"]"&amp;E561&amp;"'!"&amp;$Z$3),0)</f>
        <v>#VALUE!</v>
      </c>
      <c r="O561" s="34" t="e" cm="1">
        <f t="array" aca="1" ref="O561" ca="1">IF(AND(G561=INDIRECT("'["&amp;G561&amp;"]"&amp;E561&amp;"'!"&amp;$AH$2),OR(L561=INDIRECT("'["&amp;G561&amp;"]"&amp;E561&amp;"'!"&amp;$AA$2))),INDIRECT("'["&amp;G561&amp;"]"&amp;E561&amp;"'!"&amp;$AA$3),0)</f>
        <v>#VALUE!</v>
      </c>
      <c r="P561" s="34" t="e" cm="1">
        <f t="array" aca="1" ref="P561" ca="1">IF(AND(G561=INDIRECT("'["&amp;G561&amp;"]"&amp;E561&amp;"'!"&amp;$AH$2),OR(VALUE(I561)=INDIRECT("'["&amp;G561&amp;"]"&amp;E561&amp;"'!"&amp;$AB$2))),INDIRECT("'["&amp;G561&amp;"]"&amp;E561&amp;"'!"&amp;$AB$3),0)</f>
        <v>#VALUE!</v>
      </c>
      <c r="Q561" s="34" t="e" cm="1">
        <f t="array" aca="1" ref="Q561" ca="1">IF(AND(G561=INDIRECT("'["&amp;G561&amp;"]"&amp;E561&amp;"'!"&amp;$AH$2),OR(VALUE(I561)=INDIRECT("'["&amp;G561&amp;"]"&amp;E561&amp;"'!"&amp;$AC$2))),INDIRECT("'["&amp;G561&amp;"]"&amp;E561&amp;"'!"&amp;$AC$3),0)</f>
        <v>#VALUE!</v>
      </c>
      <c r="R561" s="34" t="e" cm="1">
        <f t="array" aca="1" ref="R561" ca="1">IF(AND(G561=INDIRECT("'["&amp;G561&amp;"]"&amp;E561&amp;"'!"&amp;$AH$2),OR(I561=INDIRECT("'["&amp;G561&amp;"]"&amp;E561&amp;"'!"&amp;$AD$2))),INDIRECT("'["&amp;G561&amp;"]"&amp;E561&amp;"'!"&amp;$AD$3),0)</f>
        <v>#VALUE!</v>
      </c>
      <c r="S561" s="34" t="e" cm="1">
        <f t="array" aca="1" ref="S561" ca="1">IF(AND(G561=INDIRECT("'["&amp;G561&amp;"]"&amp;E561&amp;"'!"&amp;$AH$2),OR(I561=INDIRECT("'["&amp;G561&amp;"]"&amp;E561&amp;"'!"&amp;$AE$2))),INDIRECT("'["&amp;G561&amp;"]"&amp;E561&amp;"'!"&amp;$AE$3),0)</f>
        <v>#VALUE!</v>
      </c>
      <c r="T561" s="35" t="e" cm="1">
        <f t="array" aca="1" ref="T561" ca="1">IF(AND(G561=INDIRECT("'["&amp;G561&amp;"]"&amp;E561&amp;"'!"&amp;$AH$2),OR(I561=INDIRECT("'["&amp;G561&amp;"]"&amp;E561&amp;"'!"&amp;$AF$2))),INDIRECT("'["&amp;G561&amp;"]"&amp;E561&amp;"'!"&amp;$AF$3),0)</f>
        <v>#VALUE!</v>
      </c>
      <c r="U561" s="34" t="e" cm="1">
        <f t="array" aca="1" ref="U561" ca="1">IF(AND(G561=INDIRECT("'["&amp;G561&amp;"]"&amp;E561&amp;"'!"&amp;$AH$2),OR(I561=INDIRECT("'["&amp;G561&amp;"]"&amp;E561&amp;"'!"&amp;$AG$2))),INDIRECT("'["&amp;G561&amp;"]"&amp;E561&amp;"'!"&amp;$AG$3),0)</f>
        <v>#VALUE!</v>
      </c>
      <c r="V561" s="25" t="str">
        <f t="shared" si="152"/>
        <v/>
      </c>
      <c r="W561" s="36" t="e" cm="1">
        <f t="array" aca="1" ref="W561" ca="1">IF(AND(G561=INDIRECT("'["&amp;G561&amp;"]"&amp;E561&amp;"'!"&amp;$AH$2),OR(V561=INDIRECT("'["&amp;G561&amp;"]"&amp;E561&amp;"'!"&amp;$AI$2))),INDIRECT("'["&amp;G561&amp;"]"&amp;E561&amp;"'!"&amp;$AI$3),0)</f>
        <v>#VALUE!</v>
      </c>
      <c r="AJ561" s="25">
        <v>1</v>
      </c>
      <c r="AK561" s="38">
        <f t="shared" ca="1" si="153"/>
        <v>0</v>
      </c>
      <c r="AL561" s="38">
        <f t="shared" ca="1" si="154"/>
        <v>0</v>
      </c>
      <c r="AM561" s="54" t="str">
        <f t="shared" ca="1" si="155"/>
        <v/>
      </c>
      <c r="AN561" s="25" t="e">
        <f t="shared" ca="1" si="156"/>
        <v>#VALUE!</v>
      </c>
      <c r="AO561" s="25" t="e">
        <f t="shared" ca="1" si="157"/>
        <v>#VALUE!</v>
      </c>
      <c r="AQ561" s="46" t="str">
        <f ca="1">IF(AND(C561&lt;&gt;0, C562=0), SUM($C$2:C561)-SUM($AQ$1:AQ560), "")</f>
        <v/>
      </c>
      <c r="AR561" s="46" t="str">
        <f ca="1">IF(AND(AK561&lt;&gt;0, AK562=0), SUM($AK$2:AK561)-SUM($AR$1:AR560), "")</f>
        <v/>
      </c>
    </row>
    <row r="562" spans="2:44" ht="13.15" customHeight="1">
      <c r="B562" s="68" t="str">
        <f t="shared" si="143"/>
        <v/>
      </c>
      <c r="C562" s="55" cm="1">
        <f t="array" aca="1" ref="C562" ca="1">SUM(IF(ISNUMBER(M562:U562),M562:U562,""))</f>
        <v>0</v>
      </c>
      <c r="D562" s="25" t="str">
        <f t="shared" si="144"/>
        <v/>
      </c>
      <c r="E562" s="25" t="e">
        <f t="shared" si="145"/>
        <v>#VALUE!</v>
      </c>
      <c r="F562" s="25" t="str">
        <f t="shared" si="146"/>
        <v/>
      </c>
      <c r="G562" s="25" t="str">
        <f t="shared" si="147"/>
        <v>.xlsx</v>
      </c>
      <c r="H562" s="29" t="e" cm="1">
        <f t="array" aca="1" ref="H562" ca="1">IF(AND(VALUE(E562)=INDIRECT("'["&amp;G562&amp;"]"&amp;E562&amp;"'!"&amp;$X$2),G562=INDIRECT("'["&amp;G562&amp;"]"&amp;E562&amp;"'!"&amp;$X$3)),INDIRECT("'["&amp;G562&amp;"]"&amp;E562&amp;"'!"&amp;$X$1),0)</f>
        <v>#VALUE!</v>
      </c>
      <c r="I562" s="25" t="str">
        <f t="shared" si="148"/>
        <v/>
      </c>
      <c r="J562" s="32" t="str">
        <f t="shared" si="149"/>
        <v/>
      </c>
      <c r="K562" s="25" t="str">
        <f t="shared" si="150"/>
        <v/>
      </c>
      <c r="L562" s="25" t="str">
        <f t="shared" si="151"/>
        <v/>
      </c>
      <c r="M562" s="33" t="e" cm="1">
        <f t="array" aca="1" ref="M562" ca="1">IF(AND(J562=INDIRECT("'["&amp;G562&amp;"]"&amp;E562&amp;"'!"&amp;$Y$2),G562=INDIRECT("'["&amp;G562&amp;"]"&amp;E562&amp;"'!"&amp;$AH$2)),INDIRECT("'["&amp;G562&amp;"]"&amp;E562&amp;"'!"&amp;$Y$3),0)</f>
        <v>#VALUE!</v>
      </c>
      <c r="N562" s="34" t="e" cm="1">
        <f t="array" aca="1" ref="N562" ca="1">IF(AND(G562=INDIRECT("'["&amp;G562&amp;"]"&amp;E562&amp;"'!"&amp;$AH$2),OR(K562=INDIRECT("'["&amp;G562&amp;"]"&amp;E562&amp;"'!"&amp;$Z$2))),INDIRECT("'["&amp;G562&amp;"]"&amp;E562&amp;"'!"&amp;$Z$3),0)</f>
        <v>#VALUE!</v>
      </c>
      <c r="O562" s="34" t="e" cm="1">
        <f t="array" aca="1" ref="O562" ca="1">IF(AND(G562=INDIRECT("'["&amp;G562&amp;"]"&amp;E562&amp;"'!"&amp;$AH$2),OR(L562=INDIRECT("'["&amp;G562&amp;"]"&amp;E562&amp;"'!"&amp;$AA$2))),INDIRECT("'["&amp;G562&amp;"]"&amp;E562&amp;"'!"&amp;$AA$3),0)</f>
        <v>#VALUE!</v>
      </c>
      <c r="P562" s="34" t="e" cm="1">
        <f t="array" aca="1" ref="P562" ca="1">IF(AND(G562=INDIRECT("'["&amp;G562&amp;"]"&amp;E562&amp;"'!"&amp;$AH$2),OR(VALUE(I562)=INDIRECT("'["&amp;G562&amp;"]"&amp;E562&amp;"'!"&amp;$AB$2))),INDIRECT("'["&amp;G562&amp;"]"&amp;E562&amp;"'!"&amp;$AB$3),0)</f>
        <v>#VALUE!</v>
      </c>
      <c r="Q562" s="34" t="e" cm="1">
        <f t="array" aca="1" ref="Q562" ca="1">IF(AND(G562=INDIRECT("'["&amp;G562&amp;"]"&amp;E562&amp;"'!"&amp;$AH$2),OR(VALUE(I562)=INDIRECT("'["&amp;G562&amp;"]"&amp;E562&amp;"'!"&amp;$AC$2))),INDIRECT("'["&amp;G562&amp;"]"&amp;E562&amp;"'!"&amp;$AC$3),0)</f>
        <v>#VALUE!</v>
      </c>
      <c r="R562" s="34" t="e" cm="1">
        <f t="array" aca="1" ref="R562" ca="1">IF(AND(G562=INDIRECT("'["&amp;G562&amp;"]"&amp;E562&amp;"'!"&amp;$AH$2),OR(I562=INDIRECT("'["&amp;G562&amp;"]"&amp;E562&amp;"'!"&amp;$AD$2))),INDIRECT("'["&amp;G562&amp;"]"&amp;E562&amp;"'!"&amp;$AD$3),0)</f>
        <v>#VALUE!</v>
      </c>
      <c r="S562" s="34" t="e" cm="1">
        <f t="array" aca="1" ref="S562" ca="1">IF(AND(G562=INDIRECT("'["&amp;G562&amp;"]"&amp;E562&amp;"'!"&amp;$AH$2),OR(I562=INDIRECT("'["&amp;G562&amp;"]"&amp;E562&amp;"'!"&amp;$AE$2))),INDIRECT("'["&amp;G562&amp;"]"&amp;E562&amp;"'!"&amp;$AE$3),0)</f>
        <v>#VALUE!</v>
      </c>
      <c r="T562" s="35" t="e" cm="1">
        <f t="array" aca="1" ref="T562" ca="1">IF(AND(G562=INDIRECT("'["&amp;G562&amp;"]"&amp;E562&amp;"'!"&amp;$AH$2),OR(I562=INDIRECT("'["&amp;G562&amp;"]"&amp;E562&amp;"'!"&amp;$AF$2))),INDIRECT("'["&amp;G562&amp;"]"&amp;E562&amp;"'!"&amp;$AF$3),0)</f>
        <v>#VALUE!</v>
      </c>
      <c r="U562" s="34" t="e" cm="1">
        <f t="array" aca="1" ref="U562" ca="1">IF(AND(G562=INDIRECT("'["&amp;G562&amp;"]"&amp;E562&amp;"'!"&amp;$AH$2),OR(I562=INDIRECT("'["&amp;G562&amp;"]"&amp;E562&amp;"'!"&amp;$AG$2))),INDIRECT("'["&amp;G562&amp;"]"&amp;E562&amp;"'!"&amp;$AG$3),0)</f>
        <v>#VALUE!</v>
      </c>
      <c r="V562" s="25" t="str">
        <f t="shared" si="152"/>
        <v/>
      </c>
      <c r="W562" s="36" t="e" cm="1">
        <f t="array" aca="1" ref="W562" ca="1">IF(AND(G562=INDIRECT("'["&amp;G562&amp;"]"&amp;E562&amp;"'!"&amp;$AH$2),OR(V562=INDIRECT("'["&amp;G562&amp;"]"&amp;E562&amp;"'!"&amp;$AI$2))),INDIRECT("'["&amp;G562&amp;"]"&amp;E562&amp;"'!"&amp;$AI$3),0)</f>
        <v>#VALUE!</v>
      </c>
      <c r="AJ562" s="25">
        <v>1</v>
      </c>
      <c r="AK562" s="38">
        <f t="shared" ca="1" si="153"/>
        <v>0</v>
      </c>
      <c r="AL562" s="38">
        <f t="shared" ca="1" si="154"/>
        <v>0</v>
      </c>
      <c r="AM562" s="54" t="str">
        <f t="shared" ca="1" si="155"/>
        <v/>
      </c>
      <c r="AN562" s="25" t="e">
        <f t="shared" ca="1" si="156"/>
        <v>#VALUE!</v>
      </c>
      <c r="AO562" s="25" t="e">
        <f t="shared" ca="1" si="157"/>
        <v>#VALUE!</v>
      </c>
      <c r="AQ562" s="46" t="str">
        <f ca="1">IF(AND(C562&lt;&gt;0, C563=0), SUM($C$2:C562)-SUM($AQ$1:AQ561), "")</f>
        <v/>
      </c>
      <c r="AR562" s="46" t="str">
        <f ca="1">IF(AND(AK562&lt;&gt;0, AK563=0), SUM($AK$2:AK562)-SUM($AR$1:AR561), "")</f>
        <v/>
      </c>
    </row>
    <row r="563" spans="2:44" ht="13.15" customHeight="1">
      <c r="B563" s="68" t="str">
        <f t="shared" si="143"/>
        <v/>
      </c>
      <c r="C563" s="55" cm="1">
        <f t="array" aca="1" ref="C563" ca="1">SUM(IF(ISNUMBER(M563:U563),M563:U563,""))</f>
        <v>0</v>
      </c>
      <c r="D563" s="25" t="str">
        <f t="shared" si="144"/>
        <v/>
      </c>
      <c r="E563" s="25" t="e">
        <f t="shared" si="145"/>
        <v>#VALUE!</v>
      </c>
      <c r="F563" s="25" t="str">
        <f t="shared" si="146"/>
        <v/>
      </c>
      <c r="G563" s="25" t="str">
        <f t="shared" si="147"/>
        <v>.xlsx</v>
      </c>
      <c r="H563" s="29" t="e" cm="1">
        <f t="array" aca="1" ref="H563" ca="1">IF(AND(VALUE(E563)=INDIRECT("'["&amp;G563&amp;"]"&amp;E563&amp;"'!"&amp;$X$2),G563=INDIRECT("'["&amp;G563&amp;"]"&amp;E563&amp;"'!"&amp;$X$3)),INDIRECT("'["&amp;G563&amp;"]"&amp;E563&amp;"'!"&amp;$X$1),0)</f>
        <v>#VALUE!</v>
      </c>
      <c r="I563" s="25" t="str">
        <f t="shared" si="148"/>
        <v/>
      </c>
      <c r="J563" s="32" t="str">
        <f t="shared" si="149"/>
        <v/>
      </c>
      <c r="K563" s="25" t="str">
        <f t="shared" si="150"/>
        <v/>
      </c>
      <c r="L563" s="25" t="str">
        <f t="shared" si="151"/>
        <v/>
      </c>
      <c r="M563" s="33" t="e" cm="1">
        <f t="array" aca="1" ref="M563" ca="1">IF(AND(J563=INDIRECT("'["&amp;G563&amp;"]"&amp;E563&amp;"'!"&amp;$Y$2),G563=INDIRECT("'["&amp;G563&amp;"]"&amp;E563&amp;"'!"&amp;$AH$2)),INDIRECT("'["&amp;G563&amp;"]"&amp;E563&amp;"'!"&amp;$Y$3),0)</f>
        <v>#VALUE!</v>
      </c>
      <c r="N563" s="34" t="e" cm="1">
        <f t="array" aca="1" ref="N563" ca="1">IF(AND(G563=INDIRECT("'["&amp;G563&amp;"]"&amp;E563&amp;"'!"&amp;$AH$2),OR(K563=INDIRECT("'["&amp;G563&amp;"]"&amp;E563&amp;"'!"&amp;$Z$2))),INDIRECT("'["&amp;G563&amp;"]"&amp;E563&amp;"'!"&amp;$Z$3),0)</f>
        <v>#VALUE!</v>
      </c>
      <c r="O563" s="34" t="e" cm="1">
        <f t="array" aca="1" ref="O563" ca="1">IF(AND(G563=INDIRECT("'["&amp;G563&amp;"]"&amp;E563&amp;"'!"&amp;$AH$2),OR(L563=INDIRECT("'["&amp;G563&amp;"]"&amp;E563&amp;"'!"&amp;$AA$2))),INDIRECT("'["&amp;G563&amp;"]"&amp;E563&amp;"'!"&amp;$AA$3),0)</f>
        <v>#VALUE!</v>
      </c>
      <c r="P563" s="34" t="e" cm="1">
        <f t="array" aca="1" ref="P563" ca="1">IF(AND(G563=INDIRECT("'["&amp;G563&amp;"]"&amp;E563&amp;"'!"&amp;$AH$2),OR(VALUE(I563)=INDIRECT("'["&amp;G563&amp;"]"&amp;E563&amp;"'!"&amp;$AB$2))),INDIRECT("'["&amp;G563&amp;"]"&amp;E563&amp;"'!"&amp;$AB$3),0)</f>
        <v>#VALUE!</v>
      </c>
      <c r="Q563" s="34" t="e" cm="1">
        <f t="array" aca="1" ref="Q563" ca="1">IF(AND(G563=INDIRECT("'["&amp;G563&amp;"]"&amp;E563&amp;"'!"&amp;$AH$2),OR(VALUE(I563)=INDIRECT("'["&amp;G563&amp;"]"&amp;E563&amp;"'!"&amp;$AC$2))),INDIRECT("'["&amp;G563&amp;"]"&amp;E563&amp;"'!"&amp;$AC$3),0)</f>
        <v>#VALUE!</v>
      </c>
      <c r="R563" s="34" t="e" cm="1">
        <f t="array" aca="1" ref="R563" ca="1">IF(AND(G563=INDIRECT("'["&amp;G563&amp;"]"&amp;E563&amp;"'!"&amp;$AH$2),OR(I563=INDIRECT("'["&amp;G563&amp;"]"&amp;E563&amp;"'!"&amp;$AD$2))),INDIRECT("'["&amp;G563&amp;"]"&amp;E563&amp;"'!"&amp;$AD$3),0)</f>
        <v>#VALUE!</v>
      </c>
      <c r="S563" s="34" t="e" cm="1">
        <f t="array" aca="1" ref="S563" ca="1">IF(AND(G563=INDIRECT("'["&amp;G563&amp;"]"&amp;E563&amp;"'!"&amp;$AH$2),OR(I563=INDIRECT("'["&amp;G563&amp;"]"&amp;E563&amp;"'!"&amp;$AE$2))),INDIRECT("'["&amp;G563&amp;"]"&amp;E563&amp;"'!"&amp;$AE$3),0)</f>
        <v>#VALUE!</v>
      </c>
      <c r="T563" s="35" t="e" cm="1">
        <f t="array" aca="1" ref="T563" ca="1">IF(AND(G563=INDIRECT("'["&amp;G563&amp;"]"&amp;E563&amp;"'!"&amp;$AH$2),OR(I563=INDIRECT("'["&amp;G563&amp;"]"&amp;E563&amp;"'!"&amp;$AF$2))),INDIRECT("'["&amp;G563&amp;"]"&amp;E563&amp;"'!"&amp;$AF$3),0)</f>
        <v>#VALUE!</v>
      </c>
      <c r="U563" s="34" t="e" cm="1">
        <f t="array" aca="1" ref="U563" ca="1">IF(AND(G563=INDIRECT("'["&amp;G563&amp;"]"&amp;E563&amp;"'!"&amp;$AH$2),OR(I563=INDIRECT("'["&amp;G563&amp;"]"&amp;E563&amp;"'!"&amp;$AG$2))),INDIRECT("'["&amp;G563&amp;"]"&amp;E563&amp;"'!"&amp;$AG$3),0)</f>
        <v>#VALUE!</v>
      </c>
      <c r="V563" s="25" t="str">
        <f t="shared" si="152"/>
        <v/>
      </c>
      <c r="W563" s="36" t="e" cm="1">
        <f t="array" aca="1" ref="W563" ca="1">IF(AND(G563=INDIRECT("'["&amp;G563&amp;"]"&amp;E563&amp;"'!"&amp;$AH$2),OR(V563=INDIRECT("'["&amp;G563&amp;"]"&amp;E563&amp;"'!"&amp;$AI$2))),INDIRECT("'["&amp;G563&amp;"]"&amp;E563&amp;"'!"&amp;$AI$3),0)</f>
        <v>#VALUE!</v>
      </c>
      <c r="AJ563" s="25">
        <v>1</v>
      </c>
      <c r="AK563" s="38">
        <f t="shared" ca="1" si="153"/>
        <v>0</v>
      </c>
      <c r="AL563" s="38">
        <f t="shared" ca="1" si="154"/>
        <v>0</v>
      </c>
      <c r="AM563" s="54" t="str">
        <f t="shared" ca="1" si="155"/>
        <v/>
      </c>
      <c r="AN563" s="25" t="e">
        <f t="shared" ca="1" si="156"/>
        <v>#VALUE!</v>
      </c>
      <c r="AO563" s="25" t="e">
        <f t="shared" ca="1" si="157"/>
        <v>#VALUE!</v>
      </c>
      <c r="AQ563" s="46" t="str">
        <f ca="1">IF(AND(C563&lt;&gt;0, C564=0), SUM($C$2:C563)-SUM($AQ$1:AQ562), "")</f>
        <v/>
      </c>
      <c r="AR563" s="46" t="str">
        <f ca="1">IF(AND(AK563&lt;&gt;0, AK564=0), SUM($AK$2:AK563)-SUM($AR$1:AR562), "")</f>
        <v/>
      </c>
    </row>
    <row r="564" spans="2:44" ht="13.15" customHeight="1">
      <c r="B564" s="68" t="str">
        <f t="shared" si="143"/>
        <v/>
      </c>
      <c r="C564" s="55" cm="1">
        <f t="array" aca="1" ref="C564" ca="1">SUM(IF(ISNUMBER(M564:U564),M564:U564,""))</f>
        <v>0</v>
      </c>
      <c r="D564" s="25" t="str">
        <f t="shared" si="144"/>
        <v/>
      </c>
      <c r="E564" s="25" t="e">
        <f t="shared" si="145"/>
        <v>#VALUE!</v>
      </c>
      <c r="F564" s="25" t="str">
        <f t="shared" si="146"/>
        <v/>
      </c>
      <c r="G564" s="25" t="str">
        <f t="shared" si="147"/>
        <v>.xlsx</v>
      </c>
      <c r="H564" s="29" t="e" cm="1">
        <f t="array" aca="1" ref="H564" ca="1">IF(AND(VALUE(E564)=INDIRECT("'["&amp;G564&amp;"]"&amp;E564&amp;"'!"&amp;$X$2),G564=INDIRECT("'["&amp;G564&amp;"]"&amp;E564&amp;"'!"&amp;$X$3)),INDIRECT("'["&amp;G564&amp;"]"&amp;E564&amp;"'!"&amp;$X$1),0)</f>
        <v>#VALUE!</v>
      </c>
      <c r="I564" s="25" t="str">
        <f t="shared" si="148"/>
        <v/>
      </c>
      <c r="J564" s="32" t="str">
        <f t="shared" si="149"/>
        <v/>
      </c>
      <c r="K564" s="25" t="str">
        <f t="shared" si="150"/>
        <v/>
      </c>
      <c r="L564" s="25" t="str">
        <f t="shared" si="151"/>
        <v/>
      </c>
      <c r="M564" s="33" t="e" cm="1">
        <f t="array" aca="1" ref="M564" ca="1">IF(AND(J564=INDIRECT("'["&amp;G564&amp;"]"&amp;E564&amp;"'!"&amp;$Y$2),G564=INDIRECT("'["&amp;G564&amp;"]"&amp;E564&amp;"'!"&amp;$AH$2)),INDIRECT("'["&amp;G564&amp;"]"&amp;E564&amp;"'!"&amp;$Y$3),0)</f>
        <v>#VALUE!</v>
      </c>
      <c r="N564" s="34" t="e" cm="1">
        <f t="array" aca="1" ref="N564" ca="1">IF(AND(G564=INDIRECT("'["&amp;G564&amp;"]"&amp;E564&amp;"'!"&amp;$AH$2),OR(K564=INDIRECT("'["&amp;G564&amp;"]"&amp;E564&amp;"'!"&amp;$Z$2))),INDIRECT("'["&amp;G564&amp;"]"&amp;E564&amp;"'!"&amp;$Z$3),0)</f>
        <v>#VALUE!</v>
      </c>
      <c r="O564" s="34" t="e" cm="1">
        <f t="array" aca="1" ref="O564" ca="1">IF(AND(G564=INDIRECT("'["&amp;G564&amp;"]"&amp;E564&amp;"'!"&amp;$AH$2),OR(L564=INDIRECT("'["&amp;G564&amp;"]"&amp;E564&amp;"'!"&amp;$AA$2))),INDIRECT("'["&amp;G564&amp;"]"&amp;E564&amp;"'!"&amp;$AA$3),0)</f>
        <v>#VALUE!</v>
      </c>
      <c r="P564" s="34" t="e" cm="1">
        <f t="array" aca="1" ref="P564" ca="1">IF(AND(G564=INDIRECT("'["&amp;G564&amp;"]"&amp;E564&amp;"'!"&amp;$AH$2),OR(VALUE(I564)=INDIRECT("'["&amp;G564&amp;"]"&amp;E564&amp;"'!"&amp;$AB$2))),INDIRECT("'["&amp;G564&amp;"]"&amp;E564&amp;"'!"&amp;$AB$3),0)</f>
        <v>#VALUE!</v>
      </c>
      <c r="Q564" s="34" t="e" cm="1">
        <f t="array" aca="1" ref="Q564" ca="1">IF(AND(G564=INDIRECT("'["&amp;G564&amp;"]"&amp;E564&amp;"'!"&amp;$AH$2),OR(VALUE(I564)=INDIRECT("'["&amp;G564&amp;"]"&amp;E564&amp;"'!"&amp;$AC$2))),INDIRECT("'["&amp;G564&amp;"]"&amp;E564&amp;"'!"&amp;$AC$3),0)</f>
        <v>#VALUE!</v>
      </c>
      <c r="R564" s="34" t="e" cm="1">
        <f t="array" aca="1" ref="R564" ca="1">IF(AND(G564=INDIRECT("'["&amp;G564&amp;"]"&amp;E564&amp;"'!"&amp;$AH$2),OR(I564=INDIRECT("'["&amp;G564&amp;"]"&amp;E564&amp;"'!"&amp;$AD$2))),INDIRECT("'["&amp;G564&amp;"]"&amp;E564&amp;"'!"&amp;$AD$3),0)</f>
        <v>#VALUE!</v>
      </c>
      <c r="S564" s="34" t="e" cm="1">
        <f t="array" aca="1" ref="S564" ca="1">IF(AND(G564=INDIRECT("'["&amp;G564&amp;"]"&amp;E564&amp;"'!"&amp;$AH$2),OR(I564=INDIRECT("'["&amp;G564&amp;"]"&amp;E564&amp;"'!"&amp;$AE$2))),INDIRECT("'["&amp;G564&amp;"]"&amp;E564&amp;"'!"&amp;$AE$3),0)</f>
        <v>#VALUE!</v>
      </c>
      <c r="T564" s="35" t="e" cm="1">
        <f t="array" aca="1" ref="T564" ca="1">IF(AND(G564=INDIRECT("'["&amp;G564&amp;"]"&amp;E564&amp;"'!"&amp;$AH$2),OR(I564=INDIRECT("'["&amp;G564&amp;"]"&amp;E564&amp;"'!"&amp;$AF$2))),INDIRECT("'["&amp;G564&amp;"]"&amp;E564&amp;"'!"&amp;$AF$3),0)</f>
        <v>#VALUE!</v>
      </c>
      <c r="U564" s="34" t="e" cm="1">
        <f t="array" aca="1" ref="U564" ca="1">IF(AND(G564=INDIRECT("'["&amp;G564&amp;"]"&amp;E564&amp;"'!"&amp;$AH$2),OR(I564=INDIRECT("'["&amp;G564&amp;"]"&amp;E564&amp;"'!"&amp;$AG$2))),INDIRECT("'["&amp;G564&amp;"]"&amp;E564&amp;"'!"&amp;$AG$3),0)</f>
        <v>#VALUE!</v>
      </c>
      <c r="V564" s="25" t="str">
        <f t="shared" si="152"/>
        <v/>
      </c>
      <c r="W564" s="36" t="e" cm="1">
        <f t="array" aca="1" ref="W564" ca="1">IF(AND(G564=INDIRECT("'["&amp;G564&amp;"]"&amp;E564&amp;"'!"&amp;$AH$2),OR(V564=INDIRECT("'["&amp;G564&amp;"]"&amp;E564&amp;"'!"&amp;$AI$2))),INDIRECT("'["&amp;G564&amp;"]"&amp;E564&amp;"'!"&amp;$AI$3),0)</f>
        <v>#VALUE!</v>
      </c>
      <c r="AJ564" s="25">
        <v>1</v>
      </c>
      <c r="AK564" s="38">
        <f t="shared" ca="1" si="153"/>
        <v>0</v>
      </c>
      <c r="AL564" s="38">
        <f t="shared" ca="1" si="154"/>
        <v>0</v>
      </c>
      <c r="AM564" s="54" t="str">
        <f t="shared" ca="1" si="155"/>
        <v/>
      </c>
      <c r="AN564" s="25" t="e">
        <f t="shared" ca="1" si="156"/>
        <v>#VALUE!</v>
      </c>
      <c r="AO564" s="25" t="e">
        <f t="shared" ca="1" si="157"/>
        <v>#VALUE!</v>
      </c>
      <c r="AQ564" s="46" t="str">
        <f ca="1">IF(AND(C564&lt;&gt;0, C565=0), SUM($C$2:C564)-SUM($AQ$1:AQ563), "")</f>
        <v/>
      </c>
      <c r="AR564" s="46" t="str">
        <f ca="1">IF(AND(AK564&lt;&gt;0, AK565=0), SUM($AK$2:AK564)-SUM($AR$1:AR563), "")</f>
        <v/>
      </c>
    </row>
    <row r="565" spans="2:44" ht="13.15" customHeight="1">
      <c r="B565" s="68" t="str">
        <f t="shared" ref="B565:B628" si="158">LEFT(A565,15)</f>
        <v/>
      </c>
      <c r="C565" s="55" cm="1">
        <f t="array" aca="1" ref="C565" ca="1">SUM(IF(ISNUMBER(M565:U565),M565:U565,""))</f>
        <v>0</v>
      </c>
      <c r="D565" s="25" t="str">
        <f t="shared" ref="D565:D628" si="159">MID(A565,4,2)</f>
        <v/>
      </c>
      <c r="E565" s="25" t="e">
        <f t="shared" ref="E565:E628" si="160">IF(ISEVEN(D565),D565-1,VALUE(D565))</f>
        <v>#VALUE!</v>
      </c>
      <c r="F565" s="25" t="str">
        <f t="shared" ref="F565:F628" si="161">LEFT(A565,2)</f>
        <v/>
      </c>
      <c r="G565" s="25" t="str">
        <f t="shared" ref="G565:G628" si="162">CONCATENATE(F565,".xlsx")</f>
        <v>.xlsx</v>
      </c>
      <c r="H565" s="29" t="e" cm="1">
        <f t="array" aca="1" ref="H565" ca="1">IF(AND(VALUE(E565)=INDIRECT("'["&amp;G565&amp;"]"&amp;E565&amp;"'!"&amp;$X$2),G565=INDIRECT("'["&amp;G565&amp;"]"&amp;E565&amp;"'!"&amp;$X$3)),INDIRECT("'["&amp;G565&amp;"]"&amp;E565&amp;"'!"&amp;$X$1),0)</f>
        <v>#VALUE!</v>
      </c>
      <c r="I565" s="25" t="str">
        <f t="shared" ref="I565:I628" si="163">MID(A565,10,6)</f>
        <v/>
      </c>
      <c r="J565" s="32" t="str">
        <f t="shared" ref="J565:J628" si="164">RIGHT(I565,2)</f>
        <v/>
      </c>
      <c r="K565" s="25" t="str">
        <f t="shared" ref="K565:K628" si="165">LEFT(I565,3)</f>
        <v/>
      </c>
      <c r="L565" s="25" t="str">
        <f t="shared" ref="L565:L628" si="166">RIGHT(I565,3)</f>
        <v/>
      </c>
      <c r="M565" s="33" t="e" cm="1">
        <f t="array" aca="1" ref="M565" ca="1">IF(AND(J565=INDIRECT("'["&amp;G565&amp;"]"&amp;E565&amp;"'!"&amp;$Y$2),G565=INDIRECT("'["&amp;G565&amp;"]"&amp;E565&amp;"'!"&amp;$AH$2)),INDIRECT("'["&amp;G565&amp;"]"&amp;E565&amp;"'!"&amp;$Y$3),0)</f>
        <v>#VALUE!</v>
      </c>
      <c r="N565" s="34" t="e" cm="1">
        <f t="array" aca="1" ref="N565" ca="1">IF(AND(G565=INDIRECT("'["&amp;G565&amp;"]"&amp;E565&amp;"'!"&amp;$AH$2),OR(K565=INDIRECT("'["&amp;G565&amp;"]"&amp;E565&amp;"'!"&amp;$Z$2))),INDIRECT("'["&amp;G565&amp;"]"&amp;E565&amp;"'!"&amp;$Z$3),0)</f>
        <v>#VALUE!</v>
      </c>
      <c r="O565" s="34" t="e" cm="1">
        <f t="array" aca="1" ref="O565" ca="1">IF(AND(G565=INDIRECT("'["&amp;G565&amp;"]"&amp;E565&amp;"'!"&amp;$AH$2),OR(L565=INDIRECT("'["&amp;G565&amp;"]"&amp;E565&amp;"'!"&amp;$AA$2))),INDIRECT("'["&amp;G565&amp;"]"&amp;E565&amp;"'!"&amp;$AA$3),0)</f>
        <v>#VALUE!</v>
      </c>
      <c r="P565" s="34" t="e" cm="1">
        <f t="array" aca="1" ref="P565" ca="1">IF(AND(G565=INDIRECT("'["&amp;G565&amp;"]"&amp;E565&amp;"'!"&amp;$AH$2),OR(VALUE(I565)=INDIRECT("'["&amp;G565&amp;"]"&amp;E565&amp;"'!"&amp;$AB$2))),INDIRECT("'["&amp;G565&amp;"]"&amp;E565&amp;"'!"&amp;$AB$3),0)</f>
        <v>#VALUE!</v>
      </c>
      <c r="Q565" s="34" t="e" cm="1">
        <f t="array" aca="1" ref="Q565" ca="1">IF(AND(G565=INDIRECT("'["&amp;G565&amp;"]"&amp;E565&amp;"'!"&amp;$AH$2),OR(VALUE(I565)=INDIRECT("'["&amp;G565&amp;"]"&amp;E565&amp;"'!"&amp;$AC$2))),INDIRECT("'["&amp;G565&amp;"]"&amp;E565&amp;"'!"&amp;$AC$3),0)</f>
        <v>#VALUE!</v>
      </c>
      <c r="R565" s="34" t="e" cm="1">
        <f t="array" aca="1" ref="R565" ca="1">IF(AND(G565=INDIRECT("'["&amp;G565&amp;"]"&amp;E565&amp;"'!"&amp;$AH$2),OR(I565=INDIRECT("'["&amp;G565&amp;"]"&amp;E565&amp;"'!"&amp;$AD$2))),INDIRECT("'["&amp;G565&amp;"]"&amp;E565&amp;"'!"&amp;$AD$3),0)</f>
        <v>#VALUE!</v>
      </c>
      <c r="S565" s="34" t="e" cm="1">
        <f t="array" aca="1" ref="S565" ca="1">IF(AND(G565=INDIRECT("'["&amp;G565&amp;"]"&amp;E565&amp;"'!"&amp;$AH$2),OR(I565=INDIRECT("'["&amp;G565&amp;"]"&amp;E565&amp;"'!"&amp;$AE$2))),INDIRECT("'["&amp;G565&amp;"]"&amp;E565&amp;"'!"&amp;$AE$3),0)</f>
        <v>#VALUE!</v>
      </c>
      <c r="T565" s="35" t="e" cm="1">
        <f t="array" aca="1" ref="T565" ca="1">IF(AND(G565=INDIRECT("'["&amp;G565&amp;"]"&amp;E565&amp;"'!"&amp;$AH$2),OR(I565=INDIRECT("'["&amp;G565&amp;"]"&amp;E565&amp;"'!"&amp;$AF$2))),INDIRECT("'["&amp;G565&amp;"]"&amp;E565&amp;"'!"&amp;$AF$3),0)</f>
        <v>#VALUE!</v>
      </c>
      <c r="U565" s="34" t="e" cm="1">
        <f t="array" aca="1" ref="U565" ca="1">IF(AND(G565=INDIRECT("'["&amp;G565&amp;"]"&amp;E565&amp;"'!"&amp;$AH$2),OR(I565=INDIRECT("'["&amp;G565&amp;"]"&amp;E565&amp;"'!"&amp;$AG$2))),INDIRECT("'["&amp;G565&amp;"]"&amp;E565&amp;"'!"&amp;$AG$3),0)</f>
        <v>#VALUE!</v>
      </c>
      <c r="V565" s="25" t="str">
        <f t="shared" ref="V565:V628" si="167">MID(B565,7,9)</f>
        <v/>
      </c>
      <c r="W565" s="36" t="e" cm="1">
        <f t="array" aca="1" ref="W565" ca="1">IF(AND(G565=INDIRECT("'["&amp;G565&amp;"]"&amp;E565&amp;"'!"&amp;$AH$2),OR(V565=INDIRECT("'["&amp;G565&amp;"]"&amp;E565&amp;"'!"&amp;$AI$2))),INDIRECT("'["&amp;G565&amp;"]"&amp;E565&amp;"'!"&amp;$AI$3),0)</f>
        <v>#VALUE!</v>
      </c>
      <c r="AJ565" s="25">
        <v>1</v>
      </c>
      <c r="AK565" s="38">
        <f t="shared" ref="AK565:AK628" ca="1" si="168">(C565*AJ565%)</f>
        <v>0</v>
      </c>
      <c r="AL565" s="38">
        <f t="shared" ref="AL565:AL628" ca="1" si="169">C565-AK565</f>
        <v>0</v>
      </c>
      <c r="AM565" s="54" t="str">
        <f t="shared" ref="AM565:AM628" ca="1" si="170">IF(A565&lt;&gt;"",IF(AM565="",NOW(),AM565),"")</f>
        <v/>
      </c>
      <c r="AN565" s="25" t="e">
        <f t="shared" ref="AN565:AN628" ca="1" si="171">IF(VALUE(N565),"/","")</f>
        <v>#VALUE!</v>
      </c>
      <c r="AO565" s="25" t="e">
        <f t="shared" ref="AO565:AO628" ca="1" si="172">IF(VALUE(O565),"/","")</f>
        <v>#VALUE!</v>
      </c>
      <c r="AQ565" s="46" t="str">
        <f ca="1">IF(AND(C565&lt;&gt;0, C566=0), SUM($C$2:C565)-SUM($AQ$1:AQ564), "")</f>
        <v/>
      </c>
      <c r="AR565" s="46" t="str">
        <f ca="1">IF(AND(AK565&lt;&gt;0, AK566=0), SUM($AK$2:AK565)-SUM($AR$1:AR564), "")</f>
        <v/>
      </c>
    </row>
    <row r="566" spans="2:44" ht="13.15" customHeight="1">
      <c r="B566" s="68" t="str">
        <f t="shared" si="158"/>
        <v/>
      </c>
      <c r="C566" s="55" cm="1">
        <f t="array" aca="1" ref="C566" ca="1">SUM(IF(ISNUMBER(M566:U566),M566:U566,""))</f>
        <v>0</v>
      </c>
      <c r="D566" s="25" t="str">
        <f t="shared" si="159"/>
        <v/>
      </c>
      <c r="E566" s="25" t="e">
        <f t="shared" si="160"/>
        <v>#VALUE!</v>
      </c>
      <c r="F566" s="25" t="str">
        <f t="shared" si="161"/>
        <v/>
      </c>
      <c r="G566" s="25" t="str">
        <f t="shared" si="162"/>
        <v>.xlsx</v>
      </c>
      <c r="H566" s="29" t="e" cm="1">
        <f t="array" aca="1" ref="H566" ca="1">IF(AND(VALUE(E566)=INDIRECT("'["&amp;G566&amp;"]"&amp;E566&amp;"'!"&amp;$X$2),G566=INDIRECT("'["&amp;G566&amp;"]"&amp;E566&amp;"'!"&amp;$X$3)),INDIRECT("'["&amp;G566&amp;"]"&amp;E566&amp;"'!"&amp;$X$1),0)</f>
        <v>#VALUE!</v>
      </c>
      <c r="I566" s="25" t="str">
        <f t="shared" si="163"/>
        <v/>
      </c>
      <c r="J566" s="32" t="str">
        <f t="shared" si="164"/>
        <v/>
      </c>
      <c r="K566" s="25" t="str">
        <f t="shared" si="165"/>
        <v/>
      </c>
      <c r="L566" s="25" t="str">
        <f t="shared" si="166"/>
        <v/>
      </c>
      <c r="M566" s="33" t="e" cm="1">
        <f t="array" aca="1" ref="M566" ca="1">IF(AND(J566=INDIRECT("'["&amp;G566&amp;"]"&amp;E566&amp;"'!"&amp;$Y$2),G566=INDIRECT("'["&amp;G566&amp;"]"&amp;E566&amp;"'!"&amp;$AH$2)),INDIRECT("'["&amp;G566&amp;"]"&amp;E566&amp;"'!"&amp;$Y$3),0)</f>
        <v>#VALUE!</v>
      </c>
      <c r="N566" s="34" t="e" cm="1">
        <f t="array" aca="1" ref="N566" ca="1">IF(AND(G566=INDIRECT("'["&amp;G566&amp;"]"&amp;E566&amp;"'!"&amp;$AH$2),OR(K566=INDIRECT("'["&amp;G566&amp;"]"&amp;E566&amp;"'!"&amp;$Z$2))),INDIRECT("'["&amp;G566&amp;"]"&amp;E566&amp;"'!"&amp;$Z$3),0)</f>
        <v>#VALUE!</v>
      </c>
      <c r="O566" s="34" t="e" cm="1">
        <f t="array" aca="1" ref="O566" ca="1">IF(AND(G566=INDIRECT("'["&amp;G566&amp;"]"&amp;E566&amp;"'!"&amp;$AH$2),OR(L566=INDIRECT("'["&amp;G566&amp;"]"&amp;E566&amp;"'!"&amp;$AA$2))),INDIRECT("'["&amp;G566&amp;"]"&amp;E566&amp;"'!"&amp;$AA$3),0)</f>
        <v>#VALUE!</v>
      </c>
      <c r="P566" s="34" t="e" cm="1">
        <f t="array" aca="1" ref="P566" ca="1">IF(AND(G566=INDIRECT("'["&amp;G566&amp;"]"&amp;E566&amp;"'!"&amp;$AH$2),OR(VALUE(I566)=INDIRECT("'["&amp;G566&amp;"]"&amp;E566&amp;"'!"&amp;$AB$2))),INDIRECT("'["&amp;G566&amp;"]"&amp;E566&amp;"'!"&amp;$AB$3),0)</f>
        <v>#VALUE!</v>
      </c>
      <c r="Q566" s="34" t="e" cm="1">
        <f t="array" aca="1" ref="Q566" ca="1">IF(AND(G566=INDIRECT("'["&amp;G566&amp;"]"&amp;E566&amp;"'!"&amp;$AH$2),OR(VALUE(I566)=INDIRECT("'["&amp;G566&amp;"]"&amp;E566&amp;"'!"&amp;$AC$2))),INDIRECT("'["&amp;G566&amp;"]"&amp;E566&amp;"'!"&amp;$AC$3),0)</f>
        <v>#VALUE!</v>
      </c>
      <c r="R566" s="34" t="e" cm="1">
        <f t="array" aca="1" ref="R566" ca="1">IF(AND(G566=INDIRECT("'["&amp;G566&amp;"]"&amp;E566&amp;"'!"&amp;$AH$2),OR(I566=INDIRECT("'["&amp;G566&amp;"]"&amp;E566&amp;"'!"&amp;$AD$2))),INDIRECT("'["&amp;G566&amp;"]"&amp;E566&amp;"'!"&amp;$AD$3),0)</f>
        <v>#VALUE!</v>
      </c>
      <c r="S566" s="34" t="e" cm="1">
        <f t="array" aca="1" ref="S566" ca="1">IF(AND(G566=INDIRECT("'["&amp;G566&amp;"]"&amp;E566&amp;"'!"&amp;$AH$2),OR(I566=INDIRECT("'["&amp;G566&amp;"]"&amp;E566&amp;"'!"&amp;$AE$2))),INDIRECT("'["&amp;G566&amp;"]"&amp;E566&amp;"'!"&amp;$AE$3),0)</f>
        <v>#VALUE!</v>
      </c>
      <c r="T566" s="35" t="e" cm="1">
        <f t="array" aca="1" ref="T566" ca="1">IF(AND(G566=INDIRECT("'["&amp;G566&amp;"]"&amp;E566&amp;"'!"&amp;$AH$2),OR(I566=INDIRECT("'["&amp;G566&amp;"]"&amp;E566&amp;"'!"&amp;$AF$2))),INDIRECT("'["&amp;G566&amp;"]"&amp;E566&amp;"'!"&amp;$AF$3),0)</f>
        <v>#VALUE!</v>
      </c>
      <c r="U566" s="34" t="e" cm="1">
        <f t="array" aca="1" ref="U566" ca="1">IF(AND(G566=INDIRECT("'["&amp;G566&amp;"]"&amp;E566&amp;"'!"&amp;$AH$2),OR(I566=INDIRECT("'["&amp;G566&amp;"]"&amp;E566&amp;"'!"&amp;$AG$2))),INDIRECT("'["&amp;G566&amp;"]"&amp;E566&amp;"'!"&amp;$AG$3),0)</f>
        <v>#VALUE!</v>
      </c>
      <c r="V566" s="25" t="str">
        <f t="shared" si="167"/>
        <v/>
      </c>
      <c r="W566" s="36" t="e" cm="1">
        <f t="array" aca="1" ref="W566" ca="1">IF(AND(G566=INDIRECT("'["&amp;G566&amp;"]"&amp;E566&amp;"'!"&amp;$AH$2),OR(V566=INDIRECT("'["&amp;G566&amp;"]"&amp;E566&amp;"'!"&amp;$AI$2))),INDIRECT("'["&amp;G566&amp;"]"&amp;E566&amp;"'!"&amp;$AI$3),0)</f>
        <v>#VALUE!</v>
      </c>
      <c r="AJ566" s="25">
        <v>1</v>
      </c>
      <c r="AK566" s="38">
        <f t="shared" ca="1" si="168"/>
        <v>0</v>
      </c>
      <c r="AL566" s="38">
        <f t="shared" ca="1" si="169"/>
        <v>0</v>
      </c>
      <c r="AM566" s="54" t="str">
        <f t="shared" ca="1" si="170"/>
        <v/>
      </c>
      <c r="AN566" s="25" t="e">
        <f t="shared" ca="1" si="171"/>
        <v>#VALUE!</v>
      </c>
      <c r="AO566" s="25" t="e">
        <f t="shared" ca="1" si="172"/>
        <v>#VALUE!</v>
      </c>
      <c r="AQ566" s="46" t="str">
        <f ca="1">IF(AND(C566&lt;&gt;0, C567=0), SUM($C$2:C566)-SUM($AQ$1:AQ565), "")</f>
        <v/>
      </c>
      <c r="AR566" s="46" t="str">
        <f ca="1">IF(AND(AK566&lt;&gt;0, AK567=0), SUM($AK$2:AK566)-SUM($AR$1:AR565), "")</f>
        <v/>
      </c>
    </row>
    <row r="567" spans="2:44" ht="13.15" customHeight="1">
      <c r="B567" s="68" t="str">
        <f t="shared" si="158"/>
        <v/>
      </c>
      <c r="C567" s="55" cm="1">
        <f t="array" aca="1" ref="C567" ca="1">SUM(IF(ISNUMBER(M567:U567),M567:U567,""))</f>
        <v>0</v>
      </c>
      <c r="D567" s="25" t="str">
        <f t="shared" si="159"/>
        <v/>
      </c>
      <c r="E567" s="25" t="e">
        <f t="shared" si="160"/>
        <v>#VALUE!</v>
      </c>
      <c r="F567" s="25" t="str">
        <f t="shared" si="161"/>
        <v/>
      </c>
      <c r="G567" s="25" t="str">
        <f t="shared" si="162"/>
        <v>.xlsx</v>
      </c>
      <c r="H567" s="29" t="e" cm="1">
        <f t="array" aca="1" ref="H567" ca="1">IF(AND(VALUE(E567)=INDIRECT("'["&amp;G567&amp;"]"&amp;E567&amp;"'!"&amp;$X$2),G567=INDIRECT("'["&amp;G567&amp;"]"&amp;E567&amp;"'!"&amp;$X$3)),INDIRECT("'["&amp;G567&amp;"]"&amp;E567&amp;"'!"&amp;$X$1),0)</f>
        <v>#VALUE!</v>
      </c>
      <c r="I567" s="25" t="str">
        <f t="shared" si="163"/>
        <v/>
      </c>
      <c r="J567" s="32" t="str">
        <f t="shared" si="164"/>
        <v/>
      </c>
      <c r="K567" s="25" t="str">
        <f t="shared" si="165"/>
        <v/>
      </c>
      <c r="L567" s="25" t="str">
        <f t="shared" si="166"/>
        <v/>
      </c>
      <c r="M567" s="33" t="e" cm="1">
        <f t="array" aca="1" ref="M567" ca="1">IF(AND(J567=INDIRECT("'["&amp;G567&amp;"]"&amp;E567&amp;"'!"&amp;$Y$2),G567=INDIRECT("'["&amp;G567&amp;"]"&amp;E567&amp;"'!"&amp;$AH$2)),INDIRECT("'["&amp;G567&amp;"]"&amp;E567&amp;"'!"&amp;$Y$3),0)</f>
        <v>#VALUE!</v>
      </c>
      <c r="N567" s="34" t="e" cm="1">
        <f t="array" aca="1" ref="N567" ca="1">IF(AND(G567=INDIRECT("'["&amp;G567&amp;"]"&amp;E567&amp;"'!"&amp;$AH$2),OR(K567=INDIRECT("'["&amp;G567&amp;"]"&amp;E567&amp;"'!"&amp;$Z$2))),INDIRECT("'["&amp;G567&amp;"]"&amp;E567&amp;"'!"&amp;$Z$3),0)</f>
        <v>#VALUE!</v>
      </c>
      <c r="O567" s="34" t="e" cm="1">
        <f t="array" aca="1" ref="O567" ca="1">IF(AND(G567=INDIRECT("'["&amp;G567&amp;"]"&amp;E567&amp;"'!"&amp;$AH$2),OR(L567=INDIRECT("'["&amp;G567&amp;"]"&amp;E567&amp;"'!"&amp;$AA$2))),INDIRECT("'["&amp;G567&amp;"]"&amp;E567&amp;"'!"&amp;$AA$3),0)</f>
        <v>#VALUE!</v>
      </c>
      <c r="P567" s="34" t="e" cm="1">
        <f t="array" aca="1" ref="P567" ca="1">IF(AND(G567=INDIRECT("'["&amp;G567&amp;"]"&amp;E567&amp;"'!"&amp;$AH$2),OR(VALUE(I567)=INDIRECT("'["&amp;G567&amp;"]"&amp;E567&amp;"'!"&amp;$AB$2))),INDIRECT("'["&amp;G567&amp;"]"&amp;E567&amp;"'!"&amp;$AB$3),0)</f>
        <v>#VALUE!</v>
      </c>
      <c r="Q567" s="34" t="e" cm="1">
        <f t="array" aca="1" ref="Q567" ca="1">IF(AND(G567=INDIRECT("'["&amp;G567&amp;"]"&amp;E567&amp;"'!"&amp;$AH$2),OR(VALUE(I567)=INDIRECT("'["&amp;G567&amp;"]"&amp;E567&amp;"'!"&amp;$AC$2))),INDIRECT("'["&amp;G567&amp;"]"&amp;E567&amp;"'!"&amp;$AC$3),0)</f>
        <v>#VALUE!</v>
      </c>
      <c r="R567" s="34" t="e" cm="1">
        <f t="array" aca="1" ref="R567" ca="1">IF(AND(G567=INDIRECT("'["&amp;G567&amp;"]"&amp;E567&amp;"'!"&amp;$AH$2),OR(I567=INDIRECT("'["&amp;G567&amp;"]"&amp;E567&amp;"'!"&amp;$AD$2))),INDIRECT("'["&amp;G567&amp;"]"&amp;E567&amp;"'!"&amp;$AD$3),0)</f>
        <v>#VALUE!</v>
      </c>
      <c r="S567" s="34" t="e" cm="1">
        <f t="array" aca="1" ref="S567" ca="1">IF(AND(G567=INDIRECT("'["&amp;G567&amp;"]"&amp;E567&amp;"'!"&amp;$AH$2),OR(I567=INDIRECT("'["&amp;G567&amp;"]"&amp;E567&amp;"'!"&amp;$AE$2))),INDIRECT("'["&amp;G567&amp;"]"&amp;E567&amp;"'!"&amp;$AE$3),0)</f>
        <v>#VALUE!</v>
      </c>
      <c r="T567" s="35" t="e" cm="1">
        <f t="array" aca="1" ref="T567" ca="1">IF(AND(G567=INDIRECT("'["&amp;G567&amp;"]"&amp;E567&amp;"'!"&amp;$AH$2),OR(I567=INDIRECT("'["&amp;G567&amp;"]"&amp;E567&amp;"'!"&amp;$AF$2))),INDIRECT("'["&amp;G567&amp;"]"&amp;E567&amp;"'!"&amp;$AF$3),0)</f>
        <v>#VALUE!</v>
      </c>
      <c r="U567" s="34" t="e" cm="1">
        <f t="array" aca="1" ref="U567" ca="1">IF(AND(G567=INDIRECT("'["&amp;G567&amp;"]"&amp;E567&amp;"'!"&amp;$AH$2),OR(I567=INDIRECT("'["&amp;G567&amp;"]"&amp;E567&amp;"'!"&amp;$AG$2))),INDIRECT("'["&amp;G567&amp;"]"&amp;E567&amp;"'!"&amp;$AG$3),0)</f>
        <v>#VALUE!</v>
      </c>
      <c r="V567" s="25" t="str">
        <f t="shared" si="167"/>
        <v/>
      </c>
      <c r="W567" s="36" t="e" cm="1">
        <f t="array" aca="1" ref="W567" ca="1">IF(AND(G567=INDIRECT("'["&amp;G567&amp;"]"&amp;E567&amp;"'!"&amp;$AH$2),OR(V567=INDIRECT("'["&amp;G567&amp;"]"&amp;E567&amp;"'!"&amp;$AI$2))),INDIRECT("'["&amp;G567&amp;"]"&amp;E567&amp;"'!"&amp;$AI$3),0)</f>
        <v>#VALUE!</v>
      </c>
      <c r="AJ567" s="25">
        <v>1</v>
      </c>
      <c r="AK567" s="38">
        <f t="shared" ca="1" si="168"/>
        <v>0</v>
      </c>
      <c r="AL567" s="38">
        <f t="shared" ca="1" si="169"/>
        <v>0</v>
      </c>
      <c r="AM567" s="54" t="str">
        <f t="shared" ca="1" si="170"/>
        <v/>
      </c>
      <c r="AN567" s="25" t="e">
        <f t="shared" ca="1" si="171"/>
        <v>#VALUE!</v>
      </c>
      <c r="AO567" s="25" t="e">
        <f t="shared" ca="1" si="172"/>
        <v>#VALUE!</v>
      </c>
      <c r="AQ567" s="46" t="str">
        <f ca="1">IF(AND(C567&lt;&gt;0, C568=0), SUM($C$2:C567)-SUM($AQ$1:AQ566), "")</f>
        <v/>
      </c>
      <c r="AR567" s="46" t="str">
        <f ca="1">IF(AND(AK567&lt;&gt;0, AK568=0), SUM($AK$2:AK567)-SUM($AR$1:AR566), "")</f>
        <v/>
      </c>
    </row>
    <row r="568" spans="2:44" ht="13.15" customHeight="1">
      <c r="B568" s="68" t="str">
        <f t="shared" si="158"/>
        <v/>
      </c>
      <c r="C568" s="55" cm="1">
        <f t="array" aca="1" ref="C568" ca="1">SUM(IF(ISNUMBER(M568:U568),M568:U568,""))</f>
        <v>0</v>
      </c>
      <c r="D568" s="25" t="str">
        <f t="shared" si="159"/>
        <v/>
      </c>
      <c r="E568" s="25" t="e">
        <f t="shared" si="160"/>
        <v>#VALUE!</v>
      </c>
      <c r="F568" s="25" t="str">
        <f t="shared" si="161"/>
        <v/>
      </c>
      <c r="G568" s="25" t="str">
        <f t="shared" si="162"/>
        <v>.xlsx</v>
      </c>
      <c r="H568" s="29" t="e" cm="1">
        <f t="array" aca="1" ref="H568" ca="1">IF(AND(VALUE(E568)=INDIRECT("'["&amp;G568&amp;"]"&amp;E568&amp;"'!"&amp;$X$2),G568=INDIRECT("'["&amp;G568&amp;"]"&amp;E568&amp;"'!"&amp;$X$3)),INDIRECT("'["&amp;G568&amp;"]"&amp;E568&amp;"'!"&amp;$X$1),0)</f>
        <v>#VALUE!</v>
      </c>
      <c r="I568" s="25" t="str">
        <f t="shared" si="163"/>
        <v/>
      </c>
      <c r="J568" s="32" t="str">
        <f t="shared" si="164"/>
        <v/>
      </c>
      <c r="K568" s="25" t="str">
        <f t="shared" si="165"/>
        <v/>
      </c>
      <c r="L568" s="25" t="str">
        <f t="shared" si="166"/>
        <v/>
      </c>
      <c r="M568" s="33" t="e" cm="1">
        <f t="array" aca="1" ref="M568" ca="1">IF(AND(J568=INDIRECT("'["&amp;G568&amp;"]"&amp;E568&amp;"'!"&amp;$Y$2),G568=INDIRECT("'["&amp;G568&amp;"]"&amp;E568&amp;"'!"&amp;$AH$2)),INDIRECT("'["&amp;G568&amp;"]"&amp;E568&amp;"'!"&amp;$Y$3),0)</f>
        <v>#VALUE!</v>
      </c>
      <c r="N568" s="34" t="e" cm="1">
        <f t="array" aca="1" ref="N568" ca="1">IF(AND(G568=INDIRECT("'["&amp;G568&amp;"]"&amp;E568&amp;"'!"&amp;$AH$2),OR(K568=INDIRECT("'["&amp;G568&amp;"]"&amp;E568&amp;"'!"&amp;$Z$2))),INDIRECT("'["&amp;G568&amp;"]"&amp;E568&amp;"'!"&amp;$Z$3),0)</f>
        <v>#VALUE!</v>
      </c>
      <c r="O568" s="34" t="e" cm="1">
        <f t="array" aca="1" ref="O568" ca="1">IF(AND(G568=INDIRECT("'["&amp;G568&amp;"]"&amp;E568&amp;"'!"&amp;$AH$2),OR(L568=INDIRECT("'["&amp;G568&amp;"]"&amp;E568&amp;"'!"&amp;$AA$2))),INDIRECT("'["&amp;G568&amp;"]"&amp;E568&amp;"'!"&amp;$AA$3),0)</f>
        <v>#VALUE!</v>
      </c>
      <c r="P568" s="34" t="e" cm="1">
        <f t="array" aca="1" ref="P568" ca="1">IF(AND(G568=INDIRECT("'["&amp;G568&amp;"]"&amp;E568&amp;"'!"&amp;$AH$2),OR(VALUE(I568)=INDIRECT("'["&amp;G568&amp;"]"&amp;E568&amp;"'!"&amp;$AB$2))),INDIRECT("'["&amp;G568&amp;"]"&amp;E568&amp;"'!"&amp;$AB$3),0)</f>
        <v>#VALUE!</v>
      </c>
      <c r="Q568" s="34" t="e" cm="1">
        <f t="array" aca="1" ref="Q568" ca="1">IF(AND(G568=INDIRECT("'["&amp;G568&amp;"]"&amp;E568&amp;"'!"&amp;$AH$2),OR(VALUE(I568)=INDIRECT("'["&amp;G568&amp;"]"&amp;E568&amp;"'!"&amp;$AC$2))),INDIRECT("'["&amp;G568&amp;"]"&amp;E568&amp;"'!"&amp;$AC$3),0)</f>
        <v>#VALUE!</v>
      </c>
      <c r="R568" s="34" t="e" cm="1">
        <f t="array" aca="1" ref="R568" ca="1">IF(AND(G568=INDIRECT("'["&amp;G568&amp;"]"&amp;E568&amp;"'!"&amp;$AH$2),OR(I568=INDIRECT("'["&amp;G568&amp;"]"&amp;E568&amp;"'!"&amp;$AD$2))),INDIRECT("'["&amp;G568&amp;"]"&amp;E568&amp;"'!"&amp;$AD$3),0)</f>
        <v>#VALUE!</v>
      </c>
      <c r="S568" s="34" t="e" cm="1">
        <f t="array" aca="1" ref="S568" ca="1">IF(AND(G568=INDIRECT("'["&amp;G568&amp;"]"&amp;E568&amp;"'!"&amp;$AH$2),OR(I568=INDIRECT("'["&amp;G568&amp;"]"&amp;E568&amp;"'!"&amp;$AE$2))),INDIRECT("'["&amp;G568&amp;"]"&amp;E568&amp;"'!"&amp;$AE$3),0)</f>
        <v>#VALUE!</v>
      </c>
      <c r="T568" s="35" t="e" cm="1">
        <f t="array" aca="1" ref="T568" ca="1">IF(AND(G568=INDIRECT("'["&amp;G568&amp;"]"&amp;E568&amp;"'!"&amp;$AH$2),OR(I568=INDIRECT("'["&amp;G568&amp;"]"&amp;E568&amp;"'!"&amp;$AF$2))),INDIRECT("'["&amp;G568&amp;"]"&amp;E568&amp;"'!"&amp;$AF$3),0)</f>
        <v>#VALUE!</v>
      </c>
      <c r="U568" s="34" t="e" cm="1">
        <f t="array" aca="1" ref="U568" ca="1">IF(AND(G568=INDIRECT("'["&amp;G568&amp;"]"&amp;E568&amp;"'!"&amp;$AH$2),OR(I568=INDIRECT("'["&amp;G568&amp;"]"&amp;E568&amp;"'!"&amp;$AG$2))),INDIRECT("'["&amp;G568&amp;"]"&amp;E568&amp;"'!"&amp;$AG$3),0)</f>
        <v>#VALUE!</v>
      </c>
      <c r="V568" s="25" t="str">
        <f t="shared" si="167"/>
        <v/>
      </c>
      <c r="W568" s="36" t="e" cm="1">
        <f t="array" aca="1" ref="W568" ca="1">IF(AND(G568=INDIRECT("'["&amp;G568&amp;"]"&amp;E568&amp;"'!"&amp;$AH$2),OR(V568=INDIRECT("'["&amp;G568&amp;"]"&amp;E568&amp;"'!"&amp;$AI$2))),INDIRECT("'["&amp;G568&amp;"]"&amp;E568&amp;"'!"&amp;$AI$3),0)</f>
        <v>#VALUE!</v>
      </c>
      <c r="AJ568" s="25">
        <v>1</v>
      </c>
      <c r="AK568" s="38">
        <f t="shared" ca="1" si="168"/>
        <v>0</v>
      </c>
      <c r="AL568" s="38">
        <f t="shared" ca="1" si="169"/>
        <v>0</v>
      </c>
      <c r="AM568" s="54" t="str">
        <f t="shared" ca="1" si="170"/>
        <v/>
      </c>
      <c r="AN568" s="25" t="e">
        <f t="shared" ca="1" si="171"/>
        <v>#VALUE!</v>
      </c>
      <c r="AO568" s="25" t="e">
        <f t="shared" ca="1" si="172"/>
        <v>#VALUE!</v>
      </c>
      <c r="AQ568" s="46" t="str">
        <f ca="1">IF(AND(C568&lt;&gt;0, C569=0), SUM($C$2:C568)-SUM($AQ$1:AQ567), "")</f>
        <v/>
      </c>
      <c r="AR568" s="46" t="str">
        <f ca="1">IF(AND(AK568&lt;&gt;0, AK569=0), SUM($AK$2:AK568)-SUM($AR$1:AR567), "")</f>
        <v/>
      </c>
    </row>
    <row r="569" spans="2:44" ht="13.15" customHeight="1">
      <c r="B569" s="68" t="str">
        <f t="shared" si="158"/>
        <v/>
      </c>
      <c r="C569" s="55" cm="1">
        <f t="array" aca="1" ref="C569" ca="1">SUM(IF(ISNUMBER(M569:U569),M569:U569,""))</f>
        <v>0</v>
      </c>
      <c r="D569" s="25" t="str">
        <f t="shared" si="159"/>
        <v/>
      </c>
      <c r="E569" s="25" t="e">
        <f t="shared" si="160"/>
        <v>#VALUE!</v>
      </c>
      <c r="F569" s="25" t="str">
        <f t="shared" si="161"/>
        <v/>
      </c>
      <c r="G569" s="25" t="str">
        <f t="shared" si="162"/>
        <v>.xlsx</v>
      </c>
      <c r="H569" s="29" t="e" cm="1">
        <f t="array" aca="1" ref="H569" ca="1">IF(AND(VALUE(E569)=INDIRECT("'["&amp;G569&amp;"]"&amp;E569&amp;"'!"&amp;$X$2),G569=INDIRECT("'["&amp;G569&amp;"]"&amp;E569&amp;"'!"&amp;$X$3)),INDIRECT("'["&amp;G569&amp;"]"&amp;E569&amp;"'!"&amp;$X$1),0)</f>
        <v>#VALUE!</v>
      </c>
      <c r="I569" s="25" t="str">
        <f t="shared" si="163"/>
        <v/>
      </c>
      <c r="J569" s="32" t="str">
        <f t="shared" si="164"/>
        <v/>
      </c>
      <c r="K569" s="25" t="str">
        <f t="shared" si="165"/>
        <v/>
      </c>
      <c r="L569" s="25" t="str">
        <f t="shared" si="166"/>
        <v/>
      </c>
      <c r="M569" s="33" t="e" cm="1">
        <f t="array" aca="1" ref="M569" ca="1">IF(AND(J569=INDIRECT("'["&amp;G569&amp;"]"&amp;E569&amp;"'!"&amp;$Y$2),G569=INDIRECT("'["&amp;G569&amp;"]"&amp;E569&amp;"'!"&amp;$AH$2)),INDIRECT("'["&amp;G569&amp;"]"&amp;E569&amp;"'!"&amp;$Y$3),0)</f>
        <v>#VALUE!</v>
      </c>
      <c r="N569" s="34" t="e" cm="1">
        <f t="array" aca="1" ref="N569" ca="1">IF(AND(G569=INDIRECT("'["&amp;G569&amp;"]"&amp;E569&amp;"'!"&amp;$AH$2),OR(K569=INDIRECT("'["&amp;G569&amp;"]"&amp;E569&amp;"'!"&amp;$Z$2))),INDIRECT("'["&amp;G569&amp;"]"&amp;E569&amp;"'!"&amp;$Z$3),0)</f>
        <v>#VALUE!</v>
      </c>
      <c r="O569" s="34" t="e" cm="1">
        <f t="array" aca="1" ref="O569" ca="1">IF(AND(G569=INDIRECT("'["&amp;G569&amp;"]"&amp;E569&amp;"'!"&amp;$AH$2),OR(L569=INDIRECT("'["&amp;G569&amp;"]"&amp;E569&amp;"'!"&amp;$AA$2))),INDIRECT("'["&amp;G569&amp;"]"&amp;E569&amp;"'!"&amp;$AA$3),0)</f>
        <v>#VALUE!</v>
      </c>
      <c r="P569" s="34" t="e" cm="1">
        <f t="array" aca="1" ref="P569" ca="1">IF(AND(G569=INDIRECT("'["&amp;G569&amp;"]"&amp;E569&amp;"'!"&amp;$AH$2),OR(VALUE(I569)=INDIRECT("'["&amp;G569&amp;"]"&amp;E569&amp;"'!"&amp;$AB$2))),INDIRECT("'["&amp;G569&amp;"]"&amp;E569&amp;"'!"&amp;$AB$3),0)</f>
        <v>#VALUE!</v>
      </c>
      <c r="Q569" s="34" t="e" cm="1">
        <f t="array" aca="1" ref="Q569" ca="1">IF(AND(G569=INDIRECT("'["&amp;G569&amp;"]"&amp;E569&amp;"'!"&amp;$AH$2),OR(VALUE(I569)=INDIRECT("'["&amp;G569&amp;"]"&amp;E569&amp;"'!"&amp;$AC$2))),INDIRECT("'["&amp;G569&amp;"]"&amp;E569&amp;"'!"&amp;$AC$3),0)</f>
        <v>#VALUE!</v>
      </c>
      <c r="R569" s="34" t="e" cm="1">
        <f t="array" aca="1" ref="R569" ca="1">IF(AND(G569=INDIRECT("'["&amp;G569&amp;"]"&amp;E569&amp;"'!"&amp;$AH$2),OR(I569=INDIRECT("'["&amp;G569&amp;"]"&amp;E569&amp;"'!"&amp;$AD$2))),INDIRECT("'["&amp;G569&amp;"]"&amp;E569&amp;"'!"&amp;$AD$3),0)</f>
        <v>#VALUE!</v>
      </c>
      <c r="S569" s="34" t="e" cm="1">
        <f t="array" aca="1" ref="S569" ca="1">IF(AND(G569=INDIRECT("'["&amp;G569&amp;"]"&amp;E569&amp;"'!"&amp;$AH$2),OR(I569=INDIRECT("'["&amp;G569&amp;"]"&amp;E569&amp;"'!"&amp;$AE$2))),INDIRECT("'["&amp;G569&amp;"]"&amp;E569&amp;"'!"&amp;$AE$3),0)</f>
        <v>#VALUE!</v>
      </c>
      <c r="T569" s="35" t="e" cm="1">
        <f t="array" aca="1" ref="T569" ca="1">IF(AND(G569=INDIRECT("'["&amp;G569&amp;"]"&amp;E569&amp;"'!"&amp;$AH$2),OR(I569=INDIRECT("'["&amp;G569&amp;"]"&amp;E569&amp;"'!"&amp;$AF$2))),INDIRECT("'["&amp;G569&amp;"]"&amp;E569&amp;"'!"&amp;$AF$3),0)</f>
        <v>#VALUE!</v>
      </c>
      <c r="U569" s="34" t="e" cm="1">
        <f t="array" aca="1" ref="U569" ca="1">IF(AND(G569=INDIRECT("'["&amp;G569&amp;"]"&amp;E569&amp;"'!"&amp;$AH$2),OR(I569=INDIRECT("'["&amp;G569&amp;"]"&amp;E569&amp;"'!"&amp;$AG$2))),INDIRECT("'["&amp;G569&amp;"]"&amp;E569&amp;"'!"&amp;$AG$3),0)</f>
        <v>#VALUE!</v>
      </c>
      <c r="V569" s="25" t="str">
        <f t="shared" si="167"/>
        <v/>
      </c>
      <c r="W569" s="36" t="e" cm="1">
        <f t="array" aca="1" ref="W569" ca="1">IF(AND(G569=INDIRECT("'["&amp;G569&amp;"]"&amp;E569&amp;"'!"&amp;$AH$2),OR(V569=INDIRECT("'["&amp;G569&amp;"]"&amp;E569&amp;"'!"&amp;$AI$2))),INDIRECT("'["&amp;G569&amp;"]"&amp;E569&amp;"'!"&amp;$AI$3),0)</f>
        <v>#VALUE!</v>
      </c>
      <c r="AJ569" s="25">
        <v>1</v>
      </c>
      <c r="AK569" s="38">
        <f t="shared" ca="1" si="168"/>
        <v>0</v>
      </c>
      <c r="AL569" s="38">
        <f t="shared" ca="1" si="169"/>
        <v>0</v>
      </c>
      <c r="AM569" s="54" t="str">
        <f t="shared" ca="1" si="170"/>
        <v/>
      </c>
      <c r="AN569" s="25" t="e">
        <f t="shared" ca="1" si="171"/>
        <v>#VALUE!</v>
      </c>
      <c r="AO569" s="25" t="e">
        <f t="shared" ca="1" si="172"/>
        <v>#VALUE!</v>
      </c>
      <c r="AQ569" s="46" t="str">
        <f ca="1">IF(AND(C569&lt;&gt;0, C570=0), SUM($C$2:C569)-SUM($AQ$1:AQ568), "")</f>
        <v/>
      </c>
      <c r="AR569" s="46" t="str">
        <f ca="1">IF(AND(AK569&lt;&gt;0, AK570=0), SUM($AK$2:AK569)-SUM($AR$1:AR568), "")</f>
        <v/>
      </c>
    </row>
    <row r="570" spans="2:44" ht="13.15" customHeight="1">
      <c r="B570" s="68" t="str">
        <f t="shared" si="158"/>
        <v/>
      </c>
      <c r="C570" s="55" cm="1">
        <f t="array" aca="1" ref="C570" ca="1">SUM(IF(ISNUMBER(M570:U570),M570:U570,""))</f>
        <v>0</v>
      </c>
      <c r="D570" s="25" t="str">
        <f t="shared" si="159"/>
        <v/>
      </c>
      <c r="E570" s="25" t="e">
        <f t="shared" si="160"/>
        <v>#VALUE!</v>
      </c>
      <c r="F570" s="25" t="str">
        <f t="shared" si="161"/>
        <v/>
      </c>
      <c r="G570" s="25" t="str">
        <f t="shared" si="162"/>
        <v>.xlsx</v>
      </c>
      <c r="H570" s="29" t="e" cm="1">
        <f t="array" aca="1" ref="H570" ca="1">IF(AND(VALUE(E570)=INDIRECT("'["&amp;G570&amp;"]"&amp;E570&amp;"'!"&amp;$X$2),G570=INDIRECT("'["&amp;G570&amp;"]"&amp;E570&amp;"'!"&amp;$X$3)),INDIRECT("'["&amp;G570&amp;"]"&amp;E570&amp;"'!"&amp;$X$1),0)</f>
        <v>#VALUE!</v>
      </c>
      <c r="I570" s="25" t="str">
        <f t="shared" si="163"/>
        <v/>
      </c>
      <c r="J570" s="32" t="str">
        <f t="shared" si="164"/>
        <v/>
      </c>
      <c r="K570" s="25" t="str">
        <f t="shared" si="165"/>
        <v/>
      </c>
      <c r="L570" s="25" t="str">
        <f t="shared" si="166"/>
        <v/>
      </c>
      <c r="M570" s="33" t="e" cm="1">
        <f t="array" aca="1" ref="M570" ca="1">IF(AND(J570=INDIRECT("'["&amp;G570&amp;"]"&amp;E570&amp;"'!"&amp;$Y$2),G570=INDIRECT("'["&amp;G570&amp;"]"&amp;E570&amp;"'!"&amp;$AH$2)),INDIRECT("'["&amp;G570&amp;"]"&amp;E570&amp;"'!"&amp;$Y$3),0)</f>
        <v>#VALUE!</v>
      </c>
      <c r="N570" s="34" t="e" cm="1">
        <f t="array" aca="1" ref="N570" ca="1">IF(AND(G570=INDIRECT("'["&amp;G570&amp;"]"&amp;E570&amp;"'!"&amp;$AH$2),OR(K570=INDIRECT("'["&amp;G570&amp;"]"&amp;E570&amp;"'!"&amp;$Z$2))),INDIRECT("'["&amp;G570&amp;"]"&amp;E570&amp;"'!"&amp;$Z$3),0)</f>
        <v>#VALUE!</v>
      </c>
      <c r="O570" s="34" t="e" cm="1">
        <f t="array" aca="1" ref="O570" ca="1">IF(AND(G570=INDIRECT("'["&amp;G570&amp;"]"&amp;E570&amp;"'!"&amp;$AH$2),OR(L570=INDIRECT("'["&amp;G570&amp;"]"&amp;E570&amp;"'!"&amp;$AA$2))),INDIRECT("'["&amp;G570&amp;"]"&amp;E570&amp;"'!"&amp;$AA$3),0)</f>
        <v>#VALUE!</v>
      </c>
      <c r="P570" s="34" t="e" cm="1">
        <f t="array" aca="1" ref="P570" ca="1">IF(AND(G570=INDIRECT("'["&amp;G570&amp;"]"&amp;E570&amp;"'!"&amp;$AH$2),OR(VALUE(I570)=INDIRECT("'["&amp;G570&amp;"]"&amp;E570&amp;"'!"&amp;$AB$2))),INDIRECT("'["&amp;G570&amp;"]"&amp;E570&amp;"'!"&amp;$AB$3),0)</f>
        <v>#VALUE!</v>
      </c>
      <c r="Q570" s="34" t="e" cm="1">
        <f t="array" aca="1" ref="Q570" ca="1">IF(AND(G570=INDIRECT("'["&amp;G570&amp;"]"&amp;E570&amp;"'!"&amp;$AH$2),OR(VALUE(I570)=INDIRECT("'["&amp;G570&amp;"]"&amp;E570&amp;"'!"&amp;$AC$2))),INDIRECT("'["&amp;G570&amp;"]"&amp;E570&amp;"'!"&amp;$AC$3),0)</f>
        <v>#VALUE!</v>
      </c>
      <c r="R570" s="34" t="e" cm="1">
        <f t="array" aca="1" ref="R570" ca="1">IF(AND(G570=INDIRECT("'["&amp;G570&amp;"]"&amp;E570&amp;"'!"&amp;$AH$2),OR(I570=INDIRECT("'["&amp;G570&amp;"]"&amp;E570&amp;"'!"&amp;$AD$2))),INDIRECT("'["&amp;G570&amp;"]"&amp;E570&amp;"'!"&amp;$AD$3),0)</f>
        <v>#VALUE!</v>
      </c>
      <c r="S570" s="34" t="e" cm="1">
        <f t="array" aca="1" ref="S570" ca="1">IF(AND(G570=INDIRECT("'["&amp;G570&amp;"]"&amp;E570&amp;"'!"&amp;$AH$2),OR(I570=INDIRECT("'["&amp;G570&amp;"]"&amp;E570&amp;"'!"&amp;$AE$2))),INDIRECT("'["&amp;G570&amp;"]"&amp;E570&amp;"'!"&amp;$AE$3),0)</f>
        <v>#VALUE!</v>
      </c>
      <c r="T570" s="35" t="e" cm="1">
        <f t="array" aca="1" ref="T570" ca="1">IF(AND(G570=INDIRECT("'["&amp;G570&amp;"]"&amp;E570&amp;"'!"&amp;$AH$2),OR(I570=INDIRECT("'["&amp;G570&amp;"]"&amp;E570&amp;"'!"&amp;$AF$2))),INDIRECT("'["&amp;G570&amp;"]"&amp;E570&amp;"'!"&amp;$AF$3),0)</f>
        <v>#VALUE!</v>
      </c>
      <c r="U570" s="34" t="e" cm="1">
        <f t="array" aca="1" ref="U570" ca="1">IF(AND(G570=INDIRECT("'["&amp;G570&amp;"]"&amp;E570&amp;"'!"&amp;$AH$2),OR(I570=INDIRECT("'["&amp;G570&amp;"]"&amp;E570&amp;"'!"&amp;$AG$2))),INDIRECT("'["&amp;G570&amp;"]"&amp;E570&amp;"'!"&amp;$AG$3),0)</f>
        <v>#VALUE!</v>
      </c>
      <c r="V570" s="25" t="str">
        <f t="shared" si="167"/>
        <v/>
      </c>
      <c r="W570" s="36" t="e" cm="1">
        <f t="array" aca="1" ref="W570" ca="1">IF(AND(G570=INDIRECT("'["&amp;G570&amp;"]"&amp;E570&amp;"'!"&amp;$AH$2),OR(V570=INDIRECT("'["&amp;G570&amp;"]"&amp;E570&amp;"'!"&amp;$AI$2))),INDIRECT("'["&amp;G570&amp;"]"&amp;E570&amp;"'!"&amp;$AI$3),0)</f>
        <v>#VALUE!</v>
      </c>
      <c r="AJ570" s="25">
        <v>1</v>
      </c>
      <c r="AK570" s="38">
        <f t="shared" ca="1" si="168"/>
        <v>0</v>
      </c>
      <c r="AL570" s="38">
        <f t="shared" ca="1" si="169"/>
        <v>0</v>
      </c>
      <c r="AM570" s="54" t="str">
        <f t="shared" ca="1" si="170"/>
        <v/>
      </c>
      <c r="AN570" s="25" t="e">
        <f t="shared" ca="1" si="171"/>
        <v>#VALUE!</v>
      </c>
      <c r="AO570" s="25" t="e">
        <f t="shared" ca="1" si="172"/>
        <v>#VALUE!</v>
      </c>
      <c r="AQ570" s="46" t="str">
        <f ca="1">IF(AND(C570&lt;&gt;0, C571=0), SUM($C$2:C570)-SUM($AQ$1:AQ569), "")</f>
        <v/>
      </c>
      <c r="AR570" s="46" t="str">
        <f ca="1">IF(AND(AK570&lt;&gt;0, AK571=0), SUM($AK$2:AK570)-SUM($AR$1:AR569), "")</f>
        <v/>
      </c>
    </row>
    <row r="571" spans="2:44" ht="13.15" customHeight="1">
      <c r="B571" s="68" t="str">
        <f t="shared" si="158"/>
        <v/>
      </c>
      <c r="C571" s="55" cm="1">
        <f t="array" aca="1" ref="C571" ca="1">SUM(IF(ISNUMBER(M571:U571),M571:U571,""))</f>
        <v>0</v>
      </c>
      <c r="D571" s="25" t="str">
        <f t="shared" si="159"/>
        <v/>
      </c>
      <c r="E571" s="25" t="e">
        <f t="shared" si="160"/>
        <v>#VALUE!</v>
      </c>
      <c r="F571" s="25" t="str">
        <f t="shared" si="161"/>
        <v/>
      </c>
      <c r="G571" s="25" t="str">
        <f t="shared" si="162"/>
        <v>.xlsx</v>
      </c>
      <c r="H571" s="29" t="e" cm="1">
        <f t="array" aca="1" ref="H571" ca="1">IF(AND(VALUE(E571)=INDIRECT("'["&amp;G571&amp;"]"&amp;E571&amp;"'!"&amp;$X$2),G571=INDIRECT("'["&amp;G571&amp;"]"&amp;E571&amp;"'!"&amp;$X$3)),INDIRECT("'["&amp;G571&amp;"]"&amp;E571&amp;"'!"&amp;$X$1),0)</f>
        <v>#VALUE!</v>
      </c>
      <c r="I571" s="25" t="str">
        <f t="shared" si="163"/>
        <v/>
      </c>
      <c r="J571" s="32" t="str">
        <f t="shared" si="164"/>
        <v/>
      </c>
      <c r="K571" s="25" t="str">
        <f t="shared" si="165"/>
        <v/>
      </c>
      <c r="L571" s="25" t="str">
        <f t="shared" si="166"/>
        <v/>
      </c>
      <c r="M571" s="33" t="e" cm="1">
        <f t="array" aca="1" ref="M571" ca="1">IF(AND(J571=INDIRECT("'["&amp;G571&amp;"]"&amp;E571&amp;"'!"&amp;$Y$2),G571=INDIRECT("'["&amp;G571&amp;"]"&amp;E571&amp;"'!"&amp;$AH$2)),INDIRECT("'["&amp;G571&amp;"]"&amp;E571&amp;"'!"&amp;$Y$3),0)</f>
        <v>#VALUE!</v>
      </c>
      <c r="N571" s="34" t="e" cm="1">
        <f t="array" aca="1" ref="N571" ca="1">IF(AND(G571=INDIRECT("'["&amp;G571&amp;"]"&amp;E571&amp;"'!"&amp;$AH$2),OR(K571=INDIRECT("'["&amp;G571&amp;"]"&amp;E571&amp;"'!"&amp;$Z$2))),INDIRECT("'["&amp;G571&amp;"]"&amp;E571&amp;"'!"&amp;$Z$3),0)</f>
        <v>#VALUE!</v>
      </c>
      <c r="O571" s="34" t="e" cm="1">
        <f t="array" aca="1" ref="O571" ca="1">IF(AND(G571=INDIRECT("'["&amp;G571&amp;"]"&amp;E571&amp;"'!"&amp;$AH$2),OR(L571=INDIRECT("'["&amp;G571&amp;"]"&amp;E571&amp;"'!"&amp;$AA$2))),INDIRECT("'["&amp;G571&amp;"]"&amp;E571&amp;"'!"&amp;$AA$3),0)</f>
        <v>#VALUE!</v>
      </c>
      <c r="P571" s="34" t="e" cm="1">
        <f t="array" aca="1" ref="P571" ca="1">IF(AND(G571=INDIRECT("'["&amp;G571&amp;"]"&amp;E571&amp;"'!"&amp;$AH$2),OR(VALUE(I571)=INDIRECT("'["&amp;G571&amp;"]"&amp;E571&amp;"'!"&amp;$AB$2))),INDIRECT("'["&amp;G571&amp;"]"&amp;E571&amp;"'!"&amp;$AB$3),0)</f>
        <v>#VALUE!</v>
      </c>
      <c r="Q571" s="34" t="e" cm="1">
        <f t="array" aca="1" ref="Q571" ca="1">IF(AND(G571=INDIRECT("'["&amp;G571&amp;"]"&amp;E571&amp;"'!"&amp;$AH$2),OR(VALUE(I571)=INDIRECT("'["&amp;G571&amp;"]"&amp;E571&amp;"'!"&amp;$AC$2))),INDIRECT("'["&amp;G571&amp;"]"&amp;E571&amp;"'!"&amp;$AC$3),0)</f>
        <v>#VALUE!</v>
      </c>
      <c r="R571" s="34" t="e" cm="1">
        <f t="array" aca="1" ref="R571" ca="1">IF(AND(G571=INDIRECT("'["&amp;G571&amp;"]"&amp;E571&amp;"'!"&amp;$AH$2),OR(I571=INDIRECT("'["&amp;G571&amp;"]"&amp;E571&amp;"'!"&amp;$AD$2))),INDIRECT("'["&amp;G571&amp;"]"&amp;E571&amp;"'!"&amp;$AD$3),0)</f>
        <v>#VALUE!</v>
      </c>
      <c r="S571" s="34" t="e" cm="1">
        <f t="array" aca="1" ref="S571" ca="1">IF(AND(G571=INDIRECT("'["&amp;G571&amp;"]"&amp;E571&amp;"'!"&amp;$AH$2),OR(I571=INDIRECT("'["&amp;G571&amp;"]"&amp;E571&amp;"'!"&amp;$AE$2))),INDIRECT("'["&amp;G571&amp;"]"&amp;E571&amp;"'!"&amp;$AE$3),0)</f>
        <v>#VALUE!</v>
      </c>
      <c r="T571" s="35" t="e" cm="1">
        <f t="array" aca="1" ref="T571" ca="1">IF(AND(G571=INDIRECT("'["&amp;G571&amp;"]"&amp;E571&amp;"'!"&amp;$AH$2),OR(I571=INDIRECT("'["&amp;G571&amp;"]"&amp;E571&amp;"'!"&amp;$AF$2))),INDIRECT("'["&amp;G571&amp;"]"&amp;E571&amp;"'!"&amp;$AF$3),0)</f>
        <v>#VALUE!</v>
      </c>
      <c r="U571" s="34" t="e" cm="1">
        <f t="array" aca="1" ref="U571" ca="1">IF(AND(G571=INDIRECT("'["&amp;G571&amp;"]"&amp;E571&amp;"'!"&amp;$AH$2),OR(I571=INDIRECT("'["&amp;G571&amp;"]"&amp;E571&amp;"'!"&amp;$AG$2))),INDIRECT("'["&amp;G571&amp;"]"&amp;E571&amp;"'!"&amp;$AG$3),0)</f>
        <v>#VALUE!</v>
      </c>
      <c r="V571" s="25" t="str">
        <f t="shared" si="167"/>
        <v/>
      </c>
      <c r="W571" s="36" t="e" cm="1">
        <f t="array" aca="1" ref="W571" ca="1">IF(AND(G571=INDIRECT("'["&amp;G571&amp;"]"&amp;E571&amp;"'!"&amp;$AH$2),OR(V571=INDIRECT("'["&amp;G571&amp;"]"&amp;E571&amp;"'!"&amp;$AI$2))),INDIRECT("'["&amp;G571&amp;"]"&amp;E571&amp;"'!"&amp;$AI$3),0)</f>
        <v>#VALUE!</v>
      </c>
      <c r="AJ571" s="25">
        <v>1</v>
      </c>
      <c r="AK571" s="38">
        <f t="shared" ca="1" si="168"/>
        <v>0</v>
      </c>
      <c r="AL571" s="38">
        <f t="shared" ca="1" si="169"/>
        <v>0</v>
      </c>
      <c r="AM571" s="54" t="str">
        <f t="shared" ca="1" si="170"/>
        <v/>
      </c>
      <c r="AN571" s="25" t="e">
        <f t="shared" ca="1" si="171"/>
        <v>#VALUE!</v>
      </c>
      <c r="AO571" s="25" t="e">
        <f t="shared" ca="1" si="172"/>
        <v>#VALUE!</v>
      </c>
      <c r="AQ571" s="46" t="str">
        <f ca="1">IF(AND(C571&lt;&gt;0, C572=0), SUM($C$2:C571)-SUM($AQ$1:AQ570), "")</f>
        <v/>
      </c>
      <c r="AR571" s="46" t="str">
        <f ca="1">IF(AND(AK571&lt;&gt;0, AK572=0), SUM($AK$2:AK571)-SUM($AR$1:AR570), "")</f>
        <v/>
      </c>
    </row>
    <row r="572" spans="2:44" ht="13.15" customHeight="1">
      <c r="B572" s="68" t="str">
        <f t="shared" si="158"/>
        <v/>
      </c>
      <c r="C572" s="55" cm="1">
        <f t="array" aca="1" ref="C572" ca="1">SUM(IF(ISNUMBER(M572:U572),M572:U572,""))</f>
        <v>0</v>
      </c>
      <c r="D572" s="25" t="str">
        <f t="shared" si="159"/>
        <v/>
      </c>
      <c r="E572" s="25" t="e">
        <f t="shared" si="160"/>
        <v>#VALUE!</v>
      </c>
      <c r="F572" s="25" t="str">
        <f t="shared" si="161"/>
        <v/>
      </c>
      <c r="G572" s="25" t="str">
        <f t="shared" si="162"/>
        <v>.xlsx</v>
      </c>
      <c r="H572" s="29" t="e" cm="1">
        <f t="array" aca="1" ref="H572" ca="1">IF(AND(VALUE(E572)=INDIRECT("'["&amp;G572&amp;"]"&amp;E572&amp;"'!"&amp;$X$2),G572=INDIRECT("'["&amp;G572&amp;"]"&amp;E572&amp;"'!"&amp;$X$3)),INDIRECT("'["&amp;G572&amp;"]"&amp;E572&amp;"'!"&amp;$X$1),0)</f>
        <v>#VALUE!</v>
      </c>
      <c r="I572" s="25" t="str">
        <f t="shared" si="163"/>
        <v/>
      </c>
      <c r="J572" s="32" t="str">
        <f t="shared" si="164"/>
        <v/>
      </c>
      <c r="K572" s="25" t="str">
        <f t="shared" si="165"/>
        <v/>
      </c>
      <c r="L572" s="25" t="str">
        <f t="shared" si="166"/>
        <v/>
      </c>
      <c r="M572" s="33" t="e" cm="1">
        <f t="array" aca="1" ref="M572" ca="1">IF(AND(J572=INDIRECT("'["&amp;G572&amp;"]"&amp;E572&amp;"'!"&amp;$Y$2),G572=INDIRECT("'["&amp;G572&amp;"]"&amp;E572&amp;"'!"&amp;$AH$2)),INDIRECT("'["&amp;G572&amp;"]"&amp;E572&amp;"'!"&amp;$Y$3),0)</f>
        <v>#VALUE!</v>
      </c>
      <c r="N572" s="34" t="e" cm="1">
        <f t="array" aca="1" ref="N572" ca="1">IF(AND(G572=INDIRECT("'["&amp;G572&amp;"]"&amp;E572&amp;"'!"&amp;$AH$2),OR(K572=INDIRECT("'["&amp;G572&amp;"]"&amp;E572&amp;"'!"&amp;$Z$2))),INDIRECT("'["&amp;G572&amp;"]"&amp;E572&amp;"'!"&amp;$Z$3),0)</f>
        <v>#VALUE!</v>
      </c>
      <c r="O572" s="34" t="e" cm="1">
        <f t="array" aca="1" ref="O572" ca="1">IF(AND(G572=INDIRECT("'["&amp;G572&amp;"]"&amp;E572&amp;"'!"&amp;$AH$2),OR(L572=INDIRECT("'["&amp;G572&amp;"]"&amp;E572&amp;"'!"&amp;$AA$2))),INDIRECT("'["&amp;G572&amp;"]"&amp;E572&amp;"'!"&amp;$AA$3),0)</f>
        <v>#VALUE!</v>
      </c>
      <c r="P572" s="34" t="e" cm="1">
        <f t="array" aca="1" ref="P572" ca="1">IF(AND(G572=INDIRECT("'["&amp;G572&amp;"]"&amp;E572&amp;"'!"&amp;$AH$2),OR(VALUE(I572)=INDIRECT("'["&amp;G572&amp;"]"&amp;E572&amp;"'!"&amp;$AB$2))),INDIRECT("'["&amp;G572&amp;"]"&amp;E572&amp;"'!"&amp;$AB$3),0)</f>
        <v>#VALUE!</v>
      </c>
      <c r="Q572" s="34" t="e" cm="1">
        <f t="array" aca="1" ref="Q572" ca="1">IF(AND(G572=INDIRECT("'["&amp;G572&amp;"]"&amp;E572&amp;"'!"&amp;$AH$2),OR(VALUE(I572)=INDIRECT("'["&amp;G572&amp;"]"&amp;E572&amp;"'!"&amp;$AC$2))),INDIRECT("'["&amp;G572&amp;"]"&amp;E572&amp;"'!"&amp;$AC$3),0)</f>
        <v>#VALUE!</v>
      </c>
      <c r="R572" s="34" t="e" cm="1">
        <f t="array" aca="1" ref="R572" ca="1">IF(AND(G572=INDIRECT("'["&amp;G572&amp;"]"&amp;E572&amp;"'!"&amp;$AH$2),OR(I572=INDIRECT("'["&amp;G572&amp;"]"&amp;E572&amp;"'!"&amp;$AD$2))),INDIRECT("'["&amp;G572&amp;"]"&amp;E572&amp;"'!"&amp;$AD$3),0)</f>
        <v>#VALUE!</v>
      </c>
      <c r="S572" s="34" t="e" cm="1">
        <f t="array" aca="1" ref="S572" ca="1">IF(AND(G572=INDIRECT("'["&amp;G572&amp;"]"&amp;E572&amp;"'!"&amp;$AH$2),OR(I572=INDIRECT("'["&amp;G572&amp;"]"&amp;E572&amp;"'!"&amp;$AE$2))),INDIRECT("'["&amp;G572&amp;"]"&amp;E572&amp;"'!"&amp;$AE$3),0)</f>
        <v>#VALUE!</v>
      </c>
      <c r="T572" s="35" t="e" cm="1">
        <f t="array" aca="1" ref="T572" ca="1">IF(AND(G572=INDIRECT("'["&amp;G572&amp;"]"&amp;E572&amp;"'!"&amp;$AH$2),OR(I572=INDIRECT("'["&amp;G572&amp;"]"&amp;E572&amp;"'!"&amp;$AF$2))),INDIRECT("'["&amp;G572&amp;"]"&amp;E572&amp;"'!"&amp;$AF$3),0)</f>
        <v>#VALUE!</v>
      </c>
      <c r="U572" s="34" t="e" cm="1">
        <f t="array" aca="1" ref="U572" ca="1">IF(AND(G572=INDIRECT("'["&amp;G572&amp;"]"&amp;E572&amp;"'!"&amp;$AH$2),OR(I572=INDIRECT("'["&amp;G572&amp;"]"&amp;E572&amp;"'!"&amp;$AG$2))),INDIRECT("'["&amp;G572&amp;"]"&amp;E572&amp;"'!"&amp;$AG$3),0)</f>
        <v>#VALUE!</v>
      </c>
      <c r="V572" s="25" t="str">
        <f t="shared" si="167"/>
        <v/>
      </c>
      <c r="W572" s="36" t="e" cm="1">
        <f t="array" aca="1" ref="W572" ca="1">IF(AND(G572=INDIRECT("'["&amp;G572&amp;"]"&amp;E572&amp;"'!"&amp;$AH$2),OR(V572=INDIRECT("'["&amp;G572&amp;"]"&amp;E572&amp;"'!"&amp;$AI$2))),INDIRECT("'["&amp;G572&amp;"]"&amp;E572&amp;"'!"&amp;$AI$3),0)</f>
        <v>#VALUE!</v>
      </c>
      <c r="AJ572" s="25">
        <v>1</v>
      </c>
      <c r="AK572" s="38">
        <f t="shared" ca="1" si="168"/>
        <v>0</v>
      </c>
      <c r="AL572" s="38">
        <f t="shared" ca="1" si="169"/>
        <v>0</v>
      </c>
      <c r="AM572" s="54" t="str">
        <f t="shared" ca="1" si="170"/>
        <v/>
      </c>
      <c r="AN572" s="25" t="e">
        <f t="shared" ca="1" si="171"/>
        <v>#VALUE!</v>
      </c>
      <c r="AO572" s="25" t="e">
        <f t="shared" ca="1" si="172"/>
        <v>#VALUE!</v>
      </c>
      <c r="AQ572" s="46" t="str">
        <f ca="1">IF(AND(C572&lt;&gt;0, C573=0), SUM($C$2:C572)-SUM($AQ$1:AQ571), "")</f>
        <v/>
      </c>
      <c r="AR572" s="46" t="str">
        <f ca="1">IF(AND(AK572&lt;&gt;0, AK573=0), SUM($AK$2:AK572)-SUM($AR$1:AR571), "")</f>
        <v/>
      </c>
    </row>
    <row r="573" spans="2:44" ht="13.15" customHeight="1">
      <c r="B573" s="68" t="str">
        <f t="shared" si="158"/>
        <v/>
      </c>
      <c r="C573" s="55" cm="1">
        <f t="array" aca="1" ref="C573" ca="1">SUM(IF(ISNUMBER(M573:U573),M573:U573,""))</f>
        <v>0</v>
      </c>
      <c r="D573" s="25" t="str">
        <f t="shared" si="159"/>
        <v/>
      </c>
      <c r="E573" s="25" t="e">
        <f t="shared" si="160"/>
        <v>#VALUE!</v>
      </c>
      <c r="F573" s="25" t="str">
        <f t="shared" si="161"/>
        <v/>
      </c>
      <c r="G573" s="25" t="str">
        <f t="shared" si="162"/>
        <v>.xlsx</v>
      </c>
      <c r="H573" s="29" t="e" cm="1">
        <f t="array" aca="1" ref="H573" ca="1">IF(AND(VALUE(E573)=INDIRECT("'["&amp;G573&amp;"]"&amp;E573&amp;"'!"&amp;$X$2),G573=INDIRECT("'["&amp;G573&amp;"]"&amp;E573&amp;"'!"&amp;$X$3)),INDIRECT("'["&amp;G573&amp;"]"&amp;E573&amp;"'!"&amp;$X$1),0)</f>
        <v>#VALUE!</v>
      </c>
      <c r="I573" s="25" t="str">
        <f t="shared" si="163"/>
        <v/>
      </c>
      <c r="J573" s="32" t="str">
        <f t="shared" si="164"/>
        <v/>
      </c>
      <c r="K573" s="25" t="str">
        <f t="shared" si="165"/>
        <v/>
      </c>
      <c r="L573" s="25" t="str">
        <f t="shared" si="166"/>
        <v/>
      </c>
      <c r="M573" s="33" t="e" cm="1">
        <f t="array" aca="1" ref="M573" ca="1">IF(AND(J573=INDIRECT("'["&amp;G573&amp;"]"&amp;E573&amp;"'!"&amp;$Y$2),G573=INDIRECT("'["&amp;G573&amp;"]"&amp;E573&amp;"'!"&amp;$AH$2)),INDIRECT("'["&amp;G573&amp;"]"&amp;E573&amp;"'!"&amp;$Y$3),0)</f>
        <v>#VALUE!</v>
      </c>
      <c r="N573" s="34" t="e" cm="1">
        <f t="array" aca="1" ref="N573" ca="1">IF(AND(G573=INDIRECT("'["&amp;G573&amp;"]"&amp;E573&amp;"'!"&amp;$AH$2),OR(K573=INDIRECT("'["&amp;G573&amp;"]"&amp;E573&amp;"'!"&amp;$Z$2))),INDIRECT("'["&amp;G573&amp;"]"&amp;E573&amp;"'!"&amp;$Z$3),0)</f>
        <v>#VALUE!</v>
      </c>
      <c r="O573" s="34" t="e" cm="1">
        <f t="array" aca="1" ref="O573" ca="1">IF(AND(G573=INDIRECT("'["&amp;G573&amp;"]"&amp;E573&amp;"'!"&amp;$AH$2),OR(L573=INDIRECT("'["&amp;G573&amp;"]"&amp;E573&amp;"'!"&amp;$AA$2))),INDIRECT("'["&amp;G573&amp;"]"&amp;E573&amp;"'!"&amp;$AA$3),0)</f>
        <v>#VALUE!</v>
      </c>
      <c r="P573" s="34" t="e" cm="1">
        <f t="array" aca="1" ref="P573" ca="1">IF(AND(G573=INDIRECT("'["&amp;G573&amp;"]"&amp;E573&amp;"'!"&amp;$AH$2),OR(VALUE(I573)=INDIRECT("'["&amp;G573&amp;"]"&amp;E573&amp;"'!"&amp;$AB$2))),INDIRECT("'["&amp;G573&amp;"]"&amp;E573&amp;"'!"&amp;$AB$3),0)</f>
        <v>#VALUE!</v>
      </c>
      <c r="Q573" s="34" t="e" cm="1">
        <f t="array" aca="1" ref="Q573" ca="1">IF(AND(G573=INDIRECT("'["&amp;G573&amp;"]"&amp;E573&amp;"'!"&amp;$AH$2),OR(VALUE(I573)=INDIRECT("'["&amp;G573&amp;"]"&amp;E573&amp;"'!"&amp;$AC$2))),INDIRECT("'["&amp;G573&amp;"]"&amp;E573&amp;"'!"&amp;$AC$3),0)</f>
        <v>#VALUE!</v>
      </c>
      <c r="R573" s="34" t="e" cm="1">
        <f t="array" aca="1" ref="R573" ca="1">IF(AND(G573=INDIRECT("'["&amp;G573&amp;"]"&amp;E573&amp;"'!"&amp;$AH$2),OR(I573=INDIRECT("'["&amp;G573&amp;"]"&amp;E573&amp;"'!"&amp;$AD$2))),INDIRECT("'["&amp;G573&amp;"]"&amp;E573&amp;"'!"&amp;$AD$3),0)</f>
        <v>#VALUE!</v>
      </c>
      <c r="S573" s="34" t="e" cm="1">
        <f t="array" aca="1" ref="S573" ca="1">IF(AND(G573=INDIRECT("'["&amp;G573&amp;"]"&amp;E573&amp;"'!"&amp;$AH$2),OR(I573=INDIRECT("'["&amp;G573&amp;"]"&amp;E573&amp;"'!"&amp;$AE$2))),INDIRECT("'["&amp;G573&amp;"]"&amp;E573&amp;"'!"&amp;$AE$3),0)</f>
        <v>#VALUE!</v>
      </c>
      <c r="T573" s="35" t="e" cm="1">
        <f t="array" aca="1" ref="T573" ca="1">IF(AND(G573=INDIRECT("'["&amp;G573&amp;"]"&amp;E573&amp;"'!"&amp;$AH$2),OR(I573=INDIRECT("'["&amp;G573&amp;"]"&amp;E573&amp;"'!"&amp;$AF$2))),INDIRECT("'["&amp;G573&amp;"]"&amp;E573&amp;"'!"&amp;$AF$3),0)</f>
        <v>#VALUE!</v>
      </c>
      <c r="U573" s="34" t="e" cm="1">
        <f t="array" aca="1" ref="U573" ca="1">IF(AND(G573=INDIRECT("'["&amp;G573&amp;"]"&amp;E573&amp;"'!"&amp;$AH$2),OR(I573=INDIRECT("'["&amp;G573&amp;"]"&amp;E573&amp;"'!"&amp;$AG$2))),INDIRECT("'["&amp;G573&amp;"]"&amp;E573&amp;"'!"&amp;$AG$3),0)</f>
        <v>#VALUE!</v>
      </c>
      <c r="V573" s="25" t="str">
        <f t="shared" si="167"/>
        <v/>
      </c>
      <c r="W573" s="36" t="e" cm="1">
        <f t="array" aca="1" ref="W573" ca="1">IF(AND(G573=INDIRECT("'["&amp;G573&amp;"]"&amp;E573&amp;"'!"&amp;$AH$2),OR(V573=INDIRECT("'["&amp;G573&amp;"]"&amp;E573&amp;"'!"&amp;$AI$2))),INDIRECT("'["&amp;G573&amp;"]"&amp;E573&amp;"'!"&amp;$AI$3),0)</f>
        <v>#VALUE!</v>
      </c>
      <c r="AJ573" s="25">
        <v>1</v>
      </c>
      <c r="AK573" s="38">
        <f t="shared" ca="1" si="168"/>
        <v>0</v>
      </c>
      <c r="AL573" s="38">
        <f t="shared" ca="1" si="169"/>
        <v>0</v>
      </c>
      <c r="AM573" s="54" t="str">
        <f t="shared" ca="1" si="170"/>
        <v/>
      </c>
      <c r="AN573" s="25" t="e">
        <f t="shared" ca="1" si="171"/>
        <v>#VALUE!</v>
      </c>
      <c r="AO573" s="25" t="e">
        <f t="shared" ca="1" si="172"/>
        <v>#VALUE!</v>
      </c>
      <c r="AQ573" s="46" t="str">
        <f ca="1">IF(AND(C573&lt;&gt;0, C574=0), SUM($C$2:C573)-SUM($AQ$1:AQ572), "")</f>
        <v/>
      </c>
      <c r="AR573" s="46" t="str">
        <f ca="1">IF(AND(AK573&lt;&gt;0, AK574=0), SUM($AK$2:AK573)-SUM($AR$1:AR572), "")</f>
        <v/>
      </c>
    </row>
    <row r="574" spans="2:44" ht="13.15" customHeight="1">
      <c r="B574" s="68" t="str">
        <f t="shared" si="158"/>
        <v/>
      </c>
      <c r="C574" s="55" cm="1">
        <f t="array" aca="1" ref="C574" ca="1">SUM(IF(ISNUMBER(M574:U574),M574:U574,""))</f>
        <v>0</v>
      </c>
      <c r="D574" s="25" t="str">
        <f t="shared" si="159"/>
        <v/>
      </c>
      <c r="E574" s="25" t="e">
        <f t="shared" si="160"/>
        <v>#VALUE!</v>
      </c>
      <c r="F574" s="25" t="str">
        <f t="shared" si="161"/>
        <v/>
      </c>
      <c r="G574" s="25" t="str">
        <f t="shared" si="162"/>
        <v>.xlsx</v>
      </c>
      <c r="H574" s="29" t="e" cm="1">
        <f t="array" aca="1" ref="H574" ca="1">IF(AND(VALUE(E574)=INDIRECT("'["&amp;G574&amp;"]"&amp;E574&amp;"'!"&amp;$X$2),G574=INDIRECT("'["&amp;G574&amp;"]"&amp;E574&amp;"'!"&amp;$X$3)),INDIRECT("'["&amp;G574&amp;"]"&amp;E574&amp;"'!"&amp;$X$1),0)</f>
        <v>#VALUE!</v>
      </c>
      <c r="I574" s="25" t="str">
        <f t="shared" si="163"/>
        <v/>
      </c>
      <c r="J574" s="32" t="str">
        <f t="shared" si="164"/>
        <v/>
      </c>
      <c r="K574" s="25" t="str">
        <f t="shared" si="165"/>
        <v/>
      </c>
      <c r="L574" s="25" t="str">
        <f t="shared" si="166"/>
        <v/>
      </c>
      <c r="M574" s="33" t="e" cm="1">
        <f t="array" aca="1" ref="M574" ca="1">IF(AND(J574=INDIRECT("'["&amp;G574&amp;"]"&amp;E574&amp;"'!"&amp;$Y$2),G574=INDIRECT("'["&amp;G574&amp;"]"&amp;E574&amp;"'!"&amp;$AH$2)),INDIRECT("'["&amp;G574&amp;"]"&amp;E574&amp;"'!"&amp;$Y$3),0)</f>
        <v>#VALUE!</v>
      </c>
      <c r="N574" s="34" t="e" cm="1">
        <f t="array" aca="1" ref="N574" ca="1">IF(AND(G574=INDIRECT("'["&amp;G574&amp;"]"&amp;E574&amp;"'!"&amp;$AH$2),OR(K574=INDIRECT("'["&amp;G574&amp;"]"&amp;E574&amp;"'!"&amp;$Z$2))),INDIRECT("'["&amp;G574&amp;"]"&amp;E574&amp;"'!"&amp;$Z$3),0)</f>
        <v>#VALUE!</v>
      </c>
      <c r="O574" s="34" t="e" cm="1">
        <f t="array" aca="1" ref="O574" ca="1">IF(AND(G574=INDIRECT("'["&amp;G574&amp;"]"&amp;E574&amp;"'!"&amp;$AH$2),OR(L574=INDIRECT("'["&amp;G574&amp;"]"&amp;E574&amp;"'!"&amp;$AA$2))),INDIRECT("'["&amp;G574&amp;"]"&amp;E574&amp;"'!"&amp;$AA$3),0)</f>
        <v>#VALUE!</v>
      </c>
      <c r="P574" s="34" t="e" cm="1">
        <f t="array" aca="1" ref="P574" ca="1">IF(AND(G574=INDIRECT("'["&amp;G574&amp;"]"&amp;E574&amp;"'!"&amp;$AH$2),OR(VALUE(I574)=INDIRECT("'["&amp;G574&amp;"]"&amp;E574&amp;"'!"&amp;$AB$2))),INDIRECT("'["&amp;G574&amp;"]"&amp;E574&amp;"'!"&amp;$AB$3),0)</f>
        <v>#VALUE!</v>
      </c>
      <c r="Q574" s="34" t="e" cm="1">
        <f t="array" aca="1" ref="Q574" ca="1">IF(AND(G574=INDIRECT("'["&amp;G574&amp;"]"&amp;E574&amp;"'!"&amp;$AH$2),OR(VALUE(I574)=INDIRECT("'["&amp;G574&amp;"]"&amp;E574&amp;"'!"&amp;$AC$2))),INDIRECT("'["&amp;G574&amp;"]"&amp;E574&amp;"'!"&amp;$AC$3),0)</f>
        <v>#VALUE!</v>
      </c>
      <c r="R574" s="34" t="e" cm="1">
        <f t="array" aca="1" ref="R574" ca="1">IF(AND(G574=INDIRECT("'["&amp;G574&amp;"]"&amp;E574&amp;"'!"&amp;$AH$2),OR(I574=INDIRECT("'["&amp;G574&amp;"]"&amp;E574&amp;"'!"&amp;$AD$2))),INDIRECT("'["&amp;G574&amp;"]"&amp;E574&amp;"'!"&amp;$AD$3),0)</f>
        <v>#VALUE!</v>
      </c>
      <c r="S574" s="34" t="e" cm="1">
        <f t="array" aca="1" ref="S574" ca="1">IF(AND(G574=INDIRECT("'["&amp;G574&amp;"]"&amp;E574&amp;"'!"&amp;$AH$2),OR(I574=INDIRECT("'["&amp;G574&amp;"]"&amp;E574&amp;"'!"&amp;$AE$2))),INDIRECT("'["&amp;G574&amp;"]"&amp;E574&amp;"'!"&amp;$AE$3),0)</f>
        <v>#VALUE!</v>
      </c>
      <c r="T574" s="35" t="e" cm="1">
        <f t="array" aca="1" ref="T574" ca="1">IF(AND(G574=INDIRECT("'["&amp;G574&amp;"]"&amp;E574&amp;"'!"&amp;$AH$2),OR(I574=INDIRECT("'["&amp;G574&amp;"]"&amp;E574&amp;"'!"&amp;$AF$2))),INDIRECT("'["&amp;G574&amp;"]"&amp;E574&amp;"'!"&amp;$AF$3),0)</f>
        <v>#VALUE!</v>
      </c>
      <c r="U574" s="34" t="e" cm="1">
        <f t="array" aca="1" ref="U574" ca="1">IF(AND(G574=INDIRECT("'["&amp;G574&amp;"]"&amp;E574&amp;"'!"&amp;$AH$2),OR(I574=INDIRECT("'["&amp;G574&amp;"]"&amp;E574&amp;"'!"&amp;$AG$2))),INDIRECT("'["&amp;G574&amp;"]"&amp;E574&amp;"'!"&amp;$AG$3),0)</f>
        <v>#VALUE!</v>
      </c>
      <c r="V574" s="25" t="str">
        <f t="shared" si="167"/>
        <v/>
      </c>
      <c r="W574" s="36" t="e" cm="1">
        <f t="array" aca="1" ref="W574" ca="1">IF(AND(G574=INDIRECT("'["&amp;G574&amp;"]"&amp;E574&amp;"'!"&amp;$AH$2),OR(V574=INDIRECT("'["&amp;G574&amp;"]"&amp;E574&amp;"'!"&amp;$AI$2))),INDIRECT("'["&amp;G574&amp;"]"&amp;E574&amp;"'!"&amp;$AI$3),0)</f>
        <v>#VALUE!</v>
      </c>
      <c r="AJ574" s="25">
        <v>1</v>
      </c>
      <c r="AK574" s="38">
        <f t="shared" ca="1" si="168"/>
        <v>0</v>
      </c>
      <c r="AL574" s="38">
        <f t="shared" ca="1" si="169"/>
        <v>0</v>
      </c>
      <c r="AM574" s="54" t="str">
        <f t="shared" ca="1" si="170"/>
        <v/>
      </c>
      <c r="AN574" s="25" t="e">
        <f t="shared" ca="1" si="171"/>
        <v>#VALUE!</v>
      </c>
      <c r="AO574" s="25" t="e">
        <f t="shared" ca="1" si="172"/>
        <v>#VALUE!</v>
      </c>
      <c r="AQ574" s="46" t="str">
        <f ca="1">IF(AND(C574&lt;&gt;0, C575=0), SUM($C$2:C574)-SUM($AQ$1:AQ573), "")</f>
        <v/>
      </c>
      <c r="AR574" s="46" t="str">
        <f ca="1">IF(AND(AK574&lt;&gt;0, AK575=0), SUM($AK$2:AK574)-SUM($AR$1:AR573), "")</f>
        <v/>
      </c>
    </row>
    <row r="575" spans="2:44" ht="13.15" customHeight="1">
      <c r="B575" s="68" t="str">
        <f t="shared" si="158"/>
        <v/>
      </c>
      <c r="C575" s="55" cm="1">
        <f t="array" aca="1" ref="C575" ca="1">SUM(IF(ISNUMBER(M575:U575),M575:U575,""))</f>
        <v>0</v>
      </c>
      <c r="D575" s="25" t="str">
        <f t="shared" si="159"/>
        <v/>
      </c>
      <c r="E575" s="25" t="e">
        <f t="shared" si="160"/>
        <v>#VALUE!</v>
      </c>
      <c r="F575" s="25" t="str">
        <f t="shared" si="161"/>
        <v/>
      </c>
      <c r="G575" s="25" t="str">
        <f t="shared" si="162"/>
        <v>.xlsx</v>
      </c>
      <c r="H575" s="29" t="e" cm="1">
        <f t="array" aca="1" ref="H575" ca="1">IF(AND(VALUE(E575)=INDIRECT("'["&amp;G575&amp;"]"&amp;E575&amp;"'!"&amp;$X$2),G575=INDIRECT("'["&amp;G575&amp;"]"&amp;E575&amp;"'!"&amp;$X$3)),INDIRECT("'["&amp;G575&amp;"]"&amp;E575&amp;"'!"&amp;$X$1),0)</f>
        <v>#VALUE!</v>
      </c>
      <c r="I575" s="25" t="str">
        <f t="shared" si="163"/>
        <v/>
      </c>
      <c r="J575" s="32" t="str">
        <f t="shared" si="164"/>
        <v/>
      </c>
      <c r="K575" s="25" t="str">
        <f t="shared" si="165"/>
        <v/>
      </c>
      <c r="L575" s="25" t="str">
        <f t="shared" si="166"/>
        <v/>
      </c>
      <c r="M575" s="33" t="e" cm="1">
        <f t="array" aca="1" ref="M575" ca="1">IF(AND(J575=INDIRECT("'["&amp;G575&amp;"]"&amp;E575&amp;"'!"&amp;$Y$2),G575=INDIRECT("'["&amp;G575&amp;"]"&amp;E575&amp;"'!"&amp;$AH$2)),INDIRECT("'["&amp;G575&amp;"]"&amp;E575&amp;"'!"&amp;$Y$3),0)</f>
        <v>#VALUE!</v>
      </c>
      <c r="N575" s="34" t="e" cm="1">
        <f t="array" aca="1" ref="N575" ca="1">IF(AND(G575=INDIRECT("'["&amp;G575&amp;"]"&amp;E575&amp;"'!"&amp;$AH$2),OR(K575=INDIRECT("'["&amp;G575&amp;"]"&amp;E575&amp;"'!"&amp;$Z$2))),INDIRECT("'["&amp;G575&amp;"]"&amp;E575&amp;"'!"&amp;$Z$3),0)</f>
        <v>#VALUE!</v>
      </c>
      <c r="O575" s="34" t="e" cm="1">
        <f t="array" aca="1" ref="O575" ca="1">IF(AND(G575=INDIRECT("'["&amp;G575&amp;"]"&amp;E575&amp;"'!"&amp;$AH$2),OR(L575=INDIRECT("'["&amp;G575&amp;"]"&amp;E575&amp;"'!"&amp;$AA$2))),INDIRECT("'["&amp;G575&amp;"]"&amp;E575&amp;"'!"&amp;$AA$3),0)</f>
        <v>#VALUE!</v>
      </c>
      <c r="P575" s="34" t="e" cm="1">
        <f t="array" aca="1" ref="P575" ca="1">IF(AND(G575=INDIRECT("'["&amp;G575&amp;"]"&amp;E575&amp;"'!"&amp;$AH$2),OR(VALUE(I575)=INDIRECT("'["&amp;G575&amp;"]"&amp;E575&amp;"'!"&amp;$AB$2))),INDIRECT("'["&amp;G575&amp;"]"&amp;E575&amp;"'!"&amp;$AB$3),0)</f>
        <v>#VALUE!</v>
      </c>
      <c r="Q575" s="34" t="e" cm="1">
        <f t="array" aca="1" ref="Q575" ca="1">IF(AND(G575=INDIRECT("'["&amp;G575&amp;"]"&amp;E575&amp;"'!"&amp;$AH$2),OR(VALUE(I575)=INDIRECT("'["&amp;G575&amp;"]"&amp;E575&amp;"'!"&amp;$AC$2))),INDIRECT("'["&amp;G575&amp;"]"&amp;E575&amp;"'!"&amp;$AC$3),0)</f>
        <v>#VALUE!</v>
      </c>
      <c r="R575" s="34" t="e" cm="1">
        <f t="array" aca="1" ref="R575" ca="1">IF(AND(G575=INDIRECT("'["&amp;G575&amp;"]"&amp;E575&amp;"'!"&amp;$AH$2),OR(I575=INDIRECT("'["&amp;G575&amp;"]"&amp;E575&amp;"'!"&amp;$AD$2))),INDIRECT("'["&amp;G575&amp;"]"&amp;E575&amp;"'!"&amp;$AD$3),0)</f>
        <v>#VALUE!</v>
      </c>
      <c r="S575" s="34" t="e" cm="1">
        <f t="array" aca="1" ref="S575" ca="1">IF(AND(G575=INDIRECT("'["&amp;G575&amp;"]"&amp;E575&amp;"'!"&amp;$AH$2),OR(I575=INDIRECT("'["&amp;G575&amp;"]"&amp;E575&amp;"'!"&amp;$AE$2))),INDIRECT("'["&amp;G575&amp;"]"&amp;E575&amp;"'!"&amp;$AE$3),0)</f>
        <v>#VALUE!</v>
      </c>
      <c r="T575" s="35" t="e" cm="1">
        <f t="array" aca="1" ref="T575" ca="1">IF(AND(G575=INDIRECT("'["&amp;G575&amp;"]"&amp;E575&amp;"'!"&amp;$AH$2),OR(I575=INDIRECT("'["&amp;G575&amp;"]"&amp;E575&amp;"'!"&amp;$AF$2))),INDIRECT("'["&amp;G575&amp;"]"&amp;E575&amp;"'!"&amp;$AF$3),0)</f>
        <v>#VALUE!</v>
      </c>
      <c r="U575" s="34" t="e" cm="1">
        <f t="array" aca="1" ref="U575" ca="1">IF(AND(G575=INDIRECT("'["&amp;G575&amp;"]"&amp;E575&amp;"'!"&amp;$AH$2),OR(I575=INDIRECT("'["&amp;G575&amp;"]"&amp;E575&amp;"'!"&amp;$AG$2))),INDIRECT("'["&amp;G575&amp;"]"&amp;E575&amp;"'!"&amp;$AG$3),0)</f>
        <v>#VALUE!</v>
      </c>
      <c r="V575" s="25" t="str">
        <f t="shared" si="167"/>
        <v/>
      </c>
      <c r="W575" s="36" t="e" cm="1">
        <f t="array" aca="1" ref="W575" ca="1">IF(AND(G575=INDIRECT("'["&amp;G575&amp;"]"&amp;E575&amp;"'!"&amp;$AH$2),OR(V575=INDIRECT("'["&amp;G575&amp;"]"&amp;E575&amp;"'!"&amp;$AI$2))),INDIRECT("'["&amp;G575&amp;"]"&amp;E575&amp;"'!"&amp;$AI$3),0)</f>
        <v>#VALUE!</v>
      </c>
      <c r="AJ575" s="25">
        <v>1</v>
      </c>
      <c r="AK575" s="38">
        <f t="shared" ca="1" si="168"/>
        <v>0</v>
      </c>
      <c r="AL575" s="38">
        <f t="shared" ca="1" si="169"/>
        <v>0</v>
      </c>
      <c r="AM575" s="54" t="str">
        <f t="shared" ca="1" si="170"/>
        <v/>
      </c>
      <c r="AN575" s="25" t="e">
        <f t="shared" ca="1" si="171"/>
        <v>#VALUE!</v>
      </c>
      <c r="AO575" s="25" t="e">
        <f t="shared" ca="1" si="172"/>
        <v>#VALUE!</v>
      </c>
      <c r="AQ575" s="46" t="str">
        <f ca="1">IF(AND(C575&lt;&gt;0, C576=0), SUM($C$2:C575)-SUM($AQ$1:AQ574), "")</f>
        <v/>
      </c>
      <c r="AR575" s="46" t="str">
        <f ca="1">IF(AND(AK575&lt;&gt;0, AK576=0), SUM($AK$2:AK575)-SUM($AR$1:AR574), "")</f>
        <v/>
      </c>
    </row>
    <row r="576" spans="2:44" ht="13.15" customHeight="1">
      <c r="B576" s="68" t="str">
        <f t="shared" si="158"/>
        <v/>
      </c>
      <c r="C576" s="55" cm="1">
        <f t="array" aca="1" ref="C576" ca="1">SUM(IF(ISNUMBER(M576:U576),M576:U576,""))</f>
        <v>0</v>
      </c>
      <c r="D576" s="25" t="str">
        <f t="shared" si="159"/>
        <v/>
      </c>
      <c r="E576" s="25" t="e">
        <f t="shared" si="160"/>
        <v>#VALUE!</v>
      </c>
      <c r="F576" s="25" t="str">
        <f t="shared" si="161"/>
        <v/>
      </c>
      <c r="G576" s="25" t="str">
        <f t="shared" si="162"/>
        <v>.xlsx</v>
      </c>
      <c r="H576" s="29" t="e" cm="1">
        <f t="array" aca="1" ref="H576" ca="1">IF(AND(VALUE(E576)=INDIRECT("'["&amp;G576&amp;"]"&amp;E576&amp;"'!"&amp;$X$2),G576=INDIRECT("'["&amp;G576&amp;"]"&amp;E576&amp;"'!"&amp;$X$3)),INDIRECT("'["&amp;G576&amp;"]"&amp;E576&amp;"'!"&amp;$X$1),0)</f>
        <v>#VALUE!</v>
      </c>
      <c r="I576" s="25" t="str">
        <f t="shared" si="163"/>
        <v/>
      </c>
      <c r="J576" s="32" t="str">
        <f t="shared" si="164"/>
        <v/>
      </c>
      <c r="K576" s="25" t="str">
        <f t="shared" si="165"/>
        <v/>
      </c>
      <c r="L576" s="25" t="str">
        <f t="shared" si="166"/>
        <v/>
      </c>
      <c r="M576" s="33" t="e" cm="1">
        <f t="array" aca="1" ref="M576" ca="1">IF(AND(J576=INDIRECT("'["&amp;G576&amp;"]"&amp;E576&amp;"'!"&amp;$Y$2),G576=INDIRECT("'["&amp;G576&amp;"]"&amp;E576&amp;"'!"&amp;$AH$2)),INDIRECT("'["&amp;G576&amp;"]"&amp;E576&amp;"'!"&amp;$Y$3),0)</f>
        <v>#VALUE!</v>
      </c>
      <c r="N576" s="34" t="e" cm="1">
        <f t="array" aca="1" ref="N576" ca="1">IF(AND(G576=INDIRECT("'["&amp;G576&amp;"]"&amp;E576&amp;"'!"&amp;$AH$2),OR(K576=INDIRECT("'["&amp;G576&amp;"]"&amp;E576&amp;"'!"&amp;$Z$2))),INDIRECT("'["&amp;G576&amp;"]"&amp;E576&amp;"'!"&amp;$Z$3),0)</f>
        <v>#VALUE!</v>
      </c>
      <c r="O576" s="34" t="e" cm="1">
        <f t="array" aca="1" ref="O576" ca="1">IF(AND(G576=INDIRECT("'["&amp;G576&amp;"]"&amp;E576&amp;"'!"&amp;$AH$2),OR(L576=INDIRECT("'["&amp;G576&amp;"]"&amp;E576&amp;"'!"&amp;$AA$2))),INDIRECT("'["&amp;G576&amp;"]"&amp;E576&amp;"'!"&amp;$AA$3),0)</f>
        <v>#VALUE!</v>
      </c>
      <c r="P576" s="34" t="e" cm="1">
        <f t="array" aca="1" ref="P576" ca="1">IF(AND(G576=INDIRECT("'["&amp;G576&amp;"]"&amp;E576&amp;"'!"&amp;$AH$2),OR(VALUE(I576)=INDIRECT("'["&amp;G576&amp;"]"&amp;E576&amp;"'!"&amp;$AB$2))),INDIRECT("'["&amp;G576&amp;"]"&amp;E576&amp;"'!"&amp;$AB$3),0)</f>
        <v>#VALUE!</v>
      </c>
      <c r="Q576" s="34" t="e" cm="1">
        <f t="array" aca="1" ref="Q576" ca="1">IF(AND(G576=INDIRECT("'["&amp;G576&amp;"]"&amp;E576&amp;"'!"&amp;$AH$2),OR(VALUE(I576)=INDIRECT("'["&amp;G576&amp;"]"&amp;E576&amp;"'!"&amp;$AC$2))),INDIRECT("'["&amp;G576&amp;"]"&amp;E576&amp;"'!"&amp;$AC$3),0)</f>
        <v>#VALUE!</v>
      </c>
      <c r="R576" s="34" t="e" cm="1">
        <f t="array" aca="1" ref="R576" ca="1">IF(AND(G576=INDIRECT("'["&amp;G576&amp;"]"&amp;E576&amp;"'!"&amp;$AH$2),OR(I576=INDIRECT("'["&amp;G576&amp;"]"&amp;E576&amp;"'!"&amp;$AD$2))),INDIRECT("'["&amp;G576&amp;"]"&amp;E576&amp;"'!"&amp;$AD$3),0)</f>
        <v>#VALUE!</v>
      </c>
      <c r="S576" s="34" t="e" cm="1">
        <f t="array" aca="1" ref="S576" ca="1">IF(AND(G576=INDIRECT("'["&amp;G576&amp;"]"&amp;E576&amp;"'!"&amp;$AH$2),OR(I576=INDIRECT("'["&amp;G576&amp;"]"&amp;E576&amp;"'!"&amp;$AE$2))),INDIRECT("'["&amp;G576&amp;"]"&amp;E576&amp;"'!"&amp;$AE$3),0)</f>
        <v>#VALUE!</v>
      </c>
      <c r="T576" s="35" t="e" cm="1">
        <f t="array" aca="1" ref="T576" ca="1">IF(AND(G576=INDIRECT("'["&amp;G576&amp;"]"&amp;E576&amp;"'!"&amp;$AH$2),OR(I576=INDIRECT("'["&amp;G576&amp;"]"&amp;E576&amp;"'!"&amp;$AF$2))),INDIRECT("'["&amp;G576&amp;"]"&amp;E576&amp;"'!"&amp;$AF$3),0)</f>
        <v>#VALUE!</v>
      </c>
      <c r="U576" s="34" t="e" cm="1">
        <f t="array" aca="1" ref="U576" ca="1">IF(AND(G576=INDIRECT("'["&amp;G576&amp;"]"&amp;E576&amp;"'!"&amp;$AH$2),OR(I576=INDIRECT("'["&amp;G576&amp;"]"&amp;E576&amp;"'!"&amp;$AG$2))),INDIRECT("'["&amp;G576&amp;"]"&amp;E576&amp;"'!"&amp;$AG$3),0)</f>
        <v>#VALUE!</v>
      </c>
      <c r="V576" s="25" t="str">
        <f t="shared" si="167"/>
        <v/>
      </c>
      <c r="W576" s="36" t="e" cm="1">
        <f t="array" aca="1" ref="W576" ca="1">IF(AND(G576=INDIRECT("'["&amp;G576&amp;"]"&amp;E576&amp;"'!"&amp;$AH$2),OR(V576=INDIRECT("'["&amp;G576&amp;"]"&amp;E576&amp;"'!"&amp;$AI$2))),INDIRECT("'["&amp;G576&amp;"]"&amp;E576&amp;"'!"&amp;$AI$3),0)</f>
        <v>#VALUE!</v>
      </c>
      <c r="AJ576" s="25">
        <v>1</v>
      </c>
      <c r="AK576" s="38">
        <f t="shared" ca="1" si="168"/>
        <v>0</v>
      </c>
      <c r="AL576" s="38">
        <f t="shared" ca="1" si="169"/>
        <v>0</v>
      </c>
      <c r="AM576" s="54" t="str">
        <f t="shared" ca="1" si="170"/>
        <v/>
      </c>
      <c r="AN576" s="25" t="e">
        <f t="shared" ca="1" si="171"/>
        <v>#VALUE!</v>
      </c>
      <c r="AO576" s="25" t="e">
        <f t="shared" ca="1" si="172"/>
        <v>#VALUE!</v>
      </c>
      <c r="AQ576" s="46" t="str">
        <f ca="1">IF(AND(C576&lt;&gt;0, C577=0), SUM($C$2:C576)-SUM($AQ$1:AQ575), "")</f>
        <v/>
      </c>
      <c r="AR576" s="46" t="str">
        <f ca="1">IF(AND(AK576&lt;&gt;0, AK577=0), SUM($AK$2:AK576)-SUM($AR$1:AR575), "")</f>
        <v/>
      </c>
    </row>
    <row r="577" spans="2:44" ht="13.15" customHeight="1">
      <c r="B577" s="68" t="str">
        <f t="shared" si="158"/>
        <v/>
      </c>
      <c r="C577" s="55" cm="1">
        <f t="array" aca="1" ref="C577" ca="1">SUM(IF(ISNUMBER(M577:U577),M577:U577,""))</f>
        <v>0</v>
      </c>
      <c r="D577" s="25" t="str">
        <f t="shared" si="159"/>
        <v/>
      </c>
      <c r="E577" s="25" t="e">
        <f t="shared" si="160"/>
        <v>#VALUE!</v>
      </c>
      <c r="F577" s="25" t="str">
        <f t="shared" si="161"/>
        <v/>
      </c>
      <c r="G577" s="25" t="str">
        <f t="shared" si="162"/>
        <v>.xlsx</v>
      </c>
      <c r="H577" s="29" t="e" cm="1">
        <f t="array" aca="1" ref="H577" ca="1">IF(AND(VALUE(E577)=INDIRECT("'["&amp;G577&amp;"]"&amp;E577&amp;"'!"&amp;$X$2),G577=INDIRECT("'["&amp;G577&amp;"]"&amp;E577&amp;"'!"&amp;$X$3)),INDIRECT("'["&amp;G577&amp;"]"&amp;E577&amp;"'!"&amp;$X$1),0)</f>
        <v>#VALUE!</v>
      </c>
      <c r="I577" s="25" t="str">
        <f t="shared" si="163"/>
        <v/>
      </c>
      <c r="J577" s="32" t="str">
        <f t="shared" si="164"/>
        <v/>
      </c>
      <c r="K577" s="25" t="str">
        <f t="shared" si="165"/>
        <v/>
      </c>
      <c r="L577" s="25" t="str">
        <f t="shared" si="166"/>
        <v/>
      </c>
      <c r="M577" s="33" t="e" cm="1">
        <f t="array" aca="1" ref="M577" ca="1">IF(AND(J577=INDIRECT("'["&amp;G577&amp;"]"&amp;E577&amp;"'!"&amp;$Y$2),G577=INDIRECT("'["&amp;G577&amp;"]"&amp;E577&amp;"'!"&amp;$AH$2)),INDIRECT("'["&amp;G577&amp;"]"&amp;E577&amp;"'!"&amp;$Y$3),0)</f>
        <v>#VALUE!</v>
      </c>
      <c r="N577" s="34" t="e" cm="1">
        <f t="array" aca="1" ref="N577" ca="1">IF(AND(G577=INDIRECT("'["&amp;G577&amp;"]"&amp;E577&amp;"'!"&amp;$AH$2),OR(K577=INDIRECT("'["&amp;G577&amp;"]"&amp;E577&amp;"'!"&amp;$Z$2))),INDIRECT("'["&amp;G577&amp;"]"&amp;E577&amp;"'!"&amp;$Z$3),0)</f>
        <v>#VALUE!</v>
      </c>
      <c r="O577" s="34" t="e" cm="1">
        <f t="array" aca="1" ref="O577" ca="1">IF(AND(G577=INDIRECT("'["&amp;G577&amp;"]"&amp;E577&amp;"'!"&amp;$AH$2),OR(L577=INDIRECT("'["&amp;G577&amp;"]"&amp;E577&amp;"'!"&amp;$AA$2))),INDIRECT("'["&amp;G577&amp;"]"&amp;E577&amp;"'!"&amp;$AA$3),0)</f>
        <v>#VALUE!</v>
      </c>
      <c r="P577" s="34" t="e" cm="1">
        <f t="array" aca="1" ref="P577" ca="1">IF(AND(G577=INDIRECT("'["&amp;G577&amp;"]"&amp;E577&amp;"'!"&amp;$AH$2),OR(VALUE(I577)=INDIRECT("'["&amp;G577&amp;"]"&amp;E577&amp;"'!"&amp;$AB$2))),INDIRECT("'["&amp;G577&amp;"]"&amp;E577&amp;"'!"&amp;$AB$3),0)</f>
        <v>#VALUE!</v>
      </c>
      <c r="Q577" s="34" t="e" cm="1">
        <f t="array" aca="1" ref="Q577" ca="1">IF(AND(G577=INDIRECT("'["&amp;G577&amp;"]"&amp;E577&amp;"'!"&amp;$AH$2),OR(VALUE(I577)=INDIRECT("'["&amp;G577&amp;"]"&amp;E577&amp;"'!"&amp;$AC$2))),INDIRECT("'["&amp;G577&amp;"]"&amp;E577&amp;"'!"&amp;$AC$3),0)</f>
        <v>#VALUE!</v>
      </c>
      <c r="R577" s="34" t="e" cm="1">
        <f t="array" aca="1" ref="R577" ca="1">IF(AND(G577=INDIRECT("'["&amp;G577&amp;"]"&amp;E577&amp;"'!"&amp;$AH$2),OR(I577=INDIRECT("'["&amp;G577&amp;"]"&amp;E577&amp;"'!"&amp;$AD$2))),INDIRECT("'["&amp;G577&amp;"]"&amp;E577&amp;"'!"&amp;$AD$3),0)</f>
        <v>#VALUE!</v>
      </c>
      <c r="S577" s="34" t="e" cm="1">
        <f t="array" aca="1" ref="S577" ca="1">IF(AND(G577=INDIRECT("'["&amp;G577&amp;"]"&amp;E577&amp;"'!"&amp;$AH$2),OR(I577=INDIRECT("'["&amp;G577&amp;"]"&amp;E577&amp;"'!"&amp;$AE$2))),INDIRECT("'["&amp;G577&amp;"]"&amp;E577&amp;"'!"&amp;$AE$3),0)</f>
        <v>#VALUE!</v>
      </c>
      <c r="T577" s="35" t="e" cm="1">
        <f t="array" aca="1" ref="T577" ca="1">IF(AND(G577=INDIRECT("'["&amp;G577&amp;"]"&amp;E577&amp;"'!"&amp;$AH$2),OR(I577=INDIRECT("'["&amp;G577&amp;"]"&amp;E577&amp;"'!"&amp;$AF$2))),INDIRECT("'["&amp;G577&amp;"]"&amp;E577&amp;"'!"&amp;$AF$3),0)</f>
        <v>#VALUE!</v>
      </c>
      <c r="U577" s="34" t="e" cm="1">
        <f t="array" aca="1" ref="U577" ca="1">IF(AND(G577=INDIRECT("'["&amp;G577&amp;"]"&amp;E577&amp;"'!"&amp;$AH$2),OR(I577=INDIRECT("'["&amp;G577&amp;"]"&amp;E577&amp;"'!"&amp;$AG$2))),INDIRECT("'["&amp;G577&amp;"]"&amp;E577&amp;"'!"&amp;$AG$3),0)</f>
        <v>#VALUE!</v>
      </c>
      <c r="V577" s="25" t="str">
        <f t="shared" si="167"/>
        <v/>
      </c>
      <c r="W577" s="36" t="e" cm="1">
        <f t="array" aca="1" ref="W577" ca="1">IF(AND(G577=INDIRECT("'["&amp;G577&amp;"]"&amp;E577&amp;"'!"&amp;$AH$2),OR(V577=INDIRECT("'["&amp;G577&amp;"]"&amp;E577&amp;"'!"&amp;$AI$2))),INDIRECT("'["&amp;G577&amp;"]"&amp;E577&amp;"'!"&amp;$AI$3),0)</f>
        <v>#VALUE!</v>
      </c>
      <c r="AJ577" s="25">
        <v>1</v>
      </c>
      <c r="AK577" s="38">
        <f t="shared" ca="1" si="168"/>
        <v>0</v>
      </c>
      <c r="AL577" s="38">
        <f t="shared" ca="1" si="169"/>
        <v>0</v>
      </c>
      <c r="AM577" s="54" t="str">
        <f t="shared" ca="1" si="170"/>
        <v/>
      </c>
      <c r="AN577" s="25" t="e">
        <f t="shared" ca="1" si="171"/>
        <v>#VALUE!</v>
      </c>
      <c r="AO577" s="25" t="e">
        <f t="shared" ca="1" si="172"/>
        <v>#VALUE!</v>
      </c>
      <c r="AQ577" s="46" t="str">
        <f ca="1">IF(AND(C577&lt;&gt;0, C578=0), SUM($C$2:C577)-SUM($AQ$1:AQ576), "")</f>
        <v/>
      </c>
      <c r="AR577" s="46" t="str">
        <f ca="1">IF(AND(AK577&lt;&gt;0, AK578=0), SUM($AK$2:AK577)-SUM($AR$1:AR576), "")</f>
        <v/>
      </c>
    </row>
    <row r="578" spans="2:44" ht="13.15" customHeight="1">
      <c r="B578" s="68" t="str">
        <f t="shared" si="158"/>
        <v/>
      </c>
      <c r="C578" s="55" cm="1">
        <f t="array" aca="1" ref="C578" ca="1">SUM(IF(ISNUMBER(M578:U578),M578:U578,""))</f>
        <v>0</v>
      </c>
      <c r="D578" s="25" t="str">
        <f t="shared" si="159"/>
        <v/>
      </c>
      <c r="E578" s="25" t="e">
        <f t="shared" si="160"/>
        <v>#VALUE!</v>
      </c>
      <c r="F578" s="25" t="str">
        <f t="shared" si="161"/>
        <v/>
      </c>
      <c r="G578" s="25" t="str">
        <f t="shared" si="162"/>
        <v>.xlsx</v>
      </c>
      <c r="H578" s="29" t="e" cm="1">
        <f t="array" aca="1" ref="H578" ca="1">IF(AND(VALUE(E578)=INDIRECT("'["&amp;G578&amp;"]"&amp;E578&amp;"'!"&amp;$X$2),G578=INDIRECT("'["&amp;G578&amp;"]"&amp;E578&amp;"'!"&amp;$X$3)),INDIRECT("'["&amp;G578&amp;"]"&amp;E578&amp;"'!"&amp;$X$1),0)</f>
        <v>#VALUE!</v>
      </c>
      <c r="I578" s="25" t="str">
        <f t="shared" si="163"/>
        <v/>
      </c>
      <c r="J578" s="32" t="str">
        <f t="shared" si="164"/>
        <v/>
      </c>
      <c r="K578" s="25" t="str">
        <f t="shared" si="165"/>
        <v/>
      </c>
      <c r="L578" s="25" t="str">
        <f t="shared" si="166"/>
        <v/>
      </c>
      <c r="M578" s="33" t="e" cm="1">
        <f t="array" aca="1" ref="M578" ca="1">IF(AND(J578=INDIRECT("'["&amp;G578&amp;"]"&amp;E578&amp;"'!"&amp;$Y$2),G578=INDIRECT("'["&amp;G578&amp;"]"&amp;E578&amp;"'!"&amp;$AH$2)),INDIRECT("'["&amp;G578&amp;"]"&amp;E578&amp;"'!"&amp;$Y$3),0)</f>
        <v>#VALUE!</v>
      </c>
      <c r="N578" s="34" t="e" cm="1">
        <f t="array" aca="1" ref="N578" ca="1">IF(AND(G578=INDIRECT("'["&amp;G578&amp;"]"&amp;E578&amp;"'!"&amp;$AH$2),OR(K578=INDIRECT("'["&amp;G578&amp;"]"&amp;E578&amp;"'!"&amp;$Z$2))),INDIRECT("'["&amp;G578&amp;"]"&amp;E578&amp;"'!"&amp;$Z$3),0)</f>
        <v>#VALUE!</v>
      </c>
      <c r="O578" s="34" t="e" cm="1">
        <f t="array" aca="1" ref="O578" ca="1">IF(AND(G578=INDIRECT("'["&amp;G578&amp;"]"&amp;E578&amp;"'!"&amp;$AH$2),OR(L578=INDIRECT("'["&amp;G578&amp;"]"&amp;E578&amp;"'!"&amp;$AA$2))),INDIRECT("'["&amp;G578&amp;"]"&amp;E578&amp;"'!"&amp;$AA$3),0)</f>
        <v>#VALUE!</v>
      </c>
      <c r="P578" s="34" t="e" cm="1">
        <f t="array" aca="1" ref="P578" ca="1">IF(AND(G578=INDIRECT("'["&amp;G578&amp;"]"&amp;E578&amp;"'!"&amp;$AH$2),OR(VALUE(I578)=INDIRECT("'["&amp;G578&amp;"]"&amp;E578&amp;"'!"&amp;$AB$2))),INDIRECT("'["&amp;G578&amp;"]"&amp;E578&amp;"'!"&amp;$AB$3),0)</f>
        <v>#VALUE!</v>
      </c>
      <c r="Q578" s="34" t="e" cm="1">
        <f t="array" aca="1" ref="Q578" ca="1">IF(AND(G578=INDIRECT("'["&amp;G578&amp;"]"&amp;E578&amp;"'!"&amp;$AH$2),OR(VALUE(I578)=INDIRECT("'["&amp;G578&amp;"]"&amp;E578&amp;"'!"&amp;$AC$2))),INDIRECT("'["&amp;G578&amp;"]"&amp;E578&amp;"'!"&amp;$AC$3),0)</f>
        <v>#VALUE!</v>
      </c>
      <c r="R578" s="34" t="e" cm="1">
        <f t="array" aca="1" ref="R578" ca="1">IF(AND(G578=INDIRECT("'["&amp;G578&amp;"]"&amp;E578&amp;"'!"&amp;$AH$2),OR(I578=INDIRECT("'["&amp;G578&amp;"]"&amp;E578&amp;"'!"&amp;$AD$2))),INDIRECT("'["&amp;G578&amp;"]"&amp;E578&amp;"'!"&amp;$AD$3),0)</f>
        <v>#VALUE!</v>
      </c>
      <c r="S578" s="34" t="e" cm="1">
        <f t="array" aca="1" ref="S578" ca="1">IF(AND(G578=INDIRECT("'["&amp;G578&amp;"]"&amp;E578&amp;"'!"&amp;$AH$2),OR(I578=INDIRECT("'["&amp;G578&amp;"]"&amp;E578&amp;"'!"&amp;$AE$2))),INDIRECT("'["&amp;G578&amp;"]"&amp;E578&amp;"'!"&amp;$AE$3),0)</f>
        <v>#VALUE!</v>
      </c>
      <c r="T578" s="35" t="e" cm="1">
        <f t="array" aca="1" ref="T578" ca="1">IF(AND(G578=INDIRECT("'["&amp;G578&amp;"]"&amp;E578&amp;"'!"&amp;$AH$2),OR(I578=INDIRECT("'["&amp;G578&amp;"]"&amp;E578&amp;"'!"&amp;$AF$2))),INDIRECT("'["&amp;G578&amp;"]"&amp;E578&amp;"'!"&amp;$AF$3),0)</f>
        <v>#VALUE!</v>
      </c>
      <c r="U578" s="34" t="e" cm="1">
        <f t="array" aca="1" ref="U578" ca="1">IF(AND(G578=INDIRECT("'["&amp;G578&amp;"]"&amp;E578&amp;"'!"&amp;$AH$2),OR(I578=INDIRECT("'["&amp;G578&amp;"]"&amp;E578&amp;"'!"&amp;$AG$2))),INDIRECT("'["&amp;G578&amp;"]"&amp;E578&amp;"'!"&amp;$AG$3),0)</f>
        <v>#VALUE!</v>
      </c>
      <c r="V578" s="25" t="str">
        <f t="shared" si="167"/>
        <v/>
      </c>
      <c r="W578" s="36" t="e" cm="1">
        <f t="array" aca="1" ref="W578" ca="1">IF(AND(G578=INDIRECT("'["&amp;G578&amp;"]"&amp;E578&amp;"'!"&amp;$AH$2),OR(V578=INDIRECT("'["&amp;G578&amp;"]"&amp;E578&amp;"'!"&amp;$AI$2))),INDIRECT("'["&amp;G578&amp;"]"&amp;E578&amp;"'!"&amp;$AI$3),0)</f>
        <v>#VALUE!</v>
      </c>
      <c r="AJ578" s="25">
        <v>1</v>
      </c>
      <c r="AK578" s="38">
        <f t="shared" ca="1" si="168"/>
        <v>0</v>
      </c>
      <c r="AL578" s="38">
        <f t="shared" ca="1" si="169"/>
        <v>0</v>
      </c>
      <c r="AM578" s="54" t="str">
        <f t="shared" ca="1" si="170"/>
        <v/>
      </c>
      <c r="AN578" s="25" t="e">
        <f t="shared" ca="1" si="171"/>
        <v>#VALUE!</v>
      </c>
      <c r="AO578" s="25" t="e">
        <f t="shared" ca="1" si="172"/>
        <v>#VALUE!</v>
      </c>
      <c r="AQ578" s="46" t="str">
        <f ca="1">IF(AND(C578&lt;&gt;0, C579=0), SUM($C$2:C578)-SUM($AQ$1:AQ577), "")</f>
        <v/>
      </c>
      <c r="AR578" s="46" t="str">
        <f ca="1">IF(AND(AK578&lt;&gt;0, AK579=0), SUM($AK$2:AK578)-SUM($AR$1:AR577), "")</f>
        <v/>
      </c>
    </row>
    <row r="579" spans="2:44" ht="13.15" customHeight="1">
      <c r="B579" s="68" t="str">
        <f t="shared" si="158"/>
        <v/>
      </c>
      <c r="C579" s="55" cm="1">
        <f t="array" aca="1" ref="C579" ca="1">SUM(IF(ISNUMBER(M579:U579),M579:U579,""))</f>
        <v>0</v>
      </c>
      <c r="D579" s="25" t="str">
        <f t="shared" si="159"/>
        <v/>
      </c>
      <c r="E579" s="25" t="e">
        <f t="shared" si="160"/>
        <v>#VALUE!</v>
      </c>
      <c r="F579" s="25" t="str">
        <f t="shared" si="161"/>
        <v/>
      </c>
      <c r="G579" s="25" t="str">
        <f t="shared" si="162"/>
        <v>.xlsx</v>
      </c>
      <c r="H579" s="29" t="e" cm="1">
        <f t="array" aca="1" ref="H579" ca="1">IF(AND(VALUE(E579)=INDIRECT("'["&amp;G579&amp;"]"&amp;E579&amp;"'!"&amp;$X$2),G579=INDIRECT("'["&amp;G579&amp;"]"&amp;E579&amp;"'!"&amp;$X$3)),INDIRECT("'["&amp;G579&amp;"]"&amp;E579&amp;"'!"&amp;$X$1),0)</f>
        <v>#VALUE!</v>
      </c>
      <c r="I579" s="25" t="str">
        <f t="shared" si="163"/>
        <v/>
      </c>
      <c r="J579" s="32" t="str">
        <f t="shared" si="164"/>
        <v/>
      </c>
      <c r="K579" s="25" t="str">
        <f t="shared" si="165"/>
        <v/>
      </c>
      <c r="L579" s="25" t="str">
        <f t="shared" si="166"/>
        <v/>
      </c>
      <c r="M579" s="33" t="e" cm="1">
        <f t="array" aca="1" ref="M579" ca="1">IF(AND(J579=INDIRECT("'["&amp;G579&amp;"]"&amp;E579&amp;"'!"&amp;$Y$2),G579=INDIRECT("'["&amp;G579&amp;"]"&amp;E579&amp;"'!"&amp;$AH$2)),INDIRECT("'["&amp;G579&amp;"]"&amp;E579&amp;"'!"&amp;$Y$3),0)</f>
        <v>#VALUE!</v>
      </c>
      <c r="N579" s="34" t="e" cm="1">
        <f t="array" aca="1" ref="N579" ca="1">IF(AND(G579=INDIRECT("'["&amp;G579&amp;"]"&amp;E579&amp;"'!"&amp;$AH$2),OR(K579=INDIRECT("'["&amp;G579&amp;"]"&amp;E579&amp;"'!"&amp;$Z$2))),INDIRECT("'["&amp;G579&amp;"]"&amp;E579&amp;"'!"&amp;$Z$3),0)</f>
        <v>#VALUE!</v>
      </c>
      <c r="O579" s="34" t="e" cm="1">
        <f t="array" aca="1" ref="O579" ca="1">IF(AND(G579=INDIRECT("'["&amp;G579&amp;"]"&amp;E579&amp;"'!"&amp;$AH$2),OR(L579=INDIRECT("'["&amp;G579&amp;"]"&amp;E579&amp;"'!"&amp;$AA$2))),INDIRECT("'["&amp;G579&amp;"]"&amp;E579&amp;"'!"&amp;$AA$3),0)</f>
        <v>#VALUE!</v>
      </c>
      <c r="P579" s="34" t="e" cm="1">
        <f t="array" aca="1" ref="P579" ca="1">IF(AND(G579=INDIRECT("'["&amp;G579&amp;"]"&amp;E579&amp;"'!"&amp;$AH$2),OR(VALUE(I579)=INDIRECT("'["&amp;G579&amp;"]"&amp;E579&amp;"'!"&amp;$AB$2))),INDIRECT("'["&amp;G579&amp;"]"&amp;E579&amp;"'!"&amp;$AB$3),0)</f>
        <v>#VALUE!</v>
      </c>
      <c r="Q579" s="34" t="e" cm="1">
        <f t="array" aca="1" ref="Q579" ca="1">IF(AND(G579=INDIRECT("'["&amp;G579&amp;"]"&amp;E579&amp;"'!"&amp;$AH$2),OR(VALUE(I579)=INDIRECT("'["&amp;G579&amp;"]"&amp;E579&amp;"'!"&amp;$AC$2))),INDIRECT("'["&amp;G579&amp;"]"&amp;E579&amp;"'!"&amp;$AC$3),0)</f>
        <v>#VALUE!</v>
      </c>
      <c r="R579" s="34" t="e" cm="1">
        <f t="array" aca="1" ref="R579" ca="1">IF(AND(G579=INDIRECT("'["&amp;G579&amp;"]"&amp;E579&amp;"'!"&amp;$AH$2),OR(I579=INDIRECT("'["&amp;G579&amp;"]"&amp;E579&amp;"'!"&amp;$AD$2))),INDIRECT("'["&amp;G579&amp;"]"&amp;E579&amp;"'!"&amp;$AD$3),0)</f>
        <v>#VALUE!</v>
      </c>
      <c r="S579" s="34" t="e" cm="1">
        <f t="array" aca="1" ref="S579" ca="1">IF(AND(G579=INDIRECT("'["&amp;G579&amp;"]"&amp;E579&amp;"'!"&amp;$AH$2),OR(I579=INDIRECT("'["&amp;G579&amp;"]"&amp;E579&amp;"'!"&amp;$AE$2))),INDIRECT("'["&amp;G579&amp;"]"&amp;E579&amp;"'!"&amp;$AE$3),0)</f>
        <v>#VALUE!</v>
      </c>
      <c r="T579" s="35" t="e" cm="1">
        <f t="array" aca="1" ref="T579" ca="1">IF(AND(G579=INDIRECT("'["&amp;G579&amp;"]"&amp;E579&amp;"'!"&amp;$AH$2),OR(I579=INDIRECT("'["&amp;G579&amp;"]"&amp;E579&amp;"'!"&amp;$AF$2))),INDIRECT("'["&amp;G579&amp;"]"&amp;E579&amp;"'!"&amp;$AF$3),0)</f>
        <v>#VALUE!</v>
      </c>
      <c r="U579" s="34" t="e" cm="1">
        <f t="array" aca="1" ref="U579" ca="1">IF(AND(G579=INDIRECT("'["&amp;G579&amp;"]"&amp;E579&amp;"'!"&amp;$AH$2),OR(I579=INDIRECT("'["&amp;G579&amp;"]"&amp;E579&amp;"'!"&amp;$AG$2))),INDIRECT("'["&amp;G579&amp;"]"&amp;E579&amp;"'!"&amp;$AG$3),0)</f>
        <v>#VALUE!</v>
      </c>
      <c r="V579" s="25" t="str">
        <f t="shared" si="167"/>
        <v/>
      </c>
      <c r="W579" s="36" t="e" cm="1">
        <f t="array" aca="1" ref="W579" ca="1">IF(AND(G579=INDIRECT("'["&amp;G579&amp;"]"&amp;E579&amp;"'!"&amp;$AH$2),OR(V579=INDIRECT("'["&amp;G579&amp;"]"&amp;E579&amp;"'!"&amp;$AI$2))),INDIRECT("'["&amp;G579&amp;"]"&amp;E579&amp;"'!"&amp;$AI$3),0)</f>
        <v>#VALUE!</v>
      </c>
      <c r="AJ579" s="25">
        <v>1</v>
      </c>
      <c r="AK579" s="38">
        <f t="shared" ca="1" si="168"/>
        <v>0</v>
      </c>
      <c r="AL579" s="38">
        <f t="shared" ca="1" si="169"/>
        <v>0</v>
      </c>
      <c r="AM579" s="54" t="str">
        <f t="shared" ca="1" si="170"/>
        <v/>
      </c>
      <c r="AN579" s="25" t="e">
        <f t="shared" ca="1" si="171"/>
        <v>#VALUE!</v>
      </c>
      <c r="AO579" s="25" t="e">
        <f t="shared" ca="1" si="172"/>
        <v>#VALUE!</v>
      </c>
      <c r="AQ579" s="46" t="str">
        <f ca="1">IF(AND(C579&lt;&gt;0, C580=0), SUM($C$2:C579)-SUM($AQ$1:AQ578), "")</f>
        <v/>
      </c>
      <c r="AR579" s="46" t="str">
        <f ca="1">IF(AND(AK579&lt;&gt;0, AK580=0), SUM($AK$2:AK579)-SUM($AR$1:AR578), "")</f>
        <v/>
      </c>
    </row>
    <row r="580" spans="2:44" ht="13.15" customHeight="1">
      <c r="B580" s="68" t="str">
        <f t="shared" si="158"/>
        <v/>
      </c>
      <c r="C580" s="55" cm="1">
        <f t="array" aca="1" ref="C580" ca="1">SUM(IF(ISNUMBER(M580:U580),M580:U580,""))</f>
        <v>0</v>
      </c>
      <c r="D580" s="25" t="str">
        <f t="shared" si="159"/>
        <v/>
      </c>
      <c r="E580" s="25" t="e">
        <f t="shared" si="160"/>
        <v>#VALUE!</v>
      </c>
      <c r="F580" s="25" t="str">
        <f t="shared" si="161"/>
        <v/>
      </c>
      <c r="G580" s="25" t="str">
        <f t="shared" si="162"/>
        <v>.xlsx</v>
      </c>
      <c r="H580" s="29" t="e" cm="1">
        <f t="array" aca="1" ref="H580" ca="1">IF(AND(VALUE(E580)=INDIRECT("'["&amp;G580&amp;"]"&amp;E580&amp;"'!"&amp;$X$2),G580=INDIRECT("'["&amp;G580&amp;"]"&amp;E580&amp;"'!"&amp;$X$3)),INDIRECT("'["&amp;G580&amp;"]"&amp;E580&amp;"'!"&amp;$X$1),0)</f>
        <v>#VALUE!</v>
      </c>
      <c r="I580" s="25" t="str">
        <f t="shared" si="163"/>
        <v/>
      </c>
      <c r="J580" s="32" t="str">
        <f t="shared" si="164"/>
        <v/>
      </c>
      <c r="K580" s="25" t="str">
        <f t="shared" si="165"/>
        <v/>
      </c>
      <c r="L580" s="25" t="str">
        <f t="shared" si="166"/>
        <v/>
      </c>
      <c r="M580" s="33" t="e" cm="1">
        <f t="array" aca="1" ref="M580" ca="1">IF(AND(J580=INDIRECT("'["&amp;G580&amp;"]"&amp;E580&amp;"'!"&amp;$Y$2),G580=INDIRECT("'["&amp;G580&amp;"]"&amp;E580&amp;"'!"&amp;$AH$2)),INDIRECT("'["&amp;G580&amp;"]"&amp;E580&amp;"'!"&amp;$Y$3),0)</f>
        <v>#VALUE!</v>
      </c>
      <c r="N580" s="34" t="e" cm="1">
        <f t="array" aca="1" ref="N580" ca="1">IF(AND(G580=INDIRECT("'["&amp;G580&amp;"]"&amp;E580&amp;"'!"&amp;$AH$2),OR(K580=INDIRECT("'["&amp;G580&amp;"]"&amp;E580&amp;"'!"&amp;$Z$2))),INDIRECT("'["&amp;G580&amp;"]"&amp;E580&amp;"'!"&amp;$Z$3),0)</f>
        <v>#VALUE!</v>
      </c>
      <c r="O580" s="34" t="e" cm="1">
        <f t="array" aca="1" ref="O580" ca="1">IF(AND(G580=INDIRECT("'["&amp;G580&amp;"]"&amp;E580&amp;"'!"&amp;$AH$2),OR(L580=INDIRECT("'["&amp;G580&amp;"]"&amp;E580&amp;"'!"&amp;$AA$2))),INDIRECT("'["&amp;G580&amp;"]"&amp;E580&amp;"'!"&amp;$AA$3),0)</f>
        <v>#VALUE!</v>
      </c>
      <c r="P580" s="34" t="e" cm="1">
        <f t="array" aca="1" ref="P580" ca="1">IF(AND(G580=INDIRECT("'["&amp;G580&amp;"]"&amp;E580&amp;"'!"&amp;$AH$2),OR(VALUE(I580)=INDIRECT("'["&amp;G580&amp;"]"&amp;E580&amp;"'!"&amp;$AB$2))),INDIRECT("'["&amp;G580&amp;"]"&amp;E580&amp;"'!"&amp;$AB$3),0)</f>
        <v>#VALUE!</v>
      </c>
      <c r="Q580" s="34" t="e" cm="1">
        <f t="array" aca="1" ref="Q580" ca="1">IF(AND(G580=INDIRECT("'["&amp;G580&amp;"]"&amp;E580&amp;"'!"&amp;$AH$2),OR(VALUE(I580)=INDIRECT("'["&amp;G580&amp;"]"&amp;E580&amp;"'!"&amp;$AC$2))),INDIRECT("'["&amp;G580&amp;"]"&amp;E580&amp;"'!"&amp;$AC$3),0)</f>
        <v>#VALUE!</v>
      </c>
      <c r="R580" s="34" t="e" cm="1">
        <f t="array" aca="1" ref="R580" ca="1">IF(AND(G580=INDIRECT("'["&amp;G580&amp;"]"&amp;E580&amp;"'!"&amp;$AH$2),OR(I580=INDIRECT("'["&amp;G580&amp;"]"&amp;E580&amp;"'!"&amp;$AD$2))),INDIRECT("'["&amp;G580&amp;"]"&amp;E580&amp;"'!"&amp;$AD$3),0)</f>
        <v>#VALUE!</v>
      </c>
      <c r="S580" s="34" t="e" cm="1">
        <f t="array" aca="1" ref="S580" ca="1">IF(AND(G580=INDIRECT("'["&amp;G580&amp;"]"&amp;E580&amp;"'!"&amp;$AH$2),OR(I580=INDIRECT("'["&amp;G580&amp;"]"&amp;E580&amp;"'!"&amp;$AE$2))),INDIRECT("'["&amp;G580&amp;"]"&amp;E580&amp;"'!"&amp;$AE$3),0)</f>
        <v>#VALUE!</v>
      </c>
      <c r="T580" s="35" t="e" cm="1">
        <f t="array" aca="1" ref="T580" ca="1">IF(AND(G580=INDIRECT("'["&amp;G580&amp;"]"&amp;E580&amp;"'!"&amp;$AH$2),OR(I580=INDIRECT("'["&amp;G580&amp;"]"&amp;E580&amp;"'!"&amp;$AF$2))),INDIRECT("'["&amp;G580&amp;"]"&amp;E580&amp;"'!"&amp;$AF$3),0)</f>
        <v>#VALUE!</v>
      </c>
      <c r="U580" s="34" t="e" cm="1">
        <f t="array" aca="1" ref="U580" ca="1">IF(AND(G580=INDIRECT("'["&amp;G580&amp;"]"&amp;E580&amp;"'!"&amp;$AH$2),OR(I580=INDIRECT("'["&amp;G580&amp;"]"&amp;E580&amp;"'!"&amp;$AG$2))),INDIRECT("'["&amp;G580&amp;"]"&amp;E580&amp;"'!"&amp;$AG$3),0)</f>
        <v>#VALUE!</v>
      </c>
      <c r="V580" s="25" t="str">
        <f t="shared" si="167"/>
        <v/>
      </c>
      <c r="W580" s="36" t="e" cm="1">
        <f t="array" aca="1" ref="W580" ca="1">IF(AND(G580=INDIRECT("'["&amp;G580&amp;"]"&amp;E580&amp;"'!"&amp;$AH$2),OR(V580=INDIRECT("'["&amp;G580&amp;"]"&amp;E580&amp;"'!"&amp;$AI$2))),INDIRECT("'["&amp;G580&amp;"]"&amp;E580&amp;"'!"&amp;$AI$3),0)</f>
        <v>#VALUE!</v>
      </c>
      <c r="AJ580" s="25">
        <v>1</v>
      </c>
      <c r="AK580" s="38">
        <f t="shared" ca="1" si="168"/>
        <v>0</v>
      </c>
      <c r="AL580" s="38">
        <f t="shared" ca="1" si="169"/>
        <v>0</v>
      </c>
      <c r="AM580" s="54" t="str">
        <f t="shared" ca="1" si="170"/>
        <v/>
      </c>
      <c r="AN580" s="25" t="e">
        <f t="shared" ca="1" si="171"/>
        <v>#VALUE!</v>
      </c>
      <c r="AO580" s="25" t="e">
        <f t="shared" ca="1" si="172"/>
        <v>#VALUE!</v>
      </c>
      <c r="AQ580" s="46" t="str">
        <f ca="1">IF(AND(C580&lt;&gt;0, C581=0), SUM($C$2:C580)-SUM($AQ$1:AQ579), "")</f>
        <v/>
      </c>
      <c r="AR580" s="46" t="str">
        <f ca="1">IF(AND(AK580&lt;&gt;0, AK581=0), SUM($AK$2:AK580)-SUM($AR$1:AR579), "")</f>
        <v/>
      </c>
    </row>
    <row r="581" spans="2:44" ht="13.15" customHeight="1">
      <c r="B581" s="68" t="str">
        <f t="shared" si="158"/>
        <v/>
      </c>
      <c r="C581" s="55" cm="1">
        <f t="array" aca="1" ref="C581" ca="1">SUM(IF(ISNUMBER(M581:U581),M581:U581,""))</f>
        <v>0</v>
      </c>
      <c r="D581" s="25" t="str">
        <f t="shared" si="159"/>
        <v/>
      </c>
      <c r="E581" s="25" t="e">
        <f t="shared" si="160"/>
        <v>#VALUE!</v>
      </c>
      <c r="F581" s="25" t="str">
        <f t="shared" si="161"/>
        <v/>
      </c>
      <c r="G581" s="25" t="str">
        <f t="shared" si="162"/>
        <v>.xlsx</v>
      </c>
      <c r="H581" s="29" t="e" cm="1">
        <f t="array" aca="1" ref="H581" ca="1">IF(AND(VALUE(E581)=INDIRECT("'["&amp;G581&amp;"]"&amp;E581&amp;"'!"&amp;$X$2),G581=INDIRECT("'["&amp;G581&amp;"]"&amp;E581&amp;"'!"&amp;$X$3)),INDIRECT("'["&amp;G581&amp;"]"&amp;E581&amp;"'!"&amp;$X$1),0)</f>
        <v>#VALUE!</v>
      </c>
      <c r="I581" s="25" t="str">
        <f t="shared" si="163"/>
        <v/>
      </c>
      <c r="J581" s="32" t="str">
        <f t="shared" si="164"/>
        <v/>
      </c>
      <c r="K581" s="25" t="str">
        <f t="shared" si="165"/>
        <v/>
      </c>
      <c r="L581" s="25" t="str">
        <f t="shared" si="166"/>
        <v/>
      </c>
      <c r="M581" s="33" t="e" cm="1">
        <f t="array" aca="1" ref="M581" ca="1">IF(AND(J581=INDIRECT("'["&amp;G581&amp;"]"&amp;E581&amp;"'!"&amp;$Y$2),G581=INDIRECT("'["&amp;G581&amp;"]"&amp;E581&amp;"'!"&amp;$AH$2)),INDIRECT("'["&amp;G581&amp;"]"&amp;E581&amp;"'!"&amp;$Y$3),0)</f>
        <v>#VALUE!</v>
      </c>
      <c r="N581" s="34" t="e" cm="1">
        <f t="array" aca="1" ref="N581" ca="1">IF(AND(G581=INDIRECT("'["&amp;G581&amp;"]"&amp;E581&amp;"'!"&amp;$AH$2),OR(K581=INDIRECT("'["&amp;G581&amp;"]"&amp;E581&amp;"'!"&amp;$Z$2))),INDIRECT("'["&amp;G581&amp;"]"&amp;E581&amp;"'!"&amp;$Z$3),0)</f>
        <v>#VALUE!</v>
      </c>
      <c r="O581" s="34" t="e" cm="1">
        <f t="array" aca="1" ref="O581" ca="1">IF(AND(G581=INDIRECT("'["&amp;G581&amp;"]"&amp;E581&amp;"'!"&amp;$AH$2),OR(L581=INDIRECT("'["&amp;G581&amp;"]"&amp;E581&amp;"'!"&amp;$AA$2))),INDIRECT("'["&amp;G581&amp;"]"&amp;E581&amp;"'!"&amp;$AA$3),0)</f>
        <v>#VALUE!</v>
      </c>
      <c r="P581" s="34" t="e" cm="1">
        <f t="array" aca="1" ref="P581" ca="1">IF(AND(G581=INDIRECT("'["&amp;G581&amp;"]"&amp;E581&amp;"'!"&amp;$AH$2),OR(VALUE(I581)=INDIRECT("'["&amp;G581&amp;"]"&amp;E581&amp;"'!"&amp;$AB$2))),INDIRECT("'["&amp;G581&amp;"]"&amp;E581&amp;"'!"&amp;$AB$3),0)</f>
        <v>#VALUE!</v>
      </c>
      <c r="Q581" s="34" t="e" cm="1">
        <f t="array" aca="1" ref="Q581" ca="1">IF(AND(G581=INDIRECT("'["&amp;G581&amp;"]"&amp;E581&amp;"'!"&amp;$AH$2),OR(VALUE(I581)=INDIRECT("'["&amp;G581&amp;"]"&amp;E581&amp;"'!"&amp;$AC$2))),INDIRECT("'["&amp;G581&amp;"]"&amp;E581&amp;"'!"&amp;$AC$3),0)</f>
        <v>#VALUE!</v>
      </c>
      <c r="R581" s="34" t="e" cm="1">
        <f t="array" aca="1" ref="R581" ca="1">IF(AND(G581=INDIRECT("'["&amp;G581&amp;"]"&amp;E581&amp;"'!"&amp;$AH$2),OR(I581=INDIRECT("'["&amp;G581&amp;"]"&amp;E581&amp;"'!"&amp;$AD$2))),INDIRECT("'["&amp;G581&amp;"]"&amp;E581&amp;"'!"&amp;$AD$3),0)</f>
        <v>#VALUE!</v>
      </c>
      <c r="S581" s="34" t="e" cm="1">
        <f t="array" aca="1" ref="S581" ca="1">IF(AND(G581=INDIRECT("'["&amp;G581&amp;"]"&amp;E581&amp;"'!"&amp;$AH$2),OR(I581=INDIRECT("'["&amp;G581&amp;"]"&amp;E581&amp;"'!"&amp;$AE$2))),INDIRECT("'["&amp;G581&amp;"]"&amp;E581&amp;"'!"&amp;$AE$3),0)</f>
        <v>#VALUE!</v>
      </c>
      <c r="T581" s="35" t="e" cm="1">
        <f t="array" aca="1" ref="T581" ca="1">IF(AND(G581=INDIRECT("'["&amp;G581&amp;"]"&amp;E581&amp;"'!"&amp;$AH$2),OR(I581=INDIRECT("'["&amp;G581&amp;"]"&amp;E581&amp;"'!"&amp;$AF$2))),INDIRECT("'["&amp;G581&amp;"]"&amp;E581&amp;"'!"&amp;$AF$3),0)</f>
        <v>#VALUE!</v>
      </c>
      <c r="U581" s="34" t="e" cm="1">
        <f t="array" aca="1" ref="U581" ca="1">IF(AND(G581=INDIRECT("'["&amp;G581&amp;"]"&amp;E581&amp;"'!"&amp;$AH$2),OR(I581=INDIRECT("'["&amp;G581&amp;"]"&amp;E581&amp;"'!"&amp;$AG$2))),INDIRECT("'["&amp;G581&amp;"]"&amp;E581&amp;"'!"&amp;$AG$3),0)</f>
        <v>#VALUE!</v>
      </c>
      <c r="V581" s="25" t="str">
        <f t="shared" si="167"/>
        <v/>
      </c>
      <c r="W581" s="36" t="e" cm="1">
        <f t="array" aca="1" ref="W581" ca="1">IF(AND(G581=INDIRECT("'["&amp;G581&amp;"]"&amp;E581&amp;"'!"&amp;$AH$2),OR(V581=INDIRECT("'["&amp;G581&amp;"]"&amp;E581&amp;"'!"&amp;$AI$2))),INDIRECT("'["&amp;G581&amp;"]"&amp;E581&amp;"'!"&amp;$AI$3),0)</f>
        <v>#VALUE!</v>
      </c>
      <c r="AJ581" s="25">
        <v>1</v>
      </c>
      <c r="AK581" s="38">
        <f t="shared" ca="1" si="168"/>
        <v>0</v>
      </c>
      <c r="AL581" s="38">
        <f t="shared" ca="1" si="169"/>
        <v>0</v>
      </c>
      <c r="AM581" s="54" t="str">
        <f t="shared" ca="1" si="170"/>
        <v/>
      </c>
      <c r="AN581" s="25" t="e">
        <f t="shared" ca="1" si="171"/>
        <v>#VALUE!</v>
      </c>
      <c r="AO581" s="25" t="e">
        <f t="shared" ca="1" si="172"/>
        <v>#VALUE!</v>
      </c>
      <c r="AQ581" s="46" t="str">
        <f ca="1">IF(AND(C581&lt;&gt;0, C582=0), SUM($C$2:C581)-SUM($AQ$1:AQ580), "")</f>
        <v/>
      </c>
      <c r="AR581" s="46" t="str">
        <f ca="1">IF(AND(AK581&lt;&gt;0, AK582=0), SUM($AK$2:AK581)-SUM($AR$1:AR580), "")</f>
        <v/>
      </c>
    </row>
    <row r="582" spans="2:44" ht="13.15" customHeight="1">
      <c r="B582" s="68" t="str">
        <f t="shared" si="158"/>
        <v/>
      </c>
      <c r="C582" s="55" cm="1">
        <f t="array" aca="1" ref="C582" ca="1">SUM(IF(ISNUMBER(M582:U582),M582:U582,""))</f>
        <v>0</v>
      </c>
      <c r="D582" s="25" t="str">
        <f t="shared" si="159"/>
        <v/>
      </c>
      <c r="E582" s="25" t="e">
        <f t="shared" si="160"/>
        <v>#VALUE!</v>
      </c>
      <c r="F582" s="25" t="str">
        <f t="shared" si="161"/>
        <v/>
      </c>
      <c r="G582" s="25" t="str">
        <f t="shared" si="162"/>
        <v>.xlsx</v>
      </c>
      <c r="H582" s="29" t="e" cm="1">
        <f t="array" aca="1" ref="H582" ca="1">IF(AND(VALUE(E582)=INDIRECT("'["&amp;G582&amp;"]"&amp;E582&amp;"'!"&amp;$X$2),G582=INDIRECT("'["&amp;G582&amp;"]"&amp;E582&amp;"'!"&amp;$X$3)),INDIRECT("'["&amp;G582&amp;"]"&amp;E582&amp;"'!"&amp;$X$1),0)</f>
        <v>#VALUE!</v>
      </c>
      <c r="I582" s="25" t="str">
        <f t="shared" si="163"/>
        <v/>
      </c>
      <c r="J582" s="32" t="str">
        <f t="shared" si="164"/>
        <v/>
      </c>
      <c r="K582" s="25" t="str">
        <f t="shared" si="165"/>
        <v/>
      </c>
      <c r="L582" s="25" t="str">
        <f t="shared" si="166"/>
        <v/>
      </c>
      <c r="M582" s="33" t="e" cm="1">
        <f t="array" aca="1" ref="M582" ca="1">IF(AND(J582=INDIRECT("'["&amp;G582&amp;"]"&amp;E582&amp;"'!"&amp;$Y$2),G582=INDIRECT("'["&amp;G582&amp;"]"&amp;E582&amp;"'!"&amp;$AH$2)),INDIRECT("'["&amp;G582&amp;"]"&amp;E582&amp;"'!"&amp;$Y$3),0)</f>
        <v>#VALUE!</v>
      </c>
      <c r="N582" s="34" t="e" cm="1">
        <f t="array" aca="1" ref="N582" ca="1">IF(AND(G582=INDIRECT("'["&amp;G582&amp;"]"&amp;E582&amp;"'!"&amp;$AH$2),OR(K582=INDIRECT("'["&amp;G582&amp;"]"&amp;E582&amp;"'!"&amp;$Z$2))),INDIRECT("'["&amp;G582&amp;"]"&amp;E582&amp;"'!"&amp;$Z$3),0)</f>
        <v>#VALUE!</v>
      </c>
      <c r="O582" s="34" t="e" cm="1">
        <f t="array" aca="1" ref="O582" ca="1">IF(AND(G582=INDIRECT("'["&amp;G582&amp;"]"&amp;E582&amp;"'!"&amp;$AH$2),OR(L582=INDIRECT("'["&amp;G582&amp;"]"&amp;E582&amp;"'!"&amp;$AA$2))),INDIRECT("'["&amp;G582&amp;"]"&amp;E582&amp;"'!"&amp;$AA$3),0)</f>
        <v>#VALUE!</v>
      </c>
      <c r="P582" s="34" t="e" cm="1">
        <f t="array" aca="1" ref="P582" ca="1">IF(AND(G582=INDIRECT("'["&amp;G582&amp;"]"&amp;E582&amp;"'!"&amp;$AH$2),OR(VALUE(I582)=INDIRECT("'["&amp;G582&amp;"]"&amp;E582&amp;"'!"&amp;$AB$2))),INDIRECT("'["&amp;G582&amp;"]"&amp;E582&amp;"'!"&amp;$AB$3),0)</f>
        <v>#VALUE!</v>
      </c>
      <c r="Q582" s="34" t="e" cm="1">
        <f t="array" aca="1" ref="Q582" ca="1">IF(AND(G582=INDIRECT("'["&amp;G582&amp;"]"&amp;E582&amp;"'!"&amp;$AH$2),OR(VALUE(I582)=INDIRECT("'["&amp;G582&amp;"]"&amp;E582&amp;"'!"&amp;$AC$2))),INDIRECT("'["&amp;G582&amp;"]"&amp;E582&amp;"'!"&amp;$AC$3),0)</f>
        <v>#VALUE!</v>
      </c>
      <c r="R582" s="34" t="e" cm="1">
        <f t="array" aca="1" ref="R582" ca="1">IF(AND(G582=INDIRECT("'["&amp;G582&amp;"]"&amp;E582&amp;"'!"&amp;$AH$2),OR(I582=INDIRECT("'["&amp;G582&amp;"]"&amp;E582&amp;"'!"&amp;$AD$2))),INDIRECT("'["&amp;G582&amp;"]"&amp;E582&amp;"'!"&amp;$AD$3),0)</f>
        <v>#VALUE!</v>
      </c>
      <c r="S582" s="34" t="e" cm="1">
        <f t="array" aca="1" ref="S582" ca="1">IF(AND(G582=INDIRECT("'["&amp;G582&amp;"]"&amp;E582&amp;"'!"&amp;$AH$2),OR(I582=INDIRECT("'["&amp;G582&amp;"]"&amp;E582&amp;"'!"&amp;$AE$2))),INDIRECT("'["&amp;G582&amp;"]"&amp;E582&amp;"'!"&amp;$AE$3),0)</f>
        <v>#VALUE!</v>
      </c>
      <c r="T582" s="35" t="e" cm="1">
        <f t="array" aca="1" ref="T582" ca="1">IF(AND(G582=INDIRECT("'["&amp;G582&amp;"]"&amp;E582&amp;"'!"&amp;$AH$2),OR(I582=INDIRECT("'["&amp;G582&amp;"]"&amp;E582&amp;"'!"&amp;$AF$2))),INDIRECT("'["&amp;G582&amp;"]"&amp;E582&amp;"'!"&amp;$AF$3),0)</f>
        <v>#VALUE!</v>
      </c>
      <c r="U582" s="34" t="e" cm="1">
        <f t="array" aca="1" ref="U582" ca="1">IF(AND(G582=INDIRECT("'["&amp;G582&amp;"]"&amp;E582&amp;"'!"&amp;$AH$2),OR(I582=INDIRECT("'["&amp;G582&amp;"]"&amp;E582&amp;"'!"&amp;$AG$2))),INDIRECT("'["&amp;G582&amp;"]"&amp;E582&amp;"'!"&amp;$AG$3),0)</f>
        <v>#VALUE!</v>
      </c>
      <c r="V582" s="25" t="str">
        <f t="shared" si="167"/>
        <v/>
      </c>
      <c r="W582" s="36" t="e" cm="1">
        <f t="array" aca="1" ref="W582" ca="1">IF(AND(G582=INDIRECT("'["&amp;G582&amp;"]"&amp;E582&amp;"'!"&amp;$AH$2),OR(V582=INDIRECT("'["&amp;G582&amp;"]"&amp;E582&amp;"'!"&amp;$AI$2))),INDIRECT("'["&amp;G582&amp;"]"&amp;E582&amp;"'!"&amp;$AI$3),0)</f>
        <v>#VALUE!</v>
      </c>
      <c r="AJ582" s="25">
        <v>1</v>
      </c>
      <c r="AK582" s="38">
        <f t="shared" ca="1" si="168"/>
        <v>0</v>
      </c>
      <c r="AL582" s="38">
        <f t="shared" ca="1" si="169"/>
        <v>0</v>
      </c>
      <c r="AM582" s="54" t="str">
        <f t="shared" ca="1" si="170"/>
        <v/>
      </c>
      <c r="AN582" s="25" t="e">
        <f t="shared" ca="1" si="171"/>
        <v>#VALUE!</v>
      </c>
      <c r="AO582" s="25" t="e">
        <f t="shared" ca="1" si="172"/>
        <v>#VALUE!</v>
      </c>
      <c r="AQ582" s="46" t="str">
        <f ca="1">IF(AND(C582&lt;&gt;0, C583=0), SUM($C$2:C582)-SUM($AQ$1:AQ581), "")</f>
        <v/>
      </c>
      <c r="AR582" s="46" t="str">
        <f ca="1">IF(AND(AK582&lt;&gt;0, AK583=0), SUM($AK$2:AK582)-SUM($AR$1:AR581), "")</f>
        <v/>
      </c>
    </row>
    <row r="583" spans="2:44" ht="13.15" customHeight="1">
      <c r="B583" s="68" t="str">
        <f t="shared" si="158"/>
        <v/>
      </c>
      <c r="C583" s="55" cm="1">
        <f t="array" aca="1" ref="C583" ca="1">SUM(IF(ISNUMBER(M583:U583),M583:U583,""))</f>
        <v>0</v>
      </c>
      <c r="D583" s="25" t="str">
        <f t="shared" si="159"/>
        <v/>
      </c>
      <c r="E583" s="25" t="e">
        <f t="shared" si="160"/>
        <v>#VALUE!</v>
      </c>
      <c r="F583" s="25" t="str">
        <f t="shared" si="161"/>
        <v/>
      </c>
      <c r="G583" s="25" t="str">
        <f t="shared" si="162"/>
        <v>.xlsx</v>
      </c>
      <c r="H583" s="29" t="e" cm="1">
        <f t="array" aca="1" ref="H583" ca="1">IF(AND(VALUE(E583)=INDIRECT("'["&amp;G583&amp;"]"&amp;E583&amp;"'!"&amp;$X$2),G583=INDIRECT("'["&amp;G583&amp;"]"&amp;E583&amp;"'!"&amp;$X$3)),INDIRECT("'["&amp;G583&amp;"]"&amp;E583&amp;"'!"&amp;$X$1),0)</f>
        <v>#VALUE!</v>
      </c>
      <c r="I583" s="25" t="str">
        <f t="shared" si="163"/>
        <v/>
      </c>
      <c r="J583" s="32" t="str">
        <f t="shared" si="164"/>
        <v/>
      </c>
      <c r="K583" s="25" t="str">
        <f t="shared" si="165"/>
        <v/>
      </c>
      <c r="L583" s="25" t="str">
        <f t="shared" si="166"/>
        <v/>
      </c>
      <c r="M583" s="33" t="e" cm="1">
        <f t="array" aca="1" ref="M583" ca="1">IF(AND(J583=INDIRECT("'["&amp;G583&amp;"]"&amp;E583&amp;"'!"&amp;$Y$2),G583=INDIRECT("'["&amp;G583&amp;"]"&amp;E583&amp;"'!"&amp;$AH$2)),INDIRECT("'["&amp;G583&amp;"]"&amp;E583&amp;"'!"&amp;$Y$3),0)</f>
        <v>#VALUE!</v>
      </c>
      <c r="N583" s="34" t="e" cm="1">
        <f t="array" aca="1" ref="N583" ca="1">IF(AND(G583=INDIRECT("'["&amp;G583&amp;"]"&amp;E583&amp;"'!"&amp;$AH$2),OR(K583=INDIRECT("'["&amp;G583&amp;"]"&amp;E583&amp;"'!"&amp;$Z$2))),INDIRECT("'["&amp;G583&amp;"]"&amp;E583&amp;"'!"&amp;$Z$3),0)</f>
        <v>#VALUE!</v>
      </c>
      <c r="O583" s="34" t="e" cm="1">
        <f t="array" aca="1" ref="O583" ca="1">IF(AND(G583=INDIRECT("'["&amp;G583&amp;"]"&amp;E583&amp;"'!"&amp;$AH$2),OR(L583=INDIRECT("'["&amp;G583&amp;"]"&amp;E583&amp;"'!"&amp;$AA$2))),INDIRECT("'["&amp;G583&amp;"]"&amp;E583&amp;"'!"&amp;$AA$3),0)</f>
        <v>#VALUE!</v>
      </c>
      <c r="P583" s="34" t="e" cm="1">
        <f t="array" aca="1" ref="P583" ca="1">IF(AND(G583=INDIRECT("'["&amp;G583&amp;"]"&amp;E583&amp;"'!"&amp;$AH$2),OR(VALUE(I583)=INDIRECT("'["&amp;G583&amp;"]"&amp;E583&amp;"'!"&amp;$AB$2))),INDIRECT("'["&amp;G583&amp;"]"&amp;E583&amp;"'!"&amp;$AB$3),0)</f>
        <v>#VALUE!</v>
      </c>
      <c r="Q583" s="34" t="e" cm="1">
        <f t="array" aca="1" ref="Q583" ca="1">IF(AND(G583=INDIRECT("'["&amp;G583&amp;"]"&amp;E583&amp;"'!"&amp;$AH$2),OR(VALUE(I583)=INDIRECT("'["&amp;G583&amp;"]"&amp;E583&amp;"'!"&amp;$AC$2))),INDIRECT("'["&amp;G583&amp;"]"&amp;E583&amp;"'!"&amp;$AC$3),0)</f>
        <v>#VALUE!</v>
      </c>
      <c r="R583" s="34" t="e" cm="1">
        <f t="array" aca="1" ref="R583" ca="1">IF(AND(G583=INDIRECT("'["&amp;G583&amp;"]"&amp;E583&amp;"'!"&amp;$AH$2),OR(I583=INDIRECT("'["&amp;G583&amp;"]"&amp;E583&amp;"'!"&amp;$AD$2))),INDIRECT("'["&amp;G583&amp;"]"&amp;E583&amp;"'!"&amp;$AD$3),0)</f>
        <v>#VALUE!</v>
      </c>
      <c r="S583" s="34" t="e" cm="1">
        <f t="array" aca="1" ref="S583" ca="1">IF(AND(G583=INDIRECT("'["&amp;G583&amp;"]"&amp;E583&amp;"'!"&amp;$AH$2),OR(I583=INDIRECT("'["&amp;G583&amp;"]"&amp;E583&amp;"'!"&amp;$AE$2))),INDIRECT("'["&amp;G583&amp;"]"&amp;E583&amp;"'!"&amp;$AE$3),0)</f>
        <v>#VALUE!</v>
      </c>
      <c r="T583" s="35" t="e" cm="1">
        <f t="array" aca="1" ref="T583" ca="1">IF(AND(G583=INDIRECT("'["&amp;G583&amp;"]"&amp;E583&amp;"'!"&amp;$AH$2),OR(I583=INDIRECT("'["&amp;G583&amp;"]"&amp;E583&amp;"'!"&amp;$AF$2))),INDIRECT("'["&amp;G583&amp;"]"&amp;E583&amp;"'!"&amp;$AF$3),0)</f>
        <v>#VALUE!</v>
      </c>
      <c r="U583" s="34" t="e" cm="1">
        <f t="array" aca="1" ref="U583" ca="1">IF(AND(G583=INDIRECT("'["&amp;G583&amp;"]"&amp;E583&amp;"'!"&amp;$AH$2),OR(I583=INDIRECT("'["&amp;G583&amp;"]"&amp;E583&amp;"'!"&amp;$AG$2))),INDIRECT("'["&amp;G583&amp;"]"&amp;E583&amp;"'!"&amp;$AG$3),0)</f>
        <v>#VALUE!</v>
      </c>
      <c r="V583" s="25" t="str">
        <f t="shared" si="167"/>
        <v/>
      </c>
      <c r="W583" s="36" t="e" cm="1">
        <f t="array" aca="1" ref="W583" ca="1">IF(AND(G583=INDIRECT("'["&amp;G583&amp;"]"&amp;E583&amp;"'!"&amp;$AH$2),OR(V583=INDIRECT("'["&amp;G583&amp;"]"&amp;E583&amp;"'!"&amp;$AI$2))),INDIRECT("'["&amp;G583&amp;"]"&amp;E583&amp;"'!"&amp;$AI$3),0)</f>
        <v>#VALUE!</v>
      </c>
      <c r="AJ583" s="25">
        <v>1</v>
      </c>
      <c r="AK583" s="38">
        <f t="shared" ca="1" si="168"/>
        <v>0</v>
      </c>
      <c r="AL583" s="38">
        <f t="shared" ca="1" si="169"/>
        <v>0</v>
      </c>
      <c r="AM583" s="54" t="str">
        <f t="shared" ca="1" si="170"/>
        <v/>
      </c>
      <c r="AN583" s="25" t="e">
        <f t="shared" ca="1" si="171"/>
        <v>#VALUE!</v>
      </c>
      <c r="AO583" s="25" t="e">
        <f t="shared" ca="1" si="172"/>
        <v>#VALUE!</v>
      </c>
      <c r="AQ583" s="46" t="str">
        <f ca="1">IF(AND(C583&lt;&gt;0, C584=0), SUM($C$2:C583)-SUM($AQ$1:AQ582), "")</f>
        <v/>
      </c>
      <c r="AR583" s="46" t="str">
        <f ca="1">IF(AND(AK583&lt;&gt;0, AK584=0), SUM($AK$2:AK583)-SUM($AR$1:AR582), "")</f>
        <v/>
      </c>
    </row>
    <row r="584" spans="2:44" ht="13.15" customHeight="1">
      <c r="B584" s="68" t="str">
        <f t="shared" si="158"/>
        <v/>
      </c>
      <c r="C584" s="55" cm="1">
        <f t="array" aca="1" ref="C584" ca="1">SUM(IF(ISNUMBER(M584:U584),M584:U584,""))</f>
        <v>0</v>
      </c>
      <c r="D584" s="25" t="str">
        <f t="shared" si="159"/>
        <v/>
      </c>
      <c r="E584" s="25" t="e">
        <f t="shared" si="160"/>
        <v>#VALUE!</v>
      </c>
      <c r="F584" s="25" t="str">
        <f t="shared" si="161"/>
        <v/>
      </c>
      <c r="G584" s="25" t="str">
        <f t="shared" si="162"/>
        <v>.xlsx</v>
      </c>
      <c r="H584" s="29" t="e" cm="1">
        <f t="array" aca="1" ref="H584" ca="1">IF(AND(VALUE(E584)=INDIRECT("'["&amp;G584&amp;"]"&amp;E584&amp;"'!"&amp;$X$2),G584=INDIRECT("'["&amp;G584&amp;"]"&amp;E584&amp;"'!"&amp;$X$3)),INDIRECT("'["&amp;G584&amp;"]"&amp;E584&amp;"'!"&amp;$X$1),0)</f>
        <v>#VALUE!</v>
      </c>
      <c r="I584" s="25" t="str">
        <f t="shared" si="163"/>
        <v/>
      </c>
      <c r="J584" s="32" t="str">
        <f t="shared" si="164"/>
        <v/>
      </c>
      <c r="K584" s="25" t="str">
        <f t="shared" si="165"/>
        <v/>
      </c>
      <c r="L584" s="25" t="str">
        <f t="shared" si="166"/>
        <v/>
      </c>
      <c r="M584" s="33" t="e" cm="1">
        <f t="array" aca="1" ref="M584" ca="1">IF(AND(J584=INDIRECT("'["&amp;G584&amp;"]"&amp;E584&amp;"'!"&amp;$Y$2),G584=INDIRECT("'["&amp;G584&amp;"]"&amp;E584&amp;"'!"&amp;$AH$2)),INDIRECT("'["&amp;G584&amp;"]"&amp;E584&amp;"'!"&amp;$Y$3),0)</f>
        <v>#VALUE!</v>
      </c>
      <c r="N584" s="34" t="e" cm="1">
        <f t="array" aca="1" ref="N584" ca="1">IF(AND(G584=INDIRECT("'["&amp;G584&amp;"]"&amp;E584&amp;"'!"&amp;$AH$2),OR(K584=INDIRECT("'["&amp;G584&amp;"]"&amp;E584&amp;"'!"&amp;$Z$2))),INDIRECT("'["&amp;G584&amp;"]"&amp;E584&amp;"'!"&amp;$Z$3),0)</f>
        <v>#VALUE!</v>
      </c>
      <c r="O584" s="34" t="e" cm="1">
        <f t="array" aca="1" ref="O584" ca="1">IF(AND(G584=INDIRECT("'["&amp;G584&amp;"]"&amp;E584&amp;"'!"&amp;$AH$2),OR(L584=INDIRECT("'["&amp;G584&amp;"]"&amp;E584&amp;"'!"&amp;$AA$2))),INDIRECT("'["&amp;G584&amp;"]"&amp;E584&amp;"'!"&amp;$AA$3),0)</f>
        <v>#VALUE!</v>
      </c>
      <c r="P584" s="34" t="e" cm="1">
        <f t="array" aca="1" ref="P584" ca="1">IF(AND(G584=INDIRECT("'["&amp;G584&amp;"]"&amp;E584&amp;"'!"&amp;$AH$2),OR(VALUE(I584)=INDIRECT("'["&amp;G584&amp;"]"&amp;E584&amp;"'!"&amp;$AB$2))),INDIRECT("'["&amp;G584&amp;"]"&amp;E584&amp;"'!"&amp;$AB$3),0)</f>
        <v>#VALUE!</v>
      </c>
      <c r="Q584" s="34" t="e" cm="1">
        <f t="array" aca="1" ref="Q584" ca="1">IF(AND(G584=INDIRECT("'["&amp;G584&amp;"]"&amp;E584&amp;"'!"&amp;$AH$2),OR(VALUE(I584)=INDIRECT("'["&amp;G584&amp;"]"&amp;E584&amp;"'!"&amp;$AC$2))),INDIRECT("'["&amp;G584&amp;"]"&amp;E584&amp;"'!"&amp;$AC$3),0)</f>
        <v>#VALUE!</v>
      </c>
      <c r="R584" s="34" t="e" cm="1">
        <f t="array" aca="1" ref="R584" ca="1">IF(AND(G584=INDIRECT("'["&amp;G584&amp;"]"&amp;E584&amp;"'!"&amp;$AH$2),OR(I584=INDIRECT("'["&amp;G584&amp;"]"&amp;E584&amp;"'!"&amp;$AD$2))),INDIRECT("'["&amp;G584&amp;"]"&amp;E584&amp;"'!"&amp;$AD$3),0)</f>
        <v>#VALUE!</v>
      </c>
      <c r="S584" s="34" t="e" cm="1">
        <f t="array" aca="1" ref="S584" ca="1">IF(AND(G584=INDIRECT("'["&amp;G584&amp;"]"&amp;E584&amp;"'!"&amp;$AH$2),OR(I584=INDIRECT("'["&amp;G584&amp;"]"&amp;E584&amp;"'!"&amp;$AE$2))),INDIRECT("'["&amp;G584&amp;"]"&amp;E584&amp;"'!"&amp;$AE$3),0)</f>
        <v>#VALUE!</v>
      </c>
      <c r="T584" s="35" t="e" cm="1">
        <f t="array" aca="1" ref="T584" ca="1">IF(AND(G584=INDIRECT("'["&amp;G584&amp;"]"&amp;E584&amp;"'!"&amp;$AH$2),OR(I584=INDIRECT("'["&amp;G584&amp;"]"&amp;E584&amp;"'!"&amp;$AF$2))),INDIRECT("'["&amp;G584&amp;"]"&amp;E584&amp;"'!"&amp;$AF$3),0)</f>
        <v>#VALUE!</v>
      </c>
      <c r="U584" s="34" t="e" cm="1">
        <f t="array" aca="1" ref="U584" ca="1">IF(AND(G584=INDIRECT("'["&amp;G584&amp;"]"&amp;E584&amp;"'!"&amp;$AH$2),OR(I584=INDIRECT("'["&amp;G584&amp;"]"&amp;E584&amp;"'!"&amp;$AG$2))),INDIRECT("'["&amp;G584&amp;"]"&amp;E584&amp;"'!"&amp;$AG$3),0)</f>
        <v>#VALUE!</v>
      </c>
      <c r="V584" s="25" t="str">
        <f t="shared" si="167"/>
        <v/>
      </c>
      <c r="W584" s="36" t="e" cm="1">
        <f t="array" aca="1" ref="W584" ca="1">IF(AND(G584=INDIRECT("'["&amp;G584&amp;"]"&amp;E584&amp;"'!"&amp;$AH$2),OR(V584=INDIRECT("'["&amp;G584&amp;"]"&amp;E584&amp;"'!"&amp;$AI$2))),INDIRECT("'["&amp;G584&amp;"]"&amp;E584&amp;"'!"&amp;$AI$3),0)</f>
        <v>#VALUE!</v>
      </c>
      <c r="AJ584" s="25">
        <v>1</v>
      </c>
      <c r="AK584" s="38">
        <f t="shared" ca="1" si="168"/>
        <v>0</v>
      </c>
      <c r="AL584" s="38">
        <f t="shared" ca="1" si="169"/>
        <v>0</v>
      </c>
      <c r="AM584" s="54" t="str">
        <f t="shared" ca="1" si="170"/>
        <v/>
      </c>
      <c r="AN584" s="25" t="e">
        <f t="shared" ca="1" si="171"/>
        <v>#VALUE!</v>
      </c>
      <c r="AO584" s="25" t="e">
        <f t="shared" ca="1" si="172"/>
        <v>#VALUE!</v>
      </c>
      <c r="AQ584" s="46" t="str">
        <f ca="1">IF(AND(C584&lt;&gt;0, C585=0), SUM($C$2:C584)-SUM($AQ$1:AQ583), "")</f>
        <v/>
      </c>
      <c r="AR584" s="46" t="str">
        <f ca="1">IF(AND(AK584&lt;&gt;0, AK585=0), SUM($AK$2:AK584)-SUM($AR$1:AR583), "")</f>
        <v/>
      </c>
    </row>
    <row r="585" spans="2:44" ht="13.15" customHeight="1">
      <c r="B585" s="68" t="str">
        <f t="shared" si="158"/>
        <v/>
      </c>
      <c r="C585" s="55" cm="1">
        <f t="array" aca="1" ref="C585" ca="1">SUM(IF(ISNUMBER(M585:U585),M585:U585,""))</f>
        <v>0</v>
      </c>
      <c r="D585" s="25" t="str">
        <f t="shared" si="159"/>
        <v/>
      </c>
      <c r="E585" s="25" t="e">
        <f t="shared" si="160"/>
        <v>#VALUE!</v>
      </c>
      <c r="F585" s="25" t="str">
        <f t="shared" si="161"/>
        <v/>
      </c>
      <c r="G585" s="25" t="str">
        <f t="shared" si="162"/>
        <v>.xlsx</v>
      </c>
      <c r="H585" s="29" t="e" cm="1">
        <f t="array" aca="1" ref="H585" ca="1">IF(AND(VALUE(E585)=INDIRECT("'["&amp;G585&amp;"]"&amp;E585&amp;"'!"&amp;$X$2),G585=INDIRECT("'["&amp;G585&amp;"]"&amp;E585&amp;"'!"&amp;$X$3)),INDIRECT("'["&amp;G585&amp;"]"&amp;E585&amp;"'!"&amp;$X$1),0)</f>
        <v>#VALUE!</v>
      </c>
      <c r="I585" s="25" t="str">
        <f t="shared" si="163"/>
        <v/>
      </c>
      <c r="J585" s="32" t="str">
        <f t="shared" si="164"/>
        <v/>
      </c>
      <c r="K585" s="25" t="str">
        <f t="shared" si="165"/>
        <v/>
      </c>
      <c r="L585" s="25" t="str">
        <f t="shared" si="166"/>
        <v/>
      </c>
      <c r="M585" s="33" t="e" cm="1">
        <f t="array" aca="1" ref="M585" ca="1">IF(AND(J585=INDIRECT("'["&amp;G585&amp;"]"&amp;E585&amp;"'!"&amp;$Y$2),G585=INDIRECT("'["&amp;G585&amp;"]"&amp;E585&amp;"'!"&amp;$AH$2)),INDIRECT("'["&amp;G585&amp;"]"&amp;E585&amp;"'!"&amp;$Y$3),0)</f>
        <v>#VALUE!</v>
      </c>
      <c r="N585" s="34" t="e" cm="1">
        <f t="array" aca="1" ref="N585" ca="1">IF(AND(G585=INDIRECT("'["&amp;G585&amp;"]"&amp;E585&amp;"'!"&amp;$AH$2),OR(K585=INDIRECT("'["&amp;G585&amp;"]"&amp;E585&amp;"'!"&amp;$Z$2))),INDIRECT("'["&amp;G585&amp;"]"&amp;E585&amp;"'!"&amp;$Z$3),0)</f>
        <v>#VALUE!</v>
      </c>
      <c r="O585" s="34" t="e" cm="1">
        <f t="array" aca="1" ref="O585" ca="1">IF(AND(G585=INDIRECT("'["&amp;G585&amp;"]"&amp;E585&amp;"'!"&amp;$AH$2),OR(L585=INDIRECT("'["&amp;G585&amp;"]"&amp;E585&amp;"'!"&amp;$AA$2))),INDIRECT("'["&amp;G585&amp;"]"&amp;E585&amp;"'!"&amp;$AA$3),0)</f>
        <v>#VALUE!</v>
      </c>
      <c r="P585" s="34" t="e" cm="1">
        <f t="array" aca="1" ref="P585" ca="1">IF(AND(G585=INDIRECT("'["&amp;G585&amp;"]"&amp;E585&amp;"'!"&amp;$AH$2),OR(VALUE(I585)=INDIRECT("'["&amp;G585&amp;"]"&amp;E585&amp;"'!"&amp;$AB$2))),INDIRECT("'["&amp;G585&amp;"]"&amp;E585&amp;"'!"&amp;$AB$3),0)</f>
        <v>#VALUE!</v>
      </c>
      <c r="Q585" s="34" t="e" cm="1">
        <f t="array" aca="1" ref="Q585" ca="1">IF(AND(G585=INDIRECT("'["&amp;G585&amp;"]"&amp;E585&amp;"'!"&amp;$AH$2),OR(VALUE(I585)=INDIRECT("'["&amp;G585&amp;"]"&amp;E585&amp;"'!"&amp;$AC$2))),INDIRECT("'["&amp;G585&amp;"]"&amp;E585&amp;"'!"&amp;$AC$3),0)</f>
        <v>#VALUE!</v>
      </c>
      <c r="R585" s="34" t="e" cm="1">
        <f t="array" aca="1" ref="R585" ca="1">IF(AND(G585=INDIRECT("'["&amp;G585&amp;"]"&amp;E585&amp;"'!"&amp;$AH$2),OR(I585=INDIRECT("'["&amp;G585&amp;"]"&amp;E585&amp;"'!"&amp;$AD$2))),INDIRECT("'["&amp;G585&amp;"]"&amp;E585&amp;"'!"&amp;$AD$3),0)</f>
        <v>#VALUE!</v>
      </c>
      <c r="S585" s="34" t="e" cm="1">
        <f t="array" aca="1" ref="S585" ca="1">IF(AND(G585=INDIRECT("'["&amp;G585&amp;"]"&amp;E585&amp;"'!"&amp;$AH$2),OR(I585=INDIRECT("'["&amp;G585&amp;"]"&amp;E585&amp;"'!"&amp;$AE$2))),INDIRECT("'["&amp;G585&amp;"]"&amp;E585&amp;"'!"&amp;$AE$3),0)</f>
        <v>#VALUE!</v>
      </c>
      <c r="T585" s="35" t="e" cm="1">
        <f t="array" aca="1" ref="T585" ca="1">IF(AND(G585=INDIRECT("'["&amp;G585&amp;"]"&amp;E585&amp;"'!"&amp;$AH$2),OR(I585=INDIRECT("'["&amp;G585&amp;"]"&amp;E585&amp;"'!"&amp;$AF$2))),INDIRECT("'["&amp;G585&amp;"]"&amp;E585&amp;"'!"&amp;$AF$3),0)</f>
        <v>#VALUE!</v>
      </c>
      <c r="U585" s="34" t="e" cm="1">
        <f t="array" aca="1" ref="U585" ca="1">IF(AND(G585=INDIRECT("'["&amp;G585&amp;"]"&amp;E585&amp;"'!"&amp;$AH$2),OR(I585=INDIRECT("'["&amp;G585&amp;"]"&amp;E585&amp;"'!"&amp;$AG$2))),INDIRECT("'["&amp;G585&amp;"]"&amp;E585&amp;"'!"&amp;$AG$3),0)</f>
        <v>#VALUE!</v>
      </c>
      <c r="V585" s="25" t="str">
        <f t="shared" si="167"/>
        <v/>
      </c>
      <c r="W585" s="36" t="e" cm="1">
        <f t="array" aca="1" ref="W585" ca="1">IF(AND(G585=INDIRECT("'["&amp;G585&amp;"]"&amp;E585&amp;"'!"&amp;$AH$2),OR(V585=INDIRECT("'["&amp;G585&amp;"]"&amp;E585&amp;"'!"&amp;$AI$2))),INDIRECT("'["&amp;G585&amp;"]"&amp;E585&amp;"'!"&amp;$AI$3),0)</f>
        <v>#VALUE!</v>
      </c>
      <c r="AJ585" s="25">
        <v>1</v>
      </c>
      <c r="AK585" s="38">
        <f t="shared" ca="1" si="168"/>
        <v>0</v>
      </c>
      <c r="AL585" s="38">
        <f t="shared" ca="1" si="169"/>
        <v>0</v>
      </c>
      <c r="AM585" s="54" t="str">
        <f t="shared" ca="1" si="170"/>
        <v/>
      </c>
      <c r="AN585" s="25" t="e">
        <f t="shared" ca="1" si="171"/>
        <v>#VALUE!</v>
      </c>
      <c r="AO585" s="25" t="e">
        <f t="shared" ca="1" si="172"/>
        <v>#VALUE!</v>
      </c>
      <c r="AQ585" s="46" t="str">
        <f ca="1">IF(AND(C585&lt;&gt;0, C586=0), SUM($C$2:C585)-SUM($AQ$1:AQ584), "")</f>
        <v/>
      </c>
      <c r="AR585" s="46" t="str">
        <f ca="1">IF(AND(AK585&lt;&gt;0, AK586=0), SUM($AK$2:AK585)-SUM($AR$1:AR584), "")</f>
        <v/>
      </c>
    </row>
    <row r="586" spans="2:44" ht="13.15" customHeight="1">
      <c r="B586" s="68" t="str">
        <f t="shared" si="158"/>
        <v/>
      </c>
      <c r="C586" s="55" cm="1">
        <f t="array" aca="1" ref="C586" ca="1">SUM(IF(ISNUMBER(M586:U586),M586:U586,""))</f>
        <v>0</v>
      </c>
      <c r="D586" s="25" t="str">
        <f t="shared" si="159"/>
        <v/>
      </c>
      <c r="E586" s="25" t="e">
        <f t="shared" si="160"/>
        <v>#VALUE!</v>
      </c>
      <c r="F586" s="25" t="str">
        <f t="shared" si="161"/>
        <v/>
      </c>
      <c r="G586" s="25" t="str">
        <f t="shared" si="162"/>
        <v>.xlsx</v>
      </c>
      <c r="H586" s="29" t="e" cm="1">
        <f t="array" aca="1" ref="H586" ca="1">IF(AND(VALUE(E586)=INDIRECT("'["&amp;G586&amp;"]"&amp;E586&amp;"'!"&amp;$X$2),G586=INDIRECT("'["&amp;G586&amp;"]"&amp;E586&amp;"'!"&amp;$X$3)),INDIRECT("'["&amp;G586&amp;"]"&amp;E586&amp;"'!"&amp;$X$1),0)</f>
        <v>#VALUE!</v>
      </c>
      <c r="I586" s="25" t="str">
        <f t="shared" si="163"/>
        <v/>
      </c>
      <c r="J586" s="32" t="str">
        <f t="shared" si="164"/>
        <v/>
      </c>
      <c r="K586" s="25" t="str">
        <f t="shared" si="165"/>
        <v/>
      </c>
      <c r="L586" s="25" t="str">
        <f t="shared" si="166"/>
        <v/>
      </c>
      <c r="M586" s="33" t="e" cm="1">
        <f t="array" aca="1" ref="M586" ca="1">IF(AND(J586=INDIRECT("'["&amp;G586&amp;"]"&amp;E586&amp;"'!"&amp;$Y$2),G586=INDIRECT("'["&amp;G586&amp;"]"&amp;E586&amp;"'!"&amp;$AH$2)),INDIRECT("'["&amp;G586&amp;"]"&amp;E586&amp;"'!"&amp;$Y$3),0)</f>
        <v>#VALUE!</v>
      </c>
      <c r="N586" s="34" t="e" cm="1">
        <f t="array" aca="1" ref="N586" ca="1">IF(AND(G586=INDIRECT("'["&amp;G586&amp;"]"&amp;E586&amp;"'!"&amp;$AH$2),OR(K586=INDIRECT("'["&amp;G586&amp;"]"&amp;E586&amp;"'!"&amp;$Z$2))),INDIRECT("'["&amp;G586&amp;"]"&amp;E586&amp;"'!"&amp;$Z$3),0)</f>
        <v>#VALUE!</v>
      </c>
      <c r="O586" s="34" t="e" cm="1">
        <f t="array" aca="1" ref="O586" ca="1">IF(AND(G586=INDIRECT("'["&amp;G586&amp;"]"&amp;E586&amp;"'!"&amp;$AH$2),OR(L586=INDIRECT("'["&amp;G586&amp;"]"&amp;E586&amp;"'!"&amp;$AA$2))),INDIRECT("'["&amp;G586&amp;"]"&amp;E586&amp;"'!"&amp;$AA$3),0)</f>
        <v>#VALUE!</v>
      </c>
      <c r="P586" s="34" t="e" cm="1">
        <f t="array" aca="1" ref="P586" ca="1">IF(AND(G586=INDIRECT("'["&amp;G586&amp;"]"&amp;E586&amp;"'!"&amp;$AH$2),OR(VALUE(I586)=INDIRECT("'["&amp;G586&amp;"]"&amp;E586&amp;"'!"&amp;$AB$2))),INDIRECT("'["&amp;G586&amp;"]"&amp;E586&amp;"'!"&amp;$AB$3),0)</f>
        <v>#VALUE!</v>
      </c>
      <c r="Q586" s="34" t="e" cm="1">
        <f t="array" aca="1" ref="Q586" ca="1">IF(AND(G586=INDIRECT("'["&amp;G586&amp;"]"&amp;E586&amp;"'!"&amp;$AH$2),OR(VALUE(I586)=INDIRECT("'["&amp;G586&amp;"]"&amp;E586&amp;"'!"&amp;$AC$2))),INDIRECT("'["&amp;G586&amp;"]"&amp;E586&amp;"'!"&amp;$AC$3),0)</f>
        <v>#VALUE!</v>
      </c>
      <c r="R586" s="34" t="e" cm="1">
        <f t="array" aca="1" ref="R586" ca="1">IF(AND(G586=INDIRECT("'["&amp;G586&amp;"]"&amp;E586&amp;"'!"&amp;$AH$2),OR(I586=INDIRECT("'["&amp;G586&amp;"]"&amp;E586&amp;"'!"&amp;$AD$2))),INDIRECT("'["&amp;G586&amp;"]"&amp;E586&amp;"'!"&amp;$AD$3),0)</f>
        <v>#VALUE!</v>
      </c>
      <c r="S586" s="34" t="e" cm="1">
        <f t="array" aca="1" ref="S586" ca="1">IF(AND(G586=INDIRECT("'["&amp;G586&amp;"]"&amp;E586&amp;"'!"&amp;$AH$2),OR(I586=INDIRECT("'["&amp;G586&amp;"]"&amp;E586&amp;"'!"&amp;$AE$2))),INDIRECT("'["&amp;G586&amp;"]"&amp;E586&amp;"'!"&amp;$AE$3),0)</f>
        <v>#VALUE!</v>
      </c>
      <c r="T586" s="35" t="e" cm="1">
        <f t="array" aca="1" ref="T586" ca="1">IF(AND(G586=INDIRECT("'["&amp;G586&amp;"]"&amp;E586&amp;"'!"&amp;$AH$2),OR(I586=INDIRECT("'["&amp;G586&amp;"]"&amp;E586&amp;"'!"&amp;$AF$2))),INDIRECT("'["&amp;G586&amp;"]"&amp;E586&amp;"'!"&amp;$AF$3),0)</f>
        <v>#VALUE!</v>
      </c>
      <c r="U586" s="34" t="e" cm="1">
        <f t="array" aca="1" ref="U586" ca="1">IF(AND(G586=INDIRECT("'["&amp;G586&amp;"]"&amp;E586&amp;"'!"&amp;$AH$2),OR(I586=INDIRECT("'["&amp;G586&amp;"]"&amp;E586&amp;"'!"&amp;$AG$2))),INDIRECT("'["&amp;G586&amp;"]"&amp;E586&amp;"'!"&amp;$AG$3),0)</f>
        <v>#VALUE!</v>
      </c>
      <c r="V586" s="25" t="str">
        <f t="shared" si="167"/>
        <v/>
      </c>
      <c r="W586" s="36" t="e" cm="1">
        <f t="array" aca="1" ref="W586" ca="1">IF(AND(G586=INDIRECT("'["&amp;G586&amp;"]"&amp;E586&amp;"'!"&amp;$AH$2),OR(V586=INDIRECT("'["&amp;G586&amp;"]"&amp;E586&amp;"'!"&amp;$AI$2))),INDIRECT("'["&amp;G586&amp;"]"&amp;E586&amp;"'!"&amp;$AI$3),0)</f>
        <v>#VALUE!</v>
      </c>
      <c r="AJ586" s="25">
        <v>1</v>
      </c>
      <c r="AK586" s="38">
        <f t="shared" ca="1" si="168"/>
        <v>0</v>
      </c>
      <c r="AL586" s="38">
        <f t="shared" ca="1" si="169"/>
        <v>0</v>
      </c>
      <c r="AM586" s="54" t="str">
        <f t="shared" ca="1" si="170"/>
        <v/>
      </c>
      <c r="AN586" s="25" t="e">
        <f t="shared" ca="1" si="171"/>
        <v>#VALUE!</v>
      </c>
      <c r="AO586" s="25" t="e">
        <f t="shared" ca="1" si="172"/>
        <v>#VALUE!</v>
      </c>
      <c r="AQ586" s="46" t="str">
        <f ca="1">IF(AND(C586&lt;&gt;0, C587=0), SUM($C$2:C586)-SUM($AQ$1:AQ585), "")</f>
        <v/>
      </c>
      <c r="AR586" s="46" t="str">
        <f ca="1">IF(AND(AK586&lt;&gt;0, AK587=0), SUM($AK$2:AK586)-SUM($AR$1:AR585), "")</f>
        <v/>
      </c>
    </row>
    <row r="587" spans="2:44" ht="13.15" customHeight="1">
      <c r="B587" s="68" t="str">
        <f t="shared" si="158"/>
        <v/>
      </c>
      <c r="C587" s="55" cm="1">
        <f t="array" aca="1" ref="C587" ca="1">SUM(IF(ISNUMBER(M587:U587),M587:U587,""))</f>
        <v>0</v>
      </c>
      <c r="D587" s="25" t="str">
        <f t="shared" si="159"/>
        <v/>
      </c>
      <c r="E587" s="25" t="e">
        <f t="shared" si="160"/>
        <v>#VALUE!</v>
      </c>
      <c r="F587" s="25" t="str">
        <f t="shared" si="161"/>
        <v/>
      </c>
      <c r="G587" s="25" t="str">
        <f t="shared" si="162"/>
        <v>.xlsx</v>
      </c>
      <c r="H587" s="29" t="e" cm="1">
        <f t="array" aca="1" ref="H587" ca="1">IF(AND(VALUE(E587)=INDIRECT("'["&amp;G587&amp;"]"&amp;E587&amp;"'!"&amp;$X$2),G587=INDIRECT("'["&amp;G587&amp;"]"&amp;E587&amp;"'!"&amp;$X$3)),INDIRECT("'["&amp;G587&amp;"]"&amp;E587&amp;"'!"&amp;$X$1),0)</f>
        <v>#VALUE!</v>
      </c>
      <c r="I587" s="25" t="str">
        <f t="shared" si="163"/>
        <v/>
      </c>
      <c r="J587" s="32" t="str">
        <f t="shared" si="164"/>
        <v/>
      </c>
      <c r="K587" s="25" t="str">
        <f t="shared" si="165"/>
        <v/>
      </c>
      <c r="L587" s="25" t="str">
        <f t="shared" si="166"/>
        <v/>
      </c>
      <c r="M587" s="33" t="e" cm="1">
        <f t="array" aca="1" ref="M587" ca="1">IF(AND(J587=INDIRECT("'["&amp;G587&amp;"]"&amp;E587&amp;"'!"&amp;$Y$2),G587=INDIRECT("'["&amp;G587&amp;"]"&amp;E587&amp;"'!"&amp;$AH$2)),INDIRECT("'["&amp;G587&amp;"]"&amp;E587&amp;"'!"&amp;$Y$3),0)</f>
        <v>#VALUE!</v>
      </c>
      <c r="N587" s="34" t="e" cm="1">
        <f t="array" aca="1" ref="N587" ca="1">IF(AND(G587=INDIRECT("'["&amp;G587&amp;"]"&amp;E587&amp;"'!"&amp;$AH$2),OR(K587=INDIRECT("'["&amp;G587&amp;"]"&amp;E587&amp;"'!"&amp;$Z$2))),INDIRECT("'["&amp;G587&amp;"]"&amp;E587&amp;"'!"&amp;$Z$3),0)</f>
        <v>#VALUE!</v>
      </c>
      <c r="O587" s="34" t="e" cm="1">
        <f t="array" aca="1" ref="O587" ca="1">IF(AND(G587=INDIRECT("'["&amp;G587&amp;"]"&amp;E587&amp;"'!"&amp;$AH$2),OR(L587=INDIRECT("'["&amp;G587&amp;"]"&amp;E587&amp;"'!"&amp;$AA$2))),INDIRECT("'["&amp;G587&amp;"]"&amp;E587&amp;"'!"&amp;$AA$3),0)</f>
        <v>#VALUE!</v>
      </c>
      <c r="P587" s="34" t="e" cm="1">
        <f t="array" aca="1" ref="P587" ca="1">IF(AND(G587=INDIRECT("'["&amp;G587&amp;"]"&amp;E587&amp;"'!"&amp;$AH$2),OR(VALUE(I587)=INDIRECT("'["&amp;G587&amp;"]"&amp;E587&amp;"'!"&amp;$AB$2))),INDIRECT("'["&amp;G587&amp;"]"&amp;E587&amp;"'!"&amp;$AB$3),0)</f>
        <v>#VALUE!</v>
      </c>
      <c r="Q587" s="34" t="e" cm="1">
        <f t="array" aca="1" ref="Q587" ca="1">IF(AND(G587=INDIRECT("'["&amp;G587&amp;"]"&amp;E587&amp;"'!"&amp;$AH$2),OR(VALUE(I587)=INDIRECT("'["&amp;G587&amp;"]"&amp;E587&amp;"'!"&amp;$AC$2))),INDIRECT("'["&amp;G587&amp;"]"&amp;E587&amp;"'!"&amp;$AC$3),0)</f>
        <v>#VALUE!</v>
      </c>
      <c r="R587" s="34" t="e" cm="1">
        <f t="array" aca="1" ref="R587" ca="1">IF(AND(G587=INDIRECT("'["&amp;G587&amp;"]"&amp;E587&amp;"'!"&amp;$AH$2),OR(I587=INDIRECT("'["&amp;G587&amp;"]"&amp;E587&amp;"'!"&amp;$AD$2))),INDIRECT("'["&amp;G587&amp;"]"&amp;E587&amp;"'!"&amp;$AD$3),0)</f>
        <v>#VALUE!</v>
      </c>
      <c r="S587" s="34" t="e" cm="1">
        <f t="array" aca="1" ref="S587" ca="1">IF(AND(G587=INDIRECT("'["&amp;G587&amp;"]"&amp;E587&amp;"'!"&amp;$AH$2),OR(I587=INDIRECT("'["&amp;G587&amp;"]"&amp;E587&amp;"'!"&amp;$AE$2))),INDIRECT("'["&amp;G587&amp;"]"&amp;E587&amp;"'!"&amp;$AE$3),0)</f>
        <v>#VALUE!</v>
      </c>
      <c r="T587" s="35" t="e" cm="1">
        <f t="array" aca="1" ref="T587" ca="1">IF(AND(G587=INDIRECT("'["&amp;G587&amp;"]"&amp;E587&amp;"'!"&amp;$AH$2),OR(I587=INDIRECT("'["&amp;G587&amp;"]"&amp;E587&amp;"'!"&amp;$AF$2))),INDIRECT("'["&amp;G587&amp;"]"&amp;E587&amp;"'!"&amp;$AF$3),0)</f>
        <v>#VALUE!</v>
      </c>
      <c r="U587" s="34" t="e" cm="1">
        <f t="array" aca="1" ref="U587" ca="1">IF(AND(G587=INDIRECT("'["&amp;G587&amp;"]"&amp;E587&amp;"'!"&amp;$AH$2),OR(I587=INDIRECT("'["&amp;G587&amp;"]"&amp;E587&amp;"'!"&amp;$AG$2))),INDIRECT("'["&amp;G587&amp;"]"&amp;E587&amp;"'!"&amp;$AG$3),0)</f>
        <v>#VALUE!</v>
      </c>
      <c r="V587" s="25" t="str">
        <f t="shared" si="167"/>
        <v/>
      </c>
      <c r="W587" s="36" t="e" cm="1">
        <f t="array" aca="1" ref="W587" ca="1">IF(AND(G587=INDIRECT("'["&amp;G587&amp;"]"&amp;E587&amp;"'!"&amp;$AH$2),OR(V587=INDIRECT("'["&amp;G587&amp;"]"&amp;E587&amp;"'!"&amp;$AI$2))),INDIRECT("'["&amp;G587&amp;"]"&amp;E587&amp;"'!"&amp;$AI$3),0)</f>
        <v>#VALUE!</v>
      </c>
      <c r="AJ587" s="25">
        <v>1</v>
      </c>
      <c r="AK587" s="38">
        <f t="shared" ca="1" si="168"/>
        <v>0</v>
      </c>
      <c r="AL587" s="38">
        <f t="shared" ca="1" si="169"/>
        <v>0</v>
      </c>
      <c r="AM587" s="54" t="str">
        <f t="shared" ca="1" si="170"/>
        <v/>
      </c>
      <c r="AN587" s="25" t="e">
        <f t="shared" ca="1" si="171"/>
        <v>#VALUE!</v>
      </c>
      <c r="AO587" s="25" t="e">
        <f t="shared" ca="1" si="172"/>
        <v>#VALUE!</v>
      </c>
      <c r="AQ587" s="46" t="str">
        <f ca="1">IF(AND(C587&lt;&gt;0, C588=0), SUM($C$2:C587)-SUM($AQ$1:AQ586), "")</f>
        <v/>
      </c>
      <c r="AR587" s="46" t="str">
        <f ca="1">IF(AND(AK587&lt;&gt;0, AK588=0), SUM($AK$2:AK587)-SUM($AR$1:AR586), "")</f>
        <v/>
      </c>
    </row>
    <row r="588" spans="2:44" ht="13.15" customHeight="1">
      <c r="B588" s="68" t="str">
        <f t="shared" si="158"/>
        <v/>
      </c>
      <c r="C588" s="55" cm="1">
        <f t="array" aca="1" ref="C588" ca="1">SUM(IF(ISNUMBER(M588:U588),M588:U588,""))</f>
        <v>0</v>
      </c>
      <c r="D588" s="25" t="str">
        <f t="shared" si="159"/>
        <v/>
      </c>
      <c r="E588" s="25" t="e">
        <f t="shared" si="160"/>
        <v>#VALUE!</v>
      </c>
      <c r="F588" s="25" t="str">
        <f t="shared" si="161"/>
        <v/>
      </c>
      <c r="G588" s="25" t="str">
        <f t="shared" si="162"/>
        <v>.xlsx</v>
      </c>
      <c r="H588" s="29" t="e" cm="1">
        <f t="array" aca="1" ref="H588" ca="1">IF(AND(VALUE(E588)=INDIRECT("'["&amp;G588&amp;"]"&amp;E588&amp;"'!"&amp;$X$2),G588=INDIRECT("'["&amp;G588&amp;"]"&amp;E588&amp;"'!"&amp;$X$3)),INDIRECT("'["&amp;G588&amp;"]"&amp;E588&amp;"'!"&amp;$X$1),0)</f>
        <v>#VALUE!</v>
      </c>
      <c r="I588" s="25" t="str">
        <f t="shared" si="163"/>
        <v/>
      </c>
      <c r="J588" s="32" t="str">
        <f t="shared" si="164"/>
        <v/>
      </c>
      <c r="K588" s="25" t="str">
        <f t="shared" si="165"/>
        <v/>
      </c>
      <c r="L588" s="25" t="str">
        <f t="shared" si="166"/>
        <v/>
      </c>
      <c r="M588" s="33" t="e" cm="1">
        <f t="array" aca="1" ref="M588" ca="1">IF(AND(J588=INDIRECT("'["&amp;G588&amp;"]"&amp;E588&amp;"'!"&amp;$Y$2),G588=INDIRECT("'["&amp;G588&amp;"]"&amp;E588&amp;"'!"&amp;$AH$2)),INDIRECT("'["&amp;G588&amp;"]"&amp;E588&amp;"'!"&amp;$Y$3),0)</f>
        <v>#VALUE!</v>
      </c>
      <c r="N588" s="34" t="e" cm="1">
        <f t="array" aca="1" ref="N588" ca="1">IF(AND(G588=INDIRECT("'["&amp;G588&amp;"]"&amp;E588&amp;"'!"&amp;$AH$2),OR(K588=INDIRECT("'["&amp;G588&amp;"]"&amp;E588&amp;"'!"&amp;$Z$2))),INDIRECT("'["&amp;G588&amp;"]"&amp;E588&amp;"'!"&amp;$Z$3),0)</f>
        <v>#VALUE!</v>
      </c>
      <c r="O588" s="34" t="e" cm="1">
        <f t="array" aca="1" ref="O588" ca="1">IF(AND(G588=INDIRECT("'["&amp;G588&amp;"]"&amp;E588&amp;"'!"&amp;$AH$2),OR(L588=INDIRECT("'["&amp;G588&amp;"]"&amp;E588&amp;"'!"&amp;$AA$2))),INDIRECT("'["&amp;G588&amp;"]"&amp;E588&amp;"'!"&amp;$AA$3),0)</f>
        <v>#VALUE!</v>
      </c>
      <c r="P588" s="34" t="e" cm="1">
        <f t="array" aca="1" ref="P588" ca="1">IF(AND(G588=INDIRECT("'["&amp;G588&amp;"]"&amp;E588&amp;"'!"&amp;$AH$2),OR(VALUE(I588)=INDIRECT("'["&amp;G588&amp;"]"&amp;E588&amp;"'!"&amp;$AB$2))),INDIRECT("'["&amp;G588&amp;"]"&amp;E588&amp;"'!"&amp;$AB$3),0)</f>
        <v>#VALUE!</v>
      </c>
      <c r="Q588" s="34" t="e" cm="1">
        <f t="array" aca="1" ref="Q588" ca="1">IF(AND(G588=INDIRECT("'["&amp;G588&amp;"]"&amp;E588&amp;"'!"&amp;$AH$2),OR(VALUE(I588)=INDIRECT("'["&amp;G588&amp;"]"&amp;E588&amp;"'!"&amp;$AC$2))),INDIRECT("'["&amp;G588&amp;"]"&amp;E588&amp;"'!"&amp;$AC$3),0)</f>
        <v>#VALUE!</v>
      </c>
      <c r="R588" s="34" t="e" cm="1">
        <f t="array" aca="1" ref="R588" ca="1">IF(AND(G588=INDIRECT("'["&amp;G588&amp;"]"&amp;E588&amp;"'!"&amp;$AH$2),OR(I588=INDIRECT("'["&amp;G588&amp;"]"&amp;E588&amp;"'!"&amp;$AD$2))),INDIRECT("'["&amp;G588&amp;"]"&amp;E588&amp;"'!"&amp;$AD$3),0)</f>
        <v>#VALUE!</v>
      </c>
      <c r="S588" s="34" t="e" cm="1">
        <f t="array" aca="1" ref="S588" ca="1">IF(AND(G588=INDIRECT("'["&amp;G588&amp;"]"&amp;E588&amp;"'!"&amp;$AH$2),OR(I588=INDIRECT("'["&amp;G588&amp;"]"&amp;E588&amp;"'!"&amp;$AE$2))),INDIRECT("'["&amp;G588&amp;"]"&amp;E588&amp;"'!"&amp;$AE$3),0)</f>
        <v>#VALUE!</v>
      </c>
      <c r="T588" s="35" t="e" cm="1">
        <f t="array" aca="1" ref="T588" ca="1">IF(AND(G588=INDIRECT("'["&amp;G588&amp;"]"&amp;E588&amp;"'!"&amp;$AH$2),OR(I588=INDIRECT("'["&amp;G588&amp;"]"&amp;E588&amp;"'!"&amp;$AF$2))),INDIRECT("'["&amp;G588&amp;"]"&amp;E588&amp;"'!"&amp;$AF$3),0)</f>
        <v>#VALUE!</v>
      </c>
      <c r="U588" s="34" t="e" cm="1">
        <f t="array" aca="1" ref="U588" ca="1">IF(AND(G588=INDIRECT("'["&amp;G588&amp;"]"&amp;E588&amp;"'!"&amp;$AH$2),OR(I588=INDIRECT("'["&amp;G588&amp;"]"&amp;E588&amp;"'!"&amp;$AG$2))),INDIRECT("'["&amp;G588&amp;"]"&amp;E588&amp;"'!"&amp;$AG$3),0)</f>
        <v>#VALUE!</v>
      </c>
      <c r="V588" s="25" t="str">
        <f t="shared" si="167"/>
        <v/>
      </c>
      <c r="W588" s="36" t="e" cm="1">
        <f t="array" aca="1" ref="W588" ca="1">IF(AND(G588=INDIRECT("'["&amp;G588&amp;"]"&amp;E588&amp;"'!"&amp;$AH$2),OR(V588=INDIRECT("'["&amp;G588&amp;"]"&amp;E588&amp;"'!"&amp;$AI$2))),INDIRECT("'["&amp;G588&amp;"]"&amp;E588&amp;"'!"&amp;$AI$3),0)</f>
        <v>#VALUE!</v>
      </c>
      <c r="AJ588" s="25">
        <v>1</v>
      </c>
      <c r="AK588" s="38">
        <f t="shared" ca="1" si="168"/>
        <v>0</v>
      </c>
      <c r="AL588" s="38">
        <f t="shared" ca="1" si="169"/>
        <v>0</v>
      </c>
      <c r="AM588" s="54" t="str">
        <f t="shared" ca="1" si="170"/>
        <v/>
      </c>
      <c r="AN588" s="25" t="e">
        <f t="shared" ca="1" si="171"/>
        <v>#VALUE!</v>
      </c>
      <c r="AO588" s="25" t="e">
        <f t="shared" ca="1" si="172"/>
        <v>#VALUE!</v>
      </c>
      <c r="AQ588" s="46" t="str">
        <f ca="1">IF(AND(C588&lt;&gt;0, C589=0), SUM($C$2:C588)-SUM($AQ$1:AQ587), "")</f>
        <v/>
      </c>
      <c r="AR588" s="46" t="str">
        <f ca="1">IF(AND(AK588&lt;&gt;0, AK589=0), SUM($AK$2:AK588)-SUM($AR$1:AR587), "")</f>
        <v/>
      </c>
    </row>
    <row r="589" spans="2:44" ht="13.15" customHeight="1">
      <c r="B589" s="68" t="str">
        <f t="shared" si="158"/>
        <v/>
      </c>
      <c r="C589" s="55" cm="1">
        <f t="array" aca="1" ref="C589" ca="1">SUM(IF(ISNUMBER(M589:U589),M589:U589,""))</f>
        <v>0</v>
      </c>
      <c r="D589" s="25" t="str">
        <f t="shared" si="159"/>
        <v/>
      </c>
      <c r="E589" s="25" t="e">
        <f t="shared" si="160"/>
        <v>#VALUE!</v>
      </c>
      <c r="F589" s="25" t="str">
        <f t="shared" si="161"/>
        <v/>
      </c>
      <c r="G589" s="25" t="str">
        <f t="shared" si="162"/>
        <v>.xlsx</v>
      </c>
      <c r="H589" s="29" t="e" cm="1">
        <f t="array" aca="1" ref="H589" ca="1">IF(AND(VALUE(E589)=INDIRECT("'["&amp;G589&amp;"]"&amp;E589&amp;"'!"&amp;$X$2),G589=INDIRECT("'["&amp;G589&amp;"]"&amp;E589&amp;"'!"&amp;$X$3)),INDIRECT("'["&amp;G589&amp;"]"&amp;E589&amp;"'!"&amp;$X$1),0)</f>
        <v>#VALUE!</v>
      </c>
      <c r="I589" s="25" t="str">
        <f t="shared" si="163"/>
        <v/>
      </c>
      <c r="J589" s="32" t="str">
        <f t="shared" si="164"/>
        <v/>
      </c>
      <c r="K589" s="25" t="str">
        <f t="shared" si="165"/>
        <v/>
      </c>
      <c r="L589" s="25" t="str">
        <f t="shared" si="166"/>
        <v/>
      </c>
      <c r="M589" s="33" t="e" cm="1">
        <f t="array" aca="1" ref="M589" ca="1">IF(AND(J589=INDIRECT("'["&amp;G589&amp;"]"&amp;E589&amp;"'!"&amp;$Y$2),G589=INDIRECT("'["&amp;G589&amp;"]"&amp;E589&amp;"'!"&amp;$AH$2)),INDIRECT("'["&amp;G589&amp;"]"&amp;E589&amp;"'!"&amp;$Y$3),0)</f>
        <v>#VALUE!</v>
      </c>
      <c r="N589" s="34" t="e" cm="1">
        <f t="array" aca="1" ref="N589" ca="1">IF(AND(G589=INDIRECT("'["&amp;G589&amp;"]"&amp;E589&amp;"'!"&amp;$AH$2),OR(K589=INDIRECT("'["&amp;G589&amp;"]"&amp;E589&amp;"'!"&amp;$Z$2))),INDIRECT("'["&amp;G589&amp;"]"&amp;E589&amp;"'!"&amp;$Z$3),0)</f>
        <v>#VALUE!</v>
      </c>
      <c r="O589" s="34" t="e" cm="1">
        <f t="array" aca="1" ref="O589" ca="1">IF(AND(G589=INDIRECT("'["&amp;G589&amp;"]"&amp;E589&amp;"'!"&amp;$AH$2),OR(L589=INDIRECT("'["&amp;G589&amp;"]"&amp;E589&amp;"'!"&amp;$AA$2))),INDIRECT("'["&amp;G589&amp;"]"&amp;E589&amp;"'!"&amp;$AA$3),0)</f>
        <v>#VALUE!</v>
      </c>
      <c r="P589" s="34" t="e" cm="1">
        <f t="array" aca="1" ref="P589" ca="1">IF(AND(G589=INDIRECT("'["&amp;G589&amp;"]"&amp;E589&amp;"'!"&amp;$AH$2),OR(VALUE(I589)=INDIRECT("'["&amp;G589&amp;"]"&amp;E589&amp;"'!"&amp;$AB$2))),INDIRECT("'["&amp;G589&amp;"]"&amp;E589&amp;"'!"&amp;$AB$3),0)</f>
        <v>#VALUE!</v>
      </c>
      <c r="Q589" s="34" t="e" cm="1">
        <f t="array" aca="1" ref="Q589" ca="1">IF(AND(G589=INDIRECT("'["&amp;G589&amp;"]"&amp;E589&amp;"'!"&amp;$AH$2),OR(VALUE(I589)=INDIRECT("'["&amp;G589&amp;"]"&amp;E589&amp;"'!"&amp;$AC$2))),INDIRECT("'["&amp;G589&amp;"]"&amp;E589&amp;"'!"&amp;$AC$3),0)</f>
        <v>#VALUE!</v>
      </c>
      <c r="R589" s="34" t="e" cm="1">
        <f t="array" aca="1" ref="R589" ca="1">IF(AND(G589=INDIRECT("'["&amp;G589&amp;"]"&amp;E589&amp;"'!"&amp;$AH$2),OR(I589=INDIRECT("'["&amp;G589&amp;"]"&amp;E589&amp;"'!"&amp;$AD$2))),INDIRECT("'["&amp;G589&amp;"]"&amp;E589&amp;"'!"&amp;$AD$3),0)</f>
        <v>#VALUE!</v>
      </c>
      <c r="S589" s="34" t="e" cm="1">
        <f t="array" aca="1" ref="S589" ca="1">IF(AND(G589=INDIRECT("'["&amp;G589&amp;"]"&amp;E589&amp;"'!"&amp;$AH$2),OR(I589=INDIRECT("'["&amp;G589&amp;"]"&amp;E589&amp;"'!"&amp;$AE$2))),INDIRECT("'["&amp;G589&amp;"]"&amp;E589&amp;"'!"&amp;$AE$3),0)</f>
        <v>#VALUE!</v>
      </c>
      <c r="T589" s="35" t="e" cm="1">
        <f t="array" aca="1" ref="T589" ca="1">IF(AND(G589=INDIRECT("'["&amp;G589&amp;"]"&amp;E589&amp;"'!"&amp;$AH$2),OR(I589=INDIRECT("'["&amp;G589&amp;"]"&amp;E589&amp;"'!"&amp;$AF$2))),INDIRECT("'["&amp;G589&amp;"]"&amp;E589&amp;"'!"&amp;$AF$3),0)</f>
        <v>#VALUE!</v>
      </c>
      <c r="U589" s="34" t="e" cm="1">
        <f t="array" aca="1" ref="U589" ca="1">IF(AND(G589=INDIRECT("'["&amp;G589&amp;"]"&amp;E589&amp;"'!"&amp;$AH$2),OR(I589=INDIRECT("'["&amp;G589&amp;"]"&amp;E589&amp;"'!"&amp;$AG$2))),INDIRECT("'["&amp;G589&amp;"]"&amp;E589&amp;"'!"&amp;$AG$3),0)</f>
        <v>#VALUE!</v>
      </c>
      <c r="V589" s="25" t="str">
        <f t="shared" si="167"/>
        <v/>
      </c>
      <c r="W589" s="36" t="e" cm="1">
        <f t="array" aca="1" ref="W589" ca="1">IF(AND(G589=INDIRECT("'["&amp;G589&amp;"]"&amp;E589&amp;"'!"&amp;$AH$2),OR(V589=INDIRECT("'["&amp;G589&amp;"]"&amp;E589&amp;"'!"&amp;$AI$2))),INDIRECT("'["&amp;G589&amp;"]"&amp;E589&amp;"'!"&amp;$AI$3),0)</f>
        <v>#VALUE!</v>
      </c>
      <c r="AJ589" s="25">
        <v>1</v>
      </c>
      <c r="AK589" s="38">
        <f t="shared" ca="1" si="168"/>
        <v>0</v>
      </c>
      <c r="AL589" s="38">
        <f t="shared" ca="1" si="169"/>
        <v>0</v>
      </c>
      <c r="AM589" s="54" t="str">
        <f t="shared" ca="1" si="170"/>
        <v/>
      </c>
      <c r="AN589" s="25" t="e">
        <f t="shared" ca="1" si="171"/>
        <v>#VALUE!</v>
      </c>
      <c r="AO589" s="25" t="e">
        <f t="shared" ca="1" si="172"/>
        <v>#VALUE!</v>
      </c>
      <c r="AQ589" s="46" t="str">
        <f ca="1">IF(AND(C589&lt;&gt;0, C590=0), SUM($C$2:C589)-SUM($AQ$1:AQ588), "")</f>
        <v/>
      </c>
      <c r="AR589" s="46" t="str">
        <f ca="1">IF(AND(AK589&lt;&gt;0, AK590=0), SUM($AK$2:AK589)-SUM($AR$1:AR588), "")</f>
        <v/>
      </c>
    </row>
    <row r="590" spans="2:44" ht="13.15" customHeight="1">
      <c r="B590" s="68" t="str">
        <f t="shared" si="158"/>
        <v/>
      </c>
      <c r="C590" s="55" cm="1">
        <f t="array" aca="1" ref="C590" ca="1">SUM(IF(ISNUMBER(M590:U590),M590:U590,""))</f>
        <v>0</v>
      </c>
      <c r="D590" s="25" t="str">
        <f t="shared" si="159"/>
        <v/>
      </c>
      <c r="E590" s="25" t="e">
        <f t="shared" si="160"/>
        <v>#VALUE!</v>
      </c>
      <c r="F590" s="25" t="str">
        <f t="shared" si="161"/>
        <v/>
      </c>
      <c r="G590" s="25" t="str">
        <f t="shared" si="162"/>
        <v>.xlsx</v>
      </c>
      <c r="H590" s="29" t="e" cm="1">
        <f t="array" aca="1" ref="H590" ca="1">IF(AND(VALUE(E590)=INDIRECT("'["&amp;G590&amp;"]"&amp;E590&amp;"'!"&amp;$X$2),G590=INDIRECT("'["&amp;G590&amp;"]"&amp;E590&amp;"'!"&amp;$X$3)),INDIRECT("'["&amp;G590&amp;"]"&amp;E590&amp;"'!"&amp;$X$1),0)</f>
        <v>#VALUE!</v>
      </c>
      <c r="I590" s="25" t="str">
        <f t="shared" si="163"/>
        <v/>
      </c>
      <c r="J590" s="32" t="str">
        <f t="shared" si="164"/>
        <v/>
      </c>
      <c r="K590" s="25" t="str">
        <f t="shared" si="165"/>
        <v/>
      </c>
      <c r="L590" s="25" t="str">
        <f t="shared" si="166"/>
        <v/>
      </c>
      <c r="M590" s="33" t="e" cm="1">
        <f t="array" aca="1" ref="M590" ca="1">IF(AND(J590=INDIRECT("'["&amp;G590&amp;"]"&amp;E590&amp;"'!"&amp;$Y$2),G590=INDIRECT("'["&amp;G590&amp;"]"&amp;E590&amp;"'!"&amp;$AH$2)),INDIRECT("'["&amp;G590&amp;"]"&amp;E590&amp;"'!"&amp;$Y$3),0)</f>
        <v>#VALUE!</v>
      </c>
      <c r="N590" s="34" t="e" cm="1">
        <f t="array" aca="1" ref="N590" ca="1">IF(AND(G590=INDIRECT("'["&amp;G590&amp;"]"&amp;E590&amp;"'!"&amp;$AH$2),OR(K590=INDIRECT("'["&amp;G590&amp;"]"&amp;E590&amp;"'!"&amp;$Z$2))),INDIRECT("'["&amp;G590&amp;"]"&amp;E590&amp;"'!"&amp;$Z$3),0)</f>
        <v>#VALUE!</v>
      </c>
      <c r="O590" s="34" t="e" cm="1">
        <f t="array" aca="1" ref="O590" ca="1">IF(AND(G590=INDIRECT("'["&amp;G590&amp;"]"&amp;E590&amp;"'!"&amp;$AH$2),OR(L590=INDIRECT("'["&amp;G590&amp;"]"&amp;E590&amp;"'!"&amp;$AA$2))),INDIRECT("'["&amp;G590&amp;"]"&amp;E590&amp;"'!"&amp;$AA$3),0)</f>
        <v>#VALUE!</v>
      </c>
      <c r="P590" s="34" t="e" cm="1">
        <f t="array" aca="1" ref="P590" ca="1">IF(AND(G590=INDIRECT("'["&amp;G590&amp;"]"&amp;E590&amp;"'!"&amp;$AH$2),OR(VALUE(I590)=INDIRECT("'["&amp;G590&amp;"]"&amp;E590&amp;"'!"&amp;$AB$2))),INDIRECT("'["&amp;G590&amp;"]"&amp;E590&amp;"'!"&amp;$AB$3),0)</f>
        <v>#VALUE!</v>
      </c>
      <c r="Q590" s="34" t="e" cm="1">
        <f t="array" aca="1" ref="Q590" ca="1">IF(AND(G590=INDIRECT("'["&amp;G590&amp;"]"&amp;E590&amp;"'!"&amp;$AH$2),OR(VALUE(I590)=INDIRECT("'["&amp;G590&amp;"]"&amp;E590&amp;"'!"&amp;$AC$2))),INDIRECT("'["&amp;G590&amp;"]"&amp;E590&amp;"'!"&amp;$AC$3),0)</f>
        <v>#VALUE!</v>
      </c>
      <c r="R590" s="34" t="e" cm="1">
        <f t="array" aca="1" ref="R590" ca="1">IF(AND(G590=INDIRECT("'["&amp;G590&amp;"]"&amp;E590&amp;"'!"&amp;$AH$2),OR(I590=INDIRECT("'["&amp;G590&amp;"]"&amp;E590&amp;"'!"&amp;$AD$2))),INDIRECT("'["&amp;G590&amp;"]"&amp;E590&amp;"'!"&amp;$AD$3),0)</f>
        <v>#VALUE!</v>
      </c>
      <c r="S590" s="34" t="e" cm="1">
        <f t="array" aca="1" ref="S590" ca="1">IF(AND(G590=INDIRECT("'["&amp;G590&amp;"]"&amp;E590&amp;"'!"&amp;$AH$2),OR(I590=INDIRECT("'["&amp;G590&amp;"]"&amp;E590&amp;"'!"&amp;$AE$2))),INDIRECT("'["&amp;G590&amp;"]"&amp;E590&amp;"'!"&amp;$AE$3),0)</f>
        <v>#VALUE!</v>
      </c>
      <c r="T590" s="35" t="e" cm="1">
        <f t="array" aca="1" ref="T590" ca="1">IF(AND(G590=INDIRECT("'["&amp;G590&amp;"]"&amp;E590&amp;"'!"&amp;$AH$2),OR(I590=INDIRECT("'["&amp;G590&amp;"]"&amp;E590&amp;"'!"&amp;$AF$2))),INDIRECT("'["&amp;G590&amp;"]"&amp;E590&amp;"'!"&amp;$AF$3),0)</f>
        <v>#VALUE!</v>
      </c>
      <c r="U590" s="34" t="e" cm="1">
        <f t="array" aca="1" ref="U590" ca="1">IF(AND(G590=INDIRECT("'["&amp;G590&amp;"]"&amp;E590&amp;"'!"&amp;$AH$2),OR(I590=INDIRECT("'["&amp;G590&amp;"]"&amp;E590&amp;"'!"&amp;$AG$2))),INDIRECT("'["&amp;G590&amp;"]"&amp;E590&amp;"'!"&amp;$AG$3),0)</f>
        <v>#VALUE!</v>
      </c>
      <c r="V590" s="25" t="str">
        <f t="shared" si="167"/>
        <v/>
      </c>
      <c r="W590" s="36" t="e" cm="1">
        <f t="array" aca="1" ref="W590" ca="1">IF(AND(G590=INDIRECT("'["&amp;G590&amp;"]"&amp;E590&amp;"'!"&amp;$AH$2),OR(V590=INDIRECT("'["&amp;G590&amp;"]"&amp;E590&amp;"'!"&amp;$AI$2))),INDIRECT("'["&amp;G590&amp;"]"&amp;E590&amp;"'!"&amp;$AI$3),0)</f>
        <v>#VALUE!</v>
      </c>
      <c r="AJ590" s="25">
        <v>1</v>
      </c>
      <c r="AK590" s="38">
        <f t="shared" ca="1" si="168"/>
        <v>0</v>
      </c>
      <c r="AL590" s="38">
        <f t="shared" ca="1" si="169"/>
        <v>0</v>
      </c>
      <c r="AM590" s="54" t="str">
        <f t="shared" ca="1" si="170"/>
        <v/>
      </c>
      <c r="AN590" s="25" t="e">
        <f t="shared" ca="1" si="171"/>
        <v>#VALUE!</v>
      </c>
      <c r="AO590" s="25" t="e">
        <f t="shared" ca="1" si="172"/>
        <v>#VALUE!</v>
      </c>
      <c r="AQ590" s="46" t="str">
        <f ca="1">IF(AND(C590&lt;&gt;0, C591=0), SUM($C$2:C590)-SUM($AQ$1:AQ589), "")</f>
        <v/>
      </c>
      <c r="AR590" s="46" t="str">
        <f ca="1">IF(AND(AK590&lt;&gt;0, AK591=0), SUM($AK$2:AK590)-SUM($AR$1:AR589), "")</f>
        <v/>
      </c>
    </row>
    <row r="591" spans="2:44" ht="13.15" customHeight="1">
      <c r="B591" s="68" t="str">
        <f t="shared" si="158"/>
        <v/>
      </c>
      <c r="C591" s="55" cm="1">
        <f t="array" aca="1" ref="C591" ca="1">SUM(IF(ISNUMBER(M591:U591),M591:U591,""))</f>
        <v>0</v>
      </c>
      <c r="D591" s="25" t="str">
        <f t="shared" si="159"/>
        <v/>
      </c>
      <c r="E591" s="25" t="e">
        <f t="shared" si="160"/>
        <v>#VALUE!</v>
      </c>
      <c r="F591" s="25" t="str">
        <f t="shared" si="161"/>
        <v/>
      </c>
      <c r="G591" s="25" t="str">
        <f t="shared" si="162"/>
        <v>.xlsx</v>
      </c>
      <c r="H591" s="29" t="e" cm="1">
        <f t="array" aca="1" ref="H591" ca="1">IF(AND(VALUE(E591)=INDIRECT("'["&amp;G591&amp;"]"&amp;E591&amp;"'!"&amp;$X$2),G591=INDIRECT("'["&amp;G591&amp;"]"&amp;E591&amp;"'!"&amp;$X$3)),INDIRECT("'["&amp;G591&amp;"]"&amp;E591&amp;"'!"&amp;$X$1),0)</f>
        <v>#VALUE!</v>
      </c>
      <c r="I591" s="25" t="str">
        <f t="shared" si="163"/>
        <v/>
      </c>
      <c r="J591" s="32" t="str">
        <f t="shared" si="164"/>
        <v/>
      </c>
      <c r="K591" s="25" t="str">
        <f t="shared" si="165"/>
        <v/>
      </c>
      <c r="L591" s="25" t="str">
        <f t="shared" si="166"/>
        <v/>
      </c>
      <c r="M591" s="33" t="e" cm="1">
        <f t="array" aca="1" ref="M591" ca="1">IF(AND(J591=INDIRECT("'["&amp;G591&amp;"]"&amp;E591&amp;"'!"&amp;$Y$2),G591=INDIRECT("'["&amp;G591&amp;"]"&amp;E591&amp;"'!"&amp;$AH$2)),INDIRECT("'["&amp;G591&amp;"]"&amp;E591&amp;"'!"&amp;$Y$3),0)</f>
        <v>#VALUE!</v>
      </c>
      <c r="N591" s="34" t="e" cm="1">
        <f t="array" aca="1" ref="N591" ca="1">IF(AND(G591=INDIRECT("'["&amp;G591&amp;"]"&amp;E591&amp;"'!"&amp;$AH$2),OR(K591=INDIRECT("'["&amp;G591&amp;"]"&amp;E591&amp;"'!"&amp;$Z$2))),INDIRECT("'["&amp;G591&amp;"]"&amp;E591&amp;"'!"&amp;$Z$3),0)</f>
        <v>#VALUE!</v>
      </c>
      <c r="O591" s="34" t="e" cm="1">
        <f t="array" aca="1" ref="O591" ca="1">IF(AND(G591=INDIRECT("'["&amp;G591&amp;"]"&amp;E591&amp;"'!"&amp;$AH$2),OR(L591=INDIRECT("'["&amp;G591&amp;"]"&amp;E591&amp;"'!"&amp;$AA$2))),INDIRECT("'["&amp;G591&amp;"]"&amp;E591&amp;"'!"&amp;$AA$3),0)</f>
        <v>#VALUE!</v>
      </c>
      <c r="P591" s="34" t="e" cm="1">
        <f t="array" aca="1" ref="P591" ca="1">IF(AND(G591=INDIRECT("'["&amp;G591&amp;"]"&amp;E591&amp;"'!"&amp;$AH$2),OR(VALUE(I591)=INDIRECT("'["&amp;G591&amp;"]"&amp;E591&amp;"'!"&amp;$AB$2))),INDIRECT("'["&amp;G591&amp;"]"&amp;E591&amp;"'!"&amp;$AB$3),0)</f>
        <v>#VALUE!</v>
      </c>
      <c r="Q591" s="34" t="e" cm="1">
        <f t="array" aca="1" ref="Q591" ca="1">IF(AND(G591=INDIRECT("'["&amp;G591&amp;"]"&amp;E591&amp;"'!"&amp;$AH$2),OR(VALUE(I591)=INDIRECT("'["&amp;G591&amp;"]"&amp;E591&amp;"'!"&amp;$AC$2))),INDIRECT("'["&amp;G591&amp;"]"&amp;E591&amp;"'!"&amp;$AC$3),0)</f>
        <v>#VALUE!</v>
      </c>
      <c r="R591" s="34" t="e" cm="1">
        <f t="array" aca="1" ref="R591" ca="1">IF(AND(G591=INDIRECT("'["&amp;G591&amp;"]"&amp;E591&amp;"'!"&amp;$AH$2),OR(I591=INDIRECT("'["&amp;G591&amp;"]"&amp;E591&amp;"'!"&amp;$AD$2))),INDIRECT("'["&amp;G591&amp;"]"&amp;E591&amp;"'!"&amp;$AD$3),0)</f>
        <v>#VALUE!</v>
      </c>
      <c r="S591" s="34" t="e" cm="1">
        <f t="array" aca="1" ref="S591" ca="1">IF(AND(G591=INDIRECT("'["&amp;G591&amp;"]"&amp;E591&amp;"'!"&amp;$AH$2),OR(I591=INDIRECT("'["&amp;G591&amp;"]"&amp;E591&amp;"'!"&amp;$AE$2))),INDIRECT("'["&amp;G591&amp;"]"&amp;E591&amp;"'!"&amp;$AE$3),0)</f>
        <v>#VALUE!</v>
      </c>
      <c r="T591" s="35" t="e" cm="1">
        <f t="array" aca="1" ref="T591" ca="1">IF(AND(G591=INDIRECT("'["&amp;G591&amp;"]"&amp;E591&amp;"'!"&amp;$AH$2),OR(I591=INDIRECT("'["&amp;G591&amp;"]"&amp;E591&amp;"'!"&amp;$AF$2))),INDIRECT("'["&amp;G591&amp;"]"&amp;E591&amp;"'!"&amp;$AF$3),0)</f>
        <v>#VALUE!</v>
      </c>
      <c r="U591" s="34" t="e" cm="1">
        <f t="array" aca="1" ref="U591" ca="1">IF(AND(G591=INDIRECT("'["&amp;G591&amp;"]"&amp;E591&amp;"'!"&amp;$AH$2),OR(I591=INDIRECT("'["&amp;G591&amp;"]"&amp;E591&amp;"'!"&amp;$AG$2))),INDIRECT("'["&amp;G591&amp;"]"&amp;E591&amp;"'!"&amp;$AG$3),0)</f>
        <v>#VALUE!</v>
      </c>
      <c r="V591" s="25" t="str">
        <f t="shared" si="167"/>
        <v/>
      </c>
      <c r="W591" s="36" t="e" cm="1">
        <f t="array" aca="1" ref="W591" ca="1">IF(AND(G591=INDIRECT("'["&amp;G591&amp;"]"&amp;E591&amp;"'!"&amp;$AH$2),OR(V591=INDIRECT("'["&amp;G591&amp;"]"&amp;E591&amp;"'!"&amp;$AI$2))),INDIRECT("'["&amp;G591&amp;"]"&amp;E591&amp;"'!"&amp;$AI$3),0)</f>
        <v>#VALUE!</v>
      </c>
      <c r="AJ591" s="25">
        <v>1</v>
      </c>
      <c r="AK591" s="38">
        <f t="shared" ca="1" si="168"/>
        <v>0</v>
      </c>
      <c r="AL591" s="38">
        <f t="shared" ca="1" si="169"/>
        <v>0</v>
      </c>
      <c r="AM591" s="54" t="str">
        <f t="shared" ca="1" si="170"/>
        <v/>
      </c>
      <c r="AN591" s="25" t="e">
        <f t="shared" ca="1" si="171"/>
        <v>#VALUE!</v>
      </c>
      <c r="AO591" s="25" t="e">
        <f t="shared" ca="1" si="172"/>
        <v>#VALUE!</v>
      </c>
      <c r="AQ591" s="46" t="str">
        <f ca="1">IF(AND(C591&lt;&gt;0, C592=0), SUM($C$2:C591)-SUM($AQ$1:AQ590), "")</f>
        <v/>
      </c>
      <c r="AR591" s="46" t="str">
        <f ca="1">IF(AND(AK591&lt;&gt;0, AK592=0), SUM($AK$2:AK591)-SUM($AR$1:AR590), "")</f>
        <v/>
      </c>
    </row>
    <row r="592" spans="2:44" ht="13.15" customHeight="1">
      <c r="B592" s="68" t="str">
        <f t="shared" si="158"/>
        <v/>
      </c>
      <c r="C592" s="55" cm="1">
        <f t="array" aca="1" ref="C592" ca="1">SUM(IF(ISNUMBER(M592:U592),M592:U592,""))</f>
        <v>0</v>
      </c>
      <c r="D592" s="25" t="str">
        <f t="shared" si="159"/>
        <v/>
      </c>
      <c r="E592" s="25" t="e">
        <f t="shared" si="160"/>
        <v>#VALUE!</v>
      </c>
      <c r="F592" s="25" t="str">
        <f t="shared" si="161"/>
        <v/>
      </c>
      <c r="G592" s="25" t="str">
        <f t="shared" si="162"/>
        <v>.xlsx</v>
      </c>
      <c r="H592" s="29" t="e" cm="1">
        <f t="array" aca="1" ref="H592" ca="1">IF(AND(VALUE(E592)=INDIRECT("'["&amp;G592&amp;"]"&amp;E592&amp;"'!"&amp;$X$2),G592=INDIRECT("'["&amp;G592&amp;"]"&amp;E592&amp;"'!"&amp;$X$3)),INDIRECT("'["&amp;G592&amp;"]"&amp;E592&amp;"'!"&amp;$X$1),0)</f>
        <v>#VALUE!</v>
      </c>
      <c r="I592" s="25" t="str">
        <f t="shared" si="163"/>
        <v/>
      </c>
      <c r="J592" s="32" t="str">
        <f t="shared" si="164"/>
        <v/>
      </c>
      <c r="K592" s="25" t="str">
        <f t="shared" si="165"/>
        <v/>
      </c>
      <c r="L592" s="25" t="str">
        <f t="shared" si="166"/>
        <v/>
      </c>
      <c r="M592" s="33" t="e" cm="1">
        <f t="array" aca="1" ref="M592" ca="1">IF(AND(J592=INDIRECT("'["&amp;G592&amp;"]"&amp;E592&amp;"'!"&amp;$Y$2),G592=INDIRECT("'["&amp;G592&amp;"]"&amp;E592&amp;"'!"&amp;$AH$2)),INDIRECT("'["&amp;G592&amp;"]"&amp;E592&amp;"'!"&amp;$Y$3),0)</f>
        <v>#VALUE!</v>
      </c>
      <c r="N592" s="34" t="e" cm="1">
        <f t="array" aca="1" ref="N592" ca="1">IF(AND(G592=INDIRECT("'["&amp;G592&amp;"]"&amp;E592&amp;"'!"&amp;$AH$2),OR(K592=INDIRECT("'["&amp;G592&amp;"]"&amp;E592&amp;"'!"&amp;$Z$2))),INDIRECT("'["&amp;G592&amp;"]"&amp;E592&amp;"'!"&amp;$Z$3),0)</f>
        <v>#VALUE!</v>
      </c>
      <c r="O592" s="34" t="e" cm="1">
        <f t="array" aca="1" ref="O592" ca="1">IF(AND(G592=INDIRECT("'["&amp;G592&amp;"]"&amp;E592&amp;"'!"&amp;$AH$2),OR(L592=INDIRECT("'["&amp;G592&amp;"]"&amp;E592&amp;"'!"&amp;$AA$2))),INDIRECT("'["&amp;G592&amp;"]"&amp;E592&amp;"'!"&amp;$AA$3),0)</f>
        <v>#VALUE!</v>
      </c>
      <c r="P592" s="34" t="e" cm="1">
        <f t="array" aca="1" ref="P592" ca="1">IF(AND(G592=INDIRECT("'["&amp;G592&amp;"]"&amp;E592&amp;"'!"&amp;$AH$2),OR(VALUE(I592)=INDIRECT("'["&amp;G592&amp;"]"&amp;E592&amp;"'!"&amp;$AB$2))),INDIRECT("'["&amp;G592&amp;"]"&amp;E592&amp;"'!"&amp;$AB$3),0)</f>
        <v>#VALUE!</v>
      </c>
      <c r="Q592" s="34" t="e" cm="1">
        <f t="array" aca="1" ref="Q592" ca="1">IF(AND(G592=INDIRECT("'["&amp;G592&amp;"]"&amp;E592&amp;"'!"&amp;$AH$2),OR(VALUE(I592)=INDIRECT("'["&amp;G592&amp;"]"&amp;E592&amp;"'!"&amp;$AC$2))),INDIRECT("'["&amp;G592&amp;"]"&amp;E592&amp;"'!"&amp;$AC$3),0)</f>
        <v>#VALUE!</v>
      </c>
      <c r="R592" s="34" t="e" cm="1">
        <f t="array" aca="1" ref="R592" ca="1">IF(AND(G592=INDIRECT("'["&amp;G592&amp;"]"&amp;E592&amp;"'!"&amp;$AH$2),OR(I592=INDIRECT("'["&amp;G592&amp;"]"&amp;E592&amp;"'!"&amp;$AD$2))),INDIRECT("'["&amp;G592&amp;"]"&amp;E592&amp;"'!"&amp;$AD$3),0)</f>
        <v>#VALUE!</v>
      </c>
      <c r="S592" s="34" t="e" cm="1">
        <f t="array" aca="1" ref="S592" ca="1">IF(AND(G592=INDIRECT("'["&amp;G592&amp;"]"&amp;E592&amp;"'!"&amp;$AH$2),OR(I592=INDIRECT("'["&amp;G592&amp;"]"&amp;E592&amp;"'!"&amp;$AE$2))),INDIRECT("'["&amp;G592&amp;"]"&amp;E592&amp;"'!"&amp;$AE$3),0)</f>
        <v>#VALUE!</v>
      </c>
      <c r="T592" s="35" t="e" cm="1">
        <f t="array" aca="1" ref="T592" ca="1">IF(AND(G592=INDIRECT("'["&amp;G592&amp;"]"&amp;E592&amp;"'!"&amp;$AH$2),OR(I592=INDIRECT("'["&amp;G592&amp;"]"&amp;E592&amp;"'!"&amp;$AF$2))),INDIRECT("'["&amp;G592&amp;"]"&amp;E592&amp;"'!"&amp;$AF$3),0)</f>
        <v>#VALUE!</v>
      </c>
      <c r="U592" s="34" t="e" cm="1">
        <f t="array" aca="1" ref="U592" ca="1">IF(AND(G592=INDIRECT("'["&amp;G592&amp;"]"&amp;E592&amp;"'!"&amp;$AH$2),OR(I592=INDIRECT("'["&amp;G592&amp;"]"&amp;E592&amp;"'!"&amp;$AG$2))),INDIRECT("'["&amp;G592&amp;"]"&amp;E592&amp;"'!"&amp;$AG$3),0)</f>
        <v>#VALUE!</v>
      </c>
      <c r="V592" s="25" t="str">
        <f t="shared" si="167"/>
        <v/>
      </c>
      <c r="W592" s="36" t="e" cm="1">
        <f t="array" aca="1" ref="W592" ca="1">IF(AND(G592=INDIRECT("'["&amp;G592&amp;"]"&amp;E592&amp;"'!"&amp;$AH$2),OR(V592=INDIRECT("'["&amp;G592&amp;"]"&amp;E592&amp;"'!"&amp;$AI$2))),INDIRECT("'["&amp;G592&amp;"]"&amp;E592&amp;"'!"&amp;$AI$3),0)</f>
        <v>#VALUE!</v>
      </c>
      <c r="AJ592" s="25">
        <v>1</v>
      </c>
      <c r="AK592" s="38">
        <f t="shared" ca="1" si="168"/>
        <v>0</v>
      </c>
      <c r="AL592" s="38">
        <f t="shared" ca="1" si="169"/>
        <v>0</v>
      </c>
      <c r="AM592" s="54" t="str">
        <f t="shared" ca="1" si="170"/>
        <v/>
      </c>
      <c r="AN592" s="25" t="e">
        <f t="shared" ca="1" si="171"/>
        <v>#VALUE!</v>
      </c>
      <c r="AO592" s="25" t="e">
        <f t="shared" ca="1" si="172"/>
        <v>#VALUE!</v>
      </c>
      <c r="AQ592" s="46" t="str">
        <f ca="1">IF(AND(C592&lt;&gt;0, C593=0), SUM($C$2:C592)-SUM($AQ$1:AQ591), "")</f>
        <v/>
      </c>
      <c r="AR592" s="46" t="str">
        <f ca="1">IF(AND(AK592&lt;&gt;0, AK593=0), SUM($AK$2:AK592)-SUM($AR$1:AR591), "")</f>
        <v/>
      </c>
    </row>
    <row r="593" spans="2:44" ht="13.15" customHeight="1">
      <c r="B593" s="68" t="str">
        <f t="shared" si="158"/>
        <v/>
      </c>
      <c r="C593" s="55" cm="1">
        <f t="array" aca="1" ref="C593" ca="1">SUM(IF(ISNUMBER(M593:U593),M593:U593,""))</f>
        <v>0</v>
      </c>
      <c r="D593" s="25" t="str">
        <f t="shared" si="159"/>
        <v/>
      </c>
      <c r="E593" s="25" t="e">
        <f t="shared" si="160"/>
        <v>#VALUE!</v>
      </c>
      <c r="F593" s="25" t="str">
        <f t="shared" si="161"/>
        <v/>
      </c>
      <c r="G593" s="25" t="str">
        <f t="shared" si="162"/>
        <v>.xlsx</v>
      </c>
      <c r="H593" s="29" t="e" cm="1">
        <f t="array" aca="1" ref="H593" ca="1">IF(AND(VALUE(E593)=INDIRECT("'["&amp;G593&amp;"]"&amp;E593&amp;"'!"&amp;$X$2),G593=INDIRECT("'["&amp;G593&amp;"]"&amp;E593&amp;"'!"&amp;$X$3)),INDIRECT("'["&amp;G593&amp;"]"&amp;E593&amp;"'!"&amp;$X$1),0)</f>
        <v>#VALUE!</v>
      </c>
      <c r="I593" s="25" t="str">
        <f t="shared" si="163"/>
        <v/>
      </c>
      <c r="J593" s="32" t="str">
        <f t="shared" si="164"/>
        <v/>
      </c>
      <c r="K593" s="25" t="str">
        <f t="shared" si="165"/>
        <v/>
      </c>
      <c r="L593" s="25" t="str">
        <f t="shared" si="166"/>
        <v/>
      </c>
      <c r="M593" s="33" t="e" cm="1">
        <f t="array" aca="1" ref="M593" ca="1">IF(AND(J593=INDIRECT("'["&amp;G593&amp;"]"&amp;E593&amp;"'!"&amp;$Y$2),G593=INDIRECT("'["&amp;G593&amp;"]"&amp;E593&amp;"'!"&amp;$AH$2)),INDIRECT("'["&amp;G593&amp;"]"&amp;E593&amp;"'!"&amp;$Y$3),0)</f>
        <v>#VALUE!</v>
      </c>
      <c r="N593" s="34" t="e" cm="1">
        <f t="array" aca="1" ref="N593" ca="1">IF(AND(G593=INDIRECT("'["&amp;G593&amp;"]"&amp;E593&amp;"'!"&amp;$AH$2),OR(K593=INDIRECT("'["&amp;G593&amp;"]"&amp;E593&amp;"'!"&amp;$Z$2))),INDIRECT("'["&amp;G593&amp;"]"&amp;E593&amp;"'!"&amp;$Z$3),0)</f>
        <v>#VALUE!</v>
      </c>
      <c r="O593" s="34" t="e" cm="1">
        <f t="array" aca="1" ref="O593" ca="1">IF(AND(G593=INDIRECT("'["&amp;G593&amp;"]"&amp;E593&amp;"'!"&amp;$AH$2),OR(L593=INDIRECT("'["&amp;G593&amp;"]"&amp;E593&amp;"'!"&amp;$AA$2))),INDIRECT("'["&amp;G593&amp;"]"&amp;E593&amp;"'!"&amp;$AA$3),0)</f>
        <v>#VALUE!</v>
      </c>
      <c r="P593" s="34" t="e" cm="1">
        <f t="array" aca="1" ref="P593" ca="1">IF(AND(G593=INDIRECT("'["&amp;G593&amp;"]"&amp;E593&amp;"'!"&amp;$AH$2),OR(VALUE(I593)=INDIRECT("'["&amp;G593&amp;"]"&amp;E593&amp;"'!"&amp;$AB$2))),INDIRECT("'["&amp;G593&amp;"]"&amp;E593&amp;"'!"&amp;$AB$3),0)</f>
        <v>#VALUE!</v>
      </c>
      <c r="Q593" s="34" t="e" cm="1">
        <f t="array" aca="1" ref="Q593" ca="1">IF(AND(G593=INDIRECT("'["&amp;G593&amp;"]"&amp;E593&amp;"'!"&amp;$AH$2),OR(VALUE(I593)=INDIRECT("'["&amp;G593&amp;"]"&amp;E593&amp;"'!"&amp;$AC$2))),INDIRECT("'["&amp;G593&amp;"]"&amp;E593&amp;"'!"&amp;$AC$3),0)</f>
        <v>#VALUE!</v>
      </c>
      <c r="R593" s="34" t="e" cm="1">
        <f t="array" aca="1" ref="R593" ca="1">IF(AND(G593=INDIRECT("'["&amp;G593&amp;"]"&amp;E593&amp;"'!"&amp;$AH$2),OR(I593=INDIRECT("'["&amp;G593&amp;"]"&amp;E593&amp;"'!"&amp;$AD$2))),INDIRECT("'["&amp;G593&amp;"]"&amp;E593&amp;"'!"&amp;$AD$3),0)</f>
        <v>#VALUE!</v>
      </c>
      <c r="S593" s="34" t="e" cm="1">
        <f t="array" aca="1" ref="S593" ca="1">IF(AND(G593=INDIRECT("'["&amp;G593&amp;"]"&amp;E593&amp;"'!"&amp;$AH$2),OR(I593=INDIRECT("'["&amp;G593&amp;"]"&amp;E593&amp;"'!"&amp;$AE$2))),INDIRECT("'["&amp;G593&amp;"]"&amp;E593&amp;"'!"&amp;$AE$3),0)</f>
        <v>#VALUE!</v>
      </c>
      <c r="T593" s="35" t="e" cm="1">
        <f t="array" aca="1" ref="T593" ca="1">IF(AND(G593=INDIRECT("'["&amp;G593&amp;"]"&amp;E593&amp;"'!"&amp;$AH$2),OR(I593=INDIRECT("'["&amp;G593&amp;"]"&amp;E593&amp;"'!"&amp;$AF$2))),INDIRECT("'["&amp;G593&amp;"]"&amp;E593&amp;"'!"&amp;$AF$3),0)</f>
        <v>#VALUE!</v>
      </c>
      <c r="U593" s="34" t="e" cm="1">
        <f t="array" aca="1" ref="U593" ca="1">IF(AND(G593=INDIRECT("'["&amp;G593&amp;"]"&amp;E593&amp;"'!"&amp;$AH$2),OR(I593=INDIRECT("'["&amp;G593&amp;"]"&amp;E593&amp;"'!"&amp;$AG$2))),INDIRECT("'["&amp;G593&amp;"]"&amp;E593&amp;"'!"&amp;$AG$3),0)</f>
        <v>#VALUE!</v>
      </c>
      <c r="V593" s="25" t="str">
        <f t="shared" si="167"/>
        <v/>
      </c>
      <c r="W593" s="36" t="e" cm="1">
        <f t="array" aca="1" ref="W593" ca="1">IF(AND(G593=INDIRECT("'["&amp;G593&amp;"]"&amp;E593&amp;"'!"&amp;$AH$2),OR(V593=INDIRECT("'["&amp;G593&amp;"]"&amp;E593&amp;"'!"&amp;$AI$2))),INDIRECT("'["&amp;G593&amp;"]"&amp;E593&amp;"'!"&amp;$AI$3),0)</f>
        <v>#VALUE!</v>
      </c>
      <c r="AJ593" s="25">
        <v>1</v>
      </c>
      <c r="AK593" s="38">
        <f t="shared" ca="1" si="168"/>
        <v>0</v>
      </c>
      <c r="AL593" s="38">
        <f t="shared" ca="1" si="169"/>
        <v>0</v>
      </c>
      <c r="AM593" s="54" t="str">
        <f t="shared" ca="1" si="170"/>
        <v/>
      </c>
      <c r="AN593" s="25" t="e">
        <f t="shared" ca="1" si="171"/>
        <v>#VALUE!</v>
      </c>
      <c r="AO593" s="25" t="e">
        <f t="shared" ca="1" si="172"/>
        <v>#VALUE!</v>
      </c>
      <c r="AQ593" s="46" t="str">
        <f ca="1">IF(AND(C593&lt;&gt;0, C594=0), SUM($C$2:C593)-SUM($AQ$1:AQ592), "")</f>
        <v/>
      </c>
      <c r="AR593" s="46" t="str">
        <f ca="1">IF(AND(AK593&lt;&gt;0, AK594=0), SUM($AK$2:AK593)-SUM($AR$1:AR592), "")</f>
        <v/>
      </c>
    </row>
    <row r="594" spans="2:44" ht="13.15" customHeight="1">
      <c r="B594" s="68" t="str">
        <f t="shared" si="158"/>
        <v/>
      </c>
      <c r="C594" s="55" cm="1">
        <f t="array" aca="1" ref="C594" ca="1">SUM(IF(ISNUMBER(M594:U594),M594:U594,""))</f>
        <v>0</v>
      </c>
      <c r="D594" s="25" t="str">
        <f t="shared" si="159"/>
        <v/>
      </c>
      <c r="E594" s="25" t="e">
        <f t="shared" si="160"/>
        <v>#VALUE!</v>
      </c>
      <c r="F594" s="25" t="str">
        <f t="shared" si="161"/>
        <v/>
      </c>
      <c r="G594" s="25" t="str">
        <f t="shared" si="162"/>
        <v>.xlsx</v>
      </c>
      <c r="H594" s="29" t="e" cm="1">
        <f t="array" aca="1" ref="H594" ca="1">IF(AND(VALUE(E594)=INDIRECT("'["&amp;G594&amp;"]"&amp;E594&amp;"'!"&amp;$X$2),G594=INDIRECT("'["&amp;G594&amp;"]"&amp;E594&amp;"'!"&amp;$X$3)),INDIRECT("'["&amp;G594&amp;"]"&amp;E594&amp;"'!"&amp;$X$1),0)</f>
        <v>#VALUE!</v>
      </c>
      <c r="I594" s="25" t="str">
        <f t="shared" si="163"/>
        <v/>
      </c>
      <c r="J594" s="32" t="str">
        <f t="shared" si="164"/>
        <v/>
      </c>
      <c r="K594" s="25" t="str">
        <f t="shared" si="165"/>
        <v/>
      </c>
      <c r="L594" s="25" t="str">
        <f t="shared" si="166"/>
        <v/>
      </c>
      <c r="M594" s="33" t="e" cm="1">
        <f t="array" aca="1" ref="M594" ca="1">IF(AND(J594=INDIRECT("'["&amp;G594&amp;"]"&amp;E594&amp;"'!"&amp;$Y$2),G594=INDIRECT("'["&amp;G594&amp;"]"&amp;E594&amp;"'!"&amp;$AH$2)),INDIRECT("'["&amp;G594&amp;"]"&amp;E594&amp;"'!"&amp;$Y$3),0)</f>
        <v>#VALUE!</v>
      </c>
      <c r="N594" s="34" t="e" cm="1">
        <f t="array" aca="1" ref="N594" ca="1">IF(AND(G594=INDIRECT("'["&amp;G594&amp;"]"&amp;E594&amp;"'!"&amp;$AH$2),OR(K594=INDIRECT("'["&amp;G594&amp;"]"&amp;E594&amp;"'!"&amp;$Z$2))),INDIRECT("'["&amp;G594&amp;"]"&amp;E594&amp;"'!"&amp;$Z$3),0)</f>
        <v>#VALUE!</v>
      </c>
      <c r="O594" s="34" t="e" cm="1">
        <f t="array" aca="1" ref="O594" ca="1">IF(AND(G594=INDIRECT("'["&amp;G594&amp;"]"&amp;E594&amp;"'!"&amp;$AH$2),OR(L594=INDIRECT("'["&amp;G594&amp;"]"&amp;E594&amp;"'!"&amp;$AA$2))),INDIRECT("'["&amp;G594&amp;"]"&amp;E594&amp;"'!"&amp;$AA$3),0)</f>
        <v>#VALUE!</v>
      </c>
      <c r="P594" s="34" t="e" cm="1">
        <f t="array" aca="1" ref="P594" ca="1">IF(AND(G594=INDIRECT("'["&amp;G594&amp;"]"&amp;E594&amp;"'!"&amp;$AH$2),OR(VALUE(I594)=INDIRECT("'["&amp;G594&amp;"]"&amp;E594&amp;"'!"&amp;$AB$2))),INDIRECT("'["&amp;G594&amp;"]"&amp;E594&amp;"'!"&amp;$AB$3),0)</f>
        <v>#VALUE!</v>
      </c>
      <c r="Q594" s="34" t="e" cm="1">
        <f t="array" aca="1" ref="Q594" ca="1">IF(AND(G594=INDIRECT("'["&amp;G594&amp;"]"&amp;E594&amp;"'!"&amp;$AH$2),OR(VALUE(I594)=INDIRECT("'["&amp;G594&amp;"]"&amp;E594&amp;"'!"&amp;$AC$2))),INDIRECT("'["&amp;G594&amp;"]"&amp;E594&amp;"'!"&amp;$AC$3),0)</f>
        <v>#VALUE!</v>
      </c>
      <c r="R594" s="34" t="e" cm="1">
        <f t="array" aca="1" ref="R594" ca="1">IF(AND(G594=INDIRECT("'["&amp;G594&amp;"]"&amp;E594&amp;"'!"&amp;$AH$2),OR(I594=INDIRECT("'["&amp;G594&amp;"]"&amp;E594&amp;"'!"&amp;$AD$2))),INDIRECT("'["&amp;G594&amp;"]"&amp;E594&amp;"'!"&amp;$AD$3),0)</f>
        <v>#VALUE!</v>
      </c>
      <c r="S594" s="34" t="e" cm="1">
        <f t="array" aca="1" ref="S594" ca="1">IF(AND(G594=INDIRECT("'["&amp;G594&amp;"]"&amp;E594&amp;"'!"&amp;$AH$2),OR(I594=INDIRECT("'["&amp;G594&amp;"]"&amp;E594&amp;"'!"&amp;$AE$2))),INDIRECT("'["&amp;G594&amp;"]"&amp;E594&amp;"'!"&amp;$AE$3),0)</f>
        <v>#VALUE!</v>
      </c>
      <c r="T594" s="35" t="e" cm="1">
        <f t="array" aca="1" ref="T594" ca="1">IF(AND(G594=INDIRECT("'["&amp;G594&amp;"]"&amp;E594&amp;"'!"&amp;$AH$2),OR(I594=INDIRECT("'["&amp;G594&amp;"]"&amp;E594&amp;"'!"&amp;$AF$2))),INDIRECT("'["&amp;G594&amp;"]"&amp;E594&amp;"'!"&amp;$AF$3),0)</f>
        <v>#VALUE!</v>
      </c>
      <c r="U594" s="34" t="e" cm="1">
        <f t="array" aca="1" ref="U594" ca="1">IF(AND(G594=INDIRECT("'["&amp;G594&amp;"]"&amp;E594&amp;"'!"&amp;$AH$2),OR(I594=INDIRECT("'["&amp;G594&amp;"]"&amp;E594&amp;"'!"&amp;$AG$2))),INDIRECT("'["&amp;G594&amp;"]"&amp;E594&amp;"'!"&amp;$AG$3),0)</f>
        <v>#VALUE!</v>
      </c>
      <c r="V594" s="25" t="str">
        <f t="shared" si="167"/>
        <v/>
      </c>
      <c r="W594" s="36" t="e" cm="1">
        <f t="array" aca="1" ref="W594" ca="1">IF(AND(G594=INDIRECT("'["&amp;G594&amp;"]"&amp;E594&amp;"'!"&amp;$AH$2),OR(V594=INDIRECT("'["&amp;G594&amp;"]"&amp;E594&amp;"'!"&amp;$AI$2))),INDIRECT("'["&amp;G594&amp;"]"&amp;E594&amp;"'!"&amp;$AI$3),0)</f>
        <v>#VALUE!</v>
      </c>
      <c r="AJ594" s="25">
        <v>1</v>
      </c>
      <c r="AK594" s="38">
        <f t="shared" ca="1" si="168"/>
        <v>0</v>
      </c>
      <c r="AL594" s="38">
        <f t="shared" ca="1" si="169"/>
        <v>0</v>
      </c>
      <c r="AM594" s="54" t="str">
        <f t="shared" ca="1" si="170"/>
        <v/>
      </c>
      <c r="AN594" s="25" t="e">
        <f t="shared" ca="1" si="171"/>
        <v>#VALUE!</v>
      </c>
      <c r="AO594" s="25" t="e">
        <f t="shared" ca="1" si="172"/>
        <v>#VALUE!</v>
      </c>
      <c r="AQ594" s="46" t="str">
        <f ca="1">IF(AND(C594&lt;&gt;0, C595=0), SUM($C$2:C594)-SUM($AQ$1:AQ593), "")</f>
        <v/>
      </c>
      <c r="AR594" s="46" t="str">
        <f ca="1">IF(AND(AK594&lt;&gt;0, AK595=0), SUM($AK$2:AK594)-SUM($AR$1:AR593), "")</f>
        <v/>
      </c>
    </row>
    <row r="595" spans="2:44" ht="13.15" customHeight="1">
      <c r="B595" s="68" t="str">
        <f t="shared" si="158"/>
        <v/>
      </c>
      <c r="C595" s="55" cm="1">
        <f t="array" aca="1" ref="C595" ca="1">SUM(IF(ISNUMBER(M595:U595),M595:U595,""))</f>
        <v>0</v>
      </c>
      <c r="D595" s="25" t="str">
        <f t="shared" si="159"/>
        <v/>
      </c>
      <c r="E595" s="25" t="e">
        <f t="shared" si="160"/>
        <v>#VALUE!</v>
      </c>
      <c r="F595" s="25" t="str">
        <f t="shared" si="161"/>
        <v/>
      </c>
      <c r="G595" s="25" t="str">
        <f t="shared" si="162"/>
        <v>.xlsx</v>
      </c>
      <c r="H595" s="29" t="e" cm="1">
        <f t="array" aca="1" ref="H595" ca="1">IF(AND(VALUE(E595)=INDIRECT("'["&amp;G595&amp;"]"&amp;E595&amp;"'!"&amp;$X$2),G595=INDIRECT("'["&amp;G595&amp;"]"&amp;E595&amp;"'!"&amp;$X$3)),INDIRECT("'["&amp;G595&amp;"]"&amp;E595&amp;"'!"&amp;$X$1),0)</f>
        <v>#VALUE!</v>
      </c>
      <c r="I595" s="25" t="str">
        <f t="shared" si="163"/>
        <v/>
      </c>
      <c r="J595" s="32" t="str">
        <f t="shared" si="164"/>
        <v/>
      </c>
      <c r="K595" s="25" t="str">
        <f t="shared" si="165"/>
        <v/>
      </c>
      <c r="L595" s="25" t="str">
        <f t="shared" si="166"/>
        <v/>
      </c>
      <c r="M595" s="33" t="e" cm="1">
        <f t="array" aca="1" ref="M595" ca="1">IF(AND(J595=INDIRECT("'["&amp;G595&amp;"]"&amp;E595&amp;"'!"&amp;$Y$2),G595=INDIRECT("'["&amp;G595&amp;"]"&amp;E595&amp;"'!"&amp;$AH$2)),INDIRECT("'["&amp;G595&amp;"]"&amp;E595&amp;"'!"&amp;$Y$3),0)</f>
        <v>#VALUE!</v>
      </c>
      <c r="N595" s="34" t="e" cm="1">
        <f t="array" aca="1" ref="N595" ca="1">IF(AND(G595=INDIRECT("'["&amp;G595&amp;"]"&amp;E595&amp;"'!"&amp;$AH$2),OR(K595=INDIRECT("'["&amp;G595&amp;"]"&amp;E595&amp;"'!"&amp;$Z$2))),INDIRECT("'["&amp;G595&amp;"]"&amp;E595&amp;"'!"&amp;$Z$3),0)</f>
        <v>#VALUE!</v>
      </c>
      <c r="O595" s="34" t="e" cm="1">
        <f t="array" aca="1" ref="O595" ca="1">IF(AND(G595=INDIRECT("'["&amp;G595&amp;"]"&amp;E595&amp;"'!"&amp;$AH$2),OR(L595=INDIRECT("'["&amp;G595&amp;"]"&amp;E595&amp;"'!"&amp;$AA$2))),INDIRECT("'["&amp;G595&amp;"]"&amp;E595&amp;"'!"&amp;$AA$3),0)</f>
        <v>#VALUE!</v>
      </c>
      <c r="P595" s="34" t="e" cm="1">
        <f t="array" aca="1" ref="P595" ca="1">IF(AND(G595=INDIRECT("'["&amp;G595&amp;"]"&amp;E595&amp;"'!"&amp;$AH$2),OR(VALUE(I595)=INDIRECT("'["&amp;G595&amp;"]"&amp;E595&amp;"'!"&amp;$AB$2))),INDIRECT("'["&amp;G595&amp;"]"&amp;E595&amp;"'!"&amp;$AB$3),0)</f>
        <v>#VALUE!</v>
      </c>
      <c r="Q595" s="34" t="e" cm="1">
        <f t="array" aca="1" ref="Q595" ca="1">IF(AND(G595=INDIRECT("'["&amp;G595&amp;"]"&amp;E595&amp;"'!"&amp;$AH$2),OR(VALUE(I595)=INDIRECT("'["&amp;G595&amp;"]"&amp;E595&amp;"'!"&amp;$AC$2))),INDIRECT("'["&amp;G595&amp;"]"&amp;E595&amp;"'!"&amp;$AC$3),0)</f>
        <v>#VALUE!</v>
      </c>
      <c r="R595" s="34" t="e" cm="1">
        <f t="array" aca="1" ref="R595" ca="1">IF(AND(G595=INDIRECT("'["&amp;G595&amp;"]"&amp;E595&amp;"'!"&amp;$AH$2),OR(I595=INDIRECT("'["&amp;G595&amp;"]"&amp;E595&amp;"'!"&amp;$AD$2))),INDIRECT("'["&amp;G595&amp;"]"&amp;E595&amp;"'!"&amp;$AD$3),0)</f>
        <v>#VALUE!</v>
      </c>
      <c r="S595" s="34" t="e" cm="1">
        <f t="array" aca="1" ref="S595" ca="1">IF(AND(G595=INDIRECT("'["&amp;G595&amp;"]"&amp;E595&amp;"'!"&amp;$AH$2),OR(I595=INDIRECT("'["&amp;G595&amp;"]"&amp;E595&amp;"'!"&amp;$AE$2))),INDIRECT("'["&amp;G595&amp;"]"&amp;E595&amp;"'!"&amp;$AE$3),0)</f>
        <v>#VALUE!</v>
      </c>
      <c r="T595" s="35" t="e" cm="1">
        <f t="array" aca="1" ref="T595" ca="1">IF(AND(G595=INDIRECT("'["&amp;G595&amp;"]"&amp;E595&amp;"'!"&amp;$AH$2),OR(I595=INDIRECT("'["&amp;G595&amp;"]"&amp;E595&amp;"'!"&amp;$AF$2))),INDIRECT("'["&amp;G595&amp;"]"&amp;E595&amp;"'!"&amp;$AF$3),0)</f>
        <v>#VALUE!</v>
      </c>
      <c r="U595" s="34" t="e" cm="1">
        <f t="array" aca="1" ref="U595" ca="1">IF(AND(G595=INDIRECT("'["&amp;G595&amp;"]"&amp;E595&amp;"'!"&amp;$AH$2),OR(I595=INDIRECT("'["&amp;G595&amp;"]"&amp;E595&amp;"'!"&amp;$AG$2))),INDIRECT("'["&amp;G595&amp;"]"&amp;E595&amp;"'!"&amp;$AG$3),0)</f>
        <v>#VALUE!</v>
      </c>
      <c r="V595" s="25" t="str">
        <f t="shared" si="167"/>
        <v/>
      </c>
      <c r="W595" s="36" t="e" cm="1">
        <f t="array" aca="1" ref="W595" ca="1">IF(AND(G595=INDIRECT("'["&amp;G595&amp;"]"&amp;E595&amp;"'!"&amp;$AH$2),OR(V595=INDIRECT("'["&amp;G595&amp;"]"&amp;E595&amp;"'!"&amp;$AI$2))),INDIRECT("'["&amp;G595&amp;"]"&amp;E595&amp;"'!"&amp;$AI$3),0)</f>
        <v>#VALUE!</v>
      </c>
      <c r="AJ595" s="25">
        <v>1</v>
      </c>
      <c r="AK595" s="38">
        <f t="shared" ca="1" si="168"/>
        <v>0</v>
      </c>
      <c r="AL595" s="38">
        <f t="shared" ca="1" si="169"/>
        <v>0</v>
      </c>
      <c r="AM595" s="54" t="str">
        <f t="shared" ca="1" si="170"/>
        <v/>
      </c>
      <c r="AN595" s="25" t="e">
        <f t="shared" ca="1" si="171"/>
        <v>#VALUE!</v>
      </c>
      <c r="AO595" s="25" t="e">
        <f t="shared" ca="1" si="172"/>
        <v>#VALUE!</v>
      </c>
      <c r="AQ595" s="46" t="str">
        <f ca="1">IF(AND(C595&lt;&gt;0, C596=0), SUM($C$2:C595)-SUM($AQ$1:AQ594), "")</f>
        <v/>
      </c>
      <c r="AR595" s="46" t="str">
        <f ca="1">IF(AND(AK595&lt;&gt;0, AK596=0), SUM($AK$2:AK595)-SUM($AR$1:AR594), "")</f>
        <v/>
      </c>
    </row>
    <row r="596" spans="2:44" ht="13.15" customHeight="1">
      <c r="B596" s="68" t="str">
        <f t="shared" si="158"/>
        <v/>
      </c>
      <c r="C596" s="55" cm="1">
        <f t="array" aca="1" ref="C596" ca="1">SUM(IF(ISNUMBER(M596:U596),M596:U596,""))</f>
        <v>0</v>
      </c>
      <c r="D596" s="25" t="str">
        <f t="shared" si="159"/>
        <v/>
      </c>
      <c r="E596" s="25" t="e">
        <f t="shared" si="160"/>
        <v>#VALUE!</v>
      </c>
      <c r="F596" s="25" t="str">
        <f t="shared" si="161"/>
        <v/>
      </c>
      <c r="G596" s="25" t="str">
        <f t="shared" si="162"/>
        <v>.xlsx</v>
      </c>
      <c r="H596" s="29" t="e" cm="1">
        <f t="array" aca="1" ref="H596" ca="1">IF(AND(VALUE(E596)=INDIRECT("'["&amp;G596&amp;"]"&amp;E596&amp;"'!"&amp;$X$2),G596=INDIRECT("'["&amp;G596&amp;"]"&amp;E596&amp;"'!"&amp;$X$3)),INDIRECT("'["&amp;G596&amp;"]"&amp;E596&amp;"'!"&amp;$X$1),0)</f>
        <v>#VALUE!</v>
      </c>
      <c r="I596" s="25" t="str">
        <f t="shared" si="163"/>
        <v/>
      </c>
      <c r="J596" s="32" t="str">
        <f t="shared" si="164"/>
        <v/>
      </c>
      <c r="K596" s="25" t="str">
        <f t="shared" si="165"/>
        <v/>
      </c>
      <c r="L596" s="25" t="str">
        <f t="shared" si="166"/>
        <v/>
      </c>
      <c r="M596" s="33" t="e" cm="1">
        <f t="array" aca="1" ref="M596" ca="1">IF(AND(J596=INDIRECT("'["&amp;G596&amp;"]"&amp;E596&amp;"'!"&amp;$Y$2),G596=INDIRECT("'["&amp;G596&amp;"]"&amp;E596&amp;"'!"&amp;$AH$2)),INDIRECT("'["&amp;G596&amp;"]"&amp;E596&amp;"'!"&amp;$Y$3),0)</f>
        <v>#VALUE!</v>
      </c>
      <c r="N596" s="34" t="e" cm="1">
        <f t="array" aca="1" ref="N596" ca="1">IF(AND(G596=INDIRECT("'["&amp;G596&amp;"]"&amp;E596&amp;"'!"&amp;$AH$2),OR(K596=INDIRECT("'["&amp;G596&amp;"]"&amp;E596&amp;"'!"&amp;$Z$2))),INDIRECT("'["&amp;G596&amp;"]"&amp;E596&amp;"'!"&amp;$Z$3),0)</f>
        <v>#VALUE!</v>
      </c>
      <c r="O596" s="34" t="e" cm="1">
        <f t="array" aca="1" ref="O596" ca="1">IF(AND(G596=INDIRECT("'["&amp;G596&amp;"]"&amp;E596&amp;"'!"&amp;$AH$2),OR(L596=INDIRECT("'["&amp;G596&amp;"]"&amp;E596&amp;"'!"&amp;$AA$2))),INDIRECT("'["&amp;G596&amp;"]"&amp;E596&amp;"'!"&amp;$AA$3),0)</f>
        <v>#VALUE!</v>
      </c>
      <c r="P596" s="34" t="e" cm="1">
        <f t="array" aca="1" ref="P596" ca="1">IF(AND(G596=INDIRECT("'["&amp;G596&amp;"]"&amp;E596&amp;"'!"&amp;$AH$2),OR(VALUE(I596)=INDIRECT("'["&amp;G596&amp;"]"&amp;E596&amp;"'!"&amp;$AB$2))),INDIRECT("'["&amp;G596&amp;"]"&amp;E596&amp;"'!"&amp;$AB$3),0)</f>
        <v>#VALUE!</v>
      </c>
      <c r="Q596" s="34" t="e" cm="1">
        <f t="array" aca="1" ref="Q596" ca="1">IF(AND(G596=INDIRECT("'["&amp;G596&amp;"]"&amp;E596&amp;"'!"&amp;$AH$2),OR(VALUE(I596)=INDIRECT("'["&amp;G596&amp;"]"&amp;E596&amp;"'!"&amp;$AC$2))),INDIRECT("'["&amp;G596&amp;"]"&amp;E596&amp;"'!"&amp;$AC$3),0)</f>
        <v>#VALUE!</v>
      </c>
      <c r="R596" s="34" t="e" cm="1">
        <f t="array" aca="1" ref="R596" ca="1">IF(AND(G596=INDIRECT("'["&amp;G596&amp;"]"&amp;E596&amp;"'!"&amp;$AH$2),OR(I596=INDIRECT("'["&amp;G596&amp;"]"&amp;E596&amp;"'!"&amp;$AD$2))),INDIRECT("'["&amp;G596&amp;"]"&amp;E596&amp;"'!"&amp;$AD$3),0)</f>
        <v>#VALUE!</v>
      </c>
      <c r="S596" s="34" t="e" cm="1">
        <f t="array" aca="1" ref="S596" ca="1">IF(AND(G596=INDIRECT("'["&amp;G596&amp;"]"&amp;E596&amp;"'!"&amp;$AH$2),OR(I596=INDIRECT("'["&amp;G596&amp;"]"&amp;E596&amp;"'!"&amp;$AE$2))),INDIRECT("'["&amp;G596&amp;"]"&amp;E596&amp;"'!"&amp;$AE$3),0)</f>
        <v>#VALUE!</v>
      </c>
      <c r="T596" s="35" t="e" cm="1">
        <f t="array" aca="1" ref="T596" ca="1">IF(AND(G596=INDIRECT("'["&amp;G596&amp;"]"&amp;E596&amp;"'!"&amp;$AH$2),OR(I596=INDIRECT("'["&amp;G596&amp;"]"&amp;E596&amp;"'!"&amp;$AF$2))),INDIRECT("'["&amp;G596&amp;"]"&amp;E596&amp;"'!"&amp;$AF$3),0)</f>
        <v>#VALUE!</v>
      </c>
      <c r="U596" s="34" t="e" cm="1">
        <f t="array" aca="1" ref="U596" ca="1">IF(AND(G596=INDIRECT("'["&amp;G596&amp;"]"&amp;E596&amp;"'!"&amp;$AH$2),OR(I596=INDIRECT("'["&amp;G596&amp;"]"&amp;E596&amp;"'!"&amp;$AG$2))),INDIRECT("'["&amp;G596&amp;"]"&amp;E596&amp;"'!"&amp;$AG$3),0)</f>
        <v>#VALUE!</v>
      </c>
      <c r="V596" s="25" t="str">
        <f t="shared" si="167"/>
        <v/>
      </c>
      <c r="W596" s="36" t="e" cm="1">
        <f t="array" aca="1" ref="W596" ca="1">IF(AND(G596=INDIRECT("'["&amp;G596&amp;"]"&amp;E596&amp;"'!"&amp;$AH$2),OR(V596=INDIRECT("'["&amp;G596&amp;"]"&amp;E596&amp;"'!"&amp;$AI$2))),INDIRECT("'["&amp;G596&amp;"]"&amp;E596&amp;"'!"&amp;$AI$3),0)</f>
        <v>#VALUE!</v>
      </c>
      <c r="AJ596" s="25">
        <v>1</v>
      </c>
      <c r="AK596" s="38">
        <f t="shared" ca="1" si="168"/>
        <v>0</v>
      </c>
      <c r="AL596" s="38">
        <f t="shared" ca="1" si="169"/>
        <v>0</v>
      </c>
      <c r="AM596" s="54" t="str">
        <f t="shared" ca="1" si="170"/>
        <v/>
      </c>
      <c r="AN596" s="25" t="e">
        <f t="shared" ca="1" si="171"/>
        <v>#VALUE!</v>
      </c>
      <c r="AO596" s="25" t="e">
        <f t="shared" ca="1" si="172"/>
        <v>#VALUE!</v>
      </c>
      <c r="AQ596" s="46" t="str">
        <f ca="1">IF(AND(C596&lt;&gt;0, C597=0), SUM($C$2:C596)-SUM($AQ$1:AQ595), "")</f>
        <v/>
      </c>
      <c r="AR596" s="46" t="str">
        <f ca="1">IF(AND(AK596&lt;&gt;0, AK597=0), SUM($AK$2:AK596)-SUM($AR$1:AR595), "")</f>
        <v/>
      </c>
    </row>
    <row r="597" spans="2:44" ht="13.15" customHeight="1">
      <c r="B597" s="68" t="str">
        <f t="shared" si="158"/>
        <v/>
      </c>
      <c r="C597" s="55" cm="1">
        <f t="array" aca="1" ref="C597" ca="1">SUM(IF(ISNUMBER(M597:U597),M597:U597,""))</f>
        <v>0</v>
      </c>
      <c r="D597" s="25" t="str">
        <f t="shared" si="159"/>
        <v/>
      </c>
      <c r="E597" s="25" t="e">
        <f t="shared" si="160"/>
        <v>#VALUE!</v>
      </c>
      <c r="F597" s="25" t="str">
        <f t="shared" si="161"/>
        <v/>
      </c>
      <c r="G597" s="25" t="str">
        <f t="shared" si="162"/>
        <v>.xlsx</v>
      </c>
      <c r="H597" s="29" t="e" cm="1">
        <f t="array" aca="1" ref="H597" ca="1">IF(AND(VALUE(E597)=INDIRECT("'["&amp;G597&amp;"]"&amp;E597&amp;"'!"&amp;$X$2),G597=INDIRECT("'["&amp;G597&amp;"]"&amp;E597&amp;"'!"&amp;$X$3)),INDIRECT("'["&amp;G597&amp;"]"&amp;E597&amp;"'!"&amp;$X$1),0)</f>
        <v>#VALUE!</v>
      </c>
      <c r="I597" s="25" t="str">
        <f t="shared" si="163"/>
        <v/>
      </c>
      <c r="J597" s="32" t="str">
        <f t="shared" si="164"/>
        <v/>
      </c>
      <c r="K597" s="25" t="str">
        <f t="shared" si="165"/>
        <v/>
      </c>
      <c r="L597" s="25" t="str">
        <f t="shared" si="166"/>
        <v/>
      </c>
      <c r="M597" s="33" t="e" cm="1">
        <f t="array" aca="1" ref="M597" ca="1">IF(AND(J597=INDIRECT("'["&amp;G597&amp;"]"&amp;E597&amp;"'!"&amp;$Y$2),G597=INDIRECT("'["&amp;G597&amp;"]"&amp;E597&amp;"'!"&amp;$AH$2)),INDIRECT("'["&amp;G597&amp;"]"&amp;E597&amp;"'!"&amp;$Y$3),0)</f>
        <v>#VALUE!</v>
      </c>
      <c r="N597" s="34" t="e" cm="1">
        <f t="array" aca="1" ref="N597" ca="1">IF(AND(G597=INDIRECT("'["&amp;G597&amp;"]"&amp;E597&amp;"'!"&amp;$AH$2),OR(K597=INDIRECT("'["&amp;G597&amp;"]"&amp;E597&amp;"'!"&amp;$Z$2))),INDIRECT("'["&amp;G597&amp;"]"&amp;E597&amp;"'!"&amp;$Z$3),0)</f>
        <v>#VALUE!</v>
      </c>
      <c r="O597" s="34" t="e" cm="1">
        <f t="array" aca="1" ref="O597" ca="1">IF(AND(G597=INDIRECT("'["&amp;G597&amp;"]"&amp;E597&amp;"'!"&amp;$AH$2),OR(L597=INDIRECT("'["&amp;G597&amp;"]"&amp;E597&amp;"'!"&amp;$AA$2))),INDIRECT("'["&amp;G597&amp;"]"&amp;E597&amp;"'!"&amp;$AA$3),0)</f>
        <v>#VALUE!</v>
      </c>
      <c r="P597" s="34" t="e" cm="1">
        <f t="array" aca="1" ref="P597" ca="1">IF(AND(G597=INDIRECT("'["&amp;G597&amp;"]"&amp;E597&amp;"'!"&amp;$AH$2),OR(VALUE(I597)=INDIRECT("'["&amp;G597&amp;"]"&amp;E597&amp;"'!"&amp;$AB$2))),INDIRECT("'["&amp;G597&amp;"]"&amp;E597&amp;"'!"&amp;$AB$3),0)</f>
        <v>#VALUE!</v>
      </c>
      <c r="Q597" s="34" t="e" cm="1">
        <f t="array" aca="1" ref="Q597" ca="1">IF(AND(G597=INDIRECT("'["&amp;G597&amp;"]"&amp;E597&amp;"'!"&amp;$AH$2),OR(VALUE(I597)=INDIRECT("'["&amp;G597&amp;"]"&amp;E597&amp;"'!"&amp;$AC$2))),INDIRECT("'["&amp;G597&amp;"]"&amp;E597&amp;"'!"&amp;$AC$3),0)</f>
        <v>#VALUE!</v>
      </c>
      <c r="R597" s="34" t="e" cm="1">
        <f t="array" aca="1" ref="R597" ca="1">IF(AND(G597=INDIRECT("'["&amp;G597&amp;"]"&amp;E597&amp;"'!"&amp;$AH$2),OR(I597=INDIRECT("'["&amp;G597&amp;"]"&amp;E597&amp;"'!"&amp;$AD$2))),INDIRECT("'["&amp;G597&amp;"]"&amp;E597&amp;"'!"&amp;$AD$3),0)</f>
        <v>#VALUE!</v>
      </c>
      <c r="S597" s="34" t="e" cm="1">
        <f t="array" aca="1" ref="S597" ca="1">IF(AND(G597=INDIRECT("'["&amp;G597&amp;"]"&amp;E597&amp;"'!"&amp;$AH$2),OR(I597=INDIRECT("'["&amp;G597&amp;"]"&amp;E597&amp;"'!"&amp;$AE$2))),INDIRECT("'["&amp;G597&amp;"]"&amp;E597&amp;"'!"&amp;$AE$3),0)</f>
        <v>#VALUE!</v>
      </c>
      <c r="T597" s="35" t="e" cm="1">
        <f t="array" aca="1" ref="T597" ca="1">IF(AND(G597=INDIRECT("'["&amp;G597&amp;"]"&amp;E597&amp;"'!"&amp;$AH$2),OR(I597=INDIRECT("'["&amp;G597&amp;"]"&amp;E597&amp;"'!"&amp;$AF$2))),INDIRECT("'["&amp;G597&amp;"]"&amp;E597&amp;"'!"&amp;$AF$3),0)</f>
        <v>#VALUE!</v>
      </c>
      <c r="U597" s="34" t="e" cm="1">
        <f t="array" aca="1" ref="U597" ca="1">IF(AND(G597=INDIRECT("'["&amp;G597&amp;"]"&amp;E597&amp;"'!"&amp;$AH$2),OR(I597=INDIRECT("'["&amp;G597&amp;"]"&amp;E597&amp;"'!"&amp;$AG$2))),INDIRECT("'["&amp;G597&amp;"]"&amp;E597&amp;"'!"&amp;$AG$3),0)</f>
        <v>#VALUE!</v>
      </c>
      <c r="V597" s="25" t="str">
        <f t="shared" si="167"/>
        <v/>
      </c>
      <c r="W597" s="36" t="e" cm="1">
        <f t="array" aca="1" ref="W597" ca="1">IF(AND(G597=INDIRECT("'["&amp;G597&amp;"]"&amp;E597&amp;"'!"&amp;$AH$2),OR(V597=INDIRECT("'["&amp;G597&amp;"]"&amp;E597&amp;"'!"&amp;$AI$2))),INDIRECT("'["&amp;G597&amp;"]"&amp;E597&amp;"'!"&amp;$AI$3),0)</f>
        <v>#VALUE!</v>
      </c>
      <c r="AJ597" s="25">
        <v>1</v>
      </c>
      <c r="AK597" s="38">
        <f t="shared" ca="1" si="168"/>
        <v>0</v>
      </c>
      <c r="AL597" s="38">
        <f t="shared" ca="1" si="169"/>
        <v>0</v>
      </c>
      <c r="AM597" s="54" t="str">
        <f t="shared" ca="1" si="170"/>
        <v/>
      </c>
      <c r="AN597" s="25" t="e">
        <f t="shared" ca="1" si="171"/>
        <v>#VALUE!</v>
      </c>
      <c r="AO597" s="25" t="e">
        <f t="shared" ca="1" si="172"/>
        <v>#VALUE!</v>
      </c>
      <c r="AQ597" s="46" t="str">
        <f ca="1">IF(AND(C597&lt;&gt;0, C598=0), SUM($C$2:C597)-SUM($AQ$1:AQ596), "")</f>
        <v/>
      </c>
      <c r="AR597" s="46" t="str">
        <f ca="1">IF(AND(AK597&lt;&gt;0, AK598=0), SUM($AK$2:AK597)-SUM($AR$1:AR596), "")</f>
        <v/>
      </c>
    </row>
    <row r="598" spans="2:44" ht="13.15" customHeight="1">
      <c r="B598" s="68" t="str">
        <f t="shared" si="158"/>
        <v/>
      </c>
      <c r="C598" s="55" cm="1">
        <f t="array" aca="1" ref="C598" ca="1">SUM(IF(ISNUMBER(M598:U598),M598:U598,""))</f>
        <v>0</v>
      </c>
      <c r="D598" s="25" t="str">
        <f t="shared" si="159"/>
        <v/>
      </c>
      <c r="E598" s="25" t="e">
        <f t="shared" si="160"/>
        <v>#VALUE!</v>
      </c>
      <c r="F598" s="25" t="str">
        <f t="shared" si="161"/>
        <v/>
      </c>
      <c r="G598" s="25" t="str">
        <f t="shared" si="162"/>
        <v>.xlsx</v>
      </c>
      <c r="H598" s="29" t="e" cm="1">
        <f t="array" aca="1" ref="H598" ca="1">IF(AND(VALUE(E598)=INDIRECT("'["&amp;G598&amp;"]"&amp;E598&amp;"'!"&amp;$X$2),G598=INDIRECT("'["&amp;G598&amp;"]"&amp;E598&amp;"'!"&amp;$X$3)),INDIRECT("'["&amp;G598&amp;"]"&amp;E598&amp;"'!"&amp;$X$1),0)</f>
        <v>#VALUE!</v>
      </c>
      <c r="I598" s="25" t="str">
        <f t="shared" si="163"/>
        <v/>
      </c>
      <c r="J598" s="32" t="str">
        <f t="shared" si="164"/>
        <v/>
      </c>
      <c r="K598" s="25" t="str">
        <f t="shared" si="165"/>
        <v/>
      </c>
      <c r="L598" s="25" t="str">
        <f t="shared" si="166"/>
        <v/>
      </c>
      <c r="M598" s="33" t="e" cm="1">
        <f t="array" aca="1" ref="M598" ca="1">IF(AND(J598=INDIRECT("'["&amp;G598&amp;"]"&amp;E598&amp;"'!"&amp;$Y$2),G598=INDIRECT("'["&amp;G598&amp;"]"&amp;E598&amp;"'!"&amp;$AH$2)),INDIRECT("'["&amp;G598&amp;"]"&amp;E598&amp;"'!"&amp;$Y$3),0)</f>
        <v>#VALUE!</v>
      </c>
      <c r="N598" s="34" t="e" cm="1">
        <f t="array" aca="1" ref="N598" ca="1">IF(AND(G598=INDIRECT("'["&amp;G598&amp;"]"&amp;E598&amp;"'!"&amp;$AH$2),OR(K598=INDIRECT("'["&amp;G598&amp;"]"&amp;E598&amp;"'!"&amp;$Z$2))),INDIRECT("'["&amp;G598&amp;"]"&amp;E598&amp;"'!"&amp;$Z$3),0)</f>
        <v>#VALUE!</v>
      </c>
      <c r="O598" s="34" t="e" cm="1">
        <f t="array" aca="1" ref="O598" ca="1">IF(AND(G598=INDIRECT("'["&amp;G598&amp;"]"&amp;E598&amp;"'!"&amp;$AH$2),OR(L598=INDIRECT("'["&amp;G598&amp;"]"&amp;E598&amp;"'!"&amp;$AA$2))),INDIRECT("'["&amp;G598&amp;"]"&amp;E598&amp;"'!"&amp;$AA$3),0)</f>
        <v>#VALUE!</v>
      </c>
      <c r="P598" s="34" t="e" cm="1">
        <f t="array" aca="1" ref="P598" ca="1">IF(AND(G598=INDIRECT("'["&amp;G598&amp;"]"&amp;E598&amp;"'!"&amp;$AH$2),OR(VALUE(I598)=INDIRECT("'["&amp;G598&amp;"]"&amp;E598&amp;"'!"&amp;$AB$2))),INDIRECT("'["&amp;G598&amp;"]"&amp;E598&amp;"'!"&amp;$AB$3),0)</f>
        <v>#VALUE!</v>
      </c>
      <c r="Q598" s="34" t="e" cm="1">
        <f t="array" aca="1" ref="Q598" ca="1">IF(AND(G598=INDIRECT("'["&amp;G598&amp;"]"&amp;E598&amp;"'!"&amp;$AH$2),OR(VALUE(I598)=INDIRECT("'["&amp;G598&amp;"]"&amp;E598&amp;"'!"&amp;$AC$2))),INDIRECT("'["&amp;G598&amp;"]"&amp;E598&amp;"'!"&amp;$AC$3),0)</f>
        <v>#VALUE!</v>
      </c>
      <c r="R598" s="34" t="e" cm="1">
        <f t="array" aca="1" ref="R598" ca="1">IF(AND(G598=INDIRECT("'["&amp;G598&amp;"]"&amp;E598&amp;"'!"&amp;$AH$2),OR(I598=INDIRECT("'["&amp;G598&amp;"]"&amp;E598&amp;"'!"&amp;$AD$2))),INDIRECT("'["&amp;G598&amp;"]"&amp;E598&amp;"'!"&amp;$AD$3),0)</f>
        <v>#VALUE!</v>
      </c>
      <c r="S598" s="34" t="e" cm="1">
        <f t="array" aca="1" ref="S598" ca="1">IF(AND(G598=INDIRECT("'["&amp;G598&amp;"]"&amp;E598&amp;"'!"&amp;$AH$2),OR(I598=INDIRECT("'["&amp;G598&amp;"]"&amp;E598&amp;"'!"&amp;$AE$2))),INDIRECT("'["&amp;G598&amp;"]"&amp;E598&amp;"'!"&amp;$AE$3),0)</f>
        <v>#VALUE!</v>
      </c>
      <c r="T598" s="35" t="e" cm="1">
        <f t="array" aca="1" ref="T598" ca="1">IF(AND(G598=INDIRECT("'["&amp;G598&amp;"]"&amp;E598&amp;"'!"&amp;$AH$2),OR(I598=INDIRECT("'["&amp;G598&amp;"]"&amp;E598&amp;"'!"&amp;$AF$2))),INDIRECT("'["&amp;G598&amp;"]"&amp;E598&amp;"'!"&amp;$AF$3),0)</f>
        <v>#VALUE!</v>
      </c>
      <c r="U598" s="34" t="e" cm="1">
        <f t="array" aca="1" ref="U598" ca="1">IF(AND(G598=INDIRECT("'["&amp;G598&amp;"]"&amp;E598&amp;"'!"&amp;$AH$2),OR(I598=INDIRECT("'["&amp;G598&amp;"]"&amp;E598&amp;"'!"&amp;$AG$2))),INDIRECT("'["&amp;G598&amp;"]"&amp;E598&amp;"'!"&amp;$AG$3),0)</f>
        <v>#VALUE!</v>
      </c>
      <c r="V598" s="25" t="str">
        <f t="shared" si="167"/>
        <v/>
      </c>
      <c r="W598" s="36" t="e" cm="1">
        <f t="array" aca="1" ref="W598" ca="1">IF(AND(G598=INDIRECT("'["&amp;G598&amp;"]"&amp;E598&amp;"'!"&amp;$AH$2),OR(V598=INDIRECT("'["&amp;G598&amp;"]"&amp;E598&amp;"'!"&amp;$AI$2))),INDIRECT("'["&amp;G598&amp;"]"&amp;E598&amp;"'!"&amp;$AI$3),0)</f>
        <v>#VALUE!</v>
      </c>
      <c r="AJ598" s="25">
        <v>1</v>
      </c>
      <c r="AK598" s="38">
        <f t="shared" ca="1" si="168"/>
        <v>0</v>
      </c>
      <c r="AL598" s="38">
        <f t="shared" ca="1" si="169"/>
        <v>0</v>
      </c>
      <c r="AM598" s="54" t="str">
        <f t="shared" ca="1" si="170"/>
        <v/>
      </c>
      <c r="AN598" s="25" t="e">
        <f t="shared" ca="1" si="171"/>
        <v>#VALUE!</v>
      </c>
      <c r="AO598" s="25" t="e">
        <f t="shared" ca="1" si="172"/>
        <v>#VALUE!</v>
      </c>
      <c r="AQ598" s="46" t="str">
        <f ca="1">IF(AND(C598&lt;&gt;0, C599=0), SUM($C$2:C598)-SUM($AQ$1:AQ597), "")</f>
        <v/>
      </c>
      <c r="AR598" s="46" t="str">
        <f ca="1">IF(AND(AK598&lt;&gt;0, AK599=0), SUM($AK$2:AK598)-SUM($AR$1:AR597), "")</f>
        <v/>
      </c>
    </row>
    <row r="599" spans="2:44" ht="13.15" customHeight="1">
      <c r="B599" s="68" t="str">
        <f t="shared" si="158"/>
        <v/>
      </c>
      <c r="C599" s="55" cm="1">
        <f t="array" aca="1" ref="C599" ca="1">SUM(IF(ISNUMBER(M599:U599),M599:U599,""))</f>
        <v>0</v>
      </c>
      <c r="D599" s="25" t="str">
        <f t="shared" si="159"/>
        <v/>
      </c>
      <c r="E599" s="25" t="e">
        <f t="shared" si="160"/>
        <v>#VALUE!</v>
      </c>
      <c r="F599" s="25" t="str">
        <f t="shared" si="161"/>
        <v/>
      </c>
      <c r="G599" s="25" t="str">
        <f t="shared" si="162"/>
        <v>.xlsx</v>
      </c>
      <c r="H599" s="29" t="e" cm="1">
        <f t="array" aca="1" ref="H599" ca="1">IF(AND(VALUE(E599)=INDIRECT("'["&amp;G599&amp;"]"&amp;E599&amp;"'!"&amp;$X$2),G599=INDIRECT("'["&amp;G599&amp;"]"&amp;E599&amp;"'!"&amp;$X$3)),INDIRECT("'["&amp;G599&amp;"]"&amp;E599&amp;"'!"&amp;$X$1),0)</f>
        <v>#VALUE!</v>
      </c>
      <c r="I599" s="25" t="str">
        <f t="shared" si="163"/>
        <v/>
      </c>
      <c r="J599" s="32" t="str">
        <f t="shared" si="164"/>
        <v/>
      </c>
      <c r="K599" s="25" t="str">
        <f t="shared" si="165"/>
        <v/>
      </c>
      <c r="L599" s="25" t="str">
        <f t="shared" si="166"/>
        <v/>
      </c>
      <c r="M599" s="33" t="e" cm="1">
        <f t="array" aca="1" ref="M599" ca="1">IF(AND(J599=INDIRECT("'["&amp;G599&amp;"]"&amp;E599&amp;"'!"&amp;$Y$2),G599=INDIRECT("'["&amp;G599&amp;"]"&amp;E599&amp;"'!"&amp;$AH$2)),INDIRECT("'["&amp;G599&amp;"]"&amp;E599&amp;"'!"&amp;$Y$3),0)</f>
        <v>#VALUE!</v>
      </c>
      <c r="N599" s="34" t="e" cm="1">
        <f t="array" aca="1" ref="N599" ca="1">IF(AND(G599=INDIRECT("'["&amp;G599&amp;"]"&amp;E599&amp;"'!"&amp;$AH$2),OR(K599=INDIRECT("'["&amp;G599&amp;"]"&amp;E599&amp;"'!"&amp;$Z$2))),INDIRECT("'["&amp;G599&amp;"]"&amp;E599&amp;"'!"&amp;$Z$3),0)</f>
        <v>#VALUE!</v>
      </c>
      <c r="O599" s="34" t="e" cm="1">
        <f t="array" aca="1" ref="O599" ca="1">IF(AND(G599=INDIRECT("'["&amp;G599&amp;"]"&amp;E599&amp;"'!"&amp;$AH$2),OR(L599=INDIRECT("'["&amp;G599&amp;"]"&amp;E599&amp;"'!"&amp;$AA$2))),INDIRECT("'["&amp;G599&amp;"]"&amp;E599&amp;"'!"&amp;$AA$3),0)</f>
        <v>#VALUE!</v>
      </c>
      <c r="P599" s="34" t="e" cm="1">
        <f t="array" aca="1" ref="P599" ca="1">IF(AND(G599=INDIRECT("'["&amp;G599&amp;"]"&amp;E599&amp;"'!"&amp;$AH$2),OR(VALUE(I599)=INDIRECT("'["&amp;G599&amp;"]"&amp;E599&amp;"'!"&amp;$AB$2))),INDIRECT("'["&amp;G599&amp;"]"&amp;E599&amp;"'!"&amp;$AB$3),0)</f>
        <v>#VALUE!</v>
      </c>
      <c r="Q599" s="34" t="e" cm="1">
        <f t="array" aca="1" ref="Q599" ca="1">IF(AND(G599=INDIRECT("'["&amp;G599&amp;"]"&amp;E599&amp;"'!"&amp;$AH$2),OR(VALUE(I599)=INDIRECT("'["&amp;G599&amp;"]"&amp;E599&amp;"'!"&amp;$AC$2))),INDIRECT("'["&amp;G599&amp;"]"&amp;E599&amp;"'!"&amp;$AC$3),0)</f>
        <v>#VALUE!</v>
      </c>
      <c r="R599" s="34" t="e" cm="1">
        <f t="array" aca="1" ref="R599" ca="1">IF(AND(G599=INDIRECT("'["&amp;G599&amp;"]"&amp;E599&amp;"'!"&amp;$AH$2),OR(I599=INDIRECT("'["&amp;G599&amp;"]"&amp;E599&amp;"'!"&amp;$AD$2))),INDIRECT("'["&amp;G599&amp;"]"&amp;E599&amp;"'!"&amp;$AD$3),0)</f>
        <v>#VALUE!</v>
      </c>
      <c r="S599" s="34" t="e" cm="1">
        <f t="array" aca="1" ref="S599" ca="1">IF(AND(G599=INDIRECT("'["&amp;G599&amp;"]"&amp;E599&amp;"'!"&amp;$AH$2),OR(I599=INDIRECT("'["&amp;G599&amp;"]"&amp;E599&amp;"'!"&amp;$AE$2))),INDIRECT("'["&amp;G599&amp;"]"&amp;E599&amp;"'!"&amp;$AE$3),0)</f>
        <v>#VALUE!</v>
      </c>
      <c r="T599" s="35" t="e" cm="1">
        <f t="array" aca="1" ref="T599" ca="1">IF(AND(G599=INDIRECT("'["&amp;G599&amp;"]"&amp;E599&amp;"'!"&amp;$AH$2),OR(I599=INDIRECT("'["&amp;G599&amp;"]"&amp;E599&amp;"'!"&amp;$AF$2))),INDIRECT("'["&amp;G599&amp;"]"&amp;E599&amp;"'!"&amp;$AF$3),0)</f>
        <v>#VALUE!</v>
      </c>
      <c r="U599" s="34" t="e" cm="1">
        <f t="array" aca="1" ref="U599" ca="1">IF(AND(G599=INDIRECT("'["&amp;G599&amp;"]"&amp;E599&amp;"'!"&amp;$AH$2),OR(I599=INDIRECT("'["&amp;G599&amp;"]"&amp;E599&amp;"'!"&amp;$AG$2))),INDIRECT("'["&amp;G599&amp;"]"&amp;E599&amp;"'!"&amp;$AG$3),0)</f>
        <v>#VALUE!</v>
      </c>
      <c r="V599" s="25" t="str">
        <f t="shared" si="167"/>
        <v/>
      </c>
      <c r="W599" s="36" t="e" cm="1">
        <f t="array" aca="1" ref="W599" ca="1">IF(AND(G599=INDIRECT("'["&amp;G599&amp;"]"&amp;E599&amp;"'!"&amp;$AH$2),OR(V599=INDIRECT("'["&amp;G599&amp;"]"&amp;E599&amp;"'!"&amp;$AI$2))),INDIRECT("'["&amp;G599&amp;"]"&amp;E599&amp;"'!"&amp;$AI$3),0)</f>
        <v>#VALUE!</v>
      </c>
      <c r="AJ599" s="25">
        <v>1</v>
      </c>
      <c r="AK599" s="38">
        <f t="shared" ca="1" si="168"/>
        <v>0</v>
      </c>
      <c r="AL599" s="38">
        <f t="shared" ca="1" si="169"/>
        <v>0</v>
      </c>
      <c r="AM599" s="54" t="str">
        <f t="shared" ca="1" si="170"/>
        <v/>
      </c>
      <c r="AN599" s="25" t="e">
        <f t="shared" ca="1" si="171"/>
        <v>#VALUE!</v>
      </c>
      <c r="AO599" s="25" t="e">
        <f t="shared" ca="1" si="172"/>
        <v>#VALUE!</v>
      </c>
      <c r="AQ599" s="46" t="str">
        <f ca="1">IF(AND(C599&lt;&gt;0, C600=0), SUM($C$2:C599)-SUM($AQ$1:AQ598), "")</f>
        <v/>
      </c>
      <c r="AR599" s="46" t="str">
        <f ca="1">IF(AND(AK599&lt;&gt;0, AK600=0), SUM($AK$2:AK599)-SUM($AR$1:AR598), "")</f>
        <v/>
      </c>
    </row>
    <row r="600" spans="2:44" ht="13.15" customHeight="1">
      <c r="B600" s="68" t="str">
        <f t="shared" si="158"/>
        <v/>
      </c>
      <c r="C600" s="55" cm="1">
        <f t="array" aca="1" ref="C600" ca="1">SUM(IF(ISNUMBER(M600:U600),M600:U600,""))</f>
        <v>0</v>
      </c>
      <c r="D600" s="25" t="str">
        <f t="shared" si="159"/>
        <v/>
      </c>
      <c r="E600" s="25" t="e">
        <f t="shared" si="160"/>
        <v>#VALUE!</v>
      </c>
      <c r="F600" s="25" t="str">
        <f t="shared" si="161"/>
        <v/>
      </c>
      <c r="G600" s="25" t="str">
        <f t="shared" si="162"/>
        <v>.xlsx</v>
      </c>
      <c r="H600" s="29" t="e" cm="1">
        <f t="array" aca="1" ref="H600" ca="1">IF(AND(VALUE(E600)=INDIRECT("'["&amp;G600&amp;"]"&amp;E600&amp;"'!"&amp;$X$2),G600=INDIRECT("'["&amp;G600&amp;"]"&amp;E600&amp;"'!"&amp;$X$3)),INDIRECT("'["&amp;G600&amp;"]"&amp;E600&amp;"'!"&amp;$X$1),0)</f>
        <v>#VALUE!</v>
      </c>
      <c r="I600" s="25" t="str">
        <f t="shared" si="163"/>
        <v/>
      </c>
      <c r="J600" s="32" t="str">
        <f t="shared" si="164"/>
        <v/>
      </c>
      <c r="K600" s="25" t="str">
        <f t="shared" si="165"/>
        <v/>
      </c>
      <c r="L600" s="25" t="str">
        <f t="shared" si="166"/>
        <v/>
      </c>
      <c r="M600" s="33" t="e" cm="1">
        <f t="array" aca="1" ref="M600" ca="1">IF(AND(J600=INDIRECT("'["&amp;G600&amp;"]"&amp;E600&amp;"'!"&amp;$Y$2),G600=INDIRECT("'["&amp;G600&amp;"]"&amp;E600&amp;"'!"&amp;$AH$2)),INDIRECT("'["&amp;G600&amp;"]"&amp;E600&amp;"'!"&amp;$Y$3),0)</f>
        <v>#VALUE!</v>
      </c>
      <c r="N600" s="34" t="e" cm="1">
        <f t="array" aca="1" ref="N600" ca="1">IF(AND(G600=INDIRECT("'["&amp;G600&amp;"]"&amp;E600&amp;"'!"&amp;$AH$2),OR(K600=INDIRECT("'["&amp;G600&amp;"]"&amp;E600&amp;"'!"&amp;$Z$2))),INDIRECT("'["&amp;G600&amp;"]"&amp;E600&amp;"'!"&amp;$Z$3),0)</f>
        <v>#VALUE!</v>
      </c>
      <c r="O600" s="34" t="e" cm="1">
        <f t="array" aca="1" ref="O600" ca="1">IF(AND(G600=INDIRECT("'["&amp;G600&amp;"]"&amp;E600&amp;"'!"&amp;$AH$2),OR(L600=INDIRECT("'["&amp;G600&amp;"]"&amp;E600&amp;"'!"&amp;$AA$2))),INDIRECT("'["&amp;G600&amp;"]"&amp;E600&amp;"'!"&amp;$AA$3),0)</f>
        <v>#VALUE!</v>
      </c>
      <c r="P600" s="34" t="e" cm="1">
        <f t="array" aca="1" ref="P600" ca="1">IF(AND(G600=INDIRECT("'["&amp;G600&amp;"]"&amp;E600&amp;"'!"&amp;$AH$2),OR(VALUE(I600)=INDIRECT("'["&amp;G600&amp;"]"&amp;E600&amp;"'!"&amp;$AB$2))),INDIRECT("'["&amp;G600&amp;"]"&amp;E600&amp;"'!"&amp;$AB$3),0)</f>
        <v>#VALUE!</v>
      </c>
      <c r="Q600" s="34" t="e" cm="1">
        <f t="array" aca="1" ref="Q600" ca="1">IF(AND(G600=INDIRECT("'["&amp;G600&amp;"]"&amp;E600&amp;"'!"&amp;$AH$2),OR(VALUE(I600)=INDIRECT("'["&amp;G600&amp;"]"&amp;E600&amp;"'!"&amp;$AC$2))),INDIRECT("'["&amp;G600&amp;"]"&amp;E600&amp;"'!"&amp;$AC$3),0)</f>
        <v>#VALUE!</v>
      </c>
      <c r="R600" s="34" t="e" cm="1">
        <f t="array" aca="1" ref="R600" ca="1">IF(AND(G600=INDIRECT("'["&amp;G600&amp;"]"&amp;E600&amp;"'!"&amp;$AH$2),OR(I600=INDIRECT("'["&amp;G600&amp;"]"&amp;E600&amp;"'!"&amp;$AD$2))),INDIRECT("'["&amp;G600&amp;"]"&amp;E600&amp;"'!"&amp;$AD$3),0)</f>
        <v>#VALUE!</v>
      </c>
      <c r="S600" s="34" t="e" cm="1">
        <f t="array" aca="1" ref="S600" ca="1">IF(AND(G600=INDIRECT("'["&amp;G600&amp;"]"&amp;E600&amp;"'!"&amp;$AH$2),OR(I600=INDIRECT("'["&amp;G600&amp;"]"&amp;E600&amp;"'!"&amp;$AE$2))),INDIRECT("'["&amp;G600&amp;"]"&amp;E600&amp;"'!"&amp;$AE$3),0)</f>
        <v>#VALUE!</v>
      </c>
      <c r="T600" s="35" t="e" cm="1">
        <f t="array" aca="1" ref="T600" ca="1">IF(AND(G600=INDIRECT("'["&amp;G600&amp;"]"&amp;E600&amp;"'!"&amp;$AH$2),OR(I600=INDIRECT("'["&amp;G600&amp;"]"&amp;E600&amp;"'!"&amp;$AF$2))),INDIRECT("'["&amp;G600&amp;"]"&amp;E600&amp;"'!"&amp;$AF$3),0)</f>
        <v>#VALUE!</v>
      </c>
      <c r="U600" s="34" t="e" cm="1">
        <f t="array" aca="1" ref="U600" ca="1">IF(AND(G600=INDIRECT("'["&amp;G600&amp;"]"&amp;E600&amp;"'!"&amp;$AH$2),OR(I600=INDIRECT("'["&amp;G600&amp;"]"&amp;E600&amp;"'!"&amp;$AG$2))),INDIRECT("'["&amp;G600&amp;"]"&amp;E600&amp;"'!"&amp;$AG$3),0)</f>
        <v>#VALUE!</v>
      </c>
      <c r="V600" s="25" t="str">
        <f t="shared" si="167"/>
        <v/>
      </c>
      <c r="W600" s="36" t="e" cm="1">
        <f t="array" aca="1" ref="W600" ca="1">IF(AND(G600=INDIRECT("'["&amp;G600&amp;"]"&amp;E600&amp;"'!"&amp;$AH$2),OR(V600=INDIRECT("'["&amp;G600&amp;"]"&amp;E600&amp;"'!"&amp;$AI$2))),INDIRECT("'["&amp;G600&amp;"]"&amp;E600&amp;"'!"&amp;$AI$3),0)</f>
        <v>#VALUE!</v>
      </c>
      <c r="AJ600" s="25">
        <v>1</v>
      </c>
      <c r="AK600" s="38">
        <f t="shared" ca="1" si="168"/>
        <v>0</v>
      </c>
      <c r="AL600" s="38">
        <f t="shared" ca="1" si="169"/>
        <v>0</v>
      </c>
      <c r="AM600" s="54" t="str">
        <f t="shared" ca="1" si="170"/>
        <v/>
      </c>
      <c r="AN600" s="25" t="e">
        <f t="shared" ca="1" si="171"/>
        <v>#VALUE!</v>
      </c>
      <c r="AO600" s="25" t="e">
        <f t="shared" ca="1" si="172"/>
        <v>#VALUE!</v>
      </c>
      <c r="AQ600" s="46" t="str">
        <f ca="1">IF(AND(C600&lt;&gt;0, C601=0), SUM($C$2:C600)-SUM($AQ$1:AQ599), "")</f>
        <v/>
      </c>
      <c r="AR600" s="46" t="str">
        <f ca="1">IF(AND(AK600&lt;&gt;0, AK601=0), SUM($AK$2:AK600)-SUM($AR$1:AR599), "")</f>
        <v/>
      </c>
    </row>
    <row r="601" spans="2:44" ht="13.15" customHeight="1">
      <c r="B601" s="68" t="str">
        <f t="shared" si="158"/>
        <v/>
      </c>
      <c r="C601" s="55" cm="1">
        <f t="array" aca="1" ref="C601" ca="1">SUM(IF(ISNUMBER(M601:U601),M601:U601,""))</f>
        <v>0</v>
      </c>
      <c r="D601" s="25" t="str">
        <f t="shared" si="159"/>
        <v/>
      </c>
      <c r="E601" s="25" t="e">
        <f t="shared" si="160"/>
        <v>#VALUE!</v>
      </c>
      <c r="F601" s="25" t="str">
        <f t="shared" si="161"/>
        <v/>
      </c>
      <c r="G601" s="25" t="str">
        <f t="shared" si="162"/>
        <v>.xlsx</v>
      </c>
      <c r="H601" s="29" t="e" cm="1">
        <f t="array" aca="1" ref="H601" ca="1">IF(AND(VALUE(E601)=INDIRECT("'["&amp;G601&amp;"]"&amp;E601&amp;"'!"&amp;$X$2),G601=INDIRECT("'["&amp;G601&amp;"]"&amp;E601&amp;"'!"&amp;$X$3)),INDIRECT("'["&amp;G601&amp;"]"&amp;E601&amp;"'!"&amp;$X$1),0)</f>
        <v>#VALUE!</v>
      </c>
      <c r="I601" s="25" t="str">
        <f t="shared" si="163"/>
        <v/>
      </c>
      <c r="J601" s="32" t="str">
        <f t="shared" si="164"/>
        <v/>
      </c>
      <c r="K601" s="25" t="str">
        <f t="shared" si="165"/>
        <v/>
      </c>
      <c r="L601" s="25" t="str">
        <f t="shared" si="166"/>
        <v/>
      </c>
      <c r="M601" s="33" t="e" cm="1">
        <f t="array" aca="1" ref="M601" ca="1">IF(AND(J601=INDIRECT("'["&amp;G601&amp;"]"&amp;E601&amp;"'!"&amp;$Y$2),G601=INDIRECT("'["&amp;G601&amp;"]"&amp;E601&amp;"'!"&amp;$AH$2)),INDIRECT("'["&amp;G601&amp;"]"&amp;E601&amp;"'!"&amp;$Y$3),0)</f>
        <v>#VALUE!</v>
      </c>
      <c r="N601" s="34" t="e" cm="1">
        <f t="array" aca="1" ref="N601" ca="1">IF(AND(G601=INDIRECT("'["&amp;G601&amp;"]"&amp;E601&amp;"'!"&amp;$AH$2),OR(K601=INDIRECT("'["&amp;G601&amp;"]"&amp;E601&amp;"'!"&amp;$Z$2))),INDIRECT("'["&amp;G601&amp;"]"&amp;E601&amp;"'!"&amp;$Z$3),0)</f>
        <v>#VALUE!</v>
      </c>
      <c r="O601" s="34" t="e" cm="1">
        <f t="array" aca="1" ref="O601" ca="1">IF(AND(G601=INDIRECT("'["&amp;G601&amp;"]"&amp;E601&amp;"'!"&amp;$AH$2),OR(L601=INDIRECT("'["&amp;G601&amp;"]"&amp;E601&amp;"'!"&amp;$AA$2))),INDIRECT("'["&amp;G601&amp;"]"&amp;E601&amp;"'!"&amp;$AA$3),0)</f>
        <v>#VALUE!</v>
      </c>
      <c r="P601" s="34" t="e" cm="1">
        <f t="array" aca="1" ref="P601" ca="1">IF(AND(G601=INDIRECT("'["&amp;G601&amp;"]"&amp;E601&amp;"'!"&amp;$AH$2),OR(VALUE(I601)=INDIRECT("'["&amp;G601&amp;"]"&amp;E601&amp;"'!"&amp;$AB$2))),INDIRECT("'["&amp;G601&amp;"]"&amp;E601&amp;"'!"&amp;$AB$3),0)</f>
        <v>#VALUE!</v>
      </c>
      <c r="Q601" s="34" t="e" cm="1">
        <f t="array" aca="1" ref="Q601" ca="1">IF(AND(G601=INDIRECT("'["&amp;G601&amp;"]"&amp;E601&amp;"'!"&amp;$AH$2),OR(VALUE(I601)=INDIRECT("'["&amp;G601&amp;"]"&amp;E601&amp;"'!"&amp;$AC$2))),INDIRECT("'["&amp;G601&amp;"]"&amp;E601&amp;"'!"&amp;$AC$3),0)</f>
        <v>#VALUE!</v>
      </c>
      <c r="R601" s="34" t="e" cm="1">
        <f t="array" aca="1" ref="R601" ca="1">IF(AND(G601=INDIRECT("'["&amp;G601&amp;"]"&amp;E601&amp;"'!"&amp;$AH$2),OR(I601=INDIRECT("'["&amp;G601&amp;"]"&amp;E601&amp;"'!"&amp;$AD$2))),INDIRECT("'["&amp;G601&amp;"]"&amp;E601&amp;"'!"&amp;$AD$3),0)</f>
        <v>#VALUE!</v>
      </c>
      <c r="S601" s="34" t="e" cm="1">
        <f t="array" aca="1" ref="S601" ca="1">IF(AND(G601=INDIRECT("'["&amp;G601&amp;"]"&amp;E601&amp;"'!"&amp;$AH$2),OR(I601=INDIRECT("'["&amp;G601&amp;"]"&amp;E601&amp;"'!"&amp;$AE$2))),INDIRECT("'["&amp;G601&amp;"]"&amp;E601&amp;"'!"&amp;$AE$3),0)</f>
        <v>#VALUE!</v>
      </c>
      <c r="T601" s="35" t="e" cm="1">
        <f t="array" aca="1" ref="T601" ca="1">IF(AND(G601=INDIRECT("'["&amp;G601&amp;"]"&amp;E601&amp;"'!"&amp;$AH$2),OR(I601=INDIRECT("'["&amp;G601&amp;"]"&amp;E601&amp;"'!"&amp;$AF$2))),INDIRECT("'["&amp;G601&amp;"]"&amp;E601&amp;"'!"&amp;$AF$3),0)</f>
        <v>#VALUE!</v>
      </c>
      <c r="U601" s="34" t="e" cm="1">
        <f t="array" aca="1" ref="U601" ca="1">IF(AND(G601=INDIRECT("'["&amp;G601&amp;"]"&amp;E601&amp;"'!"&amp;$AH$2),OR(I601=INDIRECT("'["&amp;G601&amp;"]"&amp;E601&amp;"'!"&amp;$AG$2))),INDIRECT("'["&amp;G601&amp;"]"&amp;E601&amp;"'!"&amp;$AG$3),0)</f>
        <v>#VALUE!</v>
      </c>
      <c r="V601" s="25" t="str">
        <f t="shared" si="167"/>
        <v/>
      </c>
      <c r="W601" s="36" t="e" cm="1">
        <f t="array" aca="1" ref="W601" ca="1">IF(AND(G601=INDIRECT("'["&amp;G601&amp;"]"&amp;E601&amp;"'!"&amp;$AH$2),OR(V601=INDIRECT("'["&amp;G601&amp;"]"&amp;E601&amp;"'!"&amp;$AI$2))),INDIRECT("'["&amp;G601&amp;"]"&amp;E601&amp;"'!"&amp;$AI$3),0)</f>
        <v>#VALUE!</v>
      </c>
      <c r="AJ601" s="25">
        <v>1</v>
      </c>
      <c r="AK601" s="38">
        <f t="shared" ca="1" si="168"/>
        <v>0</v>
      </c>
      <c r="AL601" s="38">
        <f t="shared" ca="1" si="169"/>
        <v>0</v>
      </c>
      <c r="AM601" s="54" t="str">
        <f t="shared" ca="1" si="170"/>
        <v/>
      </c>
      <c r="AN601" s="25" t="e">
        <f t="shared" ca="1" si="171"/>
        <v>#VALUE!</v>
      </c>
      <c r="AO601" s="25" t="e">
        <f t="shared" ca="1" si="172"/>
        <v>#VALUE!</v>
      </c>
      <c r="AQ601" s="46" t="str">
        <f ca="1">IF(AND(C601&lt;&gt;0, C602=0), SUM($C$2:C601)-SUM($AQ$1:AQ600), "")</f>
        <v/>
      </c>
      <c r="AR601" s="46" t="str">
        <f ca="1">IF(AND(AK601&lt;&gt;0, AK602=0), SUM($AK$2:AK601)-SUM($AR$1:AR600), "")</f>
        <v/>
      </c>
    </row>
    <row r="602" spans="2:44" ht="13.15" customHeight="1">
      <c r="B602" s="68" t="str">
        <f t="shared" si="158"/>
        <v/>
      </c>
      <c r="C602" s="55" cm="1">
        <f t="array" aca="1" ref="C602" ca="1">SUM(IF(ISNUMBER(M602:U602),M602:U602,""))</f>
        <v>0</v>
      </c>
      <c r="D602" s="25" t="str">
        <f t="shared" si="159"/>
        <v/>
      </c>
      <c r="E602" s="25" t="e">
        <f t="shared" si="160"/>
        <v>#VALUE!</v>
      </c>
      <c r="F602" s="25" t="str">
        <f t="shared" si="161"/>
        <v/>
      </c>
      <c r="G602" s="25" t="str">
        <f t="shared" si="162"/>
        <v>.xlsx</v>
      </c>
      <c r="H602" s="29" t="e" cm="1">
        <f t="array" aca="1" ref="H602" ca="1">IF(AND(VALUE(E602)=INDIRECT("'["&amp;G602&amp;"]"&amp;E602&amp;"'!"&amp;$X$2),G602=INDIRECT("'["&amp;G602&amp;"]"&amp;E602&amp;"'!"&amp;$X$3)),INDIRECT("'["&amp;G602&amp;"]"&amp;E602&amp;"'!"&amp;$X$1),0)</f>
        <v>#VALUE!</v>
      </c>
      <c r="I602" s="25" t="str">
        <f t="shared" si="163"/>
        <v/>
      </c>
      <c r="J602" s="32" t="str">
        <f t="shared" si="164"/>
        <v/>
      </c>
      <c r="K602" s="25" t="str">
        <f t="shared" si="165"/>
        <v/>
      </c>
      <c r="L602" s="25" t="str">
        <f t="shared" si="166"/>
        <v/>
      </c>
      <c r="M602" s="33" t="e" cm="1">
        <f t="array" aca="1" ref="M602" ca="1">IF(AND(J602=INDIRECT("'["&amp;G602&amp;"]"&amp;E602&amp;"'!"&amp;$Y$2),G602=INDIRECT("'["&amp;G602&amp;"]"&amp;E602&amp;"'!"&amp;$AH$2)),INDIRECT("'["&amp;G602&amp;"]"&amp;E602&amp;"'!"&amp;$Y$3),0)</f>
        <v>#VALUE!</v>
      </c>
      <c r="N602" s="34" t="e" cm="1">
        <f t="array" aca="1" ref="N602" ca="1">IF(AND(G602=INDIRECT("'["&amp;G602&amp;"]"&amp;E602&amp;"'!"&amp;$AH$2),OR(K602=INDIRECT("'["&amp;G602&amp;"]"&amp;E602&amp;"'!"&amp;$Z$2))),INDIRECT("'["&amp;G602&amp;"]"&amp;E602&amp;"'!"&amp;$Z$3),0)</f>
        <v>#VALUE!</v>
      </c>
      <c r="O602" s="34" t="e" cm="1">
        <f t="array" aca="1" ref="O602" ca="1">IF(AND(G602=INDIRECT("'["&amp;G602&amp;"]"&amp;E602&amp;"'!"&amp;$AH$2),OR(L602=INDIRECT("'["&amp;G602&amp;"]"&amp;E602&amp;"'!"&amp;$AA$2))),INDIRECT("'["&amp;G602&amp;"]"&amp;E602&amp;"'!"&amp;$AA$3),0)</f>
        <v>#VALUE!</v>
      </c>
      <c r="P602" s="34" t="e" cm="1">
        <f t="array" aca="1" ref="P602" ca="1">IF(AND(G602=INDIRECT("'["&amp;G602&amp;"]"&amp;E602&amp;"'!"&amp;$AH$2),OR(VALUE(I602)=INDIRECT("'["&amp;G602&amp;"]"&amp;E602&amp;"'!"&amp;$AB$2))),INDIRECT("'["&amp;G602&amp;"]"&amp;E602&amp;"'!"&amp;$AB$3),0)</f>
        <v>#VALUE!</v>
      </c>
      <c r="Q602" s="34" t="e" cm="1">
        <f t="array" aca="1" ref="Q602" ca="1">IF(AND(G602=INDIRECT("'["&amp;G602&amp;"]"&amp;E602&amp;"'!"&amp;$AH$2),OR(VALUE(I602)=INDIRECT("'["&amp;G602&amp;"]"&amp;E602&amp;"'!"&amp;$AC$2))),INDIRECT("'["&amp;G602&amp;"]"&amp;E602&amp;"'!"&amp;$AC$3),0)</f>
        <v>#VALUE!</v>
      </c>
      <c r="R602" s="34" t="e" cm="1">
        <f t="array" aca="1" ref="R602" ca="1">IF(AND(G602=INDIRECT("'["&amp;G602&amp;"]"&amp;E602&amp;"'!"&amp;$AH$2),OR(I602=INDIRECT("'["&amp;G602&amp;"]"&amp;E602&amp;"'!"&amp;$AD$2))),INDIRECT("'["&amp;G602&amp;"]"&amp;E602&amp;"'!"&amp;$AD$3),0)</f>
        <v>#VALUE!</v>
      </c>
      <c r="S602" s="34" t="e" cm="1">
        <f t="array" aca="1" ref="S602" ca="1">IF(AND(G602=INDIRECT("'["&amp;G602&amp;"]"&amp;E602&amp;"'!"&amp;$AH$2),OR(I602=INDIRECT("'["&amp;G602&amp;"]"&amp;E602&amp;"'!"&amp;$AE$2))),INDIRECT("'["&amp;G602&amp;"]"&amp;E602&amp;"'!"&amp;$AE$3),0)</f>
        <v>#VALUE!</v>
      </c>
      <c r="T602" s="35" t="e" cm="1">
        <f t="array" aca="1" ref="T602" ca="1">IF(AND(G602=INDIRECT("'["&amp;G602&amp;"]"&amp;E602&amp;"'!"&amp;$AH$2),OR(I602=INDIRECT("'["&amp;G602&amp;"]"&amp;E602&amp;"'!"&amp;$AF$2))),INDIRECT("'["&amp;G602&amp;"]"&amp;E602&amp;"'!"&amp;$AF$3),0)</f>
        <v>#VALUE!</v>
      </c>
      <c r="U602" s="34" t="e" cm="1">
        <f t="array" aca="1" ref="U602" ca="1">IF(AND(G602=INDIRECT("'["&amp;G602&amp;"]"&amp;E602&amp;"'!"&amp;$AH$2),OR(I602=INDIRECT("'["&amp;G602&amp;"]"&amp;E602&amp;"'!"&amp;$AG$2))),INDIRECT("'["&amp;G602&amp;"]"&amp;E602&amp;"'!"&amp;$AG$3),0)</f>
        <v>#VALUE!</v>
      </c>
      <c r="V602" s="25" t="str">
        <f t="shared" si="167"/>
        <v/>
      </c>
      <c r="W602" s="36" t="e" cm="1">
        <f t="array" aca="1" ref="W602" ca="1">IF(AND(G602=INDIRECT("'["&amp;G602&amp;"]"&amp;E602&amp;"'!"&amp;$AH$2),OR(V602=INDIRECT("'["&amp;G602&amp;"]"&amp;E602&amp;"'!"&amp;$AI$2))),INDIRECT("'["&amp;G602&amp;"]"&amp;E602&amp;"'!"&amp;$AI$3),0)</f>
        <v>#VALUE!</v>
      </c>
      <c r="AJ602" s="25">
        <v>1</v>
      </c>
      <c r="AK602" s="38">
        <f t="shared" ca="1" si="168"/>
        <v>0</v>
      </c>
      <c r="AL602" s="38">
        <f t="shared" ca="1" si="169"/>
        <v>0</v>
      </c>
      <c r="AM602" s="54" t="str">
        <f t="shared" ca="1" si="170"/>
        <v/>
      </c>
      <c r="AN602" s="25" t="e">
        <f t="shared" ca="1" si="171"/>
        <v>#VALUE!</v>
      </c>
      <c r="AO602" s="25" t="e">
        <f t="shared" ca="1" si="172"/>
        <v>#VALUE!</v>
      </c>
      <c r="AQ602" s="46" t="str">
        <f ca="1">IF(AND(C602&lt;&gt;0, C603=0), SUM($C$2:C602)-SUM($AQ$1:AQ601), "")</f>
        <v/>
      </c>
      <c r="AR602" s="46" t="str">
        <f ca="1">IF(AND(AK602&lt;&gt;0, AK603=0), SUM($AK$2:AK602)-SUM($AR$1:AR601), "")</f>
        <v/>
      </c>
    </row>
    <row r="603" spans="2:44" ht="13.15" customHeight="1">
      <c r="B603" s="68" t="str">
        <f t="shared" si="158"/>
        <v/>
      </c>
      <c r="C603" s="55" cm="1">
        <f t="array" aca="1" ref="C603" ca="1">SUM(IF(ISNUMBER(M603:U603),M603:U603,""))</f>
        <v>0</v>
      </c>
      <c r="D603" s="25" t="str">
        <f t="shared" si="159"/>
        <v/>
      </c>
      <c r="E603" s="25" t="e">
        <f t="shared" si="160"/>
        <v>#VALUE!</v>
      </c>
      <c r="F603" s="25" t="str">
        <f t="shared" si="161"/>
        <v/>
      </c>
      <c r="G603" s="25" t="str">
        <f t="shared" si="162"/>
        <v>.xlsx</v>
      </c>
      <c r="H603" s="29" t="e" cm="1">
        <f t="array" aca="1" ref="H603" ca="1">IF(AND(VALUE(E603)=INDIRECT("'["&amp;G603&amp;"]"&amp;E603&amp;"'!"&amp;$X$2),G603=INDIRECT("'["&amp;G603&amp;"]"&amp;E603&amp;"'!"&amp;$X$3)),INDIRECT("'["&amp;G603&amp;"]"&amp;E603&amp;"'!"&amp;$X$1),0)</f>
        <v>#VALUE!</v>
      </c>
      <c r="I603" s="25" t="str">
        <f t="shared" si="163"/>
        <v/>
      </c>
      <c r="J603" s="32" t="str">
        <f t="shared" si="164"/>
        <v/>
      </c>
      <c r="K603" s="25" t="str">
        <f t="shared" si="165"/>
        <v/>
      </c>
      <c r="L603" s="25" t="str">
        <f t="shared" si="166"/>
        <v/>
      </c>
      <c r="M603" s="33" t="e" cm="1">
        <f t="array" aca="1" ref="M603" ca="1">IF(AND(J603=INDIRECT("'["&amp;G603&amp;"]"&amp;E603&amp;"'!"&amp;$Y$2),G603=INDIRECT("'["&amp;G603&amp;"]"&amp;E603&amp;"'!"&amp;$AH$2)),INDIRECT("'["&amp;G603&amp;"]"&amp;E603&amp;"'!"&amp;$Y$3),0)</f>
        <v>#VALUE!</v>
      </c>
      <c r="N603" s="34" t="e" cm="1">
        <f t="array" aca="1" ref="N603" ca="1">IF(AND(G603=INDIRECT("'["&amp;G603&amp;"]"&amp;E603&amp;"'!"&amp;$AH$2),OR(K603=INDIRECT("'["&amp;G603&amp;"]"&amp;E603&amp;"'!"&amp;$Z$2))),INDIRECT("'["&amp;G603&amp;"]"&amp;E603&amp;"'!"&amp;$Z$3),0)</f>
        <v>#VALUE!</v>
      </c>
      <c r="O603" s="34" t="e" cm="1">
        <f t="array" aca="1" ref="O603" ca="1">IF(AND(G603=INDIRECT("'["&amp;G603&amp;"]"&amp;E603&amp;"'!"&amp;$AH$2),OR(L603=INDIRECT("'["&amp;G603&amp;"]"&amp;E603&amp;"'!"&amp;$AA$2))),INDIRECT("'["&amp;G603&amp;"]"&amp;E603&amp;"'!"&amp;$AA$3),0)</f>
        <v>#VALUE!</v>
      </c>
      <c r="P603" s="34" t="e" cm="1">
        <f t="array" aca="1" ref="P603" ca="1">IF(AND(G603=INDIRECT("'["&amp;G603&amp;"]"&amp;E603&amp;"'!"&amp;$AH$2),OR(VALUE(I603)=INDIRECT("'["&amp;G603&amp;"]"&amp;E603&amp;"'!"&amp;$AB$2))),INDIRECT("'["&amp;G603&amp;"]"&amp;E603&amp;"'!"&amp;$AB$3),0)</f>
        <v>#VALUE!</v>
      </c>
      <c r="Q603" s="34" t="e" cm="1">
        <f t="array" aca="1" ref="Q603" ca="1">IF(AND(G603=INDIRECT("'["&amp;G603&amp;"]"&amp;E603&amp;"'!"&amp;$AH$2),OR(VALUE(I603)=INDIRECT("'["&amp;G603&amp;"]"&amp;E603&amp;"'!"&amp;$AC$2))),INDIRECT("'["&amp;G603&amp;"]"&amp;E603&amp;"'!"&amp;$AC$3),0)</f>
        <v>#VALUE!</v>
      </c>
      <c r="R603" s="34" t="e" cm="1">
        <f t="array" aca="1" ref="R603" ca="1">IF(AND(G603=INDIRECT("'["&amp;G603&amp;"]"&amp;E603&amp;"'!"&amp;$AH$2),OR(I603=INDIRECT("'["&amp;G603&amp;"]"&amp;E603&amp;"'!"&amp;$AD$2))),INDIRECT("'["&amp;G603&amp;"]"&amp;E603&amp;"'!"&amp;$AD$3),0)</f>
        <v>#VALUE!</v>
      </c>
      <c r="S603" s="34" t="e" cm="1">
        <f t="array" aca="1" ref="S603" ca="1">IF(AND(G603=INDIRECT("'["&amp;G603&amp;"]"&amp;E603&amp;"'!"&amp;$AH$2),OR(I603=INDIRECT("'["&amp;G603&amp;"]"&amp;E603&amp;"'!"&amp;$AE$2))),INDIRECT("'["&amp;G603&amp;"]"&amp;E603&amp;"'!"&amp;$AE$3),0)</f>
        <v>#VALUE!</v>
      </c>
      <c r="T603" s="35" t="e" cm="1">
        <f t="array" aca="1" ref="T603" ca="1">IF(AND(G603=INDIRECT("'["&amp;G603&amp;"]"&amp;E603&amp;"'!"&amp;$AH$2),OR(I603=INDIRECT("'["&amp;G603&amp;"]"&amp;E603&amp;"'!"&amp;$AF$2))),INDIRECT("'["&amp;G603&amp;"]"&amp;E603&amp;"'!"&amp;$AF$3),0)</f>
        <v>#VALUE!</v>
      </c>
      <c r="U603" s="34" t="e" cm="1">
        <f t="array" aca="1" ref="U603" ca="1">IF(AND(G603=INDIRECT("'["&amp;G603&amp;"]"&amp;E603&amp;"'!"&amp;$AH$2),OR(I603=INDIRECT("'["&amp;G603&amp;"]"&amp;E603&amp;"'!"&amp;$AG$2))),INDIRECT("'["&amp;G603&amp;"]"&amp;E603&amp;"'!"&amp;$AG$3),0)</f>
        <v>#VALUE!</v>
      </c>
      <c r="V603" s="25" t="str">
        <f t="shared" si="167"/>
        <v/>
      </c>
      <c r="W603" s="36" t="e" cm="1">
        <f t="array" aca="1" ref="W603" ca="1">IF(AND(G603=INDIRECT("'["&amp;G603&amp;"]"&amp;E603&amp;"'!"&amp;$AH$2),OR(V603=INDIRECT("'["&amp;G603&amp;"]"&amp;E603&amp;"'!"&amp;$AI$2))),INDIRECT("'["&amp;G603&amp;"]"&amp;E603&amp;"'!"&amp;$AI$3),0)</f>
        <v>#VALUE!</v>
      </c>
      <c r="AJ603" s="25">
        <v>1</v>
      </c>
      <c r="AK603" s="38">
        <f t="shared" ca="1" si="168"/>
        <v>0</v>
      </c>
      <c r="AL603" s="38">
        <f t="shared" ca="1" si="169"/>
        <v>0</v>
      </c>
      <c r="AM603" s="54" t="str">
        <f t="shared" ca="1" si="170"/>
        <v/>
      </c>
      <c r="AN603" s="25" t="e">
        <f t="shared" ca="1" si="171"/>
        <v>#VALUE!</v>
      </c>
      <c r="AO603" s="25" t="e">
        <f t="shared" ca="1" si="172"/>
        <v>#VALUE!</v>
      </c>
      <c r="AQ603" s="46" t="str">
        <f ca="1">IF(AND(C603&lt;&gt;0, C604=0), SUM($C$2:C603)-SUM($AQ$1:AQ602), "")</f>
        <v/>
      </c>
      <c r="AR603" s="46" t="str">
        <f ca="1">IF(AND(AK603&lt;&gt;0, AK604=0), SUM($AK$2:AK603)-SUM($AR$1:AR602), "")</f>
        <v/>
      </c>
    </row>
    <row r="604" spans="2:44" ht="13.15" customHeight="1">
      <c r="B604" s="68" t="str">
        <f t="shared" si="158"/>
        <v/>
      </c>
      <c r="C604" s="55" cm="1">
        <f t="array" aca="1" ref="C604" ca="1">SUM(IF(ISNUMBER(M604:U604),M604:U604,""))</f>
        <v>0</v>
      </c>
      <c r="D604" s="25" t="str">
        <f t="shared" si="159"/>
        <v/>
      </c>
      <c r="E604" s="25" t="e">
        <f t="shared" si="160"/>
        <v>#VALUE!</v>
      </c>
      <c r="F604" s="25" t="str">
        <f t="shared" si="161"/>
        <v/>
      </c>
      <c r="G604" s="25" t="str">
        <f t="shared" si="162"/>
        <v>.xlsx</v>
      </c>
      <c r="H604" s="29" t="e" cm="1">
        <f t="array" aca="1" ref="H604" ca="1">IF(AND(VALUE(E604)=INDIRECT("'["&amp;G604&amp;"]"&amp;E604&amp;"'!"&amp;$X$2),G604=INDIRECT("'["&amp;G604&amp;"]"&amp;E604&amp;"'!"&amp;$X$3)),INDIRECT("'["&amp;G604&amp;"]"&amp;E604&amp;"'!"&amp;$X$1),0)</f>
        <v>#VALUE!</v>
      </c>
      <c r="I604" s="25" t="str">
        <f t="shared" si="163"/>
        <v/>
      </c>
      <c r="J604" s="32" t="str">
        <f t="shared" si="164"/>
        <v/>
      </c>
      <c r="K604" s="25" t="str">
        <f t="shared" si="165"/>
        <v/>
      </c>
      <c r="L604" s="25" t="str">
        <f t="shared" si="166"/>
        <v/>
      </c>
      <c r="M604" s="33" t="e" cm="1">
        <f t="array" aca="1" ref="M604" ca="1">IF(AND(J604=INDIRECT("'["&amp;G604&amp;"]"&amp;E604&amp;"'!"&amp;$Y$2),G604=INDIRECT("'["&amp;G604&amp;"]"&amp;E604&amp;"'!"&amp;$AH$2)),INDIRECT("'["&amp;G604&amp;"]"&amp;E604&amp;"'!"&amp;$Y$3),0)</f>
        <v>#VALUE!</v>
      </c>
      <c r="N604" s="34" t="e" cm="1">
        <f t="array" aca="1" ref="N604" ca="1">IF(AND(G604=INDIRECT("'["&amp;G604&amp;"]"&amp;E604&amp;"'!"&amp;$AH$2),OR(K604=INDIRECT("'["&amp;G604&amp;"]"&amp;E604&amp;"'!"&amp;$Z$2))),INDIRECT("'["&amp;G604&amp;"]"&amp;E604&amp;"'!"&amp;$Z$3),0)</f>
        <v>#VALUE!</v>
      </c>
      <c r="O604" s="34" t="e" cm="1">
        <f t="array" aca="1" ref="O604" ca="1">IF(AND(G604=INDIRECT("'["&amp;G604&amp;"]"&amp;E604&amp;"'!"&amp;$AH$2),OR(L604=INDIRECT("'["&amp;G604&amp;"]"&amp;E604&amp;"'!"&amp;$AA$2))),INDIRECT("'["&amp;G604&amp;"]"&amp;E604&amp;"'!"&amp;$AA$3),0)</f>
        <v>#VALUE!</v>
      </c>
      <c r="P604" s="34" t="e" cm="1">
        <f t="array" aca="1" ref="P604" ca="1">IF(AND(G604=INDIRECT("'["&amp;G604&amp;"]"&amp;E604&amp;"'!"&amp;$AH$2),OR(VALUE(I604)=INDIRECT("'["&amp;G604&amp;"]"&amp;E604&amp;"'!"&amp;$AB$2))),INDIRECT("'["&amp;G604&amp;"]"&amp;E604&amp;"'!"&amp;$AB$3),0)</f>
        <v>#VALUE!</v>
      </c>
      <c r="Q604" s="34" t="e" cm="1">
        <f t="array" aca="1" ref="Q604" ca="1">IF(AND(G604=INDIRECT("'["&amp;G604&amp;"]"&amp;E604&amp;"'!"&amp;$AH$2),OR(VALUE(I604)=INDIRECT("'["&amp;G604&amp;"]"&amp;E604&amp;"'!"&amp;$AC$2))),INDIRECT("'["&amp;G604&amp;"]"&amp;E604&amp;"'!"&amp;$AC$3),0)</f>
        <v>#VALUE!</v>
      </c>
      <c r="R604" s="34" t="e" cm="1">
        <f t="array" aca="1" ref="R604" ca="1">IF(AND(G604=INDIRECT("'["&amp;G604&amp;"]"&amp;E604&amp;"'!"&amp;$AH$2),OR(I604=INDIRECT("'["&amp;G604&amp;"]"&amp;E604&amp;"'!"&amp;$AD$2))),INDIRECT("'["&amp;G604&amp;"]"&amp;E604&amp;"'!"&amp;$AD$3),0)</f>
        <v>#VALUE!</v>
      </c>
      <c r="S604" s="34" t="e" cm="1">
        <f t="array" aca="1" ref="S604" ca="1">IF(AND(G604=INDIRECT("'["&amp;G604&amp;"]"&amp;E604&amp;"'!"&amp;$AH$2),OR(I604=INDIRECT("'["&amp;G604&amp;"]"&amp;E604&amp;"'!"&amp;$AE$2))),INDIRECT("'["&amp;G604&amp;"]"&amp;E604&amp;"'!"&amp;$AE$3),0)</f>
        <v>#VALUE!</v>
      </c>
      <c r="T604" s="35" t="e" cm="1">
        <f t="array" aca="1" ref="T604" ca="1">IF(AND(G604=INDIRECT("'["&amp;G604&amp;"]"&amp;E604&amp;"'!"&amp;$AH$2),OR(I604=INDIRECT("'["&amp;G604&amp;"]"&amp;E604&amp;"'!"&amp;$AF$2))),INDIRECT("'["&amp;G604&amp;"]"&amp;E604&amp;"'!"&amp;$AF$3),0)</f>
        <v>#VALUE!</v>
      </c>
      <c r="U604" s="34" t="e" cm="1">
        <f t="array" aca="1" ref="U604" ca="1">IF(AND(G604=INDIRECT("'["&amp;G604&amp;"]"&amp;E604&amp;"'!"&amp;$AH$2),OR(I604=INDIRECT("'["&amp;G604&amp;"]"&amp;E604&amp;"'!"&amp;$AG$2))),INDIRECT("'["&amp;G604&amp;"]"&amp;E604&amp;"'!"&amp;$AG$3),0)</f>
        <v>#VALUE!</v>
      </c>
      <c r="V604" s="25" t="str">
        <f t="shared" si="167"/>
        <v/>
      </c>
      <c r="W604" s="36" t="e" cm="1">
        <f t="array" aca="1" ref="W604" ca="1">IF(AND(G604=INDIRECT("'["&amp;G604&amp;"]"&amp;E604&amp;"'!"&amp;$AH$2),OR(V604=INDIRECT("'["&amp;G604&amp;"]"&amp;E604&amp;"'!"&amp;$AI$2))),INDIRECT("'["&amp;G604&amp;"]"&amp;E604&amp;"'!"&amp;$AI$3),0)</f>
        <v>#VALUE!</v>
      </c>
      <c r="AJ604" s="25">
        <v>1</v>
      </c>
      <c r="AK604" s="38">
        <f t="shared" ca="1" si="168"/>
        <v>0</v>
      </c>
      <c r="AL604" s="38">
        <f t="shared" ca="1" si="169"/>
        <v>0</v>
      </c>
      <c r="AM604" s="54" t="str">
        <f t="shared" ca="1" si="170"/>
        <v/>
      </c>
      <c r="AN604" s="25" t="e">
        <f t="shared" ca="1" si="171"/>
        <v>#VALUE!</v>
      </c>
      <c r="AO604" s="25" t="e">
        <f t="shared" ca="1" si="172"/>
        <v>#VALUE!</v>
      </c>
      <c r="AQ604" s="46" t="str">
        <f ca="1">IF(AND(C604&lt;&gt;0, C605=0), SUM($C$2:C604)-SUM($AQ$1:AQ603), "")</f>
        <v/>
      </c>
      <c r="AR604" s="46" t="str">
        <f ca="1">IF(AND(AK604&lt;&gt;0, AK605=0), SUM($AK$2:AK604)-SUM($AR$1:AR603), "")</f>
        <v/>
      </c>
    </row>
    <row r="605" spans="2:44" ht="13.15" customHeight="1">
      <c r="B605" s="68" t="str">
        <f t="shared" si="158"/>
        <v/>
      </c>
      <c r="C605" s="55" cm="1">
        <f t="array" aca="1" ref="C605" ca="1">SUM(IF(ISNUMBER(M605:U605),M605:U605,""))</f>
        <v>0</v>
      </c>
      <c r="D605" s="25" t="str">
        <f t="shared" si="159"/>
        <v/>
      </c>
      <c r="E605" s="25" t="e">
        <f t="shared" si="160"/>
        <v>#VALUE!</v>
      </c>
      <c r="F605" s="25" t="str">
        <f t="shared" si="161"/>
        <v/>
      </c>
      <c r="G605" s="25" t="str">
        <f t="shared" si="162"/>
        <v>.xlsx</v>
      </c>
      <c r="H605" s="29" t="e" cm="1">
        <f t="array" aca="1" ref="H605" ca="1">IF(AND(VALUE(E605)=INDIRECT("'["&amp;G605&amp;"]"&amp;E605&amp;"'!"&amp;$X$2),G605=INDIRECT("'["&amp;G605&amp;"]"&amp;E605&amp;"'!"&amp;$X$3)),INDIRECT("'["&amp;G605&amp;"]"&amp;E605&amp;"'!"&amp;$X$1),0)</f>
        <v>#VALUE!</v>
      </c>
      <c r="I605" s="25" t="str">
        <f t="shared" si="163"/>
        <v/>
      </c>
      <c r="J605" s="32" t="str">
        <f t="shared" si="164"/>
        <v/>
      </c>
      <c r="K605" s="25" t="str">
        <f t="shared" si="165"/>
        <v/>
      </c>
      <c r="L605" s="25" t="str">
        <f t="shared" si="166"/>
        <v/>
      </c>
      <c r="M605" s="33" t="e" cm="1">
        <f t="array" aca="1" ref="M605" ca="1">IF(AND(J605=INDIRECT("'["&amp;G605&amp;"]"&amp;E605&amp;"'!"&amp;$Y$2),G605=INDIRECT("'["&amp;G605&amp;"]"&amp;E605&amp;"'!"&amp;$AH$2)),INDIRECT("'["&amp;G605&amp;"]"&amp;E605&amp;"'!"&amp;$Y$3),0)</f>
        <v>#VALUE!</v>
      </c>
      <c r="N605" s="34" t="e" cm="1">
        <f t="array" aca="1" ref="N605" ca="1">IF(AND(G605=INDIRECT("'["&amp;G605&amp;"]"&amp;E605&amp;"'!"&amp;$AH$2),OR(K605=INDIRECT("'["&amp;G605&amp;"]"&amp;E605&amp;"'!"&amp;$Z$2))),INDIRECT("'["&amp;G605&amp;"]"&amp;E605&amp;"'!"&amp;$Z$3),0)</f>
        <v>#VALUE!</v>
      </c>
      <c r="O605" s="34" t="e" cm="1">
        <f t="array" aca="1" ref="O605" ca="1">IF(AND(G605=INDIRECT("'["&amp;G605&amp;"]"&amp;E605&amp;"'!"&amp;$AH$2),OR(L605=INDIRECT("'["&amp;G605&amp;"]"&amp;E605&amp;"'!"&amp;$AA$2))),INDIRECT("'["&amp;G605&amp;"]"&amp;E605&amp;"'!"&amp;$AA$3),0)</f>
        <v>#VALUE!</v>
      </c>
      <c r="P605" s="34" t="e" cm="1">
        <f t="array" aca="1" ref="P605" ca="1">IF(AND(G605=INDIRECT("'["&amp;G605&amp;"]"&amp;E605&amp;"'!"&amp;$AH$2),OR(VALUE(I605)=INDIRECT("'["&amp;G605&amp;"]"&amp;E605&amp;"'!"&amp;$AB$2))),INDIRECT("'["&amp;G605&amp;"]"&amp;E605&amp;"'!"&amp;$AB$3),0)</f>
        <v>#VALUE!</v>
      </c>
      <c r="Q605" s="34" t="e" cm="1">
        <f t="array" aca="1" ref="Q605" ca="1">IF(AND(G605=INDIRECT("'["&amp;G605&amp;"]"&amp;E605&amp;"'!"&amp;$AH$2),OR(VALUE(I605)=INDIRECT("'["&amp;G605&amp;"]"&amp;E605&amp;"'!"&amp;$AC$2))),INDIRECT("'["&amp;G605&amp;"]"&amp;E605&amp;"'!"&amp;$AC$3),0)</f>
        <v>#VALUE!</v>
      </c>
      <c r="R605" s="34" t="e" cm="1">
        <f t="array" aca="1" ref="R605" ca="1">IF(AND(G605=INDIRECT("'["&amp;G605&amp;"]"&amp;E605&amp;"'!"&amp;$AH$2),OR(I605=INDIRECT("'["&amp;G605&amp;"]"&amp;E605&amp;"'!"&amp;$AD$2))),INDIRECT("'["&amp;G605&amp;"]"&amp;E605&amp;"'!"&amp;$AD$3),0)</f>
        <v>#VALUE!</v>
      </c>
      <c r="S605" s="34" t="e" cm="1">
        <f t="array" aca="1" ref="S605" ca="1">IF(AND(G605=INDIRECT("'["&amp;G605&amp;"]"&amp;E605&amp;"'!"&amp;$AH$2),OR(I605=INDIRECT("'["&amp;G605&amp;"]"&amp;E605&amp;"'!"&amp;$AE$2))),INDIRECT("'["&amp;G605&amp;"]"&amp;E605&amp;"'!"&amp;$AE$3),0)</f>
        <v>#VALUE!</v>
      </c>
      <c r="T605" s="35" t="e" cm="1">
        <f t="array" aca="1" ref="T605" ca="1">IF(AND(G605=INDIRECT("'["&amp;G605&amp;"]"&amp;E605&amp;"'!"&amp;$AH$2),OR(I605=INDIRECT("'["&amp;G605&amp;"]"&amp;E605&amp;"'!"&amp;$AF$2))),INDIRECT("'["&amp;G605&amp;"]"&amp;E605&amp;"'!"&amp;$AF$3),0)</f>
        <v>#VALUE!</v>
      </c>
      <c r="U605" s="34" t="e" cm="1">
        <f t="array" aca="1" ref="U605" ca="1">IF(AND(G605=INDIRECT("'["&amp;G605&amp;"]"&amp;E605&amp;"'!"&amp;$AH$2),OR(I605=INDIRECT("'["&amp;G605&amp;"]"&amp;E605&amp;"'!"&amp;$AG$2))),INDIRECT("'["&amp;G605&amp;"]"&amp;E605&amp;"'!"&amp;$AG$3),0)</f>
        <v>#VALUE!</v>
      </c>
      <c r="V605" s="25" t="str">
        <f t="shared" si="167"/>
        <v/>
      </c>
      <c r="W605" s="36" t="e" cm="1">
        <f t="array" aca="1" ref="W605" ca="1">IF(AND(G605=INDIRECT("'["&amp;G605&amp;"]"&amp;E605&amp;"'!"&amp;$AH$2),OR(V605=INDIRECT("'["&amp;G605&amp;"]"&amp;E605&amp;"'!"&amp;$AI$2))),INDIRECT("'["&amp;G605&amp;"]"&amp;E605&amp;"'!"&amp;$AI$3),0)</f>
        <v>#VALUE!</v>
      </c>
      <c r="AJ605" s="25">
        <v>1</v>
      </c>
      <c r="AK605" s="38">
        <f t="shared" ca="1" si="168"/>
        <v>0</v>
      </c>
      <c r="AL605" s="38">
        <f t="shared" ca="1" si="169"/>
        <v>0</v>
      </c>
      <c r="AM605" s="54" t="str">
        <f t="shared" ca="1" si="170"/>
        <v/>
      </c>
      <c r="AN605" s="25" t="e">
        <f t="shared" ca="1" si="171"/>
        <v>#VALUE!</v>
      </c>
      <c r="AO605" s="25" t="e">
        <f t="shared" ca="1" si="172"/>
        <v>#VALUE!</v>
      </c>
      <c r="AQ605" s="46" t="str">
        <f ca="1">IF(AND(C605&lt;&gt;0, C606=0), SUM($C$2:C605)-SUM($AQ$1:AQ604), "")</f>
        <v/>
      </c>
      <c r="AR605" s="46" t="str">
        <f ca="1">IF(AND(AK605&lt;&gt;0, AK606=0), SUM($AK$2:AK605)-SUM($AR$1:AR604), "")</f>
        <v/>
      </c>
    </row>
    <row r="606" spans="2:44" ht="13.15" customHeight="1">
      <c r="B606" s="68" t="str">
        <f t="shared" si="158"/>
        <v/>
      </c>
      <c r="C606" s="55" cm="1">
        <f t="array" aca="1" ref="C606" ca="1">SUM(IF(ISNUMBER(M606:U606),M606:U606,""))</f>
        <v>0</v>
      </c>
      <c r="D606" s="25" t="str">
        <f t="shared" si="159"/>
        <v/>
      </c>
      <c r="E606" s="25" t="e">
        <f t="shared" si="160"/>
        <v>#VALUE!</v>
      </c>
      <c r="F606" s="25" t="str">
        <f t="shared" si="161"/>
        <v/>
      </c>
      <c r="G606" s="25" t="str">
        <f t="shared" si="162"/>
        <v>.xlsx</v>
      </c>
      <c r="H606" s="29" t="e" cm="1">
        <f t="array" aca="1" ref="H606" ca="1">IF(AND(VALUE(E606)=INDIRECT("'["&amp;G606&amp;"]"&amp;E606&amp;"'!"&amp;$X$2),G606=INDIRECT("'["&amp;G606&amp;"]"&amp;E606&amp;"'!"&amp;$X$3)),INDIRECT("'["&amp;G606&amp;"]"&amp;E606&amp;"'!"&amp;$X$1),0)</f>
        <v>#VALUE!</v>
      </c>
      <c r="I606" s="25" t="str">
        <f t="shared" si="163"/>
        <v/>
      </c>
      <c r="J606" s="32" t="str">
        <f t="shared" si="164"/>
        <v/>
      </c>
      <c r="K606" s="25" t="str">
        <f t="shared" si="165"/>
        <v/>
      </c>
      <c r="L606" s="25" t="str">
        <f t="shared" si="166"/>
        <v/>
      </c>
      <c r="M606" s="33" t="e" cm="1">
        <f t="array" aca="1" ref="M606" ca="1">IF(AND(J606=INDIRECT("'["&amp;G606&amp;"]"&amp;E606&amp;"'!"&amp;$Y$2),G606=INDIRECT("'["&amp;G606&amp;"]"&amp;E606&amp;"'!"&amp;$AH$2)),INDIRECT("'["&amp;G606&amp;"]"&amp;E606&amp;"'!"&amp;$Y$3),0)</f>
        <v>#VALUE!</v>
      </c>
      <c r="N606" s="34" t="e" cm="1">
        <f t="array" aca="1" ref="N606" ca="1">IF(AND(G606=INDIRECT("'["&amp;G606&amp;"]"&amp;E606&amp;"'!"&amp;$AH$2),OR(K606=INDIRECT("'["&amp;G606&amp;"]"&amp;E606&amp;"'!"&amp;$Z$2))),INDIRECT("'["&amp;G606&amp;"]"&amp;E606&amp;"'!"&amp;$Z$3),0)</f>
        <v>#VALUE!</v>
      </c>
      <c r="O606" s="34" t="e" cm="1">
        <f t="array" aca="1" ref="O606" ca="1">IF(AND(G606=INDIRECT("'["&amp;G606&amp;"]"&amp;E606&amp;"'!"&amp;$AH$2),OR(L606=INDIRECT("'["&amp;G606&amp;"]"&amp;E606&amp;"'!"&amp;$AA$2))),INDIRECT("'["&amp;G606&amp;"]"&amp;E606&amp;"'!"&amp;$AA$3),0)</f>
        <v>#VALUE!</v>
      </c>
      <c r="P606" s="34" t="e" cm="1">
        <f t="array" aca="1" ref="P606" ca="1">IF(AND(G606=INDIRECT("'["&amp;G606&amp;"]"&amp;E606&amp;"'!"&amp;$AH$2),OR(VALUE(I606)=INDIRECT("'["&amp;G606&amp;"]"&amp;E606&amp;"'!"&amp;$AB$2))),INDIRECT("'["&amp;G606&amp;"]"&amp;E606&amp;"'!"&amp;$AB$3),0)</f>
        <v>#VALUE!</v>
      </c>
      <c r="Q606" s="34" t="e" cm="1">
        <f t="array" aca="1" ref="Q606" ca="1">IF(AND(G606=INDIRECT("'["&amp;G606&amp;"]"&amp;E606&amp;"'!"&amp;$AH$2),OR(VALUE(I606)=INDIRECT("'["&amp;G606&amp;"]"&amp;E606&amp;"'!"&amp;$AC$2))),INDIRECT("'["&amp;G606&amp;"]"&amp;E606&amp;"'!"&amp;$AC$3),0)</f>
        <v>#VALUE!</v>
      </c>
      <c r="R606" s="34" t="e" cm="1">
        <f t="array" aca="1" ref="R606" ca="1">IF(AND(G606=INDIRECT("'["&amp;G606&amp;"]"&amp;E606&amp;"'!"&amp;$AH$2),OR(I606=INDIRECT("'["&amp;G606&amp;"]"&amp;E606&amp;"'!"&amp;$AD$2))),INDIRECT("'["&amp;G606&amp;"]"&amp;E606&amp;"'!"&amp;$AD$3),0)</f>
        <v>#VALUE!</v>
      </c>
      <c r="S606" s="34" t="e" cm="1">
        <f t="array" aca="1" ref="S606" ca="1">IF(AND(G606=INDIRECT("'["&amp;G606&amp;"]"&amp;E606&amp;"'!"&amp;$AH$2),OR(I606=INDIRECT("'["&amp;G606&amp;"]"&amp;E606&amp;"'!"&amp;$AE$2))),INDIRECT("'["&amp;G606&amp;"]"&amp;E606&amp;"'!"&amp;$AE$3),0)</f>
        <v>#VALUE!</v>
      </c>
      <c r="T606" s="35" t="e" cm="1">
        <f t="array" aca="1" ref="T606" ca="1">IF(AND(G606=INDIRECT("'["&amp;G606&amp;"]"&amp;E606&amp;"'!"&amp;$AH$2),OR(I606=INDIRECT("'["&amp;G606&amp;"]"&amp;E606&amp;"'!"&amp;$AF$2))),INDIRECT("'["&amp;G606&amp;"]"&amp;E606&amp;"'!"&amp;$AF$3),0)</f>
        <v>#VALUE!</v>
      </c>
      <c r="U606" s="34" t="e" cm="1">
        <f t="array" aca="1" ref="U606" ca="1">IF(AND(G606=INDIRECT("'["&amp;G606&amp;"]"&amp;E606&amp;"'!"&amp;$AH$2),OR(I606=INDIRECT("'["&amp;G606&amp;"]"&amp;E606&amp;"'!"&amp;$AG$2))),INDIRECT("'["&amp;G606&amp;"]"&amp;E606&amp;"'!"&amp;$AG$3),0)</f>
        <v>#VALUE!</v>
      </c>
      <c r="V606" s="25" t="str">
        <f t="shared" si="167"/>
        <v/>
      </c>
      <c r="W606" s="36" t="e" cm="1">
        <f t="array" aca="1" ref="W606" ca="1">IF(AND(G606=INDIRECT("'["&amp;G606&amp;"]"&amp;E606&amp;"'!"&amp;$AH$2),OR(V606=INDIRECT("'["&amp;G606&amp;"]"&amp;E606&amp;"'!"&amp;$AI$2))),INDIRECT("'["&amp;G606&amp;"]"&amp;E606&amp;"'!"&amp;$AI$3),0)</f>
        <v>#VALUE!</v>
      </c>
      <c r="AJ606" s="25">
        <v>1</v>
      </c>
      <c r="AK606" s="38">
        <f t="shared" ca="1" si="168"/>
        <v>0</v>
      </c>
      <c r="AL606" s="38">
        <f t="shared" ca="1" si="169"/>
        <v>0</v>
      </c>
      <c r="AM606" s="54" t="str">
        <f t="shared" ca="1" si="170"/>
        <v/>
      </c>
      <c r="AN606" s="25" t="e">
        <f t="shared" ca="1" si="171"/>
        <v>#VALUE!</v>
      </c>
      <c r="AO606" s="25" t="e">
        <f t="shared" ca="1" si="172"/>
        <v>#VALUE!</v>
      </c>
      <c r="AQ606" s="46" t="str">
        <f ca="1">IF(AND(C606&lt;&gt;0, C607=0), SUM($C$2:C606)-SUM($AQ$1:AQ605), "")</f>
        <v/>
      </c>
      <c r="AR606" s="46" t="str">
        <f ca="1">IF(AND(AK606&lt;&gt;0, AK607=0), SUM($AK$2:AK606)-SUM($AR$1:AR605), "")</f>
        <v/>
      </c>
    </row>
    <row r="607" spans="2:44" ht="13.15" customHeight="1">
      <c r="B607" s="68" t="str">
        <f t="shared" si="158"/>
        <v/>
      </c>
      <c r="C607" s="55" cm="1">
        <f t="array" aca="1" ref="C607" ca="1">SUM(IF(ISNUMBER(M607:U607),M607:U607,""))</f>
        <v>0</v>
      </c>
      <c r="D607" s="25" t="str">
        <f t="shared" si="159"/>
        <v/>
      </c>
      <c r="E607" s="25" t="e">
        <f t="shared" si="160"/>
        <v>#VALUE!</v>
      </c>
      <c r="F607" s="25" t="str">
        <f t="shared" si="161"/>
        <v/>
      </c>
      <c r="G607" s="25" t="str">
        <f t="shared" si="162"/>
        <v>.xlsx</v>
      </c>
      <c r="H607" s="29" t="e" cm="1">
        <f t="array" aca="1" ref="H607" ca="1">IF(AND(VALUE(E607)=INDIRECT("'["&amp;G607&amp;"]"&amp;E607&amp;"'!"&amp;$X$2),G607=INDIRECT("'["&amp;G607&amp;"]"&amp;E607&amp;"'!"&amp;$X$3)),INDIRECT("'["&amp;G607&amp;"]"&amp;E607&amp;"'!"&amp;$X$1),0)</f>
        <v>#VALUE!</v>
      </c>
      <c r="I607" s="25" t="str">
        <f t="shared" si="163"/>
        <v/>
      </c>
      <c r="J607" s="32" t="str">
        <f t="shared" si="164"/>
        <v/>
      </c>
      <c r="K607" s="25" t="str">
        <f t="shared" si="165"/>
        <v/>
      </c>
      <c r="L607" s="25" t="str">
        <f t="shared" si="166"/>
        <v/>
      </c>
      <c r="M607" s="33" t="e" cm="1">
        <f t="array" aca="1" ref="M607" ca="1">IF(AND(J607=INDIRECT("'["&amp;G607&amp;"]"&amp;E607&amp;"'!"&amp;$Y$2),G607=INDIRECT("'["&amp;G607&amp;"]"&amp;E607&amp;"'!"&amp;$AH$2)),INDIRECT("'["&amp;G607&amp;"]"&amp;E607&amp;"'!"&amp;$Y$3),0)</f>
        <v>#VALUE!</v>
      </c>
      <c r="N607" s="34" t="e" cm="1">
        <f t="array" aca="1" ref="N607" ca="1">IF(AND(G607=INDIRECT("'["&amp;G607&amp;"]"&amp;E607&amp;"'!"&amp;$AH$2),OR(K607=INDIRECT("'["&amp;G607&amp;"]"&amp;E607&amp;"'!"&amp;$Z$2))),INDIRECT("'["&amp;G607&amp;"]"&amp;E607&amp;"'!"&amp;$Z$3),0)</f>
        <v>#VALUE!</v>
      </c>
      <c r="O607" s="34" t="e" cm="1">
        <f t="array" aca="1" ref="O607" ca="1">IF(AND(G607=INDIRECT("'["&amp;G607&amp;"]"&amp;E607&amp;"'!"&amp;$AH$2),OR(L607=INDIRECT("'["&amp;G607&amp;"]"&amp;E607&amp;"'!"&amp;$AA$2))),INDIRECT("'["&amp;G607&amp;"]"&amp;E607&amp;"'!"&amp;$AA$3),0)</f>
        <v>#VALUE!</v>
      </c>
      <c r="P607" s="34" t="e" cm="1">
        <f t="array" aca="1" ref="P607" ca="1">IF(AND(G607=INDIRECT("'["&amp;G607&amp;"]"&amp;E607&amp;"'!"&amp;$AH$2),OR(VALUE(I607)=INDIRECT("'["&amp;G607&amp;"]"&amp;E607&amp;"'!"&amp;$AB$2))),INDIRECT("'["&amp;G607&amp;"]"&amp;E607&amp;"'!"&amp;$AB$3),0)</f>
        <v>#VALUE!</v>
      </c>
      <c r="Q607" s="34" t="e" cm="1">
        <f t="array" aca="1" ref="Q607" ca="1">IF(AND(G607=INDIRECT("'["&amp;G607&amp;"]"&amp;E607&amp;"'!"&amp;$AH$2),OR(VALUE(I607)=INDIRECT("'["&amp;G607&amp;"]"&amp;E607&amp;"'!"&amp;$AC$2))),INDIRECT("'["&amp;G607&amp;"]"&amp;E607&amp;"'!"&amp;$AC$3),0)</f>
        <v>#VALUE!</v>
      </c>
      <c r="R607" s="34" t="e" cm="1">
        <f t="array" aca="1" ref="R607" ca="1">IF(AND(G607=INDIRECT("'["&amp;G607&amp;"]"&amp;E607&amp;"'!"&amp;$AH$2),OR(I607=INDIRECT("'["&amp;G607&amp;"]"&amp;E607&amp;"'!"&amp;$AD$2))),INDIRECT("'["&amp;G607&amp;"]"&amp;E607&amp;"'!"&amp;$AD$3),0)</f>
        <v>#VALUE!</v>
      </c>
      <c r="S607" s="34" t="e" cm="1">
        <f t="array" aca="1" ref="S607" ca="1">IF(AND(G607=INDIRECT("'["&amp;G607&amp;"]"&amp;E607&amp;"'!"&amp;$AH$2),OR(I607=INDIRECT("'["&amp;G607&amp;"]"&amp;E607&amp;"'!"&amp;$AE$2))),INDIRECT("'["&amp;G607&amp;"]"&amp;E607&amp;"'!"&amp;$AE$3),0)</f>
        <v>#VALUE!</v>
      </c>
      <c r="T607" s="35" t="e" cm="1">
        <f t="array" aca="1" ref="T607" ca="1">IF(AND(G607=INDIRECT("'["&amp;G607&amp;"]"&amp;E607&amp;"'!"&amp;$AH$2),OR(I607=INDIRECT("'["&amp;G607&amp;"]"&amp;E607&amp;"'!"&amp;$AF$2))),INDIRECT("'["&amp;G607&amp;"]"&amp;E607&amp;"'!"&amp;$AF$3),0)</f>
        <v>#VALUE!</v>
      </c>
      <c r="U607" s="34" t="e" cm="1">
        <f t="array" aca="1" ref="U607" ca="1">IF(AND(G607=INDIRECT("'["&amp;G607&amp;"]"&amp;E607&amp;"'!"&amp;$AH$2),OR(I607=INDIRECT("'["&amp;G607&amp;"]"&amp;E607&amp;"'!"&amp;$AG$2))),INDIRECT("'["&amp;G607&amp;"]"&amp;E607&amp;"'!"&amp;$AG$3),0)</f>
        <v>#VALUE!</v>
      </c>
      <c r="V607" s="25" t="str">
        <f t="shared" si="167"/>
        <v/>
      </c>
      <c r="W607" s="36" t="e" cm="1">
        <f t="array" aca="1" ref="W607" ca="1">IF(AND(G607=INDIRECT("'["&amp;G607&amp;"]"&amp;E607&amp;"'!"&amp;$AH$2),OR(V607=INDIRECT("'["&amp;G607&amp;"]"&amp;E607&amp;"'!"&amp;$AI$2))),INDIRECT("'["&amp;G607&amp;"]"&amp;E607&amp;"'!"&amp;$AI$3),0)</f>
        <v>#VALUE!</v>
      </c>
      <c r="AJ607" s="25">
        <v>1</v>
      </c>
      <c r="AK607" s="38">
        <f t="shared" ca="1" si="168"/>
        <v>0</v>
      </c>
      <c r="AL607" s="38">
        <f t="shared" ca="1" si="169"/>
        <v>0</v>
      </c>
      <c r="AM607" s="54" t="str">
        <f t="shared" ca="1" si="170"/>
        <v/>
      </c>
      <c r="AN607" s="25" t="e">
        <f t="shared" ca="1" si="171"/>
        <v>#VALUE!</v>
      </c>
      <c r="AO607" s="25" t="e">
        <f t="shared" ca="1" si="172"/>
        <v>#VALUE!</v>
      </c>
      <c r="AQ607" s="46" t="str">
        <f ca="1">IF(AND(C607&lt;&gt;0, C608=0), SUM($C$2:C607)-SUM($AQ$1:AQ606), "")</f>
        <v/>
      </c>
      <c r="AR607" s="46" t="str">
        <f ca="1">IF(AND(AK607&lt;&gt;0, AK608=0), SUM($AK$2:AK607)-SUM($AR$1:AR606), "")</f>
        <v/>
      </c>
    </row>
    <row r="608" spans="2:44" ht="13.15" customHeight="1">
      <c r="B608" s="68" t="str">
        <f t="shared" si="158"/>
        <v/>
      </c>
      <c r="C608" s="55" cm="1">
        <f t="array" aca="1" ref="C608" ca="1">SUM(IF(ISNUMBER(M608:U608),M608:U608,""))</f>
        <v>0</v>
      </c>
      <c r="D608" s="25" t="str">
        <f t="shared" si="159"/>
        <v/>
      </c>
      <c r="E608" s="25" t="e">
        <f t="shared" si="160"/>
        <v>#VALUE!</v>
      </c>
      <c r="F608" s="25" t="str">
        <f t="shared" si="161"/>
        <v/>
      </c>
      <c r="G608" s="25" t="str">
        <f t="shared" si="162"/>
        <v>.xlsx</v>
      </c>
      <c r="H608" s="29" t="e" cm="1">
        <f t="array" aca="1" ref="H608" ca="1">IF(AND(VALUE(E608)=INDIRECT("'["&amp;G608&amp;"]"&amp;E608&amp;"'!"&amp;$X$2),G608=INDIRECT("'["&amp;G608&amp;"]"&amp;E608&amp;"'!"&amp;$X$3)),INDIRECT("'["&amp;G608&amp;"]"&amp;E608&amp;"'!"&amp;$X$1),0)</f>
        <v>#VALUE!</v>
      </c>
      <c r="I608" s="25" t="str">
        <f t="shared" si="163"/>
        <v/>
      </c>
      <c r="J608" s="32" t="str">
        <f t="shared" si="164"/>
        <v/>
      </c>
      <c r="K608" s="25" t="str">
        <f t="shared" si="165"/>
        <v/>
      </c>
      <c r="L608" s="25" t="str">
        <f t="shared" si="166"/>
        <v/>
      </c>
      <c r="M608" s="33" t="e" cm="1">
        <f t="array" aca="1" ref="M608" ca="1">IF(AND(J608=INDIRECT("'["&amp;G608&amp;"]"&amp;E608&amp;"'!"&amp;$Y$2),G608=INDIRECT("'["&amp;G608&amp;"]"&amp;E608&amp;"'!"&amp;$AH$2)),INDIRECT("'["&amp;G608&amp;"]"&amp;E608&amp;"'!"&amp;$Y$3),0)</f>
        <v>#VALUE!</v>
      </c>
      <c r="N608" s="34" t="e" cm="1">
        <f t="array" aca="1" ref="N608" ca="1">IF(AND(G608=INDIRECT("'["&amp;G608&amp;"]"&amp;E608&amp;"'!"&amp;$AH$2),OR(K608=INDIRECT("'["&amp;G608&amp;"]"&amp;E608&amp;"'!"&amp;$Z$2))),INDIRECT("'["&amp;G608&amp;"]"&amp;E608&amp;"'!"&amp;$Z$3),0)</f>
        <v>#VALUE!</v>
      </c>
      <c r="O608" s="34" t="e" cm="1">
        <f t="array" aca="1" ref="O608" ca="1">IF(AND(G608=INDIRECT("'["&amp;G608&amp;"]"&amp;E608&amp;"'!"&amp;$AH$2),OR(L608=INDIRECT("'["&amp;G608&amp;"]"&amp;E608&amp;"'!"&amp;$AA$2))),INDIRECT("'["&amp;G608&amp;"]"&amp;E608&amp;"'!"&amp;$AA$3),0)</f>
        <v>#VALUE!</v>
      </c>
      <c r="P608" s="34" t="e" cm="1">
        <f t="array" aca="1" ref="P608" ca="1">IF(AND(G608=INDIRECT("'["&amp;G608&amp;"]"&amp;E608&amp;"'!"&amp;$AH$2),OR(VALUE(I608)=INDIRECT("'["&amp;G608&amp;"]"&amp;E608&amp;"'!"&amp;$AB$2))),INDIRECT("'["&amp;G608&amp;"]"&amp;E608&amp;"'!"&amp;$AB$3),0)</f>
        <v>#VALUE!</v>
      </c>
      <c r="Q608" s="34" t="e" cm="1">
        <f t="array" aca="1" ref="Q608" ca="1">IF(AND(G608=INDIRECT("'["&amp;G608&amp;"]"&amp;E608&amp;"'!"&amp;$AH$2),OR(VALUE(I608)=INDIRECT("'["&amp;G608&amp;"]"&amp;E608&amp;"'!"&amp;$AC$2))),INDIRECT("'["&amp;G608&amp;"]"&amp;E608&amp;"'!"&amp;$AC$3),0)</f>
        <v>#VALUE!</v>
      </c>
      <c r="R608" s="34" t="e" cm="1">
        <f t="array" aca="1" ref="R608" ca="1">IF(AND(G608=INDIRECT("'["&amp;G608&amp;"]"&amp;E608&amp;"'!"&amp;$AH$2),OR(I608=INDIRECT("'["&amp;G608&amp;"]"&amp;E608&amp;"'!"&amp;$AD$2))),INDIRECT("'["&amp;G608&amp;"]"&amp;E608&amp;"'!"&amp;$AD$3),0)</f>
        <v>#VALUE!</v>
      </c>
      <c r="S608" s="34" t="e" cm="1">
        <f t="array" aca="1" ref="S608" ca="1">IF(AND(G608=INDIRECT("'["&amp;G608&amp;"]"&amp;E608&amp;"'!"&amp;$AH$2),OR(I608=INDIRECT("'["&amp;G608&amp;"]"&amp;E608&amp;"'!"&amp;$AE$2))),INDIRECT("'["&amp;G608&amp;"]"&amp;E608&amp;"'!"&amp;$AE$3),0)</f>
        <v>#VALUE!</v>
      </c>
      <c r="T608" s="35" t="e" cm="1">
        <f t="array" aca="1" ref="T608" ca="1">IF(AND(G608=INDIRECT("'["&amp;G608&amp;"]"&amp;E608&amp;"'!"&amp;$AH$2),OR(I608=INDIRECT("'["&amp;G608&amp;"]"&amp;E608&amp;"'!"&amp;$AF$2))),INDIRECT("'["&amp;G608&amp;"]"&amp;E608&amp;"'!"&amp;$AF$3),0)</f>
        <v>#VALUE!</v>
      </c>
      <c r="U608" s="34" t="e" cm="1">
        <f t="array" aca="1" ref="U608" ca="1">IF(AND(G608=INDIRECT("'["&amp;G608&amp;"]"&amp;E608&amp;"'!"&amp;$AH$2),OR(I608=INDIRECT("'["&amp;G608&amp;"]"&amp;E608&amp;"'!"&amp;$AG$2))),INDIRECT("'["&amp;G608&amp;"]"&amp;E608&amp;"'!"&amp;$AG$3),0)</f>
        <v>#VALUE!</v>
      </c>
      <c r="V608" s="25" t="str">
        <f t="shared" si="167"/>
        <v/>
      </c>
      <c r="W608" s="36" t="e" cm="1">
        <f t="array" aca="1" ref="W608" ca="1">IF(AND(G608=INDIRECT("'["&amp;G608&amp;"]"&amp;E608&amp;"'!"&amp;$AH$2),OR(V608=INDIRECT("'["&amp;G608&amp;"]"&amp;E608&amp;"'!"&amp;$AI$2))),INDIRECT("'["&amp;G608&amp;"]"&amp;E608&amp;"'!"&amp;$AI$3),0)</f>
        <v>#VALUE!</v>
      </c>
      <c r="AJ608" s="25">
        <v>1</v>
      </c>
      <c r="AK608" s="38">
        <f t="shared" ca="1" si="168"/>
        <v>0</v>
      </c>
      <c r="AL608" s="38">
        <f t="shared" ca="1" si="169"/>
        <v>0</v>
      </c>
      <c r="AM608" s="54" t="str">
        <f t="shared" ca="1" si="170"/>
        <v/>
      </c>
      <c r="AN608" s="25" t="e">
        <f t="shared" ca="1" si="171"/>
        <v>#VALUE!</v>
      </c>
      <c r="AO608" s="25" t="e">
        <f t="shared" ca="1" si="172"/>
        <v>#VALUE!</v>
      </c>
      <c r="AQ608" s="46" t="str">
        <f ca="1">IF(AND(C608&lt;&gt;0, C609=0), SUM($C$2:C608)-SUM($AQ$1:AQ607), "")</f>
        <v/>
      </c>
      <c r="AR608" s="46" t="str">
        <f ca="1">IF(AND(AK608&lt;&gt;0, AK609=0), SUM($AK$2:AK608)-SUM($AR$1:AR607), "")</f>
        <v/>
      </c>
    </row>
    <row r="609" spans="1:44" ht="13.15" customHeight="1">
      <c r="A609" s="66"/>
      <c r="B609" s="68" t="str">
        <f t="shared" si="158"/>
        <v/>
      </c>
      <c r="C609" s="55" cm="1">
        <f t="array" aca="1" ref="C609" ca="1">SUM(IF(ISNUMBER(M609:U609),M609:U609,""))</f>
        <v>0</v>
      </c>
      <c r="D609" s="25" t="str">
        <f t="shared" si="159"/>
        <v/>
      </c>
      <c r="E609" s="25" t="e">
        <f t="shared" si="160"/>
        <v>#VALUE!</v>
      </c>
      <c r="F609" s="25" t="str">
        <f t="shared" si="161"/>
        <v/>
      </c>
      <c r="G609" s="25" t="str">
        <f t="shared" si="162"/>
        <v>.xlsx</v>
      </c>
      <c r="H609" s="29" t="e" cm="1">
        <f t="array" aca="1" ref="H609" ca="1">IF(AND(VALUE(E609)=INDIRECT("'["&amp;G609&amp;"]"&amp;E609&amp;"'!"&amp;$X$2),G609=INDIRECT("'["&amp;G609&amp;"]"&amp;E609&amp;"'!"&amp;$X$3)),INDIRECT("'["&amp;G609&amp;"]"&amp;E609&amp;"'!"&amp;$X$1),0)</f>
        <v>#VALUE!</v>
      </c>
      <c r="I609" s="25" t="str">
        <f t="shared" si="163"/>
        <v/>
      </c>
      <c r="J609" s="32" t="str">
        <f t="shared" si="164"/>
        <v/>
      </c>
      <c r="K609" s="25" t="str">
        <f t="shared" si="165"/>
        <v/>
      </c>
      <c r="L609" s="25" t="str">
        <f t="shared" si="166"/>
        <v/>
      </c>
      <c r="M609" s="33" t="e" cm="1">
        <f t="array" aca="1" ref="M609" ca="1">IF(AND(J609=INDIRECT("'["&amp;G609&amp;"]"&amp;E609&amp;"'!"&amp;$Y$2),G609=INDIRECT("'["&amp;G609&amp;"]"&amp;E609&amp;"'!"&amp;$AH$2)),INDIRECT("'["&amp;G609&amp;"]"&amp;E609&amp;"'!"&amp;$Y$3),0)</f>
        <v>#VALUE!</v>
      </c>
      <c r="N609" s="34" t="e" cm="1">
        <f t="array" aca="1" ref="N609" ca="1">IF(AND(G609=INDIRECT("'["&amp;G609&amp;"]"&amp;E609&amp;"'!"&amp;$AH$2),OR(K609=INDIRECT("'["&amp;G609&amp;"]"&amp;E609&amp;"'!"&amp;$Z$2))),INDIRECT("'["&amp;G609&amp;"]"&amp;E609&amp;"'!"&amp;$Z$3),0)</f>
        <v>#VALUE!</v>
      </c>
      <c r="O609" s="34" t="e" cm="1">
        <f t="array" aca="1" ref="O609" ca="1">IF(AND(G609=INDIRECT("'["&amp;G609&amp;"]"&amp;E609&amp;"'!"&amp;$AH$2),OR(L609=INDIRECT("'["&amp;G609&amp;"]"&amp;E609&amp;"'!"&amp;$AA$2))),INDIRECT("'["&amp;G609&amp;"]"&amp;E609&amp;"'!"&amp;$AA$3),0)</f>
        <v>#VALUE!</v>
      </c>
      <c r="P609" s="34" t="e" cm="1">
        <f t="array" aca="1" ref="P609" ca="1">IF(AND(G609=INDIRECT("'["&amp;G609&amp;"]"&amp;E609&amp;"'!"&amp;$AH$2),OR(VALUE(I609)=INDIRECT("'["&amp;G609&amp;"]"&amp;E609&amp;"'!"&amp;$AB$2))),INDIRECT("'["&amp;G609&amp;"]"&amp;E609&amp;"'!"&amp;$AB$3),0)</f>
        <v>#VALUE!</v>
      </c>
      <c r="Q609" s="34" t="e" cm="1">
        <f t="array" aca="1" ref="Q609" ca="1">IF(AND(G609=INDIRECT("'["&amp;G609&amp;"]"&amp;E609&amp;"'!"&amp;$AH$2),OR(VALUE(I609)=INDIRECT("'["&amp;G609&amp;"]"&amp;E609&amp;"'!"&amp;$AC$2))),INDIRECT("'["&amp;G609&amp;"]"&amp;E609&amp;"'!"&amp;$AC$3),0)</f>
        <v>#VALUE!</v>
      </c>
      <c r="R609" s="34" t="e" cm="1">
        <f t="array" aca="1" ref="R609" ca="1">IF(AND(G609=INDIRECT("'["&amp;G609&amp;"]"&amp;E609&amp;"'!"&amp;$AH$2),OR(I609=INDIRECT("'["&amp;G609&amp;"]"&amp;E609&amp;"'!"&amp;$AD$2))),INDIRECT("'["&amp;G609&amp;"]"&amp;E609&amp;"'!"&amp;$AD$3),0)</f>
        <v>#VALUE!</v>
      </c>
      <c r="S609" s="34" t="e" cm="1">
        <f t="array" aca="1" ref="S609" ca="1">IF(AND(G609=INDIRECT("'["&amp;G609&amp;"]"&amp;E609&amp;"'!"&amp;$AH$2),OR(I609=INDIRECT("'["&amp;G609&amp;"]"&amp;E609&amp;"'!"&amp;$AE$2))),INDIRECT("'["&amp;G609&amp;"]"&amp;E609&amp;"'!"&amp;$AE$3),0)</f>
        <v>#VALUE!</v>
      </c>
      <c r="T609" s="35" t="e" cm="1">
        <f t="array" aca="1" ref="T609" ca="1">IF(AND(G609=INDIRECT("'["&amp;G609&amp;"]"&amp;E609&amp;"'!"&amp;$AH$2),OR(I609=INDIRECT("'["&amp;G609&amp;"]"&amp;E609&amp;"'!"&amp;$AF$2))),INDIRECT("'["&amp;G609&amp;"]"&amp;E609&amp;"'!"&amp;$AF$3),0)</f>
        <v>#VALUE!</v>
      </c>
      <c r="U609" s="34" t="e" cm="1">
        <f t="array" aca="1" ref="U609" ca="1">IF(AND(G609=INDIRECT("'["&amp;G609&amp;"]"&amp;E609&amp;"'!"&amp;$AH$2),OR(I609=INDIRECT("'["&amp;G609&amp;"]"&amp;E609&amp;"'!"&amp;$AG$2))),INDIRECT("'["&amp;G609&amp;"]"&amp;E609&amp;"'!"&amp;$AG$3),0)</f>
        <v>#VALUE!</v>
      </c>
      <c r="V609" s="25" t="str">
        <f t="shared" si="167"/>
        <v/>
      </c>
      <c r="W609" s="36" t="e" cm="1">
        <f t="array" aca="1" ref="W609" ca="1">IF(AND(G609=INDIRECT("'["&amp;G609&amp;"]"&amp;E609&amp;"'!"&amp;$AH$2),OR(V609=INDIRECT("'["&amp;G609&amp;"]"&amp;E609&amp;"'!"&amp;$AI$2))),INDIRECT("'["&amp;G609&amp;"]"&amp;E609&amp;"'!"&amp;$AI$3),0)</f>
        <v>#VALUE!</v>
      </c>
      <c r="AJ609" s="25">
        <v>1</v>
      </c>
      <c r="AK609" s="38">
        <f t="shared" ca="1" si="168"/>
        <v>0</v>
      </c>
      <c r="AL609" s="38">
        <f t="shared" ca="1" si="169"/>
        <v>0</v>
      </c>
      <c r="AM609" s="54" t="str">
        <f t="shared" ca="1" si="170"/>
        <v/>
      </c>
      <c r="AN609" s="25" t="e">
        <f t="shared" ca="1" si="171"/>
        <v>#VALUE!</v>
      </c>
      <c r="AO609" s="25" t="e">
        <f t="shared" ca="1" si="172"/>
        <v>#VALUE!</v>
      </c>
      <c r="AQ609" s="46" t="str">
        <f ca="1">IF(AND(C609&lt;&gt;0, C610=0), SUM($C$2:C609)-SUM($AQ$1:AQ608), "")</f>
        <v/>
      </c>
      <c r="AR609" s="46" t="str">
        <f ca="1">IF(AND(AK609&lt;&gt;0, AK610=0), SUM($AK$2:AK609)-SUM($AR$1:AR608), "")</f>
        <v/>
      </c>
    </row>
    <row r="610" spans="1:44" ht="13.15" customHeight="1">
      <c r="A610" s="66"/>
      <c r="B610" s="68" t="str">
        <f t="shared" si="158"/>
        <v/>
      </c>
      <c r="C610" s="55" cm="1">
        <f t="array" aca="1" ref="C610" ca="1">SUM(IF(ISNUMBER(M610:U610),M610:U610,""))</f>
        <v>0</v>
      </c>
      <c r="D610" s="25" t="str">
        <f t="shared" si="159"/>
        <v/>
      </c>
      <c r="E610" s="25" t="e">
        <f t="shared" si="160"/>
        <v>#VALUE!</v>
      </c>
      <c r="F610" s="25" t="str">
        <f t="shared" si="161"/>
        <v/>
      </c>
      <c r="G610" s="25" t="str">
        <f t="shared" si="162"/>
        <v>.xlsx</v>
      </c>
      <c r="H610" s="29" t="e" cm="1">
        <f t="array" aca="1" ref="H610" ca="1">IF(AND(VALUE(E610)=INDIRECT("'["&amp;G610&amp;"]"&amp;E610&amp;"'!"&amp;$X$2),G610=INDIRECT("'["&amp;G610&amp;"]"&amp;E610&amp;"'!"&amp;$X$3)),INDIRECT("'["&amp;G610&amp;"]"&amp;E610&amp;"'!"&amp;$X$1),0)</f>
        <v>#VALUE!</v>
      </c>
      <c r="I610" s="25" t="str">
        <f t="shared" si="163"/>
        <v/>
      </c>
      <c r="J610" s="32" t="str">
        <f t="shared" si="164"/>
        <v/>
      </c>
      <c r="K610" s="25" t="str">
        <f t="shared" si="165"/>
        <v/>
      </c>
      <c r="L610" s="25" t="str">
        <f t="shared" si="166"/>
        <v/>
      </c>
      <c r="M610" s="33" t="e" cm="1">
        <f t="array" aca="1" ref="M610" ca="1">IF(AND(J610=INDIRECT("'["&amp;G610&amp;"]"&amp;E610&amp;"'!"&amp;$Y$2),G610=INDIRECT("'["&amp;G610&amp;"]"&amp;E610&amp;"'!"&amp;$AH$2)),INDIRECT("'["&amp;G610&amp;"]"&amp;E610&amp;"'!"&amp;$Y$3),0)</f>
        <v>#VALUE!</v>
      </c>
      <c r="N610" s="34" t="e" cm="1">
        <f t="array" aca="1" ref="N610" ca="1">IF(AND(G610=INDIRECT("'["&amp;G610&amp;"]"&amp;E610&amp;"'!"&amp;$AH$2),OR(K610=INDIRECT("'["&amp;G610&amp;"]"&amp;E610&amp;"'!"&amp;$Z$2))),INDIRECT("'["&amp;G610&amp;"]"&amp;E610&amp;"'!"&amp;$Z$3),0)</f>
        <v>#VALUE!</v>
      </c>
      <c r="O610" s="34" t="e" cm="1">
        <f t="array" aca="1" ref="O610" ca="1">IF(AND(G610=INDIRECT("'["&amp;G610&amp;"]"&amp;E610&amp;"'!"&amp;$AH$2),OR(L610=INDIRECT("'["&amp;G610&amp;"]"&amp;E610&amp;"'!"&amp;$AA$2))),INDIRECT("'["&amp;G610&amp;"]"&amp;E610&amp;"'!"&amp;$AA$3),0)</f>
        <v>#VALUE!</v>
      </c>
      <c r="P610" s="34" t="e" cm="1">
        <f t="array" aca="1" ref="P610" ca="1">IF(AND(G610=INDIRECT("'["&amp;G610&amp;"]"&amp;E610&amp;"'!"&amp;$AH$2),OR(VALUE(I610)=INDIRECT("'["&amp;G610&amp;"]"&amp;E610&amp;"'!"&amp;$AB$2))),INDIRECT("'["&amp;G610&amp;"]"&amp;E610&amp;"'!"&amp;$AB$3),0)</f>
        <v>#VALUE!</v>
      </c>
      <c r="Q610" s="34" t="e" cm="1">
        <f t="array" aca="1" ref="Q610" ca="1">IF(AND(G610=INDIRECT("'["&amp;G610&amp;"]"&amp;E610&amp;"'!"&amp;$AH$2),OR(VALUE(I610)=INDIRECT("'["&amp;G610&amp;"]"&amp;E610&amp;"'!"&amp;$AC$2))),INDIRECT("'["&amp;G610&amp;"]"&amp;E610&amp;"'!"&amp;$AC$3),0)</f>
        <v>#VALUE!</v>
      </c>
      <c r="R610" s="34" t="e" cm="1">
        <f t="array" aca="1" ref="R610" ca="1">IF(AND(G610=INDIRECT("'["&amp;G610&amp;"]"&amp;E610&amp;"'!"&amp;$AH$2),OR(I610=INDIRECT("'["&amp;G610&amp;"]"&amp;E610&amp;"'!"&amp;$AD$2))),INDIRECT("'["&amp;G610&amp;"]"&amp;E610&amp;"'!"&amp;$AD$3),0)</f>
        <v>#VALUE!</v>
      </c>
      <c r="S610" s="34" t="e" cm="1">
        <f t="array" aca="1" ref="S610" ca="1">IF(AND(G610=INDIRECT("'["&amp;G610&amp;"]"&amp;E610&amp;"'!"&amp;$AH$2),OR(I610=INDIRECT("'["&amp;G610&amp;"]"&amp;E610&amp;"'!"&amp;$AE$2))),INDIRECT("'["&amp;G610&amp;"]"&amp;E610&amp;"'!"&amp;$AE$3),0)</f>
        <v>#VALUE!</v>
      </c>
      <c r="T610" s="35" t="e" cm="1">
        <f t="array" aca="1" ref="T610" ca="1">IF(AND(G610=INDIRECT("'["&amp;G610&amp;"]"&amp;E610&amp;"'!"&amp;$AH$2),OR(I610=INDIRECT("'["&amp;G610&amp;"]"&amp;E610&amp;"'!"&amp;$AF$2))),INDIRECT("'["&amp;G610&amp;"]"&amp;E610&amp;"'!"&amp;$AF$3),0)</f>
        <v>#VALUE!</v>
      </c>
      <c r="U610" s="34" t="e" cm="1">
        <f t="array" aca="1" ref="U610" ca="1">IF(AND(G610=INDIRECT("'["&amp;G610&amp;"]"&amp;E610&amp;"'!"&amp;$AH$2),OR(I610=INDIRECT("'["&amp;G610&amp;"]"&amp;E610&amp;"'!"&amp;$AG$2))),INDIRECT("'["&amp;G610&amp;"]"&amp;E610&amp;"'!"&amp;$AG$3),0)</f>
        <v>#VALUE!</v>
      </c>
      <c r="V610" s="25" t="str">
        <f t="shared" si="167"/>
        <v/>
      </c>
      <c r="W610" s="36" t="e" cm="1">
        <f t="array" aca="1" ref="W610" ca="1">IF(AND(G610=INDIRECT("'["&amp;G610&amp;"]"&amp;E610&amp;"'!"&amp;$AH$2),OR(V610=INDIRECT("'["&amp;G610&amp;"]"&amp;E610&amp;"'!"&amp;$AI$2))),INDIRECT("'["&amp;G610&amp;"]"&amp;E610&amp;"'!"&amp;$AI$3),0)</f>
        <v>#VALUE!</v>
      </c>
      <c r="AJ610" s="25">
        <v>1</v>
      </c>
      <c r="AK610" s="38">
        <f t="shared" ca="1" si="168"/>
        <v>0</v>
      </c>
      <c r="AL610" s="38">
        <f t="shared" ca="1" si="169"/>
        <v>0</v>
      </c>
      <c r="AM610" s="54" t="str">
        <f t="shared" ca="1" si="170"/>
        <v/>
      </c>
      <c r="AN610" s="25" t="e">
        <f t="shared" ca="1" si="171"/>
        <v>#VALUE!</v>
      </c>
      <c r="AO610" s="25" t="e">
        <f t="shared" ca="1" si="172"/>
        <v>#VALUE!</v>
      </c>
      <c r="AQ610" s="46" t="str">
        <f ca="1">IF(AND(C610&lt;&gt;0, C611=0), SUM($C$2:C610)-SUM($AQ$1:AQ609), "")</f>
        <v/>
      </c>
      <c r="AR610" s="46" t="str">
        <f ca="1">IF(AND(AK610&lt;&gt;0, AK611=0), SUM($AK$2:AK610)-SUM($AR$1:AR609), "")</f>
        <v/>
      </c>
    </row>
    <row r="611" spans="1:44" ht="13.15" customHeight="1">
      <c r="A611" s="66"/>
      <c r="B611" s="68" t="str">
        <f t="shared" si="158"/>
        <v/>
      </c>
      <c r="C611" s="55" cm="1">
        <f t="array" aca="1" ref="C611" ca="1">SUM(IF(ISNUMBER(M611:U611),M611:U611,""))</f>
        <v>0</v>
      </c>
      <c r="D611" s="25" t="str">
        <f t="shared" si="159"/>
        <v/>
      </c>
      <c r="E611" s="25" t="e">
        <f t="shared" si="160"/>
        <v>#VALUE!</v>
      </c>
      <c r="F611" s="25" t="str">
        <f t="shared" si="161"/>
        <v/>
      </c>
      <c r="G611" s="25" t="str">
        <f t="shared" si="162"/>
        <v>.xlsx</v>
      </c>
      <c r="H611" s="29" t="e" cm="1">
        <f t="array" aca="1" ref="H611" ca="1">IF(AND(VALUE(E611)=INDIRECT("'["&amp;G611&amp;"]"&amp;E611&amp;"'!"&amp;$X$2),G611=INDIRECT("'["&amp;G611&amp;"]"&amp;E611&amp;"'!"&amp;$X$3)),INDIRECT("'["&amp;G611&amp;"]"&amp;E611&amp;"'!"&amp;$X$1),0)</f>
        <v>#VALUE!</v>
      </c>
      <c r="I611" s="25" t="str">
        <f t="shared" si="163"/>
        <v/>
      </c>
      <c r="J611" s="32" t="str">
        <f t="shared" si="164"/>
        <v/>
      </c>
      <c r="K611" s="25" t="str">
        <f t="shared" si="165"/>
        <v/>
      </c>
      <c r="L611" s="25" t="str">
        <f t="shared" si="166"/>
        <v/>
      </c>
      <c r="M611" s="33" t="e" cm="1">
        <f t="array" aca="1" ref="M611" ca="1">IF(AND(J611=INDIRECT("'["&amp;G611&amp;"]"&amp;E611&amp;"'!"&amp;$Y$2),G611=INDIRECT("'["&amp;G611&amp;"]"&amp;E611&amp;"'!"&amp;$AH$2)),INDIRECT("'["&amp;G611&amp;"]"&amp;E611&amp;"'!"&amp;$Y$3),0)</f>
        <v>#VALUE!</v>
      </c>
      <c r="N611" s="34" t="e" cm="1">
        <f t="array" aca="1" ref="N611" ca="1">IF(AND(G611=INDIRECT("'["&amp;G611&amp;"]"&amp;E611&amp;"'!"&amp;$AH$2),OR(K611=INDIRECT("'["&amp;G611&amp;"]"&amp;E611&amp;"'!"&amp;$Z$2))),INDIRECT("'["&amp;G611&amp;"]"&amp;E611&amp;"'!"&amp;$Z$3),0)</f>
        <v>#VALUE!</v>
      </c>
      <c r="O611" s="34" t="e" cm="1">
        <f t="array" aca="1" ref="O611" ca="1">IF(AND(G611=INDIRECT("'["&amp;G611&amp;"]"&amp;E611&amp;"'!"&amp;$AH$2),OR(L611=INDIRECT("'["&amp;G611&amp;"]"&amp;E611&amp;"'!"&amp;$AA$2))),INDIRECT("'["&amp;G611&amp;"]"&amp;E611&amp;"'!"&amp;$AA$3),0)</f>
        <v>#VALUE!</v>
      </c>
      <c r="P611" s="34" t="e" cm="1">
        <f t="array" aca="1" ref="P611" ca="1">IF(AND(G611=INDIRECT("'["&amp;G611&amp;"]"&amp;E611&amp;"'!"&amp;$AH$2),OR(VALUE(I611)=INDIRECT("'["&amp;G611&amp;"]"&amp;E611&amp;"'!"&amp;$AB$2))),INDIRECT("'["&amp;G611&amp;"]"&amp;E611&amp;"'!"&amp;$AB$3),0)</f>
        <v>#VALUE!</v>
      </c>
      <c r="Q611" s="34" t="e" cm="1">
        <f t="array" aca="1" ref="Q611" ca="1">IF(AND(G611=INDIRECT("'["&amp;G611&amp;"]"&amp;E611&amp;"'!"&amp;$AH$2),OR(VALUE(I611)=INDIRECT("'["&amp;G611&amp;"]"&amp;E611&amp;"'!"&amp;$AC$2))),INDIRECT("'["&amp;G611&amp;"]"&amp;E611&amp;"'!"&amp;$AC$3),0)</f>
        <v>#VALUE!</v>
      </c>
      <c r="R611" s="34" t="e" cm="1">
        <f t="array" aca="1" ref="R611" ca="1">IF(AND(G611=INDIRECT("'["&amp;G611&amp;"]"&amp;E611&amp;"'!"&amp;$AH$2),OR(I611=INDIRECT("'["&amp;G611&amp;"]"&amp;E611&amp;"'!"&amp;$AD$2))),INDIRECT("'["&amp;G611&amp;"]"&amp;E611&amp;"'!"&amp;$AD$3),0)</f>
        <v>#VALUE!</v>
      </c>
      <c r="S611" s="34" t="e" cm="1">
        <f t="array" aca="1" ref="S611" ca="1">IF(AND(G611=INDIRECT("'["&amp;G611&amp;"]"&amp;E611&amp;"'!"&amp;$AH$2),OR(I611=INDIRECT("'["&amp;G611&amp;"]"&amp;E611&amp;"'!"&amp;$AE$2))),INDIRECT("'["&amp;G611&amp;"]"&amp;E611&amp;"'!"&amp;$AE$3),0)</f>
        <v>#VALUE!</v>
      </c>
      <c r="T611" s="35" t="e" cm="1">
        <f t="array" aca="1" ref="T611" ca="1">IF(AND(G611=INDIRECT("'["&amp;G611&amp;"]"&amp;E611&amp;"'!"&amp;$AH$2),OR(I611=INDIRECT("'["&amp;G611&amp;"]"&amp;E611&amp;"'!"&amp;$AF$2))),INDIRECT("'["&amp;G611&amp;"]"&amp;E611&amp;"'!"&amp;$AF$3),0)</f>
        <v>#VALUE!</v>
      </c>
      <c r="U611" s="34" t="e" cm="1">
        <f t="array" aca="1" ref="U611" ca="1">IF(AND(G611=INDIRECT("'["&amp;G611&amp;"]"&amp;E611&amp;"'!"&amp;$AH$2),OR(I611=INDIRECT("'["&amp;G611&amp;"]"&amp;E611&amp;"'!"&amp;$AG$2))),INDIRECT("'["&amp;G611&amp;"]"&amp;E611&amp;"'!"&amp;$AG$3),0)</f>
        <v>#VALUE!</v>
      </c>
      <c r="V611" s="25" t="str">
        <f t="shared" si="167"/>
        <v/>
      </c>
      <c r="W611" s="36" t="e" cm="1">
        <f t="array" aca="1" ref="W611" ca="1">IF(AND(G611=INDIRECT("'["&amp;G611&amp;"]"&amp;E611&amp;"'!"&amp;$AH$2),OR(V611=INDIRECT("'["&amp;G611&amp;"]"&amp;E611&amp;"'!"&amp;$AI$2))),INDIRECT("'["&amp;G611&amp;"]"&amp;E611&amp;"'!"&amp;$AI$3),0)</f>
        <v>#VALUE!</v>
      </c>
      <c r="AJ611" s="25">
        <v>1</v>
      </c>
      <c r="AK611" s="38">
        <f t="shared" ca="1" si="168"/>
        <v>0</v>
      </c>
      <c r="AL611" s="38">
        <f t="shared" ca="1" si="169"/>
        <v>0</v>
      </c>
      <c r="AM611" s="54" t="str">
        <f t="shared" ca="1" si="170"/>
        <v/>
      </c>
      <c r="AN611" s="25" t="e">
        <f t="shared" ca="1" si="171"/>
        <v>#VALUE!</v>
      </c>
      <c r="AO611" s="25" t="e">
        <f t="shared" ca="1" si="172"/>
        <v>#VALUE!</v>
      </c>
      <c r="AQ611" s="46" t="str">
        <f ca="1">IF(AND(C611&lt;&gt;0, C612=0), SUM($C$2:C611)-SUM($AQ$1:AQ610), "")</f>
        <v/>
      </c>
      <c r="AR611" s="46" t="str">
        <f ca="1">IF(AND(AK611&lt;&gt;0, AK612=0), SUM($AK$2:AK611)-SUM($AR$1:AR610), "")</f>
        <v/>
      </c>
    </row>
    <row r="612" spans="1:44" ht="13.15" customHeight="1">
      <c r="A612" s="66"/>
      <c r="B612" s="68" t="str">
        <f t="shared" si="158"/>
        <v/>
      </c>
      <c r="C612" s="55" cm="1">
        <f t="array" aca="1" ref="C612" ca="1">SUM(IF(ISNUMBER(M612:U612),M612:U612,""))</f>
        <v>0</v>
      </c>
      <c r="D612" s="25" t="str">
        <f t="shared" si="159"/>
        <v/>
      </c>
      <c r="E612" s="25" t="e">
        <f t="shared" si="160"/>
        <v>#VALUE!</v>
      </c>
      <c r="F612" s="25" t="str">
        <f t="shared" si="161"/>
        <v/>
      </c>
      <c r="G612" s="25" t="str">
        <f t="shared" si="162"/>
        <v>.xlsx</v>
      </c>
      <c r="H612" s="29" t="e" cm="1">
        <f t="array" aca="1" ref="H612" ca="1">IF(AND(VALUE(E612)=INDIRECT("'["&amp;G612&amp;"]"&amp;E612&amp;"'!"&amp;$X$2),G612=INDIRECT("'["&amp;G612&amp;"]"&amp;E612&amp;"'!"&amp;$X$3)),INDIRECT("'["&amp;G612&amp;"]"&amp;E612&amp;"'!"&amp;$X$1),0)</f>
        <v>#VALUE!</v>
      </c>
      <c r="I612" s="25" t="str">
        <f t="shared" si="163"/>
        <v/>
      </c>
      <c r="J612" s="32" t="str">
        <f t="shared" si="164"/>
        <v/>
      </c>
      <c r="K612" s="25" t="str">
        <f t="shared" si="165"/>
        <v/>
      </c>
      <c r="L612" s="25" t="str">
        <f t="shared" si="166"/>
        <v/>
      </c>
      <c r="M612" s="33" t="e" cm="1">
        <f t="array" aca="1" ref="M612" ca="1">IF(AND(J612=INDIRECT("'["&amp;G612&amp;"]"&amp;E612&amp;"'!"&amp;$Y$2),G612=INDIRECT("'["&amp;G612&amp;"]"&amp;E612&amp;"'!"&amp;$AH$2)),INDIRECT("'["&amp;G612&amp;"]"&amp;E612&amp;"'!"&amp;$Y$3),0)</f>
        <v>#VALUE!</v>
      </c>
      <c r="N612" s="34" t="e" cm="1">
        <f t="array" aca="1" ref="N612" ca="1">IF(AND(G612=INDIRECT("'["&amp;G612&amp;"]"&amp;E612&amp;"'!"&amp;$AH$2),OR(K612=INDIRECT("'["&amp;G612&amp;"]"&amp;E612&amp;"'!"&amp;$Z$2))),INDIRECT("'["&amp;G612&amp;"]"&amp;E612&amp;"'!"&amp;$Z$3),0)</f>
        <v>#VALUE!</v>
      </c>
      <c r="O612" s="34" t="e" cm="1">
        <f t="array" aca="1" ref="O612" ca="1">IF(AND(G612=INDIRECT("'["&amp;G612&amp;"]"&amp;E612&amp;"'!"&amp;$AH$2),OR(L612=INDIRECT("'["&amp;G612&amp;"]"&amp;E612&amp;"'!"&amp;$AA$2))),INDIRECT("'["&amp;G612&amp;"]"&amp;E612&amp;"'!"&amp;$AA$3),0)</f>
        <v>#VALUE!</v>
      </c>
      <c r="P612" s="34" t="e" cm="1">
        <f t="array" aca="1" ref="P612" ca="1">IF(AND(G612=INDIRECT("'["&amp;G612&amp;"]"&amp;E612&amp;"'!"&amp;$AH$2),OR(VALUE(I612)=INDIRECT("'["&amp;G612&amp;"]"&amp;E612&amp;"'!"&amp;$AB$2))),INDIRECT("'["&amp;G612&amp;"]"&amp;E612&amp;"'!"&amp;$AB$3),0)</f>
        <v>#VALUE!</v>
      </c>
      <c r="Q612" s="34" t="e" cm="1">
        <f t="array" aca="1" ref="Q612" ca="1">IF(AND(G612=INDIRECT("'["&amp;G612&amp;"]"&amp;E612&amp;"'!"&amp;$AH$2),OR(VALUE(I612)=INDIRECT("'["&amp;G612&amp;"]"&amp;E612&amp;"'!"&amp;$AC$2))),INDIRECT("'["&amp;G612&amp;"]"&amp;E612&amp;"'!"&amp;$AC$3),0)</f>
        <v>#VALUE!</v>
      </c>
      <c r="R612" s="34" t="e" cm="1">
        <f t="array" aca="1" ref="R612" ca="1">IF(AND(G612=INDIRECT("'["&amp;G612&amp;"]"&amp;E612&amp;"'!"&amp;$AH$2),OR(I612=INDIRECT("'["&amp;G612&amp;"]"&amp;E612&amp;"'!"&amp;$AD$2))),INDIRECT("'["&amp;G612&amp;"]"&amp;E612&amp;"'!"&amp;$AD$3),0)</f>
        <v>#VALUE!</v>
      </c>
      <c r="S612" s="34" t="e" cm="1">
        <f t="array" aca="1" ref="S612" ca="1">IF(AND(G612=INDIRECT("'["&amp;G612&amp;"]"&amp;E612&amp;"'!"&amp;$AH$2),OR(I612=INDIRECT("'["&amp;G612&amp;"]"&amp;E612&amp;"'!"&amp;$AE$2))),INDIRECT("'["&amp;G612&amp;"]"&amp;E612&amp;"'!"&amp;$AE$3),0)</f>
        <v>#VALUE!</v>
      </c>
      <c r="T612" s="35" t="e" cm="1">
        <f t="array" aca="1" ref="T612" ca="1">IF(AND(G612=INDIRECT("'["&amp;G612&amp;"]"&amp;E612&amp;"'!"&amp;$AH$2),OR(I612=INDIRECT("'["&amp;G612&amp;"]"&amp;E612&amp;"'!"&amp;$AF$2))),INDIRECT("'["&amp;G612&amp;"]"&amp;E612&amp;"'!"&amp;$AF$3),0)</f>
        <v>#VALUE!</v>
      </c>
      <c r="U612" s="34" t="e" cm="1">
        <f t="array" aca="1" ref="U612" ca="1">IF(AND(G612=INDIRECT("'["&amp;G612&amp;"]"&amp;E612&amp;"'!"&amp;$AH$2),OR(I612=INDIRECT("'["&amp;G612&amp;"]"&amp;E612&amp;"'!"&amp;$AG$2))),INDIRECT("'["&amp;G612&amp;"]"&amp;E612&amp;"'!"&amp;$AG$3),0)</f>
        <v>#VALUE!</v>
      </c>
      <c r="V612" s="25" t="str">
        <f t="shared" si="167"/>
        <v/>
      </c>
      <c r="W612" s="36" t="e" cm="1">
        <f t="array" aca="1" ref="W612" ca="1">IF(AND(G612=INDIRECT("'["&amp;G612&amp;"]"&amp;E612&amp;"'!"&amp;$AH$2),OR(V612=INDIRECT("'["&amp;G612&amp;"]"&amp;E612&amp;"'!"&amp;$AI$2))),INDIRECT("'["&amp;G612&amp;"]"&amp;E612&amp;"'!"&amp;$AI$3),0)</f>
        <v>#VALUE!</v>
      </c>
      <c r="AJ612" s="25">
        <v>1</v>
      </c>
      <c r="AK612" s="38">
        <f t="shared" ca="1" si="168"/>
        <v>0</v>
      </c>
      <c r="AL612" s="38">
        <f t="shared" ca="1" si="169"/>
        <v>0</v>
      </c>
      <c r="AM612" s="54" t="str">
        <f t="shared" ca="1" si="170"/>
        <v/>
      </c>
      <c r="AN612" s="25" t="e">
        <f t="shared" ca="1" si="171"/>
        <v>#VALUE!</v>
      </c>
      <c r="AO612" s="25" t="e">
        <f t="shared" ca="1" si="172"/>
        <v>#VALUE!</v>
      </c>
      <c r="AQ612" s="46" t="str">
        <f ca="1">IF(AND(C612&lt;&gt;0, C613=0), SUM($C$2:C612)-SUM($AQ$1:AQ611), "")</f>
        <v/>
      </c>
      <c r="AR612" s="46" t="str">
        <f ca="1">IF(AND(AK612&lt;&gt;0, AK613=0), SUM($AK$2:AK612)-SUM($AR$1:AR611), "")</f>
        <v/>
      </c>
    </row>
    <row r="613" spans="1:44" ht="13.15" customHeight="1">
      <c r="A613" s="66"/>
      <c r="B613" s="68" t="str">
        <f t="shared" si="158"/>
        <v/>
      </c>
      <c r="C613" s="55" cm="1">
        <f t="array" aca="1" ref="C613" ca="1">SUM(IF(ISNUMBER(M613:U613),M613:U613,""))</f>
        <v>0</v>
      </c>
      <c r="D613" s="25" t="str">
        <f t="shared" si="159"/>
        <v/>
      </c>
      <c r="E613" s="25" t="e">
        <f t="shared" si="160"/>
        <v>#VALUE!</v>
      </c>
      <c r="F613" s="25" t="str">
        <f t="shared" si="161"/>
        <v/>
      </c>
      <c r="G613" s="25" t="str">
        <f t="shared" si="162"/>
        <v>.xlsx</v>
      </c>
      <c r="H613" s="29" t="e" cm="1">
        <f t="array" aca="1" ref="H613" ca="1">IF(AND(VALUE(E613)=INDIRECT("'["&amp;G613&amp;"]"&amp;E613&amp;"'!"&amp;$X$2),G613=INDIRECT("'["&amp;G613&amp;"]"&amp;E613&amp;"'!"&amp;$X$3)),INDIRECT("'["&amp;G613&amp;"]"&amp;E613&amp;"'!"&amp;$X$1),0)</f>
        <v>#VALUE!</v>
      </c>
      <c r="I613" s="25" t="str">
        <f t="shared" si="163"/>
        <v/>
      </c>
      <c r="J613" s="32" t="str">
        <f t="shared" si="164"/>
        <v/>
      </c>
      <c r="K613" s="25" t="str">
        <f t="shared" si="165"/>
        <v/>
      </c>
      <c r="L613" s="25" t="str">
        <f t="shared" si="166"/>
        <v/>
      </c>
      <c r="M613" s="33" t="e" cm="1">
        <f t="array" aca="1" ref="M613" ca="1">IF(AND(J613=INDIRECT("'["&amp;G613&amp;"]"&amp;E613&amp;"'!"&amp;$Y$2),G613=INDIRECT("'["&amp;G613&amp;"]"&amp;E613&amp;"'!"&amp;$AH$2)),INDIRECT("'["&amp;G613&amp;"]"&amp;E613&amp;"'!"&amp;$Y$3),0)</f>
        <v>#VALUE!</v>
      </c>
      <c r="N613" s="34" t="e" cm="1">
        <f t="array" aca="1" ref="N613" ca="1">IF(AND(G613=INDIRECT("'["&amp;G613&amp;"]"&amp;E613&amp;"'!"&amp;$AH$2),OR(K613=INDIRECT("'["&amp;G613&amp;"]"&amp;E613&amp;"'!"&amp;$Z$2))),INDIRECT("'["&amp;G613&amp;"]"&amp;E613&amp;"'!"&amp;$Z$3),0)</f>
        <v>#VALUE!</v>
      </c>
      <c r="O613" s="34" t="e" cm="1">
        <f t="array" aca="1" ref="O613" ca="1">IF(AND(G613=INDIRECT("'["&amp;G613&amp;"]"&amp;E613&amp;"'!"&amp;$AH$2),OR(L613=INDIRECT("'["&amp;G613&amp;"]"&amp;E613&amp;"'!"&amp;$AA$2))),INDIRECT("'["&amp;G613&amp;"]"&amp;E613&amp;"'!"&amp;$AA$3),0)</f>
        <v>#VALUE!</v>
      </c>
      <c r="P613" s="34" t="e" cm="1">
        <f t="array" aca="1" ref="P613" ca="1">IF(AND(G613=INDIRECT("'["&amp;G613&amp;"]"&amp;E613&amp;"'!"&amp;$AH$2),OR(VALUE(I613)=INDIRECT("'["&amp;G613&amp;"]"&amp;E613&amp;"'!"&amp;$AB$2))),INDIRECT("'["&amp;G613&amp;"]"&amp;E613&amp;"'!"&amp;$AB$3),0)</f>
        <v>#VALUE!</v>
      </c>
      <c r="Q613" s="34" t="e" cm="1">
        <f t="array" aca="1" ref="Q613" ca="1">IF(AND(G613=INDIRECT("'["&amp;G613&amp;"]"&amp;E613&amp;"'!"&amp;$AH$2),OR(VALUE(I613)=INDIRECT("'["&amp;G613&amp;"]"&amp;E613&amp;"'!"&amp;$AC$2))),INDIRECT("'["&amp;G613&amp;"]"&amp;E613&amp;"'!"&amp;$AC$3),0)</f>
        <v>#VALUE!</v>
      </c>
      <c r="R613" s="34" t="e" cm="1">
        <f t="array" aca="1" ref="R613" ca="1">IF(AND(G613=INDIRECT("'["&amp;G613&amp;"]"&amp;E613&amp;"'!"&amp;$AH$2),OR(I613=INDIRECT("'["&amp;G613&amp;"]"&amp;E613&amp;"'!"&amp;$AD$2))),INDIRECT("'["&amp;G613&amp;"]"&amp;E613&amp;"'!"&amp;$AD$3),0)</f>
        <v>#VALUE!</v>
      </c>
      <c r="S613" s="34" t="e" cm="1">
        <f t="array" aca="1" ref="S613" ca="1">IF(AND(G613=INDIRECT("'["&amp;G613&amp;"]"&amp;E613&amp;"'!"&amp;$AH$2),OR(I613=INDIRECT("'["&amp;G613&amp;"]"&amp;E613&amp;"'!"&amp;$AE$2))),INDIRECT("'["&amp;G613&amp;"]"&amp;E613&amp;"'!"&amp;$AE$3),0)</f>
        <v>#VALUE!</v>
      </c>
      <c r="T613" s="35" t="e" cm="1">
        <f t="array" aca="1" ref="T613" ca="1">IF(AND(G613=INDIRECT("'["&amp;G613&amp;"]"&amp;E613&amp;"'!"&amp;$AH$2),OR(I613=INDIRECT("'["&amp;G613&amp;"]"&amp;E613&amp;"'!"&amp;$AF$2))),INDIRECT("'["&amp;G613&amp;"]"&amp;E613&amp;"'!"&amp;$AF$3),0)</f>
        <v>#VALUE!</v>
      </c>
      <c r="U613" s="34" t="e" cm="1">
        <f t="array" aca="1" ref="U613" ca="1">IF(AND(G613=INDIRECT("'["&amp;G613&amp;"]"&amp;E613&amp;"'!"&amp;$AH$2),OR(I613=INDIRECT("'["&amp;G613&amp;"]"&amp;E613&amp;"'!"&amp;$AG$2))),INDIRECT("'["&amp;G613&amp;"]"&amp;E613&amp;"'!"&amp;$AG$3),0)</f>
        <v>#VALUE!</v>
      </c>
      <c r="V613" s="25" t="str">
        <f t="shared" si="167"/>
        <v/>
      </c>
      <c r="W613" s="36" t="e" cm="1">
        <f t="array" aca="1" ref="W613" ca="1">IF(AND(G613=INDIRECT("'["&amp;G613&amp;"]"&amp;E613&amp;"'!"&amp;$AH$2),OR(V613=INDIRECT("'["&amp;G613&amp;"]"&amp;E613&amp;"'!"&amp;$AI$2))),INDIRECT("'["&amp;G613&amp;"]"&amp;E613&amp;"'!"&amp;$AI$3),0)</f>
        <v>#VALUE!</v>
      </c>
      <c r="AJ613" s="25">
        <v>1</v>
      </c>
      <c r="AK613" s="38">
        <f t="shared" ca="1" si="168"/>
        <v>0</v>
      </c>
      <c r="AL613" s="38">
        <f t="shared" ca="1" si="169"/>
        <v>0</v>
      </c>
      <c r="AM613" s="54" t="str">
        <f t="shared" ca="1" si="170"/>
        <v/>
      </c>
      <c r="AN613" s="25" t="e">
        <f t="shared" ca="1" si="171"/>
        <v>#VALUE!</v>
      </c>
      <c r="AO613" s="25" t="e">
        <f t="shared" ca="1" si="172"/>
        <v>#VALUE!</v>
      </c>
      <c r="AQ613" s="46" t="str">
        <f ca="1">IF(AND(C613&lt;&gt;0, C614=0), SUM($C$2:C613)-SUM($AQ$1:AQ612), "")</f>
        <v/>
      </c>
      <c r="AR613" s="46" t="str">
        <f ca="1">IF(AND(AK613&lt;&gt;0, AK614=0), SUM($AK$2:AK613)-SUM($AR$1:AR612), "")</f>
        <v/>
      </c>
    </row>
    <row r="614" spans="1:44" ht="13.15" customHeight="1">
      <c r="A614" s="66"/>
      <c r="B614" s="68" t="str">
        <f t="shared" si="158"/>
        <v/>
      </c>
      <c r="C614" s="55" cm="1">
        <f t="array" aca="1" ref="C614" ca="1">SUM(IF(ISNUMBER(M614:U614),M614:U614,""))</f>
        <v>0</v>
      </c>
      <c r="D614" s="25" t="str">
        <f t="shared" si="159"/>
        <v/>
      </c>
      <c r="E614" s="25" t="e">
        <f t="shared" si="160"/>
        <v>#VALUE!</v>
      </c>
      <c r="F614" s="25" t="str">
        <f t="shared" si="161"/>
        <v/>
      </c>
      <c r="G614" s="25" t="str">
        <f t="shared" si="162"/>
        <v>.xlsx</v>
      </c>
      <c r="H614" s="29" t="e" cm="1">
        <f t="array" aca="1" ref="H614" ca="1">IF(AND(VALUE(E614)=INDIRECT("'["&amp;G614&amp;"]"&amp;E614&amp;"'!"&amp;$X$2),G614=INDIRECT("'["&amp;G614&amp;"]"&amp;E614&amp;"'!"&amp;$X$3)),INDIRECT("'["&amp;G614&amp;"]"&amp;E614&amp;"'!"&amp;$X$1),0)</f>
        <v>#VALUE!</v>
      </c>
      <c r="I614" s="25" t="str">
        <f t="shared" si="163"/>
        <v/>
      </c>
      <c r="J614" s="32" t="str">
        <f t="shared" si="164"/>
        <v/>
      </c>
      <c r="K614" s="25" t="str">
        <f t="shared" si="165"/>
        <v/>
      </c>
      <c r="L614" s="25" t="str">
        <f t="shared" si="166"/>
        <v/>
      </c>
      <c r="M614" s="33" t="e" cm="1">
        <f t="array" aca="1" ref="M614" ca="1">IF(AND(J614=INDIRECT("'["&amp;G614&amp;"]"&amp;E614&amp;"'!"&amp;$Y$2),G614=INDIRECT("'["&amp;G614&amp;"]"&amp;E614&amp;"'!"&amp;$AH$2)),INDIRECT("'["&amp;G614&amp;"]"&amp;E614&amp;"'!"&amp;$Y$3),0)</f>
        <v>#VALUE!</v>
      </c>
      <c r="N614" s="34" t="e" cm="1">
        <f t="array" aca="1" ref="N614" ca="1">IF(AND(G614=INDIRECT("'["&amp;G614&amp;"]"&amp;E614&amp;"'!"&amp;$AH$2),OR(K614=INDIRECT("'["&amp;G614&amp;"]"&amp;E614&amp;"'!"&amp;$Z$2))),INDIRECT("'["&amp;G614&amp;"]"&amp;E614&amp;"'!"&amp;$Z$3),0)</f>
        <v>#VALUE!</v>
      </c>
      <c r="O614" s="34" t="e" cm="1">
        <f t="array" aca="1" ref="O614" ca="1">IF(AND(G614=INDIRECT("'["&amp;G614&amp;"]"&amp;E614&amp;"'!"&amp;$AH$2),OR(L614=INDIRECT("'["&amp;G614&amp;"]"&amp;E614&amp;"'!"&amp;$AA$2))),INDIRECT("'["&amp;G614&amp;"]"&amp;E614&amp;"'!"&amp;$AA$3),0)</f>
        <v>#VALUE!</v>
      </c>
      <c r="P614" s="34" t="e" cm="1">
        <f t="array" aca="1" ref="P614" ca="1">IF(AND(G614=INDIRECT("'["&amp;G614&amp;"]"&amp;E614&amp;"'!"&amp;$AH$2),OR(VALUE(I614)=INDIRECT("'["&amp;G614&amp;"]"&amp;E614&amp;"'!"&amp;$AB$2))),INDIRECT("'["&amp;G614&amp;"]"&amp;E614&amp;"'!"&amp;$AB$3),0)</f>
        <v>#VALUE!</v>
      </c>
      <c r="Q614" s="34" t="e" cm="1">
        <f t="array" aca="1" ref="Q614" ca="1">IF(AND(G614=INDIRECT("'["&amp;G614&amp;"]"&amp;E614&amp;"'!"&amp;$AH$2),OR(VALUE(I614)=INDIRECT("'["&amp;G614&amp;"]"&amp;E614&amp;"'!"&amp;$AC$2))),INDIRECT("'["&amp;G614&amp;"]"&amp;E614&amp;"'!"&amp;$AC$3),0)</f>
        <v>#VALUE!</v>
      </c>
      <c r="R614" s="34" t="e" cm="1">
        <f t="array" aca="1" ref="R614" ca="1">IF(AND(G614=INDIRECT("'["&amp;G614&amp;"]"&amp;E614&amp;"'!"&amp;$AH$2),OR(I614=INDIRECT("'["&amp;G614&amp;"]"&amp;E614&amp;"'!"&amp;$AD$2))),INDIRECT("'["&amp;G614&amp;"]"&amp;E614&amp;"'!"&amp;$AD$3),0)</f>
        <v>#VALUE!</v>
      </c>
      <c r="S614" s="34" t="e" cm="1">
        <f t="array" aca="1" ref="S614" ca="1">IF(AND(G614=INDIRECT("'["&amp;G614&amp;"]"&amp;E614&amp;"'!"&amp;$AH$2),OR(I614=INDIRECT("'["&amp;G614&amp;"]"&amp;E614&amp;"'!"&amp;$AE$2))),INDIRECT("'["&amp;G614&amp;"]"&amp;E614&amp;"'!"&amp;$AE$3),0)</f>
        <v>#VALUE!</v>
      </c>
      <c r="T614" s="35" t="e" cm="1">
        <f t="array" aca="1" ref="T614" ca="1">IF(AND(G614=INDIRECT("'["&amp;G614&amp;"]"&amp;E614&amp;"'!"&amp;$AH$2),OR(I614=INDIRECT("'["&amp;G614&amp;"]"&amp;E614&amp;"'!"&amp;$AF$2))),INDIRECT("'["&amp;G614&amp;"]"&amp;E614&amp;"'!"&amp;$AF$3),0)</f>
        <v>#VALUE!</v>
      </c>
      <c r="U614" s="34" t="e" cm="1">
        <f t="array" aca="1" ref="U614" ca="1">IF(AND(G614=INDIRECT("'["&amp;G614&amp;"]"&amp;E614&amp;"'!"&amp;$AH$2),OR(I614=INDIRECT("'["&amp;G614&amp;"]"&amp;E614&amp;"'!"&amp;$AG$2))),INDIRECT("'["&amp;G614&amp;"]"&amp;E614&amp;"'!"&amp;$AG$3),0)</f>
        <v>#VALUE!</v>
      </c>
      <c r="V614" s="25" t="str">
        <f t="shared" si="167"/>
        <v/>
      </c>
      <c r="W614" s="36" t="e" cm="1">
        <f t="array" aca="1" ref="W614" ca="1">IF(AND(G614=INDIRECT("'["&amp;G614&amp;"]"&amp;E614&amp;"'!"&amp;$AH$2),OR(V614=INDIRECT("'["&amp;G614&amp;"]"&amp;E614&amp;"'!"&amp;$AI$2))),INDIRECT("'["&amp;G614&amp;"]"&amp;E614&amp;"'!"&amp;$AI$3),0)</f>
        <v>#VALUE!</v>
      </c>
      <c r="AJ614" s="25">
        <v>1</v>
      </c>
      <c r="AK614" s="38">
        <f t="shared" ca="1" si="168"/>
        <v>0</v>
      </c>
      <c r="AL614" s="38">
        <f t="shared" ca="1" si="169"/>
        <v>0</v>
      </c>
      <c r="AM614" s="54" t="str">
        <f t="shared" ca="1" si="170"/>
        <v/>
      </c>
      <c r="AN614" s="25" t="e">
        <f t="shared" ca="1" si="171"/>
        <v>#VALUE!</v>
      </c>
      <c r="AO614" s="25" t="e">
        <f t="shared" ca="1" si="172"/>
        <v>#VALUE!</v>
      </c>
      <c r="AQ614" s="46" t="str">
        <f ca="1">IF(AND(C614&lt;&gt;0, C615=0), SUM($C$2:C614)-SUM($AQ$1:AQ613), "")</f>
        <v/>
      </c>
      <c r="AR614" s="46" t="str">
        <f ca="1">IF(AND(AK614&lt;&gt;0, AK615=0), SUM($AK$2:AK614)-SUM($AR$1:AR613), "")</f>
        <v/>
      </c>
    </row>
    <row r="615" spans="1:44" ht="13.15" customHeight="1">
      <c r="A615" s="66"/>
      <c r="B615" s="68" t="str">
        <f t="shared" si="158"/>
        <v/>
      </c>
      <c r="C615" s="55" cm="1">
        <f t="array" aca="1" ref="C615" ca="1">SUM(IF(ISNUMBER(M615:U615),M615:U615,""))</f>
        <v>0</v>
      </c>
      <c r="D615" s="25" t="str">
        <f t="shared" si="159"/>
        <v/>
      </c>
      <c r="E615" s="25" t="e">
        <f t="shared" si="160"/>
        <v>#VALUE!</v>
      </c>
      <c r="F615" s="25" t="str">
        <f t="shared" si="161"/>
        <v/>
      </c>
      <c r="G615" s="25" t="str">
        <f t="shared" si="162"/>
        <v>.xlsx</v>
      </c>
      <c r="H615" s="29" t="e" cm="1">
        <f t="array" aca="1" ref="H615" ca="1">IF(AND(VALUE(E615)=INDIRECT("'["&amp;G615&amp;"]"&amp;E615&amp;"'!"&amp;$X$2),G615=INDIRECT("'["&amp;G615&amp;"]"&amp;E615&amp;"'!"&amp;$X$3)),INDIRECT("'["&amp;G615&amp;"]"&amp;E615&amp;"'!"&amp;$X$1),0)</f>
        <v>#VALUE!</v>
      </c>
      <c r="I615" s="25" t="str">
        <f t="shared" si="163"/>
        <v/>
      </c>
      <c r="J615" s="32" t="str">
        <f t="shared" si="164"/>
        <v/>
      </c>
      <c r="K615" s="25" t="str">
        <f t="shared" si="165"/>
        <v/>
      </c>
      <c r="L615" s="25" t="str">
        <f t="shared" si="166"/>
        <v/>
      </c>
      <c r="M615" s="33" t="e" cm="1">
        <f t="array" aca="1" ref="M615" ca="1">IF(AND(J615=INDIRECT("'["&amp;G615&amp;"]"&amp;E615&amp;"'!"&amp;$Y$2),G615=INDIRECT("'["&amp;G615&amp;"]"&amp;E615&amp;"'!"&amp;$AH$2)),INDIRECT("'["&amp;G615&amp;"]"&amp;E615&amp;"'!"&amp;$Y$3),0)</f>
        <v>#VALUE!</v>
      </c>
      <c r="N615" s="34" t="e" cm="1">
        <f t="array" aca="1" ref="N615" ca="1">IF(AND(G615=INDIRECT("'["&amp;G615&amp;"]"&amp;E615&amp;"'!"&amp;$AH$2),OR(K615=INDIRECT("'["&amp;G615&amp;"]"&amp;E615&amp;"'!"&amp;$Z$2))),INDIRECT("'["&amp;G615&amp;"]"&amp;E615&amp;"'!"&amp;$Z$3),0)</f>
        <v>#VALUE!</v>
      </c>
      <c r="O615" s="34" t="e" cm="1">
        <f t="array" aca="1" ref="O615" ca="1">IF(AND(G615=INDIRECT("'["&amp;G615&amp;"]"&amp;E615&amp;"'!"&amp;$AH$2),OR(L615=INDIRECT("'["&amp;G615&amp;"]"&amp;E615&amp;"'!"&amp;$AA$2))),INDIRECT("'["&amp;G615&amp;"]"&amp;E615&amp;"'!"&amp;$AA$3),0)</f>
        <v>#VALUE!</v>
      </c>
      <c r="P615" s="34" t="e" cm="1">
        <f t="array" aca="1" ref="P615" ca="1">IF(AND(G615=INDIRECT("'["&amp;G615&amp;"]"&amp;E615&amp;"'!"&amp;$AH$2),OR(VALUE(I615)=INDIRECT("'["&amp;G615&amp;"]"&amp;E615&amp;"'!"&amp;$AB$2))),INDIRECT("'["&amp;G615&amp;"]"&amp;E615&amp;"'!"&amp;$AB$3),0)</f>
        <v>#VALUE!</v>
      </c>
      <c r="Q615" s="34" t="e" cm="1">
        <f t="array" aca="1" ref="Q615" ca="1">IF(AND(G615=INDIRECT("'["&amp;G615&amp;"]"&amp;E615&amp;"'!"&amp;$AH$2),OR(VALUE(I615)=INDIRECT("'["&amp;G615&amp;"]"&amp;E615&amp;"'!"&amp;$AC$2))),INDIRECT("'["&amp;G615&amp;"]"&amp;E615&amp;"'!"&amp;$AC$3),0)</f>
        <v>#VALUE!</v>
      </c>
      <c r="R615" s="34" t="e" cm="1">
        <f t="array" aca="1" ref="R615" ca="1">IF(AND(G615=INDIRECT("'["&amp;G615&amp;"]"&amp;E615&amp;"'!"&amp;$AH$2),OR(I615=INDIRECT("'["&amp;G615&amp;"]"&amp;E615&amp;"'!"&amp;$AD$2))),INDIRECT("'["&amp;G615&amp;"]"&amp;E615&amp;"'!"&amp;$AD$3),0)</f>
        <v>#VALUE!</v>
      </c>
      <c r="S615" s="34" t="e" cm="1">
        <f t="array" aca="1" ref="S615" ca="1">IF(AND(G615=INDIRECT("'["&amp;G615&amp;"]"&amp;E615&amp;"'!"&amp;$AH$2),OR(I615=INDIRECT("'["&amp;G615&amp;"]"&amp;E615&amp;"'!"&amp;$AE$2))),INDIRECT("'["&amp;G615&amp;"]"&amp;E615&amp;"'!"&amp;$AE$3),0)</f>
        <v>#VALUE!</v>
      </c>
      <c r="T615" s="35" t="e" cm="1">
        <f t="array" aca="1" ref="T615" ca="1">IF(AND(G615=INDIRECT("'["&amp;G615&amp;"]"&amp;E615&amp;"'!"&amp;$AH$2),OR(I615=INDIRECT("'["&amp;G615&amp;"]"&amp;E615&amp;"'!"&amp;$AF$2))),INDIRECT("'["&amp;G615&amp;"]"&amp;E615&amp;"'!"&amp;$AF$3),0)</f>
        <v>#VALUE!</v>
      </c>
      <c r="U615" s="34" t="e" cm="1">
        <f t="array" aca="1" ref="U615" ca="1">IF(AND(G615=INDIRECT("'["&amp;G615&amp;"]"&amp;E615&amp;"'!"&amp;$AH$2),OR(I615=INDIRECT("'["&amp;G615&amp;"]"&amp;E615&amp;"'!"&amp;$AG$2))),INDIRECT("'["&amp;G615&amp;"]"&amp;E615&amp;"'!"&amp;$AG$3),0)</f>
        <v>#VALUE!</v>
      </c>
      <c r="V615" s="25" t="str">
        <f t="shared" si="167"/>
        <v/>
      </c>
      <c r="W615" s="36" t="e" cm="1">
        <f t="array" aca="1" ref="W615" ca="1">IF(AND(G615=INDIRECT("'["&amp;G615&amp;"]"&amp;E615&amp;"'!"&amp;$AH$2),OR(V615=INDIRECT("'["&amp;G615&amp;"]"&amp;E615&amp;"'!"&amp;$AI$2))),INDIRECT("'["&amp;G615&amp;"]"&amp;E615&amp;"'!"&amp;$AI$3),0)</f>
        <v>#VALUE!</v>
      </c>
      <c r="AJ615" s="25">
        <v>1</v>
      </c>
      <c r="AK615" s="38">
        <f t="shared" ca="1" si="168"/>
        <v>0</v>
      </c>
      <c r="AL615" s="38">
        <f t="shared" ca="1" si="169"/>
        <v>0</v>
      </c>
      <c r="AM615" s="54" t="str">
        <f t="shared" ca="1" si="170"/>
        <v/>
      </c>
      <c r="AN615" s="25" t="e">
        <f t="shared" ca="1" si="171"/>
        <v>#VALUE!</v>
      </c>
      <c r="AO615" s="25" t="e">
        <f t="shared" ca="1" si="172"/>
        <v>#VALUE!</v>
      </c>
      <c r="AQ615" s="46" t="str">
        <f ca="1">IF(AND(C615&lt;&gt;0, C616=0), SUM($C$2:C615)-SUM($AQ$1:AQ614), "")</f>
        <v/>
      </c>
      <c r="AR615" s="46" t="str">
        <f ca="1">IF(AND(AK615&lt;&gt;0, AK616=0), SUM($AK$2:AK615)-SUM($AR$1:AR614), "")</f>
        <v/>
      </c>
    </row>
    <row r="616" spans="1:44" ht="13.15" customHeight="1">
      <c r="B616" s="68" t="str">
        <f t="shared" si="158"/>
        <v/>
      </c>
      <c r="C616" s="55" cm="1">
        <f t="array" aca="1" ref="C616" ca="1">SUM(IF(ISNUMBER(M616:U616),M616:U616,""))</f>
        <v>0</v>
      </c>
      <c r="D616" s="25" t="str">
        <f t="shared" si="159"/>
        <v/>
      </c>
      <c r="E616" s="25" t="e">
        <f t="shared" si="160"/>
        <v>#VALUE!</v>
      </c>
      <c r="F616" s="25" t="str">
        <f t="shared" si="161"/>
        <v/>
      </c>
      <c r="G616" s="25" t="str">
        <f t="shared" si="162"/>
        <v>.xlsx</v>
      </c>
      <c r="H616" s="29" t="e" cm="1">
        <f t="array" aca="1" ref="H616" ca="1">IF(AND(VALUE(E616)=INDIRECT("'["&amp;G616&amp;"]"&amp;E616&amp;"'!"&amp;$X$2),G616=INDIRECT("'["&amp;G616&amp;"]"&amp;E616&amp;"'!"&amp;$X$3)),INDIRECT("'["&amp;G616&amp;"]"&amp;E616&amp;"'!"&amp;$X$1),0)</f>
        <v>#VALUE!</v>
      </c>
      <c r="I616" s="25" t="str">
        <f t="shared" si="163"/>
        <v/>
      </c>
      <c r="J616" s="32" t="str">
        <f t="shared" si="164"/>
        <v/>
      </c>
      <c r="K616" s="25" t="str">
        <f t="shared" si="165"/>
        <v/>
      </c>
      <c r="L616" s="25" t="str">
        <f t="shared" si="166"/>
        <v/>
      </c>
      <c r="M616" s="33" t="e" cm="1">
        <f t="array" aca="1" ref="M616" ca="1">IF(AND(J616=INDIRECT("'["&amp;G616&amp;"]"&amp;E616&amp;"'!"&amp;$Y$2),G616=INDIRECT("'["&amp;G616&amp;"]"&amp;E616&amp;"'!"&amp;$AH$2)),INDIRECT("'["&amp;G616&amp;"]"&amp;E616&amp;"'!"&amp;$Y$3),0)</f>
        <v>#VALUE!</v>
      </c>
      <c r="N616" s="34" t="e" cm="1">
        <f t="array" aca="1" ref="N616" ca="1">IF(AND(G616=INDIRECT("'["&amp;G616&amp;"]"&amp;E616&amp;"'!"&amp;$AH$2),OR(K616=INDIRECT("'["&amp;G616&amp;"]"&amp;E616&amp;"'!"&amp;$Z$2))),INDIRECT("'["&amp;G616&amp;"]"&amp;E616&amp;"'!"&amp;$Z$3),0)</f>
        <v>#VALUE!</v>
      </c>
      <c r="O616" s="34" t="e" cm="1">
        <f t="array" aca="1" ref="O616" ca="1">IF(AND(G616=INDIRECT("'["&amp;G616&amp;"]"&amp;E616&amp;"'!"&amp;$AH$2),OR(L616=INDIRECT("'["&amp;G616&amp;"]"&amp;E616&amp;"'!"&amp;$AA$2))),INDIRECT("'["&amp;G616&amp;"]"&amp;E616&amp;"'!"&amp;$AA$3),0)</f>
        <v>#VALUE!</v>
      </c>
      <c r="P616" s="34" t="e" cm="1">
        <f t="array" aca="1" ref="P616" ca="1">IF(AND(G616=INDIRECT("'["&amp;G616&amp;"]"&amp;E616&amp;"'!"&amp;$AH$2),OR(VALUE(I616)=INDIRECT("'["&amp;G616&amp;"]"&amp;E616&amp;"'!"&amp;$AB$2))),INDIRECT("'["&amp;G616&amp;"]"&amp;E616&amp;"'!"&amp;$AB$3),0)</f>
        <v>#VALUE!</v>
      </c>
      <c r="Q616" s="34" t="e" cm="1">
        <f t="array" aca="1" ref="Q616" ca="1">IF(AND(G616=INDIRECT("'["&amp;G616&amp;"]"&amp;E616&amp;"'!"&amp;$AH$2),OR(VALUE(I616)=INDIRECT("'["&amp;G616&amp;"]"&amp;E616&amp;"'!"&amp;$AC$2))),INDIRECT("'["&amp;G616&amp;"]"&amp;E616&amp;"'!"&amp;$AC$3),0)</f>
        <v>#VALUE!</v>
      </c>
      <c r="R616" s="34" t="e" cm="1">
        <f t="array" aca="1" ref="R616" ca="1">IF(AND(G616=INDIRECT("'["&amp;G616&amp;"]"&amp;E616&amp;"'!"&amp;$AH$2),OR(I616=INDIRECT("'["&amp;G616&amp;"]"&amp;E616&amp;"'!"&amp;$AD$2))),INDIRECT("'["&amp;G616&amp;"]"&amp;E616&amp;"'!"&amp;$AD$3),0)</f>
        <v>#VALUE!</v>
      </c>
      <c r="S616" s="34" t="e" cm="1">
        <f t="array" aca="1" ref="S616" ca="1">IF(AND(G616=INDIRECT("'["&amp;G616&amp;"]"&amp;E616&amp;"'!"&amp;$AH$2),OR(I616=INDIRECT("'["&amp;G616&amp;"]"&amp;E616&amp;"'!"&amp;$AE$2))),INDIRECT("'["&amp;G616&amp;"]"&amp;E616&amp;"'!"&amp;$AE$3),0)</f>
        <v>#VALUE!</v>
      </c>
      <c r="T616" s="35" t="e" cm="1">
        <f t="array" aca="1" ref="T616" ca="1">IF(AND(G616=INDIRECT("'["&amp;G616&amp;"]"&amp;E616&amp;"'!"&amp;$AH$2),OR(I616=INDIRECT("'["&amp;G616&amp;"]"&amp;E616&amp;"'!"&amp;$AF$2))),INDIRECT("'["&amp;G616&amp;"]"&amp;E616&amp;"'!"&amp;$AF$3),0)</f>
        <v>#VALUE!</v>
      </c>
      <c r="U616" s="34" t="e" cm="1">
        <f t="array" aca="1" ref="U616" ca="1">IF(AND(G616=INDIRECT("'["&amp;G616&amp;"]"&amp;E616&amp;"'!"&amp;$AH$2),OR(I616=INDIRECT("'["&amp;G616&amp;"]"&amp;E616&amp;"'!"&amp;$AG$2))),INDIRECT("'["&amp;G616&amp;"]"&amp;E616&amp;"'!"&amp;$AG$3),0)</f>
        <v>#VALUE!</v>
      </c>
      <c r="V616" s="25" t="str">
        <f t="shared" si="167"/>
        <v/>
      </c>
      <c r="W616" s="36" t="e" cm="1">
        <f t="array" aca="1" ref="W616" ca="1">IF(AND(G616=INDIRECT("'["&amp;G616&amp;"]"&amp;E616&amp;"'!"&amp;$AH$2),OR(V616=INDIRECT("'["&amp;G616&amp;"]"&amp;E616&amp;"'!"&amp;$AI$2))),INDIRECT("'["&amp;G616&amp;"]"&amp;E616&amp;"'!"&amp;$AI$3),0)</f>
        <v>#VALUE!</v>
      </c>
      <c r="AJ616" s="25">
        <v>1</v>
      </c>
      <c r="AK616" s="38">
        <f t="shared" ca="1" si="168"/>
        <v>0</v>
      </c>
      <c r="AL616" s="38">
        <f t="shared" ca="1" si="169"/>
        <v>0</v>
      </c>
      <c r="AM616" s="54" t="str">
        <f t="shared" ca="1" si="170"/>
        <v/>
      </c>
      <c r="AN616" s="25" t="e">
        <f t="shared" ca="1" si="171"/>
        <v>#VALUE!</v>
      </c>
      <c r="AO616" s="25" t="e">
        <f t="shared" ca="1" si="172"/>
        <v>#VALUE!</v>
      </c>
      <c r="AQ616" s="46" t="str">
        <f ca="1">IF(AND(C616&lt;&gt;0, C617=0), SUM($C$2:C616)-SUM($AQ$1:AQ615), "")</f>
        <v/>
      </c>
      <c r="AR616" s="46" t="str">
        <f ca="1">IF(AND(AK616&lt;&gt;0, AK617=0), SUM($AK$2:AK616)-SUM($AR$1:AR615), "")</f>
        <v/>
      </c>
    </row>
    <row r="617" spans="1:44" ht="13.15" customHeight="1">
      <c r="B617" s="68" t="str">
        <f t="shared" si="158"/>
        <v/>
      </c>
      <c r="C617" s="55" cm="1">
        <f t="array" aca="1" ref="C617" ca="1">SUM(IF(ISNUMBER(M617:U617),M617:U617,""))</f>
        <v>0</v>
      </c>
      <c r="D617" s="25" t="str">
        <f t="shared" si="159"/>
        <v/>
      </c>
      <c r="E617" s="25" t="e">
        <f t="shared" si="160"/>
        <v>#VALUE!</v>
      </c>
      <c r="F617" s="25" t="str">
        <f t="shared" si="161"/>
        <v/>
      </c>
      <c r="G617" s="25" t="str">
        <f t="shared" si="162"/>
        <v>.xlsx</v>
      </c>
      <c r="H617" s="29" t="e" cm="1">
        <f t="array" aca="1" ref="H617" ca="1">IF(AND(VALUE(E617)=INDIRECT("'["&amp;G617&amp;"]"&amp;E617&amp;"'!"&amp;$X$2),G617=INDIRECT("'["&amp;G617&amp;"]"&amp;E617&amp;"'!"&amp;$X$3)),INDIRECT("'["&amp;G617&amp;"]"&amp;E617&amp;"'!"&amp;$X$1),0)</f>
        <v>#VALUE!</v>
      </c>
      <c r="I617" s="25" t="str">
        <f t="shared" si="163"/>
        <v/>
      </c>
      <c r="J617" s="32" t="str">
        <f t="shared" si="164"/>
        <v/>
      </c>
      <c r="K617" s="25" t="str">
        <f t="shared" si="165"/>
        <v/>
      </c>
      <c r="L617" s="25" t="str">
        <f t="shared" si="166"/>
        <v/>
      </c>
      <c r="M617" s="33" t="e" cm="1">
        <f t="array" aca="1" ref="M617" ca="1">IF(AND(J617=INDIRECT("'["&amp;G617&amp;"]"&amp;E617&amp;"'!"&amp;$Y$2),G617=INDIRECT("'["&amp;G617&amp;"]"&amp;E617&amp;"'!"&amp;$AH$2)),INDIRECT("'["&amp;G617&amp;"]"&amp;E617&amp;"'!"&amp;$Y$3),0)</f>
        <v>#VALUE!</v>
      </c>
      <c r="N617" s="34" t="e" cm="1">
        <f t="array" aca="1" ref="N617" ca="1">IF(AND(G617=INDIRECT("'["&amp;G617&amp;"]"&amp;E617&amp;"'!"&amp;$AH$2),OR(K617=INDIRECT("'["&amp;G617&amp;"]"&amp;E617&amp;"'!"&amp;$Z$2))),INDIRECT("'["&amp;G617&amp;"]"&amp;E617&amp;"'!"&amp;$Z$3),0)</f>
        <v>#VALUE!</v>
      </c>
      <c r="O617" s="34" t="e" cm="1">
        <f t="array" aca="1" ref="O617" ca="1">IF(AND(G617=INDIRECT("'["&amp;G617&amp;"]"&amp;E617&amp;"'!"&amp;$AH$2),OR(L617=INDIRECT("'["&amp;G617&amp;"]"&amp;E617&amp;"'!"&amp;$AA$2))),INDIRECT("'["&amp;G617&amp;"]"&amp;E617&amp;"'!"&amp;$AA$3),0)</f>
        <v>#VALUE!</v>
      </c>
      <c r="P617" s="34" t="e" cm="1">
        <f t="array" aca="1" ref="P617" ca="1">IF(AND(G617=INDIRECT("'["&amp;G617&amp;"]"&amp;E617&amp;"'!"&amp;$AH$2),OR(VALUE(I617)=INDIRECT("'["&amp;G617&amp;"]"&amp;E617&amp;"'!"&amp;$AB$2))),INDIRECT("'["&amp;G617&amp;"]"&amp;E617&amp;"'!"&amp;$AB$3),0)</f>
        <v>#VALUE!</v>
      </c>
      <c r="Q617" s="34" t="e" cm="1">
        <f t="array" aca="1" ref="Q617" ca="1">IF(AND(G617=INDIRECT("'["&amp;G617&amp;"]"&amp;E617&amp;"'!"&amp;$AH$2),OR(VALUE(I617)=INDIRECT("'["&amp;G617&amp;"]"&amp;E617&amp;"'!"&amp;$AC$2))),INDIRECT("'["&amp;G617&amp;"]"&amp;E617&amp;"'!"&amp;$AC$3),0)</f>
        <v>#VALUE!</v>
      </c>
      <c r="R617" s="34" t="e" cm="1">
        <f t="array" aca="1" ref="R617" ca="1">IF(AND(G617=INDIRECT("'["&amp;G617&amp;"]"&amp;E617&amp;"'!"&amp;$AH$2),OR(I617=INDIRECT("'["&amp;G617&amp;"]"&amp;E617&amp;"'!"&amp;$AD$2))),INDIRECT("'["&amp;G617&amp;"]"&amp;E617&amp;"'!"&amp;$AD$3),0)</f>
        <v>#VALUE!</v>
      </c>
      <c r="S617" s="34" t="e" cm="1">
        <f t="array" aca="1" ref="S617" ca="1">IF(AND(G617=INDIRECT("'["&amp;G617&amp;"]"&amp;E617&amp;"'!"&amp;$AH$2),OR(I617=INDIRECT("'["&amp;G617&amp;"]"&amp;E617&amp;"'!"&amp;$AE$2))),INDIRECT("'["&amp;G617&amp;"]"&amp;E617&amp;"'!"&amp;$AE$3),0)</f>
        <v>#VALUE!</v>
      </c>
      <c r="T617" s="35" t="e" cm="1">
        <f t="array" aca="1" ref="T617" ca="1">IF(AND(G617=INDIRECT("'["&amp;G617&amp;"]"&amp;E617&amp;"'!"&amp;$AH$2),OR(I617=INDIRECT("'["&amp;G617&amp;"]"&amp;E617&amp;"'!"&amp;$AF$2))),INDIRECT("'["&amp;G617&amp;"]"&amp;E617&amp;"'!"&amp;$AF$3),0)</f>
        <v>#VALUE!</v>
      </c>
      <c r="U617" s="34" t="e" cm="1">
        <f t="array" aca="1" ref="U617" ca="1">IF(AND(G617=INDIRECT("'["&amp;G617&amp;"]"&amp;E617&amp;"'!"&amp;$AH$2),OR(I617=INDIRECT("'["&amp;G617&amp;"]"&amp;E617&amp;"'!"&amp;$AG$2))),INDIRECT("'["&amp;G617&amp;"]"&amp;E617&amp;"'!"&amp;$AG$3),0)</f>
        <v>#VALUE!</v>
      </c>
      <c r="V617" s="25" t="str">
        <f t="shared" si="167"/>
        <v/>
      </c>
      <c r="W617" s="36" t="e" cm="1">
        <f t="array" aca="1" ref="W617" ca="1">IF(AND(G617=INDIRECT("'["&amp;G617&amp;"]"&amp;E617&amp;"'!"&amp;$AH$2),OR(V617=INDIRECT("'["&amp;G617&amp;"]"&amp;E617&amp;"'!"&amp;$AI$2))),INDIRECT("'["&amp;G617&amp;"]"&amp;E617&amp;"'!"&amp;$AI$3),0)</f>
        <v>#VALUE!</v>
      </c>
      <c r="AJ617" s="25">
        <v>1</v>
      </c>
      <c r="AK617" s="38">
        <f t="shared" ca="1" si="168"/>
        <v>0</v>
      </c>
      <c r="AL617" s="38">
        <f t="shared" ca="1" si="169"/>
        <v>0</v>
      </c>
      <c r="AM617" s="54" t="str">
        <f t="shared" ca="1" si="170"/>
        <v/>
      </c>
      <c r="AN617" s="25" t="e">
        <f t="shared" ca="1" si="171"/>
        <v>#VALUE!</v>
      </c>
      <c r="AO617" s="25" t="e">
        <f t="shared" ca="1" si="172"/>
        <v>#VALUE!</v>
      </c>
      <c r="AQ617" s="46" t="str">
        <f ca="1">IF(AND(C617&lt;&gt;0, C618=0), SUM($C$2:C617)-SUM($AQ$1:AQ616), "")</f>
        <v/>
      </c>
      <c r="AR617" s="46" t="str">
        <f ca="1">IF(AND(AK617&lt;&gt;0, AK618=0), SUM($AK$2:AK617)-SUM($AR$1:AR616), "")</f>
        <v/>
      </c>
    </row>
    <row r="618" spans="1:44" ht="13.15" customHeight="1">
      <c r="B618" s="68" t="str">
        <f t="shared" si="158"/>
        <v/>
      </c>
      <c r="C618" s="55" cm="1">
        <f t="array" aca="1" ref="C618" ca="1">SUM(IF(ISNUMBER(M618:U618),M618:U618,""))</f>
        <v>0</v>
      </c>
      <c r="D618" s="25" t="str">
        <f t="shared" si="159"/>
        <v/>
      </c>
      <c r="E618" s="25" t="e">
        <f t="shared" si="160"/>
        <v>#VALUE!</v>
      </c>
      <c r="F618" s="25" t="str">
        <f t="shared" si="161"/>
        <v/>
      </c>
      <c r="G618" s="25" t="str">
        <f t="shared" si="162"/>
        <v>.xlsx</v>
      </c>
      <c r="H618" s="29" t="e" cm="1">
        <f t="array" aca="1" ref="H618" ca="1">IF(AND(VALUE(E618)=INDIRECT("'["&amp;G618&amp;"]"&amp;E618&amp;"'!"&amp;$X$2),G618=INDIRECT("'["&amp;G618&amp;"]"&amp;E618&amp;"'!"&amp;$X$3)),INDIRECT("'["&amp;G618&amp;"]"&amp;E618&amp;"'!"&amp;$X$1),0)</f>
        <v>#VALUE!</v>
      </c>
      <c r="I618" s="25" t="str">
        <f t="shared" si="163"/>
        <v/>
      </c>
      <c r="J618" s="32" t="str">
        <f t="shared" si="164"/>
        <v/>
      </c>
      <c r="K618" s="25" t="str">
        <f t="shared" si="165"/>
        <v/>
      </c>
      <c r="L618" s="25" t="str">
        <f t="shared" si="166"/>
        <v/>
      </c>
      <c r="M618" s="33" t="e" cm="1">
        <f t="array" aca="1" ref="M618" ca="1">IF(AND(J618=INDIRECT("'["&amp;G618&amp;"]"&amp;E618&amp;"'!"&amp;$Y$2),G618=INDIRECT("'["&amp;G618&amp;"]"&amp;E618&amp;"'!"&amp;$AH$2)),INDIRECT("'["&amp;G618&amp;"]"&amp;E618&amp;"'!"&amp;$Y$3),0)</f>
        <v>#VALUE!</v>
      </c>
      <c r="N618" s="34" t="e" cm="1">
        <f t="array" aca="1" ref="N618" ca="1">IF(AND(G618=INDIRECT("'["&amp;G618&amp;"]"&amp;E618&amp;"'!"&amp;$AH$2),OR(K618=INDIRECT("'["&amp;G618&amp;"]"&amp;E618&amp;"'!"&amp;$Z$2))),INDIRECT("'["&amp;G618&amp;"]"&amp;E618&amp;"'!"&amp;$Z$3),0)</f>
        <v>#VALUE!</v>
      </c>
      <c r="O618" s="34" t="e" cm="1">
        <f t="array" aca="1" ref="O618" ca="1">IF(AND(G618=INDIRECT("'["&amp;G618&amp;"]"&amp;E618&amp;"'!"&amp;$AH$2),OR(L618=INDIRECT("'["&amp;G618&amp;"]"&amp;E618&amp;"'!"&amp;$AA$2))),INDIRECT("'["&amp;G618&amp;"]"&amp;E618&amp;"'!"&amp;$AA$3),0)</f>
        <v>#VALUE!</v>
      </c>
      <c r="P618" s="34" t="e" cm="1">
        <f t="array" aca="1" ref="P618" ca="1">IF(AND(G618=INDIRECT("'["&amp;G618&amp;"]"&amp;E618&amp;"'!"&amp;$AH$2),OR(VALUE(I618)=INDIRECT("'["&amp;G618&amp;"]"&amp;E618&amp;"'!"&amp;$AB$2))),INDIRECT("'["&amp;G618&amp;"]"&amp;E618&amp;"'!"&amp;$AB$3),0)</f>
        <v>#VALUE!</v>
      </c>
      <c r="Q618" s="34" t="e" cm="1">
        <f t="array" aca="1" ref="Q618" ca="1">IF(AND(G618=INDIRECT("'["&amp;G618&amp;"]"&amp;E618&amp;"'!"&amp;$AH$2),OR(VALUE(I618)=INDIRECT("'["&amp;G618&amp;"]"&amp;E618&amp;"'!"&amp;$AC$2))),INDIRECT("'["&amp;G618&amp;"]"&amp;E618&amp;"'!"&amp;$AC$3),0)</f>
        <v>#VALUE!</v>
      </c>
      <c r="R618" s="34" t="e" cm="1">
        <f t="array" aca="1" ref="R618" ca="1">IF(AND(G618=INDIRECT("'["&amp;G618&amp;"]"&amp;E618&amp;"'!"&amp;$AH$2),OR(I618=INDIRECT("'["&amp;G618&amp;"]"&amp;E618&amp;"'!"&amp;$AD$2))),INDIRECT("'["&amp;G618&amp;"]"&amp;E618&amp;"'!"&amp;$AD$3),0)</f>
        <v>#VALUE!</v>
      </c>
      <c r="S618" s="34" t="e" cm="1">
        <f t="array" aca="1" ref="S618" ca="1">IF(AND(G618=INDIRECT("'["&amp;G618&amp;"]"&amp;E618&amp;"'!"&amp;$AH$2),OR(I618=INDIRECT("'["&amp;G618&amp;"]"&amp;E618&amp;"'!"&amp;$AE$2))),INDIRECT("'["&amp;G618&amp;"]"&amp;E618&amp;"'!"&amp;$AE$3),0)</f>
        <v>#VALUE!</v>
      </c>
      <c r="T618" s="35" t="e" cm="1">
        <f t="array" aca="1" ref="T618" ca="1">IF(AND(G618=INDIRECT("'["&amp;G618&amp;"]"&amp;E618&amp;"'!"&amp;$AH$2),OR(I618=INDIRECT("'["&amp;G618&amp;"]"&amp;E618&amp;"'!"&amp;$AF$2))),INDIRECT("'["&amp;G618&amp;"]"&amp;E618&amp;"'!"&amp;$AF$3),0)</f>
        <v>#VALUE!</v>
      </c>
      <c r="U618" s="34" t="e" cm="1">
        <f t="array" aca="1" ref="U618" ca="1">IF(AND(G618=INDIRECT("'["&amp;G618&amp;"]"&amp;E618&amp;"'!"&amp;$AH$2),OR(I618=INDIRECT("'["&amp;G618&amp;"]"&amp;E618&amp;"'!"&amp;$AG$2))),INDIRECT("'["&amp;G618&amp;"]"&amp;E618&amp;"'!"&amp;$AG$3),0)</f>
        <v>#VALUE!</v>
      </c>
      <c r="V618" s="25" t="str">
        <f t="shared" si="167"/>
        <v/>
      </c>
      <c r="W618" s="36" t="e" cm="1">
        <f t="array" aca="1" ref="W618" ca="1">IF(AND(G618=INDIRECT("'["&amp;G618&amp;"]"&amp;E618&amp;"'!"&amp;$AH$2),OR(V618=INDIRECT("'["&amp;G618&amp;"]"&amp;E618&amp;"'!"&amp;$AI$2))),INDIRECT("'["&amp;G618&amp;"]"&amp;E618&amp;"'!"&amp;$AI$3),0)</f>
        <v>#VALUE!</v>
      </c>
      <c r="AJ618" s="25">
        <v>1</v>
      </c>
      <c r="AK618" s="38">
        <f t="shared" ca="1" si="168"/>
        <v>0</v>
      </c>
      <c r="AL618" s="38">
        <f t="shared" ca="1" si="169"/>
        <v>0</v>
      </c>
      <c r="AM618" s="54" t="str">
        <f t="shared" ca="1" si="170"/>
        <v/>
      </c>
      <c r="AN618" s="25" t="e">
        <f t="shared" ca="1" si="171"/>
        <v>#VALUE!</v>
      </c>
      <c r="AO618" s="25" t="e">
        <f t="shared" ca="1" si="172"/>
        <v>#VALUE!</v>
      </c>
      <c r="AQ618" s="46" t="str">
        <f ca="1">IF(AND(C618&lt;&gt;0, C619=0), SUM($C$2:C618)-SUM($AQ$1:AQ617), "")</f>
        <v/>
      </c>
      <c r="AR618" s="46" t="str">
        <f ca="1">IF(AND(AK618&lt;&gt;0, AK619=0), SUM($AK$2:AK618)-SUM($AR$1:AR617), "")</f>
        <v/>
      </c>
    </row>
    <row r="619" spans="1:44" ht="13.15" customHeight="1">
      <c r="B619" s="68" t="str">
        <f t="shared" si="158"/>
        <v/>
      </c>
      <c r="C619" s="55" cm="1">
        <f t="array" aca="1" ref="C619" ca="1">SUM(IF(ISNUMBER(M619:U619),M619:U619,""))</f>
        <v>0</v>
      </c>
      <c r="D619" s="25" t="str">
        <f t="shared" si="159"/>
        <v/>
      </c>
      <c r="E619" s="25" t="e">
        <f t="shared" si="160"/>
        <v>#VALUE!</v>
      </c>
      <c r="F619" s="25" t="str">
        <f t="shared" si="161"/>
        <v/>
      </c>
      <c r="G619" s="25" t="str">
        <f t="shared" si="162"/>
        <v>.xlsx</v>
      </c>
      <c r="H619" s="29" t="e" cm="1">
        <f t="array" aca="1" ref="H619" ca="1">IF(AND(VALUE(E619)=INDIRECT("'["&amp;G619&amp;"]"&amp;E619&amp;"'!"&amp;$X$2),G619=INDIRECT("'["&amp;G619&amp;"]"&amp;E619&amp;"'!"&amp;$X$3)),INDIRECT("'["&amp;G619&amp;"]"&amp;E619&amp;"'!"&amp;$X$1),0)</f>
        <v>#VALUE!</v>
      </c>
      <c r="I619" s="25" t="str">
        <f t="shared" si="163"/>
        <v/>
      </c>
      <c r="J619" s="32" t="str">
        <f t="shared" si="164"/>
        <v/>
      </c>
      <c r="K619" s="25" t="str">
        <f t="shared" si="165"/>
        <v/>
      </c>
      <c r="L619" s="25" t="str">
        <f t="shared" si="166"/>
        <v/>
      </c>
      <c r="M619" s="33" t="e" cm="1">
        <f t="array" aca="1" ref="M619" ca="1">IF(AND(J619=INDIRECT("'["&amp;G619&amp;"]"&amp;E619&amp;"'!"&amp;$Y$2),G619=INDIRECT("'["&amp;G619&amp;"]"&amp;E619&amp;"'!"&amp;$AH$2)),INDIRECT("'["&amp;G619&amp;"]"&amp;E619&amp;"'!"&amp;$Y$3),0)</f>
        <v>#VALUE!</v>
      </c>
      <c r="N619" s="34" t="e" cm="1">
        <f t="array" aca="1" ref="N619" ca="1">IF(AND(G619=INDIRECT("'["&amp;G619&amp;"]"&amp;E619&amp;"'!"&amp;$AH$2),OR(K619=INDIRECT("'["&amp;G619&amp;"]"&amp;E619&amp;"'!"&amp;$Z$2))),INDIRECT("'["&amp;G619&amp;"]"&amp;E619&amp;"'!"&amp;$Z$3),0)</f>
        <v>#VALUE!</v>
      </c>
      <c r="O619" s="34" t="e" cm="1">
        <f t="array" aca="1" ref="O619" ca="1">IF(AND(G619=INDIRECT("'["&amp;G619&amp;"]"&amp;E619&amp;"'!"&amp;$AH$2),OR(L619=INDIRECT("'["&amp;G619&amp;"]"&amp;E619&amp;"'!"&amp;$AA$2))),INDIRECT("'["&amp;G619&amp;"]"&amp;E619&amp;"'!"&amp;$AA$3),0)</f>
        <v>#VALUE!</v>
      </c>
      <c r="P619" s="34" t="e" cm="1">
        <f t="array" aca="1" ref="P619" ca="1">IF(AND(G619=INDIRECT("'["&amp;G619&amp;"]"&amp;E619&amp;"'!"&amp;$AH$2),OR(VALUE(I619)=INDIRECT("'["&amp;G619&amp;"]"&amp;E619&amp;"'!"&amp;$AB$2))),INDIRECT("'["&amp;G619&amp;"]"&amp;E619&amp;"'!"&amp;$AB$3),0)</f>
        <v>#VALUE!</v>
      </c>
      <c r="Q619" s="34" t="e" cm="1">
        <f t="array" aca="1" ref="Q619" ca="1">IF(AND(G619=INDIRECT("'["&amp;G619&amp;"]"&amp;E619&amp;"'!"&amp;$AH$2),OR(VALUE(I619)=INDIRECT("'["&amp;G619&amp;"]"&amp;E619&amp;"'!"&amp;$AC$2))),INDIRECT("'["&amp;G619&amp;"]"&amp;E619&amp;"'!"&amp;$AC$3),0)</f>
        <v>#VALUE!</v>
      </c>
      <c r="R619" s="34" t="e" cm="1">
        <f t="array" aca="1" ref="R619" ca="1">IF(AND(G619=INDIRECT("'["&amp;G619&amp;"]"&amp;E619&amp;"'!"&amp;$AH$2),OR(I619=INDIRECT("'["&amp;G619&amp;"]"&amp;E619&amp;"'!"&amp;$AD$2))),INDIRECT("'["&amp;G619&amp;"]"&amp;E619&amp;"'!"&amp;$AD$3),0)</f>
        <v>#VALUE!</v>
      </c>
      <c r="S619" s="34" t="e" cm="1">
        <f t="array" aca="1" ref="S619" ca="1">IF(AND(G619=INDIRECT("'["&amp;G619&amp;"]"&amp;E619&amp;"'!"&amp;$AH$2),OR(I619=INDIRECT("'["&amp;G619&amp;"]"&amp;E619&amp;"'!"&amp;$AE$2))),INDIRECT("'["&amp;G619&amp;"]"&amp;E619&amp;"'!"&amp;$AE$3),0)</f>
        <v>#VALUE!</v>
      </c>
      <c r="T619" s="35" t="e" cm="1">
        <f t="array" aca="1" ref="T619" ca="1">IF(AND(G619=INDIRECT("'["&amp;G619&amp;"]"&amp;E619&amp;"'!"&amp;$AH$2),OR(I619=INDIRECT("'["&amp;G619&amp;"]"&amp;E619&amp;"'!"&amp;$AF$2))),INDIRECT("'["&amp;G619&amp;"]"&amp;E619&amp;"'!"&amp;$AF$3),0)</f>
        <v>#VALUE!</v>
      </c>
      <c r="U619" s="34" t="e" cm="1">
        <f t="array" aca="1" ref="U619" ca="1">IF(AND(G619=INDIRECT("'["&amp;G619&amp;"]"&amp;E619&amp;"'!"&amp;$AH$2),OR(I619=INDIRECT("'["&amp;G619&amp;"]"&amp;E619&amp;"'!"&amp;$AG$2))),INDIRECT("'["&amp;G619&amp;"]"&amp;E619&amp;"'!"&amp;$AG$3),0)</f>
        <v>#VALUE!</v>
      </c>
      <c r="V619" s="25" t="str">
        <f t="shared" si="167"/>
        <v/>
      </c>
      <c r="W619" s="36" t="e" cm="1">
        <f t="array" aca="1" ref="W619" ca="1">IF(AND(G619=INDIRECT("'["&amp;G619&amp;"]"&amp;E619&amp;"'!"&amp;$AH$2),OR(V619=INDIRECT("'["&amp;G619&amp;"]"&amp;E619&amp;"'!"&amp;$AI$2))),INDIRECT("'["&amp;G619&amp;"]"&amp;E619&amp;"'!"&amp;$AI$3),0)</f>
        <v>#VALUE!</v>
      </c>
      <c r="AJ619" s="25">
        <v>1</v>
      </c>
      <c r="AK619" s="38">
        <f t="shared" ca="1" si="168"/>
        <v>0</v>
      </c>
      <c r="AL619" s="38">
        <f t="shared" ca="1" si="169"/>
        <v>0</v>
      </c>
      <c r="AM619" s="54" t="str">
        <f t="shared" ca="1" si="170"/>
        <v/>
      </c>
      <c r="AN619" s="25" t="e">
        <f t="shared" ca="1" si="171"/>
        <v>#VALUE!</v>
      </c>
      <c r="AO619" s="25" t="e">
        <f t="shared" ca="1" si="172"/>
        <v>#VALUE!</v>
      </c>
      <c r="AQ619" s="46" t="str">
        <f ca="1">IF(AND(C619&lt;&gt;0, C620=0), SUM($C$2:C619)-SUM($AQ$1:AQ618), "")</f>
        <v/>
      </c>
      <c r="AR619" s="46" t="str">
        <f ca="1">IF(AND(AK619&lt;&gt;0, AK620=0), SUM($AK$2:AK619)-SUM($AR$1:AR618), "")</f>
        <v/>
      </c>
    </row>
    <row r="620" spans="1:44" ht="13.15" customHeight="1">
      <c r="B620" s="68" t="str">
        <f t="shared" si="158"/>
        <v/>
      </c>
      <c r="C620" s="55" cm="1">
        <f t="array" aca="1" ref="C620" ca="1">SUM(IF(ISNUMBER(M620:U620),M620:U620,""))</f>
        <v>0</v>
      </c>
      <c r="D620" s="25" t="str">
        <f t="shared" si="159"/>
        <v/>
      </c>
      <c r="E620" s="25" t="e">
        <f t="shared" si="160"/>
        <v>#VALUE!</v>
      </c>
      <c r="F620" s="25" t="str">
        <f t="shared" si="161"/>
        <v/>
      </c>
      <c r="G620" s="25" t="str">
        <f t="shared" si="162"/>
        <v>.xlsx</v>
      </c>
      <c r="H620" s="29" t="e" cm="1">
        <f t="array" aca="1" ref="H620" ca="1">IF(AND(VALUE(E620)=INDIRECT("'["&amp;G620&amp;"]"&amp;E620&amp;"'!"&amp;$X$2),G620=INDIRECT("'["&amp;G620&amp;"]"&amp;E620&amp;"'!"&amp;$X$3)),INDIRECT("'["&amp;G620&amp;"]"&amp;E620&amp;"'!"&amp;$X$1),0)</f>
        <v>#VALUE!</v>
      </c>
      <c r="I620" s="25" t="str">
        <f t="shared" si="163"/>
        <v/>
      </c>
      <c r="J620" s="32" t="str">
        <f t="shared" si="164"/>
        <v/>
      </c>
      <c r="K620" s="25" t="str">
        <f t="shared" si="165"/>
        <v/>
      </c>
      <c r="L620" s="25" t="str">
        <f t="shared" si="166"/>
        <v/>
      </c>
      <c r="M620" s="33" t="e" cm="1">
        <f t="array" aca="1" ref="M620" ca="1">IF(AND(J620=INDIRECT("'["&amp;G620&amp;"]"&amp;E620&amp;"'!"&amp;$Y$2),G620=INDIRECT("'["&amp;G620&amp;"]"&amp;E620&amp;"'!"&amp;$AH$2)),INDIRECT("'["&amp;G620&amp;"]"&amp;E620&amp;"'!"&amp;$Y$3),0)</f>
        <v>#VALUE!</v>
      </c>
      <c r="N620" s="34" t="e" cm="1">
        <f t="array" aca="1" ref="N620" ca="1">IF(AND(G620=INDIRECT("'["&amp;G620&amp;"]"&amp;E620&amp;"'!"&amp;$AH$2),OR(K620=INDIRECT("'["&amp;G620&amp;"]"&amp;E620&amp;"'!"&amp;$Z$2))),INDIRECT("'["&amp;G620&amp;"]"&amp;E620&amp;"'!"&amp;$Z$3),0)</f>
        <v>#VALUE!</v>
      </c>
      <c r="O620" s="34" t="e" cm="1">
        <f t="array" aca="1" ref="O620" ca="1">IF(AND(G620=INDIRECT("'["&amp;G620&amp;"]"&amp;E620&amp;"'!"&amp;$AH$2),OR(L620=INDIRECT("'["&amp;G620&amp;"]"&amp;E620&amp;"'!"&amp;$AA$2))),INDIRECT("'["&amp;G620&amp;"]"&amp;E620&amp;"'!"&amp;$AA$3),0)</f>
        <v>#VALUE!</v>
      </c>
      <c r="P620" s="34" t="e" cm="1">
        <f t="array" aca="1" ref="P620" ca="1">IF(AND(G620=INDIRECT("'["&amp;G620&amp;"]"&amp;E620&amp;"'!"&amp;$AH$2),OR(VALUE(I620)=INDIRECT("'["&amp;G620&amp;"]"&amp;E620&amp;"'!"&amp;$AB$2))),INDIRECT("'["&amp;G620&amp;"]"&amp;E620&amp;"'!"&amp;$AB$3),0)</f>
        <v>#VALUE!</v>
      </c>
      <c r="Q620" s="34" t="e" cm="1">
        <f t="array" aca="1" ref="Q620" ca="1">IF(AND(G620=INDIRECT("'["&amp;G620&amp;"]"&amp;E620&amp;"'!"&amp;$AH$2),OR(VALUE(I620)=INDIRECT("'["&amp;G620&amp;"]"&amp;E620&amp;"'!"&amp;$AC$2))),INDIRECT("'["&amp;G620&amp;"]"&amp;E620&amp;"'!"&amp;$AC$3),0)</f>
        <v>#VALUE!</v>
      </c>
      <c r="R620" s="34" t="e" cm="1">
        <f t="array" aca="1" ref="R620" ca="1">IF(AND(G620=INDIRECT("'["&amp;G620&amp;"]"&amp;E620&amp;"'!"&amp;$AH$2),OR(I620=INDIRECT("'["&amp;G620&amp;"]"&amp;E620&amp;"'!"&amp;$AD$2))),INDIRECT("'["&amp;G620&amp;"]"&amp;E620&amp;"'!"&amp;$AD$3),0)</f>
        <v>#VALUE!</v>
      </c>
      <c r="S620" s="34" t="e" cm="1">
        <f t="array" aca="1" ref="S620" ca="1">IF(AND(G620=INDIRECT("'["&amp;G620&amp;"]"&amp;E620&amp;"'!"&amp;$AH$2),OR(I620=INDIRECT("'["&amp;G620&amp;"]"&amp;E620&amp;"'!"&amp;$AE$2))),INDIRECT("'["&amp;G620&amp;"]"&amp;E620&amp;"'!"&amp;$AE$3),0)</f>
        <v>#VALUE!</v>
      </c>
      <c r="T620" s="35" t="e" cm="1">
        <f t="array" aca="1" ref="T620" ca="1">IF(AND(G620=INDIRECT("'["&amp;G620&amp;"]"&amp;E620&amp;"'!"&amp;$AH$2),OR(I620=INDIRECT("'["&amp;G620&amp;"]"&amp;E620&amp;"'!"&amp;$AF$2))),INDIRECT("'["&amp;G620&amp;"]"&amp;E620&amp;"'!"&amp;$AF$3),0)</f>
        <v>#VALUE!</v>
      </c>
      <c r="U620" s="34" t="e" cm="1">
        <f t="array" aca="1" ref="U620" ca="1">IF(AND(G620=INDIRECT("'["&amp;G620&amp;"]"&amp;E620&amp;"'!"&amp;$AH$2),OR(I620=INDIRECT("'["&amp;G620&amp;"]"&amp;E620&amp;"'!"&amp;$AG$2))),INDIRECT("'["&amp;G620&amp;"]"&amp;E620&amp;"'!"&amp;$AG$3),0)</f>
        <v>#VALUE!</v>
      </c>
      <c r="V620" s="25" t="str">
        <f t="shared" si="167"/>
        <v/>
      </c>
      <c r="W620" s="36" t="e" cm="1">
        <f t="array" aca="1" ref="W620" ca="1">IF(AND(G620=INDIRECT("'["&amp;G620&amp;"]"&amp;E620&amp;"'!"&amp;$AH$2),OR(V620=INDIRECT("'["&amp;G620&amp;"]"&amp;E620&amp;"'!"&amp;$AI$2))),INDIRECT("'["&amp;G620&amp;"]"&amp;E620&amp;"'!"&amp;$AI$3),0)</f>
        <v>#VALUE!</v>
      </c>
      <c r="AJ620" s="25">
        <v>1</v>
      </c>
      <c r="AK620" s="38">
        <f t="shared" ca="1" si="168"/>
        <v>0</v>
      </c>
      <c r="AL620" s="38">
        <f t="shared" ca="1" si="169"/>
        <v>0</v>
      </c>
      <c r="AM620" s="54" t="str">
        <f t="shared" ca="1" si="170"/>
        <v/>
      </c>
      <c r="AN620" s="25" t="e">
        <f t="shared" ca="1" si="171"/>
        <v>#VALUE!</v>
      </c>
      <c r="AO620" s="25" t="e">
        <f t="shared" ca="1" si="172"/>
        <v>#VALUE!</v>
      </c>
      <c r="AQ620" s="46" t="str">
        <f ca="1">IF(AND(C620&lt;&gt;0, C621=0), SUM($C$2:C620)-SUM($AQ$1:AQ619), "")</f>
        <v/>
      </c>
      <c r="AR620" s="46" t="str">
        <f ca="1">IF(AND(AK620&lt;&gt;0, AK621=0), SUM($AK$2:AK620)-SUM($AR$1:AR619), "")</f>
        <v/>
      </c>
    </row>
    <row r="621" spans="1:44" ht="13.15" customHeight="1">
      <c r="B621" s="68" t="str">
        <f t="shared" si="158"/>
        <v/>
      </c>
      <c r="C621" s="55" cm="1">
        <f t="array" aca="1" ref="C621" ca="1">SUM(IF(ISNUMBER(M621:U621),M621:U621,""))</f>
        <v>0</v>
      </c>
      <c r="D621" s="25" t="str">
        <f t="shared" si="159"/>
        <v/>
      </c>
      <c r="E621" s="25" t="e">
        <f t="shared" si="160"/>
        <v>#VALUE!</v>
      </c>
      <c r="F621" s="25" t="str">
        <f t="shared" si="161"/>
        <v/>
      </c>
      <c r="G621" s="25" t="str">
        <f t="shared" si="162"/>
        <v>.xlsx</v>
      </c>
      <c r="H621" s="29" t="e" cm="1">
        <f t="array" aca="1" ref="H621" ca="1">IF(AND(VALUE(E621)=INDIRECT("'["&amp;G621&amp;"]"&amp;E621&amp;"'!"&amp;$X$2),G621=INDIRECT("'["&amp;G621&amp;"]"&amp;E621&amp;"'!"&amp;$X$3)),INDIRECT("'["&amp;G621&amp;"]"&amp;E621&amp;"'!"&amp;$X$1),0)</f>
        <v>#VALUE!</v>
      </c>
      <c r="I621" s="25" t="str">
        <f t="shared" si="163"/>
        <v/>
      </c>
      <c r="J621" s="32" t="str">
        <f t="shared" si="164"/>
        <v/>
      </c>
      <c r="K621" s="25" t="str">
        <f t="shared" si="165"/>
        <v/>
      </c>
      <c r="L621" s="25" t="str">
        <f t="shared" si="166"/>
        <v/>
      </c>
      <c r="M621" s="33" t="e" cm="1">
        <f t="array" aca="1" ref="M621" ca="1">IF(AND(J621=INDIRECT("'["&amp;G621&amp;"]"&amp;E621&amp;"'!"&amp;$Y$2),G621=INDIRECT("'["&amp;G621&amp;"]"&amp;E621&amp;"'!"&amp;$AH$2)),INDIRECT("'["&amp;G621&amp;"]"&amp;E621&amp;"'!"&amp;$Y$3),0)</f>
        <v>#VALUE!</v>
      </c>
      <c r="N621" s="34" t="e" cm="1">
        <f t="array" aca="1" ref="N621" ca="1">IF(AND(G621=INDIRECT("'["&amp;G621&amp;"]"&amp;E621&amp;"'!"&amp;$AH$2),OR(K621=INDIRECT("'["&amp;G621&amp;"]"&amp;E621&amp;"'!"&amp;$Z$2))),INDIRECT("'["&amp;G621&amp;"]"&amp;E621&amp;"'!"&amp;$Z$3),0)</f>
        <v>#VALUE!</v>
      </c>
      <c r="O621" s="34" t="e" cm="1">
        <f t="array" aca="1" ref="O621" ca="1">IF(AND(G621=INDIRECT("'["&amp;G621&amp;"]"&amp;E621&amp;"'!"&amp;$AH$2),OR(L621=INDIRECT("'["&amp;G621&amp;"]"&amp;E621&amp;"'!"&amp;$AA$2))),INDIRECT("'["&amp;G621&amp;"]"&amp;E621&amp;"'!"&amp;$AA$3),0)</f>
        <v>#VALUE!</v>
      </c>
      <c r="P621" s="34" t="e" cm="1">
        <f t="array" aca="1" ref="P621" ca="1">IF(AND(G621=INDIRECT("'["&amp;G621&amp;"]"&amp;E621&amp;"'!"&amp;$AH$2),OR(VALUE(I621)=INDIRECT("'["&amp;G621&amp;"]"&amp;E621&amp;"'!"&amp;$AB$2))),INDIRECT("'["&amp;G621&amp;"]"&amp;E621&amp;"'!"&amp;$AB$3),0)</f>
        <v>#VALUE!</v>
      </c>
      <c r="Q621" s="34" t="e" cm="1">
        <f t="array" aca="1" ref="Q621" ca="1">IF(AND(G621=INDIRECT("'["&amp;G621&amp;"]"&amp;E621&amp;"'!"&amp;$AH$2),OR(VALUE(I621)=INDIRECT("'["&amp;G621&amp;"]"&amp;E621&amp;"'!"&amp;$AC$2))),INDIRECT("'["&amp;G621&amp;"]"&amp;E621&amp;"'!"&amp;$AC$3),0)</f>
        <v>#VALUE!</v>
      </c>
      <c r="R621" s="34" t="e" cm="1">
        <f t="array" aca="1" ref="R621" ca="1">IF(AND(G621=INDIRECT("'["&amp;G621&amp;"]"&amp;E621&amp;"'!"&amp;$AH$2),OR(I621=INDIRECT("'["&amp;G621&amp;"]"&amp;E621&amp;"'!"&amp;$AD$2))),INDIRECT("'["&amp;G621&amp;"]"&amp;E621&amp;"'!"&amp;$AD$3),0)</f>
        <v>#VALUE!</v>
      </c>
      <c r="S621" s="34" t="e" cm="1">
        <f t="array" aca="1" ref="S621" ca="1">IF(AND(G621=INDIRECT("'["&amp;G621&amp;"]"&amp;E621&amp;"'!"&amp;$AH$2),OR(I621=INDIRECT("'["&amp;G621&amp;"]"&amp;E621&amp;"'!"&amp;$AE$2))),INDIRECT("'["&amp;G621&amp;"]"&amp;E621&amp;"'!"&amp;$AE$3),0)</f>
        <v>#VALUE!</v>
      </c>
      <c r="T621" s="35" t="e" cm="1">
        <f t="array" aca="1" ref="T621" ca="1">IF(AND(G621=INDIRECT("'["&amp;G621&amp;"]"&amp;E621&amp;"'!"&amp;$AH$2),OR(I621=INDIRECT("'["&amp;G621&amp;"]"&amp;E621&amp;"'!"&amp;$AF$2))),INDIRECT("'["&amp;G621&amp;"]"&amp;E621&amp;"'!"&amp;$AF$3),0)</f>
        <v>#VALUE!</v>
      </c>
      <c r="U621" s="34" t="e" cm="1">
        <f t="array" aca="1" ref="U621" ca="1">IF(AND(G621=INDIRECT("'["&amp;G621&amp;"]"&amp;E621&amp;"'!"&amp;$AH$2),OR(I621=INDIRECT("'["&amp;G621&amp;"]"&amp;E621&amp;"'!"&amp;$AG$2))),INDIRECT("'["&amp;G621&amp;"]"&amp;E621&amp;"'!"&amp;$AG$3),0)</f>
        <v>#VALUE!</v>
      </c>
      <c r="V621" s="25" t="str">
        <f t="shared" si="167"/>
        <v/>
      </c>
      <c r="W621" s="36" t="e" cm="1">
        <f t="array" aca="1" ref="W621" ca="1">IF(AND(G621=INDIRECT("'["&amp;G621&amp;"]"&amp;E621&amp;"'!"&amp;$AH$2),OR(V621=INDIRECT("'["&amp;G621&amp;"]"&amp;E621&amp;"'!"&amp;$AI$2))),INDIRECT("'["&amp;G621&amp;"]"&amp;E621&amp;"'!"&amp;$AI$3),0)</f>
        <v>#VALUE!</v>
      </c>
      <c r="AJ621" s="25">
        <v>1</v>
      </c>
      <c r="AK621" s="38">
        <f t="shared" ca="1" si="168"/>
        <v>0</v>
      </c>
      <c r="AL621" s="38">
        <f t="shared" ca="1" si="169"/>
        <v>0</v>
      </c>
      <c r="AM621" s="54" t="str">
        <f t="shared" ca="1" si="170"/>
        <v/>
      </c>
      <c r="AN621" s="25" t="e">
        <f t="shared" ca="1" si="171"/>
        <v>#VALUE!</v>
      </c>
      <c r="AO621" s="25" t="e">
        <f t="shared" ca="1" si="172"/>
        <v>#VALUE!</v>
      </c>
      <c r="AQ621" s="46" t="str">
        <f ca="1">IF(AND(C621&lt;&gt;0, C622=0), SUM($C$2:C621)-SUM($AQ$1:AQ620), "")</f>
        <v/>
      </c>
      <c r="AR621" s="46" t="str">
        <f ca="1">IF(AND(AK621&lt;&gt;0, AK622=0), SUM($AK$2:AK621)-SUM($AR$1:AR620), "")</f>
        <v/>
      </c>
    </row>
    <row r="622" spans="1:44" ht="13.15" customHeight="1">
      <c r="B622" s="68" t="str">
        <f t="shared" si="158"/>
        <v/>
      </c>
      <c r="C622" s="55" cm="1">
        <f t="array" aca="1" ref="C622" ca="1">SUM(IF(ISNUMBER(M622:U622),M622:U622,""))</f>
        <v>0</v>
      </c>
      <c r="D622" s="25" t="str">
        <f t="shared" si="159"/>
        <v/>
      </c>
      <c r="E622" s="25" t="e">
        <f t="shared" si="160"/>
        <v>#VALUE!</v>
      </c>
      <c r="F622" s="25" t="str">
        <f t="shared" si="161"/>
        <v/>
      </c>
      <c r="G622" s="25" t="str">
        <f t="shared" si="162"/>
        <v>.xlsx</v>
      </c>
      <c r="H622" s="29" t="e" cm="1">
        <f t="array" aca="1" ref="H622" ca="1">IF(AND(VALUE(E622)=INDIRECT("'["&amp;G622&amp;"]"&amp;E622&amp;"'!"&amp;$X$2),G622=INDIRECT("'["&amp;G622&amp;"]"&amp;E622&amp;"'!"&amp;$X$3)),INDIRECT("'["&amp;G622&amp;"]"&amp;E622&amp;"'!"&amp;$X$1),0)</f>
        <v>#VALUE!</v>
      </c>
      <c r="I622" s="25" t="str">
        <f t="shared" si="163"/>
        <v/>
      </c>
      <c r="J622" s="32" t="str">
        <f t="shared" si="164"/>
        <v/>
      </c>
      <c r="K622" s="25" t="str">
        <f t="shared" si="165"/>
        <v/>
      </c>
      <c r="L622" s="25" t="str">
        <f t="shared" si="166"/>
        <v/>
      </c>
      <c r="M622" s="33" t="e" cm="1">
        <f t="array" aca="1" ref="M622" ca="1">IF(AND(J622=INDIRECT("'["&amp;G622&amp;"]"&amp;E622&amp;"'!"&amp;$Y$2),G622=INDIRECT("'["&amp;G622&amp;"]"&amp;E622&amp;"'!"&amp;$AH$2)),INDIRECT("'["&amp;G622&amp;"]"&amp;E622&amp;"'!"&amp;$Y$3),0)</f>
        <v>#VALUE!</v>
      </c>
      <c r="N622" s="34" t="e" cm="1">
        <f t="array" aca="1" ref="N622" ca="1">IF(AND(G622=INDIRECT("'["&amp;G622&amp;"]"&amp;E622&amp;"'!"&amp;$AH$2),OR(K622=INDIRECT("'["&amp;G622&amp;"]"&amp;E622&amp;"'!"&amp;$Z$2))),INDIRECT("'["&amp;G622&amp;"]"&amp;E622&amp;"'!"&amp;$Z$3),0)</f>
        <v>#VALUE!</v>
      </c>
      <c r="O622" s="34" t="e" cm="1">
        <f t="array" aca="1" ref="O622" ca="1">IF(AND(G622=INDIRECT("'["&amp;G622&amp;"]"&amp;E622&amp;"'!"&amp;$AH$2),OR(L622=INDIRECT("'["&amp;G622&amp;"]"&amp;E622&amp;"'!"&amp;$AA$2))),INDIRECT("'["&amp;G622&amp;"]"&amp;E622&amp;"'!"&amp;$AA$3),0)</f>
        <v>#VALUE!</v>
      </c>
      <c r="P622" s="34" t="e" cm="1">
        <f t="array" aca="1" ref="P622" ca="1">IF(AND(G622=INDIRECT("'["&amp;G622&amp;"]"&amp;E622&amp;"'!"&amp;$AH$2),OR(VALUE(I622)=INDIRECT("'["&amp;G622&amp;"]"&amp;E622&amp;"'!"&amp;$AB$2))),INDIRECT("'["&amp;G622&amp;"]"&amp;E622&amp;"'!"&amp;$AB$3),0)</f>
        <v>#VALUE!</v>
      </c>
      <c r="Q622" s="34" t="e" cm="1">
        <f t="array" aca="1" ref="Q622" ca="1">IF(AND(G622=INDIRECT("'["&amp;G622&amp;"]"&amp;E622&amp;"'!"&amp;$AH$2),OR(VALUE(I622)=INDIRECT("'["&amp;G622&amp;"]"&amp;E622&amp;"'!"&amp;$AC$2))),INDIRECT("'["&amp;G622&amp;"]"&amp;E622&amp;"'!"&amp;$AC$3),0)</f>
        <v>#VALUE!</v>
      </c>
      <c r="R622" s="34" t="e" cm="1">
        <f t="array" aca="1" ref="R622" ca="1">IF(AND(G622=INDIRECT("'["&amp;G622&amp;"]"&amp;E622&amp;"'!"&amp;$AH$2),OR(I622=INDIRECT("'["&amp;G622&amp;"]"&amp;E622&amp;"'!"&amp;$AD$2))),INDIRECT("'["&amp;G622&amp;"]"&amp;E622&amp;"'!"&amp;$AD$3),0)</f>
        <v>#VALUE!</v>
      </c>
      <c r="S622" s="34" t="e" cm="1">
        <f t="array" aca="1" ref="S622" ca="1">IF(AND(G622=INDIRECT("'["&amp;G622&amp;"]"&amp;E622&amp;"'!"&amp;$AH$2),OR(I622=INDIRECT("'["&amp;G622&amp;"]"&amp;E622&amp;"'!"&amp;$AE$2))),INDIRECT("'["&amp;G622&amp;"]"&amp;E622&amp;"'!"&amp;$AE$3),0)</f>
        <v>#VALUE!</v>
      </c>
      <c r="T622" s="35" t="e" cm="1">
        <f t="array" aca="1" ref="T622" ca="1">IF(AND(G622=INDIRECT("'["&amp;G622&amp;"]"&amp;E622&amp;"'!"&amp;$AH$2),OR(I622=INDIRECT("'["&amp;G622&amp;"]"&amp;E622&amp;"'!"&amp;$AF$2))),INDIRECT("'["&amp;G622&amp;"]"&amp;E622&amp;"'!"&amp;$AF$3),0)</f>
        <v>#VALUE!</v>
      </c>
      <c r="U622" s="34" t="e" cm="1">
        <f t="array" aca="1" ref="U622" ca="1">IF(AND(G622=INDIRECT("'["&amp;G622&amp;"]"&amp;E622&amp;"'!"&amp;$AH$2),OR(I622=INDIRECT("'["&amp;G622&amp;"]"&amp;E622&amp;"'!"&amp;$AG$2))),INDIRECT("'["&amp;G622&amp;"]"&amp;E622&amp;"'!"&amp;$AG$3),0)</f>
        <v>#VALUE!</v>
      </c>
      <c r="V622" s="25" t="str">
        <f t="shared" si="167"/>
        <v/>
      </c>
      <c r="W622" s="36" t="e" cm="1">
        <f t="array" aca="1" ref="W622" ca="1">IF(AND(G622=INDIRECT("'["&amp;G622&amp;"]"&amp;E622&amp;"'!"&amp;$AH$2),OR(V622=INDIRECT("'["&amp;G622&amp;"]"&amp;E622&amp;"'!"&amp;$AI$2))),INDIRECT("'["&amp;G622&amp;"]"&amp;E622&amp;"'!"&amp;$AI$3),0)</f>
        <v>#VALUE!</v>
      </c>
      <c r="AJ622" s="25">
        <v>1</v>
      </c>
      <c r="AK622" s="38">
        <f t="shared" ca="1" si="168"/>
        <v>0</v>
      </c>
      <c r="AL622" s="38">
        <f t="shared" ca="1" si="169"/>
        <v>0</v>
      </c>
      <c r="AM622" s="54" t="str">
        <f t="shared" ca="1" si="170"/>
        <v/>
      </c>
      <c r="AN622" s="25" t="e">
        <f t="shared" ca="1" si="171"/>
        <v>#VALUE!</v>
      </c>
      <c r="AO622" s="25" t="e">
        <f t="shared" ca="1" si="172"/>
        <v>#VALUE!</v>
      </c>
      <c r="AQ622" s="46" t="str">
        <f ca="1">IF(AND(C622&lt;&gt;0, C623=0), SUM($C$2:C622)-SUM($AQ$1:AQ621), "")</f>
        <v/>
      </c>
      <c r="AR622" s="46" t="str">
        <f ca="1">IF(AND(AK622&lt;&gt;0, AK623=0), SUM($AK$2:AK622)-SUM($AR$1:AR621), "")</f>
        <v/>
      </c>
    </row>
    <row r="623" spans="1:44" ht="13.15" customHeight="1">
      <c r="B623" s="68" t="str">
        <f t="shared" si="158"/>
        <v/>
      </c>
      <c r="C623" s="55" cm="1">
        <f t="array" aca="1" ref="C623" ca="1">SUM(IF(ISNUMBER(M623:U623),M623:U623,""))</f>
        <v>0</v>
      </c>
      <c r="D623" s="25" t="str">
        <f t="shared" si="159"/>
        <v/>
      </c>
      <c r="E623" s="25" t="e">
        <f t="shared" si="160"/>
        <v>#VALUE!</v>
      </c>
      <c r="F623" s="25" t="str">
        <f t="shared" si="161"/>
        <v/>
      </c>
      <c r="G623" s="25" t="str">
        <f t="shared" si="162"/>
        <v>.xlsx</v>
      </c>
      <c r="H623" s="29" t="e" cm="1">
        <f t="array" aca="1" ref="H623" ca="1">IF(AND(VALUE(E623)=INDIRECT("'["&amp;G623&amp;"]"&amp;E623&amp;"'!"&amp;$X$2),G623=INDIRECT("'["&amp;G623&amp;"]"&amp;E623&amp;"'!"&amp;$X$3)),INDIRECT("'["&amp;G623&amp;"]"&amp;E623&amp;"'!"&amp;$X$1),0)</f>
        <v>#VALUE!</v>
      </c>
      <c r="I623" s="25" t="str">
        <f t="shared" si="163"/>
        <v/>
      </c>
      <c r="J623" s="32" t="str">
        <f t="shared" si="164"/>
        <v/>
      </c>
      <c r="K623" s="25" t="str">
        <f t="shared" si="165"/>
        <v/>
      </c>
      <c r="L623" s="25" t="str">
        <f t="shared" si="166"/>
        <v/>
      </c>
      <c r="M623" s="33" t="e" cm="1">
        <f t="array" aca="1" ref="M623" ca="1">IF(AND(J623=INDIRECT("'["&amp;G623&amp;"]"&amp;E623&amp;"'!"&amp;$Y$2),G623=INDIRECT("'["&amp;G623&amp;"]"&amp;E623&amp;"'!"&amp;$AH$2)),INDIRECT("'["&amp;G623&amp;"]"&amp;E623&amp;"'!"&amp;$Y$3),0)</f>
        <v>#VALUE!</v>
      </c>
      <c r="N623" s="34" t="e" cm="1">
        <f t="array" aca="1" ref="N623" ca="1">IF(AND(G623=INDIRECT("'["&amp;G623&amp;"]"&amp;E623&amp;"'!"&amp;$AH$2),OR(K623=INDIRECT("'["&amp;G623&amp;"]"&amp;E623&amp;"'!"&amp;$Z$2))),INDIRECT("'["&amp;G623&amp;"]"&amp;E623&amp;"'!"&amp;$Z$3),0)</f>
        <v>#VALUE!</v>
      </c>
      <c r="O623" s="34" t="e" cm="1">
        <f t="array" aca="1" ref="O623" ca="1">IF(AND(G623=INDIRECT("'["&amp;G623&amp;"]"&amp;E623&amp;"'!"&amp;$AH$2),OR(L623=INDIRECT("'["&amp;G623&amp;"]"&amp;E623&amp;"'!"&amp;$AA$2))),INDIRECT("'["&amp;G623&amp;"]"&amp;E623&amp;"'!"&amp;$AA$3),0)</f>
        <v>#VALUE!</v>
      </c>
      <c r="P623" s="34" t="e" cm="1">
        <f t="array" aca="1" ref="P623" ca="1">IF(AND(G623=INDIRECT("'["&amp;G623&amp;"]"&amp;E623&amp;"'!"&amp;$AH$2),OR(VALUE(I623)=INDIRECT("'["&amp;G623&amp;"]"&amp;E623&amp;"'!"&amp;$AB$2))),INDIRECT("'["&amp;G623&amp;"]"&amp;E623&amp;"'!"&amp;$AB$3),0)</f>
        <v>#VALUE!</v>
      </c>
      <c r="Q623" s="34" t="e" cm="1">
        <f t="array" aca="1" ref="Q623" ca="1">IF(AND(G623=INDIRECT("'["&amp;G623&amp;"]"&amp;E623&amp;"'!"&amp;$AH$2),OR(VALUE(I623)=INDIRECT("'["&amp;G623&amp;"]"&amp;E623&amp;"'!"&amp;$AC$2))),INDIRECT("'["&amp;G623&amp;"]"&amp;E623&amp;"'!"&amp;$AC$3),0)</f>
        <v>#VALUE!</v>
      </c>
      <c r="R623" s="34" t="e" cm="1">
        <f t="array" aca="1" ref="R623" ca="1">IF(AND(G623=INDIRECT("'["&amp;G623&amp;"]"&amp;E623&amp;"'!"&amp;$AH$2),OR(I623=INDIRECT("'["&amp;G623&amp;"]"&amp;E623&amp;"'!"&amp;$AD$2))),INDIRECT("'["&amp;G623&amp;"]"&amp;E623&amp;"'!"&amp;$AD$3),0)</f>
        <v>#VALUE!</v>
      </c>
      <c r="S623" s="34" t="e" cm="1">
        <f t="array" aca="1" ref="S623" ca="1">IF(AND(G623=INDIRECT("'["&amp;G623&amp;"]"&amp;E623&amp;"'!"&amp;$AH$2),OR(I623=INDIRECT("'["&amp;G623&amp;"]"&amp;E623&amp;"'!"&amp;$AE$2))),INDIRECT("'["&amp;G623&amp;"]"&amp;E623&amp;"'!"&amp;$AE$3),0)</f>
        <v>#VALUE!</v>
      </c>
      <c r="T623" s="35" t="e" cm="1">
        <f t="array" aca="1" ref="T623" ca="1">IF(AND(G623=INDIRECT("'["&amp;G623&amp;"]"&amp;E623&amp;"'!"&amp;$AH$2),OR(I623=INDIRECT("'["&amp;G623&amp;"]"&amp;E623&amp;"'!"&amp;$AF$2))),INDIRECT("'["&amp;G623&amp;"]"&amp;E623&amp;"'!"&amp;$AF$3),0)</f>
        <v>#VALUE!</v>
      </c>
      <c r="U623" s="34" t="e" cm="1">
        <f t="array" aca="1" ref="U623" ca="1">IF(AND(G623=INDIRECT("'["&amp;G623&amp;"]"&amp;E623&amp;"'!"&amp;$AH$2),OR(I623=INDIRECT("'["&amp;G623&amp;"]"&amp;E623&amp;"'!"&amp;$AG$2))),INDIRECT("'["&amp;G623&amp;"]"&amp;E623&amp;"'!"&amp;$AG$3),0)</f>
        <v>#VALUE!</v>
      </c>
      <c r="V623" s="25" t="str">
        <f t="shared" si="167"/>
        <v/>
      </c>
      <c r="W623" s="36" t="e" cm="1">
        <f t="array" aca="1" ref="W623" ca="1">IF(AND(G623=INDIRECT("'["&amp;G623&amp;"]"&amp;E623&amp;"'!"&amp;$AH$2),OR(V623=INDIRECT("'["&amp;G623&amp;"]"&amp;E623&amp;"'!"&amp;$AI$2))),INDIRECT("'["&amp;G623&amp;"]"&amp;E623&amp;"'!"&amp;$AI$3),0)</f>
        <v>#VALUE!</v>
      </c>
      <c r="AJ623" s="25">
        <v>1</v>
      </c>
      <c r="AK623" s="38">
        <f t="shared" ca="1" si="168"/>
        <v>0</v>
      </c>
      <c r="AL623" s="38">
        <f t="shared" ca="1" si="169"/>
        <v>0</v>
      </c>
      <c r="AM623" s="54" t="str">
        <f t="shared" ca="1" si="170"/>
        <v/>
      </c>
      <c r="AN623" s="25" t="e">
        <f t="shared" ca="1" si="171"/>
        <v>#VALUE!</v>
      </c>
      <c r="AO623" s="25" t="e">
        <f t="shared" ca="1" si="172"/>
        <v>#VALUE!</v>
      </c>
      <c r="AQ623" s="46" t="str">
        <f ca="1">IF(AND(C623&lt;&gt;0, C624=0), SUM($C$2:C623)-SUM($AQ$1:AQ622), "")</f>
        <v/>
      </c>
      <c r="AR623" s="46" t="str">
        <f ca="1">IF(AND(AK623&lt;&gt;0, AK624=0), SUM($AK$2:AK623)-SUM($AR$1:AR622), "")</f>
        <v/>
      </c>
    </row>
    <row r="624" spans="1:44" ht="13.15" customHeight="1">
      <c r="B624" s="68" t="str">
        <f t="shared" si="158"/>
        <v/>
      </c>
      <c r="C624" s="55" cm="1">
        <f t="array" aca="1" ref="C624" ca="1">SUM(IF(ISNUMBER(M624:U624),M624:U624,""))</f>
        <v>0</v>
      </c>
      <c r="D624" s="25" t="str">
        <f t="shared" si="159"/>
        <v/>
      </c>
      <c r="E624" s="25" t="e">
        <f t="shared" si="160"/>
        <v>#VALUE!</v>
      </c>
      <c r="F624" s="25" t="str">
        <f t="shared" si="161"/>
        <v/>
      </c>
      <c r="G624" s="25" t="str">
        <f t="shared" si="162"/>
        <v>.xlsx</v>
      </c>
      <c r="H624" s="29" t="e" cm="1">
        <f t="array" aca="1" ref="H624" ca="1">IF(AND(VALUE(E624)=INDIRECT("'["&amp;G624&amp;"]"&amp;E624&amp;"'!"&amp;$X$2),G624=INDIRECT("'["&amp;G624&amp;"]"&amp;E624&amp;"'!"&amp;$X$3)),INDIRECT("'["&amp;G624&amp;"]"&amp;E624&amp;"'!"&amp;$X$1),0)</f>
        <v>#VALUE!</v>
      </c>
      <c r="I624" s="25" t="str">
        <f t="shared" si="163"/>
        <v/>
      </c>
      <c r="J624" s="32" t="str">
        <f t="shared" si="164"/>
        <v/>
      </c>
      <c r="K624" s="25" t="str">
        <f t="shared" si="165"/>
        <v/>
      </c>
      <c r="L624" s="25" t="str">
        <f t="shared" si="166"/>
        <v/>
      </c>
      <c r="M624" s="33" t="e" cm="1">
        <f t="array" aca="1" ref="M624" ca="1">IF(AND(J624=INDIRECT("'["&amp;G624&amp;"]"&amp;E624&amp;"'!"&amp;$Y$2),G624=INDIRECT("'["&amp;G624&amp;"]"&amp;E624&amp;"'!"&amp;$AH$2)),INDIRECT("'["&amp;G624&amp;"]"&amp;E624&amp;"'!"&amp;$Y$3),0)</f>
        <v>#VALUE!</v>
      </c>
      <c r="N624" s="34" t="e" cm="1">
        <f t="array" aca="1" ref="N624" ca="1">IF(AND(G624=INDIRECT("'["&amp;G624&amp;"]"&amp;E624&amp;"'!"&amp;$AH$2),OR(K624=INDIRECT("'["&amp;G624&amp;"]"&amp;E624&amp;"'!"&amp;$Z$2))),INDIRECT("'["&amp;G624&amp;"]"&amp;E624&amp;"'!"&amp;$Z$3),0)</f>
        <v>#VALUE!</v>
      </c>
      <c r="O624" s="34" t="e" cm="1">
        <f t="array" aca="1" ref="O624" ca="1">IF(AND(G624=INDIRECT("'["&amp;G624&amp;"]"&amp;E624&amp;"'!"&amp;$AH$2),OR(L624=INDIRECT("'["&amp;G624&amp;"]"&amp;E624&amp;"'!"&amp;$AA$2))),INDIRECT("'["&amp;G624&amp;"]"&amp;E624&amp;"'!"&amp;$AA$3),0)</f>
        <v>#VALUE!</v>
      </c>
      <c r="P624" s="34" t="e" cm="1">
        <f t="array" aca="1" ref="P624" ca="1">IF(AND(G624=INDIRECT("'["&amp;G624&amp;"]"&amp;E624&amp;"'!"&amp;$AH$2),OR(VALUE(I624)=INDIRECT("'["&amp;G624&amp;"]"&amp;E624&amp;"'!"&amp;$AB$2))),INDIRECT("'["&amp;G624&amp;"]"&amp;E624&amp;"'!"&amp;$AB$3),0)</f>
        <v>#VALUE!</v>
      </c>
      <c r="Q624" s="34" t="e" cm="1">
        <f t="array" aca="1" ref="Q624" ca="1">IF(AND(G624=INDIRECT("'["&amp;G624&amp;"]"&amp;E624&amp;"'!"&amp;$AH$2),OR(VALUE(I624)=INDIRECT("'["&amp;G624&amp;"]"&amp;E624&amp;"'!"&amp;$AC$2))),INDIRECT("'["&amp;G624&amp;"]"&amp;E624&amp;"'!"&amp;$AC$3),0)</f>
        <v>#VALUE!</v>
      </c>
      <c r="R624" s="34" t="e" cm="1">
        <f t="array" aca="1" ref="R624" ca="1">IF(AND(G624=INDIRECT("'["&amp;G624&amp;"]"&amp;E624&amp;"'!"&amp;$AH$2),OR(I624=INDIRECT("'["&amp;G624&amp;"]"&amp;E624&amp;"'!"&amp;$AD$2))),INDIRECT("'["&amp;G624&amp;"]"&amp;E624&amp;"'!"&amp;$AD$3),0)</f>
        <v>#VALUE!</v>
      </c>
      <c r="S624" s="34" t="e" cm="1">
        <f t="array" aca="1" ref="S624" ca="1">IF(AND(G624=INDIRECT("'["&amp;G624&amp;"]"&amp;E624&amp;"'!"&amp;$AH$2),OR(I624=INDIRECT("'["&amp;G624&amp;"]"&amp;E624&amp;"'!"&amp;$AE$2))),INDIRECT("'["&amp;G624&amp;"]"&amp;E624&amp;"'!"&amp;$AE$3),0)</f>
        <v>#VALUE!</v>
      </c>
      <c r="T624" s="35" t="e" cm="1">
        <f t="array" aca="1" ref="T624" ca="1">IF(AND(G624=INDIRECT("'["&amp;G624&amp;"]"&amp;E624&amp;"'!"&amp;$AH$2),OR(I624=INDIRECT("'["&amp;G624&amp;"]"&amp;E624&amp;"'!"&amp;$AF$2))),INDIRECT("'["&amp;G624&amp;"]"&amp;E624&amp;"'!"&amp;$AF$3),0)</f>
        <v>#VALUE!</v>
      </c>
      <c r="U624" s="34" t="e" cm="1">
        <f t="array" aca="1" ref="U624" ca="1">IF(AND(G624=INDIRECT("'["&amp;G624&amp;"]"&amp;E624&amp;"'!"&amp;$AH$2),OR(I624=INDIRECT("'["&amp;G624&amp;"]"&amp;E624&amp;"'!"&amp;$AG$2))),INDIRECT("'["&amp;G624&amp;"]"&amp;E624&amp;"'!"&amp;$AG$3),0)</f>
        <v>#VALUE!</v>
      </c>
      <c r="V624" s="25" t="str">
        <f t="shared" si="167"/>
        <v/>
      </c>
      <c r="W624" s="36" t="e" cm="1">
        <f t="array" aca="1" ref="W624" ca="1">IF(AND(G624=INDIRECT("'["&amp;G624&amp;"]"&amp;E624&amp;"'!"&amp;$AH$2),OR(V624=INDIRECT("'["&amp;G624&amp;"]"&amp;E624&amp;"'!"&amp;$AI$2))),INDIRECT("'["&amp;G624&amp;"]"&amp;E624&amp;"'!"&amp;$AI$3),0)</f>
        <v>#VALUE!</v>
      </c>
      <c r="AJ624" s="25">
        <v>1</v>
      </c>
      <c r="AK624" s="38">
        <f t="shared" ca="1" si="168"/>
        <v>0</v>
      </c>
      <c r="AL624" s="38">
        <f t="shared" ca="1" si="169"/>
        <v>0</v>
      </c>
      <c r="AM624" s="54" t="str">
        <f t="shared" ca="1" si="170"/>
        <v/>
      </c>
      <c r="AN624" s="25" t="e">
        <f t="shared" ca="1" si="171"/>
        <v>#VALUE!</v>
      </c>
      <c r="AO624" s="25" t="e">
        <f t="shared" ca="1" si="172"/>
        <v>#VALUE!</v>
      </c>
      <c r="AQ624" s="46" t="str">
        <f ca="1">IF(AND(C624&lt;&gt;0, C625=0), SUM($C$2:C624)-SUM($AQ$1:AQ623), "")</f>
        <v/>
      </c>
      <c r="AR624" s="46" t="str">
        <f ca="1">IF(AND(AK624&lt;&gt;0, AK625=0), SUM($AK$2:AK624)-SUM($AR$1:AR623), "")</f>
        <v/>
      </c>
    </row>
    <row r="625" spans="2:44" ht="13.15" customHeight="1">
      <c r="B625" s="68" t="str">
        <f t="shared" si="158"/>
        <v/>
      </c>
      <c r="C625" s="55" cm="1">
        <f t="array" aca="1" ref="C625" ca="1">SUM(IF(ISNUMBER(M625:U625),M625:U625,""))</f>
        <v>0</v>
      </c>
      <c r="D625" s="25" t="str">
        <f t="shared" si="159"/>
        <v/>
      </c>
      <c r="E625" s="25" t="e">
        <f t="shared" si="160"/>
        <v>#VALUE!</v>
      </c>
      <c r="F625" s="25" t="str">
        <f t="shared" si="161"/>
        <v/>
      </c>
      <c r="G625" s="25" t="str">
        <f t="shared" si="162"/>
        <v>.xlsx</v>
      </c>
      <c r="H625" s="29" t="e" cm="1">
        <f t="array" aca="1" ref="H625" ca="1">IF(AND(VALUE(E625)=INDIRECT("'["&amp;G625&amp;"]"&amp;E625&amp;"'!"&amp;$X$2),G625=INDIRECT("'["&amp;G625&amp;"]"&amp;E625&amp;"'!"&amp;$X$3)),INDIRECT("'["&amp;G625&amp;"]"&amp;E625&amp;"'!"&amp;$X$1),0)</f>
        <v>#VALUE!</v>
      </c>
      <c r="I625" s="25" t="str">
        <f t="shared" si="163"/>
        <v/>
      </c>
      <c r="J625" s="32" t="str">
        <f t="shared" si="164"/>
        <v/>
      </c>
      <c r="K625" s="25" t="str">
        <f t="shared" si="165"/>
        <v/>
      </c>
      <c r="L625" s="25" t="str">
        <f t="shared" si="166"/>
        <v/>
      </c>
      <c r="M625" s="33" t="e" cm="1">
        <f t="array" aca="1" ref="M625" ca="1">IF(AND(J625=INDIRECT("'["&amp;G625&amp;"]"&amp;E625&amp;"'!"&amp;$Y$2),G625=INDIRECT("'["&amp;G625&amp;"]"&amp;E625&amp;"'!"&amp;$AH$2)),INDIRECT("'["&amp;G625&amp;"]"&amp;E625&amp;"'!"&amp;$Y$3),0)</f>
        <v>#VALUE!</v>
      </c>
      <c r="N625" s="34" t="e" cm="1">
        <f t="array" aca="1" ref="N625" ca="1">IF(AND(G625=INDIRECT("'["&amp;G625&amp;"]"&amp;E625&amp;"'!"&amp;$AH$2),OR(K625=INDIRECT("'["&amp;G625&amp;"]"&amp;E625&amp;"'!"&amp;$Z$2))),INDIRECT("'["&amp;G625&amp;"]"&amp;E625&amp;"'!"&amp;$Z$3),0)</f>
        <v>#VALUE!</v>
      </c>
      <c r="O625" s="34" t="e" cm="1">
        <f t="array" aca="1" ref="O625" ca="1">IF(AND(G625=INDIRECT("'["&amp;G625&amp;"]"&amp;E625&amp;"'!"&amp;$AH$2),OR(L625=INDIRECT("'["&amp;G625&amp;"]"&amp;E625&amp;"'!"&amp;$AA$2))),INDIRECT("'["&amp;G625&amp;"]"&amp;E625&amp;"'!"&amp;$AA$3),0)</f>
        <v>#VALUE!</v>
      </c>
      <c r="P625" s="34" t="e" cm="1">
        <f t="array" aca="1" ref="P625" ca="1">IF(AND(G625=INDIRECT("'["&amp;G625&amp;"]"&amp;E625&amp;"'!"&amp;$AH$2),OR(VALUE(I625)=INDIRECT("'["&amp;G625&amp;"]"&amp;E625&amp;"'!"&amp;$AB$2))),INDIRECT("'["&amp;G625&amp;"]"&amp;E625&amp;"'!"&amp;$AB$3),0)</f>
        <v>#VALUE!</v>
      </c>
      <c r="Q625" s="34" t="e" cm="1">
        <f t="array" aca="1" ref="Q625" ca="1">IF(AND(G625=INDIRECT("'["&amp;G625&amp;"]"&amp;E625&amp;"'!"&amp;$AH$2),OR(VALUE(I625)=INDIRECT("'["&amp;G625&amp;"]"&amp;E625&amp;"'!"&amp;$AC$2))),INDIRECT("'["&amp;G625&amp;"]"&amp;E625&amp;"'!"&amp;$AC$3),0)</f>
        <v>#VALUE!</v>
      </c>
      <c r="R625" s="34" t="e" cm="1">
        <f t="array" aca="1" ref="R625" ca="1">IF(AND(G625=INDIRECT("'["&amp;G625&amp;"]"&amp;E625&amp;"'!"&amp;$AH$2),OR(I625=INDIRECT("'["&amp;G625&amp;"]"&amp;E625&amp;"'!"&amp;$AD$2))),INDIRECT("'["&amp;G625&amp;"]"&amp;E625&amp;"'!"&amp;$AD$3),0)</f>
        <v>#VALUE!</v>
      </c>
      <c r="S625" s="34" t="e" cm="1">
        <f t="array" aca="1" ref="S625" ca="1">IF(AND(G625=INDIRECT("'["&amp;G625&amp;"]"&amp;E625&amp;"'!"&amp;$AH$2),OR(I625=INDIRECT("'["&amp;G625&amp;"]"&amp;E625&amp;"'!"&amp;$AE$2))),INDIRECT("'["&amp;G625&amp;"]"&amp;E625&amp;"'!"&amp;$AE$3),0)</f>
        <v>#VALUE!</v>
      </c>
      <c r="T625" s="35" t="e" cm="1">
        <f t="array" aca="1" ref="T625" ca="1">IF(AND(G625=INDIRECT("'["&amp;G625&amp;"]"&amp;E625&amp;"'!"&amp;$AH$2),OR(I625=INDIRECT("'["&amp;G625&amp;"]"&amp;E625&amp;"'!"&amp;$AF$2))),INDIRECT("'["&amp;G625&amp;"]"&amp;E625&amp;"'!"&amp;$AF$3),0)</f>
        <v>#VALUE!</v>
      </c>
      <c r="U625" s="34" t="e" cm="1">
        <f t="array" aca="1" ref="U625" ca="1">IF(AND(G625=INDIRECT("'["&amp;G625&amp;"]"&amp;E625&amp;"'!"&amp;$AH$2),OR(I625=INDIRECT("'["&amp;G625&amp;"]"&amp;E625&amp;"'!"&amp;$AG$2))),INDIRECT("'["&amp;G625&amp;"]"&amp;E625&amp;"'!"&amp;$AG$3),0)</f>
        <v>#VALUE!</v>
      </c>
      <c r="V625" s="25" t="str">
        <f t="shared" si="167"/>
        <v/>
      </c>
      <c r="W625" s="36" t="e" cm="1">
        <f t="array" aca="1" ref="W625" ca="1">IF(AND(G625=INDIRECT("'["&amp;G625&amp;"]"&amp;E625&amp;"'!"&amp;$AH$2),OR(V625=INDIRECT("'["&amp;G625&amp;"]"&amp;E625&amp;"'!"&amp;$AI$2))),INDIRECT("'["&amp;G625&amp;"]"&amp;E625&amp;"'!"&amp;$AI$3),0)</f>
        <v>#VALUE!</v>
      </c>
      <c r="AJ625" s="25">
        <v>1</v>
      </c>
      <c r="AK625" s="38">
        <f t="shared" ca="1" si="168"/>
        <v>0</v>
      </c>
      <c r="AL625" s="38">
        <f t="shared" ca="1" si="169"/>
        <v>0</v>
      </c>
      <c r="AM625" s="54" t="str">
        <f t="shared" ca="1" si="170"/>
        <v/>
      </c>
      <c r="AN625" s="25" t="e">
        <f t="shared" ca="1" si="171"/>
        <v>#VALUE!</v>
      </c>
      <c r="AO625" s="25" t="e">
        <f t="shared" ca="1" si="172"/>
        <v>#VALUE!</v>
      </c>
      <c r="AQ625" s="46" t="str">
        <f ca="1">IF(AND(C625&lt;&gt;0, C626=0), SUM($C$2:C625)-SUM($AQ$1:AQ624), "")</f>
        <v/>
      </c>
      <c r="AR625" s="46" t="str">
        <f ca="1">IF(AND(AK625&lt;&gt;0, AK626=0), SUM($AK$2:AK625)-SUM($AR$1:AR624), "")</f>
        <v/>
      </c>
    </row>
    <row r="626" spans="2:44" ht="13.15" customHeight="1">
      <c r="B626" s="68" t="str">
        <f t="shared" si="158"/>
        <v/>
      </c>
      <c r="C626" s="55" cm="1">
        <f t="array" aca="1" ref="C626" ca="1">SUM(IF(ISNUMBER(M626:U626),M626:U626,""))</f>
        <v>0</v>
      </c>
      <c r="D626" s="25" t="str">
        <f t="shared" si="159"/>
        <v/>
      </c>
      <c r="E626" s="25" t="e">
        <f t="shared" si="160"/>
        <v>#VALUE!</v>
      </c>
      <c r="F626" s="25" t="str">
        <f t="shared" si="161"/>
        <v/>
      </c>
      <c r="G626" s="25" t="str">
        <f t="shared" si="162"/>
        <v>.xlsx</v>
      </c>
      <c r="H626" s="29" t="e" cm="1">
        <f t="array" aca="1" ref="H626" ca="1">IF(AND(VALUE(E626)=INDIRECT("'["&amp;G626&amp;"]"&amp;E626&amp;"'!"&amp;$X$2),G626=INDIRECT("'["&amp;G626&amp;"]"&amp;E626&amp;"'!"&amp;$X$3)),INDIRECT("'["&amp;G626&amp;"]"&amp;E626&amp;"'!"&amp;$X$1),0)</f>
        <v>#VALUE!</v>
      </c>
      <c r="I626" s="25" t="str">
        <f t="shared" si="163"/>
        <v/>
      </c>
      <c r="J626" s="32" t="str">
        <f t="shared" si="164"/>
        <v/>
      </c>
      <c r="K626" s="25" t="str">
        <f t="shared" si="165"/>
        <v/>
      </c>
      <c r="L626" s="25" t="str">
        <f t="shared" si="166"/>
        <v/>
      </c>
      <c r="M626" s="33" t="e" cm="1">
        <f t="array" aca="1" ref="M626" ca="1">IF(AND(J626=INDIRECT("'["&amp;G626&amp;"]"&amp;E626&amp;"'!"&amp;$Y$2),G626=INDIRECT("'["&amp;G626&amp;"]"&amp;E626&amp;"'!"&amp;$AH$2)),INDIRECT("'["&amp;G626&amp;"]"&amp;E626&amp;"'!"&amp;$Y$3),0)</f>
        <v>#VALUE!</v>
      </c>
      <c r="N626" s="34" t="e" cm="1">
        <f t="array" aca="1" ref="N626" ca="1">IF(AND(G626=INDIRECT("'["&amp;G626&amp;"]"&amp;E626&amp;"'!"&amp;$AH$2),OR(K626=INDIRECT("'["&amp;G626&amp;"]"&amp;E626&amp;"'!"&amp;$Z$2))),INDIRECT("'["&amp;G626&amp;"]"&amp;E626&amp;"'!"&amp;$Z$3),0)</f>
        <v>#VALUE!</v>
      </c>
      <c r="O626" s="34" t="e" cm="1">
        <f t="array" aca="1" ref="O626" ca="1">IF(AND(G626=INDIRECT("'["&amp;G626&amp;"]"&amp;E626&amp;"'!"&amp;$AH$2),OR(L626=INDIRECT("'["&amp;G626&amp;"]"&amp;E626&amp;"'!"&amp;$AA$2))),INDIRECT("'["&amp;G626&amp;"]"&amp;E626&amp;"'!"&amp;$AA$3),0)</f>
        <v>#VALUE!</v>
      </c>
      <c r="P626" s="34" t="e" cm="1">
        <f t="array" aca="1" ref="P626" ca="1">IF(AND(G626=INDIRECT("'["&amp;G626&amp;"]"&amp;E626&amp;"'!"&amp;$AH$2),OR(VALUE(I626)=INDIRECT("'["&amp;G626&amp;"]"&amp;E626&amp;"'!"&amp;$AB$2))),INDIRECT("'["&amp;G626&amp;"]"&amp;E626&amp;"'!"&amp;$AB$3),0)</f>
        <v>#VALUE!</v>
      </c>
      <c r="Q626" s="34" t="e" cm="1">
        <f t="array" aca="1" ref="Q626" ca="1">IF(AND(G626=INDIRECT("'["&amp;G626&amp;"]"&amp;E626&amp;"'!"&amp;$AH$2),OR(VALUE(I626)=INDIRECT("'["&amp;G626&amp;"]"&amp;E626&amp;"'!"&amp;$AC$2))),INDIRECT("'["&amp;G626&amp;"]"&amp;E626&amp;"'!"&amp;$AC$3),0)</f>
        <v>#VALUE!</v>
      </c>
      <c r="R626" s="34" t="e" cm="1">
        <f t="array" aca="1" ref="R626" ca="1">IF(AND(G626=INDIRECT("'["&amp;G626&amp;"]"&amp;E626&amp;"'!"&amp;$AH$2),OR(I626=INDIRECT("'["&amp;G626&amp;"]"&amp;E626&amp;"'!"&amp;$AD$2))),INDIRECT("'["&amp;G626&amp;"]"&amp;E626&amp;"'!"&amp;$AD$3),0)</f>
        <v>#VALUE!</v>
      </c>
      <c r="S626" s="34" t="e" cm="1">
        <f t="array" aca="1" ref="S626" ca="1">IF(AND(G626=INDIRECT("'["&amp;G626&amp;"]"&amp;E626&amp;"'!"&amp;$AH$2),OR(I626=INDIRECT("'["&amp;G626&amp;"]"&amp;E626&amp;"'!"&amp;$AE$2))),INDIRECT("'["&amp;G626&amp;"]"&amp;E626&amp;"'!"&amp;$AE$3),0)</f>
        <v>#VALUE!</v>
      </c>
      <c r="T626" s="35" t="e" cm="1">
        <f t="array" aca="1" ref="T626" ca="1">IF(AND(G626=INDIRECT("'["&amp;G626&amp;"]"&amp;E626&amp;"'!"&amp;$AH$2),OR(I626=INDIRECT("'["&amp;G626&amp;"]"&amp;E626&amp;"'!"&amp;$AF$2))),INDIRECT("'["&amp;G626&amp;"]"&amp;E626&amp;"'!"&amp;$AF$3),0)</f>
        <v>#VALUE!</v>
      </c>
      <c r="U626" s="34" t="e" cm="1">
        <f t="array" aca="1" ref="U626" ca="1">IF(AND(G626=INDIRECT("'["&amp;G626&amp;"]"&amp;E626&amp;"'!"&amp;$AH$2),OR(I626=INDIRECT("'["&amp;G626&amp;"]"&amp;E626&amp;"'!"&amp;$AG$2))),INDIRECT("'["&amp;G626&amp;"]"&amp;E626&amp;"'!"&amp;$AG$3),0)</f>
        <v>#VALUE!</v>
      </c>
      <c r="V626" s="25" t="str">
        <f t="shared" si="167"/>
        <v/>
      </c>
      <c r="W626" s="36" t="e" cm="1">
        <f t="array" aca="1" ref="W626" ca="1">IF(AND(G626=INDIRECT("'["&amp;G626&amp;"]"&amp;E626&amp;"'!"&amp;$AH$2),OR(V626=INDIRECT("'["&amp;G626&amp;"]"&amp;E626&amp;"'!"&amp;$AI$2))),INDIRECT("'["&amp;G626&amp;"]"&amp;E626&amp;"'!"&amp;$AI$3),0)</f>
        <v>#VALUE!</v>
      </c>
      <c r="AJ626" s="25">
        <v>1</v>
      </c>
      <c r="AK626" s="38">
        <f t="shared" ca="1" si="168"/>
        <v>0</v>
      </c>
      <c r="AL626" s="38">
        <f t="shared" ca="1" si="169"/>
        <v>0</v>
      </c>
      <c r="AM626" s="54" t="str">
        <f t="shared" ca="1" si="170"/>
        <v/>
      </c>
      <c r="AN626" s="25" t="e">
        <f t="shared" ca="1" si="171"/>
        <v>#VALUE!</v>
      </c>
      <c r="AO626" s="25" t="e">
        <f t="shared" ca="1" si="172"/>
        <v>#VALUE!</v>
      </c>
      <c r="AQ626" s="46" t="str">
        <f ca="1">IF(AND(C626&lt;&gt;0, C627=0), SUM($C$2:C626)-SUM($AQ$1:AQ625), "")</f>
        <v/>
      </c>
      <c r="AR626" s="46" t="str">
        <f ca="1">IF(AND(AK626&lt;&gt;0, AK627=0), SUM($AK$2:AK626)-SUM($AR$1:AR625), "")</f>
        <v/>
      </c>
    </row>
    <row r="627" spans="2:44" ht="13.15" customHeight="1">
      <c r="B627" s="68" t="str">
        <f t="shared" si="158"/>
        <v/>
      </c>
      <c r="C627" s="55" cm="1">
        <f t="array" aca="1" ref="C627" ca="1">SUM(IF(ISNUMBER(M627:U627),M627:U627,""))</f>
        <v>0</v>
      </c>
      <c r="D627" s="25" t="str">
        <f t="shared" si="159"/>
        <v/>
      </c>
      <c r="E627" s="25" t="e">
        <f t="shared" si="160"/>
        <v>#VALUE!</v>
      </c>
      <c r="F627" s="25" t="str">
        <f t="shared" si="161"/>
        <v/>
      </c>
      <c r="G627" s="25" t="str">
        <f t="shared" si="162"/>
        <v>.xlsx</v>
      </c>
      <c r="H627" s="29" t="e" cm="1">
        <f t="array" aca="1" ref="H627" ca="1">IF(AND(VALUE(E627)=INDIRECT("'["&amp;G627&amp;"]"&amp;E627&amp;"'!"&amp;$X$2),G627=INDIRECT("'["&amp;G627&amp;"]"&amp;E627&amp;"'!"&amp;$X$3)),INDIRECT("'["&amp;G627&amp;"]"&amp;E627&amp;"'!"&amp;$X$1),0)</f>
        <v>#VALUE!</v>
      </c>
      <c r="I627" s="25" t="str">
        <f t="shared" si="163"/>
        <v/>
      </c>
      <c r="J627" s="32" t="str">
        <f t="shared" si="164"/>
        <v/>
      </c>
      <c r="K627" s="25" t="str">
        <f t="shared" si="165"/>
        <v/>
      </c>
      <c r="L627" s="25" t="str">
        <f t="shared" si="166"/>
        <v/>
      </c>
      <c r="M627" s="33" t="e" cm="1">
        <f t="array" aca="1" ref="M627" ca="1">IF(AND(J627=INDIRECT("'["&amp;G627&amp;"]"&amp;E627&amp;"'!"&amp;$Y$2),G627=INDIRECT("'["&amp;G627&amp;"]"&amp;E627&amp;"'!"&amp;$AH$2)),INDIRECT("'["&amp;G627&amp;"]"&amp;E627&amp;"'!"&amp;$Y$3),0)</f>
        <v>#VALUE!</v>
      </c>
      <c r="N627" s="34" t="e" cm="1">
        <f t="array" aca="1" ref="N627" ca="1">IF(AND(G627=INDIRECT("'["&amp;G627&amp;"]"&amp;E627&amp;"'!"&amp;$AH$2),OR(K627=INDIRECT("'["&amp;G627&amp;"]"&amp;E627&amp;"'!"&amp;$Z$2))),INDIRECT("'["&amp;G627&amp;"]"&amp;E627&amp;"'!"&amp;$Z$3),0)</f>
        <v>#VALUE!</v>
      </c>
      <c r="O627" s="34" t="e" cm="1">
        <f t="array" aca="1" ref="O627" ca="1">IF(AND(G627=INDIRECT("'["&amp;G627&amp;"]"&amp;E627&amp;"'!"&amp;$AH$2),OR(L627=INDIRECT("'["&amp;G627&amp;"]"&amp;E627&amp;"'!"&amp;$AA$2))),INDIRECT("'["&amp;G627&amp;"]"&amp;E627&amp;"'!"&amp;$AA$3),0)</f>
        <v>#VALUE!</v>
      </c>
      <c r="P627" s="34" t="e" cm="1">
        <f t="array" aca="1" ref="P627" ca="1">IF(AND(G627=INDIRECT("'["&amp;G627&amp;"]"&amp;E627&amp;"'!"&amp;$AH$2),OR(VALUE(I627)=INDIRECT("'["&amp;G627&amp;"]"&amp;E627&amp;"'!"&amp;$AB$2))),INDIRECT("'["&amp;G627&amp;"]"&amp;E627&amp;"'!"&amp;$AB$3),0)</f>
        <v>#VALUE!</v>
      </c>
      <c r="Q627" s="34" t="e" cm="1">
        <f t="array" aca="1" ref="Q627" ca="1">IF(AND(G627=INDIRECT("'["&amp;G627&amp;"]"&amp;E627&amp;"'!"&amp;$AH$2),OR(VALUE(I627)=INDIRECT("'["&amp;G627&amp;"]"&amp;E627&amp;"'!"&amp;$AC$2))),INDIRECT("'["&amp;G627&amp;"]"&amp;E627&amp;"'!"&amp;$AC$3),0)</f>
        <v>#VALUE!</v>
      </c>
      <c r="R627" s="34" t="e" cm="1">
        <f t="array" aca="1" ref="R627" ca="1">IF(AND(G627=INDIRECT("'["&amp;G627&amp;"]"&amp;E627&amp;"'!"&amp;$AH$2),OR(I627=INDIRECT("'["&amp;G627&amp;"]"&amp;E627&amp;"'!"&amp;$AD$2))),INDIRECT("'["&amp;G627&amp;"]"&amp;E627&amp;"'!"&amp;$AD$3),0)</f>
        <v>#VALUE!</v>
      </c>
      <c r="S627" s="34" t="e" cm="1">
        <f t="array" aca="1" ref="S627" ca="1">IF(AND(G627=INDIRECT("'["&amp;G627&amp;"]"&amp;E627&amp;"'!"&amp;$AH$2),OR(I627=INDIRECT("'["&amp;G627&amp;"]"&amp;E627&amp;"'!"&amp;$AE$2))),INDIRECT("'["&amp;G627&amp;"]"&amp;E627&amp;"'!"&amp;$AE$3),0)</f>
        <v>#VALUE!</v>
      </c>
      <c r="T627" s="35" t="e" cm="1">
        <f t="array" aca="1" ref="T627" ca="1">IF(AND(G627=INDIRECT("'["&amp;G627&amp;"]"&amp;E627&amp;"'!"&amp;$AH$2),OR(I627=INDIRECT("'["&amp;G627&amp;"]"&amp;E627&amp;"'!"&amp;$AF$2))),INDIRECT("'["&amp;G627&amp;"]"&amp;E627&amp;"'!"&amp;$AF$3),0)</f>
        <v>#VALUE!</v>
      </c>
      <c r="U627" s="34" t="e" cm="1">
        <f t="array" aca="1" ref="U627" ca="1">IF(AND(G627=INDIRECT("'["&amp;G627&amp;"]"&amp;E627&amp;"'!"&amp;$AH$2),OR(I627=INDIRECT("'["&amp;G627&amp;"]"&amp;E627&amp;"'!"&amp;$AG$2))),INDIRECT("'["&amp;G627&amp;"]"&amp;E627&amp;"'!"&amp;$AG$3),0)</f>
        <v>#VALUE!</v>
      </c>
      <c r="V627" s="25" t="str">
        <f t="shared" si="167"/>
        <v/>
      </c>
      <c r="W627" s="36" t="e" cm="1">
        <f t="array" aca="1" ref="W627" ca="1">IF(AND(G627=INDIRECT("'["&amp;G627&amp;"]"&amp;E627&amp;"'!"&amp;$AH$2),OR(V627=INDIRECT("'["&amp;G627&amp;"]"&amp;E627&amp;"'!"&amp;$AI$2))),INDIRECT("'["&amp;G627&amp;"]"&amp;E627&amp;"'!"&amp;$AI$3),0)</f>
        <v>#VALUE!</v>
      </c>
      <c r="AJ627" s="25">
        <v>1</v>
      </c>
      <c r="AK627" s="38">
        <f t="shared" ca="1" si="168"/>
        <v>0</v>
      </c>
      <c r="AL627" s="38">
        <f t="shared" ca="1" si="169"/>
        <v>0</v>
      </c>
      <c r="AM627" s="54" t="str">
        <f t="shared" ca="1" si="170"/>
        <v/>
      </c>
      <c r="AN627" s="25" t="e">
        <f t="shared" ca="1" si="171"/>
        <v>#VALUE!</v>
      </c>
      <c r="AO627" s="25" t="e">
        <f t="shared" ca="1" si="172"/>
        <v>#VALUE!</v>
      </c>
      <c r="AQ627" s="46" t="str">
        <f ca="1">IF(AND(C627&lt;&gt;0, C628=0), SUM($C$2:C627)-SUM($AQ$1:AQ626), "")</f>
        <v/>
      </c>
      <c r="AR627" s="46" t="str">
        <f ca="1">IF(AND(AK627&lt;&gt;0, AK628=0), SUM($AK$2:AK627)-SUM($AR$1:AR626), "")</f>
        <v/>
      </c>
    </row>
    <row r="628" spans="2:44" ht="13.15" customHeight="1">
      <c r="B628" s="68" t="str">
        <f t="shared" si="158"/>
        <v/>
      </c>
      <c r="C628" s="55" cm="1">
        <f t="array" aca="1" ref="C628" ca="1">SUM(IF(ISNUMBER(M628:U628),M628:U628,""))</f>
        <v>0</v>
      </c>
      <c r="D628" s="25" t="str">
        <f t="shared" si="159"/>
        <v/>
      </c>
      <c r="E628" s="25" t="e">
        <f t="shared" si="160"/>
        <v>#VALUE!</v>
      </c>
      <c r="F628" s="25" t="str">
        <f t="shared" si="161"/>
        <v/>
      </c>
      <c r="G628" s="25" t="str">
        <f t="shared" si="162"/>
        <v>.xlsx</v>
      </c>
      <c r="H628" s="29" t="e" cm="1">
        <f t="array" aca="1" ref="H628" ca="1">IF(AND(VALUE(E628)=INDIRECT("'["&amp;G628&amp;"]"&amp;E628&amp;"'!"&amp;$X$2),G628=INDIRECT("'["&amp;G628&amp;"]"&amp;E628&amp;"'!"&amp;$X$3)),INDIRECT("'["&amp;G628&amp;"]"&amp;E628&amp;"'!"&amp;$X$1),0)</f>
        <v>#VALUE!</v>
      </c>
      <c r="I628" s="25" t="str">
        <f t="shared" si="163"/>
        <v/>
      </c>
      <c r="J628" s="32" t="str">
        <f t="shared" si="164"/>
        <v/>
      </c>
      <c r="K628" s="25" t="str">
        <f t="shared" si="165"/>
        <v/>
      </c>
      <c r="L628" s="25" t="str">
        <f t="shared" si="166"/>
        <v/>
      </c>
      <c r="M628" s="33" t="e" cm="1">
        <f t="array" aca="1" ref="M628" ca="1">IF(AND(J628=INDIRECT("'["&amp;G628&amp;"]"&amp;E628&amp;"'!"&amp;$Y$2),G628=INDIRECT("'["&amp;G628&amp;"]"&amp;E628&amp;"'!"&amp;$AH$2)),INDIRECT("'["&amp;G628&amp;"]"&amp;E628&amp;"'!"&amp;$Y$3),0)</f>
        <v>#VALUE!</v>
      </c>
      <c r="N628" s="34" t="e" cm="1">
        <f t="array" aca="1" ref="N628" ca="1">IF(AND(G628=INDIRECT("'["&amp;G628&amp;"]"&amp;E628&amp;"'!"&amp;$AH$2),OR(K628=INDIRECT("'["&amp;G628&amp;"]"&amp;E628&amp;"'!"&amp;$Z$2))),INDIRECT("'["&amp;G628&amp;"]"&amp;E628&amp;"'!"&amp;$Z$3),0)</f>
        <v>#VALUE!</v>
      </c>
      <c r="O628" s="34" t="e" cm="1">
        <f t="array" aca="1" ref="O628" ca="1">IF(AND(G628=INDIRECT("'["&amp;G628&amp;"]"&amp;E628&amp;"'!"&amp;$AH$2),OR(L628=INDIRECT("'["&amp;G628&amp;"]"&amp;E628&amp;"'!"&amp;$AA$2))),INDIRECT("'["&amp;G628&amp;"]"&amp;E628&amp;"'!"&amp;$AA$3),0)</f>
        <v>#VALUE!</v>
      </c>
      <c r="P628" s="34" t="e" cm="1">
        <f t="array" aca="1" ref="P628" ca="1">IF(AND(G628=INDIRECT("'["&amp;G628&amp;"]"&amp;E628&amp;"'!"&amp;$AH$2),OR(VALUE(I628)=INDIRECT("'["&amp;G628&amp;"]"&amp;E628&amp;"'!"&amp;$AB$2))),INDIRECT("'["&amp;G628&amp;"]"&amp;E628&amp;"'!"&amp;$AB$3),0)</f>
        <v>#VALUE!</v>
      </c>
      <c r="Q628" s="34" t="e" cm="1">
        <f t="array" aca="1" ref="Q628" ca="1">IF(AND(G628=INDIRECT("'["&amp;G628&amp;"]"&amp;E628&amp;"'!"&amp;$AH$2),OR(VALUE(I628)=INDIRECT("'["&amp;G628&amp;"]"&amp;E628&amp;"'!"&amp;$AC$2))),INDIRECT("'["&amp;G628&amp;"]"&amp;E628&amp;"'!"&amp;$AC$3),0)</f>
        <v>#VALUE!</v>
      </c>
      <c r="R628" s="34" t="e" cm="1">
        <f t="array" aca="1" ref="R628" ca="1">IF(AND(G628=INDIRECT("'["&amp;G628&amp;"]"&amp;E628&amp;"'!"&amp;$AH$2),OR(I628=INDIRECT("'["&amp;G628&amp;"]"&amp;E628&amp;"'!"&amp;$AD$2))),INDIRECT("'["&amp;G628&amp;"]"&amp;E628&amp;"'!"&amp;$AD$3),0)</f>
        <v>#VALUE!</v>
      </c>
      <c r="S628" s="34" t="e" cm="1">
        <f t="array" aca="1" ref="S628" ca="1">IF(AND(G628=INDIRECT("'["&amp;G628&amp;"]"&amp;E628&amp;"'!"&amp;$AH$2),OR(I628=INDIRECT("'["&amp;G628&amp;"]"&amp;E628&amp;"'!"&amp;$AE$2))),INDIRECT("'["&amp;G628&amp;"]"&amp;E628&amp;"'!"&amp;$AE$3),0)</f>
        <v>#VALUE!</v>
      </c>
      <c r="T628" s="35" t="e" cm="1">
        <f t="array" aca="1" ref="T628" ca="1">IF(AND(G628=INDIRECT("'["&amp;G628&amp;"]"&amp;E628&amp;"'!"&amp;$AH$2),OR(I628=INDIRECT("'["&amp;G628&amp;"]"&amp;E628&amp;"'!"&amp;$AF$2))),INDIRECT("'["&amp;G628&amp;"]"&amp;E628&amp;"'!"&amp;$AF$3),0)</f>
        <v>#VALUE!</v>
      </c>
      <c r="U628" s="34" t="e" cm="1">
        <f t="array" aca="1" ref="U628" ca="1">IF(AND(G628=INDIRECT("'["&amp;G628&amp;"]"&amp;E628&amp;"'!"&amp;$AH$2),OR(I628=INDIRECT("'["&amp;G628&amp;"]"&amp;E628&amp;"'!"&amp;$AG$2))),INDIRECT("'["&amp;G628&amp;"]"&amp;E628&amp;"'!"&amp;$AG$3),0)</f>
        <v>#VALUE!</v>
      </c>
      <c r="V628" s="25" t="str">
        <f t="shared" si="167"/>
        <v/>
      </c>
      <c r="W628" s="36" t="e" cm="1">
        <f t="array" aca="1" ref="W628" ca="1">IF(AND(G628=INDIRECT("'["&amp;G628&amp;"]"&amp;E628&amp;"'!"&amp;$AH$2),OR(V628=INDIRECT("'["&amp;G628&amp;"]"&amp;E628&amp;"'!"&amp;$AI$2))),INDIRECT("'["&amp;G628&amp;"]"&amp;E628&amp;"'!"&amp;$AI$3),0)</f>
        <v>#VALUE!</v>
      </c>
      <c r="AJ628" s="25">
        <v>1</v>
      </c>
      <c r="AK628" s="38">
        <f t="shared" ca="1" si="168"/>
        <v>0</v>
      </c>
      <c r="AL628" s="38">
        <f t="shared" ca="1" si="169"/>
        <v>0</v>
      </c>
      <c r="AM628" s="54" t="str">
        <f t="shared" ca="1" si="170"/>
        <v/>
      </c>
      <c r="AN628" s="25" t="e">
        <f t="shared" ca="1" si="171"/>
        <v>#VALUE!</v>
      </c>
      <c r="AO628" s="25" t="e">
        <f t="shared" ca="1" si="172"/>
        <v>#VALUE!</v>
      </c>
      <c r="AQ628" s="46" t="str">
        <f ca="1">IF(AND(C628&lt;&gt;0, C629=0), SUM($C$2:C628)-SUM($AQ$1:AQ627), "")</f>
        <v/>
      </c>
      <c r="AR628" s="46" t="str">
        <f ca="1">IF(AND(AK628&lt;&gt;0, AK629=0), SUM($AK$2:AK628)-SUM($AR$1:AR627), "")</f>
        <v/>
      </c>
    </row>
    <row r="629" spans="2:44" ht="13.15" customHeight="1">
      <c r="B629" s="68" t="str">
        <f t="shared" ref="B629:B692" si="173">LEFT(A629,15)</f>
        <v/>
      </c>
      <c r="C629" s="55" cm="1">
        <f t="array" aca="1" ref="C629" ca="1">SUM(IF(ISNUMBER(M629:U629),M629:U629,""))</f>
        <v>0</v>
      </c>
      <c r="D629" s="25" t="str">
        <f t="shared" ref="D629:D692" si="174">MID(A629,4,2)</f>
        <v/>
      </c>
      <c r="E629" s="25" t="e">
        <f t="shared" ref="E629:E692" si="175">IF(ISEVEN(D629),D629-1,VALUE(D629))</f>
        <v>#VALUE!</v>
      </c>
      <c r="F629" s="25" t="str">
        <f t="shared" ref="F629:F692" si="176">LEFT(A629,2)</f>
        <v/>
      </c>
      <c r="G629" s="25" t="str">
        <f t="shared" ref="G629:G692" si="177">CONCATENATE(F629,".xlsx")</f>
        <v>.xlsx</v>
      </c>
      <c r="H629" s="29" t="e" cm="1">
        <f t="array" aca="1" ref="H629" ca="1">IF(AND(VALUE(E629)=INDIRECT("'["&amp;G629&amp;"]"&amp;E629&amp;"'!"&amp;$X$2),G629=INDIRECT("'["&amp;G629&amp;"]"&amp;E629&amp;"'!"&amp;$X$3)),INDIRECT("'["&amp;G629&amp;"]"&amp;E629&amp;"'!"&amp;$X$1),0)</f>
        <v>#VALUE!</v>
      </c>
      <c r="I629" s="25" t="str">
        <f t="shared" ref="I629:I692" si="178">MID(A629,10,6)</f>
        <v/>
      </c>
      <c r="J629" s="32" t="str">
        <f t="shared" ref="J629:J692" si="179">RIGHT(I629,2)</f>
        <v/>
      </c>
      <c r="K629" s="25" t="str">
        <f t="shared" ref="K629:K692" si="180">LEFT(I629,3)</f>
        <v/>
      </c>
      <c r="L629" s="25" t="str">
        <f t="shared" ref="L629:L692" si="181">RIGHT(I629,3)</f>
        <v/>
      </c>
      <c r="M629" s="33" t="e" cm="1">
        <f t="array" aca="1" ref="M629" ca="1">IF(AND(J629=INDIRECT("'["&amp;G629&amp;"]"&amp;E629&amp;"'!"&amp;$Y$2),G629=INDIRECT("'["&amp;G629&amp;"]"&amp;E629&amp;"'!"&amp;$AH$2)),INDIRECT("'["&amp;G629&amp;"]"&amp;E629&amp;"'!"&amp;$Y$3),0)</f>
        <v>#VALUE!</v>
      </c>
      <c r="N629" s="34" t="e" cm="1">
        <f t="array" aca="1" ref="N629" ca="1">IF(AND(G629=INDIRECT("'["&amp;G629&amp;"]"&amp;E629&amp;"'!"&amp;$AH$2),OR(K629=INDIRECT("'["&amp;G629&amp;"]"&amp;E629&amp;"'!"&amp;$Z$2))),INDIRECT("'["&amp;G629&amp;"]"&amp;E629&amp;"'!"&amp;$Z$3),0)</f>
        <v>#VALUE!</v>
      </c>
      <c r="O629" s="34" t="e" cm="1">
        <f t="array" aca="1" ref="O629" ca="1">IF(AND(G629=INDIRECT("'["&amp;G629&amp;"]"&amp;E629&amp;"'!"&amp;$AH$2),OR(L629=INDIRECT("'["&amp;G629&amp;"]"&amp;E629&amp;"'!"&amp;$AA$2))),INDIRECT("'["&amp;G629&amp;"]"&amp;E629&amp;"'!"&amp;$AA$3),0)</f>
        <v>#VALUE!</v>
      </c>
      <c r="P629" s="34" t="e" cm="1">
        <f t="array" aca="1" ref="P629" ca="1">IF(AND(G629=INDIRECT("'["&amp;G629&amp;"]"&amp;E629&amp;"'!"&amp;$AH$2),OR(VALUE(I629)=INDIRECT("'["&amp;G629&amp;"]"&amp;E629&amp;"'!"&amp;$AB$2))),INDIRECT("'["&amp;G629&amp;"]"&amp;E629&amp;"'!"&amp;$AB$3),0)</f>
        <v>#VALUE!</v>
      </c>
      <c r="Q629" s="34" t="e" cm="1">
        <f t="array" aca="1" ref="Q629" ca="1">IF(AND(G629=INDIRECT("'["&amp;G629&amp;"]"&amp;E629&amp;"'!"&amp;$AH$2),OR(VALUE(I629)=INDIRECT("'["&amp;G629&amp;"]"&amp;E629&amp;"'!"&amp;$AC$2))),INDIRECT("'["&amp;G629&amp;"]"&amp;E629&amp;"'!"&amp;$AC$3),0)</f>
        <v>#VALUE!</v>
      </c>
      <c r="R629" s="34" t="e" cm="1">
        <f t="array" aca="1" ref="R629" ca="1">IF(AND(G629=INDIRECT("'["&amp;G629&amp;"]"&amp;E629&amp;"'!"&amp;$AH$2),OR(I629=INDIRECT("'["&amp;G629&amp;"]"&amp;E629&amp;"'!"&amp;$AD$2))),INDIRECT("'["&amp;G629&amp;"]"&amp;E629&amp;"'!"&amp;$AD$3),0)</f>
        <v>#VALUE!</v>
      </c>
      <c r="S629" s="34" t="e" cm="1">
        <f t="array" aca="1" ref="S629" ca="1">IF(AND(G629=INDIRECT("'["&amp;G629&amp;"]"&amp;E629&amp;"'!"&amp;$AH$2),OR(I629=INDIRECT("'["&amp;G629&amp;"]"&amp;E629&amp;"'!"&amp;$AE$2))),INDIRECT("'["&amp;G629&amp;"]"&amp;E629&amp;"'!"&amp;$AE$3),0)</f>
        <v>#VALUE!</v>
      </c>
      <c r="T629" s="35" t="e" cm="1">
        <f t="array" aca="1" ref="T629" ca="1">IF(AND(G629=INDIRECT("'["&amp;G629&amp;"]"&amp;E629&amp;"'!"&amp;$AH$2),OR(I629=INDIRECT("'["&amp;G629&amp;"]"&amp;E629&amp;"'!"&amp;$AF$2))),INDIRECT("'["&amp;G629&amp;"]"&amp;E629&amp;"'!"&amp;$AF$3),0)</f>
        <v>#VALUE!</v>
      </c>
      <c r="U629" s="34" t="e" cm="1">
        <f t="array" aca="1" ref="U629" ca="1">IF(AND(G629=INDIRECT("'["&amp;G629&amp;"]"&amp;E629&amp;"'!"&amp;$AH$2),OR(I629=INDIRECT("'["&amp;G629&amp;"]"&amp;E629&amp;"'!"&amp;$AG$2))),INDIRECT("'["&amp;G629&amp;"]"&amp;E629&amp;"'!"&amp;$AG$3),0)</f>
        <v>#VALUE!</v>
      </c>
      <c r="V629" s="25" t="str">
        <f t="shared" ref="V629:V692" si="182">MID(B629,7,9)</f>
        <v/>
      </c>
      <c r="W629" s="36" t="e" cm="1">
        <f t="array" aca="1" ref="W629" ca="1">IF(AND(G629=INDIRECT("'["&amp;G629&amp;"]"&amp;E629&amp;"'!"&amp;$AH$2),OR(V629=INDIRECT("'["&amp;G629&amp;"]"&amp;E629&amp;"'!"&amp;$AI$2))),INDIRECT("'["&amp;G629&amp;"]"&amp;E629&amp;"'!"&amp;$AI$3),0)</f>
        <v>#VALUE!</v>
      </c>
      <c r="AJ629" s="25">
        <v>1</v>
      </c>
      <c r="AK629" s="38">
        <f t="shared" ref="AK629:AK692" ca="1" si="183">(C629*AJ629%)</f>
        <v>0</v>
      </c>
      <c r="AL629" s="38">
        <f t="shared" ref="AL629:AL692" ca="1" si="184">C629-AK629</f>
        <v>0</v>
      </c>
      <c r="AM629" s="54" t="str">
        <f t="shared" ref="AM629:AM692" ca="1" si="185">IF(A629&lt;&gt;"",IF(AM629="",NOW(),AM629),"")</f>
        <v/>
      </c>
      <c r="AN629" s="25" t="e">
        <f t="shared" ref="AN629:AN692" ca="1" si="186">IF(VALUE(N629),"/","")</f>
        <v>#VALUE!</v>
      </c>
      <c r="AO629" s="25" t="e">
        <f t="shared" ref="AO629:AO692" ca="1" si="187">IF(VALUE(O629),"/","")</f>
        <v>#VALUE!</v>
      </c>
      <c r="AQ629" s="46" t="str">
        <f ca="1">IF(AND(C629&lt;&gt;0, C630=0), SUM($C$2:C629)-SUM($AQ$1:AQ628), "")</f>
        <v/>
      </c>
      <c r="AR629" s="46" t="str">
        <f ca="1">IF(AND(AK629&lt;&gt;0, AK630=0), SUM($AK$2:AK629)-SUM($AR$1:AR628), "")</f>
        <v/>
      </c>
    </row>
    <row r="630" spans="2:44" ht="13.15" customHeight="1">
      <c r="B630" s="68" t="str">
        <f t="shared" si="173"/>
        <v/>
      </c>
      <c r="C630" s="55" cm="1">
        <f t="array" aca="1" ref="C630" ca="1">SUM(IF(ISNUMBER(M630:U630),M630:U630,""))</f>
        <v>0</v>
      </c>
      <c r="D630" s="25" t="str">
        <f t="shared" si="174"/>
        <v/>
      </c>
      <c r="E630" s="25" t="e">
        <f t="shared" si="175"/>
        <v>#VALUE!</v>
      </c>
      <c r="F630" s="25" t="str">
        <f t="shared" si="176"/>
        <v/>
      </c>
      <c r="G630" s="25" t="str">
        <f t="shared" si="177"/>
        <v>.xlsx</v>
      </c>
      <c r="H630" s="29" t="e" cm="1">
        <f t="array" aca="1" ref="H630" ca="1">IF(AND(VALUE(E630)=INDIRECT("'["&amp;G630&amp;"]"&amp;E630&amp;"'!"&amp;$X$2),G630=INDIRECT("'["&amp;G630&amp;"]"&amp;E630&amp;"'!"&amp;$X$3)),INDIRECT("'["&amp;G630&amp;"]"&amp;E630&amp;"'!"&amp;$X$1),0)</f>
        <v>#VALUE!</v>
      </c>
      <c r="I630" s="25" t="str">
        <f t="shared" si="178"/>
        <v/>
      </c>
      <c r="J630" s="32" t="str">
        <f t="shared" si="179"/>
        <v/>
      </c>
      <c r="K630" s="25" t="str">
        <f t="shared" si="180"/>
        <v/>
      </c>
      <c r="L630" s="25" t="str">
        <f t="shared" si="181"/>
        <v/>
      </c>
      <c r="M630" s="33" t="e" cm="1">
        <f t="array" aca="1" ref="M630" ca="1">IF(AND(J630=INDIRECT("'["&amp;G630&amp;"]"&amp;E630&amp;"'!"&amp;$Y$2),G630=INDIRECT("'["&amp;G630&amp;"]"&amp;E630&amp;"'!"&amp;$AH$2)),INDIRECT("'["&amp;G630&amp;"]"&amp;E630&amp;"'!"&amp;$Y$3),0)</f>
        <v>#VALUE!</v>
      </c>
      <c r="N630" s="34" t="e" cm="1">
        <f t="array" aca="1" ref="N630" ca="1">IF(AND(G630=INDIRECT("'["&amp;G630&amp;"]"&amp;E630&amp;"'!"&amp;$AH$2),OR(K630=INDIRECT("'["&amp;G630&amp;"]"&amp;E630&amp;"'!"&amp;$Z$2))),INDIRECT("'["&amp;G630&amp;"]"&amp;E630&amp;"'!"&amp;$Z$3),0)</f>
        <v>#VALUE!</v>
      </c>
      <c r="O630" s="34" t="e" cm="1">
        <f t="array" aca="1" ref="O630" ca="1">IF(AND(G630=INDIRECT("'["&amp;G630&amp;"]"&amp;E630&amp;"'!"&amp;$AH$2),OR(L630=INDIRECT("'["&amp;G630&amp;"]"&amp;E630&amp;"'!"&amp;$AA$2))),INDIRECT("'["&amp;G630&amp;"]"&amp;E630&amp;"'!"&amp;$AA$3),0)</f>
        <v>#VALUE!</v>
      </c>
      <c r="P630" s="34" t="e" cm="1">
        <f t="array" aca="1" ref="P630" ca="1">IF(AND(G630=INDIRECT("'["&amp;G630&amp;"]"&amp;E630&amp;"'!"&amp;$AH$2),OR(VALUE(I630)=INDIRECT("'["&amp;G630&amp;"]"&amp;E630&amp;"'!"&amp;$AB$2))),INDIRECT("'["&amp;G630&amp;"]"&amp;E630&amp;"'!"&amp;$AB$3),0)</f>
        <v>#VALUE!</v>
      </c>
      <c r="Q630" s="34" t="e" cm="1">
        <f t="array" aca="1" ref="Q630" ca="1">IF(AND(G630=INDIRECT("'["&amp;G630&amp;"]"&amp;E630&amp;"'!"&amp;$AH$2),OR(VALUE(I630)=INDIRECT("'["&amp;G630&amp;"]"&amp;E630&amp;"'!"&amp;$AC$2))),INDIRECT("'["&amp;G630&amp;"]"&amp;E630&amp;"'!"&amp;$AC$3),0)</f>
        <v>#VALUE!</v>
      </c>
      <c r="R630" s="34" t="e" cm="1">
        <f t="array" aca="1" ref="R630" ca="1">IF(AND(G630=INDIRECT("'["&amp;G630&amp;"]"&amp;E630&amp;"'!"&amp;$AH$2),OR(I630=INDIRECT("'["&amp;G630&amp;"]"&amp;E630&amp;"'!"&amp;$AD$2))),INDIRECT("'["&amp;G630&amp;"]"&amp;E630&amp;"'!"&amp;$AD$3),0)</f>
        <v>#VALUE!</v>
      </c>
      <c r="S630" s="34" t="e" cm="1">
        <f t="array" aca="1" ref="S630" ca="1">IF(AND(G630=INDIRECT("'["&amp;G630&amp;"]"&amp;E630&amp;"'!"&amp;$AH$2),OR(I630=INDIRECT("'["&amp;G630&amp;"]"&amp;E630&amp;"'!"&amp;$AE$2))),INDIRECT("'["&amp;G630&amp;"]"&amp;E630&amp;"'!"&amp;$AE$3),0)</f>
        <v>#VALUE!</v>
      </c>
      <c r="T630" s="35" t="e" cm="1">
        <f t="array" aca="1" ref="T630" ca="1">IF(AND(G630=INDIRECT("'["&amp;G630&amp;"]"&amp;E630&amp;"'!"&amp;$AH$2),OR(I630=INDIRECT("'["&amp;G630&amp;"]"&amp;E630&amp;"'!"&amp;$AF$2))),INDIRECT("'["&amp;G630&amp;"]"&amp;E630&amp;"'!"&amp;$AF$3),0)</f>
        <v>#VALUE!</v>
      </c>
      <c r="U630" s="34" t="e" cm="1">
        <f t="array" aca="1" ref="U630" ca="1">IF(AND(G630=INDIRECT("'["&amp;G630&amp;"]"&amp;E630&amp;"'!"&amp;$AH$2),OR(I630=INDIRECT("'["&amp;G630&amp;"]"&amp;E630&amp;"'!"&amp;$AG$2))),INDIRECT("'["&amp;G630&amp;"]"&amp;E630&amp;"'!"&amp;$AG$3),0)</f>
        <v>#VALUE!</v>
      </c>
      <c r="V630" s="25" t="str">
        <f t="shared" si="182"/>
        <v/>
      </c>
      <c r="W630" s="36" t="e" cm="1">
        <f t="array" aca="1" ref="W630" ca="1">IF(AND(G630=INDIRECT("'["&amp;G630&amp;"]"&amp;E630&amp;"'!"&amp;$AH$2),OR(V630=INDIRECT("'["&amp;G630&amp;"]"&amp;E630&amp;"'!"&amp;$AI$2))),INDIRECT("'["&amp;G630&amp;"]"&amp;E630&amp;"'!"&amp;$AI$3),0)</f>
        <v>#VALUE!</v>
      </c>
      <c r="AJ630" s="25">
        <v>1</v>
      </c>
      <c r="AK630" s="38">
        <f t="shared" ca="1" si="183"/>
        <v>0</v>
      </c>
      <c r="AL630" s="38">
        <f t="shared" ca="1" si="184"/>
        <v>0</v>
      </c>
      <c r="AM630" s="54" t="str">
        <f t="shared" ca="1" si="185"/>
        <v/>
      </c>
      <c r="AN630" s="25" t="e">
        <f t="shared" ca="1" si="186"/>
        <v>#VALUE!</v>
      </c>
      <c r="AO630" s="25" t="e">
        <f t="shared" ca="1" si="187"/>
        <v>#VALUE!</v>
      </c>
      <c r="AQ630" s="46" t="str">
        <f ca="1">IF(AND(C630&lt;&gt;0, C631=0), SUM($C$2:C630)-SUM($AQ$1:AQ629), "")</f>
        <v/>
      </c>
      <c r="AR630" s="46" t="str">
        <f ca="1">IF(AND(AK630&lt;&gt;0, AK631=0), SUM($AK$2:AK630)-SUM($AR$1:AR629), "")</f>
        <v/>
      </c>
    </row>
    <row r="631" spans="2:44" ht="13.15" customHeight="1">
      <c r="B631" s="68" t="str">
        <f t="shared" si="173"/>
        <v/>
      </c>
      <c r="C631" s="55" cm="1">
        <f t="array" aca="1" ref="C631" ca="1">SUM(IF(ISNUMBER(M631:U631),M631:U631,""))</f>
        <v>0</v>
      </c>
      <c r="D631" s="25" t="str">
        <f t="shared" si="174"/>
        <v/>
      </c>
      <c r="E631" s="25" t="e">
        <f t="shared" si="175"/>
        <v>#VALUE!</v>
      </c>
      <c r="F631" s="25" t="str">
        <f t="shared" si="176"/>
        <v/>
      </c>
      <c r="G631" s="25" t="str">
        <f t="shared" si="177"/>
        <v>.xlsx</v>
      </c>
      <c r="H631" s="29" t="e" cm="1">
        <f t="array" aca="1" ref="H631" ca="1">IF(AND(VALUE(E631)=INDIRECT("'["&amp;G631&amp;"]"&amp;E631&amp;"'!"&amp;$X$2),G631=INDIRECT("'["&amp;G631&amp;"]"&amp;E631&amp;"'!"&amp;$X$3)),INDIRECT("'["&amp;G631&amp;"]"&amp;E631&amp;"'!"&amp;$X$1),0)</f>
        <v>#VALUE!</v>
      </c>
      <c r="I631" s="25" t="str">
        <f t="shared" si="178"/>
        <v/>
      </c>
      <c r="J631" s="32" t="str">
        <f t="shared" si="179"/>
        <v/>
      </c>
      <c r="K631" s="25" t="str">
        <f t="shared" si="180"/>
        <v/>
      </c>
      <c r="L631" s="25" t="str">
        <f t="shared" si="181"/>
        <v/>
      </c>
      <c r="M631" s="33" t="e" cm="1">
        <f t="array" aca="1" ref="M631" ca="1">IF(AND(J631=INDIRECT("'["&amp;G631&amp;"]"&amp;E631&amp;"'!"&amp;$Y$2),G631=INDIRECT("'["&amp;G631&amp;"]"&amp;E631&amp;"'!"&amp;$AH$2)),INDIRECT("'["&amp;G631&amp;"]"&amp;E631&amp;"'!"&amp;$Y$3),0)</f>
        <v>#VALUE!</v>
      </c>
      <c r="N631" s="34" t="e" cm="1">
        <f t="array" aca="1" ref="N631" ca="1">IF(AND(G631=INDIRECT("'["&amp;G631&amp;"]"&amp;E631&amp;"'!"&amp;$AH$2),OR(K631=INDIRECT("'["&amp;G631&amp;"]"&amp;E631&amp;"'!"&amp;$Z$2))),INDIRECT("'["&amp;G631&amp;"]"&amp;E631&amp;"'!"&amp;$Z$3),0)</f>
        <v>#VALUE!</v>
      </c>
      <c r="O631" s="34" t="e" cm="1">
        <f t="array" aca="1" ref="O631" ca="1">IF(AND(G631=INDIRECT("'["&amp;G631&amp;"]"&amp;E631&amp;"'!"&amp;$AH$2),OR(L631=INDIRECT("'["&amp;G631&amp;"]"&amp;E631&amp;"'!"&amp;$AA$2))),INDIRECT("'["&amp;G631&amp;"]"&amp;E631&amp;"'!"&amp;$AA$3),0)</f>
        <v>#VALUE!</v>
      </c>
      <c r="P631" s="34" t="e" cm="1">
        <f t="array" aca="1" ref="P631" ca="1">IF(AND(G631=INDIRECT("'["&amp;G631&amp;"]"&amp;E631&amp;"'!"&amp;$AH$2),OR(VALUE(I631)=INDIRECT("'["&amp;G631&amp;"]"&amp;E631&amp;"'!"&amp;$AB$2))),INDIRECT("'["&amp;G631&amp;"]"&amp;E631&amp;"'!"&amp;$AB$3),0)</f>
        <v>#VALUE!</v>
      </c>
      <c r="Q631" s="34" t="e" cm="1">
        <f t="array" aca="1" ref="Q631" ca="1">IF(AND(G631=INDIRECT("'["&amp;G631&amp;"]"&amp;E631&amp;"'!"&amp;$AH$2),OR(VALUE(I631)=INDIRECT("'["&amp;G631&amp;"]"&amp;E631&amp;"'!"&amp;$AC$2))),INDIRECT("'["&amp;G631&amp;"]"&amp;E631&amp;"'!"&amp;$AC$3),0)</f>
        <v>#VALUE!</v>
      </c>
      <c r="R631" s="34" t="e" cm="1">
        <f t="array" aca="1" ref="R631" ca="1">IF(AND(G631=INDIRECT("'["&amp;G631&amp;"]"&amp;E631&amp;"'!"&amp;$AH$2),OR(I631=INDIRECT("'["&amp;G631&amp;"]"&amp;E631&amp;"'!"&amp;$AD$2))),INDIRECT("'["&amp;G631&amp;"]"&amp;E631&amp;"'!"&amp;$AD$3),0)</f>
        <v>#VALUE!</v>
      </c>
      <c r="S631" s="34" t="e" cm="1">
        <f t="array" aca="1" ref="S631" ca="1">IF(AND(G631=INDIRECT("'["&amp;G631&amp;"]"&amp;E631&amp;"'!"&amp;$AH$2),OR(I631=INDIRECT("'["&amp;G631&amp;"]"&amp;E631&amp;"'!"&amp;$AE$2))),INDIRECT("'["&amp;G631&amp;"]"&amp;E631&amp;"'!"&amp;$AE$3),0)</f>
        <v>#VALUE!</v>
      </c>
      <c r="T631" s="35" t="e" cm="1">
        <f t="array" aca="1" ref="T631" ca="1">IF(AND(G631=INDIRECT("'["&amp;G631&amp;"]"&amp;E631&amp;"'!"&amp;$AH$2),OR(I631=INDIRECT("'["&amp;G631&amp;"]"&amp;E631&amp;"'!"&amp;$AF$2))),INDIRECT("'["&amp;G631&amp;"]"&amp;E631&amp;"'!"&amp;$AF$3),0)</f>
        <v>#VALUE!</v>
      </c>
      <c r="U631" s="34" t="e" cm="1">
        <f t="array" aca="1" ref="U631" ca="1">IF(AND(G631=INDIRECT("'["&amp;G631&amp;"]"&amp;E631&amp;"'!"&amp;$AH$2),OR(I631=INDIRECT("'["&amp;G631&amp;"]"&amp;E631&amp;"'!"&amp;$AG$2))),INDIRECT("'["&amp;G631&amp;"]"&amp;E631&amp;"'!"&amp;$AG$3),0)</f>
        <v>#VALUE!</v>
      </c>
      <c r="V631" s="25" t="str">
        <f t="shared" si="182"/>
        <v/>
      </c>
      <c r="W631" s="36" t="e" cm="1">
        <f t="array" aca="1" ref="W631" ca="1">IF(AND(G631=INDIRECT("'["&amp;G631&amp;"]"&amp;E631&amp;"'!"&amp;$AH$2),OR(V631=INDIRECT("'["&amp;G631&amp;"]"&amp;E631&amp;"'!"&amp;$AI$2))),INDIRECT("'["&amp;G631&amp;"]"&amp;E631&amp;"'!"&amp;$AI$3),0)</f>
        <v>#VALUE!</v>
      </c>
      <c r="AJ631" s="25">
        <v>1</v>
      </c>
      <c r="AK631" s="38">
        <f t="shared" ca="1" si="183"/>
        <v>0</v>
      </c>
      <c r="AL631" s="38">
        <f t="shared" ca="1" si="184"/>
        <v>0</v>
      </c>
      <c r="AM631" s="54" t="str">
        <f t="shared" ca="1" si="185"/>
        <v/>
      </c>
      <c r="AN631" s="25" t="e">
        <f t="shared" ca="1" si="186"/>
        <v>#VALUE!</v>
      </c>
      <c r="AO631" s="25" t="e">
        <f t="shared" ca="1" si="187"/>
        <v>#VALUE!</v>
      </c>
      <c r="AQ631" s="46" t="str">
        <f ca="1">IF(AND(C631&lt;&gt;0, C632=0), SUM($C$2:C631)-SUM($AQ$1:AQ630), "")</f>
        <v/>
      </c>
      <c r="AR631" s="46" t="str">
        <f ca="1">IF(AND(AK631&lt;&gt;0, AK632=0), SUM($AK$2:AK631)-SUM($AR$1:AR630), "")</f>
        <v/>
      </c>
    </row>
    <row r="632" spans="2:44" ht="13.15" customHeight="1">
      <c r="B632" s="68" t="str">
        <f t="shared" si="173"/>
        <v/>
      </c>
      <c r="C632" s="55" cm="1">
        <f t="array" aca="1" ref="C632" ca="1">SUM(IF(ISNUMBER(M632:U632),M632:U632,""))</f>
        <v>0</v>
      </c>
      <c r="D632" s="25" t="str">
        <f t="shared" si="174"/>
        <v/>
      </c>
      <c r="E632" s="25" t="e">
        <f t="shared" si="175"/>
        <v>#VALUE!</v>
      </c>
      <c r="F632" s="25" t="str">
        <f t="shared" si="176"/>
        <v/>
      </c>
      <c r="G632" s="25" t="str">
        <f t="shared" si="177"/>
        <v>.xlsx</v>
      </c>
      <c r="H632" s="29" t="e" cm="1">
        <f t="array" aca="1" ref="H632" ca="1">IF(AND(VALUE(E632)=INDIRECT("'["&amp;G632&amp;"]"&amp;E632&amp;"'!"&amp;$X$2),G632=INDIRECT("'["&amp;G632&amp;"]"&amp;E632&amp;"'!"&amp;$X$3)),INDIRECT("'["&amp;G632&amp;"]"&amp;E632&amp;"'!"&amp;$X$1),0)</f>
        <v>#VALUE!</v>
      </c>
      <c r="I632" s="25" t="str">
        <f t="shared" si="178"/>
        <v/>
      </c>
      <c r="J632" s="32" t="str">
        <f t="shared" si="179"/>
        <v/>
      </c>
      <c r="K632" s="25" t="str">
        <f t="shared" si="180"/>
        <v/>
      </c>
      <c r="L632" s="25" t="str">
        <f t="shared" si="181"/>
        <v/>
      </c>
      <c r="M632" s="33" t="e" cm="1">
        <f t="array" aca="1" ref="M632" ca="1">IF(AND(J632=INDIRECT("'["&amp;G632&amp;"]"&amp;E632&amp;"'!"&amp;$Y$2),G632=INDIRECT("'["&amp;G632&amp;"]"&amp;E632&amp;"'!"&amp;$AH$2)),INDIRECT("'["&amp;G632&amp;"]"&amp;E632&amp;"'!"&amp;$Y$3),0)</f>
        <v>#VALUE!</v>
      </c>
      <c r="N632" s="34" t="e" cm="1">
        <f t="array" aca="1" ref="N632" ca="1">IF(AND(G632=INDIRECT("'["&amp;G632&amp;"]"&amp;E632&amp;"'!"&amp;$AH$2),OR(K632=INDIRECT("'["&amp;G632&amp;"]"&amp;E632&amp;"'!"&amp;$Z$2))),INDIRECT("'["&amp;G632&amp;"]"&amp;E632&amp;"'!"&amp;$Z$3),0)</f>
        <v>#VALUE!</v>
      </c>
      <c r="O632" s="34" t="e" cm="1">
        <f t="array" aca="1" ref="O632" ca="1">IF(AND(G632=INDIRECT("'["&amp;G632&amp;"]"&amp;E632&amp;"'!"&amp;$AH$2),OR(L632=INDIRECT("'["&amp;G632&amp;"]"&amp;E632&amp;"'!"&amp;$AA$2))),INDIRECT("'["&amp;G632&amp;"]"&amp;E632&amp;"'!"&amp;$AA$3),0)</f>
        <v>#VALUE!</v>
      </c>
      <c r="P632" s="34" t="e" cm="1">
        <f t="array" aca="1" ref="P632" ca="1">IF(AND(G632=INDIRECT("'["&amp;G632&amp;"]"&amp;E632&amp;"'!"&amp;$AH$2),OR(VALUE(I632)=INDIRECT("'["&amp;G632&amp;"]"&amp;E632&amp;"'!"&amp;$AB$2))),INDIRECT("'["&amp;G632&amp;"]"&amp;E632&amp;"'!"&amp;$AB$3),0)</f>
        <v>#VALUE!</v>
      </c>
      <c r="Q632" s="34" t="e" cm="1">
        <f t="array" aca="1" ref="Q632" ca="1">IF(AND(G632=INDIRECT("'["&amp;G632&amp;"]"&amp;E632&amp;"'!"&amp;$AH$2),OR(VALUE(I632)=INDIRECT("'["&amp;G632&amp;"]"&amp;E632&amp;"'!"&amp;$AC$2))),INDIRECT("'["&amp;G632&amp;"]"&amp;E632&amp;"'!"&amp;$AC$3),0)</f>
        <v>#VALUE!</v>
      </c>
      <c r="R632" s="34" t="e" cm="1">
        <f t="array" aca="1" ref="R632" ca="1">IF(AND(G632=INDIRECT("'["&amp;G632&amp;"]"&amp;E632&amp;"'!"&amp;$AH$2),OR(I632=INDIRECT("'["&amp;G632&amp;"]"&amp;E632&amp;"'!"&amp;$AD$2))),INDIRECT("'["&amp;G632&amp;"]"&amp;E632&amp;"'!"&amp;$AD$3),0)</f>
        <v>#VALUE!</v>
      </c>
      <c r="S632" s="34" t="e" cm="1">
        <f t="array" aca="1" ref="S632" ca="1">IF(AND(G632=INDIRECT("'["&amp;G632&amp;"]"&amp;E632&amp;"'!"&amp;$AH$2),OR(I632=INDIRECT("'["&amp;G632&amp;"]"&amp;E632&amp;"'!"&amp;$AE$2))),INDIRECT("'["&amp;G632&amp;"]"&amp;E632&amp;"'!"&amp;$AE$3),0)</f>
        <v>#VALUE!</v>
      </c>
      <c r="T632" s="35" t="e" cm="1">
        <f t="array" aca="1" ref="T632" ca="1">IF(AND(G632=INDIRECT("'["&amp;G632&amp;"]"&amp;E632&amp;"'!"&amp;$AH$2),OR(I632=INDIRECT("'["&amp;G632&amp;"]"&amp;E632&amp;"'!"&amp;$AF$2))),INDIRECT("'["&amp;G632&amp;"]"&amp;E632&amp;"'!"&amp;$AF$3),0)</f>
        <v>#VALUE!</v>
      </c>
      <c r="U632" s="34" t="e" cm="1">
        <f t="array" aca="1" ref="U632" ca="1">IF(AND(G632=INDIRECT("'["&amp;G632&amp;"]"&amp;E632&amp;"'!"&amp;$AH$2),OR(I632=INDIRECT("'["&amp;G632&amp;"]"&amp;E632&amp;"'!"&amp;$AG$2))),INDIRECT("'["&amp;G632&amp;"]"&amp;E632&amp;"'!"&amp;$AG$3),0)</f>
        <v>#VALUE!</v>
      </c>
      <c r="V632" s="25" t="str">
        <f t="shared" si="182"/>
        <v/>
      </c>
      <c r="W632" s="36" t="e" cm="1">
        <f t="array" aca="1" ref="W632" ca="1">IF(AND(G632=INDIRECT("'["&amp;G632&amp;"]"&amp;E632&amp;"'!"&amp;$AH$2),OR(V632=INDIRECT("'["&amp;G632&amp;"]"&amp;E632&amp;"'!"&amp;$AI$2))),INDIRECT("'["&amp;G632&amp;"]"&amp;E632&amp;"'!"&amp;$AI$3),0)</f>
        <v>#VALUE!</v>
      </c>
      <c r="AJ632" s="25">
        <v>1</v>
      </c>
      <c r="AK632" s="38">
        <f t="shared" ca="1" si="183"/>
        <v>0</v>
      </c>
      <c r="AL632" s="38">
        <f t="shared" ca="1" si="184"/>
        <v>0</v>
      </c>
      <c r="AM632" s="54" t="str">
        <f t="shared" ca="1" si="185"/>
        <v/>
      </c>
      <c r="AN632" s="25" t="e">
        <f t="shared" ca="1" si="186"/>
        <v>#VALUE!</v>
      </c>
      <c r="AO632" s="25" t="e">
        <f t="shared" ca="1" si="187"/>
        <v>#VALUE!</v>
      </c>
      <c r="AQ632" s="46" t="str">
        <f ca="1">IF(AND(C632&lt;&gt;0, C633=0), SUM($C$2:C632)-SUM($AQ$1:AQ631), "")</f>
        <v/>
      </c>
      <c r="AR632" s="46" t="str">
        <f ca="1">IF(AND(AK632&lt;&gt;0, AK633=0), SUM($AK$2:AK632)-SUM($AR$1:AR631), "")</f>
        <v/>
      </c>
    </row>
    <row r="633" spans="2:44" ht="13.15" customHeight="1">
      <c r="B633" s="68" t="str">
        <f t="shared" si="173"/>
        <v/>
      </c>
      <c r="C633" s="55" cm="1">
        <f t="array" aca="1" ref="C633" ca="1">SUM(IF(ISNUMBER(M633:U633),M633:U633,""))</f>
        <v>0</v>
      </c>
      <c r="D633" s="25" t="str">
        <f t="shared" si="174"/>
        <v/>
      </c>
      <c r="E633" s="25" t="e">
        <f t="shared" si="175"/>
        <v>#VALUE!</v>
      </c>
      <c r="F633" s="25" t="str">
        <f t="shared" si="176"/>
        <v/>
      </c>
      <c r="G633" s="25" t="str">
        <f t="shared" si="177"/>
        <v>.xlsx</v>
      </c>
      <c r="H633" s="29" t="e" cm="1">
        <f t="array" aca="1" ref="H633" ca="1">IF(AND(VALUE(E633)=INDIRECT("'["&amp;G633&amp;"]"&amp;E633&amp;"'!"&amp;$X$2),G633=INDIRECT("'["&amp;G633&amp;"]"&amp;E633&amp;"'!"&amp;$X$3)),INDIRECT("'["&amp;G633&amp;"]"&amp;E633&amp;"'!"&amp;$X$1),0)</f>
        <v>#VALUE!</v>
      </c>
      <c r="I633" s="25" t="str">
        <f t="shared" si="178"/>
        <v/>
      </c>
      <c r="J633" s="32" t="str">
        <f t="shared" si="179"/>
        <v/>
      </c>
      <c r="K633" s="25" t="str">
        <f t="shared" si="180"/>
        <v/>
      </c>
      <c r="L633" s="25" t="str">
        <f t="shared" si="181"/>
        <v/>
      </c>
      <c r="M633" s="33" t="e" cm="1">
        <f t="array" aca="1" ref="M633" ca="1">IF(AND(J633=INDIRECT("'["&amp;G633&amp;"]"&amp;E633&amp;"'!"&amp;$Y$2),G633=INDIRECT("'["&amp;G633&amp;"]"&amp;E633&amp;"'!"&amp;$AH$2)),INDIRECT("'["&amp;G633&amp;"]"&amp;E633&amp;"'!"&amp;$Y$3),0)</f>
        <v>#VALUE!</v>
      </c>
      <c r="N633" s="34" t="e" cm="1">
        <f t="array" aca="1" ref="N633" ca="1">IF(AND(G633=INDIRECT("'["&amp;G633&amp;"]"&amp;E633&amp;"'!"&amp;$AH$2),OR(K633=INDIRECT("'["&amp;G633&amp;"]"&amp;E633&amp;"'!"&amp;$Z$2))),INDIRECT("'["&amp;G633&amp;"]"&amp;E633&amp;"'!"&amp;$Z$3),0)</f>
        <v>#VALUE!</v>
      </c>
      <c r="O633" s="34" t="e" cm="1">
        <f t="array" aca="1" ref="O633" ca="1">IF(AND(G633=INDIRECT("'["&amp;G633&amp;"]"&amp;E633&amp;"'!"&amp;$AH$2),OR(L633=INDIRECT("'["&amp;G633&amp;"]"&amp;E633&amp;"'!"&amp;$AA$2))),INDIRECT("'["&amp;G633&amp;"]"&amp;E633&amp;"'!"&amp;$AA$3),0)</f>
        <v>#VALUE!</v>
      </c>
      <c r="P633" s="34" t="e" cm="1">
        <f t="array" aca="1" ref="P633" ca="1">IF(AND(G633=INDIRECT("'["&amp;G633&amp;"]"&amp;E633&amp;"'!"&amp;$AH$2),OR(VALUE(I633)=INDIRECT("'["&amp;G633&amp;"]"&amp;E633&amp;"'!"&amp;$AB$2))),INDIRECT("'["&amp;G633&amp;"]"&amp;E633&amp;"'!"&amp;$AB$3),0)</f>
        <v>#VALUE!</v>
      </c>
      <c r="Q633" s="34" t="e" cm="1">
        <f t="array" aca="1" ref="Q633" ca="1">IF(AND(G633=INDIRECT("'["&amp;G633&amp;"]"&amp;E633&amp;"'!"&amp;$AH$2),OR(VALUE(I633)=INDIRECT("'["&amp;G633&amp;"]"&amp;E633&amp;"'!"&amp;$AC$2))),INDIRECT("'["&amp;G633&amp;"]"&amp;E633&amp;"'!"&amp;$AC$3),0)</f>
        <v>#VALUE!</v>
      </c>
      <c r="R633" s="34" t="e" cm="1">
        <f t="array" aca="1" ref="R633" ca="1">IF(AND(G633=INDIRECT("'["&amp;G633&amp;"]"&amp;E633&amp;"'!"&amp;$AH$2),OR(I633=INDIRECT("'["&amp;G633&amp;"]"&amp;E633&amp;"'!"&amp;$AD$2))),INDIRECT("'["&amp;G633&amp;"]"&amp;E633&amp;"'!"&amp;$AD$3),0)</f>
        <v>#VALUE!</v>
      </c>
      <c r="S633" s="34" t="e" cm="1">
        <f t="array" aca="1" ref="S633" ca="1">IF(AND(G633=INDIRECT("'["&amp;G633&amp;"]"&amp;E633&amp;"'!"&amp;$AH$2),OR(I633=INDIRECT("'["&amp;G633&amp;"]"&amp;E633&amp;"'!"&amp;$AE$2))),INDIRECT("'["&amp;G633&amp;"]"&amp;E633&amp;"'!"&amp;$AE$3),0)</f>
        <v>#VALUE!</v>
      </c>
      <c r="T633" s="35" t="e" cm="1">
        <f t="array" aca="1" ref="T633" ca="1">IF(AND(G633=INDIRECT("'["&amp;G633&amp;"]"&amp;E633&amp;"'!"&amp;$AH$2),OR(I633=INDIRECT("'["&amp;G633&amp;"]"&amp;E633&amp;"'!"&amp;$AF$2))),INDIRECT("'["&amp;G633&amp;"]"&amp;E633&amp;"'!"&amp;$AF$3),0)</f>
        <v>#VALUE!</v>
      </c>
      <c r="U633" s="34" t="e" cm="1">
        <f t="array" aca="1" ref="U633" ca="1">IF(AND(G633=INDIRECT("'["&amp;G633&amp;"]"&amp;E633&amp;"'!"&amp;$AH$2),OR(I633=INDIRECT("'["&amp;G633&amp;"]"&amp;E633&amp;"'!"&amp;$AG$2))),INDIRECT("'["&amp;G633&amp;"]"&amp;E633&amp;"'!"&amp;$AG$3),0)</f>
        <v>#VALUE!</v>
      </c>
      <c r="V633" s="25" t="str">
        <f t="shared" si="182"/>
        <v/>
      </c>
      <c r="W633" s="36" t="e" cm="1">
        <f t="array" aca="1" ref="W633" ca="1">IF(AND(G633=INDIRECT("'["&amp;G633&amp;"]"&amp;E633&amp;"'!"&amp;$AH$2),OR(V633=INDIRECT("'["&amp;G633&amp;"]"&amp;E633&amp;"'!"&amp;$AI$2))),INDIRECT("'["&amp;G633&amp;"]"&amp;E633&amp;"'!"&amp;$AI$3),0)</f>
        <v>#VALUE!</v>
      </c>
      <c r="AJ633" s="25">
        <v>1</v>
      </c>
      <c r="AK633" s="38">
        <f t="shared" ca="1" si="183"/>
        <v>0</v>
      </c>
      <c r="AL633" s="38">
        <f t="shared" ca="1" si="184"/>
        <v>0</v>
      </c>
      <c r="AM633" s="54" t="str">
        <f t="shared" ca="1" si="185"/>
        <v/>
      </c>
      <c r="AN633" s="25" t="e">
        <f t="shared" ca="1" si="186"/>
        <v>#VALUE!</v>
      </c>
      <c r="AO633" s="25" t="e">
        <f t="shared" ca="1" si="187"/>
        <v>#VALUE!</v>
      </c>
      <c r="AQ633" s="46" t="str">
        <f ca="1">IF(AND(C633&lt;&gt;0, C634=0), SUM($C$2:C633)-SUM($AQ$1:AQ632), "")</f>
        <v/>
      </c>
      <c r="AR633" s="46" t="str">
        <f ca="1">IF(AND(AK633&lt;&gt;0, AK634=0), SUM($AK$2:AK633)-SUM($AR$1:AR632), "")</f>
        <v/>
      </c>
    </row>
    <row r="634" spans="2:44" ht="13.15" customHeight="1">
      <c r="B634" s="68" t="str">
        <f t="shared" si="173"/>
        <v/>
      </c>
      <c r="C634" s="55" cm="1">
        <f t="array" aca="1" ref="C634" ca="1">SUM(IF(ISNUMBER(M634:U634),M634:U634,""))</f>
        <v>0</v>
      </c>
      <c r="D634" s="25" t="str">
        <f t="shared" si="174"/>
        <v/>
      </c>
      <c r="E634" s="25" t="e">
        <f t="shared" si="175"/>
        <v>#VALUE!</v>
      </c>
      <c r="F634" s="25" t="str">
        <f t="shared" si="176"/>
        <v/>
      </c>
      <c r="G634" s="25" t="str">
        <f t="shared" si="177"/>
        <v>.xlsx</v>
      </c>
      <c r="H634" s="29" t="e" cm="1">
        <f t="array" aca="1" ref="H634" ca="1">IF(AND(VALUE(E634)=INDIRECT("'["&amp;G634&amp;"]"&amp;E634&amp;"'!"&amp;$X$2),G634=INDIRECT("'["&amp;G634&amp;"]"&amp;E634&amp;"'!"&amp;$X$3)),INDIRECT("'["&amp;G634&amp;"]"&amp;E634&amp;"'!"&amp;$X$1),0)</f>
        <v>#VALUE!</v>
      </c>
      <c r="I634" s="25" t="str">
        <f t="shared" si="178"/>
        <v/>
      </c>
      <c r="J634" s="32" t="str">
        <f t="shared" si="179"/>
        <v/>
      </c>
      <c r="K634" s="25" t="str">
        <f t="shared" si="180"/>
        <v/>
      </c>
      <c r="L634" s="25" t="str">
        <f t="shared" si="181"/>
        <v/>
      </c>
      <c r="M634" s="33" t="e" cm="1">
        <f t="array" aca="1" ref="M634" ca="1">IF(AND(J634=INDIRECT("'["&amp;G634&amp;"]"&amp;E634&amp;"'!"&amp;$Y$2),G634=INDIRECT("'["&amp;G634&amp;"]"&amp;E634&amp;"'!"&amp;$AH$2)),INDIRECT("'["&amp;G634&amp;"]"&amp;E634&amp;"'!"&amp;$Y$3),0)</f>
        <v>#VALUE!</v>
      </c>
      <c r="N634" s="34" t="e" cm="1">
        <f t="array" aca="1" ref="N634" ca="1">IF(AND(G634=INDIRECT("'["&amp;G634&amp;"]"&amp;E634&amp;"'!"&amp;$AH$2),OR(K634=INDIRECT("'["&amp;G634&amp;"]"&amp;E634&amp;"'!"&amp;$Z$2))),INDIRECT("'["&amp;G634&amp;"]"&amp;E634&amp;"'!"&amp;$Z$3),0)</f>
        <v>#VALUE!</v>
      </c>
      <c r="O634" s="34" t="e" cm="1">
        <f t="array" aca="1" ref="O634" ca="1">IF(AND(G634=INDIRECT("'["&amp;G634&amp;"]"&amp;E634&amp;"'!"&amp;$AH$2),OR(L634=INDIRECT("'["&amp;G634&amp;"]"&amp;E634&amp;"'!"&amp;$AA$2))),INDIRECT("'["&amp;G634&amp;"]"&amp;E634&amp;"'!"&amp;$AA$3),0)</f>
        <v>#VALUE!</v>
      </c>
      <c r="P634" s="34" t="e" cm="1">
        <f t="array" aca="1" ref="P634" ca="1">IF(AND(G634=INDIRECT("'["&amp;G634&amp;"]"&amp;E634&amp;"'!"&amp;$AH$2),OR(VALUE(I634)=INDIRECT("'["&amp;G634&amp;"]"&amp;E634&amp;"'!"&amp;$AB$2))),INDIRECT("'["&amp;G634&amp;"]"&amp;E634&amp;"'!"&amp;$AB$3),0)</f>
        <v>#VALUE!</v>
      </c>
      <c r="Q634" s="34" t="e" cm="1">
        <f t="array" aca="1" ref="Q634" ca="1">IF(AND(G634=INDIRECT("'["&amp;G634&amp;"]"&amp;E634&amp;"'!"&amp;$AH$2),OR(VALUE(I634)=INDIRECT("'["&amp;G634&amp;"]"&amp;E634&amp;"'!"&amp;$AC$2))),INDIRECT("'["&amp;G634&amp;"]"&amp;E634&amp;"'!"&amp;$AC$3),0)</f>
        <v>#VALUE!</v>
      </c>
      <c r="R634" s="34" t="e" cm="1">
        <f t="array" aca="1" ref="R634" ca="1">IF(AND(G634=INDIRECT("'["&amp;G634&amp;"]"&amp;E634&amp;"'!"&amp;$AH$2),OR(I634=INDIRECT("'["&amp;G634&amp;"]"&amp;E634&amp;"'!"&amp;$AD$2))),INDIRECT("'["&amp;G634&amp;"]"&amp;E634&amp;"'!"&amp;$AD$3),0)</f>
        <v>#VALUE!</v>
      </c>
      <c r="S634" s="34" t="e" cm="1">
        <f t="array" aca="1" ref="S634" ca="1">IF(AND(G634=INDIRECT("'["&amp;G634&amp;"]"&amp;E634&amp;"'!"&amp;$AH$2),OR(I634=INDIRECT("'["&amp;G634&amp;"]"&amp;E634&amp;"'!"&amp;$AE$2))),INDIRECT("'["&amp;G634&amp;"]"&amp;E634&amp;"'!"&amp;$AE$3),0)</f>
        <v>#VALUE!</v>
      </c>
      <c r="T634" s="35" t="e" cm="1">
        <f t="array" aca="1" ref="T634" ca="1">IF(AND(G634=INDIRECT("'["&amp;G634&amp;"]"&amp;E634&amp;"'!"&amp;$AH$2),OR(I634=INDIRECT("'["&amp;G634&amp;"]"&amp;E634&amp;"'!"&amp;$AF$2))),INDIRECT("'["&amp;G634&amp;"]"&amp;E634&amp;"'!"&amp;$AF$3),0)</f>
        <v>#VALUE!</v>
      </c>
      <c r="U634" s="34" t="e" cm="1">
        <f t="array" aca="1" ref="U634" ca="1">IF(AND(G634=INDIRECT("'["&amp;G634&amp;"]"&amp;E634&amp;"'!"&amp;$AH$2),OR(I634=INDIRECT("'["&amp;G634&amp;"]"&amp;E634&amp;"'!"&amp;$AG$2))),INDIRECT("'["&amp;G634&amp;"]"&amp;E634&amp;"'!"&amp;$AG$3),0)</f>
        <v>#VALUE!</v>
      </c>
      <c r="V634" s="25" t="str">
        <f t="shared" si="182"/>
        <v/>
      </c>
      <c r="W634" s="36" t="e" cm="1">
        <f t="array" aca="1" ref="W634" ca="1">IF(AND(G634=INDIRECT("'["&amp;G634&amp;"]"&amp;E634&amp;"'!"&amp;$AH$2),OR(V634=INDIRECT("'["&amp;G634&amp;"]"&amp;E634&amp;"'!"&amp;$AI$2))),INDIRECT("'["&amp;G634&amp;"]"&amp;E634&amp;"'!"&amp;$AI$3),0)</f>
        <v>#VALUE!</v>
      </c>
      <c r="AJ634" s="25">
        <v>1</v>
      </c>
      <c r="AK634" s="38">
        <f t="shared" ca="1" si="183"/>
        <v>0</v>
      </c>
      <c r="AL634" s="38">
        <f t="shared" ca="1" si="184"/>
        <v>0</v>
      </c>
      <c r="AM634" s="54" t="str">
        <f t="shared" ca="1" si="185"/>
        <v/>
      </c>
      <c r="AN634" s="25" t="e">
        <f t="shared" ca="1" si="186"/>
        <v>#VALUE!</v>
      </c>
      <c r="AO634" s="25" t="e">
        <f t="shared" ca="1" si="187"/>
        <v>#VALUE!</v>
      </c>
      <c r="AQ634" s="46" t="str">
        <f ca="1">IF(AND(C634&lt;&gt;0, C635=0), SUM($C$2:C634)-SUM($AQ$1:AQ633), "")</f>
        <v/>
      </c>
      <c r="AR634" s="46" t="str">
        <f ca="1">IF(AND(AK634&lt;&gt;0, AK635=0), SUM($AK$2:AK634)-SUM($AR$1:AR633), "")</f>
        <v/>
      </c>
    </row>
    <row r="635" spans="2:44" ht="13.15" customHeight="1">
      <c r="B635" s="68" t="str">
        <f t="shared" si="173"/>
        <v/>
      </c>
      <c r="C635" s="55" cm="1">
        <f t="array" aca="1" ref="C635" ca="1">SUM(IF(ISNUMBER(M635:U635),M635:U635,""))</f>
        <v>0</v>
      </c>
      <c r="D635" s="25" t="str">
        <f t="shared" si="174"/>
        <v/>
      </c>
      <c r="E635" s="25" t="e">
        <f t="shared" si="175"/>
        <v>#VALUE!</v>
      </c>
      <c r="F635" s="25" t="str">
        <f t="shared" si="176"/>
        <v/>
      </c>
      <c r="G635" s="25" t="str">
        <f t="shared" si="177"/>
        <v>.xlsx</v>
      </c>
      <c r="H635" s="29" t="e" cm="1">
        <f t="array" aca="1" ref="H635" ca="1">IF(AND(VALUE(E635)=INDIRECT("'["&amp;G635&amp;"]"&amp;E635&amp;"'!"&amp;$X$2),G635=INDIRECT("'["&amp;G635&amp;"]"&amp;E635&amp;"'!"&amp;$X$3)),INDIRECT("'["&amp;G635&amp;"]"&amp;E635&amp;"'!"&amp;$X$1),0)</f>
        <v>#VALUE!</v>
      </c>
      <c r="I635" s="25" t="str">
        <f t="shared" si="178"/>
        <v/>
      </c>
      <c r="J635" s="32" t="str">
        <f t="shared" si="179"/>
        <v/>
      </c>
      <c r="K635" s="25" t="str">
        <f t="shared" si="180"/>
        <v/>
      </c>
      <c r="L635" s="25" t="str">
        <f t="shared" si="181"/>
        <v/>
      </c>
      <c r="M635" s="33" t="e" cm="1">
        <f t="array" aca="1" ref="M635" ca="1">IF(AND(J635=INDIRECT("'["&amp;G635&amp;"]"&amp;E635&amp;"'!"&amp;$Y$2),G635=INDIRECT("'["&amp;G635&amp;"]"&amp;E635&amp;"'!"&amp;$AH$2)),INDIRECT("'["&amp;G635&amp;"]"&amp;E635&amp;"'!"&amp;$Y$3),0)</f>
        <v>#VALUE!</v>
      </c>
      <c r="N635" s="34" t="e" cm="1">
        <f t="array" aca="1" ref="N635" ca="1">IF(AND(G635=INDIRECT("'["&amp;G635&amp;"]"&amp;E635&amp;"'!"&amp;$AH$2),OR(K635=INDIRECT("'["&amp;G635&amp;"]"&amp;E635&amp;"'!"&amp;$Z$2))),INDIRECT("'["&amp;G635&amp;"]"&amp;E635&amp;"'!"&amp;$Z$3),0)</f>
        <v>#VALUE!</v>
      </c>
      <c r="O635" s="34" t="e" cm="1">
        <f t="array" aca="1" ref="O635" ca="1">IF(AND(G635=INDIRECT("'["&amp;G635&amp;"]"&amp;E635&amp;"'!"&amp;$AH$2),OR(L635=INDIRECT("'["&amp;G635&amp;"]"&amp;E635&amp;"'!"&amp;$AA$2))),INDIRECT("'["&amp;G635&amp;"]"&amp;E635&amp;"'!"&amp;$AA$3),0)</f>
        <v>#VALUE!</v>
      </c>
      <c r="P635" s="34" t="e" cm="1">
        <f t="array" aca="1" ref="P635" ca="1">IF(AND(G635=INDIRECT("'["&amp;G635&amp;"]"&amp;E635&amp;"'!"&amp;$AH$2),OR(VALUE(I635)=INDIRECT("'["&amp;G635&amp;"]"&amp;E635&amp;"'!"&amp;$AB$2))),INDIRECT("'["&amp;G635&amp;"]"&amp;E635&amp;"'!"&amp;$AB$3),0)</f>
        <v>#VALUE!</v>
      </c>
      <c r="Q635" s="34" t="e" cm="1">
        <f t="array" aca="1" ref="Q635" ca="1">IF(AND(G635=INDIRECT("'["&amp;G635&amp;"]"&amp;E635&amp;"'!"&amp;$AH$2),OR(VALUE(I635)=INDIRECT("'["&amp;G635&amp;"]"&amp;E635&amp;"'!"&amp;$AC$2))),INDIRECT("'["&amp;G635&amp;"]"&amp;E635&amp;"'!"&amp;$AC$3),0)</f>
        <v>#VALUE!</v>
      </c>
      <c r="R635" s="34" t="e" cm="1">
        <f t="array" aca="1" ref="R635" ca="1">IF(AND(G635=INDIRECT("'["&amp;G635&amp;"]"&amp;E635&amp;"'!"&amp;$AH$2),OR(I635=INDIRECT("'["&amp;G635&amp;"]"&amp;E635&amp;"'!"&amp;$AD$2))),INDIRECT("'["&amp;G635&amp;"]"&amp;E635&amp;"'!"&amp;$AD$3),0)</f>
        <v>#VALUE!</v>
      </c>
      <c r="S635" s="34" t="e" cm="1">
        <f t="array" aca="1" ref="S635" ca="1">IF(AND(G635=INDIRECT("'["&amp;G635&amp;"]"&amp;E635&amp;"'!"&amp;$AH$2),OR(I635=INDIRECT("'["&amp;G635&amp;"]"&amp;E635&amp;"'!"&amp;$AE$2))),INDIRECT("'["&amp;G635&amp;"]"&amp;E635&amp;"'!"&amp;$AE$3),0)</f>
        <v>#VALUE!</v>
      </c>
      <c r="T635" s="35" t="e" cm="1">
        <f t="array" aca="1" ref="T635" ca="1">IF(AND(G635=INDIRECT("'["&amp;G635&amp;"]"&amp;E635&amp;"'!"&amp;$AH$2),OR(I635=INDIRECT("'["&amp;G635&amp;"]"&amp;E635&amp;"'!"&amp;$AF$2))),INDIRECT("'["&amp;G635&amp;"]"&amp;E635&amp;"'!"&amp;$AF$3),0)</f>
        <v>#VALUE!</v>
      </c>
      <c r="U635" s="34" t="e" cm="1">
        <f t="array" aca="1" ref="U635" ca="1">IF(AND(G635=INDIRECT("'["&amp;G635&amp;"]"&amp;E635&amp;"'!"&amp;$AH$2),OR(I635=INDIRECT("'["&amp;G635&amp;"]"&amp;E635&amp;"'!"&amp;$AG$2))),INDIRECT("'["&amp;G635&amp;"]"&amp;E635&amp;"'!"&amp;$AG$3),0)</f>
        <v>#VALUE!</v>
      </c>
      <c r="V635" s="25" t="str">
        <f t="shared" si="182"/>
        <v/>
      </c>
      <c r="W635" s="36" t="e" cm="1">
        <f t="array" aca="1" ref="W635" ca="1">IF(AND(G635=INDIRECT("'["&amp;G635&amp;"]"&amp;E635&amp;"'!"&amp;$AH$2),OR(V635=INDIRECT("'["&amp;G635&amp;"]"&amp;E635&amp;"'!"&amp;$AI$2))),INDIRECT("'["&amp;G635&amp;"]"&amp;E635&amp;"'!"&amp;$AI$3),0)</f>
        <v>#VALUE!</v>
      </c>
      <c r="AJ635" s="25">
        <v>1</v>
      </c>
      <c r="AK635" s="38">
        <f t="shared" ca="1" si="183"/>
        <v>0</v>
      </c>
      <c r="AL635" s="38">
        <f t="shared" ca="1" si="184"/>
        <v>0</v>
      </c>
      <c r="AM635" s="54" t="str">
        <f t="shared" ca="1" si="185"/>
        <v/>
      </c>
      <c r="AN635" s="25" t="e">
        <f t="shared" ca="1" si="186"/>
        <v>#VALUE!</v>
      </c>
      <c r="AO635" s="25" t="e">
        <f t="shared" ca="1" si="187"/>
        <v>#VALUE!</v>
      </c>
      <c r="AQ635" s="46" t="str">
        <f ca="1">IF(AND(C635&lt;&gt;0, C636=0), SUM($C$2:C635)-SUM($AQ$1:AQ634), "")</f>
        <v/>
      </c>
      <c r="AR635" s="46" t="str">
        <f ca="1">IF(AND(AK635&lt;&gt;0, AK636=0), SUM($AK$2:AK635)-SUM($AR$1:AR634), "")</f>
        <v/>
      </c>
    </row>
    <row r="636" spans="2:44" ht="13.15" customHeight="1">
      <c r="B636" s="68" t="str">
        <f t="shared" si="173"/>
        <v/>
      </c>
      <c r="C636" s="55" cm="1">
        <f t="array" aca="1" ref="C636" ca="1">SUM(IF(ISNUMBER(M636:U636),M636:U636,""))</f>
        <v>0</v>
      </c>
      <c r="D636" s="25" t="str">
        <f t="shared" si="174"/>
        <v/>
      </c>
      <c r="E636" s="25" t="e">
        <f t="shared" si="175"/>
        <v>#VALUE!</v>
      </c>
      <c r="F636" s="25" t="str">
        <f t="shared" si="176"/>
        <v/>
      </c>
      <c r="G636" s="25" t="str">
        <f t="shared" si="177"/>
        <v>.xlsx</v>
      </c>
      <c r="H636" s="29" t="e" cm="1">
        <f t="array" aca="1" ref="H636" ca="1">IF(AND(VALUE(E636)=INDIRECT("'["&amp;G636&amp;"]"&amp;E636&amp;"'!"&amp;$X$2),G636=INDIRECT("'["&amp;G636&amp;"]"&amp;E636&amp;"'!"&amp;$X$3)),INDIRECT("'["&amp;G636&amp;"]"&amp;E636&amp;"'!"&amp;$X$1),0)</f>
        <v>#VALUE!</v>
      </c>
      <c r="I636" s="25" t="str">
        <f t="shared" si="178"/>
        <v/>
      </c>
      <c r="J636" s="32" t="str">
        <f t="shared" si="179"/>
        <v/>
      </c>
      <c r="K636" s="25" t="str">
        <f t="shared" si="180"/>
        <v/>
      </c>
      <c r="L636" s="25" t="str">
        <f t="shared" si="181"/>
        <v/>
      </c>
      <c r="M636" s="33" t="e" cm="1">
        <f t="array" aca="1" ref="M636" ca="1">IF(AND(J636=INDIRECT("'["&amp;G636&amp;"]"&amp;E636&amp;"'!"&amp;$Y$2),G636=INDIRECT("'["&amp;G636&amp;"]"&amp;E636&amp;"'!"&amp;$AH$2)),INDIRECT("'["&amp;G636&amp;"]"&amp;E636&amp;"'!"&amp;$Y$3),0)</f>
        <v>#VALUE!</v>
      </c>
      <c r="N636" s="34" t="e" cm="1">
        <f t="array" aca="1" ref="N636" ca="1">IF(AND(G636=INDIRECT("'["&amp;G636&amp;"]"&amp;E636&amp;"'!"&amp;$AH$2),OR(K636=INDIRECT("'["&amp;G636&amp;"]"&amp;E636&amp;"'!"&amp;$Z$2))),INDIRECT("'["&amp;G636&amp;"]"&amp;E636&amp;"'!"&amp;$Z$3),0)</f>
        <v>#VALUE!</v>
      </c>
      <c r="O636" s="34" t="e" cm="1">
        <f t="array" aca="1" ref="O636" ca="1">IF(AND(G636=INDIRECT("'["&amp;G636&amp;"]"&amp;E636&amp;"'!"&amp;$AH$2),OR(L636=INDIRECT("'["&amp;G636&amp;"]"&amp;E636&amp;"'!"&amp;$AA$2))),INDIRECT("'["&amp;G636&amp;"]"&amp;E636&amp;"'!"&amp;$AA$3),0)</f>
        <v>#VALUE!</v>
      </c>
      <c r="P636" s="34" t="e" cm="1">
        <f t="array" aca="1" ref="P636" ca="1">IF(AND(G636=INDIRECT("'["&amp;G636&amp;"]"&amp;E636&amp;"'!"&amp;$AH$2),OR(VALUE(I636)=INDIRECT("'["&amp;G636&amp;"]"&amp;E636&amp;"'!"&amp;$AB$2))),INDIRECT("'["&amp;G636&amp;"]"&amp;E636&amp;"'!"&amp;$AB$3),0)</f>
        <v>#VALUE!</v>
      </c>
      <c r="Q636" s="34" t="e" cm="1">
        <f t="array" aca="1" ref="Q636" ca="1">IF(AND(G636=INDIRECT("'["&amp;G636&amp;"]"&amp;E636&amp;"'!"&amp;$AH$2),OR(VALUE(I636)=INDIRECT("'["&amp;G636&amp;"]"&amp;E636&amp;"'!"&amp;$AC$2))),INDIRECT("'["&amp;G636&amp;"]"&amp;E636&amp;"'!"&amp;$AC$3),0)</f>
        <v>#VALUE!</v>
      </c>
      <c r="R636" s="34" t="e" cm="1">
        <f t="array" aca="1" ref="R636" ca="1">IF(AND(G636=INDIRECT("'["&amp;G636&amp;"]"&amp;E636&amp;"'!"&amp;$AH$2),OR(I636=INDIRECT("'["&amp;G636&amp;"]"&amp;E636&amp;"'!"&amp;$AD$2))),INDIRECT("'["&amp;G636&amp;"]"&amp;E636&amp;"'!"&amp;$AD$3),0)</f>
        <v>#VALUE!</v>
      </c>
      <c r="S636" s="34" t="e" cm="1">
        <f t="array" aca="1" ref="S636" ca="1">IF(AND(G636=INDIRECT("'["&amp;G636&amp;"]"&amp;E636&amp;"'!"&amp;$AH$2),OR(I636=INDIRECT("'["&amp;G636&amp;"]"&amp;E636&amp;"'!"&amp;$AE$2))),INDIRECT("'["&amp;G636&amp;"]"&amp;E636&amp;"'!"&amp;$AE$3),0)</f>
        <v>#VALUE!</v>
      </c>
      <c r="T636" s="35" t="e" cm="1">
        <f t="array" aca="1" ref="T636" ca="1">IF(AND(G636=INDIRECT("'["&amp;G636&amp;"]"&amp;E636&amp;"'!"&amp;$AH$2),OR(I636=INDIRECT("'["&amp;G636&amp;"]"&amp;E636&amp;"'!"&amp;$AF$2))),INDIRECT("'["&amp;G636&amp;"]"&amp;E636&amp;"'!"&amp;$AF$3),0)</f>
        <v>#VALUE!</v>
      </c>
      <c r="U636" s="34" t="e" cm="1">
        <f t="array" aca="1" ref="U636" ca="1">IF(AND(G636=INDIRECT("'["&amp;G636&amp;"]"&amp;E636&amp;"'!"&amp;$AH$2),OR(I636=INDIRECT("'["&amp;G636&amp;"]"&amp;E636&amp;"'!"&amp;$AG$2))),INDIRECT("'["&amp;G636&amp;"]"&amp;E636&amp;"'!"&amp;$AG$3),0)</f>
        <v>#VALUE!</v>
      </c>
      <c r="V636" s="25" t="str">
        <f t="shared" si="182"/>
        <v/>
      </c>
      <c r="W636" s="36" t="e" cm="1">
        <f t="array" aca="1" ref="W636" ca="1">IF(AND(G636=INDIRECT("'["&amp;G636&amp;"]"&amp;E636&amp;"'!"&amp;$AH$2),OR(V636=INDIRECT("'["&amp;G636&amp;"]"&amp;E636&amp;"'!"&amp;$AI$2))),INDIRECT("'["&amp;G636&amp;"]"&amp;E636&amp;"'!"&amp;$AI$3),0)</f>
        <v>#VALUE!</v>
      </c>
      <c r="AJ636" s="25">
        <v>1</v>
      </c>
      <c r="AK636" s="38">
        <f t="shared" ca="1" si="183"/>
        <v>0</v>
      </c>
      <c r="AL636" s="38">
        <f t="shared" ca="1" si="184"/>
        <v>0</v>
      </c>
      <c r="AM636" s="54" t="str">
        <f t="shared" ca="1" si="185"/>
        <v/>
      </c>
      <c r="AN636" s="25" t="e">
        <f t="shared" ca="1" si="186"/>
        <v>#VALUE!</v>
      </c>
      <c r="AO636" s="25" t="e">
        <f t="shared" ca="1" si="187"/>
        <v>#VALUE!</v>
      </c>
      <c r="AQ636" s="46" t="str">
        <f ca="1">IF(AND(C636&lt;&gt;0, C637=0), SUM($C$2:C636)-SUM($AQ$1:AQ635), "")</f>
        <v/>
      </c>
      <c r="AR636" s="46" t="str">
        <f ca="1">IF(AND(AK636&lt;&gt;0, AK637=0), SUM($AK$2:AK636)-SUM($AR$1:AR635), "")</f>
        <v/>
      </c>
    </row>
    <row r="637" spans="2:44" ht="13.15" customHeight="1">
      <c r="B637" s="68" t="str">
        <f t="shared" si="173"/>
        <v/>
      </c>
      <c r="C637" s="55" cm="1">
        <f t="array" aca="1" ref="C637" ca="1">SUM(IF(ISNUMBER(M637:U637),M637:U637,""))</f>
        <v>0</v>
      </c>
      <c r="D637" s="25" t="str">
        <f t="shared" si="174"/>
        <v/>
      </c>
      <c r="E637" s="25" t="e">
        <f t="shared" si="175"/>
        <v>#VALUE!</v>
      </c>
      <c r="F637" s="25" t="str">
        <f t="shared" si="176"/>
        <v/>
      </c>
      <c r="G637" s="25" t="str">
        <f t="shared" si="177"/>
        <v>.xlsx</v>
      </c>
      <c r="H637" s="29" t="e" cm="1">
        <f t="array" aca="1" ref="H637" ca="1">IF(AND(VALUE(E637)=INDIRECT("'["&amp;G637&amp;"]"&amp;E637&amp;"'!"&amp;$X$2),G637=INDIRECT("'["&amp;G637&amp;"]"&amp;E637&amp;"'!"&amp;$X$3)),INDIRECT("'["&amp;G637&amp;"]"&amp;E637&amp;"'!"&amp;$X$1),0)</f>
        <v>#VALUE!</v>
      </c>
      <c r="I637" s="25" t="str">
        <f t="shared" si="178"/>
        <v/>
      </c>
      <c r="J637" s="32" t="str">
        <f t="shared" si="179"/>
        <v/>
      </c>
      <c r="K637" s="25" t="str">
        <f t="shared" si="180"/>
        <v/>
      </c>
      <c r="L637" s="25" t="str">
        <f t="shared" si="181"/>
        <v/>
      </c>
      <c r="M637" s="33" t="e" cm="1">
        <f t="array" aca="1" ref="M637" ca="1">IF(AND(J637=INDIRECT("'["&amp;G637&amp;"]"&amp;E637&amp;"'!"&amp;$Y$2),G637=INDIRECT("'["&amp;G637&amp;"]"&amp;E637&amp;"'!"&amp;$AH$2)),INDIRECT("'["&amp;G637&amp;"]"&amp;E637&amp;"'!"&amp;$Y$3),0)</f>
        <v>#VALUE!</v>
      </c>
      <c r="N637" s="34" t="e" cm="1">
        <f t="array" aca="1" ref="N637" ca="1">IF(AND(G637=INDIRECT("'["&amp;G637&amp;"]"&amp;E637&amp;"'!"&amp;$AH$2),OR(K637=INDIRECT("'["&amp;G637&amp;"]"&amp;E637&amp;"'!"&amp;$Z$2))),INDIRECT("'["&amp;G637&amp;"]"&amp;E637&amp;"'!"&amp;$Z$3),0)</f>
        <v>#VALUE!</v>
      </c>
      <c r="O637" s="34" t="e" cm="1">
        <f t="array" aca="1" ref="O637" ca="1">IF(AND(G637=INDIRECT("'["&amp;G637&amp;"]"&amp;E637&amp;"'!"&amp;$AH$2),OR(L637=INDIRECT("'["&amp;G637&amp;"]"&amp;E637&amp;"'!"&amp;$AA$2))),INDIRECT("'["&amp;G637&amp;"]"&amp;E637&amp;"'!"&amp;$AA$3),0)</f>
        <v>#VALUE!</v>
      </c>
      <c r="P637" s="34" t="e" cm="1">
        <f t="array" aca="1" ref="P637" ca="1">IF(AND(G637=INDIRECT("'["&amp;G637&amp;"]"&amp;E637&amp;"'!"&amp;$AH$2),OR(VALUE(I637)=INDIRECT("'["&amp;G637&amp;"]"&amp;E637&amp;"'!"&amp;$AB$2))),INDIRECT("'["&amp;G637&amp;"]"&amp;E637&amp;"'!"&amp;$AB$3),0)</f>
        <v>#VALUE!</v>
      </c>
      <c r="Q637" s="34" t="e" cm="1">
        <f t="array" aca="1" ref="Q637" ca="1">IF(AND(G637=INDIRECT("'["&amp;G637&amp;"]"&amp;E637&amp;"'!"&amp;$AH$2),OR(VALUE(I637)=INDIRECT("'["&amp;G637&amp;"]"&amp;E637&amp;"'!"&amp;$AC$2))),INDIRECT("'["&amp;G637&amp;"]"&amp;E637&amp;"'!"&amp;$AC$3),0)</f>
        <v>#VALUE!</v>
      </c>
      <c r="R637" s="34" t="e" cm="1">
        <f t="array" aca="1" ref="R637" ca="1">IF(AND(G637=INDIRECT("'["&amp;G637&amp;"]"&amp;E637&amp;"'!"&amp;$AH$2),OR(I637=INDIRECT("'["&amp;G637&amp;"]"&amp;E637&amp;"'!"&amp;$AD$2))),INDIRECT("'["&amp;G637&amp;"]"&amp;E637&amp;"'!"&amp;$AD$3),0)</f>
        <v>#VALUE!</v>
      </c>
      <c r="S637" s="34" t="e" cm="1">
        <f t="array" aca="1" ref="S637" ca="1">IF(AND(G637=INDIRECT("'["&amp;G637&amp;"]"&amp;E637&amp;"'!"&amp;$AH$2),OR(I637=INDIRECT("'["&amp;G637&amp;"]"&amp;E637&amp;"'!"&amp;$AE$2))),INDIRECT("'["&amp;G637&amp;"]"&amp;E637&amp;"'!"&amp;$AE$3),0)</f>
        <v>#VALUE!</v>
      </c>
      <c r="T637" s="35" t="e" cm="1">
        <f t="array" aca="1" ref="T637" ca="1">IF(AND(G637=INDIRECT("'["&amp;G637&amp;"]"&amp;E637&amp;"'!"&amp;$AH$2),OR(I637=INDIRECT("'["&amp;G637&amp;"]"&amp;E637&amp;"'!"&amp;$AF$2))),INDIRECT("'["&amp;G637&amp;"]"&amp;E637&amp;"'!"&amp;$AF$3),0)</f>
        <v>#VALUE!</v>
      </c>
      <c r="U637" s="34" t="e" cm="1">
        <f t="array" aca="1" ref="U637" ca="1">IF(AND(G637=INDIRECT("'["&amp;G637&amp;"]"&amp;E637&amp;"'!"&amp;$AH$2),OR(I637=INDIRECT("'["&amp;G637&amp;"]"&amp;E637&amp;"'!"&amp;$AG$2))),INDIRECT("'["&amp;G637&amp;"]"&amp;E637&amp;"'!"&amp;$AG$3),0)</f>
        <v>#VALUE!</v>
      </c>
      <c r="V637" s="25" t="str">
        <f t="shared" si="182"/>
        <v/>
      </c>
      <c r="W637" s="36" t="e" cm="1">
        <f t="array" aca="1" ref="W637" ca="1">IF(AND(G637=INDIRECT("'["&amp;G637&amp;"]"&amp;E637&amp;"'!"&amp;$AH$2),OR(V637=INDIRECT("'["&amp;G637&amp;"]"&amp;E637&amp;"'!"&amp;$AI$2))),INDIRECT("'["&amp;G637&amp;"]"&amp;E637&amp;"'!"&amp;$AI$3),0)</f>
        <v>#VALUE!</v>
      </c>
      <c r="AJ637" s="25">
        <v>1</v>
      </c>
      <c r="AK637" s="38">
        <f t="shared" ca="1" si="183"/>
        <v>0</v>
      </c>
      <c r="AL637" s="38">
        <f t="shared" ca="1" si="184"/>
        <v>0</v>
      </c>
      <c r="AM637" s="54" t="str">
        <f t="shared" ca="1" si="185"/>
        <v/>
      </c>
      <c r="AN637" s="25" t="e">
        <f t="shared" ca="1" si="186"/>
        <v>#VALUE!</v>
      </c>
      <c r="AO637" s="25" t="e">
        <f t="shared" ca="1" si="187"/>
        <v>#VALUE!</v>
      </c>
      <c r="AQ637" s="46" t="str">
        <f ca="1">IF(AND(C637&lt;&gt;0, C638=0), SUM($C$2:C637)-SUM($AQ$1:AQ636), "")</f>
        <v/>
      </c>
      <c r="AR637" s="46" t="str">
        <f ca="1">IF(AND(AK637&lt;&gt;0, AK638=0), SUM($AK$2:AK637)-SUM($AR$1:AR636), "")</f>
        <v/>
      </c>
    </row>
    <row r="638" spans="2:44" ht="13.15" customHeight="1">
      <c r="B638" s="68" t="str">
        <f t="shared" si="173"/>
        <v/>
      </c>
      <c r="C638" s="55" cm="1">
        <f t="array" aca="1" ref="C638" ca="1">SUM(IF(ISNUMBER(M638:U638),M638:U638,""))</f>
        <v>0</v>
      </c>
      <c r="D638" s="25" t="str">
        <f t="shared" si="174"/>
        <v/>
      </c>
      <c r="E638" s="25" t="e">
        <f t="shared" si="175"/>
        <v>#VALUE!</v>
      </c>
      <c r="F638" s="25" t="str">
        <f t="shared" si="176"/>
        <v/>
      </c>
      <c r="G638" s="25" t="str">
        <f t="shared" si="177"/>
        <v>.xlsx</v>
      </c>
      <c r="H638" s="29" t="e" cm="1">
        <f t="array" aca="1" ref="H638" ca="1">IF(AND(VALUE(E638)=INDIRECT("'["&amp;G638&amp;"]"&amp;E638&amp;"'!"&amp;$X$2),G638=INDIRECT("'["&amp;G638&amp;"]"&amp;E638&amp;"'!"&amp;$X$3)),INDIRECT("'["&amp;G638&amp;"]"&amp;E638&amp;"'!"&amp;$X$1),0)</f>
        <v>#VALUE!</v>
      </c>
      <c r="I638" s="25" t="str">
        <f t="shared" si="178"/>
        <v/>
      </c>
      <c r="J638" s="32" t="str">
        <f t="shared" si="179"/>
        <v/>
      </c>
      <c r="K638" s="25" t="str">
        <f t="shared" si="180"/>
        <v/>
      </c>
      <c r="L638" s="25" t="str">
        <f t="shared" si="181"/>
        <v/>
      </c>
      <c r="M638" s="33" t="e" cm="1">
        <f t="array" aca="1" ref="M638" ca="1">IF(AND(J638=INDIRECT("'["&amp;G638&amp;"]"&amp;E638&amp;"'!"&amp;$Y$2),G638=INDIRECT("'["&amp;G638&amp;"]"&amp;E638&amp;"'!"&amp;$AH$2)),INDIRECT("'["&amp;G638&amp;"]"&amp;E638&amp;"'!"&amp;$Y$3),0)</f>
        <v>#VALUE!</v>
      </c>
      <c r="N638" s="34" t="e" cm="1">
        <f t="array" aca="1" ref="N638" ca="1">IF(AND(G638=INDIRECT("'["&amp;G638&amp;"]"&amp;E638&amp;"'!"&amp;$AH$2),OR(K638=INDIRECT("'["&amp;G638&amp;"]"&amp;E638&amp;"'!"&amp;$Z$2))),INDIRECT("'["&amp;G638&amp;"]"&amp;E638&amp;"'!"&amp;$Z$3),0)</f>
        <v>#VALUE!</v>
      </c>
      <c r="O638" s="34" t="e" cm="1">
        <f t="array" aca="1" ref="O638" ca="1">IF(AND(G638=INDIRECT("'["&amp;G638&amp;"]"&amp;E638&amp;"'!"&amp;$AH$2),OR(L638=INDIRECT("'["&amp;G638&amp;"]"&amp;E638&amp;"'!"&amp;$AA$2))),INDIRECT("'["&amp;G638&amp;"]"&amp;E638&amp;"'!"&amp;$AA$3),0)</f>
        <v>#VALUE!</v>
      </c>
      <c r="P638" s="34" t="e" cm="1">
        <f t="array" aca="1" ref="P638" ca="1">IF(AND(G638=INDIRECT("'["&amp;G638&amp;"]"&amp;E638&amp;"'!"&amp;$AH$2),OR(VALUE(I638)=INDIRECT("'["&amp;G638&amp;"]"&amp;E638&amp;"'!"&amp;$AB$2))),INDIRECT("'["&amp;G638&amp;"]"&amp;E638&amp;"'!"&amp;$AB$3),0)</f>
        <v>#VALUE!</v>
      </c>
      <c r="Q638" s="34" t="e" cm="1">
        <f t="array" aca="1" ref="Q638" ca="1">IF(AND(G638=INDIRECT("'["&amp;G638&amp;"]"&amp;E638&amp;"'!"&amp;$AH$2),OR(VALUE(I638)=INDIRECT("'["&amp;G638&amp;"]"&amp;E638&amp;"'!"&amp;$AC$2))),INDIRECT("'["&amp;G638&amp;"]"&amp;E638&amp;"'!"&amp;$AC$3),0)</f>
        <v>#VALUE!</v>
      </c>
      <c r="R638" s="34" t="e" cm="1">
        <f t="array" aca="1" ref="R638" ca="1">IF(AND(G638=INDIRECT("'["&amp;G638&amp;"]"&amp;E638&amp;"'!"&amp;$AH$2),OR(I638=INDIRECT("'["&amp;G638&amp;"]"&amp;E638&amp;"'!"&amp;$AD$2))),INDIRECT("'["&amp;G638&amp;"]"&amp;E638&amp;"'!"&amp;$AD$3),0)</f>
        <v>#VALUE!</v>
      </c>
      <c r="S638" s="34" t="e" cm="1">
        <f t="array" aca="1" ref="S638" ca="1">IF(AND(G638=INDIRECT("'["&amp;G638&amp;"]"&amp;E638&amp;"'!"&amp;$AH$2),OR(I638=INDIRECT("'["&amp;G638&amp;"]"&amp;E638&amp;"'!"&amp;$AE$2))),INDIRECT("'["&amp;G638&amp;"]"&amp;E638&amp;"'!"&amp;$AE$3),0)</f>
        <v>#VALUE!</v>
      </c>
      <c r="T638" s="35" t="e" cm="1">
        <f t="array" aca="1" ref="T638" ca="1">IF(AND(G638=INDIRECT("'["&amp;G638&amp;"]"&amp;E638&amp;"'!"&amp;$AH$2),OR(I638=INDIRECT("'["&amp;G638&amp;"]"&amp;E638&amp;"'!"&amp;$AF$2))),INDIRECT("'["&amp;G638&amp;"]"&amp;E638&amp;"'!"&amp;$AF$3),0)</f>
        <v>#VALUE!</v>
      </c>
      <c r="U638" s="34" t="e" cm="1">
        <f t="array" aca="1" ref="U638" ca="1">IF(AND(G638=INDIRECT("'["&amp;G638&amp;"]"&amp;E638&amp;"'!"&amp;$AH$2),OR(I638=INDIRECT("'["&amp;G638&amp;"]"&amp;E638&amp;"'!"&amp;$AG$2))),INDIRECT("'["&amp;G638&amp;"]"&amp;E638&amp;"'!"&amp;$AG$3),0)</f>
        <v>#VALUE!</v>
      </c>
      <c r="V638" s="25" t="str">
        <f t="shared" si="182"/>
        <v/>
      </c>
      <c r="W638" s="36" t="e" cm="1">
        <f t="array" aca="1" ref="W638" ca="1">IF(AND(G638=INDIRECT("'["&amp;G638&amp;"]"&amp;E638&amp;"'!"&amp;$AH$2),OR(V638=INDIRECT("'["&amp;G638&amp;"]"&amp;E638&amp;"'!"&amp;$AI$2))),INDIRECT("'["&amp;G638&amp;"]"&amp;E638&amp;"'!"&amp;$AI$3),0)</f>
        <v>#VALUE!</v>
      </c>
      <c r="AJ638" s="25">
        <v>1</v>
      </c>
      <c r="AK638" s="38">
        <f t="shared" ca="1" si="183"/>
        <v>0</v>
      </c>
      <c r="AL638" s="38">
        <f t="shared" ca="1" si="184"/>
        <v>0</v>
      </c>
      <c r="AM638" s="54" t="str">
        <f t="shared" ca="1" si="185"/>
        <v/>
      </c>
      <c r="AN638" s="25" t="e">
        <f t="shared" ca="1" si="186"/>
        <v>#VALUE!</v>
      </c>
      <c r="AO638" s="25" t="e">
        <f t="shared" ca="1" si="187"/>
        <v>#VALUE!</v>
      </c>
      <c r="AQ638" s="46" t="str">
        <f ca="1">IF(AND(C638&lt;&gt;0, C639=0), SUM($C$2:C638)-SUM($AQ$1:AQ637), "")</f>
        <v/>
      </c>
      <c r="AR638" s="46" t="str">
        <f ca="1">IF(AND(AK638&lt;&gt;0, AK639=0), SUM($AK$2:AK638)-SUM($AR$1:AR637), "")</f>
        <v/>
      </c>
    </row>
    <row r="639" spans="2:44" ht="13.15" customHeight="1">
      <c r="B639" s="68" t="str">
        <f t="shared" si="173"/>
        <v/>
      </c>
      <c r="C639" s="55" cm="1">
        <f t="array" aca="1" ref="C639" ca="1">SUM(IF(ISNUMBER(M639:U639),M639:U639,""))</f>
        <v>0</v>
      </c>
      <c r="D639" s="25" t="str">
        <f t="shared" si="174"/>
        <v/>
      </c>
      <c r="E639" s="25" t="e">
        <f t="shared" si="175"/>
        <v>#VALUE!</v>
      </c>
      <c r="F639" s="25" t="str">
        <f t="shared" si="176"/>
        <v/>
      </c>
      <c r="G639" s="25" t="str">
        <f t="shared" si="177"/>
        <v>.xlsx</v>
      </c>
      <c r="H639" s="29" t="e" cm="1">
        <f t="array" aca="1" ref="H639" ca="1">IF(AND(VALUE(E639)=INDIRECT("'["&amp;G639&amp;"]"&amp;E639&amp;"'!"&amp;$X$2),G639=INDIRECT("'["&amp;G639&amp;"]"&amp;E639&amp;"'!"&amp;$X$3)),INDIRECT("'["&amp;G639&amp;"]"&amp;E639&amp;"'!"&amp;$X$1),0)</f>
        <v>#VALUE!</v>
      </c>
      <c r="I639" s="25" t="str">
        <f t="shared" si="178"/>
        <v/>
      </c>
      <c r="J639" s="32" t="str">
        <f t="shared" si="179"/>
        <v/>
      </c>
      <c r="K639" s="25" t="str">
        <f t="shared" si="180"/>
        <v/>
      </c>
      <c r="L639" s="25" t="str">
        <f t="shared" si="181"/>
        <v/>
      </c>
      <c r="M639" s="33" t="e" cm="1">
        <f t="array" aca="1" ref="M639" ca="1">IF(AND(J639=INDIRECT("'["&amp;G639&amp;"]"&amp;E639&amp;"'!"&amp;$Y$2),G639=INDIRECT("'["&amp;G639&amp;"]"&amp;E639&amp;"'!"&amp;$AH$2)),INDIRECT("'["&amp;G639&amp;"]"&amp;E639&amp;"'!"&amp;$Y$3),0)</f>
        <v>#VALUE!</v>
      </c>
      <c r="N639" s="34" t="e" cm="1">
        <f t="array" aca="1" ref="N639" ca="1">IF(AND(G639=INDIRECT("'["&amp;G639&amp;"]"&amp;E639&amp;"'!"&amp;$AH$2),OR(K639=INDIRECT("'["&amp;G639&amp;"]"&amp;E639&amp;"'!"&amp;$Z$2))),INDIRECT("'["&amp;G639&amp;"]"&amp;E639&amp;"'!"&amp;$Z$3),0)</f>
        <v>#VALUE!</v>
      </c>
      <c r="O639" s="34" t="e" cm="1">
        <f t="array" aca="1" ref="O639" ca="1">IF(AND(G639=INDIRECT("'["&amp;G639&amp;"]"&amp;E639&amp;"'!"&amp;$AH$2),OR(L639=INDIRECT("'["&amp;G639&amp;"]"&amp;E639&amp;"'!"&amp;$AA$2))),INDIRECT("'["&amp;G639&amp;"]"&amp;E639&amp;"'!"&amp;$AA$3),0)</f>
        <v>#VALUE!</v>
      </c>
      <c r="P639" s="34" t="e" cm="1">
        <f t="array" aca="1" ref="P639" ca="1">IF(AND(G639=INDIRECT("'["&amp;G639&amp;"]"&amp;E639&amp;"'!"&amp;$AH$2),OR(VALUE(I639)=INDIRECT("'["&amp;G639&amp;"]"&amp;E639&amp;"'!"&amp;$AB$2))),INDIRECT("'["&amp;G639&amp;"]"&amp;E639&amp;"'!"&amp;$AB$3),0)</f>
        <v>#VALUE!</v>
      </c>
      <c r="Q639" s="34" t="e" cm="1">
        <f t="array" aca="1" ref="Q639" ca="1">IF(AND(G639=INDIRECT("'["&amp;G639&amp;"]"&amp;E639&amp;"'!"&amp;$AH$2),OR(VALUE(I639)=INDIRECT("'["&amp;G639&amp;"]"&amp;E639&amp;"'!"&amp;$AC$2))),INDIRECT("'["&amp;G639&amp;"]"&amp;E639&amp;"'!"&amp;$AC$3),0)</f>
        <v>#VALUE!</v>
      </c>
      <c r="R639" s="34" t="e" cm="1">
        <f t="array" aca="1" ref="R639" ca="1">IF(AND(G639=INDIRECT("'["&amp;G639&amp;"]"&amp;E639&amp;"'!"&amp;$AH$2),OR(I639=INDIRECT("'["&amp;G639&amp;"]"&amp;E639&amp;"'!"&amp;$AD$2))),INDIRECT("'["&amp;G639&amp;"]"&amp;E639&amp;"'!"&amp;$AD$3),0)</f>
        <v>#VALUE!</v>
      </c>
      <c r="S639" s="34" t="e" cm="1">
        <f t="array" aca="1" ref="S639" ca="1">IF(AND(G639=INDIRECT("'["&amp;G639&amp;"]"&amp;E639&amp;"'!"&amp;$AH$2),OR(I639=INDIRECT("'["&amp;G639&amp;"]"&amp;E639&amp;"'!"&amp;$AE$2))),INDIRECT("'["&amp;G639&amp;"]"&amp;E639&amp;"'!"&amp;$AE$3),0)</f>
        <v>#VALUE!</v>
      </c>
      <c r="T639" s="35" t="e" cm="1">
        <f t="array" aca="1" ref="T639" ca="1">IF(AND(G639=INDIRECT("'["&amp;G639&amp;"]"&amp;E639&amp;"'!"&amp;$AH$2),OR(I639=INDIRECT("'["&amp;G639&amp;"]"&amp;E639&amp;"'!"&amp;$AF$2))),INDIRECT("'["&amp;G639&amp;"]"&amp;E639&amp;"'!"&amp;$AF$3),0)</f>
        <v>#VALUE!</v>
      </c>
      <c r="U639" s="34" t="e" cm="1">
        <f t="array" aca="1" ref="U639" ca="1">IF(AND(G639=INDIRECT("'["&amp;G639&amp;"]"&amp;E639&amp;"'!"&amp;$AH$2),OR(I639=INDIRECT("'["&amp;G639&amp;"]"&amp;E639&amp;"'!"&amp;$AG$2))),INDIRECT("'["&amp;G639&amp;"]"&amp;E639&amp;"'!"&amp;$AG$3),0)</f>
        <v>#VALUE!</v>
      </c>
      <c r="V639" s="25" t="str">
        <f t="shared" si="182"/>
        <v/>
      </c>
      <c r="W639" s="36" t="e" cm="1">
        <f t="array" aca="1" ref="W639" ca="1">IF(AND(G639=INDIRECT("'["&amp;G639&amp;"]"&amp;E639&amp;"'!"&amp;$AH$2),OR(V639=INDIRECT("'["&amp;G639&amp;"]"&amp;E639&amp;"'!"&amp;$AI$2))),INDIRECT("'["&amp;G639&amp;"]"&amp;E639&amp;"'!"&amp;$AI$3),0)</f>
        <v>#VALUE!</v>
      </c>
      <c r="AJ639" s="25">
        <v>1</v>
      </c>
      <c r="AK639" s="38">
        <f t="shared" ca="1" si="183"/>
        <v>0</v>
      </c>
      <c r="AL639" s="38">
        <f t="shared" ca="1" si="184"/>
        <v>0</v>
      </c>
      <c r="AM639" s="54" t="str">
        <f t="shared" ca="1" si="185"/>
        <v/>
      </c>
      <c r="AN639" s="25" t="e">
        <f t="shared" ca="1" si="186"/>
        <v>#VALUE!</v>
      </c>
      <c r="AO639" s="25" t="e">
        <f t="shared" ca="1" si="187"/>
        <v>#VALUE!</v>
      </c>
      <c r="AQ639" s="46" t="str">
        <f ca="1">IF(AND(C639&lt;&gt;0, C640=0), SUM($C$2:C639)-SUM($AQ$1:AQ638), "")</f>
        <v/>
      </c>
      <c r="AR639" s="46" t="str">
        <f ca="1">IF(AND(AK639&lt;&gt;0, AK640=0), SUM($AK$2:AK639)-SUM($AR$1:AR638), "")</f>
        <v/>
      </c>
    </row>
    <row r="640" spans="2:44" ht="13.15" customHeight="1">
      <c r="B640" s="68" t="str">
        <f t="shared" si="173"/>
        <v/>
      </c>
      <c r="C640" s="55" cm="1">
        <f t="array" aca="1" ref="C640" ca="1">SUM(IF(ISNUMBER(M640:U640),M640:U640,""))</f>
        <v>0</v>
      </c>
      <c r="D640" s="25" t="str">
        <f t="shared" si="174"/>
        <v/>
      </c>
      <c r="E640" s="25" t="e">
        <f t="shared" si="175"/>
        <v>#VALUE!</v>
      </c>
      <c r="F640" s="25" t="str">
        <f t="shared" si="176"/>
        <v/>
      </c>
      <c r="G640" s="25" t="str">
        <f t="shared" si="177"/>
        <v>.xlsx</v>
      </c>
      <c r="H640" s="29" t="e" cm="1">
        <f t="array" aca="1" ref="H640" ca="1">IF(AND(VALUE(E640)=INDIRECT("'["&amp;G640&amp;"]"&amp;E640&amp;"'!"&amp;$X$2),G640=INDIRECT("'["&amp;G640&amp;"]"&amp;E640&amp;"'!"&amp;$X$3)),INDIRECT("'["&amp;G640&amp;"]"&amp;E640&amp;"'!"&amp;$X$1),0)</f>
        <v>#VALUE!</v>
      </c>
      <c r="I640" s="25" t="str">
        <f t="shared" si="178"/>
        <v/>
      </c>
      <c r="J640" s="32" t="str">
        <f t="shared" si="179"/>
        <v/>
      </c>
      <c r="K640" s="25" t="str">
        <f t="shared" si="180"/>
        <v/>
      </c>
      <c r="L640" s="25" t="str">
        <f t="shared" si="181"/>
        <v/>
      </c>
      <c r="M640" s="33" t="e" cm="1">
        <f t="array" aca="1" ref="M640" ca="1">IF(AND(J640=INDIRECT("'["&amp;G640&amp;"]"&amp;E640&amp;"'!"&amp;$Y$2),G640=INDIRECT("'["&amp;G640&amp;"]"&amp;E640&amp;"'!"&amp;$AH$2)),INDIRECT("'["&amp;G640&amp;"]"&amp;E640&amp;"'!"&amp;$Y$3),0)</f>
        <v>#VALUE!</v>
      </c>
      <c r="N640" s="34" t="e" cm="1">
        <f t="array" aca="1" ref="N640" ca="1">IF(AND(G640=INDIRECT("'["&amp;G640&amp;"]"&amp;E640&amp;"'!"&amp;$AH$2),OR(K640=INDIRECT("'["&amp;G640&amp;"]"&amp;E640&amp;"'!"&amp;$Z$2))),INDIRECT("'["&amp;G640&amp;"]"&amp;E640&amp;"'!"&amp;$Z$3),0)</f>
        <v>#VALUE!</v>
      </c>
      <c r="O640" s="34" t="e" cm="1">
        <f t="array" aca="1" ref="O640" ca="1">IF(AND(G640=INDIRECT("'["&amp;G640&amp;"]"&amp;E640&amp;"'!"&amp;$AH$2),OR(L640=INDIRECT("'["&amp;G640&amp;"]"&amp;E640&amp;"'!"&amp;$AA$2))),INDIRECT("'["&amp;G640&amp;"]"&amp;E640&amp;"'!"&amp;$AA$3),0)</f>
        <v>#VALUE!</v>
      </c>
      <c r="P640" s="34" t="e" cm="1">
        <f t="array" aca="1" ref="P640" ca="1">IF(AND(G640=INDIRECT("'["&amp;G640&amp;"]"&amp;E640&amp;"'!"&amp;$AH$2),OR(VALUE(I640)=INDIRECT("'["&amp;G640&amp;"]"&amp;E640&amp;"'!"&amp;$AB$2))),INDIRECT("'["&amp;G640&amp;"]"&amp;E640&amp;"'!"&amp;$AB$3),0)</f>
        <v>#VALUE!</v>
      </c>
      <c r="Q640" s="34" t="e" cm="1">
        <f t="array" aca="1" ref="Q640" ca="1">IF(AND(G640=INDIRECT("'["&amp;G640&amp;"]"&amp;E640&amp;"'!"&amp;$AH$2),OR(VALUE(I640)=INDIRECT("'["&amp;G640&amp;"]"&amp;E640&amp;"'!"&amp;$AC$2))),INDIRECT("'["&amp;G640&amp;"]"&amp;E640&amp;"'!"&amp;$AC$3),0)</f>
        <v>#VALUE!</v>
      </c>
      <c r="R640" s="34" t="e" cm="1">
        <f t="array" aca="1" ref="R640" ca="1">IF(AND(G640=INDIRECT("'["&amp;G640&amp;"]"&amp;E640&amp;"'!"&amp;$AH$2),OR(I640=INDIRECT("'["&amp;G640&amp;"]"&amp;E640&amp;"'!"&amp;$AD$2))),INDIRECT("'["&amp;G640&amp;"]"&amp;E640&amp;"'!"&amp;$AD$3),0)</f>
        <v>#VALUE!</v>
      </c>
      <c r="S640" s="34" t="e" cm="1">
        <f t="array" aca="1" ref="S640" ca="1">IF(AND(G640=INDIRECT("'["&amp;G640&amp;"]"&amp;E640&amp;"'!"&amp;$AH$2),OR(I640=INDIRECT("'["&amp;G640&amp;"]"&amp;E640&amp;"'!"&amp;$AE$2))),INDIRECT("'["&amp;G640&amp;"]"&amp;E640&amp;"'!"&amp;$AE$3),0)</f>
        <v>#VALUE!</v>
      </c>
      <c r="T640" s="35" t="e" cm="1">
        <f t="array" aca="1" ref="T640" ca="1">IF(AND(G640=INDIRECT("'["&amp;G640&amp;"]"&amp;E640&amp;"'!"&amp;$AH$2),OR(I640=INDIRECT("'["&amp;G640&amp;"]"&amp;E640&amp;"'!"&amp;$AF$2))),INDIRECT("'["&amp;G640&amp;"]"&amp;E640&amp;"'!"&amp;$AF$3),0)</f>
        <v>#VALUE!</v>
      </c>
      <c r="U640" s="34" t="e" cm="1">
        <f t="array" aca="1" ref="U640" ca="1">IF(AND(G640=INDIRECT("'["&amp;G640&amp;"]"&amp;E640&amp;"'!"&amp;$AH$2),OR(I640=INDIRECT("'["&amp;G640&amp;"]"&amp;E640&amp;"'!"&amp;$AG$2))),INDIRECT("'["&amp;G640&amp;"]"&amp;E640&amp;"'!"&amp;$AG$3),0)</f>
        <v>#VALUE!</v>
      </c>
      <c r="V640" s="25" t="str">
        <f t="shared" si="182"/>
        <v/>
      </c>
      <c r="W640" s="36" t="e" cm="1">
        <f t="array" aca="1" ref="W640" ca="1">IF(AND(G640=INDIRECT("'["&amp;G640&amp;"]"&amp;E640&amp;"'!"&amp;$AH$2),OR(V640=INDIRECT("'["&amp;G640&amp;"]"&amp;E640&amp;"'!"&amp;$AI$2))),INDIRECT("'["&amp;G640&amp;"]"&amp;E640&amp;"'!"&amp;$AI$3),0)</f>
        <v>#VALUE!</v>
      </c>
      <c r="AJ640" s="25">
        <v>1</v>
      </c>
      <c r="AK640" s="38">
        <f t="shared" ca="1" si="183"/>
        <v>0</v>
      </c>
      <c r="AL640" s="38">
        <f t="shared" ca="1" si="184"/>
        <v>0</v>
      </c>
      <c r="AM640" s="54" t="str">
        <f t="shared" ca="1" si="185"/>
        <v/>
      </c>
      <c r="AN640" s="25" t="e">
        <f t="shared" ca="1" si="186"/>
        <v>#VALUE!</v>
      </c>
      <c r="AO640" s="25" t="e">
        <f t="shared" ca="1" si="187"/>
        <v>#VALUE!</v>
      </c>
      <c r="AQ640" s="46" t="str">
        <f ca="1">IF(AND(C640&lt;&gt;0, C641=0), SUM($C$2:C640)-SUM($AQ$1:AQ639), "")</f>
        <v/>
      </c>
      <c r="AR640" s="46" t="str">
        <f ca="1">IF(AND(AK640&lt;&gt;0, AK641=0), SUM($AK$2:AK640)-SUM($AR$1:AR639), "")</f>
        <v/>
      </c>
    </row>
    <row r="641" spans="2:44" ht="13.15" customHeight="1">
      <c r="B641" s="68" t="str">
        <f t="shared" si="173"/>
        <v/>
      </c>
      <c r="C641" s="55" cm="1">
        <f t="array" aca="1" ref="C641" ca="1">SUM(IF(ISNUMBER(M641:U641),M641:U641,""))</f>
        <v>0</v>
      </c>
      <c r="D641" s="25" t="str">
        <f t="shared" si="174"/>
        <v/>
      </c>
      <c r="E641" s="25" t="e">
        <f t="shared" si="175"/>
        <v>#VALUE!</v>
      </c>
      <c r="F641" s="25" t="str">
        <f t="shared" si="176"/>
        <v/>
      </c>
      <c r="G641" s="25" t="str">
        <f t="shared" si="177"/>
        <v>.xlsx</v>
      </c>
      <c r="H641" s="29" t="e" cm="1">
        <f t="array" aca="1" ref="H641" ca="1">IF(AND(VALUE(E641)=INDIRECT("'["&amp;G641&amp;"]"&amp;E641&amp;"'!"&amp;$X$2),G641=INDIRECT("'["&amp;G641&amp;"]"&amp;E641&amp;"'!"&amp;$X$3)),INDIRECT("'["&amp;G641&amp;"]"&amp;E641&amp;"'!"&amp;$X$1),0)</f>
        <v>#VALUE!</v>
      </c>
      <c r="I641" s="25" t="str">
        <f t="shared" si="178"/>
        <v/>
      </c>
      <c r="J641" s="32" t="str">
        <f t="shared" si="179"/>
        <v/>
      </c>
      <c r="K641" s="25" t="str">
        <f t="shared" si="180"/>
        <v/>
      </c>
      <c r="L641" s="25" t="str">
        <f t="shared" si="181"/>
        <v/>
      </c>
      <c r="M641" s="33" t="e" cm="1">
        <f t="array" aca="1" ref="M641" ca="1">IF(AND(J641=INDIRECT("'["&amp;G641&amp;"]"&amp;E641&amp;"'!"&amp;$Y$2),G641=INDIRECT("'["&amp;G641&amp;"]"&amp;E641&amp;"'!"&amp;$AH$2)),INDIRECT("'["&amp;G641&amp;"]"&amp;E641&amp;"'!"&amp;$Y$3),0)</f>
        <v>#VALUE!</v>
      </c>
      <c r="N641" s="34" t="e" cm="1">
        <f t="array" aca="1" ref="N641" ca="1">IF(AND(G641=INDIRECT("'["&amp;G641&amp;"]"&amp;E641&amp;"'!"&amp;$AH$2),OR(K641=INDIRECT("'["&amp;G641&amp;"]"&amp;E641&amp;"'!"&amp;$Z$2))),INDIRECT("'["&amp;G641&amp;"]"&amp;E641&amp;"'!"&amp;$Z$3),0)</f>
        <v>#VALUE!</v>
      </c>
      <c r="O641" s="34" t="e" cm="1">
        <f t="array" aca="1" ref="O641" ca="1">IF(AND(G641=INDIRECT("'["&amp;G641&amp;"]"&amp;E641&amp;"'!"&amp;$AH$2),OR(L641=INDIRECT("'["&amp;G641&amp;"]"&amp;E641&amp;"'!"&amp;$AA$2))),INDIRECT("'["&amp;G641&amp;"]"&amp;E641&amp;"'!"&amp;$AA$3),0)</f>
        <v>#VALUE!</v>
      </c>
      <c r="P641" s="34" t="e" cm="1">
        <f t="array" aca="1" ref="P641" ca="1">IF(AND(G641=INDIRECT("'["&amp;G641&amp;"]"&amp;E641&amp;"'!"&amp;$AH$2),OR(VALUE(I641)=INDIRECT("'["&amp;G641&amp;"]"&amp;E641&amp;"'!"&amp;$AB$2))),INDIRECT("'["&amp;G641&amp;"]"&amp;E641&amp;"'!"&amp;$AB$3),0)</f>
        <v>#VALUE!</v>
      </c>
      <c r="Q641" s="34" t="e" cm="1">
        <f t="array" aca="1" ref="Q641" ca="1">IF(AND(G641=INDIRECT("'["&amp;G641&amp;"]"&amp;E641&amp;"'!"&amp;$AH$2),OR(VALUE(I641)=INDIRECT("'["&amp;G641&amp;"]"&amp;E641&amp;"'!"&amp;$AC$2))),INDIRECT("'["&amp;G641&amp;"]"&amp;E641&amp;"'!"&amp;$AC$3),0)</f>
        <v>#VALUE!</v>
      </c>
      <c r="R641" s="34" t="e" cm="1">
        <f t="array" aca="1" ref="R641" ca="1">IF(AND(G641=INDIRECT("'["&amp;G641&amp;"]"&amp;E641&amp;"'!"&amp;$AH$2),OR(I641=INDIRECT("'["&amp;G641&amp;"]"&amp;E641&amp;"'!"&amp;$AD$2))),INDIRECT("'["&amp;G641&amp;"]"&amp;E641&amp;"'!"&amp;$AD$3),0)</f>
        <v>#VALUE!</v>
      </c>
      <c r="S641" s="34" t="e" cm="1">
        <f t="array" aca="1" ref="S641" ca="1">IF(AND(G641=INDIRECT("'["&amp;G641&amp;"]"&amp;E641&amp;"'!"&amp;$AH$2),OR(I641=INDIRECT("'["&amp;G641&amp;"]"&amp;E641&amp;"'!"&amp;$AE$2))),INDIRECT("'["&amp;G641&amp;"]"&amp;E641&amp;"'!"&amp;$AE$3),0)</f>
        <v>#VALUE!</v>
      </c>
      <c r="T641" s="35" t="e" cm="1">
        <f t="array" aca="1" ref="T641" ca="1">IF(AND(G641=INDIRECT("'["&amp;G641&amp;"]"&amp;E641&amp;"'!"&amp;$AH$2),OR(I641=INDIRECT("'["&amp;G641&amp;"]"&amp;E641&amp;"'!"&amp;$AF$2))),INDIRECT("'["&amp;G641&amp;"]"&amp;E641&amp;"'!"&amp;$AF$3),0)</f>
        <v>#VALUE!</v>
      </c>
      <c r="U641" s="34" t="e" cm="1">
        <f t="array" aca="1" ref="U641" ca="1">IF(AND(G641=INDIRECT("'["&amp;G641&amp;"]"&amp;E641&amp;"'!"&amp;$AH$2),OR(I641=INDIRECT("'["&amp;G641&amp;"]"&amp;E641&amp;"'!"&amp;$AG$2))),INDIRECT("'["&amp;G641&amp;"]"&amp;E641&amp;"'!"&amp;$AG$3),0)</f>
        <v>#VALUE!</v>
      </c>
      <c r="V641" s="25" t="str">
        <f t="shared" si="182"/>
        <v/>
      </c>
      <c r="W641" s="36" t="e" cm="1">
        <f t="array" aca="1" ref="W641" ca="1">IF(AND(G641=INDIRECT("'["&amp;G641&amp;"]"&amp;E641&amp;"'!"&amp;$AH$2),OR(V641=INDIRECT("'["&amp;G641&amp;"]"&amp;E641&amp;"'!"&amp;$AI$2))),INDIRECT("'["&amp;G641&amp;"]"&amp;E641&amp;"'!"&amp;$AI$3),0)</f>
        <v>#VALUE!</v>
      </c>
      <c r="AJ641" s="25">
        <v>1</v>
      </c>
      <c r="AK641" s="38">
        <f t="shared" ca="1" si="183"/>
        <v>0</v>
      </c>
      <c r="AL641" s="38">
        <f t="shared" ca="1" si="184"/>
        <v>0</v>
      </c>
      <c r="AM641" s="54" t="str">
        <f t="shared" ca="1" si="185"/>
        <v/>
      </c>
      <c r="AN641" s="25" t="e">
        <f t="shared" ca="1" si="186"/>
        <v>#VALUE!</v>
      </c>
      <c r="AO641" s="25" t="e">
        <f t="shared" ca="1" si="187"/>
        <v>#VALUE!</v>
      </c>
      <c r="AQ641" s="46" t="str">
        <f ca="1">IF(AND(C641&lt;&gt;0, C642=0), SUM($C$2:C641)-SUM($AQ$1:AQ640), "")</f>
        <v/>
      </c>
      <c r="AR641" s="46" t="str">
        <f ca="1">IF(AND(AK641&lt;&gt;0, AK642=0), SUM($AK$2:AK641)-SUM($AR$1:AR640), "")</f>
        <v/>
      </c>
    </row>
    <row r="642" spans="2:44" ht="13.15" customHeight="1">
      <c r="B642" s="68" t="str">
        <f t="shared" si="173"/>
        <v/>
      </c>
      <c r="C642" s="55" cm="1">
        <f t="array" aca="1" ref="C642" ca="1">SUM(IF(ISNUMBER(M642:U642),M642:U642,""))</f>
        <v>0</v>
      </c>
      <c r="D642" s="25" t="str">
        <f t="shared" si="174"/>
        <v/>
      </c>
      <c r="E642" s="25" t="e">
        <f t="shared" si="175"/>
        <v>#VALUE!</v>
      </c>
      <c r="F642" s="25" t="str">
        <f t="shared" si="176"/>
        <v/>
      </c>
      <c r="G642" s="25" t="str">
        <f t="shared" si="177"/>
        <v>.xlsx</v>
      </c>
      <c r="H642" s="29" t="e" cm="1">
        <f t="array" aca="1" ref="H642" ca="1">IF(AND(VALUE(E642)=INDIRECT("'["&amp;G642&amp;"]"&amp;E642&amp;"'!"&amp;$X$2),G642=INDIRECT("'["&amp;G642&amp;"]"&amp;E642&amp;"'!"&amp;$X$3)),INDIRECT("'["&amp;G642&amp;"]"&amp;E642&amp;"'!"&amp;$X$1),0)</f>
        <v>#VALUE!</v>
      </c>
      <c r="I642" s="25" t="str">
        <f t="shared" si="178"/>
        <v/>
      </c>
      <c r="J642" s="32" t="str">
        <f t="shared" si="179"/>
        <v/>
      </c>
      <c r="K642" s="25" t="str">
        <f t="shared" si="180"/>
        <v/>
      </c>
      <c r="L642" s="25" t="str">
        <f t="shared" si="181"/>
        <v/>
      </c>
      <c r="M642" s="33" t="e" cm="1">
        <f t="array" aca="1" ref="M642" ca="1">IF(AND(J642=INDIRECT("'["&amp;G642&amp;"]"&amp;E642&amp;"'!"&amp;$Y$2),G642=INDIRECT("'["&amp;G642&amp;"]"&amp;E642&amp;"'!"&amp;$AH$2)),INDIRECT("'["&amp;G642&amp;"]"&amp;E642&amp;"'!"&amp;$Y$3),0)</f>
        <v>#VALUE!</v>
      </c>
      <c r="N642" s="34" t="e" cm="1">
        <f t="array" aca="1" ref="N642" ca="1">IF(AND(G642=INDIRECT("'["&amp;G642&amp;"]"&amp;E642&amp;"'!"&amp;$AH$2),OR(K642=INDIRECT("'["&amp;G642&amp;"]"&amp;E642&amp;"'!"&amp;$Z$2))),INDIRECT("'["&amp;G642&amp;"]"&amp;E642&amp;"'!"&amp;$Z$3),0)</f>
        <v>#VALUE!</v>
      </c>
      <c r="O642" s="34" t="e" cm="1">
        <f t="array" aca="1" ref="O642" ca="1">IF(AND(G642=INDIRECT("'["&amp;G642&amp;"]"&amp;E642&amp;"'!"&amp;$AH$2),OR(L642=INDIRECT("'["&amp;G642&amp;"]"&amp;E642&amp;"'!"&amp;$AA$2))),INDIRECT("'["&amp;G642&amp;"]"&amp;E642&amp;"'!"&amp;$AA$3),0)</f>
        <v>#VALUE!</v>
      </c>
      <c r="P642" s="34" t="e" cm="1">
        <f t="array" aca="1" ref="P642" ca="1">IF(AND(G642=INDIRECT("'["&amp;G642&amp;"]"&amp;E642&amp;"'!"&amp;$AH$2),OR(VALUE(I642)=INDIRECT("'["&amp;G642&amp;"]"&amp;E642&amp;"'!"&amp;$AB$2))),INDIRECT("'["&amp;G642&amp;"]"&amp;E642&amp;"'!"&amp;$AB$3),0)</f>
        <v>#VALUE!</v>
      </c>
      <c r="Q642" s="34" t="e" cm="1">
        <f t="array" aca="1" ref="Q642" ca="1">IF(AND(G642=INDIRECT("'["&amp;G642&amp;"]"&amp;E642&amp;"'!"&amp;$AH$2),OR(VALUE(I642)=INDIRECT("'["&amp;G642&amp;"]"&amp;E642&amp;"'!"&amp;$AC$2))),INDIRECT("'["&amp;G642&amp;"]"&amp;E642&amp;"'!"&amp;$AC$3),0)</f>
        <v>#VALUE!</v>
      </c>
      <c r="R642" s="34" t="e" cm="1">
        <f t="array" aca="1" ref="R642" ca="1">IF(AND(G642=INDIRECT("'["&amp;G642&amp;"]"&amp;E642&amp;"'!"&amp;$AH$2),OR(I642=INDIRECT("'["&amp;G642&amp;"]"&amp;E642&amp;"'!"&amp;$AD$2))),INDIRECT("'["&amp;G642&amp;"]"&amp;E642&amp;"'!"&amp;$AD$3),0)</f>
        <v>#VALUE!</v>
      </c>
      <c r="S642" s="34" t="e" cm="1">
        <f t="array" aca="1" ref="S642" ca="1">IF(AND(G642=INDIRECT("'["&amp;G642&amp;"]"&amp;E642&amp;"'!"&amp;$AH$2),OR(I642=INDIRECT("'["&amp;G642&amp;"]"&amp;E642&amp;"'!"&amp;$AE$2))),INDIRECT("'["&amp;G642&amp;"]"&amp;E642&amp;"'!"&amp;$AE$3),0)</f>
        <v>#VALUE!</v>
      </c>
      <c r="T642" s="35" t="e" cm="1">
        <f t="array" aca="1" ref="T642" ca="1">IF(AND(G642=INDIRECT("'["&amp;G642&amp;"]"&amp;E642&amp;"'!"&amp;$AH$2),OR(I642=INDIRECT("'["&amp;G642&amp;"]"&amp;E642&amp;"'!"&amp;$AF$2))),INDIRECT("'["&amp;G642&amp;"]"&amp;E642&amp;"'!"&amp;$AF$3),0)</f>
        <v>#VALUE!</v>
      </c>
      <c r="U642" s="34" t="e" cm="1">
        <f t="array" aca="1" ref="U642" ca="1">IF(AND(G642=INDIRECT("'["&amp;G642&amp;"]"&amp;E642&amp;"'!"&amp;$AH$2),OR(I642=INDIRECT("'["&amp;G642&amp;"]"&amp;E642&amp;"'!"&amp;$AG$2))),INDIRECT("'["&amp;G642&amp;"]"&amp;E642&amp;"'!"&amp;$AG$3),0)</f>
        <v>#VALUE!</v>
      </c>
      <c r="V642" s="25" t="str">
        <f t="shared" si="182"/>
        <v/>
      </c>
      <c r="W642" s="36" t="e" cm="1">
        <f t="array" aca="1" ref="W642" ca="1">IF(AND(G642=INDIRECT("'["&amp;G642&amp;"]"&amp;E642&amp;"'!"&amp;$AH$2),OR(V642=INDIRECT("'["&amp;G642&amp;"]"&amp;E642&amp;"'!"&amp;$AI$2))),INDIRECT("'["&amp;G642&amp;"]"&amp;E642&amp;"'!"&amp;$AI$3),0)</f>
        <v>#VALUE!</v>
      </c>
      <c r="AJ642" s="25">
        <v>1</v>
      </c>
      <c r="AK642" s="38">
        <f t="shared" ca="1" si="183"/>
        <v>0</v>
      </c>
      <c r="AL642" s="38">
        <f t="shared" ca="1" si="184"/>
        <v>0</v>
      </c>
      <c r="AM642" s="54" t="str">
        <f t="shared" ca="1" si="185"/>
        <v/>
      </c>
      <c r="AN642" s="25" t="e">
        <f t="shared" ca="1" si="186"/>
        <v>#VALUE!</v>
      </c>
      <c r="AO642" s="25" t="e">
        <f t="shared" ca="1" si="187"/>
        <v>#VALUE!</v>
      </c>
      <c r="AQ642" s="46" t="str">
        <f ca="1">IF(AND(C642&lt;&gt;0, C643=0), SUM($C$2:C642)-SUM($AQ$1:AQ641), "")</f>
        <v/>
      </c>
      <c r="AR642" s="46" t="str">
        <f ca="1">IF(AND(AK642&lt;&gt;0, AK643=0), SUM($AK$2:AK642)-SUM($AR$1:AR641), "")</f>
        <v/>
      </c>
    </row>
    <row r="643" spans="2:44" ht="13.15" customHeight="1">
      <c r="B643" s="68" t="str">
        <f t="shared" si="173"/>
        <v/>
      </c>
      <c r="C643" s="55" cm="1">
        <f t="array" aca="1" ref="C643" ca="1">SUM(IF(ISNUMBER(M643:U643),M643:U643,""))</f>
        <v>0</v>
      </c>
      <c r="D643" s="25" t="str">
        <f t="shared" si="174"/>
        <v/>
      </c>
      <c r="E643" s="25" t="e">
        <f t="shared" si="175"/>
        <v>#VALUE!</v>
      </c>
      <c r="F643" s="25" t="str">
        <f t="shared" si="176"/>
        <v/>
      </c>
      <c r="G643" s="25" t="str">
        <f t="shared" si="177"/>
        <v>.xlsx</v>
      </c>
      <c r="H643" s="29" t="e" cm="1">
        <f t="array" aca="1" ref="H643" ca="1">IF(AND(VALUE(E643)=INDIRECT("'["&amp;G643&amp;"]"&amp;E643&amp;"'!"&amp;$X$2),G643=INDIRECT("'["&amp;G643&amp;"]"&amp;E643&amp;"'!"&amp;$X$3)),INDIRECT("'["&amp;G643&amp;"]"&amp;E643&amp;"'!"&amp;$X$1),0)</f>
        <v>#VALUE!</v>
      </c>
      <c r="I643" s="25" t="str">
        <f t="shared" si="178"/>
        <v/>
      </c>
      <c r="J643" s="32" t="str">
        <f t="shared" si="179"/>
        <v/>
      </c>
      <c r="K643" s="25" t="str">
        <f t="shared" si="180"/>
        <v/>
      </c>
      <c r="L643" s="25" t="str">
        <f t="shared" si="181"/>
        <v/>
      </c>
      <c r="M643" s="33" t="e" cm="1">
        <f t="array" aca="1" ref="M643" ca="1">IF(AND(J643=INDIRECT("'["&amp;G643&amp;"]"&amp;E643&amp;"'!"&amp;$Y$2),G643=INDIRECT("'["&amp;G643&amp;"]"&amp;E643&amp;"'!"&amp;$AH$2)),INDIRECT("'["&amp;G643&amp;"]"&amp;E643&amp;"'!"&amp;$Y$3),0)</f>
        <v>#VALUE!</v>
      </c>
      <c r="N643" s="34" t="e" cm="1">
        <f t="array" aca="1" ref="N643" ca="1">IF(AND(G643=INDIRECT("'["&amp;G643&amp;"]"&amp;E643&amp;"'!"&amp;$AH$2),OR(K643=INDIRECT("'["&amp;G643&amp;"]"&amp;E643&amp;"'!"&amp;$Z$2))),INDIRECT("'["&amp;G643&amp;"]"&amp;E643&amp;"'!"&amp;$Z$3),0)</f>
        <v>#VALUE!</v>
      </c>
      <c r="O643" s="34" t="e" cm="1">
        <f t="array" aca="1" ref="O643" ca="1">IF(AND(G643=INDIRECT("'["&amp;G643&amp;"]"&amp;E643&amp;"'!"&amp;$AH$2),OR(L643=INDIRECT("'["&amp;G643&amp;"]"&amp;E643&amp;"'!"&amp;$AA$2))),INDIRECT("'["&amp;G643&amp;"]"&amp;E643&amp;"'!"&amp;$AA$3),0)</f>
        <v>#VALUE!</v>
      </c>
      <c r="P643" s="34" t="e" cm="1">
        <f t="array" aca="1" ref="P643" ca="1">IF(AND(G643=INDIRECT("'["&amp;G643&amp;"]"&amp;E643&amp;"'!"&amp;$AH$2),OR(VALUE(I643)=INDIRECT("'["&amp;G643&amp;"]"&amp;E643&amp;"'!"&amp;$AB$2))),INDIRECT("'["&amp;G643&amp;"]"&amp;E643&amp;"'!"&amp;$AB$3),0)</f>
        <v>#VALUE!</v>
      </c>
      <c r="Q643" s="34" t="e" cm="1">
        <f t="array" aca="1" ref="Q643" ca="1">IF(AND(G643=INDIRECT("'["&amp;G643&amp;"]"&amp;E643&amp;"'!"&amp;$AH$2),OR(VALUE(I643)=INDIRECT("'["&amp;G643&amp;"]"&amp;E643&amp;"'!"&amp;$AC$2))),INDIRECT("'["&amp;G643&amp;"]"&amp;E643&amp;"'!"&amp;$AC$3),0)</f>
        <v>#VALUE!</v>
      </c>
      <c r="R643" s="34" t="e" cm="1">
        <f t="array" aca="1" ref="R643" ca="1">IF(AND(G643=INDIRECT("'["&amp;G643&amp;"]"&amp;E643&amp;"'!"&amp;$AH$2),OR(I643=INDIRECT("'["&amp;G643&amp;"]"&amp;E643&amp;"'!"&amp;$AD$2))),INDIRECT("'["&amp;G643&amp;"]"&amp;E643&amp;"'!"&amp;$AD$3),0)</f>
        <v>#VALUE!</v>
      </c>
      <c r="S643" s="34" t="e" cm="1">
        <f t="array" aca="1" ref="S643" ca="1">IF(AND(G643=INDIRECT("'["&amp;G643&amp;"]"&amp;E643&amp;"'!"&amp;$AH$2),OR(I643=INDIRECT("'["&amp;G643&amp;"]"&amp;E643&amp;"'!"&amp;$AE$2))),INDIRECT("'["&amp;G643&amp;"]"&amp;E643&amp;"'!"&amp;$AE$3),0)</f>
        <v>#VALUE!</v>
      </c>
      <c r="T643" s="35" t="e" cm="1">
        <f t="array" aca="1" ref="T643" ca="1">IF(AND(G643=INDIRECT("'["&amp;G643&amp;"]"&amp;E643&amp;"'!"&amp;$AH$2),OR(I643=INDIRECT("'["&amp;G643&amp;"]"&amp;E643&amp;"'!"&amp;$AF$2))),INDIRECT("'["&amp;G643&amp;"]"&amp;E643&amp;"'!"&amp;$AF$3),0)</f>
        <v>#VALUE!</v>
      </c>
      <c r="U643" s="34" t="e" cm="1">
        <f t="array" aca="1" ref="U643" ca="1">IF(AND(G643=INDIRECT("'["&amp;G643&amp;"]"&amp;E643&amp;"'!"&amp;$AH$2),OR(I643=INDIRECT("'["&amp;G643&amp;"]"&amp;E643&amp;"'!"&amp;$AG$2))),INDIRECT("'["&amp;G643&amp;"]"&amp;E643&amp;"'!"&amp;$AG$3),0)</f>
        <v>#VALUE!</v>
      </c>
      <c r="V643" s="25" t="str">
        <f t="shared" si="182"/>
        <v/>
      </c>
      <c r="W643" s="36" t="e" cm="1">
        <f t="array" aca="1" ref="W643" ca="1">IF(AND(G643=INDIRECT("'["&amp;G643&amp;"]"&amp;E643&amp;"'!"&amp;$AH$2),OR(V643=INDIRECT("'["&amp;G643&amp;"]"&amp;E643&amp;"'!"&amp;$AI$2))),INDIRECT("'["&amp;G643&amp;"]"&amp;E643&amp;"'!"&amp;$AI$3),0)</f>
        <v>#VALUE!</v>
      </c>
      <c r="AJ643" s="25">
        <v>1</v>
      </c>
      <c r="AK643" s="38">
        <f t="shared" ca="1" si="183"/>
        <v>0</v>
      </c>
      <c r="AL643" s="38">
        <f t="shared" ca="1" si="184"/>
        <v>0</v>
      </c>
      <c r="AM643" s="54" t="str">
        <f t="shared" ca="1" si="185"/>
        <v/>
      </c>
      <c r="AN643" s="25" t="e">
        <f t="shared" ca="1" si="186"/>
        <v>#VALUE!</v>
      </c>
      <c r="AO643" s="25" t="e">
        <f t="shared" ca="1" si="187"/>
        <v>#VALUE!</v>
      </c>
      <c r="AQ643" s="46" t="str">
        <f ca="1">IF(AND(C643&lt;&gt;0, C644=0), SUM($C$2:C643)-SUM($AQ$1:AQ642), "")</f>
        <v/>
      </c>
      <c r="AR643" s="46" t="str">
        <f ca="1">IF(AND(AK643&lt;&gt;0, AK644=0), SUM($AK$2:AK643)-SUM($AR$1:AR642), "")</f>
        <v/>
      </c>
    </row>
    <row r="644" spans="2:44" ht="13.15" customHeight="1">
      <c r="B644" s="68" t="str">
        <f t="shared" si="173"/>
        <v/>
      </c>
      <c r="C644" s="55" cm="1">
        <f t="array" aca="1" ref="C644" ca="1">SUM(IF(ISNUMBER(M644:U644),M644:U644,""))</f>
        <v>0</v>
      </c>
      <c r="D644" s="25" t="str">
        <f t="shared" si="174"/>
        <v/>
      </c>
      <c r="E644" s="25" t="e">
        <f t="shared" si="175"/>
        <v>#VALUE!</v>
      </c>
      <c r="F644" s="25" t="str">
        <f t="shared" si="176"/>
        <v/>
      </c>
      <c r="G644" s="25" t="str">
        <f t="shared" si="177"/>
        <v>.xlsx</v>
      </c>
      <c r="H644" s="29" t="e" cm="1">
        <f t="array" aca="1" ref="H644" ca="1">IF(AND(VALUE(E644)=INDIRECT("'["&amp;G644&amp;"]"&amp;E644&amp;"'!"&amp;$X$2),G644=INDIRECT("'["&amp;G644&amp;"]"&amp;E644&amp;"'!"&amp;$X$3)),INDIRECT("'["&amp;G644&amp;"]"&amp;E644&amp;"'!"&amp;$X$1),0)</f>
        <v>#VALUE!</v>
      </c>
      <c r="I644" s="25" t="str">
        <f t="shared" si="178"/>
        <v/>
      </c>
      <c r="J644" s="32" t="str">
        <f t="shared" si="179"/>
        <v/>
      </c>
      <c r="K644" s="25" t="str">
        <f t="shared" si="180"/>
        <v/>
      </c>
      <c r="L644" s="25" t="str">
        <f t="shared" si="181"/>
        <v/>
      </c>
      <c r="M644" s="33" t="e" cm="1">
        <f t="array" aca="1" ref="M644" ca="1">IF(AND(J644=INDIRECT("'["&amp;G644&amp;"]"&amp;E644&amp;"'!"&amp;$Y$2),G644=INDIRECT("'["&amp;G644&amp;"]"&amp;E644&amp;"'!"&amp;$AH$2)),INDIRECT("'["&amp;G644&amp;"]"&amp;E644&amp;"'!"&amp;$Y$3),0)</f>
        <v>#VALUE!</v>
      </c>
      <c r="N644" s="34" t="e" cm="1">
        <f t="array" aca="1" ref="N644" ca="1">IF(AND(G644=INDIRECT("'["&amp;G644&amp;"]"&amp;E644&amp;"'!"&amp;$AH$2),OR(K644=INDIRECT("'["&amp;G644&amp;"]"&amp;E644&amp;"'!"&amp;$Z$2))),INDIRECT("'["&amp;G644&amp;"]"&amp;E644&amp;"'!"&amp;$Z$3),0)</f>
        <v>#VALUE!</v>
      </c>
      <c r="O644" s="34" t="e" cm="1">
        <f t="array" aca="1" ref="O644" ca="1">IF(AND(G644=INDIRECT("'["&amp;G644&amp;"]"&amp;E644&amp;"'!"&amp;$AH$2),OR(L644=INDIRECT("'["&amp;G644&amp;"]"&amp;E644&amp;"'!"&amp;$AA$2))),INDIRECT("'["&amp;G644&amp;"]"&amp;E644&amp;"'!"&amp;$AA$3),0)</f>
        <v>#VALUE!</v>
      </c>
      <c r="P644" s="34" t="e" cm="1">
        <f t="array" aca="1" ref="P644" ca="1">IF(AND(G644=INDIRECT("'["&amp;G644&amp;"]"&amp;E644&amp;"'!"&amp;$AH$2),OR(VALUE(I644)=INDIRECT("'["&amp;G644&amp;"]"&amp;E644&amp;"'!"&amp;$AB$2))),INDIRECT("'["&amp;G644&amp;"]"&amp;E644&amp;"'!"&amp;$AB$3),0)</f>
        <v>#VALUE!</v>
      </c>
      <c r="Q644" s="34" t="e" cm="1">
        <f t="array" aca="1" ref="Q644" ca="1">IF(AND(G644=INDIRECT("'["&amp;G644&amp;"]"&amp;E644&amp;"'!"&amp;$AH$2),OR(VALUE(I644)=INDIRECT("'["&amp;G644&amp;"]"&amp;E644&amp;"'!"&amp;$AC$2))),INDIRECT("'["&amp;G644&amp;"]"&amp;E644&amp;"'!"&amp;$AC$3),0)</f>
        <v>#VALUE!</v>
      </c>
      <c r="R644" s="34" t="e" cm="1">
        <f t="array" aca="1" ref="R644" ca="1">IF(AND(G644=INDIRECT("'["&amp;G644&amp;"]"&amp;E644&amp;"'!"&amp;$AH$2),OR(I644=INDIRECT("'["&amp;G644&amp;"]"&amp;E644&amp;"'!"&amp;$AD$2))),INDIRECT("'["&amp;G644&amp;"]"&amp;E644&amp;"'!"&amp;$AD$3),0)</f>
        <v>#VALUE!</v>
      </c>
      <c r="S644" s="34" t="e" cm="1">
        <f t="array" aca="1" ref="S644" ca="1">IF(AND(G644=INDIRECT("'["&amp;G644&amp;"]"&amp;E644&amp;"'!"&amp;$AH$2),OR(I644=INDIRECT("'["&amp;G644&amp;"]"&amp;E644&amp;"'!"&amp;$AE$2))),INDIRECT("'["&amp;G644&amp;"]"&amp;E644&amp;"'!"&amp;$AE$3),0)</f>
        <v>#VALUE!</v>
      </c>
      <c r="T644" s="35" t="e" cm="1">
        <f t="array" aca="1" ref="T644" ca="1">IF(AND(G644=INDIRECT("'["&amp;G644&amp;"]"&amp;E644&amp;"'!"&amp;$AH$2),OR(I644=INDIRECT("'["&amp;G644&amp;"]"&amp;E644&amp;"'!"&amp;$AF$2))),INDIRECT("'["&amp;G644&amp;"]"&amp;E644&amp;"'!"&amp;$AF$3),0)</f>
        <v>#VALUE!</v>
      </c>
      <c r="U644" s="34" t="e" cm="1">
        <f t="array" aca="1" ref="U644" ca="1">IF(AND(G644=INDIRECT("'["&amp;G644&amp;"]"&amp;E644&amp;"'!"&amp;$AH$2),OR(I644=INDIRECT("'["&amp;G644&amp;"]"&amp;E644&amp;"'!"&amp;$AG$2))),INDIRECT("'["&amp;G644&amp;"]"&amp;E644&amp;"'!"&amp;$AG$3),0)</f>
        <v>#VALUE!</v>
      </c>
      <c r="V644" s="25" t="str">
        <f t="shared" si="182"/>
        <v/>
      </c>
      <c r="W644" s="36" t="e" cm="1">
        <f t="array" aca="1" ref="W644" ca="1">IF(AND(G644=INDIRECT("'["&amp;G644&amp;"]"&amp;E644&amp;"'!"&amp;$AH$2),OR(V644=INDIRECT("'["&amp;G644&amp;"]"&amp;E644&amp;"'!"&amp;$AI$2))),INDIRECT("'["&amp;G644&amp;"]"&amp;E644&amp;"'!"&amp;$AI$3),0)</f>
        <v>#VALUE!</v>
      </c>
      <c r="AJ644" s="25">
        <v>1</v>
      </c>
      <c r="AK644" s="38">
        <f t="shared" ca="1" si="183"/>
        <v>0</v>
      </c>
      <c r="AL644" s="38">
        <f t="shared" ca="1" si="184"/>
        <v>0</v>
      </c>
      <c r="AM644" s="54" t="str">
        <f t="shared" ca="1" si="185"/>
        <v/>
      </c>
      <c r="AN644" s="25" t="e">
        <f t="shared" ca="1" si="186"/>
        <v>#VALUE!</v>
      </c>
      <c r="AO644" s="25" t="e">
        <f t="shared" ca="1" si="187"/>
        <v>#VALUE!</v>
      </c>
      <c r="AQ644" s="46" t="str">
        <f ca="1">IF(AND(C644&lt;&gt;0, C645=0), SUM($C$2:C644)-SUM($AQ$1:AQ643), "")</f>
        <v/>
      </c>
      <c r="AR644" s="46" t="str">
        <f ca="1">IF(AND(AK644&lt;&gt;0, AK645=0), SUM($AK$2:AK644)-SUM($AR$1:AR643), "")</f>
        <v/>
      </c>
    </row>
    <row r="645" spans="2:44" ht="13.15" customHeight="1">
      <c r="B645" s="68" t="str">
        <f t="shared" si="173"/>
        <v/>
      </c>
      <c r="C645" s="55" cm="1">
        <f t="array" aca="1" ref="C645" ca="1">SUM(IF(ISNUMBER(M645:U645),M645:U645,""))</f>
        <v>0</v>
      </c>
      <c r="D645" s="25" t="str">
        <f t="shared" si="174"/>
        <v/>
      </c>
      <c r="E645" s="25" t="e">
        <f t="shared" si="175"/>
        <v>#VALUE!</v>
      </c>
      <c r="F645" s="25" t="str">
        <f t="shared" si="176"/>
        <v/>
      </c>
      <c r="G645" s="25" t="str">
        <f t="shared" si="177"/>
        <v>.xlsx</v>
      </c>
      <c r="H645" s="29" t="e" cm="1">
        <f t="array" aca="1" ref="H645" ca="1">IF(AND(VALUE(E645)=INDIRECT("'["&amp;G645&amp;"]"&amp;E645&amp;"'!"&amp;$X$2),G645=INDIRECT("'["&amp;G645&amp;"]"&amp;E645&amp;"'!"&amp;$X$3)),INDIRECT("'["&amp;G645&amp;"]"&amp;E645&amp;"'!"&amp;$X$1),0)</f>
        <v>#VALUE!</v>
      </c>
      <c r="I645" s="25" t="str">
        <f t="shared" si="178"/>
        <v/>
      </c>
      <c r="J645" s="32" t="str">
        <f t="shared" si="179"/>
        <v/>
      </c>
      <c r="K645" s="25" t="str">
        <f t="shared" si="180"/>
        <v/>
      </c>
      <c r="L645" s="25" t="str">
        <f t="shared" si="181"/>
        <v/>
      </c>
      <c r="M645" s="33" t="e" cm="1">
        <f t="array" aca="1" ref="M645" ca="1">IF(AND(J645=INDIRECT("'["&amp;G645&amp;"]"&amp;E645&amp;"'!"&amp;$Y$2),G645=INDIRECT("'["&amp;G645&amp;"]"&amp;E645&amp;"'!"&amp;$AH$2)),INDIRECT("'["&amp;G645&amp;"]"&amp;E645&amp;"'!"&amp;$Y$3),0)</f>
        <v>#VALUE!</v>
      </c>
      <c r="N645" s="34" t="e" cm="1">
        <f t="array" aca="1" ref="N645" ca="1">IF(AND(G645=INDIRECT("'["&amp;G645&amp;"]"&amp;E645&amp;"'!"&amp;$AH$2),OR(K645=INDIRECT("'["&amp;G645&amp;"]"&amp;E645&amp;"'!"&amp;$Z$2))),INDIRECT("'["&amp;G645&amp;"]"&amp;E645&amp;"'!"&amp;$Z$3),0)</f>
        <v>#VALUE!</v>
      </c>
      <c r="O645" s="34" t="e" cm="1">
        <f t="array" aca="1" ref="O645" ca="1">IF(AND(G645=INDIRECT("'["&amp;G645&amp;"]"&amp;E645&amp;"'!"&amp;$AH$2),OR(L645=INDIRECT("'["&amp;G645&amp;"]"&amp;E645&amp;"'!"&amp;$AA$2))),INDIRECT("'["&amp;G645&amp;"]"&amp;E645&amp;"'!"&amp;$AA$3),0)</f>
        <v>#VALUE!</v>
      </c>
      <c r="P645" s="34" t="e" cm="1">
        <f t="array" aca="1" ref="P645" ca="1">IF(AND(G645=INDIRECT("'["&amp;G645&amp;"]"&amp;E645&amp;"'!"&amp;$AH$2),OR(VALUE(I645)=INDIRECT("'["&amp;G645&amp;"]"&amp;E645&amp;"'!"&amp;$AB$2))),INDIRECT("'["&amp;G645&amp;"]"&amp;E645&amp;"'!"&amp;$AB$3),0)</f>
        <v>#VALUE!</v>
      </c>
      <c r="Q645" s="34" t="e" cm="1">
        <f t="array" aca="1" ref="Q645" ca="1">IF(AND(G645=INDIRECT("'["&amp;G645&amp;"]"&amp;E645&amp;"'!"&amp;$AH$2),OR(VALUE(I645)=INDIRECT("'["&amp;G645&amp;"]"&amp;E645&amp;"'!"&amp;$AC$2))),INDIRECT("'["&amp;G645&amp;"]"&amp;E645&amp;"'!"&amp;$AC$3),0)</f>
        <v>#VALUE!</v>
      </c>
      <c r="R645" s="34" t="e" cm="1">
        <f t="array" aca="1" ref="R645" ca="1">IF(AND(G645=INDIRECT("'["&amp;G645&amp;"]"&amp;E645&amp;"'!"&amp;$AH$2),OR(I645=INDIRECT("'["&amp;G645&amp;"]"&amp;E645&amp;"'!"&amp;$AD$2))),INDIRECT("'["&amp;G645&amp;"]"&amp;E645&amp;"'!"&amp;$AD$3),0)</f>
        <v>#VALUE!</v>
      </c>
      <c r="S645" s="34" t="e" cm="1">
        <f t="array" aca="1" ref="S645" ca="1">IF(AND(G645=INDIRECT("'["&amp;G645&amp;"]"&amp;E645&amp;"'!"&amp;$AH$2),OR(I645=INDIRECT("'["&amp;G645&amp;"]"&amp;E645&amp;"'!"&amp;$AE$2))),INDIRECT("'["&amp;G645&amp;"]"&amp;E645&amp;"'!"&amp;$AE$3),0)</f>
        <v>#VALUE!</v>
      </c>
      <c r="T645" s="35" t="e" cm="1">
        <f t="array" aca="1" ref="T645" ca="1">IF(AND(G645=INDIRECT("'["&amp;G645&amp;"]"&amp;E645&amp;"'!"&amp;$AH$2),OR(I645=INDIRECT("'["&amp;G645&amp;"]"&amp;E645&amp;"'!"&amp;$AF$2))),INDIRECT("'["&amp;G645&amp;"]"&amp;E645&amp;"'!"&amp;$AF$3),0)</f>
        <v>#VALUE!</v>
      </c>
      <c r="U645" s="34" t="e" cm="1">
        <f t="array" aca="1" ref="U645" ca="1">IF(AND(G645=INDIRECT("'["&amp;G645&amp;"]"&amp;E645&amp;"'!"&amp;$AH$2),OR(I645=INDIRECT("'["&amp;G645&amp;"]"&amp;E645&amp;"'!"&amp;$AG$2))),INDIRECT("'["&amp;G645&amp;"]"&amp;E645&amp;"'!"&amp;$AG$3),0)</f>
        <v>#VALUE!</v>
      </c>
      <c r="V645" s="25" t="str">
        <f t="shared" si="182"/>
        <v/>
      </c>
      <c r="W645" s="36" t="e" cm="1">
        <f t="array" aca="1" ref="W645" ca="1">IF(AND(G645=INDIRECT("'["&amp;G645&amp;"]"&amp;E645&amp;"'!"&amp;$AH$2),OR(V645=INDIRECT("'["&amp;G645&amp;"]"&amp;E645&amp;"'!"&amp;$AI$2))),INDIRECT("'["&amp;G645&amp;"]"&amp;E645&amp;"'!"&amp;$AI$3),0)</f>
        <v>#VALUE!</v>
      </c>
      <c r="AJ645" s="25">
        <v>1</v>
      </c>
      <c r="AK645" s="38">
        <f t="shared" ca="1" si="183"/>
        <v>0</v>
      </c>
      <c r="AL645" s="38">
        <f t="shared" ca="1" si="184"/>
        <v>0</v>
      </c>
      <c r="AM645" s="54" t="str">
        <f t="shared" ca="1" si="185"/>
        <v/>
      </c>
      <c r="AN645" s="25" t="e">
        <f t="shared" ca="1" si="186"/>
        <v>#VALUE!</v>
      </c>
      <c r="AO645" s="25" t="e">
        <f t="shared" ca="1" si="187"/>
        <v>#VALUE!</v>
      </c>
      <c r="AQ645" s="46" t="str">
        <f ca="1">IF(AND(C645&lt;&gt;0, C646=0), SUM($C$2:C645)-SUM($AQ$1:AQ644), "")</f>
        <v/>
      </c>
      <c r="AR645" s="46" t="str">
        <f ca="1">IF(AND(AK645&lt;&gt;0, AK646=0), SUM($AK$2:AK645)-SUM($AR$1:AR644), "")</f>
        <v/>
      </c>
    </row>
    <row r="646" spans="2:44" ht="13.15" customHeight="1">
      <c r="B646" s="68" t="str">
        <f t="shared" si="173"/>
        <v/>
      </c>
      <c r="C646" s="55" cm="1">
        <f t="array" aca="1" ref="C646" ca="1">SUM(IF(ISNUMBER(M646:U646),M646:U646,""))</f>
        <v>0</v>
      </c>
      <c r="D646" s="25" t="str">
        <f t="shared" si="174"/>
        <v/>
      </c>
      <c r="E646" s="25" t="e">
        <f t="shared" si="175"/>
        <v>#VALUE!</v>
      </c>
      <c r="F646" s="25" t="str">
        <f t="shared" si="176"/>
        <v/>
      </c>
      <c r="G646" s="25" t="str">
        <f t="shared" si="177"/>
        <v>.xlsx</v>
      </c>
      <c r="H646" s="29" t="e" cm="1">
        <f t="array" aca="1" ref="H646" ca="1">IF(AND(VALUE(E646)=INDIRECT("'["&amp;G646&amp;"]"&amp;E646&amp;"'!"&amp;$X$2),G646=INDIRECT("'["&amp;G646&amp;"]"&amp;E646&amp;"'!"&amp;$X$3)),INDIRECT("'["&amp;G646&amp;"]"&amp;E646&amp;"'!"&amp;$X$1),0)</f>
        <v>#VALUE!</v>
      </c>
      <c r="I646" s="25" t="str">
        <f t="shared" si="178"/>
        <v/>
      </c>
      <c r="J646" s="32" t="str">
        <f t="shared" si="179"/>
        <v/>
      </c>
      <c r="K646" s="25" t="str">
        <f t="shared" si="180"/>
        <v/>
      </c>
      <c r="L646" s="25" t="str">
        <f t="shared" si="181"/>
        <v/>
      </c>
      <c r="M646" s="33" t="e" cm="1">
        <f t="array" aca="1" ref="M646" ca="1">IF(AND(J646=INDIRECT("'["&amp;G646&amp;"]"&amp;E646&amp;"'!"&amp;$Y$2),G646=INDIRECT("'["&amp;G646&amp;"]"&amp;E646&amp;"'!"&amp;$AH$2)),INDIRECT("'["&amp;G646&amp;"]"&amp;E646&amp;"'!"&amp;$Y$3),0)</f>
        <v>#VALUE!</v>
      </c>
      <c r="N646" s="34" t="e" cm="1">
        <f t="array" aca="1" ref="N646" ca="1">IF(AND(G646=INDIRECT("'["&amp;G646&amp;"]"&amp;E646&amp;"'!"&amp;$AH$2),OR(K646=INDIRECT("'["&amp;G646&amp;"]"&amp;E646&amp;"'!"&amp;$Z$2))),INDIRECT("'["&amp;G646&amp;"]"&amp;E646&amp;"'!"&amp;$Z$3),0)</f>
        <v>#VALUE!</v>
      </c>
      <c r="O646" s="34" t="e" cm="1">
        <f t="array" aca="1" ref="O646" ca="1">IF(AND(G646=INDIRECT("'["&amp;G646&amp;"]"&amp;E646&amp;"'!"&amp;$AH$2),OR(L646=INDIRECT("'["&amp;G646&amp;"]"&amp;E646&amp;"'!"&amp;$AA$2))),INDIRECT("'["&amp;G646&amp;"]"&amp;E646&amp;"'!"&amp;$AA$3),0)</f>
        <v>#VALUE!</v>
      </c>
      <c r="P646" s="34" t="e" cm="1">
        <f t="array" aca="1" ref="P646" ca="1">IF(AND(G646=INDIRECT("'["&amp;G646&amp;"]"&amp;E646&amp;"'!"&amp;$AH$2),OR(VALUE(I646)=INDIRECT("'["&amp;G646&amp;"]"&amp;E646&amp;"'!"&amp;$AB$2))),INDIRECT("'["&amp;G646&amp;"]"&amp;E646&amp;"'!"&amp;$AB$3),0)</f>
        <v>#VALUE!</v>
      </c>
      <c r="Q646" s="34" t="e" cm="1">
        <f t="array" aca="1" ref="Q646" ca="1">IF(AND(G646=INDIRECT("'["&amp;G646&amp;"]"&amp;E646&amp;"'!"&amp;$AH$2),OR(VALUE(I646)=INDIRECT("'["&amp;G646&amp;"]"&amp;E646&amp;"'!"&amp;$AC$2))),INDIRECT("'["&amp;G646&amp;"]"&amp;E646&amp;"'!"&amp;$AC$3),0)</f>
        <v>#VALUE!</v>
      </c>
      <c r="R646" s="34" t="e" cm="1">
        <f t="array" aca="1" ref="R646" ca="1">IF(AND(G646=INDIRECT("'["&amp;G646&amp;"]"&amp;E646&amp;"'!"&amp;$AH$2),OR(I646=INDIRECT("'["&amp;G646&amp;"]"&amp;E646&amp;"'!"&amp;$AD$2))),INDIRECT("'["&amp;G646&amp;"]"&amp;E646&amp;"'!"&amp;$AD$3),0)</f>
        <v>#VALUE!</v>
      </c>
      <c r="S646" s="34" t="e" cm="1">
        <f t="array" aca="1" ref="S646" ca="1">IF(AND(G646=INDIRECT("'["&amp;G646&amp;"]"&amp;E646&amp;"'!"&amp;$AH$2),OR(I646=INDIRECT("'["&amp;G646&amp;"]"&amp;E646&amp;"'!"&amp;$AE$2))),INDIRECT("'["&amp;G646&amp;"]"&amp;E646&amp;"'!"&amp;$AE$3),0)</f>
        <v>#VALUE!</v>
      </c>
      <c r="T646" s="35" t="e" cm="1">
        <f t="array" aca="1" ref="T646" ca="1">IF(AND(G646=INDIRECT("'["&amp;G646&amp;"]"&amp;E646&amp;"'!"&amp;$AH$2),OR(I646=INDIRECT("'["&amp;G646&amp;"]"&amp;E646&amp;"'!"&amp;$AF$2))),INDIRECT("'["&amp;G646&amp;"]"&amp;E646&amp;"'!"&amp;$AF$3),0)</f>
        <v>#VALUE!</v>
      </c>
      <c r="U646" s="34" t="e" cm="1">
        <f t="array" aca="1" ref="U646" ca="1">IF(AND(G646=INDIRECT("'["&amp;G646&amp;"]"&amp;E646&amp;"'!"&amp;$AH$2),OR(I646=INDIRECT("'["&amp;G646&amp;"]"&amp;E646&amp;"'!"&amp;$AG$2))),INDIRECT("'["&amp;G646&amp;"]"&amp;E646&amp;"'!"&amp;$AG$3),0)</f>
        <v>#VALUE!</v>
      </c>
      <c r="V646" s="25" t="str">
        <f t="shared" si="182"/>
        <v/>
      </c>
      <c r="W646" s="36" t="e" cm="1">
        <f t="array" aca="1" ref="W646" ca="1">IF(AND(G646=INDIRECT("'["&amp;G646&amp;"]"&amp;E646&amp;"'!"&amp;$AH$2),OR(V646=INDIRECT("'["&amp;G646&amp;"]"&amp;E646&amp;"'!"&amp;$AI$2))),INDIRECT("'["&amp;G646&amp;"]"&amp;E646&amp;"'!"&amp;$AI$3),0)</f>
        <v>#VALUE!</v>
      </c>
      <c r="AJ646" s="25">
        <v>1</v>
      </c>
      <c r="AK646" s="38">
        <f t="shared" ca="1" si="183"/>
        <v>0</v>
      </c>
      <c r="AL646" s="38">
        <f t="shared" ca="1" si="184"/>
        <v>0</v>
      </c>
      <c r="AM646" s="54" t="str">
        <f t="shared" ca="1" si="185"/>
        <v/>
      </c>
      <c r="AN646" s="25" t="e">
        <f t="shared" ca="1" si="186"/>
        <v>#VALUE!</v>
      </c>
      <c r="AO646" s="25" t="e">
        <f t="shared" ca="1" si="187"/>
        <v>#VALUE!</v>
      </c>
      <c r="AQ646" s="46" t="str">
        <f ca="1">IF(AND(C646&lt;&gt;0, C647=0), SUM($C$2:C646)-SUM($AQ$1:AQ645), "")</f>
        <v/>
      </c>
      <c r="AR646" s="46" t="str">
        <f ca="1">IF(AND(AK646&lt;&gt;0, AK647=0), SUM($AK$2:AK646)-SUM($AR$1:AR645), "")</f>
        <v/>
      </c>
    </row>
    <row r="647" spans="2:44" ht="13.15" customHeight="1">
      <c r="B647" s="68" t="str">
        <f t="shared" si="173"/>
        <v/>
      </c>
      <c r="C647" s="55" cm="1">
        <f t="array" aca="1" ref="C647" ca="1">SUM(IF(ISNUMBER(M647:U647),M647:U647,""))</f>
        <v>0</v>
      </c>
      <c r="D647" s="25" t="str">
        <f t="shared" si="174"/>
        <v/>
      </c>
      <c r="E647" s="25" t="e">
        <f t="shared" si="175"/>
        <v>#VALUE!</v>
      </c>
      <c r="F647" s="25" t="str">
        <f t="shared" si="176"/>
        <v/>
      </c>
      <c r="G647" s="25" t="str">
        <f t="shared" si="177"/>
        <v>.xlsx</v>
      </c>
      <c r="H647" s="29" t="e" cm="1">
        <f t="array" aca="1" ref="H647" ca="1">IF(AND(VALUE(E647)=INDIRECT("'["&amp;G647&amp;"]"&amp;E647&amp;"'!"&amp;$X$2),G647=INDIRECT("'["&amp;G647&amp;"]"&amp;E647&amp;"'!"&amp;$X$3)),INDIRECT("'["&amp;G647&amp;"]"&amp;E647&amp;"'!"&amp;$X$1),0)</f>
        <v>#VALUE!</v>
      </c>
      <c r="I647" s="25" t="str">
        <f t="shared" si="178"/>
        <v/>
      </c>
      <c r="J647" s="32" t="str">
        <f t="shared" si="179"/>
        <v/>
      </c>
      <c r="K647" s="25" t="str">
        <f t="shared" si="180"/>
        <v/>
      </c>
      <c r="L647" s="25" t="str">
        <f t="shared" si="181"/>
        <v/>
      </c>
      <c r="M647" s="33" t="e" cm="1">
        <f t="array" aca="1" ref="M647" ca="1">IF(AND(J647=INDIRECT("'["&amp;G647&amp;"]"&amp;E647&amp;"'!"&amp;$Y$2),G647=INDIRECT("'["&amp;G647&amp;"]"&amp;E647&amp;"'!"&amp;$AH$2)),INDIRECT("'["&amp;G647&amp;"]"&amp;E647&amp;"'!"&amp;$Y$3),0)</f>
        <v>#VALUE!</v>
      </c>
      <c r="N647" s="34" t="e" cm="1">
        <f t="array" aca="1" ref="N647" ca="1">IF(AND(G647=INDIRECT("'["&amp;G647&amp;"]"&amp;E647&amp;"'!"&amp;$AH$2),OR(K647=INDIRECT("'["&amp;G647&amp;"]"&amp;E647&amp;"'!"&amp;$Z$2))),INDIRECT("'["&amp;G647&amp;"]"&amp;E647&amp;"'!"&amp;$Z$3),0)</f>
        <v>#VALUE!</v>
      </c>
      <c r="O647" s="34" t="e" cm="1">
        <f t="array" aca="1" ref="O647" ca="1">IF(AND(G647=INDIRECT("'["&amp;G647&amp;"]"&amp;E647&amp;"'!"&amp;$AH$2),OR(L647=INDIRECT("'["&amp;G647&amp;"]"&amp;E647&amp;"'!"&amp;$AA$2))),INDIRECT("'["&amp;G647&amp;"]"&amp;E647&amp;"'!"&amp;$AA$3),0)</f>
        <v>#VALUE!</v>
      </c>
      <c r="P647" s="34" t="e" cm="1">
        <f t="array" aca="1" ref="P647" ca="1">IF(AND(G647=INDIRECT("'["&amp;G647&amp;"]"&amp;E647&amp;"'!"&amp;$AH$2),OR(VALUE(I647)=INDIRECT("'["&amp;G647&amp;"]"&amp;E647&amp;"'!"&amp;$AB$2))),INDIRECT("'["&amp;G647&amp;"]"&amp;E647&amp;"'!"&amp;$AB$3),0)</f>
        <v>#VALUE!</v>
      </c>
      <c r="Q647" s="34" t="e" cm="1">
        <f t="array" aca="1" ref="Q647" ca="1">IF(AND(G647=INDIRECT("'["&amp;G647&amp;"]"&amp;E647&amp;"'!"&amp;$AH$2),OR(VALUE(I647)=INDIRECT("'["&amp;G647&amp;"]"&amp;E647&amp;"'!"&amp;$AC$2))),INDIRECT("'["&amp;G647&amp;"]"&amp;E647&amp;"'!"&amp;$AC$3),0)</f>
        <v>#VALUE!</v>
      </c>
      <c r="R647" s="34" t="e" cm="1">
        <f t="array" aca="1" ref="R647" ca="1">IF(AND(G647=INDIRECT("'["&amp;G647&amp;"]"&amp;E647&amp;"'!"&amp;$AH$2),OR(I647=INDIRECT("'["&amp;G647&amp;"]"&amp;E647&amp;"'!"&amp;$AD$2))),INDIRECT("'["&amp;G647&amp;"]"&amp;E647&amp;"'!"&amp;$AD$3),0)</f>
        <v>#VALUE!</v>
      </c>
      <c r="S647" s="34" t="e" cm="1">
        <f t="array" aca="1" ref="S647" ca="1">IF(AND(G647=INDIRECT("'["&amp;G647&amp;"]"&amp;E647&amp;"'!"&amp;$AH$2),OR(I647=INDIRECT("'["&amp;G647&amp;"]"&amp;E647&amp;"'!"&amp;$AE$2))),INDIRECT("'["&amp;G647&amp;"]"&amp;E647&amp;"'!"&amp;$AE$3),0)</f>
        <v>#VALUE!</v>
      </c>
      <c r="T647" s="35" t="e" cm="1">
        <f t="array" aca="1" ref="T647" ca="1">IF(AND(G647=INDIRECT("'["&amp;G647&amp;"]"&amp;E647&amp;"'!"&amp;$AH$2),OR(I647=INDIRECT("'["&amp;G647&amp;"]"&amp;E647&amp;"'!"&amp;$AF$2))),INDIRECT("'["&amp;G647&amp;"]"&amp;E647&amp;"'!"&amp;$AF$3),0)</f>
        <v>#VALUE!</v>
      </c>
      <c r="U647" s="34" t="e" cm="1">
        <f t="array" aca="1" ref="U647" ca="1">IF(AND(G647=INDIRECT("'["&amp;G647&amp;"]"&amp;E647&amp;"'!"&amp;$AH$2),OR(I647=INDIRECT("'["&amp;G647&amp;"]"&amp;E647&amp;"'!"&amp;$AG$2))),INDIRECT("'["&amp;G647&amp;"]"&amp;E647&amp;"'!"&amp;$AG$3),0)</f>
        <v>#VALUE!</v>
      </c>
      <c r="V647" s="25" t="str">
        <f t="shared" si="182"/>
        <v/>
      </c>
      <c r="W647" s="36" t="e" cm="1">
        <f t="array" aca="1" ref="W647" ca="1">IF(AND(G647=INDIRECT("'["&amp;G647&amp;"]"&amp;E647&amp;"'!"&amp;$AH$2),OR(V647=INDIRECT("'["&amp;G647&amp;"]"&amp;E647&amp;"'!"&amp;$AI$2))),INDIRECT("'["&amp;G647&amp;"]"&amp;E647&amp;"'!"&amp;$AI$3),0)</f>
        <v>#VALUE!</v>
      </c>
      <c r="AJ647" s="25">
        <v>1</v>
      </c>
      <c r="AK647" s="38">
        <f t="shared" ca="1" si="183"/>
        <v>0</v>
      </c>
      <c r="AL647" s="38">
        <f t="shared" ca="1" si="184"/>
        <v>0</v>
      </c>
      <c r="AM647" s="54" t="str">
        <f t="shared" ca="1" si="185"/>
        <v/>
      </c>
      <c r="AN647" s="25" t="e">
        <f t="shared" ca="1" si="186"/>
        <v>#VALUE!</v>
      </c>
      <c r="AO647" s="25" t="e">
        <f t="shared" ca="1" si="187"/>
        <v>#VALUE!</v>
      </c>
      <c r="AQ647" s="46" t="str">
        <f ca="1">IF(AND(C647&lt;&gt;0, C648=0), SUM($C$2:C647)-SUM($AQ$1:AQ646), "")</f>
        <v/>
      </c>
      <c r="AR647" s="46" t="str">
        <f ca="1">IF(AND(AK647&lt;&gt;0, AK648=0), SUM($AK$2:AK647)-SUM($AR$1:AR646), "")</f>
        <v/>
      </c>
    </row>
    <row r="648" spans="2:44" ht="13.15" customHeight="1">
      <c r="B648" s="68" t="str">
        <f t="shared" si="173"/>
        <v/>
      </c>
      <c r="C648" s="55" cm="1">
        <f t="array" aca="1" ref="C648" ca="1">SUM(IF(ISNUMBER(M648:U648),M648:U648,""))</f>
        <v>0</v>
      </c>
      <c r="D648" s="25" t="str">
        <f t="shared" si="174"/>
        <v/>
      </c>
      <c r="E648" s="25" t="e">
        <f t="shared" si="175"/>
        <v>#VALUE!</v>
      </c>
      <c r="F648" s="25" t="str">
        <f t="shared" si="176"/>
        <v/>
      </c>
      <c r="G648" s="25" t="str">
        <f t="shared" si="177"/>
        <v>.xlsx</v>
      </c>
      <c r="H648" s="29" t="e" cm="1">
        <f t="array" aca="1" ref="H648" ca="1">IF(AND(VALUE(E648)=INDIRECT("'["&amp;G648&amp;"]"&amp;E648&amp;"'!"&amp;$X$2),G648=INDIRECT("'["&amp;G648&amp;"]"&amp;E648&amp;"'!"&amp;$X$3)),INDIRECT("'["&amp;G648&amp;"]"&amp;E648&amp;"'!"&amp;$X$1),0)</f>
        <v>#VALUE!</v>
      </c>
      <c r="I648" s="25" t="str">
        <f t="shared" si="178"/>
        <v/>
      </c>
      <c r="J648" s="32" t="str">
        <f t="shared" si="179"/>
        <v/>
      </c>
      <c r="K648" s="25" t="str">
        <f t="shared" si="180"/>
        <v/>
      </c>
      <c r="L648" s="25" t="str">
        <f t="shared" si="181"/>
        <v/>
      </c>
      <c r="M648" s="33" t="e" cm="1">
        <f t="array" aca="1" ref="M648" ca="1">IF(AND(J648=INDIRECT("'["&amp;G648&amp;"]"&amp;E648&amp;"'!"&amp;$Y$2),G648=INDIRECT("'["&amp;G648&amp;"]"&amp;E648&amp;"'!"&amp;$AH$2)),INDIRECT("'["&amp;G648&amp;"]"&amp;E648&amp;"'!"&amp;$Y$3),0)</f>
        <v>#VALUE!</v>
      </c>
      <c r="N648" s="34" t="e" cm="1">
        <f t="array" aca="1" ref="N648" ca="1">IF(AND(G648=INDIRECT("'["&amp;G648&amp;"]"&amp;E648&amp;"'!"&amp;$AH$2),OR(K648=INDIRECT("'["&amp;G648&amp;"]"&amp;E648&amp;"'!"&amp;$Z$2))),INDIRECT("'["&amp;G648&amp;"]"&amp;E648&amp;"'!"&amp;$Z$3),0)</f>
        <v>#VALUE!</v>
      </c>
      <c r="O648" s="34" t="e" cm="1">
        <f t="array" aca="1" ref="O648" ca="1">IF(AND(G648=INDIRECT("'["&amp;G648&amp;"]"&amp;E648&amp;"'!"&amp;$AH$2),OR(L648=INDIRECT("'["&amp;G648&amp;"]"&amp;E648&amp;"'!"&amp;$AA$2))),INDIRECT("'["&amp;G648&amp;"]"&amp;E648&amp;"'!"&amp;$AA$3),0)</f>
        <v>#VALUE!</v>
      </c>
      <c r="P648" s="34" t="e" cm="1">
        <f t="array" aca="1" ref="P648" ca="1">IF(AND(G648=INDIRECT("'["&amp;G648&amp;"]"&amp;E648&amp;"'!"&amp;$AH$2),OR(VALUE(I648)=INDIRECT("'["&amp;G648&amp;"]"&amp;E648&amp;"'!"&amp;$AB$2))),INDIRECT("'["&amp;G648&amp;"]"&amp;E648&amp;"'!"&amp;$AB$3),0)</f>
        <v>#VALUE!</v>
      </c>
      <c r="Q648" s="34" t="e" cm="1">
        <f t="array" aca="1" ref="Q648" ca="1">IF(AND(G648=INDIRECT("'["&amp;G648&amp;"]"&amp;E648&amp;"'!"&amp;$AH$2),OR(VALUE(I648)=INDIRECT("'["&amp;G648&amp;"]"&amp;E648&amp;"'!"&amp;$AC$2))),INDIRECT("'["&amp;G648&amp;"]"&amp;E648&amp;"'!"&amp;$AC$3),0)</f>
        <v>#VALUE!</v>
      </c>
      <c r="R648" s="34" t="e" cm="1">
        <f t="array" aca="1" ref="R648" ca="1">IF(AND(G648=INDIRECT("'["&amp;G648&amp;"]"&amp;E648&amp;"'!"&amp;$AH$2),OR(I648=INDIRECT("'["&amp;G648&amp;"]"&amp;E648&amp;"'!"&amp;$AD$2))),INDIRECT("'["&amp;G648&amp;"]"&amp;E648&amp;"'!"&amp;$AD$3),0)</f>
        <v>#VALUE!</v>
      </c>
      <c r="S648" s="34" t="e" cm="1">
        <f t="array" aca="1" ref="S648" ca="1">IF(AND(G648=INDIRECT("'["&amp;G648&amp;"]"&amp;E648&amp;"'!"&amp;$AH$2),OR(I648=INDIRECT("'["&amp;G648&amp;"]"&amp;E648&amp;"'!"&amp;$AE$2))),INDIRECT("'["&amp;G648&amp;"]"&amp;E648&amp;"'!"&amp;$AE$3),0)</f>
        <v>#VALUE!</v>
      </c>
      <c r="T648" s="35" t="e" cm="1">
        <f t="array" aca="1" ref="T648" ca="1">IF(AND(G648=INDIRECT("'["&amp;G648&amp;"]"&amp;E648&amp;"'!"&amp;$AH$2),OR(I648=INDIRECT("'["&amp;G648&amp;"]"&amp;E648&amp;"'!"&amp;$AF$2))),INDIRECT("'["&amp;G648&amp;"]"&amp;E648&amp;"'!"&amp;$AF$3),0)</f>
        <v>#VALUE!</v>
      </c>
      <c r="U648" s="34" t="e" cm="1">
        <f t="array" aca="1" ref="U648" ca="1">IF(AND(G648=INDIRECT("'["&amp;G648&amp;"]"&amp;E648&amp;"'!"&amp;$AH$2),OR(I648=INDIRECT("'["&amp;G648&amp;"]"&amp;E648&amp;"'!"&amp;$AG$2))),INDIRECT("'["&amp;G648&amp;"]"&amp;E648&amp;"'!"&amp;$AG$3),0)</f>
        <v>#VALUE!</v>
      </c>
      <c r="V648" s="25" t="str">
        <f t="shared" si="182"/>
        <v/>
      </c>
      <c r="W648" s="36" t="e" cm="1">
        <f t="array" aca="1" ref="W648" ca="1">IF(AND(G648=INDIRECT("'["&amp;G648&amp;"]"&amp;E648&amp;"'!"&amp;$AH$2),OR(V648=INDIRECT("'["&amp;G648&amp;"]"&amp;E648&amp;"'!"&amp;$AI$2))),INDIRECT("'["&amp;G648&amp;"]"&amp;E648&amp;"'!"&amp;$AI$3),0)</f>
        <v>#VALUE!</v>
      </c>
      <c r="AJ648" s="25">
        <v>1</v>
      </c>
      <c r="AK648" s="38">
        <f t="shared" ca="1" si="183"/>
        <v>0</v>
      </c>
      <c r="AL648" s="38">
        <f t="shared" ca="1" si="184"/>
        <v>0</v>
      </c>
      <c r="AM648" s="54" t="str">
        <f t="shared" ca="1" si="185"/>
        <v/>
      </c>
      <c r="AN648" s="25" t="e">
        <f t="shared" ca="1" si="186"/>
        <v>#VALUE!</v>
      </c>
      <c r="AO648" s="25" t="e">
        <f t="shared" ca="1" si="187"/>
        <v>#VALUE!</v>
      </c>
      <c r="AQ648" s="46" t="str">
        <f ca="1">IF(AND(C648&lt;&gt;0, C649=0), SUM($C$2:C648)-SUM($AQ$1:AQ647), "")</f>
        <v/>
      </c>
      <c r="AR648" s="46" t="str">
        <f ca="1">IF(AND(AK648&lt;&gt;0, AK649=0), SUM($AK$2:AK648)-SUM($AR$1:AR647), "")</f>
        <v/>
      </c>
    </row>
    <row r="649" spans="2:44" ht="13.15" customHeight="1">
      <c r="B649" s="68" t="str">
        <f t="shared" si="173"/>
        <v/>
      </c>
      <c r="C649" s="55" cm="1">
        <f t="array" aca="1" ref="C649" ca="1">SUM(IF(ISNUMBER(M649:U649),M649:U649,""))</f>
        <v>0</v>
      </c>
      <c r="D649" s="25" t="str">
        <f t="shared" si="174"/>
        <v/>
      </c>
      <c r="E649" s="25" t="e">
        <f t="shared" si="175"/>
        <v>#VALUE!</v>
      </c>
      <c r="F649" s="25" t="str">
        <f t="shared" si="176"/>
        <v/>
      </c>
      <c r="G649" s="25" t="str">
        <f t="shared" si="177"/>
        <v>.xlsx</v>
      </c>
      <c r="H649" s="29" t="e" cm="1">
        <f t="array" aca="1" ref="H649" ca="1">IF(AND(VALUE(E649)=INDIRECT("'["&amp;G649&amp;"]"&amp;E649&amp;"'!"&amp;$X$2),G649=INDIRECT("'["&amp;G649&amp;"]"&amp;E649&amp;"'!"&amp;$X$3)),INDIRECT("'["&amp;G649&amp;"]"&amp;E649&amp;"'!"&amp;$X$1),0)</f>
        <v>#VALUE!</v>
      </c>
      <c r="I649" s="25" t="str">
        <f t="shared" si="178"/>
        <v/>
      </c>
      <c r="J649" s="32" t="str">
        <f t="shared" si="179"/>
        <v/>
      </c>
      <c r="K649" s="25" t="str">
        <f t="shared" si="180"/>
        <v/>
      </c>
      <c r="L649" s="25" t="str">
        <f t="shared" si="181"/>
        <v/>
      </c>
      <c r="M649" s="33" t="e" cm="1">
        <f t="array" aca="1" ref="M649" ca="1">IF(AND(J649=INDIRECT("'["&amp;G649&amp;"]"&amp;E649&amp;"'!"&amp;$Y$2),G649=INDIRECT("'["&amp;G649&amp;"]"&amp;E649&amp;"'!"&amp;$AH$2)),INDIRECT("'["&amp;G649&amp;"]"&amp;E649&amp;"'!"&amp;$Y$3),0)</f>
        <v>#VALUE!</v>
      </c>
      <c r="N649" s="34" t="e" cm="1">
        <f t="array" aca="1" ref="N649" ca="1">IF(AND(G649=INDIRECT("'["&amp;G649&amp;"]"&amp;E649&amp;"'!"&amp;$AH$2),OR(K649=INDIRECT("'["&amp;G649&amp;"]"&amp;E649&amp;"'!"&amp;$Z$2))),INDIRECT("'["&amp;G649&amp;"]"&amp;E649&amp;"'!"&amp;$Z$3),0)</f>
        <v>#VALUE!</v>
      </c>
      <c r="O649" s="34" t="e" cm="1">
        <f t="array" aca="1" ref="O649" ca="1">IF(AND(G649=INDIRECT("'["&amp;G649&amp;"]"&amp;E649&amp;"'!"&amp;$AH$2),OR(L649=INDIRECT("'["&amp;G649&amp;"]"&amp;E649&amp;"'!"&amp;$AA$2))),INDIRECT("'["&amp;G649&amp;"]"&amp;E649&amp;"'!"&amp;$AA$3),0)</f>
        <v>#VALUE!</v>
      </c>
      <c r="P649" s="34" t="e" cm="1">
        <f t="array" aca="1" ref="P649" ca="1">IF(AND(G649=INDIRECT("'["&amp;G649&amp;"]"&amp;E649&amp;"'!"&amp;$AH$2),OR(VALUE(I649)=INDIRECT("'["&amp;G649&amp;"]"&amp;E649&amp;"'!"&amp;$AB$2))),INDIRECT("'["&amp;G649&amp;"]"&amp;E649&amp;"'!"&amp;$AB$3),0)</f>
        <v>#VALUE!</v>
      </c>
      <c r="Q649" s="34" t="e" cm="1">
        <f t="array" aca="1" ref="Q649" ca="1">IF(AND(G649=INDIRECT("'["&amp;G649&amp;"]"&amp;E649&amp;"'!"&amp;$AH$2),OR(VALUE(I649)=INDIRECT("'["&amp;G649&amp;"]"&amp;E649&amp;"'!"&amp;$AC$2))),INDIRECT("'["&amp;G649&amp;"]"&amp;E649&amp;"'!"&amp;$AC$3),0)</f>
        <v>#VALUE!</v>
      </c>
      <c r="R649" s="34" t="e" cm="1">
        <f t="array" aca="1" ref="R649" ca="1">IF(AND(G649=INDIRECT("'["&amp;G649&amp;"]"&amp;E649&amp;"'!"&amp;$AH$2),OR(I649=INDIRECT("'["&amp;G649&amp;"]"&amp;E649&amp;"'!"&amp;$AD$2))),INDIRECT("'["&amp;G649&amp;"]"&amp;E649&amp;"'!"&amp;$AD$3),0)</f>
        <v>#VALUE!</v>
      </c>
      <c r="S649" s="34" t="e" cm="1">
        <f t="array" aca="1" ref="S649" ca="1">IF(AND(G649=INDIRECT("'["&amp;G649&amp;"]"&amp;E649&amp;"'!"&amp;$AH$2),OR(I649=INDIRECT("'["&amp;G649&amp;"]"&amp;E649&amp;"'!"&amp;$AE$2))),INDIRECT("'["&amp;G649&amp;"]"&amp;E649&amp;"'!"&amp;$AE$3),0)</f>
        <v>#VALUE!</v>
      </c>
      <c r="T649" s="35" t="e" cm="1">
        <f t="array" aca="1" ref="T649" ca="1">IF(AND(G649=INDIRECT("'["&amp;G649&amp;"]"&amp;E649&amp;"'!"&amp;$AH$2),OR(I649=INDIRECT("'["&amp;G649&amp;"]"&amp;E649&amp;"'!"&amp;$AF$2))),INDIRECT("'["&amp;G649&amp;"]"&amp;E649&amp;"'!"&amp;$AF$3),0)</f>
        <v>#VALUE!</v>
      </c>
      <c r="U649" s="34" t="e" cm="1">
        <f t="array" aca="1" ref="U649" ca="1">IF(AND(G649=INDIRECT("'["&amp;G649&amp;"]"&amp;E649&amp;"'!"&amp;$AH$2),OR(I649=INDIRECT("'["&amp;G649&amp;"]"&amp;E649&amp;"'!"&amp;$AG$2))),INDIRECT("'["&amp;G649&amp;"]"&amp;E649&amp;"'!"&amp;$AG$3),0)</f>
        <v>#VALUE!</v>
      </c>
      <c r="V649" s="25" t="str">
        <f t="shared" si="182"/>
        <v/>
      </c>
      <c r="W649" s="36" t="e" cm="1">
        <f t="array" aca="1" ref="W649" ca="1">IF(AND(G649=INDIRECT("'["&amp;G649&amp;"]"&amp;E649&amp;"'!"&amp;$AH$2),OR(V649=INDIRECT("'["&amp;G649&amp;"]"&amp;E649&amp;"'!"&amp;$AI$2))),INDIRECT("'["&amp;G649&amp;"]"&amp;E649&amp;"'!"&amp;$AI$3),0)</f>
        <v>#VALUE!</v>
      </c>
      <c r="AJ649" s="25">
        <v>1</v>
      </c>
      <c r="AK649" s="38">
        <f t="shared" ca="1" si="183"/>
        <v>0</v>
      </c>
      <c r="AL649" s="38">
        <f t="shared" ca="1" si="184"/>
        <v>0</v>
      </c>
      <c r="AM649" s="54" t="str">
        <f t="shared" ca="1" si="185"/>
        <v/>
      </c>
      <c r="AN649" s="25" t="e">
        <f t="shared" ca="1" si="186"/>
        <v>#VALUE!</v>
      </c>
      <c r="AO649" s="25" t="e">
        <f t="shared" ca="1" si="187"/>
        <v>#VALUE!</v>
      </c>
      <c r="AQ649" s="46" t="str">
        <f ca="1">IF(AND(C649&lt;&gt;0, C650=0), SUM($C$2:C649)-SUM($AQ$1:AQ648), "")</f>
        <v/>
      </c>
      <c r="AR649" s="46" t="str">
        <f ca="1">IF(AND(AK649&lt;&gt;0, AK650=0), SUM($AK$2:AK649)-SUM($AR$1:AR648), "")</f>
        <v/>
      </c>
    </row>
    <row r="650" spans="2:44" ht="13.15" customHeight="1">
      <c r="B650" s="68" t="str">
        <f t="shared" si="173"/>
        <v/>
      </c>
      <c r="C650" s="55" cm="1">
        <f t="array" aca="1" ref="C650" ca="1">SUM(IF(ISNUMBER(M650:U650),M650:U650,""))</f>
        <v>0</v>
      </c>
      <c r="D650" s="25" t="str">
        <f t="shared" si="174"/>
        <v/>
      </c>
      <c r="E650" s="25" t="e">
        <f t="shared" si="175"/>
        <v>#VALUE!</v>
      </c>
      <c r="F650" s="25" t="str">
        <f t="shared" si="176"/>
        <v/>
      </c>
      <c r="G650" s="25" t="str">
        <f t="shared" si="177"/>
        <v>.xlsx</v>
      </c>
      <c r="H650" s="29" t="e" cm="1">
        <f t="array" aca="1" ref="H650" ca="1">IF(AND(VALUE(E650)=INDIRECT("'["&amp;G650&amp;"]"&amp;E650&amp;"'!"&amp;$X$2),G650=INDIRECT("'["&amp;G650&amp;"]"&amp;E650&amp;"'!"&amp;$X$3)),INDIRECT("'["&amp;G650&amp;"]"&amp;E650&amp;"'!"&amp;$X$1),0)</f>
        <v>#VALUE!</v>
      </c>
      <c r="I650" s="25" t="str">
        <f t="shared" si="178"/>
        <v/>
      </c>
      <c r="J650" s="32" t="str">
        <f t="shared" si="179"/>
        <v/>
      </c>
      <c r="K650" s="25" t="str">
        <f t="shared" si="180"/>
        <v/>
      </c>
      <c r="L650" s="25" t="str">
        <f t="shared" si="181"/>
        <v/>
      </c>
      <c r="M650" s="33" t="e" cm="1">
        <f t="array" aca="1" ref="M650" ca="1">IF(AND(J650=INDIRECT("'["&amp;G650&amp;"]"&amp;E650&amp;"'!"&amp;$Y$2),G650=INDIRECT("'["&amp;G650&amp;"]"&amp;E650&amp;"'!"&amp;$AH$2)),INDIRECT("'["&amp;G650&amp;"]"&amp;E650&amp;"'!"&amp;$Y$3),0)</f>
        <v>#VALUE!</v>
      </c>
      <c r="N650" s="34" t="e" cm="1">
        <f t="array" aca="1" ref="N650" ca="1">IF(AND(G650=INDIRECT("'["&amp;G650&amp;"]"&amp;E650&amp;"'!"&amp;$AH$2),OR(K650=INDIRECT("'["&amp;G650&amp;"]"&amp;E650&amp;"'!"&amp;$Z$2))),INDIRECT("'["&amp;G650&amp;"]"&amp;E650&amp;"'!"&amp;$Z$3),0)</f>
        <v>#VALUE!</v>
      </c>
      <c r="O650" s="34" t="e" cm="1">
        <f t="array" aca="1" ref="O650" ca="1">IF(AND(G650=INDIRECT("'["&amp;G650&amp;"]"&amp;E650&amp;"'!"&amp;$AH$2),OR(L650=INDIRECT("'["&amp;G650&amp;"]"&amp;E650&amp;"'!"&amp;$AA$2))),INDIRECT("'["&amp;G650&amp;"]"&amp;E650&amp;"'!"&amp;$AA$3),0)</f>
        <v>#VALUE!</v>
      </c>
      <c r="P650" s="34" t="e" cm="1">
        <f t="array" aca="1" ref="P650" ca="1">IF(AND(G650=INDIRECT("'["&amp;G650&amp;"]"&amp;E650&amp;"'!"&amp;$AH$2),OR(VALUE(I650)=INDIRECT("'["&amp;G650&amp;"]"&amp;E650&amp;"'!"&amp;$AB$2))),INDIRECT("'["&amp;G650&amp;"]"&amp;E650&amp;"'!"&amp;$AB$3),0)</f>
        <v>#VALUE!</v>
      </c>
      <c r="Q650" s="34" t="e" cm="1">
        <f t="array" aca="1" ref="Q650" ca="1">IF(AND(G650=INDIRECT("'["&amp;G650&amp;"]"&amp;E650&amp;"'!"&amp;$AH$2),OR(VALUE(I650)=INDIRECT("'["&amp;G650&amp;"]"&amp;E650&amp;"'!"&amp;$AC$2))),INDIRECT("'["&amp;G650&amp;"]"&amp;E650&amp;"'!"&amp;$AC$3),0)</f>
        <v>#VALUE!</v>
      </c>
      <c r="R650" s="34" t="e" cm="1">
        <f t="array" aca="1" ref="R650" ca="1">IF(AND(G650=INDIRECT("'["&amp;G650&amp;"]"&amp;E650&amp;"'!"&amp;$AH$2),OR(I650=INDIRECT("'["&amp;G650&amp;"]"&amp;E650&amp;"'!"&amp;$AD$2))),INDIRECT("'["&amp;G650&amp;"]"&amp;E650&amp;"'!"&amp;$AD$3),0)</f>
        <v>#VALUE!</v>
      </c>
      <c r="S650" s="34" t="e" cm="1">
        <f t="array" aca="1" ref="S650" ca="1">IF(AND(G650=INDIRECT("'["&amp;G650&amp;"]"&amp;E650&amp;"'!"&amp;$AH$2),OR(I650=INDIRECT("'["&amp;G650&amp;"]"&amp;E650&amp;"'!"&amp;$AE$2))),INDIRECT("'["&amp;G650&amp;"]"&amp;E650&amp;"'!"&amp;$AE$3),0)</f>
        <v>#VALUE!</v>
      </c>
      <c r="T650" s="35" t="e" cm="1">
        <f t="array" aca="1" ref="T650" ca="1">IF(AND(G650=INDIRECT("'["&amp;G650&amp;"]"&amp;E650&amp;"'!"&amp;$AH$2),OR(I650=INDIRECT("'["&amp;G650&amp;"]"&amp;E650&amp;"'!"&amp;$AF$2))),INDIRECT("'["&amp;G650&amp;"]"&amp;E650&amp;"'!"&amp;$AF$3),0)</f>
        <v>#VALUE!</v>
      </c>
      <c r="U650" s="34" t="e" cm="1">
        <f t="array" aca="1" ref="U650" ca="1">IF(AND(G650=INDIRECT("'["&amp;G650&amp;"]"&amp;E650&amp;"'!"&amp;$AH$2),OR(I650=INDIRECT("'["&amp;G650&amp;"]"&amp;E650&amp;"'!"&amp;$AG$2))),INDIRECT("'["&amp;G650&amp;"]"&amp;E650&amp;"'!"&amp;$AG$3),0)</f>
        <v>#VALUE!</v>
      </c>
      <c r="V650" s="25" t="str">
        <f t="shared" si="182"/>
        <v/>
      </c>
      <c r="W650" s="36" t="e" cm="1">
        <f t="array" aca="1" ref="W650" ca="1">IF(AND(G650=INDIRECT("'["&amp;G650&amp;"]"&amp;E650&amp;"'!"&amp;$AH$2),OR(V650=INDIRECT("'["&amp;G650&amp;"]"&amp;E650&amp;"'!"&amp;$AI$2))),INDIRECT("'["&amp;G650&amp;"]"&amp;E650&amp;"'!"&amp;$AI$3),0)</f>
        <v>#VALUE!</v>
      </c>
      <c r="AJ650" s="25">
        <v>1</v>
      </c>
      <c r="AK650" s="38">
        <f t="shared" ca="1" si="183"/>
        <v>0</v>
      </c>
      <c r="AL650" s="38">
        <f t="shared" ca="1" si="184"/>
        <v>0</v>
      </c>
      <c r="AM650" s="54" t="str">
        <f t="shared" ca="1" si="185"/>
        <v/>
      </c>
      <c r="AN650" s="25" t="e">
        <f t="shared" ca="1" si="186"/>
        <v>#VALUE!</v>
      </c>
      <c r="AO650" s="25" t="e">
        <f t="shared" ca="1" si="187"/>
        <v>#VALUE!</v>
      </c>
      <c r="AQ650" s="46" t="str">
        <f ca="1">IF(AND(C650&lt;&gt;0, C651=0), SUM($C$2:C650)-SUM($AQ$1:AQ649), "")</f>
        <v/>
      </c>
      <c r="AR650" s="46" t="str">
        <f ca="1">IF(AND(AK650&lt;&gt;0, AK651=0), SUM($AK$2:AK650)-SUM($AR$1:AR649), "")</f>
        <v/>
      </c>
    </row>
    <row r="651" spans="2:44" ht="13.15" customHeight="1">
      <c r="B651" s="68" t="str">
        <f t="shared" si="173"/>
        <v/>
      </c>
      <c r="C651" s="55" cm="1">
        <f t="array" aca="1" ref="C651" ca="1">SUM(IF(ISNUMBER(M651:U651),M651:U651,""))</f>
        <v>0</v>
      </c>
      <c r="D651" s="25" t="str">
        <f t="shared" si="174"/>
        <v/>
      </c>
      <c r="E651" s="25" t="e">
        <f t="shared" si="175"/>
        <v>#VALUE!</v>
      </c>
      <c r="F651" s="25" t="str">
        <f t="shared" si="176"/>
        <v/>
      </c>
      <c r="G651" s="25" t="str">
        <f t="shared" si="177"/>
        <v>.xlsx</v>
      </c>
      <c r="H651" s="29" t="e" cm="1">
        <f t="array" aca="1" ref="H651" ca="1">IF(AND(VALUE(E651)=INDIRECT("'["&amp;G651&amp;"]"&amp;E651&amp;"'!"&amp;$X$2),G651=INDIRECT("'["&amp;G651&amp;"]"&amp;E651&amp;"'!"&amp;$X$3)),INDIRECT("'["&amp;G651&amp;"]"&amp;E651&amp;"'!"&amp;$X$1),0)</f>
        <v>#VALUE!</v>
      </c>
      <c r="I651" s="25" t="str">
        <f t="shared" si="178"/>
        <v/>
      </c>
      <c r="J651" s="32" t="str">
        <f t="shared" si="179"/>
        <v/>
      </c>
      <c r="K651" s="25" t="str">
        <f t="shared" si="180"/>
        <v/>
      </c>
      <c r="L651" s="25" t="str">
        <f t="shared" si="181"/>
        <v/>
      </c>
      <c r="M651" s="33" t="e" cm="1">
        <f t="array" aca="1" ref="M651" ca="1">IF(AND(J651=INDIRECT("'["&amp;G651&amp;"]"&amp;E651&amp;"'!"&amp;$Y$2),G651=INDIRECT("'["&amp;G651&amp;"]"&amp;E651&amp;"'!"&amp;$AH$2)),INDIRECT("'["&amp;G651&amp;"]"&amp;E651&amp;"'!"&amp;$Y$3),0)</f>
        <v>#VALUE!</v>
      </c>
      <c r="N651" s="34" t="e" cm="1">
        <f t="array" aca="1" ref="N651" ca="1">IF(AND(G651=INDIRECT("'["&amp;G651&amp;"]"&amp;E651&amp;"'!"&amp;$AH$2),OR(K651=INDIRECT("'["&amp;G651&amp;"]"&amp;E651&amp;"'!"&amp;$Z$2))),INDIRECT("'["&amp;G651&amp;"]"&amp;E651&amp;"'!"&amp;$Z$3),0)</f>
        <v>#VALUE!</v>
      </c>
      <c r="O651" s="34" t="e" cm="1">
        <f t="array" aca="1" ref="O651" ca="1">IF(AND(G651=INDIRECT("'["&amp;G651&amp;"]"&amp;E651&amp;"'!"&amp;$AH$2),OR(L651=INDIRECT("'["&amp;G651&amp;"]"&amp;E651&amp;"'!"&amp;$AA$2))),INDIRECT("'["&amp;G651&amp;"]"&amp;E651&amp;"'!"&amp;$AA$3),0)</f>
        <v>#VALUE!</v>
      </c>
      <c r="P651" s="34" t="e" cm="1">
        <f t="array" aca="1" ref="P651" ca="1">IF(AND(G651=INDIRECT("'["&amp;G651&amp;"]"&amp;E651&amp;"'!"&amp;$AH$2),OR(VALUE(I651)=INDIRECT("'["&amp;G651&amp;"]"&amp;E651&amp;"'!"&amp;$AB$2))),INDIRECT("'["&amp;G651&amp;"]"&amp;E651&amp;"'!"&amp;$AB$3),0)</f>
        <v>#VALUE!</v>
      </c>
      <c r="Q651" s="34" t="e" cm="1">
        <f t="array" aca="1" ref="Q651" ca="1">IF(AND(G651=INDIRECT("'["&amp;G651&amp;"]"&amp;E651&amp;"'!"&amp;$AH$2),OR(VALUE(I651)=INDIRECT("'["&amp;G651&amp;"]"&amp;E651&amp;"'!"&amp;$AC$2))),INDIRECT("'["&amp;G651&amp;"]"&amp;E651&amp;"'!"&amp;$AC$3),0)</f>
        <v>#VALUE!</v>
      </c>
      <c r="R651" s="34" t="e" cm="1">
        <f t="array" aca="1" ref="R651" ca="1">IF(AND(G651=INDIRECT("'["&amp;G651&amp;"]"&amp;E651&amp;"'!"&amp;$AH$2),OR(I651=INDIRECT("'["&amp;G651&amp;"]"&amp;E651&amp;"'!"&amp;$AD$2))),INDIRECT("'["&amp;G651&amp;"]"&amp;E651&amp;"'!"&amp;$AD$3),0)</f>
        <v>#VALUE!</v>
      </c>
      <c r="S651" s="34" t="e" cm="1">
        <f t="array" aca="1" ref="S651" ca="1">IF(AND(G651=INDIRECT("'["&amp;G651&amp;"]"&amp;E651&amp;"'!"&amp;$AH$2),OR(I651=INDIRECT("'["&amp;G651&amp;"]"&amp;E651&amp;"'!"&amp;$AE$2))),INDIRECT("'["&amp;G651&amp;"]"&amp;E651&amp;"'!"&amp;$AE$3),0)</f>
        <v>#VALUE!</v>
      </c>
      <c r="T651" s="35" t="e" cm="1">
        <f t="array" aca="1" ref="T651" ca="1">IF(AND(G651=INDIRECT("'["&amp;G651&amp;"]"&amp;E651&amp;"'!"&amp;$AH$2),OR(I651=INDIRECT("'["&amp;G651&amp;"]"&amp;E651&amp;"'!"&amp;$AF$2))),INDIRECT("'["&amp;G651&amp;"]"&amp;E651&amp;"'!"&amp;$AF$3),0)</f>
        <v>#VALUE!</v>
      </c>
      <c r="U651" s="34" t="e" cm="1">
        <f t="array" aca="1" ref="U651" ca="1">IF(AND(G651=INDIRECT("'["&amp;G651&amp;"]"&amp;E651&amp;"'!"&amp;$AH$2),OR(I651=INDIRECT("'["&amp;G651&amp;"]"&amp;E651&amp;"'!"&amp;$AG$2))),INDIRECT("'["&amp;G651&amp;"]"&amp;E651&amp;"'!"&amp;$AG$3),0)</f>
        <v>#VALUE!</v>
      </c>
      <c r="V651" s="25" t="str">
        <f t="shared" si="182"/>
        <v/>
      </c>
      <c r="W651" s="36" t="e" cm="1">
        <f t="array" aca="1" ref="W651" ca="1">IF(AND(G651=INDIRECT("'["&amp;G651&amp;"]"&amp;E651&amp;"'!"&amp;$AH$2),OR(V651=INDIRECT("'["&amp;G651&amp;"]"&amp;E651&amp;"'!"&amp;$AI$2))),INDIRECT("'["&amp;G651&amp;"]"&amp;E651&amp;"'!"&amp;$AI$3),0)</f>
        <v>#VALUE!</v>
      </c>
      <c r="AJ651" s="25">
        <v>1</v>
      </c>
      <c r="AK651" s="38">
        <f t="shared" ca="1" si="183"/>
        <v>0</v>
      </c>
      <c r="AL651" s="38">
        <f t="shared" ca="1" si="184"/>
        <v>0</v>
      </c>
      <c r="AM651" s="54" t="str">
        <f t="shared" ca="1" si="185"/>
        <v/>
      </c>
      <c r="AN651" s="25" t="e">
        <f t="shared" ca="1" si="186"/>
        <v>#VALUE!</v>
      </c>
      <c r="AO651" s="25" t="e">
        <f t="shared" ca="1" si="187"/>
        <v>#VALUE!</v>
      </c>
      <c r="AQ651" s="46" t="str">
        <f ca="1">IF(AND(C651&lt;&gt;0, C652=0), SUM($C$2:C651)-SUM($AQ$1:AQ650), "")</f>
        <v/>
      </c>
      <c r="AR651" s="46" t="str">
        <f ca="1">IF(AND(AK651&lt;&gt;0, AK652=0), SUM($AK$2:AK651)-SUM($AR$1:AR650), "")</f>
        <v/>
      </c>
    </row>
    <row r="652" spans="2:44" ht="13.15" customHeight="1">
      <c r="B652" s="68" t="str">
        <f t="shared" si="173"/>
        <v/>
      </c>
      <c r="C652" s="55" cm="1">
        <f t="array" aca="1" ref="C652" ca="1">SUM(IF(ISNUMBER(M652:U652),M652:U652,""))</f>
        <v>0</v>
      </c>
      <c r="D652" s="25" t="str">
        <f t="shared" si="174"/>
        <v/>
      </c>
      <c r="E652" s="25" t="e">
        <f t="shared" si="175"/>
        <v>#VALUE!</v>
      </c>
      <c r="F652" s="25" t="str">
        <f t="shared" si="176"/>
        <v/>
      </c>
      <c r="G652" s="25" t="str">
        <f t="shared" si="177"/>
        <v>.xlsx</v>
      </c>
      <c r="H652" s="29" t="e" cm="1">
        <f t="array" aca="1" ref="H652" ca="1">IF(AND(VALUE(E652)=INDIRECT("'["&amp;G652&amp;"]"&amp;E652&amp;"'!"&amp;$X$2),G652=INDIRECT("'["&amp;G652&amp;"]"&amp;E652&amp;"'!"&amp;$X$3)),INDIRECT("'["&amp;G652&amp;"]"&amp;E652&amp;"'!"&amp;$X$1),0)</f>
        <v>#VALUE!</v>
      </c>
      <c r="I652" s="25" t="str">
        <f t="shared" si="178"/>
        <v/>
      </c>
      <c r="J652" s="32" t="str">
        <f t="shared" si="179"/>
        <v/>
      </c>
      <c r="K652" s="25" t="str">
        <f t="shared" si="180"/>
        <v/>
      </c>
      <c r="L652" s="25" t="str">
        <f t="shared" si="181"/>
        <v/>
      </c>
      <c r="M652" s="33" t="e" cm="1">
        <f t="array" aca="1" ref="M652" ca="1">IF(AND(J652=INDIRECT("'["&amp;G652&amp;"]"&amp;E652&amp;"'!"&amp;$Y$2),G652=INDIRECT("'["&amp;G652&amp;"]"&amp;E652&amp;"'!"&amp;$AH$2)),INDIRECT("'["&amp;G652&amp;"]"&amp;E652&amp;"'!"&amp;$Y$3),0)</f>
        <v>#VALUE!</v>
      </c>
      <c r="N652" s="34" t="e" cm="1">
        <f t="array" aca="1" ref="N652" ca="1">IF(AND(G652=INDIRECT("'["&amp;G652&amp;"]"&amp;E652&amp;"'!"&amp;$AH$2),OR(K652=INDIRECT("'["&amp;G652&amp;"]"&amp;E652&amp;"'!"&amp;$Z$2))),INDIRECT("'["&amp;G652&amp;"]"&amp;E652&amp;"'!"&amp;$Z$3),0)</f>
        <v>#VALUE!</v>
      </c>
      <c r="O652" s="34" t="e" cm="1">
        <f t="array" aca="1" ref="O652" ca="1">IF(AND(G652=INDIRECT("'["&amp;G652&amp;"]"&amp;E652&amp;"'!"&amp;$AH$2),OR(L652=INDIRECT("'["&amp;G652&amp;"]"&amp;E652&amp;"'!"&amp;$AA$2))),INDIRECT("'["&amp;G652&amp;"]"&amp;E652&amp;"'!"&amp;$AA$3),0)</f>
        <v>#VALUE!</v>
      </c>
      <c r="P652" s="34" t="e" cm="1">
        <f t="array" aca="1" ref="P652" ca="1">IF(AND(G652=INDIRECT("'["&amp;G652&amp;"]"&amp;E652&amp;"'!"&amp;$AH$2),OR(VALUE(I652)=INDIRECT("'["&amp;G652&amp;"]"&amp;E652&amp;"'!"&amp;$AB$2))),INDIRECT("'["&amp;G652&amp;"]"&amp;E652&amp;"'!"&amp;$AB$3),0)</f>
        <v>#VALUE!</v>
      </c>
      <c r="Q652" s="34" t="e" cm="1">
        <f t="array" aca="1" ref="Q652" ca="1">IF(AND(G652=INDIRECT("'["&amp;G652&amp;"]"&amp;E652&amp;"'!"&amp;$AH$2),OR(VALUE(I652)=INDIRECT("'["&amp;G652&amp;"]"&amp;E652&amp;"'!"&amp;$AC$2))),INDIRECT("'["&amp;G652&amp;"]"&amp;E652&amp;"'!"&amp;$AC$3),0)</f>
        <v>#VALUE!</v>
      </c>
      <c r="R652" s="34" t="e" cm="1">
        <f t="array" aca="1" ref="R652" ca="1">IF(AND(G652=INDIRECT("'["&amp;G652&amp;"]"&amp;E652&amp;"'!"&amp;$AH$2),OR(I652=INDIRECT("'["&amp;G652&amp;"]"&amp;E652&amp;"'!"&amp;$AD$2))),INDIRECT("'["&amp;G652&amp;"]"&amp;E652&amp;"'!"&amp;$AD$3),0)</f>
        <v>#VALUE!</v>
      </c>
      <c r="S652" s="34" t="e" cm="1">
        <f t="array" aca="1" ref="S652" ca="1">IF(AND(G652=INDIRECT("'["&amp;G652&amp;"]"&amp;E652&amp;"'!"&amp;$AH$2),OR(I652=INDIRECT("'["&amp;G652&amp;"]"&amp;E652&amp;"'!"&amp;$AE$2))),INDIRECT("'["&amp;G652&amp;"]"&amp;E652&amp;"'!"&amp;$AE$3),0)</f>
        <v>#VALUE!</v>
      </c>
      <c r="T652" s="35" t="e" cm="1">
        <f t="array" aca="1" ref="T652" ca="1">IF(AND(G652=INDIRECT("'["&amp;G652&amp;"]"&amp;E652&amp;"'!"&amp;$AH$2),OR(I652=INDIRECT("'["&amp;G652&amp;"]"&amp;E652&amp;"'!"&amp;$AF$2))),INDIRECT("'["&amp;G652&amp;"]"&amp;E652&amp;"'!"&amp;$AF$3),0)</f>
        <v>#VALUE!</v>
      </c>
      <c r="U652" s="34" t="e" cm="1">
        <f t="array" aca="1" ref="U652" ca="1">IF(AND(G652=INDIRECT("'["&amp;G652&amp;"]"&amp;E652&amp;"'!"&amp;$AH$2),OR(I652=INDIRECT("'["&amp;G652&amp;"]"&amp;E652&amp;"'!"&amp;$AG$2))),INDIRECT("'["&amp;G652&amp;"]"&amp;E652&amp;"'!"&amp;$AG$3),0)</f>
        <v>#VALUE!</v>
      </c>
      <c r="V652" s="25" t="str">
        <f t="shared" si="182"/>
        <v/>
      </c>
      <c r="W652" s="36" t="e" cm="1">
        <f t="array" aca="1" ref="W652" ca="1">IF(AND(G652=INDIRECT("'["&amp;G652&amp;"]"&amp;E652&amp;"'!"&amp;$AH$2),OR(V652=INDIRECT("'["&amp;G652&amp;"]"&amp;E652&amp;"'!"&amp;$AI$2))),INDIRECT("'["&amp;G652&amp;"]"&amp;E652&amp;"'!"&amp;$AI$3),0)</f>
        <v>#VALUE!</v>
      </c>
      <c r="AJ652" s="25">
        <v>1</v>
      </c>
      <c r="AK652" s="38">
        <f t="shared" ca="1" si="183"/>
        <v>0</v>
      </c>
      <c r="AL652" s="38">
        <f t="shared" ca="1" si="184"/>
        <v>0</v>
      </c>
      <c r="AM652" s="54" t="str">
        <f t="shared" ca="1" si="185"/>
        <v/>
      </c>
      <c r="AN652" s="25" t="e">
        <f t="shared" ca="1" si="186"/>
        <v>#VALUE!</v>
      </c>
      <c r="AO652" s="25" t="e">
        <f t="shared" ca="1" si="187"/>
        <v>#VALUE!</v>
      </c>
      <c r="AQ652" s="46" t="str">
        <f ca="1">IF(AND(C652&lt;&gt;0, C653=0), SUM($C$2:C652)-SUM($AQ$1:AQ651), "")</f>
        <v/>
      </c>
      <c r="AR652" s="46" t="str">
        <f ca="1">IF(AND(AK652&lt;&gt;0, AK653=0), SUM($AK$2:AK652)-SUM($AR$1:AR651), "")</f>
        <v/>
      </c>
    </row>
    <row r="653" spans="2:44" ht="13.15" customHeight="1">
      <c r="B653" s="68" t="str">
        <f t="shared" si="173"/>
        <v/>
      </c>
      <c r="C653" s="55" cm="1">
        <f t="array" aca="1" ref="C653" ca="1">SUM(IF(ISNUMBER(M653:U653),M653:U653,""))</f>
        <v>0</v>
      </c>
      <c r="D653" s="25" t="str">
        <f t="shared" si="174"/>
        <v/>
      </c>
      <c r="E653" s="25" t="e">
        <f t="shared" si="175"/>
        <v>#VALUE!</v>
      </c>
      <c r="F653" s="25" t="str">
        <f t="shared" si="176"/>
        <v/>
      </c>
      <c r="G653" s="25" t="str">
        <f t="shared" si="177"/>
        <v>.xlsx</v>
      </c>
      <c r="H653" s="29" t="e" cm="1">
        <f t="array" aca="1" ref="H653" ca="1">IF(AND(VALUE(E653)=INDIRECT("'["&amp;G653&amp;"]"&amp;E653&amp;"'!"&amp;$X$2),G653=INDIRECT("'["&amp;G653&amp;"]"&amp;E653&amp;"'!"&amp;$X$3)),INDIRECT("'["&amp;G653&amp;"]"&amp;E653&amp;"'!"&amp;$X$1),0)</f>
        <v>#VALUE!</v>
      </c>
      <c r="I653" s="25" t="str">
        <f t="shared" si="178"/>
        <v/>
      </c>
      <c r="J653" s="32" t="str">
        <f t="shared" si="179"/>
        <v/>
      </c>
      <c r="K653" s="25" t="str">
        <f t="shared" si="180"/>
        <v/>
      </c>
      <c r="L653" s="25" t="str">
        <f t="shared" si="181"/>
        <v/>
      </c>
      <c r="M653" s="33" t="e" cm="1">
        <f t="array" aca="1" ref="M653" ca="1">IF(AND(J653=INDIRECT("'["&amp;G653&amp;"]"&amp;E653&amp;"'!"&amp;$Y$2),G653=INDIRECT("'["&amp;G653&amp;"]"&amp;E653&amp;"'!"&amp;$AH$2)),INDIRECT("'["&amp;G653&amp;"]"&amp;E653&amp;"'!"&amp;$Y$3),0)</f>
        <v>#VALUE!</v>
      </c>
      <c r="N653" s="34" t="e" cm="1">
        <f t="array" aca="1" ref="N653" ca="1">IF(AND(G653=INDIRECT("'["&amp;G653&amp;"]"&amp;E653&amp;"'!"&amp;$AH$2),OR(K653=INDIRECT("'["&amp;G653&amp;"]"&amp;E653&amp;"'!"&amp;$Z$2))),INDIRECT("'["&amp;G653&amp;"]"&amp;E653&amp;"'!"&amp;$Z$3),0)</f>
        <v>#VALUE!</v>
      </c>
      <c r="O653" s="34" t="e" cm="1">
        <f t="array" aca="1" ref="O653" ca="1">IF(AND(G653=INDIRECT("'["&amp;G653&amp;"]"&amp;E653&amp;"'!"&amp;$AH$2),OR(L653=INDIRECT("'["&amp;G653&amp;"]"&amp;E653&amp;"'!"&amp;$AA$2))),INDIRECT("'["&amp;G653&amp;"]"&amp;E653&amp;"'!"&amp;$AA$3),0)</f>
        <v>#VALUE!</v>
      </c>
      <c r="P653" s="34" t="e" cm="1">
        <f t="array" aca="1" ref="P653" ca="1">IF(AND(G653=INDIRECT("'["&amp;G653&amp;"]"&amp;E653&amp;"'!"&amp;$AH$2),OR(VALUE(I653)=INDIRECT("'["&amp;G653&amp;"]"&amp;E653&amp;"'!"&amp;$AB$2))),INDIRECT("'["&amp;G653&amp;"]"&amp;E653&amp;"'!"&amp;$AB$3),0)</f>
        <v>#VALUE!</v>
      </c>
      <c r="Q653" s="34" t="e" cm="1">
        <f t="array" aca="1" ref="Q653" ca="1">IF(AND(G653=INDIRECT("'["&amp;G653&amp;"]"&amp;E653&amp;"'!"&amp;$AH$2),OR(VALUE(I653)=INDIRECT("'["&amp;G653&amp;"]"&amp;E653&amp;"'!"&amp;$AC$2))),INDIRECT("'["&amp;G653&amp;"]"&amp;E653&amp;"'!"&amp;$AC$3),0)</f>
        <v>#VALUE!</v>
      </c>
      <c r="R653" s="34" t="e" cm="1">
        <f t="array" aca="1" ref="R653" ca="1">IF(AND(G653=INDIRECT("'["&amp;G653&amp;"]"&amp;E653&amp;"'!"&amp;$AH$2),OR(I653=INDIRECT("'["&amp;G653&amp;"]"&amp;E653&amp;"'!"&amp;$AD$2))),INDIRECT("'["&amp;G653&amp;"]"&amp;E653&amp;"'!"&amp;$AD$3),0)</f>
        <v>#VALUE!</v>
      </c>
      <c r="S653" s="34" t="e" cm="1">
        <f t="array" aca="1" ref="S653" ca="1">IF(AND(G653=INDIRECT("'["&amp;G653&amp;"]"&amp;E653&amp;"'!"&amp;$AH$2),OR(I653=INDIRECT("'["&amp;G653&amp;"]"&amp;E653&amp;"'!"&amp;$AE$2))),INDIRECT("'["&amp;G653&amp;"]"&amp;E653&amp;"'!"&amp;$AE$3),0)</f>
        <v>#VALUE!</v>
      </c>
      <c r="T653" s="35" t="e" cm="1">
        <f t="array" aca="1" ref="T653" ca="1">IF(AND(G653=INDIRECT("'["&amp;G653&amp;"]"&amp;E653&amp;"'!"&amp;$AH$2),OR(I653=INDIRECT("'["&amp;G653&amp;"]"&amp;E653&amp;"'!"&amp;$AF$2))),INDIRECT("'["&amp;G653&amp;"]"&amp;E653&amp;"'!"&amp;$AF$3),0)</f>
        <v>#VALUE!</v>
      </c>
      <c r="U653" s="34" t="e" cm="1">
        <f t="array" aca="1" ref="U653" ca="1">IF(AND(G653=INDIRECT("'["&amp;G653&amp;"]"&amp;E653&amp;"'!"&amp;$AH$2),OR(I653=INDIRECT("'["&amp;G653&amp;"]"&amp;E653&amp;"'!"&amp;$AG$2))),INDIRECT("'["&amp;G653&amp;"]"&amp;E653&amp;"'!"&amp;$AG$3),0)</f>
        <v>#VALUE!</v>
      </c>
      <c r="V653" s="25" t="str">
        <f t="shared" si="182"/>
        <v/>
      </c>
      <c r="W653" s="36" t="e" cm="1">
        <f t="array" aca="1" ref="W653" ca="1">IF(AND(G653=INDIRECT("'["&amp;G653&amp;"]"&amp;E653&amp;"'!"&amp;$AH$2),OR(V653=INDIRECT("'["&amp;G653&amp;"]"&amp;E653&amp;"'!"&amp;$AI$2))),INDIRECT("'["&amp;G653&amp;"]"&amp;E653&amp;"'!"&amp;$AI$3),0)</f>
        <v>#VALUE!</v>
      </c>
      <c r="AJ653" s="25">
        <v>1</v>
      </c>
      <c r="AK653" s="38">
        <f t="shared" ca="1" si="183"/>
        <v>0</v>
      </c>
      <c r="AL653" s="38">
        <f t="shared" ca="1" si="184"/>
        <v>0</v>
      </c>
      <c r="AM653" s="54" t="str">
        <f t="shared" ca="1" si="185"/>
        <v/>
      </c>
      <c r="AN653" s="25" t="e">
        <f t="shared" ca="1" si="186"/>
        <v>#VALUE!</v>
      </c>
      <c r="AO653" s="25" t="e">
        <f t="shared" ca="1" si="187"/>
        <v>#VALUE!</v>
      </c>
      <c r="AQ653" s="46" t="str">
        <f ca="1">IF(AND(C653&lt;&gt;0, C654=0), SUM($C$2:C653)-SUM($AQ$1:AQ652), "")</f>
        <v/>
      </c>
      <c r="AR653" s="46" t="str">
        <f ca="1">IF(AND(AK653&lt;&gt;0, AK654=0), SUM($AK$2:AK653)-SUM($AR$1:AR652), "")</f>
        <v/>
      </c>
    </row>
    <row r="654" spans="2:44" ht="13.15" customHeight="1">
      <c r="B654" s="68" t="str">
        <f t="shared" si="173"/>
        <v/>
      </c>
      <c r="C654" s="55" cm="1">
        <f t="array" aca="1" ref="C654" ca="1">SUM(IF(ISNUMBER(M654:U654),M654:U654,""))</f>
        <v>0</v>
      </c>
      <c r="D654" s="25" t="str">
        <f t="shared" si="174"/>
        <v/>
      </c>
      <c r="E654" s="25" t="e">
        <f t="shared" si="175"/>
        <v>#VALUE!</v>
      </c>
      <c r="F654" s="25" t="str">
        <f t="shared" si="176"/>
        <v/>
      </c>
      <c r="G654" s="25" t="str">
        <f t="shared" si="177"/>
        <v>.xlsx</v>
      </c>
      <c r="H654" s="29" t="e" cm="1">
        <f t="array" aca="1" ref="H654" ca="1">IF(AND(VALUE(E654)=INDIRECT("'["&amp;G654&amp;"]"&amp;E654&amp;"'!"&amp;$X$2),G654=INDIRECT("'["&amp;G654&amp;"]"&amp;E654&amp;"'!"&amp;$X$3)),INDIRECT("'["&amp;G654&amp;"]"&amp;E654&amp;"'!"&amp;$X$1),0)</f>
        <v>#VALUE!</v>
      </c>
      <c r="I654" s="25" t="str">
        <f t="shared" si="178"/>
        <v/>
      </c>
      <c r="J654" s="32" t="str">
        <f t="shared" si="179"/>
        <v/>
      </c>
      <c r="K654" s="25" t="str">
        <f t="shared" si="180"/>
        <v/>
      </c>
      <c r="L654" s="25" t="str">
        <f t="shared" si="181"/>
        <v/>
      </c>
      <c r="M654" s="33" t="e" cm="1">
        <f t="array" aca="1" ref="M654" ca="1">IF(AND(J654=INDIRECT("'["&amp;G654&amp;"]"&amp;E654&amp;"'!"&amp;$Y$2),G654=INDIRECT("'["&amp;G654&amp;"]"&amp;E654&amp;"'!"&amp;$AH$2)),INDIRECT("'["&amp;G654&amp;"]"&amp;E654&amp;"'!"&amp;$Y$3),0)</f>
        <v>#VALUE!</v>
      </c>
      <c r="N654" s="34" t="e" cm="1">
        <f t="array" aca="1" ref="N654" ca="1">IF(AND(G654=INDIRECT("'["&amp;G654&amp;"]"&amp;E654&amp;"'!"&amp;$AH$2),OR(K654=INDIRECT("'["&amp;G654&amp;"]"&amp;E654&amp;"'!"&amp;$Z$2))),INDIRECT("'["&amp;G654&amp;"]"&amp;E654&amp;"'!"&amp;$Z$3),0)</f>
        <v>#VALUE!</v>
      </c>
      <c r="O654" s="34" t="e" cm="1">
        <f t="array" aca="1" ref="O654" ca="1">IF(AND(G654=INDIRECT("'["&amp;G654&amp;"]"&amp;E654&amp;"'!"&amp;$AH$2),OR(L654=INDIRECT("'["&amp;G654&amp;"]"&amp;E654&amp;"'!"&amp;$AA$2))),INDIRECT("'["&amp;G654&amp;"]"&amp;E654&amp;"'!"&amp;$AA$3),0)</f>
        <v>#VALUE!</v>
      </c>
      <c r="P654" s="34" t="e" cm="1">
        <f t="array" aca="1" ref="P654" ca="1">IF(AND(G654=INDIRECT("'["&amp;G654&amp;"]"&amp;E654&amp;"'!"&amp;$AH$2),OR(VALUE(I654)=INDIRECT("'["&amp;G654&amp;"]"&amp;E654&amp;"'!"&amp;$AB$2))),INDIRECT("'["&amp;G654&amp;"]"&amp;E654&amp;"'!"&amp;$AB$3),0)</f>
        <v>#VALUE!</v>
      </c>
      <c r="Q654" s="34" t="e" cm="1">
        <f t="array" aca="1" ref="Q654" ca="1">IF(AND(G654=INDIRECT("'["&amp;G654&amp;"]"&amp;E654&amp;"'!"&amp;$AH$2),OR(VALUE(I654)=INDIRECT("'["&amp;G654&amp;"]"&amp;E654&amp;"'!"&amp;$AC$2))),INDIRECT("'["&amp;G654&amp;"]"&amp;E654&amp;"'!"&amp;$AC$3),0)</f>
        <v>#VALUE!</v>
      </c>
      <c r="R654" s="34" t="e" cm="1">
        <f t="array" aca="1" ref="R654" ca="1">IF(AND(G654=INDIRECT("'["&amp;G654&amp;"]"&amp;E654&amp;"'!"&amp;$AH$2),OR(I654=INDIRECT("'["&amp;G654&amp;"]"&amp;E654&amp;"'!"&amp;$AD$2))),INDIRECT("'["&amp;G654&amp;"]"&amp;E654&amp;"'!"&amp;$AD$3),0)</f>
        <v>#VALUE!</v>
      </c>
      <c r="S654" s="34" t="e" cm="1">
        <f t="array" aca="1" ref="S654" ca="1">IF(AND(G654=INDIRECT("'["&amp;G654&amp;"]"&amp;E654&amp;"'!"&amp;$AH$2),OR(I654=INDIRECT("'["&amp;G654&amp;"]"&amp;E654&amp;"'!"&amp;$AE$2))),INDIRECT("'["&amp;G654&amp;"]"&amp;E654&amp;"'!"&amp;$AE$3),0)</f>
        <v>#VALUE!</v>
      </c>
      <c r="T654" s="35" t="e" cm="1">
        <f t="array" aca="1" ref="T654" ca="1">IF(AND(G654=INDIRECT("'["&amp;G654&amp;"]"&amp;E654&amp;"'!"&amp;$AH$2),OR(I654=INDIRECT("'["&amp;G654&amp;"]"&amp;E654&amp;"'!"&amp;$AF$2))),INDIRECT("'["&amp;G654&amp;"]"&amp;E654&amp;"'!"&amp;$AF$3),0)</f>
        <v>#VALUE!</v>
      </c>
      <c r="U654" s="34" t="e" cm="1">
        <f t="array" aca="1" ref="U654" ca="1">IF(AND(G654=INDIRECT("'["&amp;G654&amp;"]"&amp;E654&amp;"'!"&amp;$AH$2),OR(I654=INDIRECT("'["&amp;G654&amp;"]"&amp;E654&amp;"'!"&amp;$AG$2))),INDIRECT("'["&amp;G654&amp;"]"&amp;E654&amp;"'!"&amp;$AG$3),0)</f>
        <v>#VALUE!</v>
      </c>
      <c r="V654" s="25" t="str">
        <f t="shared" si="182"/>
        <v/>
      </c>
      <c r="W654" s="36" t="e" cm="1">
        <f t="array" aca="1" ref="W654" ca="1">IF(AND(G654=INDIRECT("'["&amp;G654&amp;"]"&amp;E654&amp;"'!"&amp;$AH$2),OR(V654=INDIRECT("'["&amp;G654&amp;"]"&amp;E654&amp;"'!"&amp;$AI$2))),INDIRECT("'["&amp;G654&amp;"]"&amp;E654&amp;"'!"&amp;$AI$3),0)</f>
        <v>#VALUE!</v>
      </c>
      <c r="AJ654" s="25">
        <v>1</v>
      </c>
      <c r="AK654" s="38">
        <f t="shared" ca="1" si="183"/>
        <v>0</v>
      </c>
      <c r="AL654" s="38">
        <f t="shared" ca="1" si="184"/>
        <v>0</v>
      </c>
      <c r="AM654" s="54" t="str">
        <f t="shared" ca="1" si="185"/>
        <v/>
      </c>
      <c r="AN654" s="25" t="e">
        <f t="shared" ca="1" si="186"/>
        <v>#VALUE!</v>
      </c>
      <c r="AO654" s="25" t="e">
        <f t="shared" ca="1" si="187"/>
        <v>#VALUE!</v>
      </c>
      <c r="AQ654" s="46" t="str">
        <f ca="1">IF(AND(C654&lt;&gt;0, C655=0), SUM($C$2:C654)-SUM($AQ$1:AQ653), "")</f>
        <v/>
      </c>
      <c r="AR654" s="46" t="str">
        <f ca="1">IF(AND(AK654&lt;&gt;0, AK655=0), SUM($AK$2:AK654)-SUM($AR$1:AR653), "")</f>
        <v/>
      </c>
    </row>
    <row r="655" spans="2:44" ht="13.15" customHeight="1">
      <c r="B655" s="68" t="str">
        <f t="shared" si="173"/>
        <v/>
      </c>
      <c r="C655" s="55" cm="1">
        <f t="array" aca="1" ref="C655" ca="1">SUM(IF(ISNUMBER(M655:U655),M655:U655,""))</f>
        <v>0</v>
      </c>
      <c r="D655" s="25" t="str">
        <f t="shared" si="174"/>
        <v/>
      </c>
      <c r="E655" s="25" t="e">
        <f t="shared" si="175"/>
        <v>#VALUE!</v>
      </c>
      <c r="F655" s="25" t="str">
        <f t="shared" si="176"/>
        <v/>
      </c>
      <c r="G655" s="25" t="str">
        <f t="shared" si="177"/>
        <v>.xlsx</v>
      </c>
      <c r="H655" s="29" t="e" cm="1">
        <f t="array" aca="1" ref="H655" ca="1">IF(AND(VALUE(E655)=INDIRECT("'["&amp;G655&amp;"]"&amp;E655&amp;"'!"&amp;$X$2),G655=INDIRECT("'["&amp;G655&amp;"]"&amp;E655&amp;"'!"&amp;$X$3)),INDIRECT("'["&amp;G655&amp;"]"&amp;E655&amp;"'!"&amp;$X$1),0)</f>
        <v>#VALUE!</v>
      </c>
      <c r="I655" s="25" t="str">
        <f t="shared" si="178"/>
        <v/>
      </c>
      <c r="J655" s="32" t="str">
        <f t="shared" si="179"/>
        <v/>
      </c>
      <c r="K655" s="25" t="str">
        <f t="shared" si="180"/>
        <v/>
      </c>
      <c r="L655" s="25" t="str">
        <f t="shared" si="181"/>
        <v/>
      </c>
      <c r="M655" s="33" t="e" cm="1">
        <f t="array" aca="1" ref="M655" ca="1">IF(AND(J655=INDIRECT("'["&amp;G655&amp;"]"&amp;E655&amp;"'!"&amp;$Y$2),G655=INDIRECT("'["&amp;G655&amp;"]"&amp;E655&amp;"'!"&amp;$AH$2)),INDIRECT("'["&amp;G655&amp;"]"&amp;E655&amp;"'!"&amp;$Y$3),0)</f>
        <v>#VALUE!</v>
      </c>
      <c r="N655" s="34" t="e" cm="1">
        <f t="array" aca="1" ref="N655" ca="1">IF(AND(G655=INDIRECT("'["&amp;G655&amp;"]"&amp;E655&amp;"'!"&amp;$AH$2),OR(K655=INDIRECT("'["&amp;G655&amp;"]"&amp;E655&amp;"'!"&amp;$Z$2))),INDIRECT("'["&amp;G655&amp;"]"&amp;E655&amp;"'!"&amp;$Z$3),0)</f>
        <v>#VALUE!</v>
      </c>
      <c r="O655" s="34" t="e" cm="1">
        <f t="array" aca="1" ref="O655" ca="1">IF(AND(G655=INDIRECT("'["&amp;G655&amp;"]"&amp;E655&amp;"'!"&amp;$AH$2),OR(L655=INDIRECT("'["&amp;G655&amp;"]"&amp;E655&amp;"'!"&amp;$AA$2))),INDIRECT("'["&amp;G655&amp;"]"&amp;E655&amp;"'!"&amp;$AA$3),0)</f>
        <v>#VALUE!</v>
      </c>
      <c r="P655" s="34" t="e" cm="1">
        <f t="array" aca="1" ref="P655" ca="1">IF(AND(G655=INDIRECT("'["&amp;G655&amp;"]"&amp;E655&amp;"'!"&amp;$AH$2),OR(VALUE(I655)=INDIRECT("'["&amp;G655&amp;"]"&amp;E655&amp;"'!"&amp;$AB$2))),INDIRECT("'["&amp;G655&amp;"]"&amp;E655&amp;"'!"&amp;$AB$3),0)</f>
        <v>#VALUE!</v>
      </c>
      <c r="Q655" s="34" t="e" cm="1">
        <f t="array" aca="1" ref="Q655" ca="1">IF(AND(G655=INDIRECT("'["&amp;G655&amp;"]"&amp;E655&amp;"'!"&amp;$AH$2),OR(VALUE(I655)=INDIRECT("'["&amp;G655&amp;"]"&amp;E655&amp;"'!"&amp;$AC$2))),INDIRECT("'["&amp;G655&amp;"]"&amp;E655&amp;"'!"&amp;$AC$3),0)</f>
        <v>#VALUE!</v>
      </c>
      <c r="R655" s="34" t="e" cm="1">
        <f t="array" aca="1" ref="R655" ca="1">IF(AND(G655=INDIRECT("'["&amp;G655&amp;"]"&amp;E655&amp;"'!"&amp;$AH$2),OR(I655=INDIRECT("'["&amp;G655&amp;"]"&amp;E655&amp;"'!"&amp;$AD$2))),INDIRECT("'["&amp;G655&amp;"]"&amp;E655&amp;"'!"&amp;$AD$3),0)</f>
        <v>#VALUE!</v>
      </c>
      <c r="S655" s="34" t="e" cm="1">
        <f t="array" aca="1" ref="S655" ca="1">IF(AND(G655=INDIRECT("'["&amp;G655&amp;"]"&amp;E655&amp;"'!"&amp;$AH$2),OR(I655=INDIRECT("'["&amp;G655&amp;"]"&amp;E655&amp;"'!"&amp;$AE$2))),INDIRECT("'["&amp;G655&amp;"]"&amp;E655&amp;"'!"&amp;$AE$3),0)</f>
        <v>#VALUE!</v>
      </c>
      <c r="T655" s="35" t="e" cm="1">
        <f t="array" aca="1" ref="T655" ca="1">IF(AND(G655=INDIRECT("'["&amp;G655&amp;"]"&amp;E655&amp;"'!"&amp;$AH$2),OR(I655=INDIRECT("'["&amp;G655&amp;"]"&amp;E655&amp;"'!"&amp;$AF$2))),INDIRECT("'["&amp;G655&amp;"]"&amp;E655&amp;"'!"&amp;$AF$3),0)</f>
        <v>#VALUE!</v>
      </c>
      <c r="U655" s="34" t="e" cm="1">
        <f t="array" aca="1" ref="U655" ca="1">IF(AND(G655=INDIRECT("'["&amp;G655&amp;"]"&amp;E655&amp;"'!"&amp;$AH$2),OR(I655=INDIRECT("'["&amp;G655&amp;"]"&amp;E655&amp;"'!"&amp;$AG$2))),INDIRECT("'["&amp;G655&amp;"]"&amp;E655&amp;"'!"&amp;$AG$3),0)</f>
        <v>#VALUE!</v>
      </c>
      <c r="V655" s="25" t="str">
        <f t="shared" si="182"/>
        <v/>
      </c>
      <c r="W655" s="36" t="e" cm="1">
        <f t="array" aca="1" ref="W655" ca="1">IF(AND(G655=INDIRECT("'["&amp;G655&amp;"]"&amp;E655&amp;"'!"&amp;$AH$2),OR(V655=INDIRECT("'["&amp;G655&amp;"]"&amp;E655&amp;"'!"&amp;$AI$2))),INDIRECT("'["&amp;G655&amp;"]"&amp;E655&amp;"'!"&amp;$AI$3),0)</f>
        <v>#VALUE!</v>
      </c>
      <c r="AJ655" s="25">
        <v>1</v>
      </c>
      <c r="AK655" s="38">
        <f t="shared" ca="1" si="183"/>
        <v>0</v>
      </c>
      <c r="AL655" s="38">
        <f t="shared" ca="1" si="184"/>
        <v>0</v>
      </c>
      <c r="AM655" s="54" t="str">
        <f t="shared" ca="1" si="185"/>
        <v/>
      </c>
      <c r="AN655" s="25" t="e">
        <f t="shared" ca="1" si="186"/>
        <v>#VALUE!</v>
      </c>
      <c r="AO655" s="25" t="e">
        <f t="shared" ca="1" si="187"/>
        <v>#VALUE!</v>
      </c>
      <c r="AQ655" s="46" t="str">
        <f ca="1">IF(AND(C655&lt;&gt;0, C656=0), SUM($C$2:C655)-SUM($AQ$1:AQ654), "")</f>
        <v/>
      </c>
      <c r="AR655" s="46" t="str">
        <f ca="1">IF(AND(AK655&lt;&gt;0, AK656=0), SUM($AK$2:AK655)-SUM($AR$1:AR654), "")</f>
        <v/>
      </c>
    </row>
    <row r="656" spans="2:44" ht="13.15" customHeight="1">
      <c r="B656" s="68" t="str">
        <f t="shared" si="173"/>
        <v/>
      </c>
      <c r="C656" s="55" cm="1">
        <f t="array" aca="1" ref="C656" ca="1">SUM(IF(ISNUMBER(M656:U656),M656:U656,""))</f>
        <v>0</v>
      </c>
      <c r="D656" s="25" t="str">
        <f t="shared" si="174"/>
        <v/>
      </c>
      <c r="E656" s="25" t="e">
        <f t="shared" si="175"/>
        <v>#VALUE!</v>
      </c>
      <c r="F656" s="25" t="str">
        <f t="shared" si="176"/>
        <v/>
      </c>
      <c r="G656" s="25" t="str">
        <f t="shared" si="177"/>
        <v>.xlsx</v>
      </c>
      <c r="H656" s="29" t="e" cm="1">
        <f t="array" aca="1" ref="H656" ca="1">IF(AND(VALUE(E656)=INDIRECT("'["&amp;G656&amp;"]"&amp;E656&amp;"'!"&amp;$X$2),G656=INDIRECT("'["&amp;G656&amp;"]"&amp;E656&amp;"'!"&amp;$X$3)),INDIRECT("'["&amp;G656&amp;"]"&amp;E656&amp;"'!"&amp;$X$1),0)</f>
        <v>#VALUE!</v>
      </c>
      <c r="I656" s="25" t="str">
        <f t="shared" si="178"/>
        <v/>
      </c>
      <c r="J656" s="32" t="str">
        <f t="shared" si="179"/>
        <v/>
      </c>
      <c r="K656" s="25" t="str">
        <f t="shared" si="180"/>
        <v/>
      </c>
      <c r="L656" s="25" t="str">
        <f t="shared" si="181"/>
        <v/>
      </c>
      <c r="M656" s="33" t="e" cm="1">
        <f t="array" aca="1" ref="M656" ca="1">IF(AND(J656=INDIRECT("'["&amp;G656&amp;"]"&amp;E656&amp;"'!"&amp;$Y$2),G656=INDIRECT("'["&amp;G656&amp;"]"&amp;E656&amp;"'!"&amp;$AH$2)),INDIRECT("'["&amp;G656&amp;"]"&amp;E656&amp;"'!"&amp;$Y$3),0)</f>
        <v>#VALUE!</v>
      </c>
      <c r="N656" s="34" t="e" cm="1">
        <f t="array" aca="1" ref="N656" ca="1">IF(AND(G656=INDIRECT("'["&amp;G656&amp;"]"&amp;E656&amp;"'!"&amp;$AH$2),OR(K656=INDIRECT("'["&amp;G656&amp;"]"&amp;E656&amp;"'!"&amp;$Z$2))),INDIRECT("'["&amp;G656&amp;"]"&amp;E656&amp;"'!"&amp;$Z$3),0)</f>
        <v>#VALUE!</v>
      </c>
      <c r="O656" s="34" t="e" cm="1">
        <f t="array" aca="1" ref="O656" ca="1">IF(AND(G656=INDIRECT("'["&amp;G656&amp;"]"&amp;E656&amp;"'!"&amp;$AH$2),OR(L656=INDIRECT("'["&amp;G656&amp;"]"&amp;E656&amp;"'!"&amp;$AA$2))),INDIRECT("'["&amp;G656&amp;"]"&amp;E656&amp;"'!"&amp;$AA$3),0)</f>
        <v>#VALUE!</v>
      </c>
      <c r="P656" s="34" t="e" cm="1">
        <f t="array" aca="1" ref="P656" ca="1">IF(AND(G656=INDIRECT("'["&amp;G656&amp;"]"&amp;E656&amp;"'!"&amp;$AH$2),OR(VALUE(I656)=INDIRECT("'["&amp;G656&amp;"]"&amp;E656&amp;"'!"&amp;$AB$2))),INDIRECT("'["&amp;G656&amp;"]"&amp;E656&amp;"'!"&amp;$AB$3),0)</f>
        <v>#VALUE!</v>
      </c>
      <c r="Q656" s="34" t="e" cm="1">
        <f t="array" aca="1" ref="Q656" ca="1">IF(AND(G656=INDIRECT("'["&amp;G656&amp;"]"&amp;E656&amp;"'!"&amp;$AH$2),OR(VALUE(I656)=INDIRECT("'["&amp;G656&amp;"]"&amp;E656&amp;"'!"&amp;$AC$2))),INDIRECT("'["&amp;G656&amp;"]"&amp;E656&amp;"'!"&amp;$AC$3),0)</f>
        <v>#VALUE!</v>
      </c>
      <c r="R656" s="34" t="e" cm="1">
        <f t="array" aca="1" ref="R656" ca="1">IF(AND(G656=INDIRECT("'["&amp;G656&amp;"]"&amp;E656&amp;"'!"&amp;$AH$2),OR(I656=INDIRECT("'["&amp;G656&amp;"]"&amp;E656&amp;"'!"&amp;$AD$2))),INDIRECT("'["&amp;G656&amp;"]"&amp;E656&amp;"'!"&amp;$AD$3),0)</f>
        <v>#VALUE!</v>
      </c>
      <c r="S656" s="34" t="e" cm="1">
        <f t="array" aca="1" ref="S656" ca="1">IF(AND(G656=INDIRECT("'["&amp;G656&amp;"]"&amp;E656&amp;"'!"&amp;$AH$2),OR(I656=INDIRECT("'["&amp;G656&amp;"]"&amp;E656&amp;"'!"&amp;$AE$2))),INDIRECT("'["&amp;G656&amp;"]"&amp;E656&amp;"'!"&amp;$AE$3),0)</f>
        <v>#VALUE!</v>
      </c>
      <c r="T656" s="35" t="e" cm="1">
        <f t="array" aca="1" ref="T656" ca="1">IF(AND(G656=INDIRECT("'["&amp;G656&amp;"]"&amp;E656&amp;"'!"&amp;$AH$2),OR(I656=INDIRECT("'["&amp;G656&amp;"]"&amp;E656&amp;"'!"&amp;$AF$2))),INDIRECT("'["&amp;G656&amp;"]"&amp;E656&amp;"'!"&amp;$AF$3),0)</f>
        <v>#VALUE!</v>
      </c>
      <c r="U656" s="34" t="e" cm="1">
        <f t="array" aca="1" ref="U656" ca="1">IF(AND(G656=INDIRECT("'["&amp;G656&amp;"]"&amp;E656&amp;"'!"&amp;$AH$2),OR(I656=INDIRECT("'["&amp;G656&amp;"]"&amp;E656&amp;"'!"&amp;$AG$2))),INDIRECT("'["&amp;G656&amp;"]"&amp;E656&amp;"'!"&amp;$AG$3),0)</f>
        <v>#VALUE!</v>
      </c>
      <c r="V656" s="25" t="str">
        <f t="shared" si="182"/>
        <v/>
      </c>
      <c r="W656" s="36" t="e" cm="1">
        <f t="array" aca="1" ref="W656" ca="1">IF(AND(G656=INDIRECT("'["&amp;G656&amp;"]"&amp;E656&amp;"'!"&amp;$AH$2),OR(V656=INDIRECT("'["&amp;G656&amp;"]"&amp;E656&amp;"'!"&amp;$AI$2))),INDIRECT("'["&amp;G656&amp;"]"&amp;E656&amp;"'!"&amp;$AI$3),0)</f>
        <v>#VALUE!</v>
      </c>
      <c r="AJ656" s="25">
        <v>1</v>
      </c>
      <c r="AK656" s="38">
        <f t="shared" ca="1" si="183"/>
        <v>0</v>
      </c>
      <c r="AL656" s="38">
        <f t="shared" ca="1" si="184"/>
        <v>0</v>
      </c>
      <c r="AM656" s="54" t="str">
        <f t="shared" ca="1" si="185"/>
        <v/>
      </c>
      <c r="AN656" s="25" t="e">
        <f t="shared" ca="1" si="186"/>
        <v>#VALUE!</v>
      </c>
      <c r="AO656" s="25" t="e">
        <f t="shared" ca="1" si="187"/>
        <v>#VALUE!</v>
      </c>
      <c r="AQ656" s="46" t="str">
        <f ca="1">IF(AND(C656&lt;&gt;0, C657=0), SUM($C$2:C656)-SUM($AQ$1:AQ655), "")</f>
        <v/>
      </c>
      <c r="AR656" s="46" t="str">
        <f ca="1">IF(AND(AK656&lt;&gt;0, AK657=0), SUM($AK$2:AK656)-SUM($AR$1:AR655), "")</f>
        <v/>
      </c>
    </row>
    <row r="657" spans="2:44" ht="13.15" customHeight="1">
      <c r="B657" s="68" t="str">
        <f t="shared" si="173"/>
        <v/>
      </c>
      <c r="C657" s="55" cm="1">
        <f t="array" aca="1" ref="C657" ca="1">SUM(IF(ISNUMBER(M657:U657),M657:U657,""))</f>
        <v>0</v>
      </c>
      <c r="D657" s="25" t="str">
        <f t="shared" si="174"/>
        <v/>
      </c>
      <c r="E657" s="25" t="e">
        <f t="shared" si="175"/>
        <v>#VALUE!</v>
      </c>
      <c r="F657" s="25" t="str">
        <f t="shared" si="176"/>
        <v/>
      </c>
      <c r="G657" s="25" t="str">
        <f t="shared" si="177"/>
        <v>.xlsx</v>
      </c>
      <c r="H657" s="29" t="e" cm="1">
        <f t="array" aca="1" ref="H657" ca="1">IF(AND(VALUE(E657)=INDIRECT("'["&amp;G657&amp;"]"&amp;E657&amp;"'!"&amp;$X$2),G657=INDIRECT("'["&amp;G657&amp;"]"&amp;E657&amp;"'!"&amp;$X$3)),INDIRECT("'["&amp;G657&amp;"]"&amp;E657&amp;"'!"&amp;$X$1),0)</f>
        <v>#VALUE!</v>
      </c>
      <c r="I657" s="25" t="str">
        <f t="shared" si="178"/>
        <v/>
      </c>
      <c r="J657" s="32" t="str">
        <f t="shared" si="179"/>
        <v/>
      </c>
      <c r="K657" s="25" t="str">
        <f t="shared" si="180"/>
        <v/>
      </c>
      <c r="L657" s="25" t="str">
        <f t="shared" si="181"/>
        <v/>
      </c>
      <c r="M657" s="33" t="e" cm="1">
        <f t="array" aca="1" ref="M657" ca="1">IF(AND(J657=INDIRECT("'["&amp;G657&amp;"]"&amp;E657&amp;"'!"&amp;$Y$2),G657=INDIRECT("'["&amp;G657&amp;"]"&amp;E657&amp;"'!"&amp;$AH$2)),INDIRECT("'["&amp;G657&amp;"]"&amp;E657&amp;"'!"&amp;$Y$3),0)</f>
        <v>#VALUE!</v>
      </c>
      <c r="N657" s="34" t="e" cm="1">
        <f t="array" aca="1" ref="N657" ca="1">IF(AND(G657=INDIRECT("'["&amp;G657&amp;"]"&amp;E657&amp;"'!"&amp;$AH$2),OR(K657=INDIRECT("'["&amp;G657&amp;"]"&amp;E657&amp;"'!"&amp;$Z$2))),INDIRECT("'["&amp;G657&amp;"]"&amp;E657&amp;"'!"&amp;$Z$3),0)</f>
        <v>#VALUE!</v>
      </c>
      <c r="O657" s="34" t="e" cm="1">
        <f t="array" aca="1" ref="O657" ca="1">IF(AND(G657=INDIRECT("'["&amp;G657&amp;"]"&amp;E657&amp;"'!"&amp;$AH$2),OR(L657=INDIRECT("'["&amp;G657&amp;"]"&amp;E657&amp;"'!"&amp;$AA$2))),INDIRECT("'["&amp;G657&amp;"]"&amp;E657&amp;"'!"&amp;$AA$3),0)</f>
        <v>#VALUE!</v>
      </c>
      <c r="P657" s="34" t="e" cm="1">
        <f t="array" aca="1" ref="P657" ca="1">IF(AND(G657=INDIRECT("'["&amp;G657&amp;"]"&amp;E657&amp;"'!"&amp;$AH$2),OR(VALUE(I657)=INDIRECT("'["&amp;G657&amp;"]"&amp;E657&amp;"'!"&amp;$AB$2))),INDIRECT("'["&amp;G657&amp;"]"&amp;E657&amp;"'!"&amp;$AB$3),0)</f>
        <v>#VALUE!</v>
      </c>
      <c r="Q657" s="34" t="e" cm="1">
        <f t="array" aca="1" ref="Q657" ca="1">IF(AND(G657=INDIRECT("'["&amp;G657&amp;"]"&amp;E657&amp;"'!"&amp;$AH$2),OR(VALUE(I657)=INDIRECT("'["&amp;G657&amp;"]"&amp;E657&amp;"'!"&amp;$AC$2))),INDIRECT("'["&amp;G657&amp;"]"&amp;E657&amp;"'!"&amp;$AC$3),0)</f>
        <v>#VALUE!</v>
      </c>
      <c r="R657" s="34" t="e" cm="1">
        <f t="array" aca="1" ref="R657" ca="1">IF(AND(G657=INDIRECT("'["&amp;G657&amp;"]"&amp;E657&amp;"'!"&amp;$AH$2),OR(I657=INDIRECT("'["&amp;G657&amp;"]"&amp;E657&amp;"'!"&amp;$AD$2))),INDIRECT("'["&amp;G657&amp;"]"&amp;E657&amp;"'!"&amp;$AD$3),0)</f>
        <v>#VALUE!</v>
      </c>
      <c r="S657" s="34" t="e" cm="1">
        <f t="array" aca="1" ref="S657" ca="1">IF(AND(G657=INDIRECT("'["&amp;G657&amp;"]"&amp;E657&amp;"'!"&amp;$AH$2),OR(I657=INDIRECT("'["&amp;G657&amp;"]"&amp;E657&amp;"'!"&amp;$AE$2))),INDIRECT("'["&amp;G657&amp;"]"&amp;E657&amp;"'!"&amp;$AE$3),0)</f>
        <v>#VALUE!</v>
      </c>
      <c r="T657" s="35" t="e" cm="1">
        <f t="array" aca="1" ref="T657" ca="1">IF(AND(G657=INDIRECT("'["&amp;G657&amp;"]"&amp;E657&amp;"'!"&amp;$AH$2),OR(I657=INDIRECT("'["&amp;G657&amp;"]"&amp;E657&amp;"'!"&amp;$AF$2))),INDIRECT("'["&amp;G657&amp;"]"&amp;E657&amp;"'!"&amp;$AF$3),0)</f>
        <v>#VALUE!</v>
      </c>
      <c r="U657" s="34" t="e" cm="1">
        <f t="array" aca="1" ref="U657" ca="1">IF(AND(G657=INDIRECT("'["&amp;G657&amp;"]"&amp;E657&amp;"'!"&amp;$AH$2),OR(I657=INDIRECT("'["&amp;G657&amp;"]"&amp;E657&amp;"'!"&amp;$AG$2))),INDIRECT("'["&amp;G657&amp;"]"&amp;E657&amp;"'!"&amp;$AG$3),0)</f>
        <v>#VALUE!</v>
      </c>
      <c r="V657" s="25" t="str">
        <f t="shared" si="182"/>
        <v/>
      </c>
      <c r="W657" s="36" t="e" cm="1">
        <f t="array" aca="1" ref="W657" ca="1">IF(AND(G657=INDIRECT("'["&amp;G657&amp;"]"&amp;E657&amp;"'!"&amp;$AH$2),OR(V657=INDIRECT("'["&amp;G657&amp;"]"&amp;E657&amp;"'!"&amp;$AI$2))),INDIRECT("'["&amp;G657&amp;"]"&amp;E657&amp;"'!"&amp;$AI$3),0)</f>
        <v>#VALUE!</v>
      </c>
      <c r="AJ657" s="25">
        <v>1</v>
      </c>
      <c r="AK657" s="38">
        <f t="shared" ca="1" si="183"/>
        <v>0</v>
      </c>
      <c r="AL657" s="38">
        <f t="shared" ca="1" si="184"/>
        <v>0</v>
      </c>
      <c r="AM657" s="54" t="str">
        <f t="shared" ca="1" si="185"/>
        <v/>
      </c>
      <c r="AN657" s="25" t="e">
        <f t="shared" ca="1" si="186"/>
        <v>#VALUE!</v>
      </c>
      <c r="AO657" s="25" t="e">
        <f t="shared" ca="1" si="187"/>
        <v>#VALUE!</v>
      </c>
      <c r="AQ657" s="46" t="str">
        <f ca="1">IF(AND(C657&lt;&gt;0, C658=0), SUM($C$2:C657)-SUM($AQ$1:AQ656), "")</f>
        <v/>
      </c>
      <c r="AR657" s="46" t="str">
        <f ca="1">IF(AND(AK657&lt;&gt;0, AK658=0), SUM($AK$2:AK657)-SUM($AR$1:AR656), "")</f>
        <v/>
      </c>
    </row>
    <row r="658" spans="2:44" ht="13.15" customHeight="1">
      <c r="B658" s="68" t="str">
        <f t="shared" si="173"/>
        <v/>
      </c>
      <c r="C658" s="55" cm="1">
        <f t="array" aca="1" ref="C658" ca="1">SUM(IF(ISNUMBER(M658:U658),M658:U658,""))</f>
        <v>0</v>
      </c>
      <c r="D658" s="25" t="str">
        <f t="shared" si="174"/>
        <v/>
      </c>
      <c r="E658" s="25" t="e">
        <f t="shared" si="175"/>
        <v>#VALUE!</v>
      </c>
      <c r="F658" s="25" t="str">
        <f t="shared" si="176"/>
        <v/>
      </c>
      <c r="G658" s="25" t="str">
        <f t="shared" si="177"/>
        <v>.xlsx</v>
      </c>
      <c r="H658" s="29" t="e" cm="1">
        <f t="array" aca="1" ref="H658" ca="1">IF(AND(VALUE(E658)=INDIRECT("'["&amp;G658&amp;"]"&amp;E658&amp;"'!"&amp;$X$2),G658=INDIRECT("'["&amp;G658&amp;"]"&amp;E658&amp;"'!"&amp;$X$3)),INDIRECT("'["&amp;G658&amp;"]"&amp;E658&amp;"'!"&amp;$X$1),0)</f>
        <v>#VALUE!</v>
      </c>
      <c r="I658" s="25" t="str">
        <f t="shared" si="178"/>
        <v/>
      </c>
      <c r="J658" s="32" t="str">
        <f t="shared" si="179"/>
        <v/>
      </c>
      <c r="K658" s="25" t="str">
        <f t="shared" si="180"/>
        <v/>
      </c>
      <c r="L658" s="25" t="str">
        <f t="shared" si="181"/>
        <v/>
      </c>
      <c r="M658" s="33" t="e" cm="1">
        <f t="array" aca="1" ref="M658" ca="1">IF(AND(J658=INDIRECT("'["&amp;G658&amp;"]"&amp;E658&amp;"'!"&amp;$Y$2),G658=INDIRECT("'["&amp;G658&amp;"]"&amp;E658&amp;"'!"&amp;$AH$2)),INDIRECT("'["&amp;G658&amp;"]"&amp;E658&amp;"'!"&amp;$Y$3),0)</f>
        <v>#VALUE!</v>
      </c>
      <c r="N658" s="34" t="e" cm="1">
        <f t="array" aca="1" ref="N658" ca="1">IF(AND(G658=INDIRECT("'["&amp;G658&amp;"]"&amp;E658&amp;"'!"&amp;$AH$2),OR(K658=INDIRECT("'["&amp;G658&amp;"]"&amp;E658&amp;"'!"&amp;$Z$2))),INDIRECT("'["&amp;G658&amp;"]"&amp;E658&amp;"'!"&amp;$Z$3),0)</f>
        <v>#VALUE!</v>
      </c>
      <c r="O658" s="34" t="e" cm="1">
        <f t="array" aca="1" ref="O658" ca="1">IF(AND(G658=INDIRECT("'["&amp;G658&amp;"]"&amp;E658&amp;"'!"&amp;$AH$2),OR(L658=INDIRECT("'["&amp;G658&amp;"]"&amp;E658&amp;"'!"&amp;$AA$2))),INDIRECT("'["&amp;G658&amp;"]"&amp;E658&amp;"'!"&amp;$AA$3),0)</f>
        <v>#VALUE!</v>
      </c>
      <c r="P658" s="34" t="e" cm="1">
        <f t="array" aca="1" ref="P658" ca="1">IF(AND(G658=INDIRECT("'["&amp;G658&amp;"]"&amp;E658&amp;"'!"&amp;$AH$2),OR(VALUE(I658)=INDIRECT("'["&amp;G658&amp;"]"&amp;E658&amp;"'!"&amp;$AB$2))),INDIRECT("'["&amp;G658&amp;"]"&amp;E658&amp;"'!"&amp;$AB$3),0)</f>
        <v>#VALUE!</v>
      </c>
      <c r="Q658" s="34" t="e" cm="1">
        <f t="array" aca="1" ref="Q658" ca="1">IF(AND(G658=INDIRECT("'["&amp;G658&amp;"]"&amp;E658&amp;"'!"&amp;$AH$2),OR(VALUE(I658)=INDIRECT("'["&amp;G658&amp;"]"&amp;E658&amp;"'!"&amp;$AC$2))),INDIRECT("'["&amp;G658&amp;"]"&amp;E658&amp;"'!"&amp;$AC$3),0)</f>
        <v>#VALUE!</v>
      </c>
      <c r="R658" s="34" t="e" cm="1">
        <f t="array" aca="1" ref="R658" ca="1">IF(AND(G658=INDIRECT("'["&amp;G658&amp;"]"&amp;E658&amp;"'!"&amp;$AH$2),OR(I658=INDIRECT("'["&amp;G658&amp;"]"&amp;E658&amp;"'!"&amp;$AD$2))),INDIRECT("'["&amp;G658&amp;"]"&amp;E658&amp;"'!"&amp;$AD$3),0)</f>
        <v>#VALUE!</v>
      </c>
      <c r="S658" s="34" t="e" cm="1">
        <f t="array" aca="1" ref="S658" ca="1">IF(AND(G658=INDIRECT("'["&amp;G658&amp;"]"&amp;E658&amp;"'!"&amp;$AH$2),OR(I658=INDIRECT("'["&amp;G658&amp;"]"&amp;E658&amp;"'!"&amp;$AE$2))),INDIRECT("'["&amp;G658&amp;"]"&amp;E658&amp;"'!"&amp;$AE$3),0)</f>
        <v>#VALUE!</v>
      </c>
      <c r="T658" s="35" t="e" cm="1">
        <f t="array" aca="1" ref="T658" ca="1">IF(AND(G658=INDIRECT("'["&amp;G658&amp;"]"&amp;E658&amp;"'!"&amp;$AH$2),OR(I658=INDIRECT("'["&amp;G658&amp;"]"&amp;E658&amp;"'!"&amp;$AF$2))),INDIRECT("'["&amp;G658&amp;"]"&amp;E658&amp;"'!"&amp;$AF$3),0)</f>
        <v>#VALUE!</v>
      </c>
      <c r="U658" s="34" t="e" cm="1">
        <f t="array" aca="1" ref="U658" ca="1">IF(AND(G658=INDIRECT("'["&amp;G658&amp;"]"&amp;E658&amp;"'!"&amp;$AH$2),OR(I658=INDIRECT("'["&amp;G658&amp;"]"&amp;E658&amp;"'!"&amp;$AG$2))),INDIRECT("'["&amp;G658&amp;"]"&amp;E658&amp;"'!"&amp;$AG$3),0)</f>
        <v>#VALUE!</v>
      </c>
      <c r="V658" s="25" t="str">
        <f t="shared" si="182"/>
        <v/>
      </c>
      <c r="W658" s="36" t="e" cm="1">
        <f t="array" aca="1" ref="W658" ca="1">IF(AND(G658=INDIRECT("'["&amp;G658&amp;"]"&amp;E658&amp;"'!"&amp;$AH$2),OR(V658=INDIRECT("'["&amp;G658&amp;"]"&amp;E658&amp;"'!"&amp;$AI$2))),INDIRECT("'["&amp;G658&amp;"]"&amp;E658&amp;"'!"&amp;$AI$3),0)</f>
        <v>#VALUE!</v>
      </c>
      <c r="AJ658" s="25">
        <v>1</v>
      </c>
      <c r="AK658" s="38">
        <f t="shared" ca="1" si="183"/>
        <v>0</v>
      </c>
      <c r="AL658" s="38">
        <f t="shared" ca="1" si="184"/>
        <v>0</v>
      </c>
      <c r="AM658" s="54" t="str">
        <f t="shared" ca="1" si="185"/>
        <v/>
      </c>
      <c r="AN658" s="25" t="e">
        <f t="shared" ca="1" si="186"/>
        <v>#VALUE!</v>
      </c>
      <c r="AO658" s="25" t="e">
        <f t="shared" ca="1" si="187"/>
        <v>#VALUE!</v>
      </c>
      <c r="AQ658" s="46" t="str">
        <f ca="1">IF(AND(C658&lt;&gt;0, C659=0), SUM($C$2:C658)-SUM($AQ$1:AQ657), "")</f>
        <v/>
      </c>
      <c r="AR658" s="46" t="str">
        <f ca="1">IF(AND(AK658&lt;&gt;0, AK659=0), SUM($AK$2:AK658)-SUM($AR$1:AR657), "")</f>
        <v/>
      </c>
    </row>
    <row r="659" spans="2:44" ht="13.15" customHeight="1">
      <c r="B659" s="68" t="str">
        <f t="shared" si="173"/>
        <v/>
      </c>
      <c r="C659" s="55" cm="1">
        <f t="array" aca="1" ref="C659" ca="1">SUM(IF(ISNUMBER(M659:U659),M659:U659,""))</f>
        <v>0</v>
      </c>
      <c r="D659" s="25" t="str">
        <f t="shared" si="174"/>
        <v/>
      </c>
      <c r="E659" s="25" t="e">
        <f t="shared" si="175"/>
        <v>#VALUE!</v>
      </c>
      <c r="F659" s="25" t="str">
        <f t="shared" si="176"/>
        <v/>
      </c>
      <c r="G659" s="25" t="str">
        <f t="shared" si="177"/>
        <v>.xlsx</v>
      </c>
      <c r="H659" s="29" t="e" cm="1">
        <f t="array" aca="1" ref="H659" ca="1">IF(AND(VALUE(E659)=INDIRECT("'["&amp;G659&amp;"]"&amp;E659&amp;"'!"&amp;$X$2),G659=INDIRECT("'["&amp;G659&amp;"]"&amp;E659&amp;"'!"&amp;$X$3)),INDIRECT("'["&amp;G659&amp;"]"&amp;E659&amp;"'!"&amp;$X$1),0)</f>
        <v>#VALUE!</v>
      </c>
      <c r="I659" s="25" t="str">
        <f t="shared" si="178"/>
        <v/>
      </c>
      <c r="J659" s="32" t="str">
        <f t="shared" si="179"/>
        <v/>
      </c>
      <c r="K659" s="25" t="str">
        <f t="shared" si="180"/>
        <v/>
      </c>
      <c r="L659" s="25" t="str">
        <f t="shared" si="181"/>
        <v/>
      </c>
      <c r="M659" s="33" t="e" cm="1">
        <f t="array" aca="1" ref="M659" ca="1">IF(AND(J659=INDIRECT("'["&amp;G659&amp;"]"&amp;E659&amp;"'!"&amp;$Y$2),G659=INDIRECT("'["&amp;G659&amp;"]"&amp;E659&amp;"'!"&amp;$AH$2)),INDIRECT("'["&amp;G659&amp;"]"&amp;E659&amp;"'!"&amp;$Y$3),0)</f>
        <v>#VALUE!</v>
      </c>
      <c r="N659" s="34" t="e" cm="1">
        <f t="array" aca="1" ref="N659" ca="1">IF(AND(G659=INDIRECT("'["&amp;G659&amp;"]"&amp;E659&amp;"'!"&amp;$AH$2),OR(K659=INDIRECT("'["&amp;G659&amp;"]"&amp;E659&amp;"'!"&amp;$Z$2))),INDIRECT("'["&amp;G659&amp;"]"&amp;E659&amp;"'!"&amp;$Z$3),0)</f>
        <v>#VALUE!</v>
      </c>
      <c r="O659" s="34" t="e" cm="1">
        <f t="array" aca="1" ref="O659" ca="1">IF(AND(G659=INDIRECT("'["&amp;G659&amp;"]"&amp;E659&amp;"'!"&amp;$AH$2),OR(L659=INDIRECT("'["&amp;G659&amp;"]"&amp;E659&amp;"'!"&amp;$AA$2))),INDIRECT("'["&amp;G659&amp;"]"&amp;E659&amp;"'!"&amp;$AA$3),0)</f>
        <v>#VALUE!</v>
      </c>
      <c r="P659" s="34" t="e" cm="1">
        <f t="array" aca="1" ref="P659" ca="1">IF(AND(G659=INDIRECT("'["&amp;G659&amp;"]"&amp;E659&amp;"'!"&amp;$AH$2),OR(VALUE(I659)=INDIRECT("'["&amp;G659&amp;"]"&amp;E659&amp;"'!"&amp;$AB$2))),INDIRECT("'["&amp;G659&amp;"]"&amp;E659&amp;"'!"&amp;$AB$3),0)</f>
        <v>#VALUE!</v>
      </c>
      <c r="Q659" s="34" t="e" cm="1">
        <f t="array" aca="1" ref="Q659" ca="1">IF(AND(G659=INDIRECT("'["&amp;G659&amp;"]"&amp;E659&amp;"'!"&amp;$AH$2),OR(VALUE(I659)=INDIRECT("'["&amp;G659&amp;"]"&amp;E659&amp;"'!"&amp;$AC$2))),INDIRECT("'["&amp;G659&amp;"]"&amp;E659&amp;"'!"&amp;$AC$3),0)</f>
        <v>#VALUE!</v>
      </c>
      <c r="R659" s="34" t="e" cm="1">
        <f t="array" aca="1" ref="R659" ca="1">IF(AND(G659=INDIRECT("'["&amp;G659&amp;"]"&amp;E659&amp;"'!"&amp;$AH$2),OR(I659=INDIRECT("'["&amp;G659&amp;"]"&amp;E659&amp;"'!"&amp;$AD$2))),INDIRECT("'["&amp;G659&amp;"]"&amp;E659&amp;"'!"&amp;$AD$3),0)</f>
        <v>#VALUE!</v>
      </c>
      <c r="S659" s="34" t="e" cm="1">
        <f t="array" aca="1" ref="S659" ca="1">IF(AND(G659=INDIRECT("'["&amp;G659&amp;"]"&amp;E659&amp;"'!"&amp;$AH$2),OR(I659=INDIRECT("'["&amp;G659&amp;"]"&amp;E659&amp;"'!"&amp;$AE$2))),INDIRECT("'["&amp;G659&amp;"]"&amp;E659&amp;"'!"&amp;$AE$3),0)</f>
        <v>#VALUE!</v>
      </c>
      <c r="T659" s="35" t="e" cm="1">
        <f t="array" aca="1" ref="T659" ca="1">IF(AND(G659=INDIRECT("'["&amp;G659&amp;"]"&amp;E659&amp;"'!"&amp;$AH$2),OR(I659=INDIRECT("'["&amp;G659&amp;"]"&amp;E659&amp;"'!"&amp;$AF$2))),INDIRECT("'["&amp;G659&amp;"]"&amp;E659&amp;"'!"&amp;$AF$3),0)</f>
        <v>#VALUE!</v>
      </c>
      <c r="U659" s="34" t="e" cm="1">
        <f t="array" aca="1" ref="U659" ca="1">IF(AND(G659=INDIRECT("'["&amp;G659&amp;"]"&amp;E659&amp;"'!"&amp;$AH$2),OR(I659=INDIRECT("'["&amp;G659&amp;"]"&amp;E659&amp;"'!"&amp;$AG$2))),INDIRECT("'["&amp;G659&amp;"]"&amp;E659&amp;"'!"&amp;$AG$3),0)</f>
        <v>#VALUE!</v>
      </c>
      <c r="V659" s="25" t="str">
        <f t="shared" si="182"/>
        <v/>
      </c>
      <c r="W659" s="36" t="e" cm="1">
        <f t="array" aca="1" ref="W659" ca="1">IF(AND(G659=INDIRECT("'["&amp;G659&amp;"]"&amp;E659&amp;"'!"&amp;$AH$2),OR(V659=INDIRECT("'["&amp;G659&amp;"]"&amp;E659&amp;"'!"&amp;$AI$2))),INDIRECT("'["&amp;G659&amp;"]"&amp;E659&amp;"'!"&amp;$AI$3),0)</f>
        <v>#VALUE!</v>
      </c>
      <c r="AJ659" s="25">
        <v>1</v>
      </c>
      <c r="AK659" s="38">
        <f t="shared" ca="1" si="183"/>
        <v>0</v>
      </c>
      <c r="AL659" s="38">
        <f t="shared" ca="1" si="184"/>
        <v>0</v>
      </c>
      <c r="AM659" s="54" t="str">
        <f t="shared" ca="1" si="185"/>
        <v/>
      </c>
      <c r="AN659" s="25" t="e">
        <f t="shared" ca="1" si="186"/>
        <v>#VALUE!</v>
      </c>
      <c r="AO659" s="25" t="e">
        <f t="shared" ca="1" si="187"/>
        <v>#VALUE!</v>
      </c>
      <c r="AQ659" s="46" t="str">
        <f ca="1">IF(AND(C659&lt;&gt;0, C660=0), SUM($C$2:C659)-SUM($AQ$1:AQ658), "")</f>
        <v/>
      </c>
      <c r="AR659" s="46" t="str">
        <f ca="1">IF(AND(AK659&lt;&gt;0, AK660=0), SUM($AK$2:AK659)-SUM($AR$1:AR658), "")</f>
        <v/>
      </c>
    </row>
    <row r="660" spans="2:44" ht="13.15" customHeight="1">
      <c r="B660" s="68" t="str">
        <f t="shared" si="173"/>
        <v/>
      </c>
      <c r="C660" s="55" cm="1">
        <f t="array" aca="1" ref="C660" ca="1">SUM(IF(ISNUMBER(M660:U660),M660:U660,""))</f>
        <v>0</v>
      </c>
      <c r="D660" s="25" t="str">
        <f t="shared" si="174"/>
        <v/>
      </c>
      <c r="E660" s="25" t="e">
        <f t="shared" si="175"/>
        <v>#VALUE!</v>
      </c>
      <c r="F660" s="25" t="str">
        <f t="shared" si="176"/>
        <v/>
      </c>
      <c r="G660" s="25" t="str">
        <f t="shared" si="177"/>
        <v>.xlsx</v>
      </c>
      <c r="H660" s="29" t="e" cm="1">
        <f t="array" aca="1" ref="H660" ca="1">IF(AND(VALUE(E660)=INDIRECT("'["&amp;G660&amp;"]"&amp;E660&amp;"'!"&amp;$X$2),G660=INDIRECT("'["&amp;G660&amp;"]"&amp;E660&amp;"'!"&amp;$X$3)),INDIRECT("'["&amp;G660&amp;"]"&amp;E660&amp;"'!"&amp;$X$1),0)</f>
        <v>#VALUE!</v>
      </c>
      <c r="I660" s="25" t="str">
        <f t="shared" si="178"/>
        <v/>
      </c>
      <c r="J660" s="32" t="str">
        <f t="shared" si="179"/>
        <v/>
      </c>
      <c r="K660" s="25" t="str">
        <f t="shared" si="180"/>
        <v/>
      </c>
      <c r="L660" s="25" t="str">
        <f t="shared" si="181"/>
        <v/>
      </c>
      <c r="M660" s="33" t="e" cm="1">
        <f t="array" aca="1" ref="M660" ca="1">IF(AND(J660=INDIRECT("'["&amp;G660&amp;"]"&amp;E660&amp;"'!"&amp;$Y$2),G660=INDIRECT("'["&amp;G660&amp;"]"&amp;E660&amp;"'!"&amp;$AH$2)),INDIRECT("'["&amp;G660&amp;"]"&amp;E660&amp;"'!"&amp;$Y$3),0)</f>
        <v>#VALUE!</v>
      </c>
      <c r="N660" s="34" t="e" cm="1">
        <f t="array" aca="1" ref="N660" ca="1">IF(AND(G660=INDIRECT("'["&amp;G660&amp;"]"&amp;E660&amp;"'!"&amp;$AH$2),OR(K660=INDIRECT("'["&amp;G660&amp;"]"&amp;E660&amp;"'!"&amp;$Z$2))),INDIRECT("'["&amp;G660&amp;"]"&amp;E660&amp;"'!"&amp;$Z$3),0)</f>
        <v>#VALUE!</v>
      </c>
      <c r="O660" s="34" t="e" cm="1">
        <f t="array" aca="1" ref="O660" ca="1">IF(AND(G660=INDIRECT("'["&amp;G660&amp;"]"&amp;E660&amp;"'!"&amp;$AH$2),OR(L660=INDIRECT("'["&amp;G660&amp;"]"&amp;E660&amp;"'!"&amp;$AA$2))),INDIRECT("'["&amp;G660&amp;"]"&amp;E660&amp;"'!"&amp;$AA$3),0)</f>
        <v>#VALUE!</v>
      </c>
      <c r="P660" s="34" t="e" cm="1">
        <f t="array" aca="1" ref="P660" ca="1">IF(AND(G660=INDIRECT("'["&amp;G660&amp;"]"&amp;E660&amp;"'!"&amp;$AH$2),OR(VALUE(I660)=INDIRECT("'["&amp;G660&amp;"]"&amp;E660&amp;"'!"&amp;$AB$2))),INDIRECT("'["&amp;G660&amp;"]"&amp;E660&amp;"'!"&amp;$AB$3),0)</f>
        <v>#VALUE!</v>
      </c>
      <c r="Q660" s="34" t="e" cm="1">
        <f t="array" aca="1" ref="Q660" ca="1">IF(AND(G660=INDIRECT("'["&amp;G660&amp;"]"&amp;E660&amp;"'!"&amp;$AH$2),OR(VALUE(I660)=INDIRECT("'["&amp;G660&amp;"]"&amp;E660&amp;"'!"&amp;$AC$2))),INDIRECT("'["&amp;G660&amp;"]"&amp;E660&amp;"'!"&amp;$AC$3),0)</f>
        <v>#VALUE!</v>
      </c>
      <c r="R660" s="34" t="e" cm="1">
        <f t="array" aca="1" ref="R660" ca="1">IF(AND(G660=INDIRECT("'["&amp;G660&amp;"]"&amp;E660&amp;"'!"&amp;$AH$2),OR(I660=INDIRECT("'["&amp;G660&amp;"]"&amp;E660&amp;"'!"&amp;$AD$2))),INDIRECT("'["&amp;G660&amp;"]"&amp;E660&amp;"'!"&amp;$AD$3),0)</f>
        <v>#VALUE!</v>
      </c>
      <c r="S660" s="34" t="e" cm="1">
        <f t="array" aca="1" ref="S660" ca="1">IF(AND(G660=INDIRECT("'["&amp;G660&amp;"]"&amp;E660&amp;"'!"&amp;$AH$2),OR(I660=INDIRECT("'["&amp;G660&amp;"]"&amp;E660&amp;"'!"&amp;$AE$2))),INDIRECT("'["&amp;G660&amp;"]"&amp;E660&amp;"'!"&amp;$AE$3),0)</f>
        <v>#VALUE!</v>
      </c>
      <c r="T660" s="35" t="e" cm="1">
        <f t="array" aca="1" ref="T660" ca="1">IF(AND(G660=INDIRECT("'["&amp;G660&amp;"]"&amp;E660&amp;"'!"&amp;$AH$2),OR(I660=INDIRECT("'["&amp;G660&amp;"]"&amp;E660&amp;"'!"&amp;$AF$2))),INDIRECT("'["&amp;G660&amp;"]"&amp;E660&amp;"'!"&amp;$AF$3),0)</f>
        <v>#VALUE!</v>
      </c>
      <c r="U660" s="34" t="e" cm="1">
        <f t="array" aca="1" ref="U660" ca="1">IF(AND(G660=INDIRECT("'["&amp;G660&amp;"]"&amp;E660&amp;"'!"&amp;$AH$2),OR(I660=INDIRECT("'["&amp;G660&amp;"]"&amp;E660&amp;"'!"&amp;$AG$2))),INDIRECT("'["&amp;G660&amp;"]"&amp;E660&amp;"'!"&amp;$AG$3),0)</f>
        <v>#VALUE!</v>
      </c>
      <c r="V660" s="25" t="str">
        <f t="shared" si="182"/>
        <v/>
      </c>
      <c r="W660" s="36" t="e" cm="1">
        <f t="array" aca="1" ref="W660" ca="1">IF(AND(G660=INDIRECT("'["&amp;G660&amp;"]"&amp;E660&amp;"'!"&amp;$AH$2),OR(V660=INDIRECT("'["&amp;G660&amp;"]"&amp;E660&amp;"'!"&amp;$AI$2))),INDIRECT("'["&amp;G660&amp;"]"&amp;E660&amp;"'!"&amp;$AI$3),0)</f>
        <v>#VALUE!</v>
      </c>
      <c r="AJ660" s="25">
        <v>1</v>
      </c>
      <c r="AK660" s="38">
        <f t="shared" ca="1" si="183"/>
        <v>0</v>
      </c>
      <c r="AL660" s="38">
        <f t="shared" ca="1" si="184"/>
        <v>0</v>
      </c>
      <c r="AM660" s="54" t="str">
        <f t="shared" ca="1" si="185"/>
        <v/>
      </c>
      <c r="AN660" s="25" t="e">
        <f t="shared" ca="1" si="186"/>
        <v>#VALUE!</v>
      </c>
      <c r="AO660" s="25" t="e">
        <f t="shared" ca="1" si="187"/>
        <v>#VALUE!</v>
      </c>
      <c r="AQ660" s="46" t="str">
        <f ca="1">IF(AND(C660&lt;&gt;0, C661=0), SUM($C$2:C660)-SUM($AQ$1:AQ659), "")</f>
        <v/>
      </c>
      <c r="AR660" s="46" t="str">
        <f ca="1">IF(AND(AK660&lt;&gt;0, AK661=0), SUM($AK$2:AK660)-SUM($AR$1:AR659), "")</f>
        <v/>
      </c>
    </row>
    <row r="661" spans="2:44" ht="13.15" customHeight="1">
      <c r="B661" s="68" t="str">
        <f t="shared" si="173"/>
        <v/>
      </c>
      <c r="C661" s="55" cm="1">
        <f t="array" aca="1" ref="C661" ca="1">SUM(IF(ISNUMBER(M661:U661),M661:U661,""))</f>
        <v>0</v>
      </c>
      <c r="D661" s="25" t="str">
        <f t="shared" si="174"/>
        <v/>
      </c>
      <c r="E661" s="25" t="e">
        <f t="shared" si="175"/>
        <v>#VALUE!</v>
      </c>
      <c r="F661" s="25" t="str">
        <f t="shared" si="176"/>
        <v/>
      </c>
      <c r="G661" s="25" t="str">
        <f t="shared" si="177"/>
        <v>.xlsx</v>
      </c>
      <c r="H661" s="29" t="e" cm="1">
        <f t="array" aca="1" ref="H661" ca="1">IF(AND(VALUE(E661)=INDIRECT("'["&amp;G661&amp;"]"&amp;E661&amp;"'!"&amp;$X$2),G661=INDIRECT("'["&amp;G661&amp;"]"&amp;E661&amp;"'!"&amp;$X$3)),INDIRECT("'["&amp;G661&amp;"]"&amp;E661&amp;"'!"&amp;$X$1),0)</f>
        <v>#VALUE!</v>
      </c>
      <c r="I661" s="25" t="str">
        <f t="shared" si="178"/>
        <v/>
      </c>
      <c r="J661" s="32" t="str">
        <f t="shared" si="179"/>
        <v/>
      </c>
      <c r="K661" s="25" t="str">
        <f t="shared" si="180"/>
        <v/>
      </c>
      <c r="L661" s="25" t="str">
        <f t="shared" si="181"/>
        <v/>
      </c>
      <c r="M661" s="33" t="e" cm="1">
        <f t="array" aca="1" ref="M661" ca="1">IF(AND(J661=INDIRECT("'["&amp;G661&amp;"]"&amp;E661&amp;"'!"&amp;$Y$2),G661=INDIRECT("'["&amp;G661&amp;"]"&amp;E661&amp;"'!"&amp;$AH$2)),INDIRECT("'["&amp;G661&amp;"]"&amp;E661&amp;"'!"&amp;$Y$3),0)</f>
        <v>#VALUE!</v>
      </c>
      <c r="N661" s="34" t="e" cm="1">
        <f t="array" aca="1" ref="N661" ca="1">IF(AND(G661=INDIRECT("'["&amp;G661&amp;"]"&amp;E661&amp;"'!"&amp;$AH$2),OR(K661=INDIRECT("'["&amp;G661&amp;"]"&amp;E661&amp;"'!"&amp;$Z$2))),INDIRECT("'["&amp;G661&amp;"]"&amp;E661&amp;"'!"&amp;$Z$3),0)</f>
        <v>#VALUE!</v>
      </c>
      <c r="O661" s="34" t="e" cm="1">
        <f t="array" aca="1" ref="O661" ca="1">IF(AND(G661=INDIRECT("'["&amp;G661&amp;"]"&amp;E661&amp;"'!"&amp;$AH$2),OR(L661=INDIRECT("'["&amp;G661&amp;"]"&amp;E661&amp;"'!"&amp;$AA$2))),INDIRECT("'["&amp;G661&amp;"]"&amp;E661&amp;"'!"&amp;$AA$3),0)</f>
        <v>#VALUE!</v>
      </c>
      <c r="P661" s="34" t="e" cm="1">
        <f t="array" aca="1" ref="P661" ca="1">IF(AND(G661=INDIRECT("'["&amp;G661&amp;"]"&amp;E661&amp;"'!"&amp;$AH$2),OR(VALUE(I661)=INDIRECT("'["&amp;G661&amp;"]"&amp;E661&amp;"'!"&amp;$AB$2))),INDIRECT("'["&amp;G661&amp;"]"&amp;E661&amp;"'!"&amp;$AB$3),0)</f>
        <v>#VALUE!</v>
      </c>
      <c r="Q661" s="34" t="e" cm="1">
        <f t="array" aca="1" ref="Q661" ca="1">IF(AND(G661=INDIRECT("'["&amp;G661&amp;"]"&amp;E661&amp;"'!"&amp;$AH$2),OR(VALUE(I661)=INDIRECT("'["&amp;G661&amp;"]"&amp;E661&amp;"'!"&amp;$AC$2))),INDIRECT("'["&amp;G661&amp;"]"&amp;E661&amp;"'!"&amp;$AC$3),0)</f>
        <v>#VALUE!</v>
      </c>
      <c r="R661" s="34" t="e" cm="1">
        <f t="array" aca="1" ref="R661" ca="1">IF(AND(G661=INDIRECT("'["&amp;G661&amp;"]"&amp;E661&amp;"'!"&amp;$AH$2),OR(I661=INDIRECT("'["&amp;G661&amp;"]"&amp;E661&amp;"'!"&amp;$AD$2))),INDIRECT("'["&amp;G661&amp;"]"&amp;E661&amp;"'!"&amp;$AD$3),0)</f>
        <v>#VALUE!</v>
      </c>
      <c r="S661" s="34" t="e" cm="1">
        <f t="array" aca="1" ref="S661" ca="1">IF(AND(G661=INDIRECT("'["&amp;G661&amp;"]"&amp;E661&amp;"'!"&amp;$AH$2),OR(I661=INDIRECT("'["&amp;G661&amp;"]"&amp;E661&amp;"'!"&amp;$AE$2))),INDIRECT("'["&amp;G661&amp;"]"&amp;E661&amp;"'!"&amp;$AE$3),0)</f>
        <v>#VALUE!</v>
      </c>
      <c r="T661" s="35" t="e" cm="1">
        <f t="array" aca="1" ref="T661" ca="1">IF(AND(G661=INDIRECT("'["&amp;G661&amp;"]"&amp;E661&amp;"'!"&amp;$AH$2),OR(I661=INDIRECT("'["&amp;G661&amp;"]"&amp;E661&amp;"'!"&amp;$AF$2))),INDIRECT("'["&amp;G661&amp;"]"&amp;E661&amp;"'!"&amp;$AF$3),0)</f>
        <v>#VALUE!</v>
      </c>
      <c r="U661" s="34" t="e" cm="1">
        <f t="array" aca="1" ref="U661" ca="1">IF(AND(G661=INDIRECT("'["&amp;G661&amp;"]"&amp;E661&amp;"'!"&amp;$AH$2),OR(I661=INDIRECT("'["&amp;G661&amp;"]"&amp;E661&amp;"'!"&amp;$AG$2))),INDIRECT("'["&amp;G661&amp;"]"&amp;E661&amp;"'!"&amp;$AG$3),0)</f>
        <v>#VALUE!</v>
      </c>
      <c r="V661" s="25" t="str">
        <f t="shared" si="182"/>
        <v/>
      </c>
      <c r="W661" s="36" t="e" cm="1">
        <f t="array" aca="1" ref="W661" ca="1">IF(AND(G661=INDIRECT("'["&amp;G661&amp;"]"&amp;E661&amp;"'!"&amp;$AH$2),OR(V661=INDIRECT("'["&amp;G661&amp;"]"&amp;E661&amp;"'!"&amp;$AI$2))),INDIRECT("'["&amp;G661&amp;"]"&amp;E661&amp;"'!"&amp;$AI$3),0)</f>
        <v>#VALUE!</v>
      </c>
      <c r="AJ661" s="25">
        <v>1</v>
      </c>
      <c r="AK661" s="38">
        <f t="shared" ca="1" si="183"/>
        <v>0</v>
      </c>
      <c r="AL661" s="38">
        <f t="shared" ca="1" si="184"/>
        <v>0</v>
      </c>
      <c r="AM661" s="54" t="str">
        <f t="shared" ca="1" si="185"/>
        <v/>
      </c>
      <c r="AN661" s="25" t="e">
        <f t="shared" ca="1" si="186"/>
        <v>#VALUE!</v>
      </c>
      <c r="AO661" s="25" t="e">
        <f t="shared" ca="1" si="187"/>
        <v>#VALUE!</v>
      </c>
      <c r="AQ661" s="46" t="str">
        <f ca="1">IF(AND(C661&lt;&gt;0, C662=0), SUM($C$2:C661)-SUM($AQ$1:AQ660), "")</f>
        <v/>
      </c>
      <c r="AR661" s="46" t="str">
        <f ca="1">IF(AND(AK661&lt;&gt;0, AK662=0), SUM($AK$2:AK661)-SUM($AR$1:AR660), "")</f>
        <v/>
      </c>
    </row>
    <row r="662" spans="2:44" ht="13.15" customHeight="1">
      <c r="B662" s="68" t="str">
        <f t="shared" si="173"/>
        <v/>
      </c>
      <c r="C662" s="55" cm="1">
        <f t="array" aca="1" ref="C662" ca="1">SUM(IF(ISNUMBER(M662:U662),M662:U662,""))</f>
        <v>0</v>
      </c>
      <c r="D662" s="25" t="str">
        <f t="shared" si="174"/>
        <v/>
      </c>
      <c r="E662" s="25" t="e">
        <f t="shared" si="175"/>
        <v>#VALUE!</v>
      </c>
      <c r="F662" s="25" t="str">
        <f t="shared" si="176"/>
        <v/>
      </c>
      <c r="G662" s="25" t="str">
        <f t="shared" si="177"/>
        <v>.xlsx</v>
      </c>
      <c r="H662" s="29" t="e" cm="1">
        <f t="array" aca="1" ref="H662" ca="1">IF(AND(VALUE(E662)=INDIRECT("'["&amp;G662&amp;"]"&amp;E662&amp;"'!"&amp;$X$2),G662=INDIRECT("'["&amp;G662&amp;"]"&amp;E662&amp;"'!"&amp;$X$3)),INDIRECT("'["&amp;G662&amp;"]"&amp;E662&amp;"'!"&amp;$X$1),0)</f>
        <v>#VALUE!</v>
      </c>
      <c r="I662" s="25" t="str">
        <f t="shared" si="178"/>
        <v/>
      </c>
      <c r="J662" s="32" t="str">
        <f t="shared" si="179"/>
        <v/>
      </c>
      <c r="K662" s="25" t="str">
        <f t="shared" si="180"/>
        <v/>
      </c>
      <c r="L662" s="25" t="str">
        <f t="shared" si="181"/>
        <v/>
      </c>
      <c r="M662" s="33" t="e" cm="1">
        <f t="array" aca="1" ref="M662" ca="1">IF(AND(J662=INDIRECT("'["&amp;G662&amp;"]"&amp;E662&amp;"'!"&amp;$Y$2),G662=INDIRECT("'["&amp;G662&amp;"]"&amp;E662&amp;"'!"&amp;$AH$2)),INDIRECT("'["&amp;G662&amp;"]"&amp;E662&amp;"'!"&amp;$Y$3),0)</f>
        <v>#VALUE!</v>
      </c>
      <c r="N662" s="34" t="e" cm="1">
        <f t="array" aca="1" ref="N662" ca="1">IF(AND(G662=INDIRECT("'["&amp;G662&amp;"]"&amp;E662&amp;"'!"&amp;$AH$2),OR(K662=INDIRECT("'["&amp;G662&amp;"]"&amp;E662&amp;"'!"&amp;$Z$2))),INDIRECT("'["&amp;G662&amp;"]"&amp;E662&amp;"'!"&amp;$Z$3),0)</f>
        <v>#VALUE!</v>
      </c>
      <c r="O662" s="34" t="e" cm="1">
        <f t="array" aca="1" ref="O662" ca="1">IF(AND(G662=INDIRECT("'["&amp;G662&amp;"]"&amp;E662&amp;"'!"&amp;$AH$2),OR(L662=INDIRECT("'["&amp;G662&amp;"]"&amp;E662&amp;"'!"&amp;$AA$2))),INDIRECT("'["&amp;G662&amp;"]"&amp;E662&amp;"'!"&amp;$AA$3),0)</f>
        <v>#VALUE!</v>
      </c>
      <c r="P662" s="34" t="e" cm="1">
        <f t="array" aca="1" ref="P662" ca="1">IF(AND(G662=INDIRECT("'["&amp;G662&amp;"]"&amp;E662&amp;"'!"&amp;$AH$2),OR(VALUE(I662)=INDIRECT("'["&amp;G662&amp;"]"&amp;E662&amp;"'!"&amp;$AB$2))),INDIRECT("'["&amp;G662&amp;"]"&amp;E662&amp;"'!"&amp;$AB$3),0)</f>
        <v>#VALUE!</v>
      </c>
      <c r="Q662" s="34" t="e" cm="1">
        <f t="array" aca="1" ref="Q662" ca="1">IF(AND(G662=INDIRECT("'["&amp;G662&amp;"]"&amp;E662&amp;"'!"&amp;$AH$2),OR(VALUE(I662)=INDIRECT("'["&amp;G662&amp;"]"&amp;E662&amp;"'!"&amp;$AC$2))),INDIRECT("'["&amp;G662&amp;"]"&amp;E662&amp;"'!"&amp;$AC$3),0)</f>
        <v>#VALUE!</v>
      </c>
      <c r="R662" s="34" t="e" cm="1">
        <f t="array" aca="1" ref="R662" ca="1">IF(AND(G662=INDIRECT("'["&amp;G662&amp;"]"&amp;E662&amp;"'!"&amp;$AH$2),OR(I662=INDIRECT("'["&amp;G662&amp;"]"&amp;E662&amp;"'!"&amp;$AD$2))),INDIRECT("'["&amp;G662&amp;"]"&amp;E662&amp;"'!"&amp;$AD$3),0)</f>
        <v>#VALUE!</v>
      </c>
      <c r="S662" s="34" t="e" cm="1">
        <f t="array" aca="1" ref="S662" ca="1">IF(AND(G662=INDIRECT("'["&amp;G662&amp;"]"&amp;E662&amp;"'!"&amp;$AH$2),OR(I662=INDIRECT("'["&amp;G662&amp;"]"&amp;E662&amp;"'!"&amp;$AE$2))),INDIRECT("'["&amp;G662&amp;"]"&amp;E662&amp;"'!"&amp;$AE$3),0)</f>
        <v>#VALUE!</v>
      </c>
      <c r="T662" s="35" t="e" cm="1">
        <f t="array" aca="1" ref="T662" ca="1">IF(AND(G662=INDIRECT("'["&amp;G662&amp;"]"&amp;E662&amp;"'!"&amp;$AH$2),OR(I662=INDIRECT("'["&amp;G662&amp;"]"&amp;E662&amp;"'!"&amp;$AF$2))),INDIRECT("'["&amp;G662&amp;"]"&amp;E662&amp;"'!"&amp;$AF$3),0)</f>
        <v>#VALUE!</v>
      </c>
      <c r="U662" s="34" t="e" cm="1">
        <f t="array" aca="1" ref="U662" ca="1">IF(AND(G662=INDIRECT("'["&amp;G662&amp;"]"&amp;E662&amp;"'!"&amp;$AH$2),OR(I662=INDIRECT("'["&amp;G662&amp;"]"&amp;E662&amp;"'!"&amp;$AG$2))),INDIRECT("'["&amp;G662&amp;"]"&amp;E662&amp;"'!"&amp;$AG$3),0)</f>
        <v>#VALUE!</v>
      </c>
      <c r="V662" s="25" t="str">
        <f t="shared" si="182"/>
        <v/>
      </c>
      <c r="W662" s="36" t="e" cm="1">
        <f t="array" aca="1" ref="W662" ca="1">IF(AND(G662=INDIRECT("'["&amp;G662&amp;"]"&amp;E662&amp;"'!"&amp;$AH$2),OR(V662=INDIRECT("'["&amp;G662&amp;"]"&amp;E662&amp;"'!"&amp;$AI$2))),INDIRECT("'["&amp;G662&amp;"]"&amp;E662&amp;"'!"&amp;$AI$3),0)</f>
        <v>#VALUE!</v>
      </c>
      <c r="AJ662" s="25">
        <v>1</v>
      </c>
      <c r="AK662" s="38">
        <f t="shared" ca="1" si="183"/>
        <v>0</v>
      </c>
      <c r="AL662" s="38">
        <f t="shared" ca="1" si="184"/>
        <v>0</v>
      </c>
      <c r="AM662" s="54" t="str">
        <f t="shared" ca="1" si="185"/>
        <v/>
      </c>
      <c r="AN662" s="25" t="e">
        <f t="shared" ca="1" si="186"/>
        <v>#VALUE!</v>
      </c>
      <c r="AO662" s="25" t="e">
        <f t="shared" ca="1" si="187"/>
        <v>#VALUE!</v>
      </c>
      <c r="AQ662" s="46" t="str">
        <f ca="1">IF(AND(C662&lt;&gt;0, C663=0), SUM($C$2:C662)-SUM($AQ$1:AQ661), "")</f>
        <v/>
      </c>
      <c r="AR662" s="46" t="str">
        <f ca="1">IF(AND(AK662&lt;&gt;0, AK663=0), SUM($AK$2:AK662)-SUM($AR$1:AR661), "")</f>
        <v/>
      </c>
    </row>
    <row r="663" spans="2:44" ht="13.15" customHeight="1">
      <c r="B663" s="68" t="str">
        <f t="shared" si="173"/>
        <v/>
      </c>
      <c r="C663" s="55" cm="1">
        <f t="array" aca="1" ref="C663" ca="1">SUM(IF(ISNUMBER(M663:U663),M663:U663,""))</f>
        <v>0</v>
      </c>
      <c r="D663" s="25" t="str">
        <f t="shared" si="174"/>
        <v/>
      </c>
      <c r="E663" s="25" t="e">
        <f t="shared" si="175"/>
        <v>#VALUE!</v>
      </c>
      <c r="F663" s="25" t="str">
        <f t="shared" si="176"/>
        <v/>
      </c>
      <c r="G663" s="25" t="str">
        <f t="shared" si="177"/>
        <v>.xlsx</v>
      </c>
      <c r="H663" s="29" t="e" cm="1">
        <f t="array" aca="1" ref="H663" ca="1">IF(AND(VALUE(E663)=INDIRECT("'["&amp;G663&amp;"]"&amp;E663&amp;"'!"&amp;$X$2),G663=INDIRECT("'["&amp;G663&amp;"]"&amp;E663&amp;"'!"&amp;$X$3)),INDIRECT("'["&amp;G663&amp;"]"&amp;E663&amp;"'!"&amp;$X$1),0)</f>
        <v>#VALUE!</v>
      </c>
      <c r="I663" s="25" t="str">
        <f t="shared" si="178"/>
        <v/>
      </c>
      <c r="J663" s="32" t="str">
        <f t="shared" si="179"/>
        <v/>
      </c>
      <c r="K663" s="25" t="str">
        <f t="shared" si="180"/>
        <v/>
      </c>
      <c r="L663" s="25" t="str">
        <f t="shared" si="181"/>
        <v/>
      </c>
      <c r="M663" s="33" t="e" cm="1">
        <f t="array" aca="1" ref="M663" ca="1">IF(AND(J663=INDIRECT("'["&amp;G663&amp;"]"&amp;E663&amp;"'!"&amp;$Y$2),G663=INDIRECT("'["&amp;G663&amp;"]"&amp;E663&amp;"'!"&amp;$AH$2)),INDIRECT("'["&amp;G663&amp;"]"&amp;E663&amp;"'!"&amp;$Y$3),0)</f>
        <v>#VALUE!</v>
      </c>
      <c r="N663" s="34" t="e" cm="1">
        <f t="array" aca="1" ref="N663" ca="1">IF(AND(G663=INDIRECT("'["&amp;G663&amp;"]"&amp;E663&amp;"'!"&amp;$AH$2),OR(K663=INDIRECT("'["&amp;G663&amp;"]"&amp;E663&amp;"'!"&amp;$Z$2))),INDIRECT("'["&amp;G663&amp;"]"&amp;E663&amp;"'!"&amp;$Z$3),0)</f>
        <v>#VALUE!</v>
      </c>
      <c r="O663" s="34" t="e" cm="1">
        <f t="array" aca="1" ref="O663" ca="1">IF(AND(G663=INDIRECT("'["&amp;G663&amp;"]"&amp;E663&amp;"'!"&amp;$AH$2),OR(L663=INDIRECT("'["&amp;G663&amp;"]"&amp;E663&amp;"'!"&amp;$AA$2))),INDIRECT("'["&amp;G663&amp;"]"&amp;E663&amp;"'!"&amp;$AA$3),0)</f>
        <v>#VALUE!</v>
      </c>
      <c r="P663" s="34" t="e" cm="1">
        <f t="array" aca="1" ref="P663" ca="1">IF(AND(G663=INDIRECT("'["&amp;G663&amp;"]"&amp;E663&amp;"'!"&amp;$AH$2),OR(VALUE(I663)=INDIRECT("'["&amp;G663&amp;"]"&amp;E663&amp;"'!"&amp;$AB$2))),INDIRECT("'["&amp;G663&amp;"]"&amp;E663&amp;"'!"&amp;$AB$3),0)</f>
        <v>#VALUE!</v>
      </c>
      <c r="Q663" s="34" t="e" cm="1">
        <f t="array" aca="1" ref="Q663" ca="1">IF(AND(G663=INDIRECT("'["&amp;G663&amp;"]"&amp;E663&amp;"'!"&amp;$AH$2),OR(VALUE(I663)=INDIRECT("'["&amp;G663&amp;"]"&amp;E663&amp;"'!"&amp;$AC$2))),INDIRECT("'["&amp;G663&amp;"]"&amp;E663&amp;"'!"&amp;$AC$3),0)</f>
        <v>#VALUE!</v>
      </c>
      <c r="R663" s="34" t="e" cm="1">
        <f t="array" aca="1" ref="R663" ca="1">IF(AND(G663=INDIRECT("'["&amp;G663&amp;"]"&amp;E663&amp;"'!"&amp;$AH$2),OR(I663=INDIRECT("'["&amp;G663&amp;"]"&amp;E663&amp;"'!"&amp;$AD$2))),INDIRECT("'["&amp;G663&amp;"]"&amp;E663&amp;"'!"&amp;$AD$3),0)</f>
        <v>#VALUE!</v>
      </c>
      <c r="S663" s="34" t="e" cm="1">
        <f t="array" aca="1" ref="S663" ca="1">IF(AND(G663=INDIRECT("'["&amp;G663&amp;"]"&amp;E663&amp;"'!"&amp;$AH$2),OR(I663=INDIRECT("'["&amp;G663&amp;"]"&amp;E663&amp;"'!"&amp;$AE$2))),INDIRECT("'["&amp;G663&amp;"]"&amp;E663&amp;"'!"&amp;$AE$3),0)</f>
        <v>#VALUE!</v>
      </c>
      <c r="T663" s="35" t="e" cm="1">
        <f t="array" aca="1" ref="T663" ca="1">IF(AND(G663=INDIRECT("'["&amp;G663&amp;"]"&amp;E663&amp;"'!"&amp;$AH$2),OR(I663=INDIRECT("'["&amp;G663&amp;"]"&amp;E663&amp;"'!"&amp;$AF$2))),INDIRECT("'["&amp;G663&amp;"]"&amp;E663&amp;"'!"&amp;$AF$3),0)</f>
        <v>#VALUE!</v>
      </c>
      <c r="U663" s="34" t="e" cm="1">
        <f t="array" aca="1" ref="U663" ca="1">IF(AND(G663=INDIRECT("'["&amp;G663&amp;"]"&amp;E663&amp;"'!"&amp;$AH$2),OR(I663=INDIRECT("'["&amp;G663&amp;"]"&amp;E663&amp;"'!"&amp;$AG$2))),INDIRECT("'["&amp;G663&amp;"]"&amp;E663&amp;"'!"&amp;$AG$3),0)</f>
        <v>#VALUE!</v>
      </c>
      <c r="V663" s="25" t="str">
        <f t="shared" si="182"/>
        <v/>
      </c>
      <c r="W663" s="36" t="e" cm="1">
        <f t="array" aca="1" ref="W663" ca="1">IF(AND(G663=INDIRECT("'["&amp;G663&amp;"]"&amp;E663&amp;"'!"&amp;$AH$2),OR(V663=INDIRECT("'["&amp;G663&amp;"]"&amp;E663&amp;"'!"&amp;$AI$2))),INDIRECT("'["&amp;G663&amp;"]"&amp;E663&amp;"'!"&amp;$AI$3),0)</f>
        <v>#VALUE!</v>
      </c>
      <c r="AJ663" s="25">
        <v>1</v>
      </c>
      <c r="AK663" s="38">
        <f t="shared" ca="1" si="183"/>
        <v>0</v>
      </c>
      <c r="AL663" s="38">
        <f t="shared" ca="1" si="184"/>
        <v>0</v>
      </c>
      <c r="AM663" s="54" t="str">
        <f t="shared" ca="1" si="185"/>
        <v/>
      </c>
      <c r="AN663" s="25" t="e">
        <f t="shared" ca="1" si="186"/>
        <v>#VALUE!</v>
      </c>
      <c r="AO663" s="25" t="e">
        <f t="shared" ca="1" si="187"/>
        <v>#VALUE!</v>
      </c>
      <c r="AQ663" s="46" t="str">
        <f ca="1">IF(AND(C663&lt;&gt;0, C664=0), SUM($C$2:C663)-SUM($AQ$1:AQ662), "")</f>
        <v/>
      </c>
      <c r="AR663" s="46" t="str">
        <f ca="1">IF(AND(AK663&lt;&gt;0, AK664=0), SUM($AK$2:AK663)-SUM($AR$1:AR662), "")</f>
        <v/>
      </c>
    </row>
    <row r="664" spans="2:44" ht="13.15" customHeight="1">
      <c r="B664" s="68" t="str">
        <f t="shared" si="173"/>
        <v/>
      </c>
      <c r="C664" s="55" cm="1">
        <f t="array" aca="1" ref="C664" ca="1">SUM(IF(ISNUMBER(M664:U664),M664:U664,""))</f>
        <v>0</v>
      </c>
      <c r="D664" s="25" t="str">
        <f t="shared" si="174"/>
        <v/>
      </c>
      <c r="E664" s="25" t="e">
        <f t="shared" si="175"/>
        <v>#VALUE!</v>
      </c>
      <c r="F664" s="25" t="str">
        <f t="shared" si="176"/>
        <v/>
      </c>
      <c r="G664" s="25" t="str">
        <f t="shared" si="177"/>
        <v>.xlsx</v>
      </c>
      <c r="H664" s="29" t="e" cm="1">
        <f t="array" aca="1" ref="H664" ca="1">IF(AND(VALUE(E664)=INDIRECT("'["&amp;G664&amp;"]"&amp;E664&amp;"'!"&amp;$X$2),G664=INDIRECT("'["&amp;G664&amp;"]"&amp;E664&amp;"'!"&amp;$X$3)),INDIRECT("'["&amp;G664&amp;"]"&amp;E664&amp;"'!"&amp;$X$1),0)</f>
        <v>#VALUE!</v>
      </c>
      <c r="I664" s="25" t="str">
        <f t="shared" si="178"/>
        <v/>
      </c>
      <c r="J664" s="32" t="str">
        <f t="shared" si="179"/>
        <v/>
      </c>
      <c r="K664" s="25" t="str">
        <f t="shared" si="180"/>
        <v/>
      </c>
      <c r="L664" s="25" t="str">
        <f t="shared" si="181"/>
        <v/>
      </c>
      <c r="M664" s="33" t="e" cm="1">
        <f t="array" aca="1" ref="M664" ca="1">IF(AND(J664=INDIRECT("'["&amp;G664&amp;"]"&amp;E664&amp;"'!"&amp;$Y$2),G664=INDIRECT("'["&amp;G664&amp;"]"&amp;E664&amp;"'!"&amp;$AH$2)),INDIRECT("'["&amp;G664&amp;"]"&amp;E664&amp;"'!"&amp;$Y$3),0)</f>
        <v>#VALUE!</v>
      </c>
      <c r="N664" s="34" t="e" cm="1">
        <f t="array" aca="1" ref="N664" ca="1">IF(AND(G664=INDIRECT("'["&amp;G664&amp;"]"&amp;E664&amp;"'!"&amp;$AH$2),OR(K664=INDIRECT("'["&amp;G664&amp;"]"&amp;E664&amp;"'!"&amp;$Z$2))),INDIRECT("'["&amp;G664&amp;"]"&amp;E664&amp;"'!"&amp;$Z$3),0)</f>
        <v>#VALUE!</v>
      </c>
      <c r="O664" s="34" t="e" cm="1">
        <f t="array" aca="1" ref="O664" ca="1">IF(AND(G664=INDIRECT("'["&amp;G664&amp;"]"&amp;E664&amp;"'!"&amp;$AH$2),OR(L664=INDIRECT("'["&amp;G664&amp;"]"&amp;E664&amp;"'!"&amp;$AA$2))),INDIRECT("'["&amp;G664&amp;"]"&amp;E664&amp;"'!"&amp;$AA$3),0)</f>
        <v>#VALUE!</v>
      </c>
      <c r="P664" s="34" t="e" cm="1">
        <f t="array" aca="1" ref="P664" ca="1">IF(AND(G664=INDIRECT("'["&amp;G664&amp;"]"&amp;E664&amp;"'!"&amp;$AH$2),OR(VALUE(I664)=INDIRECT("'["&amp;G664&amp;"]"&amp;E664&amp;"'!"&amp;$AB$2))),INDIRECT("'["&amp;G664&amp;"]"&amp;E664&amp;"'!"&amp;$AB$3),0)</f>
        <v>#VALUE!</v>
      </c>
      <c r="Q664" s="34" t="e" cm="1">
        <f t="array" aca="1" ref="Q664" ca="1">IF(AND(G664=INDIRECT("'["&amp;G664&amp;"]"&amp;E664&amp;"'!"&amp;$AH$2),OR(VALUE(I664)=INDIRECT("'["&amp;G664&amp;"]"&amp;E664&amp;"'!"&amp;$AC$2))),INDIRECT("'["&amp;G664&amp;"]"&amp;E664&amp;"'!"&amp;$AC$3),0)</f>
        <v>#VALUE!</v>
      </c>
      <c r="R664" s="34" t="e" cm="1">
        <f t="array" aca="1" ref="R664" ca="1">IF(AND(G664=INDIRECT("'["&amp;G664&amp;"]"&amp;E664&amp;"'!"&amp;$AH$2),OR(I664=INDIRECT("'["&amp;G664&amp;"]"&amp;E664&amp;"'!"&amp;$AD$2))),INDIRECT("'["&amp;G664&amp;"]"&amp;E664&amp;"'!"&amp;$AD$3),0)</f>
        <v>#VALUE!</v>
      </c>
      <c r="S664" s="34" t="e" cm="1">
        <f t="array" aca="1" ref="S664" ca="1">IF(AND(G664=INDIRECT("'["&amp;G664&amp;"]"&amp;E664&amp;"'!"&amp;$AH$2),OR(I664=INDIRECT("'["&amp;G664&amp;"]"&amp;E664&amp;"'!"&amp;$AE$2))),INDIRECT("'["&amp;G664&amp;"]"&amp;E664&amp;"'!"&amp;$AE$3),0)</f>
        <v>#VALUE!</v>
      </c>
      <c r="T664" s="35" t="e" cm="1">
        <f t="array" aca="1" ref="T664" ca="1">IF(AND(G664=INDIRECT("'["&amp;G664&amp;"]"&amp;E664&amp;"'!"&amp;$AH$2),OR(I664=INDIRECT("'["&amp;G664&amp;"]"&amp;E664&amp;"'!"&amp;$AF$2))),INDIRECT("'["&amp;G664&amp;"]"&amp;E664&amp;"'!"&amp;$AF$3),0)</f>
        <v>#VALUE!</v>
      </c>
      <c r="U664" s="34" t="e" cm="1">
        <f t="array" aca="1" ref="U664" ca="1">IF(AND(G664=INDIRECT("'["&amp;G664&amp;"]"&amp;E664&amp;"'!"&amp;$AH$2),OR(I664=INDIRECT("'["&amp;G664&amp;"]"&amp;E664&amp;"'!"&amp;$AG$2))),INDIRECT("'["&amp;G664&amp;"]"&amp;E664&amp;"'!"&amp;$AG$3),0)</f>
        <v>#VALUE!</v>
      </c>
      <c r="V664" s="25" t="str">
        <f t="shared" si="182"/>
        <v/>
      </c>
      <c r="W664" s="36" t="e" cm="1">
        <f t="array" aca="1" ref="W664" ca="1">IF(AND(G664=INDIRECT("'["&amp;G664&amp;"]"&amp;E664&amp;"'!"&amp;$AH$2),OR(V664=INDIRECT("'["&amp;G664&amp;"]"&amp;E664&amp;"'!"&amp;$AI$2))),INDIRECT("'["&amp;G664&amp;"]"&amp;E664&amp;"'!"&amp;$AI$3),0)</f>
        <v>#VALUE!</v>
      </c>
      <c r="AJ664" s="25">
        <v>1</v>
      </c>
      <c r="AK664" s="38">
        <f t="shared" ca="1" si="183"/>
        <v>0</v>
      </c>
      <c r="AL664" s="38">
        <f t="shared" ca="1" si="184"/>
        <v>0</v>
      </c>
      <c r="AM664" s="54" t="str">
        <f t="shared" ca="1" si="185"/>
        <v/>
      </c>
      <c r="AN664" s="25" t="e">
        <f t="shared" ca="1" si="186"/>
        <v>#VALUE!</v>
      </c>
      <c r="AO664" s="25" t="e">
        <f t="shared" ca="1" si="187"/>
        <v>#VALUE!</v>
      </c>
      <c r="AQ664" s="46" t="str">
        <f ca="1">IF(AND(C664&lt;&gt;0, C665=0), SUM($C$2:C664)-SUM($AQ$1:AQ663), "")</f>
        <v/>
      </c>
      <c r="AR664" s="46" t="str">
        <f ca="1">IF(AND(AK664&lt;&gt;0, AK665=0), SUM($AK$2:AK664)-SUM($AR$1:AR663), "")</f>
        <v/>
      </c>
    </row>
    <row r="665" spans="2:44" ht="13.15" customHeight="1">
      <c r="B665" s="68" t="str">
        <f t="shared" si="173"/>
        <v/>
      </c>
      <c r="C665" s="55" cm="1">
        <f t="array" aca="1" ref="C665" ca="1">SUM(IF(ISNUMBER(M665:U665),M665:U665,""))</f>
        <v>0</v>
      </c>
      <c r="D665" s="25" t="str">
        <f t="shared" si="174"/>
        <v/>
      </c>
      <c r="E665" s="25" t="e">
        <f t="shared" si="175"/>
        <v>#VALUE!</v>
      </c>
      <c r="F665" s="25" t="str">
        <f t="shared" si="176"/>
        <v/>
      </c>
      <c r="G665" s="25" t="str">
        <f t="shared" si="177"/>
        <v>.xlsx</v>
      </c>
      <c r="H665" s="29" t="e" cm="1">
        <f t="array" aca="1" ref="H665" ca="1">IF(AND(VALUE(E665)=INDIRECT("'["&amp;G665&amp;"]"&amp;E665&amp;"'!"&amp;$X$2),G665=INDIRECT("'["&amp;G665&amp;"]"&amp;E665&amp;"'!"&amp;$X$3)),INDIRECT("'["&amp;G665&amp;"]"&amp;E665&amp;"'!"&amp;$X$1),0)</f>
        <v>#VALUE!</v>
      </c>
      <c r="I665" s="25" t="str">
        <f t="shared" si="178"/>
        <v/>
      </c>
      <c r="J665" s="32" t="str">
        <f t="shared" si="179"/>
        <v/>
      </c>
      <c r="K665" s="25" t="str">
        <f t="shared" si="180"/>
        <v/>
      </c>
      <c r="L665" s="25" t="str">
        <f t="shared" si="181"/>
        <v/>
      </c>
      <c r="M665" s="33" t="e" cm="1">
        <f t="array" aca="1" ref="M665" ca="1">IF(AND(J665=INDIRECT("'["&amp;G665&amp;"]"&amp;E665&amp;"'!"&amp;$Y$2),G665=INDIRECT("'["&amp;G665&amp;"]"&amp;E665&amp;"'!"&amp;$AH$2)),INDIRECT("'["&amp;G665&amp;"]"&amp;E665&amp;"'!"&amp;$Y$3),0)</f>
        <v>#VALUE!</v>
      </c>
      <c r="N665" s="34" t="e" cm="1">
        <f t="array" aca="1" ref="N665" ca="1">IF(AND(G665=INDIRECT("'["&amp;G665&amp;"]"&amp;E665&amp;"'!"&amp;$AH$2),OR(K665=INDIRECT("'["&amp;G665&amp;"]"&amp;E665&amp;"'!"&amp;$Z$2))),INDIRECT("'["&amp;G665&amp;"]"&amp;E665&amp;"'!"&amp;$Z$3),0)</f>
        <v>#VALUE!</v>
      </c>
      <c r="O665" s="34" t="e" cm="1">
        <f t="array" aca="1" ref="O665" ca="1">IF(AND(G665=INDIRECT("'["&amp;G665&amp;"]"&amp;E665&amp;"'!"&amp;$AH$2),OR(L665=INDIRECT("'["&amp;G665&amp;"]"&amp;E665&amp;"'!"&amp;$AA$2))),INDIRECT("'["&amp;G665&amp;"]"&amp;E665&amp;"'!"&amp;$AA$3),0)</f>
        <v>#VALUE!</v>
      </c>
      <c r="P665" s="34" t="e" cm="1">
        <f t="array" aca="1" ref="P665" ca="1">IF(AND(G665=INDIRECT("'["&amp;G665&amp;"]"&amp;E665&amp;"'!"&amp;$AH$2),OR(VALUE(I665)=INDIRECT("'["&amp;G665&amp;"]"&amp;E665&amp;"'!"&amp;$AB$2))),INDIRECT("'["&amp;G665&amp;"]"&amp;E665&amp;"'!"&amp;$AB$3),0)</f>
        <v>#VALUE!</v>
      </c>
      <c r="Q665" s="34" t="e" cm="1">
        <f t="array" aca="1" ref="Q665" ca="1">IF(AND(G665=INDIRECT("'["&amp;G665&amp;"]"&amp;E665&amp;"'!"&amp;$AH$2),OR(VALUE(I665)=INDIRECT("'["&amp;G665&amp;"]"&amp;E665&amp;"'!"&amp;$AC$2))),INDIRECT("'["&amp;G665&amp;"]"&amp;E665&amp;"'!"&amp;$AC$3),0)</f>
        <v>#VALUE!</v>
      </c>
      <c r="R665" s="34" t="e" cm="1">
        <f t="array" aca="1" ref="R665" ca="1">IF(AND(G665=INDIRECT("'["&amp;G665&amp;"]"&amp;E665&amp;"'!"&amp;$AH$2),OR(I665=INDIRECT("'["&amp;G665&amp;"]"&amp;E665&amp;"'!"&amp;$AD$2))),INDIRECT("'["&amp;G665&amp;"]"&amp;E665&amp;"'!"&amp;$AD$3),0)</f>
        <v>#VALUE!</v>
      </c>
      <c r="S665" s="34" t="e" cm="1">
        <f t="array" aca="1" ref="S665" ca="1">IF(AND(G665=INDIRECT("'["&amp;G665&amp;"]"&amp;E665&amp;"'!"&amp;$AH$2),OR(I665=INDIRECT("'["&amp;G665&amp;"]"&amp;E665&amp;"'!"&amp;$AE$2))),INDIRECT("'["&amp;G665&amp;"]"&amp;E665&amp;"'!"&amp;$AE$3),0)</f>
        <v>#VALUE!</v>
      </c>
      <c r="T665" s="35" t="e" cm="1">
        <f t="array" aca="1" ref="T665" ca="1">IF(AND(G665=INDIRECT("'["&amp;G665&amp;"]"&amp;E665&amp;"'!"&amp;$AH$2),OR(I665=INDIRECT("'["&amp;G665&amp;"]"&amp;E665&amp;"'!"&amp;$AF$2))),INDIRECT("'["&amp;G665&amp;"]"&amp;E665&amp;"'!"&amp;$AF$3),0)</f>
        <v>#VALUE!</v>
      </c>
      <c r="U665" s="34" t="e" cm="1">
        <f t="array" aca="1" ref="U665" ca="1">IF(AND(G665=INDIRECT("'["&amp;G665&amp;"]"&amp;E665&amp;"'!"&amp;$AH$2),OR(I665=INDIRECT("'["&amp;G665&amp;"]"&amp;E665&amp;"'!"&amp;$AG$2))),INDIRECT("'["&amp;G665&amp;"]"&amp;E665&amp;"'!"&amp;$AG$3),0)</f>
        <v>#VALUE!</v>
      </c>
      <c r="V665" s="25" t="str">
        <f t="shared" si="182"/>
        <v/>
      </c>
      <c r="W665" s="36" t="e" cm="1">
        <f t="array" aca="1" ref="W665" ca="1">IF(AND(G665=INDIRECT("'["&amp;G665&amp;"]"&amp;E665&amp;"'!"&amp;$AH$2),OR(V665=INDIRECT("'["&amp;G665&amp;"]"&amp;E665&amp;"'!"&amp;$AI$2))),INDIRECT("'["&amp;G665&amp;"]"&amp;E665&amp;"'!"&amp;$AI$3),0)</f>
        <v>#VALUE!</v>
      </c>
      <c r="AJ665" s="25">
        <v>1</v>
      </c>
      <c r="AK665" s="38">
        <f t="shared" ca="1" si="183"/>
        <v>0</v>
      </c>
      <c r="AL665" s="38">
        <f t="shared" ca="1" si="184"/>
        <v>0</v>
      </c>
      <c r="AM665" s="54" t="str">
        <f t="shared" ca="1" si="185"/>
        <v/>
      </c>
      <c r="AN665" s="25" t="e">
        <f t="shared" ca="1" si="186"/>
        <v>#VALUE!</v>
      </c>
      <c r="AO665" s="25" t="e">
        <f t="shared" ca="1" si="187"/>
        <v>#VALUE!</v>
      </c>
      <c r="AQ665" s="46" t="str">
        <f ca="1">IF(AND(C665&lt;&gt;0, C666=0), SUM($C$2:C665)-SUM($AQ$1:AQ664), "")</f>
        <v/>
      </c>
      <c r="AR665" s="46" t="str">
        <f ca="1">IF(AND(AK665&lt;&gt;0, AK666=0), SUM($AK$2:AK665)-SUM($AR$1:AR664), "")</f>
        <v/>
      </c>
    </row>
    <row r="666" spans="2:44" ht="13.15" customHeight="1">
      <c r="B666" s="68" t="str">
        <f t="shared" si="173"/>
        <v/>
      </c>
      <c r="C666" s="55" cm="1">
        <f t="array" aca="1" ref="C666" ca="1">SUM(IF(ISNUMBER(M666:U666),M666:U666,""))</f>
        <v>0</v>
      </c>
      <c r="D666" s="25" t="str">
        <f t="shared" si="174"/>
        <v/>
      </c>
      <c r="E666" s="25" t="e">
        <f t="shared" si="175"/>
        <v>#VALUE!</v>
      </c>
      <c r="F666" s="25" t="str">
        <f t="shared" si="176"/>
        <v/>
      </c>
      <c r="G666" s="25" t="str">
        <f t="shared" si="177"/>
        <v>.xlsx</v>
      </c>
      <c r="H666" s="29" t="e" cm="1">
        <f t="array" aca="1" ref="H666" ca="1">IF(AND(VALUE(E666)=INDIRECT("'["&amp;G666&amp;"]"&amp;E666&amp;"'!"&amp;$X$2),G666=INDIRECT("'["&amp;G666&amp;"]"&amp;E666&amp;"'!"&amp;$X$3)),INDIRECT("'["&amp;G666&amp;"]"&amp;E666&amp;"'!"&amp;$X$1),0)</f>
        <v>#VALUE!</v>
      </c>
      <c r="I666" s="25" t="str">
        <f t="shared" si="178"/>
        <v/>
      </c>
      <c r="J666" s="32" t="str">
        <f t="shared" si="179"/>
        <v/>
      </c>
      <c r="K666" s="25" t="str">
        <f t="shared" si="180"/>
        <v/>
      </c>
      <c r="L666" s="25" t="str">
        <f t="shared" si="181"/>
        <v/>
      </c>
      <c r="M666" s="33" t="e" cm="1">
        <f t="array" aca="1" ref="M666" ca="1">IF(AND(J666=INDIRECT("'["&amp;G666&amp;"]"&amp;E666&amp;"'!"&amp;$Y$2),G666=INDIRECT("'["&amp;G666&amp;"]"&amp;E666&amp;"'!"&amp;$AH$2)),INDIRECT("'["&amp;G666&amp;"]"&amp;E666&amp;"'!"&amp;$Y$3),0)</f>
        <v>#VALUE!</v>
      </c>
      <c r="N666" s="34" t="e" cm="1">
        <f t="array" aca="1" ref="N666" ca="1">IF(AND(G666=INDIRECT("'["&amp;G666&amp;"]"&amp;E666&amp;"'!"&amp;$AH$2),OR(K666=INDIRECT("'["&amp;G666&amp;"]"&amp;E666&amp;"'!"&amp;$Z$2))),INDIRECT("'["&amp;G666&amp;"]"&amp;E666&amp;"'!"&amp;$Z$3),0)</f>
        <v>#VALUE!</v>
      </c>
      <c r="O666" s="34" t="e" cm="1">
        <f t="array" aca="1" ref="O666" ca="1">IF(AND(G666=INDIRECT("'["&amp;G666&amp;"]"&amp;E666&amp;"'!"&amp;$AH$2),OR(L666=INDIRECT("'["&amp;G666&amp;"]"&amp;E666&amp;"'!"&amp;$AA$2))),INDIRECT("'["&amp;G666&amp;"]"&amp;E666&amp;"'!"&amp;$AA$3),0)</f>
        <v>#VALUE!</v>
      </c>
      <c r="P666" s="34" t="e" cm="1">
        <f t="array" aca="1" ref="P666" ca="1">IF(AND(G666=INDIRECT("'["&amp;G666&amp;"]"&amp;E666&amp;"'!"&amp;$AH$2),OR(VALUE(I666)=INDIRECT("'["&amp;G666&amp;"]"&amp;E666&amp;"'!"&amp;$AB$2))),INDIRECT("'["&amp;G666&amp;"]"&amp;E666&amp;"'!"&amp;$AB$3),0)</f>
        <v>#VALUE!</v>
      </c>
      <c r="Q666" s="34" t="e" cm="1">
        <f t="array" aca="1" ref="Q666" ca="1">IF(AND(G666=INDIRECT("'["&amp;G666&amp;"]"&amp;E666&amp;"'!"&amp;$AH$2),OR(VALUE(I666)=INDIRECT("'["&amp;G666&amp;"]"&amp;E666&amp;"'!"&amp;$AC$2))),INDIRECT("'["&amp;G666&amp;"]"&amp;E666&amp;"'!"&amp;$AC$3),0)</f>
        <v>#VALUE!</v>
      </c>
      <c r="R666" s="34" t="e" cm="1">
        <f t="array" aca="1" ref="R666" ca="1">IF(AND(G666=INDIRECT("'["&amp;G666&amp;"]"&amp;E666&amp;"'!"&amp;$AH$2),OR(I666=INDIRECT("'["&amp;G666&amp;"]"&amp;E666&amp;"'!"&amp;$AD$2))),INDIRECT("'["&amp;G666&amp;"]"&amp;E666&amp;"'!"&amp;$AD$3),0)</f>
        <v>#VALUE!</v>
      </c>
      <c r="S666" s="34" t="e" cm="1">
        <f t="array" aca="1" ref="S666" ca="1">IF(AND(G666=INDIRECT("'["&amp;G666&amp;"]"&amp;E666&amp;"'!"&amp;$AH$2),OR(I666=INDIRECT("'["&amp;G666&amp;"]"&amp;E666&amp;"'!"&amp;$AE$2))),INDIRECT("'["&amp;G666&amp;"]"&amp;E666&amp;"'!"&amp;$AE$3),0)</f>
        <v>#VALUE!</v>
      </c>
      <c r="T666" s="35" t="e" cm="1">
        <f t="array" aca="1" ref="T666" ca="1">IF(AND(G666=INDIRECT("'["&amp;G666&amp;"]"&amp;E666&amp;"'!"&amp;$AH$2),OR(I666=INDIRECT("'["&amp;G666&amp;"]"&amp;E666&amp;"'!"&amp;$AF$2))),INDIRECT("'["&amp;G666&amp;"]"&amp;E666&amp;"'!"&amp;$AF$3),0)</f>
        <v>#VALUE!</v>
      </c>
      <c r="U666" s="34" t="e" cm="1">
        <f t="array" aca="1" ref="U666" ca="1">IF(AND(G666=INDIRECT("'["&amp;G666&amp;"]"&amp;E666&amp;"'!"&amp;$AH$2),OR(I666=INDIRECT("'["&amp;G666&amp;"]"&amp;E666&amp;"'!"&amp;$AG$2))),INDIRECT("'["&amp;G666&amp;"]"&amp;E666&amp;"'!"&amp;$AG$3),0)</f>
        <v>#VALUE!</v>
      </c>
      <c r="V666" s="25" t="str">
        <f t="shared" si="182"/>
        <v/>
      </c>
      <c r="W666" s="36" t="e" cm="1">
        <f t="array" aca="1" ref="W666" ca="1">IF(AND(G666=INDIRECT("'["&amp;G666&amp;"]"&amp;E666&amp;"'!"&amp;$AH$2),OR(V666=INDIRECT("'["&amp;G666&amp;"]"&amp;E666&amp;"'!"&amp;$AI$2))),INDIRECT("'["&amp;G666&amp;"]"&amp;E666&amp;"'!"&amp;$AI$3),0)</f>
        <v>#VALUE!</v>
      </c>
      <c r="AJ666" s="25">
        <v>1</v>
      </c>
      <c r="AK666" s="38">
        <f t="shared" ca="1" si="183"/>
        <v>0</v>
      </c>
      <c r="AL666" s="38">
        <f t="shared" ca="1" si="184"/>
        <v>0</v>
      </c>
      <c r="AM666" s="54" t="str">
        <f t="shared" ca="1" si="185"/>
        <v/>
      </c>
      <c r="AN666" s="25" t="e">
        <f t="shared" ca="1" si="186"/>
        <v>#VALUE!</v>
      </c>
      <c r="AO666" s="25" t="e">
        <f t="shared" ca="1" si="187"/>
        <v>#VALUE!</v>
      </c>
      <c r="AQ666" s="46" t="str">
        <f ca="1">IF(AND(C666&lt;&gt;0, C667=0), SUM($C$2:C666)-SUM($AQ$1:AQ665), "")</f>
        <v/>
      </c>
      <c r="AR666" s="46" t="str">
        <f ca="1">IF(AND(AK666&lt;&gt;0, AK667=0), SUM($AK$2:AK666)-SUM($AR$1:AR665), "")</f>
        <v/>
      </c>
    </row>
    <row r="667" spans="2:44" ht="13.15" customHeight="1">
      <c r="B667" s="68" t="str">
        <f t="shared" si="173"/>
        <v/>
      </c>
      <c r="C667" s="55" cm="1">
        <f t="array" aca="1" ref="C667" ca="1">SUM(IF(ISNUMBER(M667:U667),M667:U667,""))</f>
        <v>0</v>
      </c>
      <c r="D667" s="25" t="str">
        <f t="shared" si="174"/>
        <v/>
      </c>
      <c r="E667" s="25" t="e">
        <f t="shared" si="175"/>
        <v>#VALUE!</v>
      </c>
      <c r="F667" s="25" t="str">
        <f t="shared" si="176"/>
        <v/>
      </c>
      <c r="G667" s="25" t="str">
        <f t="shared" si="177"/>
        <v>.xlsx</v>
      </c>
      <c r="H667" s="29" t="e" cm="1">
        <f t="array" aca="1" ref="H667" ca="1">IF(AND(VALUE(E667)=INDIRECT("'["&amp;G667&amp;"]"&amp;E667&amp;"'!"&amp;$X$2),G667=INDIRECT("'["&amp;G667&amp;"]"&amp;E667&amp;"'!"&amp;$X$3)),INDIRECT("'["&amp;G667&amp;"]"&amp;E667&amp;"'!"&amp;$X$1),0)</f>
        <v>#VALUE!</v>
      </c>
      <c r="I667" s="25" t="str">
        <f t="shared" si="178"/>
        <v/>
      </c>
      <c r="J667" s="32" t="str">
        <f t="shared" si="179"/>
        <v/>
      </c>
      <c r="K667" s="25" t="str">
        <f t="shared" si="180"/>
        <v/>
      </c>
      <c r="L667" s="25" t="str">
        <f t="shared" si="181"/>
        <v/>
      </c>
      <c r="M667" s="33" t="e" cm="1">
        <f t="array" aca="1" ref="M667" ca="1">IF(AND(J667=INDIRECT("'["&amp;G667&amp;"]"&amp;E667&amp;"'!"&amp;$Y$2),G667=INDIRECT("'["&amp;G667&amp;"]"&amp;E667&amp;"'!"&amp;$AH$2)),INDIRECT("'["&amp;G667&amp;"]"&amp;E667&amp;"'!"&amp;$Y$3),0)</f>
        <v>#VALUE!</v>
      </c>
      <c r="N667" s="34" t="e" cm="1">
        <f t="array" aca="1" ref="N667" ca="1">IF(AND(G667=INDIRECT("'["&amp;G667&amp;"]"&amp;E667&amp;"'!"&amp;$AH$2),OR(K667=INDIRECT("'["&amp;G667&amp;"]"&amp;E667&amp;"'!"&amp;$Z$2))),INDIRECT("'["&amp;G667&amp;"]"&amp;E667&amp;"'!"&amp;$Z$3),0)</f>
        <v>#VALUE!</v>
      </c>
      <c r="O667" s="34" t="e" cm="1">
        <f t="array" aca="1" ref="O667" ca="1">IF(AND(G667=INDIRECT("'["&amp;G667&amp;"]"&amp;E667&amp;"'!"&amp;$AH$2),OR(L667=INDIRECT("'["&amp;G667&amp;"]"&amp;E667&amp;"'!"&amp;$AA$2))),INDIRECT("'["&amp;G667&amp;"]"&amp;E667&amp;"'!"&amp;$AA$3),0)</f>
        <v>#VALUE!</v>
      </c>
      <c r="P667" s="34" t="e" cm="1">
        <f t="array" aca="1" ref="P667" ca="1">IF(AND(G667=INDIRECT("'["&amp;G667&amp;"]"&amp;E667&amp;"'!"&amp;$AH$2),OR(VALUE(I667)=INDIRECT("'["&amp;G667&amp;"]"&amp;E667&amp;"'!"&amp;$AB$2))),INDIRECT("'["&amp;G667&amp;"]"&amp;E667&amp;"'!"&amp;$AB$3),0)</f>
        <v>#VALUE!</v>
      </c>
      <c r="Q667" s="34" t="e" cm="1">
        <f t="array" aca="1" ref="Q667" ca="1">IF(AND(G667=INDIRECT("'["&amp;G667&amp;"]"&amp;E667&amp;"'!"&amp;$AH$2),OR(VALUE(I667)=INDIRECT("'["&amp;G667&amp;"]"&amp;E667&amp;"'!"&amp;$AC$2))),INDIRECT("'["&amp;G667&amp;"]"&amp;E667&amp;"'!"&amp;$AC$3),0)</f>
        <v>#VALUE!</v>
      </c>
      <c r="R667" s="34" t="e" cm="1">
        <f t="array" aca="1" ref="R667" ca="1">IF(AND(G667=INDIRECT("'["&amp;G667&amp;"]"&amp;E667&amp;"'!"&amp;$AH$2),OR(I667=INDIRECT("'["&amp;G667&amp;"]"&amp;E667&amp;"'!"&amp;$AD$2))),INDIRECT("'["&amp;G667&amp;"]"&amp;E667&amp;"'!"&amp;$AD$3),0)</f>
        <v>#VALUE!</v>
      </c>
      <c r="S667" s="34" t="e" cm="1">
        <f t="array" aca="1" ref="S667" ca="1">IF(AND(G667=INDIRECT("'["&amp;G667&amp;"]"&amp;E667&amp;"'!"&amp;$AH$2),OR(I667=INDIRECT("'["&amp;G667&amp;"]"&amp;E667&amp;"'!"&amp;$AE$2))),INDIRECT("'["&amp;G667&amp;"]"&amp;E667&amp;"'!"&amp;$AE$3),0)</f>
        <v>#VALUE!</v>
      </c>
      <c r="T667" s="35" t="e" cm="1">
        <f t="array" aca="1" ref="T667" ca="1">IF(AND(G667=INDIRECT("'["&amp;G667&amp;"]"&amp;E667&amp;"'!"&amp;$AH$2),OR(I667=INDIRECT("'["&amp;G667&amp;"]"&amp;E667&amp;"'!"&amp;$AF$2))),INDIRECT("'["&amp;G667&amp;"]"&amp;E667&amp;"'!"&amp;$AF$3),0)</f>
        <v>#VALUE!</v>
      </c>
      <c r="U667" s="34" t="e" cm="1">
        <f t="array" aca="1" ref="U667" ca="1">IF(AND(G667=INDIRECT("'["&amp;G667&amp;"]"&amp;E667&amp;"'!"&amp;$AH$2),OR(I667=INDIRECT("'["&amp;G667&amp;"]"&amp;E667&amp;"'!"&amp;$AG$2))),INDIRECT("'["&amp;G667&amp;"]"&amp;E667&amp;"'!"&amp;$AG$3),0)</f>
        <v>#VALUE!</v>
      </c>
      <c r="V667" s="25" t="str">
        <f t="shared" si="182"/>
        <v/>
      </c>
      <c r="W667" s="36" t="e" cm="1">
        <f t="array" aca="1" ref="W667" ca="1">IF(AND(G667=INDIRECT("'["&amp;G667&amp;"]"&amp;E667&amp;"'!"&amp;$AH$2),OR(V667=INDIRECT("'["&amp;G667&amp;"]"&amp;E667&amp;"'!"&amp;$AI$2))),INDIRECT("'["&amp;G667&amp;"]"&amp;E667&amp;"'!"&amp;$AI$3),0)</f>
        <v>#VALUE!</v>
      </c>
      <c r="AJ667" s="25">
        <v>1</v>
      </c>
      <c r="AK667" s="38">
        <f t="shared" ca="1" si="183"/>
        <v>0</v>
      </c>
      <c r="AL667" s="38">
        <f t="shared" ca="1" si="184"/>
        <v>0</v>
      </c>
      <c r="AM667" s="54" t="str">
        <f t="shared" ca="1" si="185"/>
        <v/>
      </c>
      <c r="AN667" s="25" t="e">
        <f t="shared" ca="1" si="186"/>
        <v>#VALUE!</v>
      </c>
      <c r="AO667" s="25" t="e">
        <f t="shared" ca="1" si="187"/>
        <v>#VALUE!</v>
      </c>
      <c r="AQ667" s="46" t="str">
        <f ca="1">IF(AND(C667&lt;&gt;0, C668=0), SUM($C$2:C667)-SUM($AQ$1:AQ666), "")</f>
        <v/>
      </c>
      <c r="AR667" s="46" t="str">
        <f ca="1">IF(AND(AK667&lt;&gt;0, AK668=0), SUM($AK$2:AK667)-SUM($AR$1:AR666), "")</f>
        <v/>
      </c>
    </row>
    <row r="668" spans="2:44" ht="13.15" customHeight="1">
      <c r="B668" s="68" t="str">
        <f t="shared" si="173"/>
        <v/>
      </c>
      <c r="C668" s="55" cm="1">
        <f t="array" aca="1" ref="C668" ca="1">SUM(IF(ISNUMBER(M668:U668),M668:U668,""))</f>
        <v>0</v>
      </c>
      <c r="D668" s="25" t="str">
        <f t="shared" si="174"/>
        <v/>
      </c>
      <c r="E668" s="25" t="e">
        <f t="shared" si="175"/>
        <v>#VALUE!</v>
      </c>
      <c r="F668" s="25" t="str">
        <f t="shared" si="176"/>
        <v/>
      </c>
      <c r="G668" s="25" t="str">
        <f t="shared" si="177"/>
        <v>.xlsx</v>
      </c>
      <c r="H668" s="29" t="e" cm="1">
        <f t="array" aca="1" ref="H668" ca="1">IF(AND(VALUE(E668)=INDIRECT("'["&amp;G668&amp;"]"&amp;E668&amp;"'!"&amp;$X$2),G668=INDIRECT("'["&amp;G668&amp;"]"&amp;E668&amp;"'!"&amp;$X$3)),INDIRECT("'["&amp;G668&amp;"]"&amp;E668&amp;"'!"&amp;$X$1),0)</f>
        <v>#VALUE!</v>
      </c>
      <c r="I668" s="25" t="str">
        <f t="shared" si="178"/>
        <v/>
      </c>
      <c r="J668" s="32" t="str">
        <f t="shared" si="179"/>
        <v/>
      </c>
      <c r="K668" s="25" t="str">
        <f t="shared" si="180"/>
        <v/>
      </c>
      <c r="L668" s="25" t="str">
        <f t="shared" si="181"/>
        <v/>
      </c>
      <c r="M668" s="33" t="e" cm="1">
        <f t="array" aca="1" ref="M668" ca="1">IF(AND(J668=INDIRECT("'["&amp;G668&amp;"]"&amp;E668&amp;"'!"&amp;$Y$2),G668=INDIRECT("'["&amp;G668&amp;"]"&amp;E668&amp;"'!"&amp;$AH$2)),INDIRECT("'["&amp;G668&amp;"]"&amp;E668&amp;"'!"&amp;$Y$3),0)</f>
        <v>#VALUE!</v>
      </c>
      <c r="N668" s="34" t="e" cm="1">
        <f t="array" aca="1" ref="N668" ca="1">IF(AND(G668=INDIRECT("'["&amp;G668&amp;"]"&amp;E668&amp;"'!"&amp;$AH$2),OR(K668=INDIRECT("'["&amp;G668&amp;"]"&amp;E668&amp;"'!"&amp;$Z$2))),INDIRECT("'["&amp;G668&amp;"]"&amp;E668&amp;"'!"&amp;$Z$3),0)</f>
        <v>#VALUE!</v>
      </c>
      <c r="O668" s="34" t="e" cm="1">
        <f t="array" aca="1" ref="O668" ca="1">IF(AND(G668=INDIRECT("'["&amp;G668&amp;"]"&amp;E668&amp;"'!"&amp;$AH$2),OR(L668=INDIRECT("'["&amp;G668&amp;"]"&amp;E668&amp;"'!"&amp;$AA$2))),INDIRECT("'["&amp;G668&amp;"]"&amp;E668&amp;"'!"&amp;$AA$3),0)</f>
        <v>#VALUE!</v>
      </c>
      <c r="P668" s="34" t="e" cm="1">
        <f t="array" aca="1" ref="P668" ca="1">IF(AND(G668=INDIRECT("'["&amp;G668&amp;"]"&amp;E668&amp;"'!"&amp;$AH$2),OR(VALUE(I668)=INDIRECT("'["&amp;G668&amp;"]"&amp;E668&amp;"'!"&amp;$AB$2))),INDIRECT("'["&amp;G668&amp;"]"&amp;E668&amp;"'!"&amp;$AB$3),0)</f>
        <v>#VALUE!</v>
      </c>
      <c r="Q668" s="34" t="e" cm="1">
        <f t="array" aca="1" ref="Q668" ca="1">IF(AND(G668=INDIRECT("'["&amp;G668&amp;"]"&amp;E668&amp;"'!"&amp;$AH$2),OR(VALUE(I668)=INDIRECT("'["&amp;G668&amp;"]"&amp;E668&amp;"'!"&amp;$AC$2))),INDIRECT("'["&amp;G668&amp;"]"&amp;E668&amp;"'!"&amp;$AC$3),0)</f>
        <v>#VALUE!</v>
      </c>
      <c r="R668" s="34" t="e" cm="1">
        <f t="array" aca="1" ref="R668" ca="1">IF(AND(G668=INDIRECT("'["&amp;G668&amp;"]"&amp;E668&amp;"'!"&amp;$AH$2),OR(I668=INDIRECT("'["&amp;G668&amp;"]"&amp;E668&amp;"'!"&amp;$AD$2))),INDIRECT("'["&amp;G668&amp;"]"&amp;E668&amp;"'!"&amp;$AD$3),0)</f>
        <v>#VALUE!</v>
      </c>
      <c r="S668" s="34" t="e" cm="1">
        <f t="array" aca="1" ref="S668" ca="1">IF(AND(G668=INDIRECT("'["&amp;G668&amp;"]"&amp;E668&amp;"'!"&amp;$AH$2),OR(I668=INDIRECT("'["&amp;G668&amp;"]"&amp;E668&amp;"'!"&amp;$AE$2))),INDIRECT("'["&amp;G668&amp;"]"&amp;E668&amp;"'!"&amp;$AE$3),0)</f>
        <v>#VALUE!</v>
      </c>
      <c r="T668" s="35" t="e" cm="1">
        <f t="array" aca="1" ref="T668" ca="1">IF(AND(G668=INDIRECT("'["&amp;G668&amp;"]"&amp;E668&amp;"'!"&amp;$AH$2),OR(I668=INDIRECT("'["&amp;G668&amp;"]"&amp;E668&amp;"'!"&amp;$AF$2))),INDIRECT("'["&amp;G668&amp;"]"&amp;E668&amp;"'!"&amp;$AF$3),0)</f>
        <v>#VALUE!</v>
      </c>
      <c r="U668" s="34" t="e" cm="1">
        <f t="array" aca="1" ref="U668" ca="1">IF(AND(G668=INDIRECT("'["&amp;G668&amp;"]"&amp;E668&amp;"'!"&amp;$AH$2),OR(I668=INDIRECT("'["&amp;G668&amp;"]"&amp;E668&amp;"'!"&amp;$AG$2))),INDIRECT("'["&amp;G668&amp;"]"&amp;E668&amp;"'!"&amp;$AG$3),0)</f>
        <v>#VALUE!</v>
      </c>
      <c r="V668" s="25" t="str">
        <f t="shared" si="182"/>
        <v/>
      </c>
      <c r="W668" s="36" t="e" cm="1">
        <f t="array" aca="1" ref="W668" ca="1">IF(AND(G668=INDIRECT("'["&amp;G668&amp;"]"&amp;E668&amp;"'!"&amp;$AH$2),OR(V668=INDIRECT("'["&amp;G668&amp;"]"&amp;E668&amp;"'!"&amp;$AI$2))),INDIRECT("'["&amp;G668&amp;"]"&amp;E668&amp;"'!"&amp;$AI$3),0)</f>
        <v>#VALUE!</v>
      </c>
      <c r="AJ668" s="25">
        <v>1</v>
      </c>
      <c r="AK668" s="38">
        <f t="shared" ca="1" si="183"/>
        <v>0</v>
      </c>
      <c r="AL668" s="38">
        <f t="shared" ca="1" si="184"/>
        <v>0</v>
      </c>
      <c r="AM668" s="54" t="str">
        <f t="shared" ca="1" si="185"/>
        <v/>
      </c>
      <c r="AN668" s="25" t="e">
        <f t="shared" ca="1" si="186"/>
        <v>#VALUE!</v>
      </c>
      <c r="AO668" s="25" t="e">
        <f t="shared" ca="1" si="187"/>
        <v>#VALUE!</v>
      </c>
      <c r="AQ668" s="46" t="str">
        <f ca="1">IF(AND(C668&lt;&gt;0, C669=0), SUM($C$2:C668)-SUM($AQ$1:AQ667), "")</f>
        <v/>
      </c>
      <c r="AR668" s="46" t="str">
        <f ca="1">IF(AND(AK668&lt;&gt;0, AK669=0), SUM($AK$2:AK668)-SUM($AR$1:AR667), "")</f>
        <v/>
      </c>
    </row>
    <row r="669" spans="2:44" ht="13.15" customHeight="1">
      <c r="B669" s="68" t="str">
        <f t="shared" si="173"/>
        <v/>
      </c>
      <c r="C669" s="55" cm="1">
        <f t="array" aca="1" ref="C669" ca="1">SUM(IF(ISNUMBER(M669:U669),M669:U669,""))</f>
        <v>0</v>
      </c>
      <c r="D669" s="25" t="str">
        <f t="shared" si="174"/>
        <v/>
      </c>
      <c r="E669" s="25" t="e">
        <f t="shared" si="175"/>
        <v>#VALUE!</v>
      </c>
      <c r="F669" s="25" t="str">
        <f t="shared" si="176"/>
        <v/>
      </c>
      <c r="G669" s="25" t="str">
        <f t="shared" si="177"/>
        <v>.xlsx</v>
      </c>
      <c r="H669" s="29" t="e" cm="1">
        <f t="array" aca="1" ref="H669" ca="1">IF(AND(VALUE(E669)=INDIRECT("'["&amp;G669&amp;"]"&amp;E669&amp;"'!"&amp;$X$2),G669=INDIRECT("'["&amp;G669&amp;"]"&amp;E669&amp;"'!"&amp;$X$3)),INDIRECT("'["&amp;G669&amp;"]"&amp;E669&amp;"'!"&amp;$X$1),0)</f>
        <v>#VALUE!</v>
      </c>
      <c r="I669" s="25" t="str">
        <f t="shared" si="178"/>
        <v/>
      </c>
      <c r="J669" s="32" t="str">
        <f t="shared" si="179"/>
        <v/>
      </c>
      <c r="K669" s="25" t="str">
        <f t="shared" si="180"/>
        <v/>
      </c>
      <c r="L669" s="25" t="str">
        <f t="shared" si="181"/>
        <v/>
      </c>
      <c r="M669" s="33" t="e" cm="1">
        <f t="array" aca="1" ref="M669" ca="1">IF(AND(J669=INDIRECT("'["&amp;G669&amp;"]"&amp;E669&amp;"'!"&amp;$Y$2),G669=INDIRECT("'["&amp;G669&amp;"]"&amp;E669&amp;"'!"&amp;$AH$2)),INDIRECT("'["&amp;G669&amp;"]"&amp;E669&amp;"'!"&amp;$Y$3),0)</f>
        <v>#VALUE!</v>
      </c>
      <c r="N669" s="34" t="e" cm="1">
        <f t="array" aca="1" ref="N669" ca="1">IF(AND(G669=INDIRECT("'["&amp;G669&amp;"]"&amp;E669&amp;"'!"&amp;$AH$2),OR(K669=INDIRECT("'["&amp;G669&amp;"]"&amp;E669&amp;"'!"&amp;$Z$2))),INDIRECT("'["&amp;G669&amp;"]"&amp;E669&amp;"'!"&amp;$Z$3),0)</f>
        <v>#VALUE!</v>
      </c>
      <c r="O669" s="34" t="e" cm="1">
        <f t="array" aca="1" ref="O669" ca="1">IF(AND(G669=INDIRECT("'["&amp;G669&amp;"]"&amp;E669&amp;"'!"&amp;$AH$2),OR(L669=INDIRECT("'["&amp;G669&amp;"]"&amp;E669&amp;"'!"&amp;$AA$2))),INDIRECT("'["&amp;G669&amp;"]"&amp;E669&amp;"'!"&amp;$AA$3),0)</f>
        <v>#VALUE!</v>
      </c>
      <c r="P669" s="34" t="e" cm="1">
        <f t="array" aca="1" ref="P669" ca="1">IF(AND(G669=INDIRECT("'["&amp;G669&amp;"]"&amp;E669&amp;"'!"&amp;$AH$2),OR(VALUE(I669)=INDIRECT("'["&amp;G669&amp;"]"&amp;E669&amp;"'!"&amp;$AB$2))),INDIRECT("'["&amp;G669&amp;"]"&amp;E669&amp;"'!"&amp;$AB$3),0)</f>
        <v>#VALUE!</v>
      </c>
      <c r="Q669" s="34" t="e" cm="1">
        <f t="array" aca="1" ref="Q669" ca="1">IF(AND(G669=INDIRECT("'["&amp;G669&amp;"]"&amp;E669&amp;"'!"&amp;$AH$2),OR(VALUE(I669)=INDIRECT("'["&amp;G669&amp;"]"&amp;E669&amp;"'!"&amp;$AC$2))),INDIRECT("'["&amp;G669&amp;"]"&amp;E669&amp;"'!"&amp;$AC$3),0)</f>
        <v>#VALUE!</v>
      </c>
      <c r="R669" s="34" t="e" cm="1">
        <f t="array" aca="1" ref="R669" ca="1">IF(AND(G669=INDIRECT("'["&amp;G669&amp;"]"&amp;E669&amp;"'!"&amp;$AH$2),OR(I669=INDIRECT("'["&amp;G669&amp;"]"&amp;E669&amp;"'!"&amp;$AD$2))),INDIRECT("'["&amp;G669&amp;"]"&amp;E669&amp;"'!"&amp;$AD$3),0)</f>
        <v>#VALUE!</v>
      </c>
      <c r="S669" s="34" t="e" cm="1">
        <f t="array" aca="1" ref="S669" ca="1">IF(AND(G669=INDIRECT("'["&amp;G669&amp;"]"&amp;E669&amp;"'!"&amp;$AH$2),OR(I669=INDIRECT("'["&amp;G669&amp;"]"&amp;E669&amp;"'!"&amp;$AE$2))),INDIRECT("'["&amp;G669&amp;"]"&amp;E669&amp;"'!"&amp;$AE$3),0)</f>
        <v>#VALUE!</v>
      </c>
      <c r="T669" s="35" t="e" cm="1">
        <f t="array" aca="1" ref="T669" ca="1">IF(AND(G669=INDIRECT("'["&amp;G669&amp;"]"&amp;E669&amp;"'!"&amp;$AH$2),OR(I669=INDIRECT("'["&amp;G669&amp;"]"&amp;E669&amp;"'!"&amp;$AF$2))),INDIRECT("'["&amp;G669&amp;"]"&amp;E669&amp;"'!"&amp;$AF$3),0)</f>
        <v>#VALUE!</v>
      </c>
      <c r="U669" s="34" t="e" cm="1">
        <f t="array" aca="1" ref="U669" ca="1">IF(AND(G669=INDIRECT("'["&amp;G669&amp;"]"&amp;E669&amp;"'!"&amp;$AH$2),OR(I669=INDIRECT("'["&amp;G669&amp;"]"&amp;E669&amp;"'!"&amp;$AG$2))),INDIRECT("'["&amp;G669&amp;"]"&amp;E669&amp;"'!"&amp;$AG$3),0)</f>
        <v>#VALUE!</v>
      </c>
      <c r="V669" s="25" t="str">
        <f t="shared" si="182"/>
        <v/>
      </c>
      <c r="W669" s="36" t="e" cm="1">
        <f t="array" aca="1" ref="W669" ca="1">IF(AND(G669=INDIRECT("'["&amp;G669&amp;"]"&amp;E669&amp;"'!"&amp;$AH$2),OR(V669=INDIRECT("'["&amp;G669&amp;"]"&amp;E669&amp;"'!"&amp;$AI$2))),INDIRECT("'["&amp;G669&amp;"]"&amp;E669&amp;"'!"&amp;$AI$3),0)</f>
        <v>#VALUE!</v>
      </c>
      <c r="AJ669" s="25">
        <v>1</v>
      </c>
      <c r="AK669" s="38">
        <f t="shared" ca="1" si="183"/>
        <v>0</v>
      </c>
      <c r="AL669" s="38">
        <f t="shared" ca="1" si="184"/>
        <v>0</v>
      </c>
      <c r="AM669" s="54" t="str">
        <f t="shared" ca="1" si="185"/>
        <v/>
      </c>
      <c r="AN669" s="25" t="e">
        <f t="shared" ca="1" si="186"/>
        <v>#VALUE!</v>
      </c>
      <c r="AO669" s="25" t="e">
        <f t="shared" ca="1" si="187"/>
        <v>#VALUE!</v>
      </c>
      <c r="AQ669" s="46" t="str">
        <f ca="1">IF(AND(C669&lt;&gt;0, C670=0), SUM($C$2:C669)-SUM($AQ$1:AQ668), "")</f>
        <v/>
      </c>
      <c r="AR669" s="46" t="str">
        <f ca="1">IF(AND(AK669&lt;&gt;0, AK670=0), SUM($AK$2:AK669)-SUM($AR$1:AR668), "")</f>
        <v/>
      </c>
    </row>
    <row r="670" spans="2:44" ht="13.15" customHeight="1">
      <c r="B670" s="68" t="str">
        <f t="shared" si="173"/>
        <v/>
      </c>
      <c r="C670" s="55" cm="1">
        <f t="array" aca="1" ref="C670" ca="1">SUM(IF(ISNUMBER(M670:U670),M670:U670,""))</f>
        <v>0</v>
      </c>
      <c r="D670" s="25" t="str">
        <f t="shared" si="174"/>
        <v/>
      </c>
      <c r="E670" s="25" t="e">
        <f t="shared" si="175"/>
        <v>#VALUE!</v>
      </c>
      <c r="F670" s="25" t="str">
        <f t="shared" si="176"/>
        <v/>
      </c>
      <c r="G670" s="25" t="str">
        <f t="shared" si="177"/>
        <v>.xlsx</v>
      </c>
      <c r="H670" s="29" t="e" cm="1">
        <f t="array" aca="1" ref="H670" ca="1">IF(AND(VALUE(E670)=INDIRECT("'["&amp;G670&amp;"]"&amp;E670&amp;"'!"&amp;$X$2),G670=INDIRECT("'["&amp;G670&amp;"]"&amp;E670&amp;"'!"&amp;$X$3)),INDIRECT("'["&amp;G670&amp;"]"&amp;E670&amp;"'!"&amp;$X$1),0)</f>
        <v>#VALUE!</v>
      </c>
      <c r="I670" s="25" t="str">
        <f t="shared" si="178"/>
        <v/>
      </c>
      <c r="J670" s="32" t="str">
        <f t="shared" si="179"/>
        <v/>
      </c>
      <c r="K670" s="25" t="str">
        <f t="shared" si="180"/>
        <v/>
      </c>
      <c r="L670" s="25" t="str">
        <f t="shared" si="181"/>
        <v/>
      </c>
      <c r="M670" s="33" t="e" cm="1">
        <f t="array" aca="1" ref="M670" ca="1">IF(AND(J670=INDIRECT("'["&amp;G670&amp;"]"&amp;E670&amp;"'!"&amp;$Y$2),G670=INDIRECT("'["&amp;G670&amp;"]"&amp;E670&amp;"'!"&amp;$AH$2)),INDIRECT("'["&amp;G670&amp;"]"&amp;E670&amp;"'!"&amp;$Y$3),0)</f>
        <v>#VALUE!</v>
      </c>
      <c r="N670" s="34" t="e" cm="1">
        <f t="array" aca="1" ref="N670" ca="1">IF(AND(G670=INDIRECT("'["&amp;G670&amp;"]"&amp;E670&amp;"'!"&amp;$AH$2),OR(K670=INDIRECT("'["&amp;G670&amp;"]"&amp;E670&amp;"'!"&amp;$Z$2))),INDIRECT("'["&amp;G670&amp;"]"&amp;E670&amp;"'!"&amp;$Z$3),0)</f>
        <v>#VALUE!</v>
      </c>
      <c r="O670" s="34" t="e" cm="1">
        <f t="array" aca="1" ref="O670" ca="1">IF(AND(G670=INDIRECT("'["&amp;G670&amp;"]"&amp;E670&amp;"'!"&amp;$AH$2),OR(L670=INDIRECT("'["&amp;G670&amp;"]"&amp;E670&amp;"'!"&amp;$AA$2))),INDIRECT("'["&amp;G670&amp;"]"&amp;E670&amp;"'!"&amp;$AA$3),0)</f>
        <v>#VALUE!</v>
      </c>
      <c r="P670" s="34" t="e" cm="1">
        <f t="array" aca="1" ref="P670" ca="1">IF(AND(G670=INDIRECT("'["&amp;G670&amp;"]"&amp;E670&amp;"'!"&amp;$AH$2),OR(VALUE(I670)=INDIRECT("'["&amp;G670&amp;"]"&amp;E670&amp;"'!"&amp;$AB$2))),INDIRECT("'["&amp;G670&amp;"]"&amp;E670&amp;"'!"&amp;$AB$3),0)</f>
        <v>#VALUE!</v>
      </c>
      <c r="Q670" s="34" t="e" cm="1">
        <f t="array" aca="1" ref="Q670" ca="1">IF(AND(G670=INDIRECT("'["&amp;G670&amp;"]"&amp;E670&amp;"'!"&amp;$AH$2),OR(VALUE(I670)=INDIRECT("'["&amp;G670&amp;"]"&amp;E670&amp;"'!"&amp;$AC$2))),INDIRECT("'["&amp;G670&amp;"]"&amp;E670&amp;"'!"&amp;$AC$3),0)</f>
        <v>#VALUE!</v>
      </c>
      <c r="R670" s="34" t="e" cm="1">
        <f t="array" aca="1" ref="R670" ca="1">IF(AND(G670=INDIRECT("'["&amp;G670&amp;"]"&amp;E670&amp;"'!"&amp;$AH$2),OR(I670=INDIRECT("'["&amp;G670&amp;"]"&amp;E670&amp;"'!"&amp;$AD$2))),INDIRECT("'["&amp;G670&amp;"]"&amp;E670&amp;"'!"&amp;$AD$3),0)</f>
        <v>#VALUE!</v>
      </c>
      <c r="S670" s="34" t="e" cm="1">
        <f t="array" aca="1" ref="S670" ca="1">IF(AND(G670=INDIRECT("'["&amp;G670&amp;"]"&amp;E670&amp;"'!"&amp;$AH$2),OR(I670=INDIRECT("'["&amp;G670&amp;"]"&amp;E670&amp;"'!"&amp;$AE$2))),INDIRECT("'["&amp;G670&amp;"]"&amp;E670&amp;"'!"&amp;$AE$3),0)</f>
        <v>#VALUE!</v>
      </c>
      <c r="T670" s="35" t="e" cm="1">
        <f t="array" aca="1" ref="T670" ca="1">IF(AND(G670=INDIRECT("'["&amp;G670&amp;"]"&amp;E670&amp;"'!"&amp;$AH$2),OR(I670=INDIRECT("'["&amp;G670&amp;"]"&amp;E670&amp;"'!"&amp;$AF$2))),INDIRECT("'["&amp;G670&amp;"]"&amp;E670&amp;"'!"&amp;$AF$3),0)</f>
        <v>#VALUE!</v>
      </c>
      <c r="U670" s="34" t="e" cm="1">
        <f t="array" aca="1" ref="U670" ca="1">IF(AND(G670=INDIRECT("'["&amp;G670&amp;"]"&amp;E670&amp;"'!"&amp;$AH$2),OR(I670=INDIRECT("'["&amp;G670&amp;"]"&amp;E670&amp;"'!"&amp;$AG$2))),INDIRECT("'["&amp;G670&amp;"]"&amp;E670&amp;"'!"&amp;$AG$3),0)</f>
        <v>#VALUE!</v>
      </c>
      <c r="V670" s="25" t="str">
        <f t="shared" si="182"/>
        <v/>
      </c>
      <c r="W670" s="36" t="e" cm="1">
        <f t="array" aca="1" ref="W670" ca="1">IF(AND(G670=INDIRECT("'["&amp;G670&amp;"]"&amp;E670&amp;"'!"&amp;$AH$2),OR(V670=INDIRECT("'["&amp;G670&amp;"]"&amp;E670&amp;"'!"&amp;$AI$2))),INDIRECT("'["&amp;G670&amp;"]"&amp;E670&amp;"'!"&amp;$AI$3),0)</f>
        <v>#VALUE!</v>
      </c>
      <c r="AJ670" s="25">
        <v>1</v>
      </c>
      <c r="AK670" s="38">
        <f t="shared" ca="1" si="183"/>
        <v>0</v>
      </c>
      <c r="AL670" s="38">
        <f t="shared" ca="1" si="184"/>
        <v>0</v>
      </c>
      <c r="AM670" s="54" t="str">
        <f t="shared" ca="1" si="185"/>
        <v/>
      </c>
      <c r="AN670" s="25" t="e">
        <f t="shared" ca="1" si="186"/>
        <v>#VALUE!</v>
      </c>
      <c r="AO670" s="25" t="e">
        <f t="shared" ca="1" si="187"/>
        <v>#VALUE!</v>
      </c>
      <c r="AQ670" s="46" t="str">
        <f ca="1">IF(AND(C670&lt;&gt;0, C671=0), SUM($C$2:C670)-SUM($AQ$1:AQ669), "")</f>
        <v/>
      </c>
      <c r="AR670" s="46" t="str">
        <f ca="1">IF(AND(AK670&lt;&gt;0, AK671=0), SUM($AK$2:AK670)-SUM($AR$1:AR669), "")</f>
        <v/>
      </c>
    </row>
    <row r="671" spans="2:44" ht="13.15" customHeight="1">
      <c r="B671" s="68" t="str">
        <f t="shared" si="173"/>
        <v/>
      </c>
      <c r="C671" s="55" cm="1">
        <f t="array" aca="1" ref="C671" ca="1">SUM(IF(ISNUMBER(M671:U671),M671:U671,""))</f>
        <v>0</v>
      </c>
      <c r="D671" s="25" t="str">
        <f t="shared" si="174"/>
        <v/>
      </c>
      <c r="E671" s="25" t="e">
        <f t="shared" si="175"/>
        <v>#VALUE!</v>
      </c>
      <c r="F671" s="25" t="str">
        <f t="shared" si="176"/>
        <v/>
      </c>
      <c r="G671" s="25" t="str">
        <f t="shared" si="177"/>
        <v>.xlsx</v>
      </c>
      <c r="H671" s="29" t="e" cm="1">
        <f t="array" aca="1" ref="H671" ca="1">IF(AND(VALUE(E671)=INDIRECT("'["&amp;G671&amp;"]"&amp;E671&amp;"'!"&amp;$X$2),G671=INDIRECT("'["&amp;G671&amp;"]"&amp;E671&amp;"'!"&amp;$X$3)),INDIRECT("'["&amp;G671&amp;"]"&amp;E671&amp;"'!"&amp;$X$1),0)</f>
        <v>#VALUE!</v>
      </c>
      <c r="I671" s="25" t="str">
        <f t="shared" si="178"/>
        <v/>
      </c>
      <c r="J671" s="32" t="str">
        <f t="shared" si="179"/>
        <v/>
      </c>
      <c r="K671" s="25" t="str">
        <f t="shared" si="180"/>
        <v/>
      </c>
      <c r="L671" s="25" t="str">
        <f t="shared" si="181"/>
        <v/>
      </c>
      <c r="M671" s="33" t="e" cm="1">
        <f t="array" aca="1" ref="M671" ca="1">IF(AND(J671=INDIRECT("'["&amp;G671&amp;"]"&amp;E671&amp;"'!"&amp;$Y$2),G671=INDIRECT("'["&amp;G671&amp;"]"&amp;E671&amp;"'!"&amp;$AH$2)),INDIRECT("'["&amp;G671&amp;"]"&amp;E671&amp;"'!"&amp;$Y$3),0)</f>
        <v>#VALUE!</v>
      </c>
      <c r="N671" s="34" t="e" cm="1">
        <f t="array" aca="1" ref="N671" ca="1">IF(AND(G671=INDIRECT("'["&amp;G671&amp;"]"&amp;E671&amp;"'!"&amp;$AH$2),OR(K671=INDIRECT("'["&amp;G671&amp;"]"&amp;E671&amp;"'!"&amp;$Z$2))),INDIRECT("'["&amp;G671&amp;"]"&amp;E671&amp;"'!"&amp;$Z$3),0)</f>
        <v>#VALUE!</v>
      </c>
      <c r="O671" s="34" t="e" cm="1">
        <f t="array" aca="1" ref="O671" ca="1">IF(AND(G671=INDIRECT("'["&amp;G671&amp;"]"&amp;E671&amp;"'!"&amp;$AH$2),OR(L671=INDIRECT("'["&amp;G671&amp;"]"&amp;E671&amp;"'!"&amp;$AA$2))),INDIRECT("'["&amp;G671&amp;"]"&amp;E671&amp;"'!"&amp;$AA$3),0)</f>
        <v>#VALUE!</v>
      </c>
      <c r="P671" s="34" t="e" cm="1">
        <f t="array" aca="1" ref="P671" ca="1">IF(AND(G671=INDIRECT("'["&amp;G671&amp;"]"&amp;E671&amp;"'!"&amp;$AH$2),OR(VALUE(I671)=INDIRECT("'["&amp;G671&amp;"]"&amp;E671&amp;"'!"&amp;$AB$2))),INDIRECT("'["&amp;G671&amp;"]"&amp;E671&amp;"'!"&amp;$AB$3),0)</f>
        <v>#VALUE!</v>
      </c>
      <c r="Q671" s="34" t="e" cm="1">
        <f t="array" aca="1" ref="Q671" ca="1">IF(AND(G671=INDIRECT("'["&amp;G671&amp;"]"&amp;E671&amp;"'!"&amp;$AH$2),OR(VALUE(I671)=INDIRECT("'["&amp;G671&amp;"]"&amp;E671&amp;"'!"&amp;$AC$2))),INDIRECT("'["&amp;G671&amp;"]"&amp;E671&amp;"'!"&amp;$AC$3),0)</f>
        <v>#VALUE!</v>
      </c>
      <c r="R671" s="34" t="e" cm="1">
        <f t="array" aca="1" ref="R671" ca="1">IF(AND(G671=INDIRECT("'["&amp;G671&amp;"]"&amp;E671&amp;"'!"&amp;$AH$2),OR(I671=INDIRECT("'["&amp;G671&amp;"]"&amp;E671&amp;"'!"&amp;$AD$2))),INDIRECT("'["&amp;G671&amp;"]"&amp;E671&amp;"'!"&amp;$AD$3),0)</f>
        <v>#VALUE!</v>
      </c>
      <c r="S671" s="34" t="e" cm="1">
        <f t="array" aca="1" ref="S671" ca="1">IF(AND(G671=INDIRECT("'["&amp;G671&amp;"]"&amp;E671&amp;"'!"&amp;$AH$2),OR(I671=INDIRECT("'["&amp;G671&amp;"]"&amp;E671&amp;"'!"&amp;$AE$2))),INDIRECT("'["&amp;G671&amp;"]"&amp;E671&amp;"'!"&amp;$AE$3),0)</f>
        <v>#VALUE!</v>
      </c>
      <c r="T671" s="35" t="e" cm="1">
        <f t="array" aca="1" ref="T671" ca="1">IF(AND(G671=INDIRECT("'["&amp;G671&amp;"]"&amp;E671&amp;"'!"&amp;$AH$2),OR(I671=INDIRECT("'["&amp;G671&amp;"]"&amp;E671&amp;"'!"&amp;$AF$2))),INDIRECT("'["&amp;G671&amp;"]"&amp;E671&amp;"'!"&amp;$AF$3),0)</f>
        <v>#VALUE!</v>
      </c>
      <c r="U671" s="34" t="e" cm="1">
        <f t="array" aca="1" ref="U671" ca="1">IF(AND(G671=INDIRECT("'["&amp;G671&amp;"]"&amp;E671&amp;"'!"&amp;$AH$2),OR(I671=INDIRECT("'["&amp;G671&amp;"]"&amp;E671&amp;"'!"&amp;$AG$2))),INDIRECT("'["&amp;G671&amp;"]"&amp;E671&amp;"'!"&amp;$AG$3),0)</f>
        <v>#VALUE!</v>
      </c>
      <c r="V671" s="25" t="str">
        <f t="shared" si="182"/>
        <v/>
      </c>
      <c r="W671" s="36" t="e" cm="1">
        <f t="array" aca="1" ref="W671" ca="1">IF(AND(G671=INDIRECT("'["&amp;G671&amp;"]"&amp;E671&amp;"'!"&amp;$AH$2),OR(V671=INDIRECT("'["&amp;G671&amp;"]"&amp;E671&amp;"'!"&amp;$AI$2))),INDIRECT("'["&amp;G671&amp;"]"&amp;E671&amp;"'!"&amp;$AI$3),0)</f>
        <v>#VALUE!</v>
      </c>
      <c r="AJ671" s="25">
        <v>1</v>
      </c>
      <c r="AK671" s="38">
        <f t="shared" ca="1" si="183"/>
        <v>0</v>
      </c>
      <c r="AL671" s="38">
        <f t="shared" ca="1" si="184"/>
        <v>0</v>
      </c>
      <c r="AM671" s="54" t="str">
        <f t="shared" ca="1" si="185"/>
        <v/>
      </c>
      <c r="AN671" s="25" t="e">
        <f t="shared" ca="1" si="186"/>
        <v>#VALUE!</v>
      </c>
      <c r="AO671" s="25" t="e">
        <f t="shared" ca="1" si="187"/>
        <v>#VALUE!</v>
      </c>
      <c r="AQ671" s="46" t="str">
        <f ca="1">IF(AND(C671&lt;&gt;0, C672=0), SUM($C$2:C671)-SUM($AQ$1:AQ670), "")</f>
        <v/>
      </c>
      <c r="AR671" s="46" t="str">
        <f ca="1">IF(AND(AK671&lt;&gt;0, AK672=0), SUM($AK$2:AK671)-SUM($AR$1:AR670), "")</f>
        <v/>
      </c>
    </row>
    <row r="672" spans="2:44" ht="13.15" customHeight="1">
      <c r="B672" s="68" t="str">
        <f t="shared" si="173"/>
        <v/>
      </c>
      <c r="C672" s="55" cm="1">
        <f t="array" aca="1" ref="C672" ca="1">SUM(IF(ISNUMBER(M672:U672),M672:U672,""))</f>
        <v>0</v>
      </c>
      <c r="D672" s="25" t="str">
        <f t="shared" si="174"/>
        <v/>
      </c>
      <c r="E672" s="25" t="e">
        <f t="shared" si="175"/>
        <v>#VALUE!</v>
      </c>
      <c r="F672" s="25" t="str">
        <f t="shared" si="176"/>
        <v/>
      </c>
      <c r="G672" s="25" t="str">
        <f t="shared" si="177"/>
        <v>.xlsx</v>
      </c>
      <c r="H672" s="29" t="e" cm="1">
        <f t="array" aca="1" ref="H672" ca="1">IF(AND(VALUE(E672)=INDIRECT("'["&amp;G672&amp;"]"&amp;E672&amp;"'!"&amp;$X$2),G672=INDIRECT("'["&amp;G672&amp;"]"&amp;E672&amp;"'!"&amp;$X$3)),INDIRECT("'["&amp;G672&amp;"]"&amp;E672&amp;"'!"&amp;$X$1),0)</f>
        <v>#VALUE!</v>
      </c>
      <c r="I672" s="25" t="str">
        <f t="shared" si="178"/>
        <v/>
      </c>
      <c r="J672" s="32" t="str">
        <f t="shared" si="179"/>
        <v/>
      </c>
      <c r="K672" s="25" t="str">
        <f t="shared" si="180"/>
        <v/>
      </c>
      <c r="L672" s="25" t="str">
        <f t="shared" si="181"/>
        <v/>
      </c>
      <c r="M672" s="33" t="e" cm="1">
        <f t="array" aca="1" ref="M672" ca="1">IF(AND(J672=INDIRECT("'["&amp;G672&amp;"]"&amp;E672&amp;"'!"&amp;$Y$2),G672=INDIRECT("'["&amp;G672&amp;"]"&amp;E672&amp;"'!"&amp;$AH$2)),INDIRECT("'["&amp;G672&amp;"]"&amp;E672&amp;"'!"&amp;$Y$3),0)</f>
        <v>#VALUE!</v>
      </c>
      <c r="N672" s="34" t="e" cm="1">
        <f t="array" aca="1" ref="N672" ca="1">IF(AND(G672=INDIRECT("'["&amp;G672&amp;"]"&amp;E672&amp;"'!"&amp;$AH$2),OR(K672=INDIRECT("'["&amp;G672&amp;"]"&amp;E672&amp;"'!"&amp;$Z$2))),INDIRECT("'["&amp;G672&amp;"]"&amp;E672&amp;"'!"&amp;$Z$3),0)</f>
        <v>#VALUE!</v>
      </c>
      <c r="O672" s="34" t="e" cm="1">
        <f t="array" aca="1" ref="O672" ca="1">IF(AND(G672=INDIRECT("'["&amp;G672&amp;"]"&amp;E672&amp;"'!"&amp;$AH$2),OR(L672=INDIRECT("'["&amp;G672&amp;"]"&amp;E672&amp;"'!"&amp;$AA$2))),INDIRECT("'["&amp;G672&amp;"]"&amp;E672&amp;"'!"&amp;$AA$3),0)</f>
        <v>#VALUE!</v>
      </c>
      <c r="P672" s="34" t="e" cm="1">
        <f t="array" aca="1" ref="P672" ca="1">IF(AND(G672=INDIRECT("'["&amp;G672&amp;"]"&amp;E672&amp;"'!"&amp;$AH$2),OR(VALUE(I672)=INDIRECT("'["&amp;G672&amp;"]"&amp;E672&amp;"'!"&amp;$AB$2))),INDIRECT("'["&amp;G672&amp;"]"&amp;E672&amp;"'!"&amp;$AB$3),0)</f>
        <v>#VALUE!</v>
      </c>
      <c r="Q672" s="34" t="e" cm="1">
        <f t="array" aca="1" ref="Q672" ca="1">IF(AND(G672=INDIRECT("'["&amp;G672&amp;"]"&amp;E672&amp;"'!"&amp;$AH$2),OR(VALUE(I672)=INDIRECT("'["&amp;G672&amp;"]"&amp;E672&amp;"'!"&amp;$AC$2))),INDIRECT("'["&amp;G672&amp;"]"&amp;E672&amp;"'!"&amp;$AC$3),0)</f>
        <v>#VALUE!</v>
      </c>
      <c r="R672" s="34" t="e" cm="1">
        <f t="array" aca="1" ref="R672" ca="1">IF(AND(G672=INDIRECT("'["&amp;G672&amp;"]"&amp;E672&amp;"'!"&amp;$AH$2),OR(I672=INDIRECT("'["&amp;G672&amp;"]"&amp;E672&amp;"'!"&amp;$AD$2))),INDIRECT("'["&amp;G672&amp;"]"&amp;E672&amp;"'!"&amp;$AD$3),0)</f>
        <v>#VALUE!</v>
      </c>
      <c r="S672" s="34" t="e" cm="1">
        <f t="array" aca="1" ref="S672" ca="1">IF(AND(G672=INDIRECT("'["&amp;G672&amp;"]"&amp;E672&amp;"'!"&amp;$AH$2),OR(I672=INDIRECT("'["&amp;G672&amp;"]"&amp;E672&amp;"'!"&amp;$AE$2))),INDIRECT("'["&amp;G672&amp;"]"&amp;E672&amp;"'!"&amp;$AE$3),0)</f>
        <v>#VALUE!</v>
      </c>
      <c r="T672" s="35" t="e" cm="1">
        <f t="array" aca="1" ref="T672" ca="1">IF(AND(G672=INDIRECT("'["&amp;G672&amp;"]"&amp;E672&amp;"'!"&amp;$AH$2),OR(I672=INDIRECT("'["&amp;G672&amp;"]"&amp;E672&amp;"'!"&amp;$AF$2))),INDIRECT("'["&amp;G672&amp;"]"&amp;E672&amp;"'!"&amp;$AF$3),0)</f>
        <v>#VALUE!</v>
      </c>
      <c r="U672" s="34" t="e" cm="1">
        <f t="array" aca="1" ref="U672" ca="1">IF(AND(G672=INDIRECT("'["&amp;G672&amp;"]"&amp;E672&amp;"'!"&amp;$AH$2),OR(I672=INDIRECT("'["&amp;G672&amp;"]"&amp;E672&amp;"'!"&amp;$AG$2))),INDIRECT("'["&amp;G672&amp;"]"&amp;E672&amp;"'!"&amp;$AG$3),0)</f>
        <v>#VALUE!</v>
      </c>
      <c r="V672" s="25" t="str">
        <f t="shared" si="182"/>
        <v/>
      </c>
      <c r="W672" s="36" t="e" cm="1">
        <f t="array" aca="1" ref="W672" ca="1">IF(AND(G672=INDIRECT("'["&amp;G672&amp;"]"&amp;E672&amp;"'!"&amp;$AH$2),OR(V672=INDIRECT("'["&amp;G672&amp;"]"&amp;E672&amp;"'!"&amp;$AI$2))),INDIRECT("'["&amp;G672&amp;"]"&amp;E672&amp;"'!"&amp;$AI$3),0)</f>
        <v>#VALUE!</v>
      </c>
      <c r="AJ672" s="25">
        <v>1</v>
      </c>
      <c r="AK672" s="38">
        <f t="shared" ca="1" si="183"/>
        <v>0</v>
      </c>
      <c r="AL672" s="38">
        <f t="shared" ca="1" si="184"/>
        <v>0</v>
      </c>
      <c r="AM672" s="54" t="str">
        <f t="shared" ca="1" si="185"/>
        <v/>
      </c>
      <c r="AN672" s="25" t="e">
        <f t="shared" ca="1" si="186"/>
        <v>#VALUE!</v>
      </c>
      <c r="AO672" s="25" t="e">
        <f t="shared" ca="1" si="187"/>
        <v>#VALUE!</v>
      </c>
      <c r="AQ672" s="46" t="str">
        <f ca="1">IF(AND(C672&lt;&gt;0, C673=0), SUM($C$2:C672)-SUM($AQ$1:AQ671), "")</f>
        <v/>
      </c>
      <c r="AR672" s="46" t="str">
        <f ca="1">IF(AND(AK672&lt;&gt;0, AK673=0), SUM($AK$2:AK672)-SUM($AR$1:AR671), "")</f>
        <v/>
      </c>
    </row>
    <row r="673" spans="2:44" ht="13.15" customHeight="1">
      <c r="B673" s="68" t="str">
        <f t="shared" si="173"/>
        <v/>
      </c>
      <c r="C673" s="55" cm="1">
        <f t="array" aca="1" ref="C673" ca="1">SUM(IF(ISNUMBER(M673:U673),M673:U673,""))</f>
        <v>0</v>
      </c>
      <c r="D673" s="25" t="str">
        <f t="shared" si="174"/>
        <v/>
      </c>
      <c r="E673" s="25" t="e">
        <f t="shared" si="175"/>
        <v>#VALUE!</v>
      </c>
      <c r="F673" s="25" t="str">
        <f t="shared" si="176"/>
        <v/>
      </c>
      <c r="G673" s="25" t="str">
        <f t="shared" si="177"/>
        <v>.xlsx</v>
      </c>
      <c r="H673" s="29" t="e" cm="1">
        <f t="array" aca="1" ref="H673" ca="1">IF(AND(VALUE(E673)=INDIRECT("'["&amp;G673&amp;"]"&amp;E673&amp;"'!"&amp;$X$2),G673=INDIRECT("'["&amp;G673&amp;"]"&amp;E673&amp;"'!"&amp;$X$3)),INDIRECT("'["&amp;G673&amp;"]"&amp;E673&amp;"'!"&amp;$X$1),0)</f>
        <v>#VALUE!</v>
      </c>
      <c r="I673" s="25" t="str">
        <f t="shared" si="178"/>
        <v/>
      </c>
      <c r="J673" s="32" t="str">
        <f t="shared" si="179"/>
        <v/>
      </c>
      <c r="K673" s="25" t="str">
        <f t="shared" si="180"/>
        <v/>
      </c>
      <c r="L673" s="25" t="str">
        <f t="shared" si="181"/>
        <v/>
      </c>
      <c r="M673" s="33" t="e" cm="1">
        <f t="array" aca="1" ref="M673" ca="1">IF(AND(J673=INDIRECT("'["&amp;G673&amp;"]"&amp;E673&amp;"'!"&amp;$Y$2),G673=INDIRECT("'["&amp;G673&amp;"]"&amp;E673&amp;"'!"&amp;$AH$2)),INDIRECT("'["&amp;G673&amp;"]"&amp;E673&amp;"'!"&amp;$Y$3),0)</f>
        <v>#VALUE!</v>
      </c>
      <c r="N673" s="34" t="e" cm="1">
        <f t="array" aca="1" ref="N673" ca="1">IF(AND(G673=INDIRECT("'["&amp;G673&amp;"]"&amp;E673&amp;"'!"&amp;$AH$2),OR(K673=INDIRECT("'["&amp;G673&amp;"]"&amp;E673&amp;"'!"&amp;$Z$2))),INDIRECT("'["&amp;G673&amp;"]"&amp;E673&amp;"'!"&amp;$Z$3),0)</f>
        <v>#VALUE!</v>
      </c>
      <c r="O673" s="34" t="e" cm="1">
        <f t="array" aca="1" ref="O673" ca="1">IF(AND(G673=INDIRECT("'["&amp;G673&amp;"]"&amp;E673&amp;"'!"&amp;$AH$2),OR(L673=INDIRECT("'["&amp;G673&amp;"]"&amp;E673&amp;"'!"&amp;$AA$2))),INDIRECT("'["&amp;G673&amp;"]"&amp;E673&amp;"'!"&amp;$AA$3),0)</f>
        <v>#VALUE!</v>
      </c>
      <c r="P673" s="34" t="e" cm="1">
        <f t="array" aca="1" ref="P673" ca="1">IF(AND(G673=INDIRECT("'["&amp;G673&amp;"]"&amp;E673&amp;"'!"&amp;$AH$2),OR(VALUE(I673)=INDIRECT("'["&amp;G673&amp;"]"&amp;E673&amp;"'!"&amp;$AB$2))),INDIRECT("'["&amp;G673&amp;"]"&amp;E673&amp;"'!"&amp;$AB$3),0)</f>
        <v>#VALUE!</v>
      </c>
      <c r="Q673" s="34" t="e" cm="1">
        <f t="array" aca="1" ref="Q673" ca="1">IF(AND(G673=INDIRECT("'["&amp;G673&amp;"]"&amp;E673&amp;"'!"&amp;$AH$2),OR(VALUE(I673)=INDIRECT("'["&amp;G673&amp;"]"&amp;E673&amp;"'!"&amp;$AC$2))),INDIRECT("'["&amp;G673&amp;"]"&amp;E673&amp;"'!"&amp;$AC$3),0)</f>
        <v>#VALUE!</v>
      </c>
      <c r="R673" s="34" t="e" cm="1">
        <f t="array" aca="1" ref="R673" ca="1">IF(AND(G673=INDIRECT("'["&amp;G673&amp;"]"&amp;E673&amp;"'!"&amp;$AH$2),OR(I673=INDIRECT("'["&amp;G673&amp;"]"&amp;E673&amp;"'!"&amp;$AD$2))),INDIRECT("'["&amp;G673&amp;"]"&amp;E673&amp;"'!"&amp;$AD$3),0)</f>
        <v>#VALUE!</v>
      </c>
      <c r="S673" s="34" t="e" cm="1">
        <f t="array" aca="1" ref="S673" ca="1">IF(AND(G673=INDIRECT("'["&amp;G673&amp;"]"&amp;E673&amp;"'!"&amp;$AH$2),OR(I673=INDIRECT("'["&amp;G673&amp;"]"&amp;E673&amp;"'!"&amp;$AE$2))),INDIRECT("'["&amp;G673&amp;"]"&amp;E673&amp;"'!"&amp;$AE$3),0)</f>
        <v>#VALUE!</v>
      </c>
      <c r="T673" s="35" t="e" cm="1">
        <f t="array" aca="1" ref="T673" ca="1">IF(AND(G673=INDIRECT("'["&amp;G673&amp;"]"&amp;E673&amp;"'!"&amp;$AH$2),OR(I673=INDIRECT("'["&amp;G673&amp;"]"&amp;E673&amp;"'!"&amp;$AF$2))),INDIRECT("'["&amp;G673&amp;"]"&amp;E673&amp;"'!"&amp;$AF$3),0)</f>
        <v>#VALUE!</v>
      </c>
      <c r="U673" s="34" t="e" cm="1">
        <f t="array" aca="1" ref="U673" ca="1">IF(AND(G673=INDIRECT("'["&amp;G673&amp;"]"&amp;E673&amp;"'!"&amp;$AH$2),OR(I673=INDIRECT("'["&amp;G673&amp;"]"&amp;E673&amp;"'!"&amp;$AG$2))),INDIRECT("'["&amp;G673&amp;"]"&amp;E673&amp;"'!"&amp;$AG$3),0)</f>
        <v>#VALUE!</v>
      </c>
      <c r="V673" s="25" t="str">
        <f t="shared" si="182"/>
        <v/>
      </c>
      <c r="W673" s="36" t="e" cm="1">
        <f t="array" aca="1" ref="W673" ca="1">IF(AND(G673=INDIRECT("'["&amp;G673&amp;"]"&amp;E673&amp;"'!"&amp;$AH$2),OR(V673=INDIRECT("'["&amp;G673&amp;"]"&amp;E673&amp;"'!"&amp;$AI$2))),INDIRECT("'["&amp;G673&amp;"]"&amp;E673&amp;"'!"&amp;$AI$3),0)</f>
        <v>#VALUE!</v>
      </c>
      <c r="AJ673" s="25">
        <v>1</v>
      </c>
      <c r="AK673" s="38">
        <f t="shared" ca="1" si="183"/>
        <v>0</v>
      </c>
      <c r="AL673" s="38">
        <f t="shared" ca="1" si="184"/>
        <v>0</v>
      </c>
      <c r="AM673" s="54" t="str">
        <f t="shared" ca="1" si="185"/>
        <v/>
      </c>
      <c r="AN673" s="25" t="e">
        <f t="shared" ca="1" si="186"/>
        <v>#VALUE!</v>
      </c>
      <c r="AO673" s="25" t="e">
        <f t="shared" ca="1" si="187"/>
        <v>#VALUE!</v>
      </c>
      <c r="AQ673" s="46" t="str">
        <f ca="1">IF(AND(C673&lt;&gt;0, C674=0), SUM($C$2:C673)-SUM($AQ$1:AQ672), "")</f>
        <v/>
      </c>
      <c r="AR673" s="46" t="str">
        <f ca="1">IF(AND(AK673&lt;&gt;0, AK674=0), SUM($AK$2:AK673)-SUM($AR$1:AR672), "")</f>
        <v/>
      </c>
    </row>
    <row r="674" spans="2:44" ht="13.15" customHeight="1">
      <c r="B674" s="68" t="str">
        <f t="shared" si="173"/>
        <v/>
      </c>
      <c r="C674" s="55" cm="1">
        <f t="array" aca="1" ref="C674" ca="1">SUM(IF(ISNUMBER(M674:U674),M674:U674,""))</f>
        <v>0</v>
      </c>
      <c r="D674" s="25" t="str">
        <f t="shared" si="174"/>
        <v/>
      </c>
      <c r="E674" s="25" t="e">
        <f t="shared" si="175"/>
        <v>#VALUE!</v>
      </c>
      <c r="F674" s="25" t="str">
        <f t="shared" si="176"/>
        <v/>
      </c>
      <c r="G674" s="25" t="str">
        <f t="shared" si="177"/>
        <v>.xlsx</v>
      </c>
      <c r="H674" s="29" t="e" cm="1">
        <f t="array" aca="1" ref="H674" ca="1">IF(AND(VALUE(E674)=INDIRECT("'["&amp;G674&amp;"]"&amp;E674&amp;"'!"&amp;$X$2),G674=INDIRECT("'["&amp;G674&amp;"]"&amp;E674&amp;"'!"&amp;$X$3)),INDIRECT("'["&amp;G674&amp;"]"&amp;E674&amp;"'!"&amp;$X$1),0)</f>
        <v>#VALUE!</v>
      </c>
      <c r="I674" s="25" t="str">
        <f t="shared" si="178"/>
        <v/>
      </c>
      <c r="J674" s="32" t="str">
        <f t="shared" si="179"/>
        <v/>
      </c>
      <c r="K674" s="25" t="str">
        <f t="shared" si="180"/>
        <v/>
      </c>
      <c r="L674" s="25" t="str">
        <f t="shared" si="181"/>
        <v/>
      </c>
      <c r="M674" s="33" t="e" cm="1">
        <f t="array" aca="1" ref="M674" ca="1">IF(AND(J674=INDIRECT("'["&amp;G674&amp;"]"&amp;E674&amp;"'!"&amp;$Y$2),G674=INDIRECT("'["&amp;G674&amp;"]"&amp;E674&amp;"'!"&amp;$AH$2)),INDIRECT("'["&amp;G674&amp;"]"&amp;E674&amp;"'!"&amp;$Y$3),0)</f>
        <v>#VALUE!</v>
      </c>
      <c r="N674" s="34" t="e" cm="1">
        <f t="array" aca="1" ref="N674" ca="1">IF(AND(G674=INDIRECT("'["&amp;G674&amp;"]"&amp;E674&amp;"'!"&amp;$AH$2),OR(K674=INDIRECT("'["&amp;G674&amp;"]"&amp;E674&amp;"'!"&amp;$Z$2))),INDIRECT("'["&amp;G674&amp;"]"&amp;E674&amp;"'!"&amp;$Z$3),0)</f>
        <v>#VALUE!</v>
      </c>
      <c r="O674" s="34" t="e" cm="1">
        <f t="array" aca="1" ref="O674" ca="1">IF(AND(G674=INDIRECT("'["&amp;G674&amp;"]"&amp;E674&amp;"'!"&amp;$AH$2),OR(L674=INDIRECT("'["&amp;G674&amp;"]"&amp;E674&amp;"'!"&amp;$AA$2))),INDIRECT("'["&amp;G674&amp;"]"&amp;E674&amp;"'!"&amp;$AA$3),0)</f>
        <v>#VALUE!</v>
      </c>
      <c r="P674" s="34" t="e" cm="1">
        <f t="array" aca="1" ref="P674" ca="1">IF(AND(G674=INDIRECT("'["&amp;G674&amp;"]"&amp;E674&amp;"'!"&amp;$AH$2),OR(VALUE(I674)=INDIRECT("'["&amp;G674&amp;"]"&amp;E674&amp;"'!"&amp;$AB$2))),INDIRECT("'["&amp;G674&amp;"]"&amp;E674&amp;"'!"&amp;$AB$3),0)</f>
        <v>#VALUE!</v>
      </c>
      <c r="Q674" s="34" t="e" cm="1">
        <f t="array" aca="1" ref="Q674" ca="1">IF(AND(G674=INDIRECT("'["&amp;G674&amp;"]"&amp;E674&amp;"'!"&amp;$AH$2),OR(VALUE(I674)=INDIRECT("'["&amp;G674&amp;"]"&amp;E674&amp;"'!"&amp;$AC$2))),INDIRECT("'["&amp;G674&amp;"]"&amp;E674&amp;"'!"&amp;$AC$3),0)</f>
        <v>#VALUE!</v>
      </c>
      <c r="R674" s="34" t="e" cm="1">
        <f t="array" aca="1" ref="R674" ca="1">IF(AND(G674=INDIRECT("'["&amp;G674&amp;"]"&amp;E674&amp;"'!"&amp;$AH$2),OR(I674=INDIRECT("'["&amp;G674&amp;"]"&amp;E674&amp;"'!"&amp;$AD$2))),INDIRECT("'["&amp;G674&amp;"]"&amp;E674&amp;"'!"&amp;$AD$3),0)</f>
        <v>#VALUE!</v>
      </c>
      <c r="S674" s="34" t="e" cm="1">
        <f t="array" aca="1" ref="S674" ca="1">IF(AND(G674=INDIRECT("'["&amp;G674&amp;"]"&amp;E674&amp;"'!"&amp;$AH$2),OR(I674=INDIRECT("'["&amp;G674&amp;"]"&amp;E674&amp;"'!"&amp;$AE$2))),INDIRECT("'["&amp;G674&amp;"]"&amp;E674&amp;"'!"&amp;$AE$3),0)</f>
        <v>#VALUE!</v>
      </c>
      <c r="T674" s="35" t="e" cm="1">
        <f t="array" aca="1" ref="T674" ca="1">IF(AND(G674=INDIRECT("'["&amp;G674&amp;"]"&amp;E674&amp;"'!"&amp;$AH$2),OR(I674=INDIRECT("'["&amp;G674&amp;"]"&amp;E674&amp;"'!"&amp;$AF$2))),INDIRECT("'["&amp;G674&amp;"]"&amp;E674&amp;"'!"&amp;$AF$3),0)</f>
        <v>#VALUE!</v>
      </c>
      <c r="U674" s="34" t="e" cm="1">
        <f t="array" aca="1" ref="U674" ca="1">IF(AND(G674=INDIRECT("'["&amp;G674&amp;"]"&amp;E674&amp;"'!"&amp;$AH$2),OR(I674=INDIRECT("'["&amp;G674&amp;"]"&amp;E674&amp;"'!"&amp;$AG$2))),INDIRECT("'["&amp;G674&amp;"]"&amp;E674&amp;"'!"&amp;$AG$3),0)</f>
        <v>#VALUE!</v>
      </c>
      <c r="V674" s="25" t="str">
        <f t="shared" si="182"/>
        <v/>
      </c>
      <c r="W674" s="36" t="e" cm="1">
        <f t="array" aca="1" ref="W674" ca="1">IF(AND(G674=INDIRECT("'["&amp;G674&amp;"]"&amp;E674&amp;"'!"&amp;$AH$2),OR(V674=INDIRECT("'["&amp;G674&amp;"]"&amp;E674&amp;"'!"&amp;$AI$2))),INDIRECT("'["&amp;G674&amp;"]"&amp;E674&amp;"'!"&amp;$AI$3),0)</f>
        <v>#VALUE!</v>
      </c>
      <c r="AJ674" s="25">
        <v>1</v>
      </c>
      <c r="AK674" s="38">
        <f t="shared" ca="1" si="183"/>
        <v>0</v>
      </c>
      <c r="AL674" s="38">
        <f t="shared" ca="1" si="184"/>
        <v>0</v>
      </c>
      <c r="AM674" s="54" t="str">
        <f t="shared" ca="1" si="185"/>
        <v/>
      </c>
      <c r="AN674" s="25" t="e">
        <f t="shared" ca="1" si="186"/>
        <v>#VALUE!</v>
      </c>
      <c r="AO674" s="25" t="e">
        <f t="shared" ca="1" si="187"/>
        <v>#VALUE!</v>
      </c>
      <c r="AQ674" s="46" t="str">
        <f ca="1">IF(AND(C674&lt;&gt;0, C675=0), SUM($C$2:C674)-SUM($AQ$1:AQ673), "")</f>
        <v/>
      </c>
      <c r="AR674" s="46" t="str">
        <f ca="1">IF(AND(AK674&lt;&gt;0, AK675=0), SUM($AK$2:AK674)-SUM($AR$1:AR673), "")</f>
        <v/>
      </c>
    </row>
    <row r="675" spans="2:44" ht="13.15" customHeight="1">
      <c r="B675" s="68" t="str">
        <f t="shared" si="173"/>
        <v/>
      </c>
      <c r="C675" s="55" cm="1">
        <f t="array" aca="1" ref="C675" ca="1">SUM(IF(ISNUMBER(M675:U675),M675:U675,""))</f>
        <v>0</v>
      </c>
      <c r="D675" s="25" t="str">
        <f t="shared" si="174"/>
        <v/>
      </c>
      <c r="E675" s="25" t="e">
        <f t="shared" si="175"/>
        <v>#VALUE!</v>
      </c>
      <c r="F675" s="25" t="str">
        <f t="shared" si="176"/>
        <v/>
      </c>
      <c r="G675" s="25" t="str">
        <f t="shared" si="177"/>
        <v>.xlsx</v>
      </c>
      <c r="H675" s="29" t="e" cm="1">
        <f t="array" aca="1" ref="H675" ca="1">IF(AND(VALUE(E675)=INDIRECT("'["&amp;G675&amp;"]"&amp;E675&amp;"'!"&amp;$X$2),G675=INDIRECT("'["&amp;G675&amp;"]"&amp;E675&amp;"'!"&amp;$X$3)),INDIRECT("'["&amp;G675&amp;"]"&amp;E675&amp;"'!"&amp;$X$1),0)</f>
        <v>#VALUE!</v>
      </c>
      <c r="I675" s="25" t="str">
        <f t="shared" si="178"/>
        <v/>
      </c>
      <c r="J675" s="32" t="str">
        <f t="shared" si="179"/>
        <v/>
      </c>
      <c r="K675" s="25" t="str">
        <f t="shared" si="180"/>
        <v/>
      </c>
      <c r="L675" s="25" t="str">
        <f t="shared" si="181"/>
        <v/>
      </c>
      <c r="M675" s="33" t="e" cm="1">
        <f t="array" aca="1" ref="M675" ca="1">IF(AND(J675=INDIRECT("'["&amp;G675&amp;"]"&amp;E675&amp;"'!"&amp;$Y$2),G675=INDIRECT("'["&amp;G675&amp;"]"&amp;E675&amp;"'!"&amp;$AH$2)),INDIRECT("'["&amp;G675&amp;"]"&amp;E675&amp;"'!"&amp;$Y$3),0)</f>
        <v>#VALUE!</v>
      </c>
      <c r="N675" s="34" t="e" cm="1">
        <f t="array" aca="1" ref="N675" ca="1">IF(AND(G675=INDIRECT("'["&amp;G675&amp;"]"&amp;E675&amp;"'!"&amp;$AH$2),OR(K675=INDIRECT("'["&amp;G675&amp;"]"&amp;E675&amp;"'!"&amp;$Z$2))),INDIRECT("'["&amp;G675&amp;"]"&amp;E675&amp;"'!"&amp;$Z$3),0)</f>
        <v>#VALUE!</v>
      </c>
      <c r="O675" s="34" t="e" cm="1">
        <f t="array" aca="1" ref="O675" ca="1">IF(AND(G675=INDIRECT("'["&amp;G675&amp;"]"&amp;E675&amp;"'!"&amp;$AH$2),OR(L675=INDIRECT("'["&amp;G675&amp;"]"&amp;E675&amp;"'!"&amp;$AA$2))),INDIRECT("'["&amp;G675&amp;"]"&amp;E675&amp;"'!"&amp;$AA$3),0)</f>
        <v>#VALUE!</v>
      </c>
      <c r="P675" s="34" t="e" cm="1">
        <f t="array" aca="1" ref="P675" ca="1">IF(AND(G675=INDIRECT("'["&amp;G675&amp;"]"&amp;E675&amp;"'!"&amp;$AH$2),OR(VALUE(I675)=INDIRECT("'["&amp;G675&amp;"]"&amp;E675&amp;"'!"&amp;$AB$2))),INDIRECT("'["&amp;G675&amp;"]"&amp;E675&amp;"'!"&amp;$AB$3),0)</f>
        <v>#VALUE!</v>
      </c>
      <c r="Q675" s="34" t="e" cm="1">
        <f t="array" aca="1" ref="Q675" ca="1">IF(AND(G675=INDIRECT("'["&amp;G675&amp;"]"&amp;E675&amp;"'!"&amp;$AH$2),OR(VALUE(I675)=INDIRECT("'["&amp;G675&amp;"]"&amp;E675&amp;"'!"&amp;$AC$2))),INDIRECT("'["&amp;G675&amp;"]"&amp;E675&amp;"'!"&amp;$AC$3),0)</f>
        <v>#VALUE!</v>
      </c>
      <c r="R675" s="34" t="e" cm="1">
        <f t="array" aca="1" ref="R675" ca="1">IF(AND(G675=INDIRECT("'["&amp;G675&amp;"]"&amp;E675&amp;"'!"&amp;$AH$2),OR(I675=INDIRECT("'["&amp;G675&amp;"]"&amp;E675&amp;"'!"&amp;$AD$2))),INDIRECT("'["&amp;G675&amp;"]"&amp;E675&amp;"'!"&amp;$AD$3),0)</f>
        <v>#VALUE!</v>
      </c>
      <c r="S675" s="34" t="e" cm="1">
        <f t="array" aca="1" ref="S675" ca="1">IF(AND(G675=INDIRECT("'["&amp;G675&amp;"]"&amp;E675&amp;"'!"&amp;$AH$2),OR(I675=INDIRECT("'["&amp;G675&amp;"]"&amp;E675&amp;"'!"&amp;$AE$2))),INDIRECT("'["&amp;G675&amp;"]"&amp;E675&amp;"'!"&amp;$AE$3),0)</f>
        <v>#VALUE!</v>
      </c>
      <c r="T675" s="35" t="e" cm="1">
        <f t="array" aca="1" ref="T675" ca="1">IF(AND(G675=INDIRECT("'["&amp;G675&amp;"]"&amp;E675&amp;"'!"&amp;$AH$2),OR(I675=INDIRECT("'["&amp;G675&amp;"]"&amp;E675&amp;"'!"&amp;$AF$2))),INDIRECT("'["&amp;G675&amp;"]"&amp;E675&amp;"'!"&amp;$AF$3),0)</f>
        <v>#VALUE!</v>
      </c>
      <c r="U675" s="34" t="e" cm="1">
        <f t="array" aca="1" ref="U675" ca="1">IF(AND(G675=INDIRECT("'["&amp;G675&amp;"]"&amp;E675&amp;"'!"&amp;$AH$2),OR(I675=INDIRECT("'["&amp;G675&amp;"]"&amp;E675&amp;"'!"&amp;$AG$2))),INDIRECT("'["&amp;G675&amp;"]"&amp;E675&amp;"'!"&amp;$AG$3),0)</f>
        <v>#VALUE!</v>
      </c>
      <c r="V675" s="25" t="str">
        <f t="shared" si="182"/>
        <v/>
      </c>
      <c r="W675" s="36" t="e" cm="1">
        <f t="array" aca="1" ref="W675" ca="1">IF(AND(G675=INDIRECT("'["&amp;G675&amp;"]"&amp;E675&amp;"'!"&amp;$AH$2),OR(V675=INDIRECT("'["&amp;G675&amp;"]"&amp;E675&amp;"'!"&amp;$AI$2))),INDIRECT("'["&amp;G675&amp;"]"&amp;E675&amp;"'!"&amp;$AI$3),0)</f>
        <v>#VALUE!</v>
      </c>
      <c r="AJ675" s="25">
        <v>1</v>
      </c>
      <c r="AK675" s="38">
        <f t="shared" ca="1" si="183"/>
        <v>0</v>
      </c>
      <c r="AL675" s="38">
        <f t="shared" ca="1" si="184"/>
        <v>0</v>
      </c>
      <c r="AM675" s="54" t="str">
        <f t="shared" ca="1" si="185"/>
        <v/>
      </c>
      <c r="AN675" s="25" t="e">
        <f t="shared" ca="1" si="186"/>
        <v>#VALUE!</v>
      </c>
      <c r="AO675" s="25" t="e">
        <f t="shared" ca="1" si="187"/>
        <v>#VALUE!</v>
      </c>
      <c r="AQ675" s="46" t="str">
        <f ca="1">IF(AND(C675&lt;&gt;0, C676=0), SUM($C$2:C675)-SUM($AQ$1:AQ674), "")</f>
        <v/>
      </c>
      <c r="AR675" s="46" t="str">
        <f ca="1">IF(AND(AK675&lt;&gt;0, AK676=0), SUM($AK$2:AK675)-SUM($AR$1:AR674), "")</f>
        <v/>
      </c>
    </row>
    <row r="676" spans="2:44" ht="13.15" customHeight="1">
      <c r="B676" s="68" t="str">
        <f t="shared" si="173"/>
        <v/>
      </c>
      <c r="C676" s="55" cm="1">
        <f t="array" aca="1" ref="C676" ca="1">SUM(IF(ISNUMBER(M676:U676),M676:U676,""))</f>
        <v>0</v>
      </c>
      <c r="D676" s="25" t="str">
        <f t="shared" si="174"/>
        <v/>
      </c>
      <c r="E676" s="25" t="e">
        <f t="shared" si="175"/>
        <v>#VALUE!</v>
      </c>
      <c r="F676" s="25" t="str">
        <f t="shared" si="176"/>
        <v/>
      </c>
      <c r="G676" s="25" t="str">
        <f t="shared" si="177"/>
        <v>.xlsx</v>
      </c>
      <c r="H676" s="29" t="e" cm="1">
        <f t="array" aca="1" ref="H676" ca="1">IF(AND(VALUE(E676)=INDIRECT("'["&amp;G676&amp;"]"&amp;E676&amp;"'!"&amp;$X$2),G676=INDIRECT("'["&amp;G676&amp;"]"&amp;E676&amp;"'!"&amp;$X$3)),INDIRECT("'["&amp;G676&amp;"]"&amp;E676&amp;"'!"&amp;$X$1),0)</f>
        <v>#VALUE!</v>
      </c>
      <c r="I676" s="25" t="str">
        <f t="shared" si="178"/>
        <v/>
      </c>
      <c r="J676" s="32" t="str">
        <f t="shared" si="179"/>
        <v/>
      </c>
      <c r="K676" s="25" t="str">
        <f t="shared" si="180"/>
        <v/>
      </c>
      <c r="L676" s="25" t="str">
        <f t="shared" si="181"/>
        <v/>
      </c>
      <c r="M676" s="33" t="e" cm="1">
        <f t="array" aca="1" ref="M676" ca="1">IF(AND(J676=INDIRECT("'["&amp;G676&amp;"]"&amp;E676&amp;"'!"&amp;$Y$2),G676=INDIRECT("'["&amp;G676&amp;"]"&amp;E676&amp;"'!"&amp;$AH$2)),INDIRECT("'["&amp;G676&amp;"]"&amp;E676&amp;"'!"&amp;$Y$3),0)</f>
        <v>#VALUE!</v>
      </c>
      <c r="N676" s="34" t="e" cm="1">
        <f t="array" aca="1" ref="N676" ca="1">IF(AND(G676=INDIRECT("'["&amp;G676&amp;"]"&amp;E676&amp;"'!"&amp;$AH$2),OR(K676=INDIRECT("'["&amp;G676&amp;"]"&amp;E676&amp;"'!"&amp;$Z$2))),INDIRECT("'["&amp;G676&amp;"]"&amp;E676&amp;"'!"&amp;$Z$3),0)</f>
        <v>#VALUE!</v>
      </c>
      <c r="O676" s="34" t="e" cm="1">
        <f t="array" aca="1" ref="O676" ca="1">IF(AND(G676=INDIRECT("'["&amp;G676&amp;"]"&amp;E676&amp;"'!"&amp;$AH$2),OR(L676=INDIRECT("'["&amp;G676&amp;"]"&amp;E676&amp;"'!"&amp;$AA$2))),INDIRECT("'["&amp;G676&amp;"]"&amp;E676&amp;"'!"&amp;$AA$3),0)</f>
        <v>#VALUE!</v>
      </c>
      <c r="P676" s="34" t="e" cm="1">
        <f t="array" aca="1" ref="P676" ca="1">IF(AND(G676=INDIRECT("'["&amp;G676&amp;"]"&amp;E676&amp;"'!"&amp;$AH$2),OR(VALUE(I676)=INDIRECT("'["&amp;G676&amp;"]"&amp;E676&amp;"'!"&amp;$AB$2))),INDIRECT("'["&amp;G676&amp;"]"&amp;E676&amp;"'!"&amp;$AB$3),0)</f>
        <v>#VALUE!</v>
      </c>
      <c r="Q676" s="34" t="e" cm="1">
        <f t="array" aca="1" ref="Q676" ca="1">IF(AND(G676=INDIRECT("'["&amp;G676&amp;"]"&amp;E676&amp;"'!"&amp;$AH$2),OR(VALUE(I676)=INDIRECT("'["&amp;G676&amp;"]"&amp;E676&amp;"'!"&amp;$AC$2))),INDIRECT("'["&amp;G676&amp;"]"&amp;E676&amp;"'!"&amp;$AC$3),0)</f>
        <v>#VALUE!</v>
      </c>
      <c r="R676" s="34" t="e" cm="1">
        <f t="array" aca="1" ref="R676" ca="1">IF(AND(G676=INDIRECT("'["&amp;G676&amp;"]"&amp;E676&amp;"'!"&amp;$AH$2),OR(I676=INDIRECT("'["&amp;G676&amp;"]"&amp;E676&amp;"'!"&amp;$AD$2))),INDIRECT("'["&amp;G676&amp;"]"&amp;E676&amp;"'!"&amp;$AD$3),0)</f>
        <v>#VALUE!</v>
      </c>
      <c r="S676" s="34" t="e" cm="1">
        <f t="array" aca="1" ref="S676" ca="1">IF(AND(G676=INDIRECT("'["&amp;G676&amp;"]"&amp;E676&amp;"'!"&amp;$AH$2),OR(I676=INDIRECT("'["&amp;G676&amp;"]"&amp;E676&amp;"'!"&amp;$AE$2))),INDIRECT("'["&amp;G676&amp;"]"&amp;E676&amp;"'!"&amp;$AE$3),0)</f>
        <v>#VALUE!</v>
      </c>
      <c r="T676" s="35" t="e" cm="1">
        <f t="array" aca="1" ref="T676" ca="1">IF(AND(G676=INDIRECT("'["&amp;G676&amp;"]"&amp;E676&amp;"'!"&amp;$AH$2),OR(I676=INDIRECT("'["&amp;G676&amp;"]"&amp;E676&amp;"'!"&amp;$AF$2))),INDIRECT("'["&amp;G676&amp;"]"&amp;E676&amp;"'!"&amp;$AF$3),0)</f>
        <v>#VALUE!</v>
      </c>
      <c r="U676" s="34" t="e" cm="1">
        <f t="array" aca="1" ref="U676" ca="1">IF(AND(G676=INDIRECT("'["&amp;G676&amp;"]"&amp;E676&amp;"'!"&amp;$AH$2),OR(I676=INDIRECT("'["&amp;G676&amp;"]"&amp;E676&amp;"'!"&amp;$AG$2))),INDIRECT("'["&amp;G676&amp;"]"&amp;E676&amp;"'!"&amp;$AG$3),0)</f>
        <v>#VALUE!</v>
      </c>
      <c r="V676" s="25" t="str">
        <f t="shared" si="182"/>
        <v/>
      </c>
      <c r="W676" s="36" t="e" cm="1">
        <f t="array" aca="1" ref="W676" ca="1">IF(AND(G676=INDIRECT("'["&amp;G676&amp;"]"&amp;E676&amp;"'!"&amp;$AH$2),OR(V676=INDIRECT("'["&amp;G676&amp;"]"&amp;E676&amp;"'!"&amp;$AI$2))),INDIRECT("'["&amp;G676&amp;"]"&amp;E676&amp;"'!"&amp;$AI$3),0)</f>
        <v>#VALUE!</v>
      </c>
      <c r="AJ676" s="25">
        <v>1</v>
      </c>
      <c r="AK676" s="38">
        <f t="shared" ca="1" si="183"/>
        <v>0</v>
      </c>
      <c r="AL676" s="38">
        <f t="shared" ca="1" si="184"/>
        <v>0</v>
      </c>
      <c r="AM676" s="54" t="str">
        <f t="shared" ca="1" si="185"/>
        <v/>
      </c>
      <c r="AN676" s="25" t="e">
        <f t="shared" ca="1" si="186"/>
        <v>#VALUE!</v>
      </c>
      <c r="AO676" s="25" t="e">
        <f t="shared" ca="1" si="187"/>
        <v>#VALUE!</v>
      </c>
      <c r="AQ676" s="46" t="str">
        <f ca="1">IF(AND(C676&lt;&gt;0, C677=0), SUM($C$2:C676)-SUM($AQ$1:AQ675), "")</f>
        <v/>
      </c>
      <c r="AR676" s="46" t="str">
        <f ca="1">IF(AND(AK676&lt;&gt;0, AK677=0), SUM($AK$2:AK676)-SUM($AR$1:AR675), "")</f>
        <v/>
      </c>
    </row>
    <row r="677" spans="2:44" ht="13.15" customHeight="1">
      <c r="B677" s="68" t="str">
        <f t="shared" si="173"/>
        <v/>
      </c>
      <c r="C677" s="55" cm="1">
        <f t="array" aca="1" ref="C677" ca="1">SUM(IF(ISNUMBER(M677:U677),M677:U677,""))</f>
        <v>0</v>
      </c>
      <c r="D677" s="25" t="str">
        <f t="shared" si="174"/>
        <v/>
      </c>
      <c r="E677" s="25" t="e">
        <f t="shared" si="175"/>
        <v>#VALUE!</v>
      </c>
      <c r="F677" s="25" t="str">
        <f t="shared" si="176"/>
        <v/>
      </c>
      <c r="G677" s="25" t="str">
        <f t="shared" si="177"/>
        <v>.xlsx</v>
      </c>
      <c r="H677" s="29" t="e" cm="1">
        <f t="array" aca="1" ref="H677" ca="1">IF(AND(VALUE(E677)=INDIRECT("'["&amp;G677&amp;"]"&amp;E677&amp;"'!"&amp;$X$2),G677=INDIRECT("'["&amp;G677&amp;"]"&amp;E677&amp;"'!"&amp;$X$3)),INDIRECT("'["&amp;G677&amp;"]"&amp;E677&amp;"'!"&amp;$X$1),0)</f>
        <v>#VALUE!</v>
      </c>
      <c r="I677" s="25" t="str">
        <f t="shared" si="178"/>
        <v/>
      </c>
      <c r="J677" s="32" t="str">
        <f t="shared" si="179"/>
        <v/>
      </c>
      <c r="K677" s="25" t="str">
        <f t="shared" si="180"/>
        <v/>
      </c>
      <c r="L677" s="25" t="str">
        <f t="shared" si="181"/>
        <v/>
      </c>
      <c r="M677" s="33" t="e" cm="1">
        <f t="array" aca="1" ref="M677" ca="1">IF(AND(J677=INDIRECT("'["&amp;G677&amp;"]"&amp;E677&amp;"'!"&amp;$Y$2),G677=INDIRECT("'["&amp;G677&amp;"]"&amp;E677&amp;"'!"&amp;$AH$2)),INDIRECT("'["&amp;G677&amp;"]"&amp;E677&amp;"'!"&amp;$Y$3),0)</f>
        <v>#VALUE!</v>
      </c>
      <c r="N677" s="34" t="e" cm="1">
        <f t="array" aca="1" ref="N677" ca="1">IF(AND(G677=INDIRECT("'["&amp;G677&amp;"]"&amp;E677&amp;"'!"&amp;$AH$2),OR(K677=INDIRECT("'["&amp;G677&amp;"]"&amp;E677&amp;"'!"&amp;$Z$2))),INDIRECT("'["&amp;G677&amp;"]"&amp;E677&amp;"'!"&amp;$Z$3),0)</f>
        <v>#VALUE!</v>
      </c>
      <c r="O677" s="34" t="e" cm="1">
        <f t="array" aca="1" ref="O677" ca="1">IF(AND(G677=INDIRECT("'["&amp;G677&amp;"]"&amp;E677&amp;"'!"&amp;$AH$2),OR(L677=INDIRECT("'["&amp;G677&amp;"]"&amp;E677&amp;"'!"&amp;$AA$2))),INDIRECT("'["&amp;G677&amp;"]"&amp;E677&amp;"'!"&amp;$AA$3),0)</f>
        <v>#VALUE!</v>
      </c>
      <c r="P677" s="34" t="e" cm="1">
        <f t="array" aca="1" ref="P677" ca="1">IF(AND(G677=INDIRECT("'["&amp;G677&amp;"]"&amp;E677&amp;"'!"&amp;$AH$2),OR(VALUE(I677)=INDIRECT("'["&amp;G677&amp;"]"&amp;E677&amp;"'!"&amp;$AB$2))),INDIRECT("'["&amp;G677&amp;"]"&amp;E677&amp;"'!"&amp;$AB$3),0)</f>
        <v>#VALUE!</v>
      </c>
      <c r="Q677" s="34" t="e" cm="1">
        <f t="array" aca="1" ref="Q677" ca="1">IF(AND(G677=INDIRECT("'["&amp;G677&amp;"]"&amp;E677&amp;"'!"&amp;$AH$2),OR(VALUE(I677)=INDIRECT("'["&amp;G677&amp;"]"&amp;E677&amp;"'!"&amp;$AC$2))),INDIRECT("'["&amp;G677&amp;"]"&amp;E677&amp;"'!"&amp;$AC$3),0)</f>
        <v>#VALUE!</v>
      </c>
      <c r="R677" s="34" t="e" cm="1">
        <f t="array" aca="1" ref="R677" ca="1">IF(AND(G677=INDIRECT("'["&amp;G677&amp;"]"&amp;E677&amp;"'!"&amp;$AH$2),OR(I677=INDIRECT("'["&amp;G677&amp;"]"&amp;E677&amp;"'!"&amp;$AD$2))),INDIRECT("'["&amp;G677&amp;"]"&amp;E677&amp;"'!"&amp;$AD$3),0)</f>
        <v>#VALUE!</v>
      </c>
      <c r="S677" s="34" t="e" cm="1">
        <f t="array" aca="1" ref="S677" ca="1">IF(AND(G677=INDIRECT("'["&amp;G677&amp;"]"&amp;E677&amp;"'!"&amp;$AH$2),OR(I677=INDIRECT("'["&amp;G677&amp;"]"&amp;E677&amp;"'!"&amp;$AE$2))),INDIRECT("'["&amp;G677&amp;"]"&amp;E677&amp;"'!"&amp;$AE$3),0)</f>
        <v>#VALUE!</v>
      </c>
      <c r="T677" s="35" t="e" cm="1">
        <f t="array" aca="1" ref="T677" ca="1">IF(AND(G677=INDIRECT("'["&amp;G677&amp;"]"&amp;E677&amp;"'!"&amp;$AH$2),OR(I677=INDIRECT("'["&amp;G677&amp;"]"&amp;E677&amp;"'!"&amp;$AF$2))),INDIRECT("'["&amp;G677&amp;"]"&amp;E677&amp;"'!"&amp;$AF$3),0)</f>
        <v>#VALUE!</v>
      </c>
      <c r="U677" s="34" t="e" cm="1">
        <f t="array" aca="1" ref="U677" ca="1">IF(AND(G677=INDIRECT("'["&amp;G677&amp;"]"&amp;E677&amp;"'!"&amp;$AH$2),OR(I677=INDIRECT("'["&amp;G677&amp;"]"&amp;E677&amp;"'!"&amp;$AG$2))),INDIRECT("'["&amp;G677&amp;"]"&amp;E677&amp;"'!"&amp;$AG$3),0)</f>
        <v>#VALUE!</v>
      </c>
      <c r="V677" s="25" t="str">
        <f t="shared" si="182"/>
        <v/>
      </c>
      <c r="W677" s="36" t="e" cm="1">
        <f t="array" aca="1" ref="W677" ca="1">IF(AND(G677=INDIRECT("'["&amp;G677&amp;"]"&amp;E677&amp;"'!"&amp;$AH$2),OR(V677=INDIRECT("'["&amp;G677&amp;"]"&amp;E677&amp;"'!"&amp;$AI$2))),INDIRECT("'["&amp;G677&amp;"]"&amp;E677&amp;"'!"&amp;$AI$3),0)</f>
        <v>#VALUE!</v>
      </c>
      <c r="AJ677" s="25">
        <v>1</v>
      </c>
      <c r="AK677" s="38">
        <f t="shared" ca="1" si="183"/>
        <v>0</v>
      </c>
      <c r="AL677" s="38">
        <f t="shared" ca="1" si="184"/>
        <v>0</v>
      </c>
      <c r="AM677" s="54" t="str">
        <f t="shared" ca="1" si="185"/>
        <v/>
      </c>
      <c r="AN677" s="25" t="e">
        <f t="shared" ca="1" si="186"/>
        <v>#VALUE!</v>
      </c>
      <c r="AO677" s="25" t="e">
        <f t="shared" ca="1" si="187"/>
        <v>#VALUE!</v>
      </c>
      <c r="AQ677" s="46" t="str">
        <f ca="1">IF(AND(C677&lt;&gt;0, C678=0), SUM($C$2:C677)-SUM($AQ$1:AQ676), "")</f>
        <v/>
      </c>
      <c r="AR677" s="46" t="str">
        <f ca="1">IF(AND(AK677&lt;&gt;0, AK678=0), SUM($AK$2:AK677)-SUM($AR$1:AR676), "")</f>
        <v/>
      </c>
    </row>
    <row r="678" spans="2:44" ht="13.15" customHeight="1">
      <c r="B678" s="68" t="str">
        <f t="shared" si="173"/>
        <v/>
      </c>
      <c r="C678" s="55" cm="1">
        <f t="array" aca="1" ref="C678" ca="1">SUM(IF(ISNUMBER(M678:U678),M678:U678,""))</f>
        <v>0</v>
      </c>
      <c r="D678" s="25" t="str">
        <f t="shared" si="174"/>
        <v/>
      </c>
      <c r="E678" s="25" t="e">
        <f t="shared" si="175"/>
        <v>#VALUE!</v>
      </c>
      <c r="F678" s="25" t="str">
        <f t="shared" si="176"/>
        <v/>
      </c>
      <c r="G678" s="25" t="str">
        <f t="shared" si="177"/>
        <v>.xlsx</v>
      </c>
      <c r="H678" s="29" t="e" cm="1">
        <f t="array" aca="1" ref="H678" ca="1">IF(AND(VALUE(E678)=INDIRECT("'["&amp;G678&amp;"]"&amp;E678&amp;"'!"&amp;$X$2),G678=INDIRECT("'["&amp;G678&amp;"]"&amp;E678&amp;"'!"&amp;$X$3)),INDIRECT("'["&amp;G678&amp;"]"&amp;E678&amp;"'!"&amp;$X$1),0)</f>
        <v>#VALUE!</v>
      </c>
      <c r="I678" s="25" t="str">
        <f t="shared" si="178"/>
        <v/>
      </c>
      <c r="J678" s="32" t="str">
        <f t="shared" si="179"/>
        <v/>
      </c>
      <c r="K678" s="25" t="str">
        <f t="shared" si="180"/>
        <v/>
      </c>
      <c r="L678" s="25" t="str">
        <f t="shared" si="181"/>
        <v/>
      </c>
      <c r="M678" s="33" t="e" cm="1">
        <f t="array" aca="1" ref="M678" ca="1">IF(AND(J678=INDIRECT("'["&amp;G678&amp;"]"&amp;E678&amp;"'!"&amp;$Y$2),G678=INDIRECT("'["&amp;G678&amp;"]"&amp;E678&amp;"'!"&amp;$AH$2)),INDIRECT("'["&amp;G678&amp;"]"&amp;E678&amp;"'!"&amp;$Y$3),0)</f>
        <v>#VALUE!</v>
      </c>
      <c r="N678" s="34" t="e" cm="1">
        <f t="array" aca="1" ref="N678" ca="1">IF(AND(G678=INDIRECT("'["&amp;G678&amp;"]"&amp;E678&amp;"'!"&amp;$AH$2),OR(K678=INDIRECT("'["&amp;G678&amp;"]"&amp;E678&amp;"'!"&amp;$Z$2))),INDIRECT("'["&amp;G678&amp;"]"&amp;E678&amp;"'!"&amp;$Z$3),0)</f>
        <v>#VALUE!</v>
      </c>
      <c r="O678" s="34" t="e" cm="1">
        <f t="array" aca="1" ref="O678" ca="1">IF(AND(G678=INDIRECT("'["&amp;G678&amp;"]"&amp;E678&amp;"'!"&amp;$AH$2),OR(L678=INDIRECT("'["&amp;G678&amp;"]"&amp;E678&amp;"'!"&amp;$AA$2))),INDIRECT("'["&amp;G678&amp;"]"&amp;E678&amp;"'!"&amp;$AA$3),0)</f>
        <v>#VALUE!</v>
      </c>
      <c r="P678" s="34" t="e" cm="1">
        <f t="array" aca="1" ref="P678" ca="1">IF(AND(G678=INDIRECT("'["&amp;G678&amp;"]"&amp;E678&amp;"'!"&amp;$AH$2),OR(VALUE(I678)=INDIRECT("'["&amp;G678&amp;"]"&amp;E678&amp;"'!"&amp;$AB$2))),INDIRECT("'["&amp;G678&amp;"]"&amp;E678&amp;"'!"&amp;$AB$3),0)</f>
        <v>#VALUE!</v>
      </c>
      <c r="Q678" s="34" t="e" cm="1">
        <f t="array" aca="1" ref="Q678" ca="1">IF(AND(G678=INDIRECT("'["&amp;G678&amp;"]"&amp;E678&amp;"'!"&amp;$AH$2),OR(VALUE(I678)=INDIRECT("'["&amp;G678&amp;"]"&amp;E678&amp;"'!"&amp;$AC$2))),INDIRECT("'["&amp;G678&amp;"]"&amp;E678&amp;"'!"&amp;$AC$3),0)</f>
        <v>#VALUE!</v>
      </c>
      <c r="R678" s="34" t="e" cm="1">
        <f t="array" aca="1" ref="R678" ca="1">IF(AND(G678=INDIRECT("'["&amp;G678&amp;"]"&amp;E678&amp;"'!"&amp;$AH$2),OR(I678=INDIRECT("'["&amp;G678&amp;"]"&amp;E678&amp;"'!"&amp;$AD$2))),INDIRECT("'["&amp;G678&amp;"]"&amp;E678&amp;"'!"&amp;$AD$3),0)</f>
        <v>#VALUE!</v>
      </c>
      <c r="S678" s="34" t="e" cm="1">
        <f t="array" aca="1" ref="S678" ca="1">IF(AND(G678=INDIRECT("'["&amp;G678&amp;"]"&amp;E678&amp;"'!"&amp;$AH$2),OR(I678=INDIRECT("'["&amp;G678&amp;"]"&amp;E678&amp;"'!"&amp;$AE$2))),INDIRECT("'["&amp;G678&amp;"]"&amp;E678&amp;"'!"&amp;$AE$3),0)</f>
        <v>#VALUE!</v>
      </c>
      <c r="T678" s="35" t="e" cm="1">
        <f t="array" aca="1" ref="T678" ca="1">IF(AND(G678=INDIRECT("'["&amp;G678&amp;"]"&amp;E678&amp;"'!"&amp;$AH$2),OR(I678=INDIRECT("'["&amp;G678&amp;"]"&amp;E678&amp;"'!"&amp;$AF$2))),INDIRECT("'["&amp;G678&amp;"]"&amp;E678&amp;"'!"&amp;$AF$3),0)</f>
        <v>#VALUE!</v>
      </c>
      <c r="U678" s="34" t="e" cm="1">
        <f t="array" aca="1" ref="U678" ca="1">IF(AND(G678=INDIRECT("'["&amp;G678&amp;"]"&amp;E678&amp;"'!"&amp;$AH$2),OR(I678=INDIRECT("'["&amp;G678&amp;"]"&amp;E678&amp;"'!"&amp;$AG$2))),INDIRECT("'["&amp;G678&amp;"]"&amp;E678&amp;"'!"&amp;$AG$3),0)</f>
        <v>#VALUE!</v>
      </c>
      <c r="V678" s="25" t="str">
        <f t="shared" si="182"/>
        <v/>
      </c>
      <c r="W678" s="36" t="e" cm="1">
        <f t="array" aca="1" ref="W678" ca="1">IF(AND(G678=INDIRECT("'["&amp;G678&amp;"]"&amp;E678&amp;"'!"&amp;$AH$2),OR(V678=INDIRECT("'["&amp;G678&amp;"]"&amp;E678&amp;"'!"&amp;$AI$2))),INDIRECT("'["&amp;G678&amp;"]"&amp;E678&amp;"'!"&amp;$AI$3),0)</f>
        <v>#VALUE!</v>
      </c>
      <c r="AJ678" s="25">
        <v>1</v>
      </c>
      <c r="AK678" s="38">
        <f t="shared" ca="1" si="183"/>
        <v>0</v>
      </c>
      <c r="AL678" s="38">
        <f t="shared" ca="1" si="184"/>
        <v>0</v>
      </c>
      <c r="AM678" s="54" t="str">
        <f t="shared" ca="1" si="185"/>
        <v/>
      </c>
      <c r="AN678" s="25" t="e">
        <f t="shared" ca="1" si="186"/>
        <v>#VALUE!</v>
      </c>
      <c r="AO678" s="25" t="e">
        <f t="shared" ca="1" si="187"/>
        <v>#VALUE!</v>
      </c>
      <c r="AQ678" s="46" t="str">
        <f ca="1">IF(AND(C678&lt;&gt;0, C679=0), SUM($C$2:C678)-SUM($AQ$1:AQ677), "")</f>
        <v/>
      </c>
      <c r="AR678" s="46" t="str">
        <f ca="1">IF(AND(AK678&lt;&gt;0, AK679=0), SUM($AK$2:AK678)-SUM($AR$1:AR677), "")</f>
        <v/>
      </c>
    </row>
    <row r="679" spans="2:44" ht="13.15" customHeight="1">
      <c r="B679" s="68" t="str">
        <f t="shared" si="173"/>
        <v/>
      </c>
      <c r="C679" s="55" cm="1">
        <f t="array" aca="1" ref="C679" ca="1">SUM(IF(ISNUMBER(M679:U679),M679:U679,""))</f>
        <v>0</v>
      </c>
      <c r="D679" s="25" t="str">
        <f t="shared" si="174"/>
        <v/>
      </c>
      <c r="E679" s="25" t="e">
        <f t="shared" si="175"/>
        <v>#VALUE!</v>
      </c>
      <c r="F679" s="25" t="str">
        <f t="shared" si="176"/>
        <v/>
      </c>
      <c r="G679" s="25" t="str">
        <f t="shared" si="177"/>
        <v>.xlsx</v>
      </c>
      <c r="H679" s="29" t="e" cm="1">
        <f t="array" aca="1" ref="H679" ca="1">IF(AND(VALUE(E679)=INDIRECT("'["&amp;G679&amp;"]"&amp;E679&amp;"'!"&amp;$X$2),G679=INDIRECT("'["&amp;G679&amp;"]"&amp;E679&amp;"'!"&amp;$X$3)),INDIRECT("'["&amp;G679&amp;"]"&amp;E679&amp;"'!"&amp;$X$1),0)</f>
        <v>#VALUE!</v>
      </c>
      <c r="I679" s="25" t="str">
        <f t="shared" si="178"/>
        <v/>
      </c>
      <c r="J679" s="32" t="str">
        <f t="shared" si="179"/>
        <v/>
      </c>
      <c r="K679" s="25" t="str">
        <f t="shared" si="180"/>
        <v/>
      </c>
      <c r="L679" s="25" t="str">
        <f t="shared" si="181"/>
        <v/>
      </c>
      <c r="M679" s="33" t="e" cm="1">
        <f t="array" aca="1" ref="M679" ca="1">IF(AND(J679=INDIRECT("'["&amp;G679&amp;"]"&amp;E679&amp;"'!"&amp;$Y$2),G679=INDIRECT("'["&amp;G679&amp;"]"&amp;E679&amp;"'!"&amp;$AH$2)),INDIRECT("'["&amp;G679&amp;"]"&amp;E679&amp;"'!"&amp;$Y$3),0)</f>
        <v>#VALUE!</v>
      </c>
      <c r="N679" s="34" t="e" cm="1">
        <f t="array" aca="1" ref="N679" ca="1">IF(AND(G679=INDIRECT("'["&amp;G679&amp;"]"&amp;E679&amp;"'!"&amp;$AH$2),OR(K679=INDIRECT("'["&amp;G679&amp;"]"&amp;E679&amp;"'!"&amp;$Z$2))),INDIRECT("'["&amp;G679&amp;"]"&amp;E679&amp;"'!"&amp;$Z$3),0)</f>
        <v>#VALUE!</v>
      </c>
      <c r="O679" s="34" t="e" cm="1">
        <f t="array" aca="1" ref="O679" ca="1">IF(AND(G679=INDIRECT("'["&amp;G679&amp;"]"&amp;E679&amp;"'!"&amp;$AH$2),OR(L679=INDIRECT("'["&amp;G679&amp;"]"&amp;E679&amp;"'!"&amp;$AA$2))),INDIRECT("'["&amp;G679&amp;"]"&amp;E679&amp;"'!"&amp;$AA$3),0)</f>
        <v>#VALUE!</v>
      </c>
      <c r="P679" s="34" t="e" cm="1">
        <f t="array" aca="1" ref="P679" ca="1">IF(AND(G679=INDIRECT("'["&amp;G679&amp;"]"&amp;E679&amp;"'!"&amp;$AH$2),OR(VALUE(I679)=INDIRECT("'["&amp;G679&amp;"]"&amp;E679&amp;"'!"&amp;$AB$2))),INDIRECT("'["&amp;G679&amp;"]"&amp;E679&amp;"'!"&amp;$AB$3),0)</f>
        <v>#VALUE!</v>
      </c>
      <c r="Q679" s="34" t="e" cm="1">
        <f t="array" aca="1" ref="Q679" ca="1">IF(AND(G679=INDIRECT("'["&amp;G679&amp;"]"&amp;E679&amp;"'!"&amp;$AH$2),OR(VALUE(I679)=INDIRECT("'["&amp;G679&amp;"]"&amp;E679&amp;"'!"&amp;$AC$2))),INDIRECT("'["&amp;G679&amp;"]"&amp;E679&amp;"'!"&amp;$AC$3),0)</f>
        <v>#VALUE!</v>
      </c>
      <c r="R679" s="34" t="e" cm="1">
        <f t="array" aca="1" ref="R679" ca="1">IF(AND(G679=INDIRECT("'["&amp;G679&amp;"]"&amp;E679&amp;"'!"&amp;$AH$2),OR(I679=INDIRECT("'["&amp;G679&amp;"]"&amp;E679&amp;"'!"&amp;$AD$2))),INDIRECT("'["&amp;G679&amp;"]"&amp;E679&amp;"'!"&amp;$AD$3),0)</f>
        <v>#VALUE!</v>
      </c>
      <c r="S679" s="34" t="e" cm="1">
        <f t="array" aca="1" ref="S679" ca="1">IF(AND(G679=INDIRECT("'["&amp;G679&amp;"]"&amp;E679&amp;"'!"&amp;$AH$2),OR(I679=INDIRECT("'["&amp;G679&amp;"]"&amp;E679&amp;"'!"&amp;$AE$2))),INDIRECT("'["&amp;G679&amp;"]"&amp;E679&amp;"'!"&amp;$AE$3),0)</f>
        <v>#VALUE!</v>
      </c>
      <c r="T679" s="35" t="e" cm="1">
        <f t="array" aca="1" ref="T679" ca="1">IF(AND(G679=INDIRECT("'["&amp;G679&amp;"]"&amp;E679&amp;"'!"&amp;$AH$2),OR(I679=INDIRECT("'["&amp;G679&amp;"]"&amp;E679&amp;"'!"&amp;$AF$2))),INDIRECT("'["&amp;G679&amp;"]"&amp;E679&amp;"'!"&amp;$AF$3),0)</f>
        <v>#VALUE!</v>
      </c>
      <c r="U679" s="34" t="e" cm="1">
        <f t="array" aca="1" ref="U679" ca="1">IF(AND(G679=INDIRECT("'["&amp;G679&amp;"]"&amp;E679&amp;"'!"&amp;$AH$2),OR(I679=INDIRECT("'["&amp;G679&amp;"]"&amp;E679&amp;"'!"&amp;$AG$2))),INDIRECT("'["&amp;G679&amp;"]"&amp;E679&amp;"'!"&amp;$AG$3),0)</f>
        <v>#VALUE!</v>
      </c>
      <c r="V679" s="25" t="str">
        <f t="shared" si="182"/>
        <v/>
      </c>
      <c r="W679" s="36" t="e" cm="1">
        <f t="array" aca="1" ref="W679" ca="1">IF(AND(G679=INDIRECT("'["&amp;G679&amp;"]"&amp;E679&amp;"'!"&amp;$AH$2),OR(V679=INDIRECT("'["&amp;G679&amp;"]"&amp;E679&amp;"'!"&amp;$AI$2))),INDIRECT("'["&amp;G679&amp;"]"&amp;E679&amp;"'!"&amp;$AI$3),0)</f>
        <v>#VALUE!</v>
      </c>
      <c r="AJ679" s="25">
        <v>1</v>
      </c>
      <c r="AK679" s="38">
        <f t="shared" ca="1" si="183"/>
        <v>0</v>
      </c>
      <c r="AL679" s="38">
        <f t="shared" ca="1" si="184"/>
        <v>0</v>
      </c>
      <c r="AM679" s="54" t="str">
        <f t="shared" ca="1" si="185"/>
        <v/>
      </c>
      <c r="AN679" s="25" t="e">
        <f t="shared" ca="1" si="186"/>
        <v>#VALUE!</v>
      </c>
      <c r="AO679" s="25" t="e">
        <f t="shared" ca="1" si="187"/>
        <v>#VALUE!</v>
      </c>
      <c r="AQ679" s="46" t="str">
        <f ca="1">IF(AND(C679&lt;&gt;0, C680=0), SUM($C$2:C679)-SUM($AQ$1:AQ678), "")</f>
        <v/>
      </c>
      <c r="AR679" s="46" t="str">
        <f ca="1">IF(AND(AK679&lt;&gt;0, AK680=0), SUM($AK$2:AK679)-SUM($AR$1:AR678), "")</f>
        <v/>
      </c>
    </row>
    <row r="680" spans="2:44" ht="13.15" customHeight="1">
      <c r="B680" s="68" t="str">
        <f t="shared" si="173"/>
        <v/>
      </c>
      <c r="C680" s="55" cm="1">
        <f t="array" aca="1" ref="C680" ca="1">SUM(IF(ISNUMBER(M680:U680),M680:U680,""))</f>
        <v>0</v>
      </c>
      <c r="D680" s="25" t="str">
        <f t="shared" si="174"/>
        <v/>
      </c>
      <c r="E680" s="25" t="e">
        <f t="shared" si="175"/>
        <v>#VALUE!</v>
      </c>
      <c r="F680" s="25" t="str">
        <f t="shared" si="176"/>
        <v/>
      </c>
      <c r="G680" s="25" t="str">
        <f t="shared" si="177"/>
        <v>.xlsx</v>
      </c>
      <c r="H680" s="29" t="e" cm="1">
        <f t="array" aca="1" ref="H680" ca="1">IF(AND(VALUE(E680)=INDIRECT("'["&amp;G680&amp;"]"&amp;E680&amp;"'!"&amp;$X$2),G680=INDIRECT("'["&amp;G680&amp;"]"&amp;E680&amp;"'!"&amp;$X$3)),INDIRECT("'["&amp;G680&amp;"]"&amp;E680&amp;"'!"&amp;$X$1),0)</f>
        <v>#VALUE!</v>
      </c>
      <c r="I680" s="25" t="str">
        <f t="shared" si="178"/>
        <v/>
      </c>
      <c r="J680" s="32" t="str">
        <f t="shared" si="179"/>
        <v/>
      </c>
      <c r="K680" s="25" t="str">
        <f t="shared" si="180"/>
        <v/>
      </c>
      <c r="L680" s="25" t="str">
        <f t="shared" si="181"/>
        <v/>
      </c>
      <c r="M680" s="33" t="e" cm="1">
        <f t="array" aca="1" ref="M680" ca="1">IF(AND(J680=INDIRECT("'["&amp;G680&amp;"]"&amp;E680&amp;"'!"&amp;$Y$2),G680=INDIRECT("'["&amp;G680&amp;"]"&amp;E680&amp;"'!"&amp;$AH$2)),INDIRECT("'["&amp;G680&amp;"]"&amp;E680&amp;"'!"&amp;$Y$3),0)</f>
        <v>#VALUE!</v>
      </c>
      <c r="N680" s="34" t="e" cm="1">
        <f t="array" aca="1" ref="N680" ca="1">IF(AND(G680=INDIRECT("'["&amp;G680&amp;"]"&amp;E680&amp;"'!"&amp;$AH$2),OR(K680=INDIRECT("'["&amp;G680&amp;"]"&amp;E680&amp;"'!"&amp;$Z$2))),INDIRECT("'["&amp;G680&amp;"]"&amp;E680&amp;"'!"&amp;$Z$3),0)</f>
        <v>#VALUE!</v>
      </c>
      <c r="O680" s="34" t="e" cm="1">
        <f t="array" aca="1" ref="O680" ca="1">IF(AND(G680=INDIRECT("'["&amp;G680&amp;"]"&amp;E680&amp;"'!"&amp;$AH$2),OR(L680=INDIRECT("'["&amp;G680&amp;"]"&amp;E680&amp;"'!"&amp;$AA$2))),INDIRECT("'["&amp;G680&amp;"]"&amp;E680&amp;"'!"&amp;$AA$3),0)</f>
        <v>#VALUE!</v>
      </c>
      <c r="P680" s="34" t="e" cm="1">
        <f t="array" aca="1" ref="P680" ca="1">IF(AND(G680=INDIRECT("'["&amp;G680&amp;"]"&amp;E680&amp;"'!"&amp;$AH$2),OR(VALUE(I680)=INDIRECT("'["&amp;G680&amp;"]"&amp;E680&amp;"'!"&amp;$AB$2))),INDIRECT("'["&amp;G680&amp;"]"&amp;E680&amp;"'!"&amp;$AB$3),0)</f>
        <v>#VALUE!</v>
      </c>
      <c r="Q680" s="34" t="e" cm="1">
        <f t="array" aca="1" ref="Q680" ca="1">IF(AND(G680=INDIRECT("'["&amp;G680&amp;"]"&amp;E680&amp;"'!"&amp;$AH$2),OR(VALUE(I680)=INDIRECT("'["&amp;G680&amp;"]"&amp;E680&amp;"'!"&amp;$AC$2))),INDIRECT("'["&amp;G680&amp;"]"&amp;E680&amp;"'!"&amp;$AC$3),0)</f>
        <v>#VALUE!</v>
      </c>
      <c r="R680" s="34" t="e" cm="1">
        <f t="array" aca="1" ref="R680" ca="1">IF(AND(G680=INDIRECT("'["&amp;G680&amp;"]"&amp;E680&amp;"'!"&amp;$AH$2),OR(I680=INDIRECT("'["&amp;G680&amp;"]"&amp;E680&amp;"'!"&amp;$AD$2))),INDIRECT("'["&amp;G680&amp;"]"&amp;E680&amp;"'!"&amp;$AD$3),0)</f>
        <v>#VALUE!</v>
      </c>
      <c r="S680" s="34" t="e" cm="1">
        <f t="array" aca="1" ref="S680" ca="1">IF(AND(G680=INDIRECT("'["&amp;G680&amp;"]"&amp;E680&amp;"'!"&amp;$AH$2),OR(I680=INDIRECT("'["&amp;G680&amp;"]"&amp;E680&amp;"'!"&amp;$AE$2))),INDIRECT("'["&amp;G680&amp;"]"&amp;E680&amp;"'!"&amp;$AE$3),0)</f>
        <v>#VALUE!</v>
      </c>
      <c r="T680" s="35" t="e" cm="1">
        <f t="array" aca="1" ref="T680" ca="1">IF(AND(G680=INDIRECT("'["&amp;G680&amp;"]"&amp;E680&amp;"'!"&amp;$AH$2),OR(I680=INDIRECT("'["&amp;G680&amp;"]"&amp;E680&amp;"'!"&amp;$AF$2))),INDIRECT("'["&amp;G680&amp;"]"&amp;E680&amp;"'!"&amp;$AF$3),0)</f>
        <v>#VALUE!</v>
      </c>
      <c r="U680" s="34" t="e" cm="1">
        <f t="array" aca="1" ref="U680" ca="1">IF(AND(G680=INDIRECT("'["&amp;G680&amp;"]"&amp;E680&amp;"'!"&amp;$AH$2),OR(I680=INDIRECT("'["&amp;G680&amp;"]"&amp;E680&amp;"'!"&amp;$AG$2))),INDIRECT("'["&amp;G680&amp;"]"&amp;E680&amp;"'!"&amp;$AG$3),0)</f>
        <v>#VALUE!</v>
      </c>
      <c r="V680" s="25" t="str">
        <f t="shared" si="182"/>
        <v/>
      </c>
      <c r="W680" s="36" t="e" cm="1">
        <f t="array" aca="1" ref="W680" ca="1">IF(AND(G680=INDIRECT("'["&amp;G680&amp;"]"&amp;E680&amp;"'!"&amp;$AH$2),OR(V680=INDIRECT("'["&amp;G680&amp;"]"&amp;E680&amp;"'!"&amp;$AI$2))),INDIRECT("'["&amp;G680&amp;"]"&amp;E680&amp;"'!"&amp;$AI$3),0)</f>
        <v>#VALUE!</v>
      </c>
      <c r="AJ680" s="25">
        <v>1</v>
      </c>
      <c r="AK680" s="38">
        <f t="shared" ca="1" si="183"/>
        <v>0</v>
      </c>
      <c r="AL680" s="38">
        <f t="shared" ca="1" si="184"/>
        <v>0</v>
      </c>
      <c r="AM680" s="54" t="str">
        <f t="shared" ca="1" si="185"/>
        <v/>
      </c>
      <c r="AN680" s="25" t="e">
        <f t="shared" ca="1" si="186"/>
        <v>#VALUE!</v>
      </c>
      <c r="AO680" s="25" t="e">
        <f t="shared" ca="1" si="187"/>
        <v>#VALUE!</v>
      </c>
      <c r="AQ680" s="46" t="str">
        <f ca="1">IF(AND(C680&lt;&gt;0, C681=0), SUM($C$2:C680)-SUM($AQ$1:AQ679), "")</f>
        <v/>
      </c>
      <c r="AR680" s="46" t="str">
        <f ca="1">IF(AND(AK680&lt;&gt;0, AK681=0), SUM($AK$2:AK680)-SUM($AR$1:AR679), "")</f>
        <v/>
      </c>
    </row>
    <row r="681" spans="2:44" ht="13.15" customHeight="1">
      <c r="B681" s="68" t="str">
        <f t="shared" si="173"/>
        <v/>
      </c>
      <c r="C681" s="55" cm="1">
        <f t="array" aca="1" ref="C681" ca="1">SUM(IF(ISNUMBER(M681:U681),M681:U681,""))</f>
        <v>0</v>
      </c>
      <c r="D681" s="25" t="str">
        <f t="shared" si="174"/>
        <v/>
      </c>
      <c r="E681" s="25" t="e">
        <f t="shared" si="175"/>
        <v>#VALUE!</v>
      </c>
      <c r="F681" s="25" t="str">
        <f t="shared" si="176"/>
        <v/>
      </c>
      <c r="G681" s="25" t="str">
        <f t="shared" si="177"/>
        <v>.xlsx</v>
      </c>
      <c r="H681" s="29" t="e" cm="1">
        <f t="array" aca="1" ref="H681" ca="1">IF(AND(VALUE(E681)=INDIRECT("'["&amp;G681&amp;"]"&amp;E681&amp;"'!"&amp;$X$2),G681=INDIRECT("'["&amp;G681&amp;"]"&amp;E681&amp;"'!"&amp;$X$3)),INDIRECT("'["&amp;G681&amp;"]"&amp;E681&amp;"'!"&amp;$X$1),0)</f>
        <v>#VALUE!</v>
      </c>
      <c r="I681" s="25" t="str">
        <f t="shared" si="178"/>
        <v/>
      </c>
      <c r="J681" s="32" t="str">
        <f t="shared" si="179"/>
        <v/>
      </c>
      <c r="K681" s="25" t="str">
        <f t="shared" si="180"/>
        <v/>
      </c>
      <c r="L681" s="25" t="str">
        <f t="shared" si="181"/>
        <v/>
      </c>
      <c r="M681" s="33" t="e" cm="1">
        <f t="array" aca="1" ref="M681" ca="1">IF(AND(J681=INDIRECT("'["&amp;G681&amp;"]"&amp;E681&amp;"'!"&amp;$Y$2),G681=INDIRECT("'["&amp;G681&amp;"]"&amp;E681&amp;"'!"&amp;$AH$2)),INDIRECT("'["&amp;G681&amp;"]"&amp;E681&amp;"'!"&amp;$Y$3),0)</f>
        <v>#VALUE!</v>
      </c>
      <c r="N681" s="34" t="e" cm="1">
        <f t="array" aca="1" ref="N681" ca="1">IF(AND(G681=INDIRECT("'["&amp;G681&amp;"]"&amp;E681&amp;"'!"&amp;$AH$2),OR(K681=INDIRECT("'["&amp;G681&amp;"]"&amp;E681&amp;"'!"&amp;$Z$2))),INDIRECT("'["&amp;G681&amp;"]"&amp;E681&amp;"'!"&amp;$Z$3),0)</f>
        <v>#VALUE!</v>
      </c>
      <c r="O681" s="34" t="e" cm="1">
        <f t="array" aca="1" ref="O681" ca="1">IF(AND(G681=INDIRECT("'["&amp;G681&amp;"]"&amp;E681&amp;"'!"&amp;$AH$2),OR(L681=INDIRECT("'["&amp;G681&amp;"]"&amp;E681&amp;"'!"&amp;$AA$2))),INDIRECT("'["&amp;G681&amp;"]"&amp;E681&amp;"'!"&amp;$AA$3),0)</f>
        <v>#VALUE!</v>
      </c>
      <c r="P681" s="34" t="e" cm="1">
        <f t="array" aca="1" ref="P681" ca="1">IF(AND(G681=INDIRECT("'["&amp;G681&amp;"]"&amp;E681&amp;"'!"&amp;$AH$2),OR(VALUE(I681)=INDIRECT("'["&amp;G681&amp;"]"&amp;E681&amp;"'!"&amp;$AB$2))),INDIRECT("'["&amp;G681&amp;"]"&amp;E681&amp;"'!"&amp;$AB$3),0)</f>
        <v>#VALUE!</v>
      </c>
      <c r="Q681" s="34" t="e" cm="1">
        <f t="array" aca="1" ref="Q681" ca="1">IF(AND(G681=INDIRECT("'["&amp;G681&amp;"]"&amp;E681&amp;"'!"&amp;$AH$2),OR(VALUE(I681)=INDIRECT("'["&amp;G681&amp;"]"&amp;E681&amp;"'!"&amp;$AC$2))),INDIRECT("'["&amp;G681&amp;"]"&amp;E681&amp;"'!"&amp;$AC$3),0)</f>
        <v>#VALUE!</v>
      </c>
      <c r="R681" s="34" t="e" cm="1">
        <f t="array" aca="1" ref="R681" ca="1">IF(AND(G681=INDIRECT("'["&amp;G681&amp;"]"&amp;E681&amp;"'!"&amp;$AH$2),OR(I681=INDIRECT("'["&amp;G681&amp;"]"&amp;E681&amp;"'!"&amp;$AD$2))),INDIRECT("'["&amp;G681&amp;"]"&amp;E681&amp;"'!"&amp;$AD$3),0)</f>
        <v>#VALUE!</v>
      </c>
      <c r="S681" s="34" t="e" cm="1">
        <f t="array" aca="1" ref="S681" ca="1">IF(AND(G681=INDIRECT("'["&amp;G681&amp;"]"&amp;E681&amp;"'!"&amp;$AH$2),OR(I681=INDIRECT("'["&amp;G681&amp;"]"&amp;E681&amp;"'!"&amp;$AE$2))),INDIRECT("'["&amp;G681&amp;"]"&amp;E681&amp;"'!"&amp;$AE$3),0)</f>
        <v>#VALUE!</v>
      </c>
      <c r="T681" s="35" t="e" cm="1">
        <f t="array" aca="1" ref="T681" ca="1">IF(AND(G681=INDIRECT("'["&amp;G681&amp;"]"&amp;E681&amp;"'!"&amp;$AH$2),OR(I681=INDIRECT("'["&amp;G681&amp;"]"&amp;E681&amp;"'!"&amp;$AF$2))),INDIRECT("'["&amp;G681&amp;"]"&amp;E681&amp;"'!"&amp;$AF$3),0)</f>
        <v>#VALUE!</v>
      </c>
      <c r="U681" s="34" t="e" cm="1">
        <f t="array" aca="1" ref="U681" ca="1">IF(AND(G681=INDIRECT("'["&amp;G681&amp;"]"&amp;E681&amp;"'!"&amp;$AH$2),OR(I681=INDIRECT("'["&amp;G681&amp;"]"&amp;E681&amp;"'!"&amp;$AG$2))),INDIRECT("'["&amp;G681&amp;"]"&amp;E681&amp;"'!"&amp;$AG$3),0)</f>
        <v>#VALUE!</v>
      </c>
      <c r="V681" s="25" t="str">
        <f t="shared" si="182"/>
        <v/>
      </c>
      <c r="W681" s="36" t="e" cm="1">
        <f t="array" aca="1" ref="W681" ca="1">IF(AND(G681=INDIRECT("'["&amp;G681&amp;"]"&amp;E681&amp;"'!"&amp;$AH$2),OR(V681=INDIRECT("'["&amp;G681&amp;"]"&amp;E681&amp;"'!"&amp;$AI$2))),INDIRECT("'["&amp;G681&amp;"]"&amp;E681&amp;"'!"&amp;$AI$3),0)</f>
        <v>#VALUE!</v>
      </c>
      <c r="AJ681" s="25">
        <v>1</v>
      </c>
      <c r="AK681" s="38">
        <f t="shared" ca="1" si="183"/>
        <v>0</v>
      </c>
      <c r="AL681" s="38">
        <f t="shared" ca="1" si="184"/>
        <v>0</v>
      </c>
      <c r="AM681" s="54" t="str">
        <f t="shared" ca="1" si="185"/>
        <v/>
      </c>
      <c r="AN681" s="25" t="e">
        <f t="shared" ca="1" si="186"/>
        <v>#VALUE!</v>
      </c>
      <c r="AO681" s="25" t="e">
        <f t="shared" ca="1" si="187"/>
        <v>#VALUE!</v>
      </c>
      <c r="AQ681" s="46" t="str">
        <f ca="1">IF(AND(C681&lt;&gt;0, C682=0), SUM($C$2:C681)-SUM($AQ$1:AQ680), "")</f>
        <v/>
      </c>
      <c r="AR681" s="46" t="str">
        <f ca="1">IF(AND(AK681&lt;&gt;0, AK682=0), SUM($AK$2:AK681)-SUM($AR$1:AR680), "")</f>
        <v/>
      </c>
    </row>
    <row r="682" spans="2:44" ht="13.15" customHeight="1">
      <c r="B682" s="68" t="str">
        <f t="shared" si="173"/>
        <v/>
      </c>
      <c r="C682" s="55" cm="1">
        <f t="array" aca="1" ref="C682" ca="1">SUM(IF(ISNUMBER(M682:U682),M682:U682,""))</f>
        <v>0</v>
      </c>
      <c r="D682" s="25" t="str">
        <f t="shared" si="174"/>
        <v/>
      </c>
      <c r="E682" s="25" t="e">
        <f t="shared" si="175"/>
        <v>#VALUE!</v>
      </c>
      <c r="F682" s="25" t="str">
        <f t="shared" si="176"/>
        <v/>
      </c>
      <c r="G682" s="25" t="str">
        <f t="shared" si="177"/>
        <v>.xlsx</v>
      </c>
      <c r="H682" s="29" t="e" cm="1">
        <f t="array" aca="1" ref="H682" ca="1">IF(AND(VALUE(E682)=INDIRECT("'["&amp;G682&amp;"]"&amp;E682&amp;"'!"&amp;$X$2),G682=INDIRECT("'["&amp;G682&amp;"]"&amp;E682&amp;"'!"&amp;$X$3)),INDIRECT("'["&amp;G682&amp;"]"&amp;E682&amp;"'!"&amp;$X$1),0)</f>
        <v>#VALUE!</v>
      </c>
      <c r="I682" s="25" t="str">
        <f t="shared" si="178"/>
        <v/>
      </c>
      <c r="J682" s="32" t="str">
        <f t="shared" si="179"/>
        <v/>
      </c>
      <c r="K682" s="25" t="str">
        <f t="shared" si="180"/>
        <v/>
      </c>
      <c r="L682" s="25" t="str">
        <f t="shared" si="181"/>
        <v/>
      </c>
      <c r="M682" s="33" t="e" cm="1">
        <f t="array" aca="1" ref="M682" ca="1">IF(AND(J682=INDIRECT("'["&amp;G682&amp;"]"&amp;E682&amp;"'!"&amp;$Y$2),G682=INDIRECT("'["&amp;G682&amp;"]"&amp;E682&amp;"'!"&amp;$AH$2)),INDIRECT("'["&amp;G682&amp;"]"&amp;E682&amp;"'!"&amp;$Y$3),0)</f>
        <v>#VALUE!</v>
      </c>
      <c r="N682" s="34" t="e" cm="1">
        <f t="array" aca="1" ref="N682" ca="1">IF(AND(G682=INDIRECT("'["&amp;G682&amp;"]"&amp;E682&amp;"'!"&amp;$AH$2),OR(K682=INDIRECT("'["&amp;G682&amp;"]"&amp;E682&amp;"'!"&amp;$Z$2))),INDIRECT("'["&amp;G682&amp;"]"&amp;E682&amp;"'!"&amp;$Z$3),0)</f>
        <v>#VALUE!</v>
      </c>
      <c r="O682" s="34" t="e" cm="1">
        <f t="array" aca="1" ref="O682" ca="1">IF(AND(G682=INDIRECT("'["&amp;G682&amp;"]"&amp;E682&amp;"'!"&amp;$AH$2),OR(L682=INDIRECT("'["&amp;G682&amp;"]"&amp;E682&amp;"'!"&amp;$AA$2))),INDIRECT("'["&amp;G682&amp;"]"&amp;E682&amp;"'!"&amp;$AA$3),0)</f>
        <v>#VALUE!</v>
      </c>
      <c r="P682" s="34" t="e" cm="1">
        <f t="array" aca="1" ref="P682" ca="1">IF(AND(G682=INDIRECT("'["&amp;G682&amp;"]"&amp;E682&amp;"'!"&amp;$AH$2),OR(VALUE(I682)=INDIRECT("'["&amp;G682&amp;"]"&amp;E682&amp;"'!"&amp;$AB$2))),INDIRECT("'["&amp;G682&amp;"]"&amp;E682&amp;"'!"&amp;$AB$3),0)</f>
        <v>#VALUE!</v>
      </c>
      <c r="Q682" s="34" t="e" cm="1">
        <f t="array" aca="1" ref="Q682" ca="1">IF(AND(G682=INDIRECT("'["&amp;G682&amp;"]"&amp;E682&amp;"'!"&amp;$AH$2),OR(VALUE(I682)=INDIRECT("'["&amp;G682&amp;"]"&amp;E682&amp;"'!"&amp;$AC$2))),INDIRECT("'["&amp;G682&amp;"]"&amp;E682&amp;"'!"&amp;$AC$3),0)</f>
        <v>#VALUE!</v>
      </c>
      <c r="R682" s="34" t="e" cm="1">
        <f t="array" aca="1" ref="R682" ca="1">IF(AND(G682=INDIRECT("'["&amp;G682&amp;"]"&amp;E682&amp;"'!"&amp;$AH$2),OR(I682=INDIRECT("'["&amp;G682&amp;"]"&amp;E682&amp;"'!"&amp;$AD$2))),INDIRECT("'["&amp;G682&amp;"]"&amp;E682&amp;"'!"&amp;$AD$3),0)</f>
        <v>#VALUE!</v>
      </c>
      <c r="S682" s="34" t="e" cm="1">
        <f t="array" aca="1" ref="S682" ca="1">IF(AND(G682=INDIRECT("'["&amp;G682&amp;"]"&amp;E682&amp;"'!"&amp;$AH$2),OR(I682=INDIRECT("'["&amp;G682&amp;"]"&amp;E682&amp;"'!"&amp;$AE$2))),INDIRECT("'["&amp;G682&amp;"]"&amp;E682&amp;"'!"&amp;$AE$3),0)</f>
        <v>#VALUE!</v>
      </c>
      <c r="T682" s="35" t="e" cm="1">
        <f t="array" aca="1" ref="T682" ca="1">IF(AND(G682=INDIRECT("'["&amp;G682&amp;"]"&amp;E682&amp;"'!"&amp;$AH$2),OR(I682=INDIRECT("'["&amp;G682&amp;"]"&amp;E682&amp;"'!"&amp;$AF$2))),INDIRECT("'["&amp;G682&amp;"]"&amp;E682&amp;"'!"&amp;$AF$3),0)</f>
        <v>#VALUE!</v>
      </c>
      <c r="U682" s="34" t="e" cm="1">
        <f t="array" aca="1" ref="U682" ca="1">IF(AND(G682=INDIRECT("'["&amp;G682&amp;"]"&amp;E682&amp;"'!"&amp;$AH$2),OR(I682=INDIRECT("'["&amp;G682&amp;"]"&amp;E682&amp;"'!"&amp;$AG$2))),INDIRECT("'["&amp;G682&amp;"]"&amp;E682&amp;"'!"&amp;$AG$3),0)</f>
        <v>#VALUE!</v>
      </c>
      <c r="V682" s="25" t="str">
        <f t="shared" si="182"/>
        <v/>
      </c>
      <c r="W682" s="36" t="e" cm="1">
        <f t="array" aca="1" ref="W682" ca="1">IF(AND(G682=INDIRECT("'["&amp;G682&amp;"]"&amp;E682&amp;"'!"&amp;$AH$2),OR(V682=INDIRECT("'["&amp;G682&amp;"]"&amp;E682&amp;"'!"&amp;$AI$2))),INDIRECT("'["&amp;G682&amp;"]"&amp;E682&amp;"'!"&amp;$AI$3),0)</f>
        <v>#VALUE!</v>
      </c>
      <c r="AJ682" s="25">
        <v>1</v>
      </c>
      <c r="AK682" s="38">
        <f t="shared" ca="1" si="183"/>
        <v>0</v>
      </c>
      <c r="AL682" s="38">
        <f t="shared" ca="1" si="184"/>
        <v>0</v>
      </c>
      <c r="AM682" s="54" t="str">
        <f t="shared" ca="1" si="185"/>
        <v/>
      </c>
      <c r="AN682" s="25" t="e">
        <f t="shared" ca="1" si="186"/>
        <v>#VALUE!</v>
      </c>
      <c r="AO682" s="25" t="e">
        <f t="shared" ca="1" si="187"/>
        <v>#VALUE!</v>
      </c>
      <c r="AQ682" s="46" t="str">
        <f ca="1">IF(AND(C682&lt;&gt;0, C683=0), SUM($C$2:C682)-SUM($AQ$1:AQ681), "")</f>
        <v/>
      </c>
      <c r="AR682" s="46" t="str">
        <f ca="1">IF(AND(AK682&lt;&gt;0, AK683=0), SUM($AK$2:AK682)-SUM($AR$1:AR681), "")</f>
        <v/>
      </c>
    </row>
    <row r="683" spans="2:44" ht="13.15" customHeight="1">
      <c r="B683" s="68" t="str">
        <f t="shared" si="173"/>
        <v/>
      </c>
      <c r="C683" s="55" cm="1">
        <f t="array" aca="1" ref="C683" ca="1">SUM(IF(ISNUMBER(M683:U683),M683:U683,""))</f>
        <v>0</v>
      </c>
      <c r="D683" s="25" t="str">
        <f t="shared" si="174"/>
        <v/>
      </c>
      <c r="E683" s="25" t="e">
        <f t="shared" si="175"/>
        <v>#VALUE!</v>
      </c>
      <c r="F683" s="25" t="str">
        <f t="shared" si="176"/>
        <v/>
      </c>
      <c r="G683" s="25" t="str">
        <f t="shared" si="177"/>
        <v>.xlsx</v>
      </c>
      <c r="H683" s="29" t="e" cm="1">
        <f t="array" aca="1" ref="H683" ca="1">IF(AND(VALUE(E683)=INDIRECT("'["&amp;G683&amp;"]"&amp;E683&amp;"'!"&amp;$X$2),G683=INDIRECT("'["&amp;G683&amp;"]"&amp;E683&amp;"'!"&amp;$X$3)),INDIRECT("'["&amp;G683&amp;"]"&amp;E683&amp;"'!"&amp;$X$1),0)</f>
        <v>#VALUE!</v>
      </c>
      <c r="I683" s="25" t="str">
        <f t="shared" si="178"/>
        <v/>
      </c>
      <c r="J683" s="32" t="str">
        <f t="shared" si="179"/>
        <v/>
      </c>
      <c r="K683" s="25" t="str">
        <f t="shared" si="180"/>
        <v/>
      </c>
      <c r="L683" s="25" t="str">
        <f t="shared" si="181"/>
        <v/>
      </c>
      <c r="M683" s="33" t="e" cm="1">
        <f t="array" aca="1" ref="M683" ca="1">IF(AND(J683=INDIRECT("'["&amp;G683&amp;"]"&amp;E683&amp;"'!"&amp;$Y$2),G683=INDIRECT("'["&amp;G683&amp;"]"&amp;E683&amp;"'!"&amp;$AH$2)),INDIRECT("'["&amp;G683&amp;"]"&amp;E683&amp;"'!"&amp;$Y$3),0)</f>
        <v>#VALUE!</v>
      </c>
      <c r="N683" s="34" t="e" cm="1">
        <f t="array" aca="1" ref="N683" ca="1">IF(AND(G683=INDIRECT("'["&amp;G683&amp;"]"&amp;E683&amp;"'!"&amp;$AH$2),OR(K683=INDIRECT("'["&amp;G683&amp;"]"&amp;E683&amp;"'!"&amp;$Z$2))),INDIRECT("'["&amp;G683&amp;"]"&amp;E683&amp;"'!"&amp;$Z$3),0)</f>
        <v>#VALUE!</v>
      </c>
      <c r="O683" s="34" t="e" cm="1">
        <f t="array" aca="1" ref="O683" ca="1">IF(AND(G683=INDIRECT("'["&amp;G683&amp;"]"&amp;E683&amp;"'!"&amp;$AH$2),OR(L683=INDIRECT("'["&amp;G683&amp;"]"&amp;E683&amp;"'!"&amp;$AA$2))),INDIRECT("'["&amp;G683&amp;"]"&amp;E683&amp;"'!"&amp;$AA$3),0)</f>
        <v>#VALUE!</v>
      </c>
      <c r="P683" s="34" t="e" cm="1">
        <f t="array" aca="1" ref="P683" ca="1">IF(AND(G683=INDIRECT("'["&amp;G683&amp;"]"&amp;E683&amp;"'!"&amp;$AH$2),OR(VALUE(I683)=INDIRECT("'["&amp;G683&amp;"]"&amp;E683&amp;"'!"&amp;$AB$2))),INDIRECT("'["&amp;G683&amp;"]"&amp;E683&amp;"'!"&amp;$AB$3),0)</f>
        <v>#VALUE!</v>
      </c>
      <c r="Q683" s="34" t="e" cm="1">
        <f t="array" aca="1" ref="Q683" ca="1">IF(AND(G683=INDIRECT("'["&amp;G683&amp;"]"&amp;E683&amp;"'!"&amp;$AH$2),OR(VALUE(I683)=INDIRECT("'["&amp;G683&amp;"]"&amp;E683&amp;"'!"&amp;$AC$2))),INDIRECT("'["&amp;G683&amp;"]"&amp;E683&amp;"'!"&amp;$AC$3),0)</f>
        <v>#VALUE!</v>
      </c>
      <c r="R683" s="34" t="e" cm="1">
        <f t="array" aca="1" ref="R683" ca="1">IF(AND(G683=INDIRECT("'["&amp;G683&amp;"]"&amp;E683&amp;"'!"&amp;$AH$2),OR(I683=INDIRECT("'["&amp;G683&amp;"]"&amp;E683&amp;"'!"&amp;$AD$2))),INDIRECT("'["&amp;G683&amp;"]"&amp;E683&amp;"'!"&amp;$AD$3),0)</f>
        <v>#VALUE!</v>
      </c>
      <c r="S683" s="34" t="e" cm="1">
        <f t="array" aca="1" ref="S683" ca="1">IF(AND(G683=INDIRECT("'["&amp;G683&amp;"]"&amp;E683&amp;"'!"&amp;$AH$2),OR(I683=INDIRECT("'["&amp;G683&amp;"]"&amp;E683&amp;"'!"&amp;$AE$2))),INDIRECT("'["&amp;G683&amp;"]"&amp;E683&amp;"'!"&amp;$AE$3),0)</f>
        <v>#VALUE!</v>
      </c>
      <c r="T683" s="35" t="e" cm="1">
        <f t="array" aca="1" ref="T683" ca="1">IF(AND(G683=INDIRECT("'["&amp;G683&amp;"]"&amp;E683&amp;"'!"&amp;$AH$2),OR(I683=INDIRECT("'["&amp;G683&amp;"]"&amp;E683&amp;"'!"&amp;$AF$2))),INDIRECT("'["&amp;G683&amp;"]"&amp;E683&amp;"'!"&amp;$AF$3),0)</f>
        <v>#VALUE!</v>
      </c>
      <c r="U683" s="34" t="e" cm="1">
        <f t="array" aca="1" ref="U683" ca="1">IF(AND(G683=INDIRECT("'["&amp;G683&amp;"]"&amp;E683&amp;"'!"&amp;$AH$2),OR(I683=INDIRECT("'["&amp;G683&amp;"]"&amp;E683&amp;"'!"&amp;$AG$2))),INDIRECT("'["&amp;G683&amp;"]"&amp;E683&amp;"'!"&amp;$AG$3),0)</f>
        <v>#VALUE!</v>
      </c>
      <c r="V683" s="25" t="str">
        <f t="shared" si="182"/>
        <v/>
      </c>
      <c r="W683" s="36" t="e" cm="1">
        <f t="array" aca="1" ref="W683" ca="1">IF(AND(G683=INDIRECT("'["&amp;G683&amp;"]"&amp;E683&amp;"'!"&amp;$AH$2),OR(V683=INDIRECT("'["&amp;G683&amp;"]"&amp;E683&amp;"'!"&amp;$AI$2))),INDIRECT("'["&amp;G683&amp;"]"&amp;E683&amp;"'!"&amp;$AI$3),0)</f>
        <v>#VALUE!</v>
      </c>
      <c r="AJ683" s="25">
        <v>1</v>
      </c>
      <c r="AK683" s="38">
        <f t="shared" ca="1" si="183"/>
        <v>0</v>
      </c>
      <c r="AL683" s="38">
        <f t="shared" ca="1" si="184"/>
        <v>0</v>
      </c>
      <c r="AM683" s="54" t="str">
        <f t="shared" ca="1" si="185"/>
        <v/>
      </c>
      <c r="AN683" s="25" t="e">
        <f t="shared" ca="1" si="186"/>
        <v>#VALUE!</v>
      </c>
      <c r="AO683" s="25" t="e">
        <f t="shared" ca="1" si="187"/>
        <v>#VALUE!</v>
      </c>
      <c r="AQ683" s="46" t="str">
        <f ca="1">IF(AND(C683&lt;&gt;0, C684=0), SUM($C$2:C683)-SUM($AQ$1:AQ682), "")</f>
        <v/>
      </c>
      <c r="AR683" s="46" t="str">
        <f ca="1">IF(AND(AK683&lt;&gt;0, AK684=0), SUM($AK$2:AK683)-SUM($AR$1:AR682), "")</f>
        <v/>
      </c>
    </row>
    <row r="684" spans="2:44" ht="13.15" customHeight="1">
      <c r="B684" s="68" t="str">
        <f t="shared" si="173"/>
        <v/>
      </c>
      <c r="C684" s="55" cm="1">
        <f t="array" aca="1" ref="C684" ca="1">SUM(IF(ISNUMBER(M684:U684),M684:U684,""))</f>
        <v>0</v>
      </c>
      <c r="D684" s="25" t="str">
        <f t="shared" si="174"/>
        <v/>
      </c>
      <c r="E684" s="25" t="e">
        <f t="shared" si="175"/>
        <v>#VALUE!</v>
      </c>
      <c r="F684" s="25" t="str">
        <f t="shared" si="176"/>
        <v/>
      </c>
      <c r="G684" s="25" t="str">
        <f t="shared" si="177"/>
        <v>.xlsx</v>
      </c>
      <c r="H684" s="29" t="e" cm="1">
        <f t="array" aca="1" ref="H684" ca="1">IF(AND(VALUE(E684)=INDIRECT("'["&amp;G684&amp;"]"&amp;E684&amp;"'!"&amp;$X$2),G684=INDIRECT("'["&amp;G684&amp;"]"&amp;E684&amp;"'!"&amp;$X$3)),INDIRECT("'["&amp;G684&amp;"]"&amp;E684&amp;"'!"&amp;$X$1),0)</f>
        <v>#VALUE!</v>
      </c>
      <c r="I684" s="25" t="str">
        <f t="shared" si="178"/>
        <v/>
      </c>
      <c r="J684" s="32" t="str">
        <f t="shared" si="179"/>
        <v/>
      </c>
      <c r="K684" s="25" t="str">
        <f t="shared" si="180"/>
        <v/>
      </c>
      <c r="L684" s="25" t="str">
        <f t="shared" si="181"/>
        <v/>
      </c>
      <c r="M684" s="33" t="e" cm="1">
        <f t="array" aca="1" ref="M684" ca="1">IF(AND(J684=INDIRECT("'["&amp;G684&amp;"]"&amp;E684&amp;"'!"&amp;$Y$2),G684=INDIRECT("'["&amp;G684&amp;"]"&amp;E684&amp;"'!"&amp;$AH$2)),INDIRECT("'["&amp;G684&amp;"]"&amp;E684&amp;"'!"&amp;$Y$3),0)</f>
        <v>#VALUE!</v>
      </c>
      <c r="N684" s="34" t="e" cm="1">
        <f t="array" aca="1" ref="N684" ca="1">IF(AND(G684=INDIRECT("'["&amp;G684&amp;"]"&amp;E684&amp;"'!"&amp;$AH$2),OR(K684=INDIRECT("'["&amp;G684&amp;"]"&amp;E684&amp;"'!"&amp;$Z$2))),INDIRECT("'["&amp;G684&amp;"]"&amp;E684&amp;"'!"&amp;$Z$3),0)</f>
        <v>#VALUE!</v>
      </c>
      <c r="O684" s="34" t="e" cm="1">
        <f t="array" aca="1" ref="O684" ca="1">IF(AND(G684=INDIRECT("'["&amp;G684&amp;"]"&amp;E684&amp;"'!"&amp;$AH$2),OR(L684=INDIRECT("'["&amp;G684&amp;"]"&amp;E684&amp;"'!"&amp;$AA$2))),INDIRECT("'["&amp;G684&amp;"]"&amp;E684&amp;"'!"&amp;$AA$3),0)</f>
        <v>#VALUE!</v>
      </c>
      <c r="P684" s="34" t="e" cm="1">
        <f t="array" aca="1" ref="P684" ca="1">IF(AND(G684=INDIRECT("'["&amp;G684&amp;"]"&amp;E684&amp;"'!"&amp;$AH$2),OR(VALUE(I684)=INDIRECT("'["&amp;G684&amp;"]"&amp;E684&amp;"'!"&amp;$AB$2))),INDIRECT("'["&amp;G684&amp;"]"&amp;E684&amp;"'!"&amp;$AB$3),0)</f>
        <v>#VALUE!</v>
      </c>
      <c r="Q684" s="34" t="e" cm="1">
        <f t="array" aca="1" ref="Q684" ca="1">IF(AND(G684=INDIRECT("'["&amp;G684&amp;"]"&amp;E684&amp;"'!"&amp;$AH$2),OR(VALUE(I684)=INDIRECT("'["&amp;G684&amp;"]"&amp;E684&amp;"'!"&amp;$AC$2))),INDIRECT("'["&amp;G684&amp;"]"&amp;E684&amp;"'!"&amp;$AC$3),0)</f>
        <v>#VALUE!</v>
      </c>
      <c r="R684" s="34" t="e" cm="1">
        <f t="array" aca="1" ref="R684" ca="1">IF(AND(G684=INDIRECT("'["&amp;G684&amp;"]"&amp;E684&amp;"'!"&amp;$AH$2),OR(I684=INDIRECT("'["&amp;G684&amp;"]"&amp;E684&amp;"'!"&amp;$AD$2))),INDIRECT("'["&amp;G684&amp;"]"&amp;E684&amp;"'!"&amp;$AD$3),0)</f>
        <v>#VALUE!</v>
      </c>
      <c r="S684" s="34" t="e" cm="1">
        <f t="array" aca="1" ref="S684" ca="1">IF(AND(G684=INDIRECT("'["&amp;G684&amp;"]"&amp;E684&amp;"'!"&amp;$AH$2),OR(I684=INDIRECT("'["&amp;G684&amp;"]"&amp;E684&amp;"'!"&amp;$AE$2))),INDIRECT("'["&amp;G684&amp;"]"&amp;E684&amp;"'!"&amp;$AE$3),0)</f>
        <v>#VALUE!</v>
      </c>
      <c r="T684" s="35" t="e" cm="1">
        <f t="array" aca="1" ref="T684" ca="1">IF(AND(G684=INDIRECT("'["&amp;G684&amp;"]"&amp;E684&amp;"'!"&amp;$AH$2),OR(I684=INDIRECT("'["&amp;G684&amp;"]"&amp;E684&amp;"'!"&amp;$AF$2))),INDIRECT("'["&amp;G684&amp;"]"&amp;E684&amp;"'!"&amp;$AF$3),0)</f>
        <v>#VALUE!</v>
      </c>
      <c r="U684" s="34" t="e" cm="1">
        <f t="array" aca="1" ref="U684" ca="1">IF(AND(G684=INDIRECT("'["&amp;G684&amp;"]"&amp;E684&amp;"'!"&amp;$AH$2),OR(I684=INDIRECT("'["&amp;G684&amp;"]"&amp;E684&amp;"'!"&amp;$AG$2))),INDIRECT("'["&amp;G684&amp;"]"&amp;E684&amp;"'!"&amp;$AG$3),0)</f>
        <v>#VALUE!</v>
      </c>
      <c r="V684" s="25" t="str">
        <f t="shared" si="182"/>
        <v/>
      </c>
      <c r="W684" s="36" t="e" cm="1">
        <f t="array" aca="1" ref="W684" ca="1">IF(AND(G684=INDIRECT("'["&amp;G684&amp;"]"&amp;E684&amp;"'!"&amp;$AH$2),OR(V684=INDIRECT("'["&amp;G684&amp;"]"&amp;E684&amp;"'!"&amp;$AI$2))),INDIRECT("'["&amp;G684&amp;"]"&amp;E684&amp;"'!"&amp;$AI$3),0)</f>
        <v>#VALUE!</v>
      </c>
      <c r="AJ684" s="25">
        <v>1</v>
      </c>
      <c r="AK684" s="38">
        <f t="shared" ca="1" si="183"/>
        <v>0</v>
      </c>
      <c r="AL684" s="38">
        <f t="shared" ca="1" si="184"/>
        <v>0</v>
      </c>
      <c r="AM684" s="54" t="str">
        <f t="shared" ca="1" si="185"/>
        <v/>
      </c>
      <c r="AN684" s="25" t="e">
        <f t="shared" ca="1" si="186"/>
        <v>#VALUE!</v>
      </c>
      <c r="AO684" s="25" t="e">
        <f t="shared" ca="1" si="187"/>
        <v>#VALUE!</v>
      </c>
      <c r="AQ684" s="46" t="str">
        <f ca="1">IF(AND(C684&lt;&gt;0, C685=0), SUM($C$2:C684)-SUM($AQ$1:AQ683), "")</f>
        <v/>
      </c>
      <c r="AR684" s="46" t="str">
        <f ca="1">IF(AND(AK684&lt;&gt;0, AK685=0), SUM($AK$2:AK684)-SUM($AR$1:AR683), "")</f>
        <v/>
      </c>
    </row>
    <row r="685" spans="2:44" ht="13.15" customHeight="1">
      <c r="B685" s="68" t="str">
        <f t="shared" si="173"/>
        <v/>
      </c>
      <c r="C685" s="55" cm="1">
        <f t="array" aca="1" ref="C685" ca="1">SUM(IF(ISNUMBER(M685:U685),M685:U685,""))</f>
        <v>0</v>
      </c>
      <c r="D685" s="25" t="str">
        <f t="shared" si="174"/>
        <v/>
      </c>
      <c r="E685" s="25" t="e">
        <f t="shared" si="175"/>
        <v>#VALUE!</v>
      </c>
      <c r="F685" s="25" t="str">
        <f t="shared" si="176"/>
        <v/>
      </c>
      <c r="G685" s="25" t="str">
        <f t="shared" si="177"/>
        <v>.xlsx</v>
      </c>
      <c r="H685" s="29" t="e" cm="1">
        <f t="array" aca="1" ref="H685" ca="1">IF(AND(VALUE(E685)=INDIRECT("'["&amp;G685&amp;"]"&amp;E685&amp;"'!"&amp;$X$2),G685=INDIRECT("'["&amp;G685&amp;"]"&amp;E685&amp;"'!"&amp;$X$3)),INDIRECT("'["&amp;G685&amp;"]"&amp;E685&amp;"'!"&amp;$X$1),0)</f>
        <v>#VALUE!</v>
      </c>
      <c r="I685" s="25" t="str">
        <f t="shared" si="178"/>
        <v/>
      </c>
      <c r="J685" s="32" t="str">
        <f t="shared" si="179"/>
        <v/>
      </c>
      <c r="K685" s="25" t="str">
        <f t="shared" si="180"/>
        <v/>
      </c>
      <c r="L685" s="25" t="str">
        <f t="shared" si="181"/>
        <v/>
      </c>
      <c r="M685" s="33" t="e" cm="1">
        <f t="array" aca="1" ref="M685" ca="1">IF(AND(J685=INDIRECT("'["&amp;G685&amp;"]"&amp;E685&amp;"'!"&amp;$Y$2),G685=INDIRECT("'["&amp;G685&amp;"]"&amp;E685&amp;"'!"&amp;$AH$2)),INDIRECT("'["&amp;G685&amp;"]"&amp;E685&amp;"'!"&amp;$Y$3),0)</f>
        <v>#VALUE!</v>
      </c>
      <c r="N685" s="34" t="e" cm="1">
        <f t="array" aca="1" ref="N685" ca="1">IF(AND(G685=INDIRECT("'["&amp;G685&amp;"]"&amp;E685&amp;"'!"&amp;$AH$2),OR(K685=INDIRECT("'["&amp;G685&amp;"]"&amp;E685&amp;"'!"&amp;$Z$2))),INDIRECT("'["&amp;G685&amp;"]"&amp;E685&amp;"'!"&amp;$Z$3),0)</f>
        <v>#VALUE!</v>
      </c>
      <c r="O685" s="34" t="e" cm="1">
        <f t="array" aca="1" ref="O685" ca="1">IF(AND(G685=INDIRECT("'["&amp;G685&amp;"]"&amp;E685&amp;"'!"&amp;$AH$2),OR(L685=INDIRECT("'["&amp;G685&amp;"]"&amp;E685&amp;"'!"&amp;$AA$2))),INDIRECT("'["&amp;G685&amp;"]"&amp;E685&amp;"'!"&amp;$AA$3),0)</f>
        <v>#VALUE!</v>
      </c>
      <c r="P685" s="34" t="e" cm="1">
        <f t="array" aca="1" ref="P685" ca="1">IF(AND(G685=INDIRECT("'["&amp;G685&amp;"]"&amp;E685&amp;"'!"&amp;$AH$2),OR(VALUE(I685)=INDIRECT("'["&amp;G685&amp;"]"&amp;E685&amp;"'!"&amp;$AB$2))),INDIRECT("'["&amp;G685&amp;"]"&amp;E685&amp;"'!"&amp;$AB$3),0)</f>
        <v>#VALUE!</v>
      </c>
      <c r="Q685" s="34" t="e" cm="1">
        <f t="array" aca="1" ref="Q685" ca="1">IF(AND(G685=INDIRECT("'["&amp;G685&amp;"]"&amp;E685&amp;"'!"&amp;$AH$2),OR(VALUE(I685)=INDIRECT("'["&amp;G685&amp;"]"&amp;E685&amp;"'!"&amp;$AC$2))),INDIRECT("'["&amp;G685&amp;"]"&amp;E685&amp;"'!"&amp;$AC$3),0)</f>
        <v>#VALUE!</v>
      </c>
      <c r="R685" s="34" t="e" cm="1">
        <f t="array" aca="1" ref="R685" ca="1">IF(AND(G685=INDIRECT("'["&amp;G685&amp;"]"&amp;E685&amp;"'!"&amp;$AH$2),OR(I685=INDIRECT("'["&amp;G685&amp;"]"&amp;E685&amp;"'!"&amp;$AD$2))),INDIRECT("'["&amp;G685&amp;"]"&amp;E685&amp;"'!"&amp;$AD$3),0)</f>
        <v>#VALUE!</v>
      </c>
      <c r="S685" s="34" t="e" cm="1">
        <f t="array" aca="1" ref="S685" ca="1">IF(AND(G685=INDIRECT("'["&amp;G685&amp;"]"&amp;E685&amp;"'!"&amp;$AH$2),OR(I685=INDIRECT("'["&amp;G685&amp;"]"&amp;E685&amp;"'!"&amp;$AE$2))),INDIRECT("'["&amp;G685&amp;"]"&amp;E685&amp;"'!"&amp;$AE$3),0)</f>
        <v>#VALUE!</v>
      </c>
      <c r="T685" s="35" t="e" cm="1">
        <f t="array" aca="1" ref="T685" ca="1">IF(AND(G685=INDIRECT("'["&amp;G685&amp;"]"&amp;E685&amp;"'!"&amp;$AH$2),OR(I685=INDIRECT("'["&amp;G685&amp;"]"&amp;E685&amp;"'!"&amp;$AF$2))),INDIRECT("'["&amp;G685&amp;"]"&amp;E685&amp;"'!"&amp;$AF$3),0)</f>
        <v>#VALUE!</v>
      </c>
      <c r="U685" s="34" t="e" cm="1">
        <f t="array" aca="1" ref="U685" ca="1">IF(AND(G685=INDIRECT("'["&amp;G685&amp;"]"&amp;E685&amp;"'!"&amp;$AH$2),OR(I685=INDIRECT("'["&amp;G685&amp;"]"&amp;E685&amp;"'!"&amp;$AG$2))),INDIRECT("'["&amp;G685&amp;"]"&amp;E685&amp;"'!"&amp;$AG$3),0)</f>
        <v>#VALUE!</v>
      </c>
      <c r="V685" s="25" t="str">
        <f t="shared" si="182"/>
        <v/>
      </c>
      <c r="W685" s="36" t="e" cm="1">
        <f t="array" aca="1" ref="W685" ca="1">IF(AND(G685=INDIRECT("'["&amp;G685&amp;"]"&amp;E685&amp;"'!"&amp;$AH$2),OR(V685=INDIRECT("'["&amp;G685&amp;"]"&amp;E685&amp;"'!"&amp;$AI$2))),INDIRECT("'["&amp;G685&amp;"]"&amp;E685&amp;"'!"&amp;$AI$3),0)</f>
        <v>#VALUE!</v>
      </c>
      <c r="AJ685" s="25">
        <v>1</v>
      </c>
      <c r="AK685" s="38">
        <f t="shared" ca="1" si="183"/>
        <v>0</v>
      </c>
      <c r="AL685" s="38">
        <f t="shared" ca="1" si="184"/>
        <v>0</v>
      </c>
      <c r="AM685" s="54" t="str">
        <f t="shared" ca="1" si="185"/>
        <v/>
      </c>
      <c r="AN685" s="25" t="e">
        <f t="shared" ca="1" si="186"/>
        <v>#VALUE!</v>
      </c>
      <c r="AO685" s="25" t="e">
        <f t="shared" ca="1" si="187"/>
        <v>#VALUE!</v>
      </c>
      <c r="AQ685" s="46" t="str">
        <f ca="1">IF(AND(C685&lt;&gt;0, C686=0), SUM($C$2:C685)-SUM($AQ$1:AQ684), "")</f>
        <v/>
      </c>
      <c r="AR685" s="46" t="str">
        <f ca="1">IF(AND(AK685&lt;&gt;0, AK686=0), SUM($AK$2:AK685)-SUM($AR$1:AR684), "")</f>
        <v/>
      </c>
    </row>
    <row r="686" spans="2:44" ht="13.15" customHeight="1">
      <c r="B686" s="68" t="str">
        <f t="shared" si="173"/>
        <v/>
      </c>
      <c r="C686" s="55" cm="1">
        <f t="array" aca="1" ref="C686" ca="1">SUM(IF(ISNUMBER(M686:U686),M686:U686,""))</f>
        <v>0</v>
      </c>
      <c r="D686" s="25" t="str">
        <f t="shared" si="174"/>
        <v/>
      </c>
      <c r="E686" s="25" t="e">
        <f t="shared" si="175"/>
        <v>#VALUE!</v>
      </c>
      <c r="F686" s="25" t="str">
        <f t="shared" si="176"/>
        <v/>
      </c>
      <c r="G686" s="25" t="str">
        <f t="shared" si="177"/>
        <v>.xlsx</v>
      </c>
      <c r="H686" s="29" t="e" cm="1">
        <f t="array" aca="1" ref="H686" ca="1">IF(AND(VALUE(E686)=INDIRECT("'["&amp;G686&amp;"]"&amp;E686&amp;"'!"&amp;$X$2),G686=INDIRECT("'["&amp;G686&amp;"]"&amp;E686&amp;"'!"&amp;$X$3)),INDIRECT("'["&amp;G686&amp;"]"&amp;E686&amp;"'!"&amp;$X$1),0)</f>
        <v>#VALUE!</v>
      </c>
      <c r="I686" s="25" t="str">
        <f t="shared" si="178"/>
        <v/>
      </c>
      <c r="J686" s="32" t="str">
        <f t="shared" si="179"/>
        <v/>
      </c>
      <c r="K686" s="25" t="str">
        <f t="shared" si="180"/>
        <v/>
      </c>
      <c r="L686" s="25" t="str">
        <f t="shared" si="181"/>
        <v/>
      </c>
      <c r="M686" s="33" t="e" cm="1">
        <f t="array" aca="1" ref="M686" ca="1">IF(AND(J686=INDIRECT("'["&amp;G686&amp;"]"&amp;E686&amp;"'!"&amp;$Y$2),G686=INDIRECT("'["&amp;G686&amp;"]"&amp;E686&amp;"'!"&amp;$AH$2)),INDIRECT("'["&amp;G686&amp;"]"&amp;E686&amp;"'!"&amp;$Y$3),0)</f>
        <v>#VALUE!</v>
      </c>
      <c r="N686" s="34" t="e" cm="1">
        <f t="array" aca="1" ref="N686" ca="1">IF(AND(G686=INDIRECT("'["&amp;G686&amp;"]"&amp;E686&amp;"'!"&amp;$AH$2),OR(K686=INDIRECT("'["&amp;G686&amp;"]"&amp;E686&amp;"'!"&amp;$Z$2))),INDIRECT("'["&amp;G686&amp;"]"&amp;E686&amp;"'!"&amp;$Z$3),0)</f>
        <v>#VALUE!</v>
      </c>
      <c r="O686" s="34" t="e" cm="1">
        <f t="array" aca="1" ref="O686" ca="1">IF(AND(G686=INDIRECT("'["&amp;G686&amp;"]"&amp;E686&amp;"'!"&amp;$AH$2),OR(L686=INDIRECT("'["&amp;G686&amp;"]"&amp;E686&amp;"'!"&amp;$AA$2))),INDIRECT("'["&amp;G686&amp;"]"&amp;E686&amp;"'!"&amp;$AA$3),0)</f>
        <v>#VALUE!</v>
      </c>
      <c r="P686" s="34" t="e" cm="1">
        <f t="array" aca="1" ref="P686" ca="1">IF(AND(G686=INDIRECT("'["&amp;G686&amp;"]"&amp;E686&amp;"'!"&amp;$AH$2),OR(VALUE(I686)=INDIRECT("'["&amp;G686&amp;"]"&amp;E686&amp;"'!"&amp;$AB$2))),INDIRECT("'["&amp;G686&amp;"]"&amp;E686&amp;"'!"&amp;$AB$3),0)</f>
        <v>#VALUE!</v>
      </c>
      <c r="Q686" s="34" t="e" cm="1">
        <f t="array" aca="1" ref="Q686" ca="1">IF(AND(G686=INDIRECT("'["&amp;G686&amp;"]"&amp;E686&amp;"'!"&amp;$AH$2),OR(VALUE(I686)=INDIRECT("'["&amp;G686&amp;"]"&amp;E686&amp;"'!"&amp;$AC$2))),INDIRECT("'["&amp;G686&amp;"]"&amp;E686&amp;"'!"&amp;$AC$3),0)</f>
        <v>#VALUE!</v>
      </c>
      <c r="R686" s="34" t="e" cm="1">
        <f t="array" aca="1" ref="R686" ca="1">IF(AND(G686=INDIRECT("'["&amp;G686&amp;"]"&amp;E686&amp;"'!"&amp;$AH$2),OR(I686=INDIRECT("'["&amp;G686&amp;"]"&amp;E686&amp;"'!"&amp;$AD$2))),INDIRECT("'["&amp;G686&amp;"]"&amp;E686&amp;"'!"&amp;$AD$3),0)</f>
        <v>#VALUE!</v>
      </c>
      <c r="S686" s="34" t="e" cm="1">
        <f t="array" aca="1" ref="S686" ca="1">IF(AND(G686=INDIRECT("'["&amp;G686&amp;"]"&amp;E686&amp;"'!"&amp;$AH$2),OR(I686=INDIRECT("'["&amp;G686&amp;"]"&amp;E686&amp;"'!"&amp;$AE$2))),INDIRECT("'["&amp;G686&amp;"]"&amp;E686&amp;"'!"&amp;$AE$3),0)</f>
        <v>#VALUE!</v>
      </c>
      <c r="T686" s="35" t="e" cm="1">
        <f t="array" aca="1" ref="T686" ca="1">IF(AND(G686=INDIRECT("'["&amp;G686&amp;"]"&amp;E686&amp;"'!"&amp;$AH$2),OR(I686=INDIRECT("'["&amp;G686&amp;"]"&amp;E686&amp;"'!"&amp;$AF$2))),INDIRECT("'["&amp;G686&amp;"]"&amp;E686&amp;"'!"&amp;$AF$3),0)</f>
        <v>#VALUE!</v>
      </c>
      <c r="U686" s="34" t="e" cm="1">
        <f t="array" aca="1" ref="U686" ca="1">IF(AND(G686=INDIRECT("'["&amp;G686&amp;"]"&amp;E686&amp;"'!"&amp;$AH$2),OR(I686=INDIRECT("'["&amp;G686&amp;"]"&amp;E686&amp;"'!"&amp;$AG$2))),INDIRECT("'["&amp;G686&amp;"]"&amp;E686&amp;"'!"&amp;$AG$3),0)</f>
        <v>#VALUE!</v>
      </c>
      <c r="V686" s="25" t="str">
        <f t="shared" si="182"/>
        <v/>
      </c>
      <c r="W686" s="36" t="e" cm="1">
        <f t="array" aca="1" ref="W686" ca="1">IF(AND(G686=INDIRECT("'["&amp;G686&amp;"]"&amp;E686&amp;"'!"&amp;$AH$2),OR(V686=INDIRECT("'["&amp;G686&amp;"]"&amp;E686&amp;"'!"&amp;$AI$2))),INDIRECT("'["&amp;G686&amp;"]"&amp;E686&amp;"'!"&amp;$AI$3),0)</f>
        <v>#VALUE!</v>
      </c>
      <c r="AJ686" s="25">
        <v>1</v>
      </c>
      <c r="AK686" s="38">
        <f t="shared" ca="1" si="183"/>
        <v>0</v>
      </c>
      <c r="AL686" s="38">
        <f t="shared" ca="1" si="184"/>
        <v>0</v>
      </c>
      <c r="AM686" s="54" t="str">
        <f t="shared" ca="1" si="185"/>
        <v/>
      </c>
      <c r="AN686" s="25" t="e">
        <f t="shared" ca="1" si="186"/>
        <v>#VALUE!</v>
      </c>
      <c r="AO686" s="25" t="e">
        <f t="shared" ca="1" si="187"/>
        <v>#VALUE!</v>
      </c>
      <c r="AQ686" s="46" t="str">
        <f ca="1">IF(AND(C686&lt;&gt;0, C687=0), SUM($C$2:C686)-SUM($AQ$1:AQ685), "")</f>
        <v/>
      </c>
      <c r="AR686" s="46" t="str">
        <f ca="1">IF(AND(AK686&lt;&gt;0, AK687=0), SUM($AK$2:AK686)-SUM($AR$1:AR685), "")</f>
        <v/>
      </c>
    </row>
    <row r="687" spans="2:44" ht="13.15" customHeight="1">
      <c r="B687" s="68" t="str">
        <f t="shared" si="173"/>
        <v/>
      </c>
      <c r="C687" s="55" cm="1">
        <f t="array" aca="1" ref="C687" ca="1">SUM(IF(ISNUMBER(M687:U687),M687:U687,""))</f>
        <v>0</v>
      </c>
      <c r="D687" s="25" t="str">
        <f t="shared" si="174"/>
        <v/>
      </c>
      <c r="E687" s="25" t="e">
        <f t="shared" si="175"/>
        <v>#VALUE!</v>
      </c>
      <c r="F687" s="25" t="str">
        <f t="shared" si="176"/>
        <v/>
      </c>
      <c r="G687" s="25" t="str">
        <f t="shared" si="177"/>
        <v>.xlsx</v>
      </c>
      <c r="H687" s="29" t="e" cm="1">
        <f t="array" aca="1" ref="H687" ca="1">IF(AND(VALUE(E687)=INDIRECT("'["&amp;G687&amp;"]"&amp;E687&amp;"'!"&amp;$X$2),G687=INDIRECT("'["&amp;G687&amp;"]"&amp;E687&amp;"'!"&amp;$X$3)),INDIRECT("'["&amp;G687&amp;"]"&amp;E687&amp;"'!"&amp;$X$1),0)</f>
        <v>#VALUE!</v>
      </c>
      <c r="I687" s="25" t="str">
        <f t="shared" si="178"/>
        <v/>
      </c>
      <c r="J687" s="32" t="str">
        <f t="shared" si="179"/>
        <v/>
      </c>
      <c r="K687" s="25" t="str">
        <f t="shared" si="180"/>
        <v/>
      </c>
      <c r="L687" s="25" t="str">
        <f t="shared" si="181"/>
        <v/>
      </c>
      <c r="M687" s="33" t="e" cm="1">
        <f t="array" aca="1" ref="M687" ca="1">IF(AND(J687=INDIRECT("'["&amp;G687&amp;"]"&amp;E687&amp;"'!"&amp;$Y$2),G687=INDIRECT("'["&amp;G687&amp;"]"&amp;E687&amp;"'!"&amp;$AH$2)),INDIRECT("'["&amp;G687&amp;"]"&amp;E687&amp;"'!"&amp;$Y$3),0)</f>
        <v>#VALUE!</v>
      </c>
      <c r="N687" s="34" t="e" cm="1">
        <f t="array" aca="1" ref="N687" ca="1">IF(AND(G687=INDIRECT("'["&amp;G687&amp;"]"&amp;E687&amp;"'!"&amp;$AH$2),OR(K687=INDIRECT("'["&amp;G687&amp;"]"&amp;E687&amp;"'!"&amp;$Z$2))),INDIRECT("'["&amp;G687&amp;"]"&amp;E687&amp;"'!"&amp;$Z$3),0)</f>
        <v>#VALUE!</v>
      </c>
      <c r="O687" s="34" t="e" cm="1">
        <f t="array" aca="1" ref="O687" ca="1">IF(AND(G687=INDIRECT("'["&amp;G687&amp;"]"&amp;E687&amp;"'!"&amp;$AH$2),OR(L687=INDIRECT("'["&amp;G687&amp;"]"&amp;E687&amp;"'!"&amp;$AA$2))),INDIRECT("'["&amp;G687&amp;"]"&amp;E687&amp;"'!"&amp;$AA$3),0)</f>
        <v>#VALUE!</v>
      </c>
      <c r="P687" s="34" t="e" cm="1">
        <f t="array" aca="1" ref="P687" ca="1">IF(AND(G687=INDIRECT("'["&amp;G687&amp;"]"&amp;E687&amp;"'!"&amp;$AH$2),OR(VALUE(I687)=INDIRECT("'["&amp;G687&amp;"]"&amp;E687&amp;"'!"&amp;$AB$2))),INDIRECT("'["&amp;G687&amp;"]"&amp;E687&amp;"'!"&amp;$AB$3),0)</f>
        <v>#VALUE!</v>
      </c>
      <c r="Q687" s="34" t="e" cm="1">
        <f t="array" aca="1" ref="Q687" ca="1">IF(AND(G687=INDIRECT("'["&amp;G687&amp;"]"&amp;E687&amp;"'!"&amp;$AH$2),OR(VALUE(I687)=INDIRECT("'["&amp;G687&amp;"]"&amp;E687&amp;"'!"&amp;$AC$2))),INDIRECT("'["&amp;G687&amp;"]"&amp;E687&amp;"'!"&amp;$AC$3),0)</f>
        <v>#VALUE!</v>
      </c>
      <c r="R687" s="34" t="e" cm="1">
        <f t="array" aca="1" ref="R687" ca="1">IF(AND(G687=INDIRECT("'["&amp;G687&amp;"]"&amp;E687&amp;"'!"&amp;$AH$2),OR(I687=INDIRECT("'["&amp;G687&amp;"]"&amp;E687&amp;"'!"&amp;$AD$2))),INDIRECT("'["&amp;G687&amp;"]"&amp;E687&amp;"'!"&amp;$AD$3),0)</f>
        <v>#VALUE!</v>
      </c>
      <c r="S687" s="34" t="e" cm="1">
        <f t="array" aca="1" ref="S687" ca="1">IF(AND(G687=INDIRECT("'["&amp;G687&amp;"]"&amp;E687&amp;"'!"&amp;$AH$2),OR(I687=INDIRECT("'["&amp;G687&amp;"]"&amp;E687&amp;"'!"&amp;$AE$2))),INDIRECT("'["&amp;G687&amp;"]"&amp;E687&amp;"'!"&amp;$AE$3),0)</f>
        <v>#VALUE!</v>
      </c>
      <c r="T687" s="35" t="e" cm="1">
        <f t="array" aca="1" ref="T687" ca="1">IF(AND(G687=INDIRECT("'["&amp;G687&amp;"]"&amp;E687&amp;"'!"&amp;$AH$2),OR(I687=INDIRECT("'["&amp;G687&amp;"]"&amp;E687&amp;"'!"&amp;$AF$2))),INDIRECT("'["&amp;G687&amp;"]"&amp;E687&amp;"'!"&amp;$AF$3),0)</f>
        <v>#VALUE!</v>
      </c>
      <c r="U687" s="34" t="e" cm="1">
        <f t="array" aca="1" ref="U687" ca="1">IF(AND(G687=INDIRECT("'["&amp;G687&amp;"]"&amp;E687&amp;"'!"&amp;$AH$2),OR(I687=INDIRECT("'["&amp;G687&amp;"]"&amp;E687&amp;"'!"&amp;$AG$2))),INDIRECT("'["&amp;G687&amp;"]"&amp;E687&amp;"'!"&amp;$AG$3),0)</f>
        <v>#VALUE!</v>
      </c>
      <c r="V687" s="25" t="str">
        <f t="shared" si="182"/>
        <v/>
      </c>
      <c r="W687" s="36" t="e" cm="1">
        <f t="array" aca="1" ref="W687" ca="1">IF(AND(G687=INDIRECT("'["&amp;G687&amp;"]"&amp;E687&amp;"'!"&amp;$AH$2),OR(V687=INDIRECT("'["&amp;G687&amp;"]"&amp;E687&amp;"'!"&amp;$AI$2))),INDIRECT("'["&amp;G687&amp;"]"&amp;E687&amp;"'!"&amp;$AI$3),0)</f>
        <v>#VALUE!</v>
      </c>
      <c r="AJ687" s="25">
        <v>1</v>
      </c>
      <c r="AK687" s="38">
        <f t="shared" ca="1" si="183"/>
        <v>0</v>
      </c>
      <c r="AL687" s="38">
        <f t="shared" ca="1" si="184"/>
        <v>0</v>
      </c>
      <c r="AM687" s="54" t="str">
        <f t="shared" ca="1" si="185"/>
        <v/>
      </c>
      <c r="AN687" s="25" t="e">
        <f t="shared" ca="1" si="186"/>
        <v>#VALUE!</v>
      </c>
      <c r="AO687" s="25" t="e">
        <f t="shared" ca="1" si="187"/>
        <v>#VALUE!</v>
      </c>
      <c r="AQ687" s="46" t="str">
        <f ca="1">IF(AND(C687&lt;&gt;0, C688=0), SUM($C$2:C687)-SUM($AQ$1:AQ686), "")</f>
        <v/>
      </c>
      <c r="AR687" s="46" t="str">
        <f ca="1">IF(AND(AK687&lt;&gt;0, AK688=0), SUM($AK$2:AK687)-SUM($AR$1:AR686), "")</f>
        <v/>
      </c>
    </row>
    <row r="688" spans="2:44" ht="13.15" customHeight="1">
      <c r="B688" s="68" t="str">
        <f t="shared" si="173"/>
        <v/>
      </c>
      <c r="C688" s="55" cm="1">
        <f t="array" aca="1" ref="C688" ca="1">SUM(IF(ISNUMBER(M688:U688),M688:U688,""))</f>
        <v>0</v>
      </c>
      <c r="D688" s="25" t="str">
        <f t="shared" si="174"/>
        <v/>
      </c>
      <c r="E688" s="25" t="e">
        <f t="shared" si="175"/>
        <v>#VALUE!</v>
      </c>
      <c r="F688" s="25" t="str">
        <f t="shared" si="176"/>
        <v/>
      </c>
      <c r="G688" s="25" t="str">
        <f t="shared" si="177"/>
        <v>.xlsx</v>
      </c>
      <c r="H688" s="29" t="e" cm="1">
        <f t="array" aca="1" ref="H688" ca="1">IF(AND(VALUE(E688)=INDIRECT("'["&amp;G688&amp;"]"&amp;E688&amp;"'!"&amp;$X$2),G688=INDIRECT("'["&amp;G688&amp;"]"&amp;E688&amp;"'!"&amp;$X$3)),INDIRECT("'["&amp;G688&amp;"]"&amp;E688&amp;"'!"&amp;$X$1),0)</f>
        <v>#VALUE!</v>
      </c>
      <c r="I688" s="25" t="str">
        <f t="shared" si="178"/>
        <v/>
      </c>
      <c r="J688" s="32" t="str">
        <f t="shared" si="179"/>
        <v/>
      </c>
      <c r="K688" s="25" t="str">
        <f t="shared" si="180"/>
        <v/>
      </c>
      <c r="L688" s="25" t="str">
        <f t="shared" si="181"/>
        <v/>
      </c>
      <c r="M688" s="33" t="e" cm="1">
        <f t="array" aca="1" ref="M688" ca="1">IF(AND(J688=INDIRECT("'["&amp;G688&amp;"]"&amp;E688&amp;"'!"&amp;$Y$2),G688=INDIRECT("'["&amp;G688&amp;"]"&amp;E688&amp;"'!"&amp;$AH$2)),INDIRECT("'["&amp;G688&amp;"]"&amp;E688&amp;"'!"&amp;$Y$3),0)</f>
        <v>#VALUE!</v>
      </c>
      <c r="N688" s="34" t="e" cm="1">
        <f t="array" aca="1" ref="N688" ca="1">IF(AND(G688=INDIRECT("'["&amp;G688&amp;"]"&amp;E688&amp;"'!"&amp;$AH$2),OR(K688=INDIRECT("'["&amp;G688&amp;"]"&amp;E688&amp;"'!"&amp;$Z$2))),INDIRECT("'["&amp;G688&amp;"]"&amp;E688&amp;"'!"&amp;$Z$3),0)</f>
        <v>#VALUE!</v>
      </c>
      <c r="O688" s="34" t="e" cm="1">
        <f t="array" aca="1" ref="O688" ca="1">IF(AND(G688=INDIRECT("'["&amp;G688&amp;"]"&amp;E688&amp;"'!"&amp;$AH$2),OR(L688=INDIRECT("'["&amp;G688&amp;"]"&amp;E688&amp;"'!"&amp;$AA$2))),INDIRECT("'["&amp;G688&amp;"]"&amp;E688&amp;"'!"&amp;$AA$3),0)</f>
        <v>#VALUE!</v>
      </c>
      <c r="P688" s="34" t="e" cm="1">
        <f t="array" aca="1" ref="P688" ca="1">IF(AND(G688=INDIRECT("'["&amp;G688&amp;"]"&amp;E688&amp;"'!"&amp;$AH$2),OR(VALUE(I688)=INDIRECT("'["&amp;G688&amp;"]"&amp;E688&amp;"'!"&amp;$AB$2))),INDIRECT("'["&amp;G688&amp;"]"&amp;E688&amp;"'!"&amp;$AB$3),0)</f>
        <v>#VALUE!</v>
      </c>
      <c r="Q688" s="34" t="e" cm="1">
        <f t="array" aca="1" ref="Q688" ca="1">IF(AND(G688=INDIRECT("'["&amp;G688&amp;"]"&amp;E688&amp;"'!"&amp;$AH$2),OR(VALUE(I688)=INDIRECT("'["&amp;G688&amp;"]"&amp;E688&amp;"'!"&amp;$AC$2))),INDIRECT("'["&amp;G688&amp;"]"&amp;E688&amp;"'!"&amp;$AC$3),0)</f>
        <v>#VALUE!</v>
      </c>
      <c r="R688" s="34" t="e" cm="1">
        <f t="array" aca="1" ref="R688" ca="1">IF(AND(G688=INDIRECT("'["&amp;G688&amp;"]"&amp;E688&amp;"'!"&amp;$AH$2),OR(I688=INDIRECT("'["&amp;G688&amp;"]"&amp;E688&amp;"'!"&amp;$AD$2))),INDIRECT("'["&amp;G688&amp;"]"&amp;E688&amp;"'!"&amp;$AD$3),0)</f>
        <v>#VALUE!</v>
      </c>
      <c r="S688" s="34" t="e" cm="1">
        <f t="array" aca="1" ref="S688" ca="1">IF(AND(G688=INDIRECT("'["&amp;G688&amp;"]"&amp;E688&amp;"'!"&amp;$AH$2),OR(I688=INDIRECT("'["&amp;G688&amp;"]"&amp;E688&amp;"'!"&amp;$AE$2))),INDIRECT("'["&amp;G688&amp;"]"&amp;E688&amp;"'!"&amp;$AE$3),0)</f>
        <v>#VALUE!</v>
      </c>
      <c r="T688" s="35" t="e" cm="1">
        <f t="array" aca="1" ref="T688" ca="1">IF(AND(G688=INDIRECT("'["&amp;G688&amp;"]"&amp;E688&amp;"'!"&amp;$AH$2),OR(I688=INDIRECT("'["&amp;G688&amp;"]"&amp;E688&amp;"'!"&amp;$AF$2))),INDIRECT("'["&amp;G688&amp;"]"&amp;E688&amp;"'!"&amp;$AF$3),0)</f>
        <v>#VALUE!</v>
      </c>
      <c r="U688" s="34" t="e" cm="1">
        <f t="array" aca="1" ref="U688" ca="1">IF(AND(G688=INDIRECT("'["&amp;G688&amp;"]"&amp;E688&amp;"'!"&amp;$AH$2),OR(I688=INDIRECT("'["&amp;G688&amp;"]"&amp;E688&amp;"'!"&amp;$AG$2))),INDIRECT("'["&amp;G688&amp;"]"&amp;E688&amp;"'!"&amp;$AG$3),0)</f>
        <v>#VALUE!</v>
      </c>
      <c r="V688" s="25" t="str">
        <f t="shared" si="182"/>
        <v/>
      </c>
      <c r="W688" s="36" t="e" cm="1">
        <f t="array" aca="1" ref="W688" ca="1">IF(AND(G688=INDIRECT("'["&amp;G688&amp;"]"&amp;E688&amp;"'!"&amp;$AH$2),OR(V688=INDIRECT("'["&amp;G688&amp;"]"&amp;E688&amp;"'!"&amp;$AI$2))),INDIRECT("'["&amp;G688&amp;"]"&amp;E688&amp;"'!"&amp;$AI$3),0)</f>
        <v>#VALUE!</v>
      </c>
      <c r="AJ688" s="25">
        <v>1</v>
      </c>
      <c r="AK688" s="38">
        <f t="shared" ca="1" si="183"/>
        <v>0</v>
      </c>
      <c r="AL688" s="38">
        <f t="shared" ca="1" si="184"/>
        <v>0</v>
      </c>
      <c r="AM688" s="54" t="str">
        <f t="shared" ca="1" si="185"/>
        <v/>
      </c>
      <c r="AN688" s="25" t="e">
        <f t="shared" ca="1" si="186"/>
        <v>#VALUE!</v>
      </c>
      <c r="AO688" s="25" t="e">
        <f t="shared" ca="1" si="187"/>
        <v>#VALUE!</v>
      </c>
      <c r="AQ688" s="46" t="str">
        <f ca="1">IF(AND(C688&lt;&gt;0, C689=0), SUM($C$2:C688)-SUM($AQ$1:AQ687), "")</f>
        <v/>
      </c>
      <c r="AR688" s="46" t="str">
        <f ca="1">IF(AND(AK688&lt;&gt;0, AK689=0), SUM($AK$2:AK688)-SUM($AR$1:AR687), "")</f>
        <v/>
      </c>
    </row>
    <row r="689" spans="2:44" ht="13.15" customHeight="1">
      <c r="B689" s="68" t="str">
        <f t="shared" si="173"/>
        <v/>
      </c>
      <c r="C689" s="55" cm="1">
        <f t="array" aca="1" ref="C689" ca="1">SUM(IF(ISNUMBER(M689:U689),M689:U689,""))</f>
        <v>0</v>
      </c>
      <c r="D689" s="25" t="str">
        <f t="shared" si="174"/>
        <v/>
      </c>
      <c r="E689" s="25" t="e">
        <f t="shared" si="175"/>
        <v>#VALUE!</v>
      </c>
      <c r="F689" s="25" t="str">
        <f t="shared" si="176"/>
        <v/>
      </c>
      <c r="G689" s="25" t="str">
        <f t="shared" si="177"/>
        <v>.xlsx</v>
      </c>
      <c r="H689" s="29" t="e" cm="1">
        <f t="array" aca="1" ref="H689" ca="1">IF(AND(VALUE(E689)=INDIRECT("'["&amp;G689&amp;"]"&amp;E689&amp;"'!"&amp;$X$2),G689=INDIRECT("'["&amp;G689&amp;"]"&amp;E689&amp;"'!"&amp;$X$3)),INDIRECT("'["&amp;G689&amp;"]"&amp;E689&amp;"'!"&amp;$X$1),0)</f>
        <v>#VALUE!</v>
      </c>
      <c r="I689" s="25" t="str">
        <f t="shared" si="178"/>
        <v/>
      </c>
      <c r="J689" s="32" t="str">
        <f t="shared" si="179"/>
        <v/>
      </c>
      <c r="K689" s="25" t="str">
        <f t="shared" si="180"/>
        <v/>
      </c>
      <c r="L689" s="25" t="str">
        <f t="shared" si="181"/>
        <v/>
      </c>
      <c r="M689" s="33" t="e" cm="1">
        <f t="array" aca="1" ref="M689" ca="1">IF(AND(J689=INDIRECT("'["&amp;G689&amp;"]"&amp;E689&amp;"'!"&amp;$Y$2),G689=INDIRECT("'["&amp;G689&amp;"]"&amp;E689&amp;"'!"&amp;$AH$2)),INDIRECT("'["&amp;G689&amp;"]"&amp;E689&amp;"'!"&amp;$Y$3),0)</f>
        <v>#VALUE!</v>
      </c>
      <c r="N689" s="34" t="e" cm="1">
        <f t="array" aca="1" ref="N689" ca="1">IF(AND(G689=INDIRECT("'["&amp;G689&amp;"]"&amp;E689&amp;"'!"&amp;$AH$2),OR(K689=INDIRECT("'["&amp;G689&amp;"]"&amp;E689&amp;"'!"&amp;$Z$2))),INDIRECT("'["&amp;G689&amp;"]"&amp;E689&amp;"'!"&amp;$Z$3),0)</f>
        <v>#VALUE!</v>
      </c>
      <c r="O689" s="34" t="e" cm="1">
        <f t="array" aca="1" ref="O689" ca="1">IF(AND(G689=INDIRECT("'["&amp;G689&amp;"]"&amp;E689&amp;"'!"&amp;$AH$2),OR(L689=INDIRECT("'["&amp;G689&amp;"]"&amp;E689&amp;"'!"&amp;$AA$2))),INDIRECT("'["&amp;G689&amp;"]"&amp;E689&amp;"'!"&amp;$AA$3),0)</f>
        <v>#VALUE!</v>
      </c>
      <c r="P689" s="34" t="e" cm="1">
        <f t="array" aca="1" ref="P689" ca="1">IF(AND(G689=INDIRECT("'["&amp;G689&amp;"]"&amp;E689&amp;"'!"&amp;$AH$2),OR(VALUE(I689)=INDIRECT("'["&amp;G689&amp;"]"&amp;E689&amp;"'!"&amp;$AB$2))),INDIRECT("'["&amp;G689&amp;"]"&amp;E689&amp;"'!"&amp;$AB$3),0)</f>
        <v>#VALUE!</v>
      </c>
      <c r="Q689" s="34" t="e" cm="1">
        <f t="array" aca="1" ref="Q689" ca="1">IF(AND(G689=INDIRECT("'["&amp;G689&amp;"]"&amp;E689&amp;"'!"&amp;$AH$2),OR(VALUE(I689)=INDIRECT("'["&amp;G689&amp;"]"&amp;E689&amp;"'!"&amp;$AC$2))),INDIRECT("'["&amp;G689&amp;"]"&amp;E689&amp;"'!"&amp;$AC$3),0)</f>
        <v>#VALUE!</v>
      </c>
      <c r="R689" s="34" t="e" cm="1">
        <f t="array" aca="1" ref="R689" ca="1">IF(AND(G689=INDIRECT("'["&amp;G689&amp;"]"&amp;E689&amp;"'!"&amp;$AH$2),OR(I689=INDIRECT("'["&amp;G689&amp;"]"&amp;E689&amp;"'!"&amp;$AD$2))),INDIRECT("'["&amp;G689&amp;"]"&amp;E689&amp;"'!"&amp;$AD$3),0)</f>
        <v>#VALUE!</v>
      </c>
      <c r="S689" s="34" t="e" cm="1">
        <f t="array" aca="1" ref="S689" ca="1">IF(AND(G689=INDIRECT("'["&amp;G689&amp;"]"&amp;E689&amp;"'!"&amp;$AH$2),OR(I689=INDIRECT("'["&amp;G689&amp;"]"&amp;E689&amp;"'!"&amp;$AE$2))),INDIRECT("'["&amp;G689&amp;"]"&amp;E689&amp;"'!"&amp;$AE$3),0)</f>
        <v>#VALUE!</v>
      </c>
      <c r="T689" s="35" t="e" cm="1">
        <f t="array" aca="1" ref="T689" ca="1">IF(AND(G689=INDIRECT("'["&amp;G689&amp;"]"&amp;E689&amp;"'!"&amp;$AH$2),OR(I689=INDIRECT("'["&amp;G689&amp;"]"&amp;E689&amp;"'!"&amp;$AF$2))),INDIRECT("'["&amp;G689&amp;"]"&amp;E689&amp;"'!"&amp;$AF$3),0)</f>
        <v>#VALUE!</v>
      </c>
      <c r="U689" s="34" t="e" cm="1">
        <f t="array" aca="1" ref="U689" ca="1">IF(AND(G689=INDIRECT("'["&amp;G689&amp;"]"&amp;E689&amp;"'!"&amp;$AH$2),OR(I689=INDIRECT("'["&amp;G689&amp;"]"&amp;E689&amp;"'!"&amp;$AG$2))),INDIRECT("'["&amp;G689&amp;"]"&amp;E689&amp;"'!"&amp;$AG$3),0)</f>
        <v>#VALUE!</v>
      </c>
      <c r="V689" s="25" t="str">
        <f t="shared" si="182"/>
        <v/>
      </c>
      <c r="W689" s="36" t="e" cm="1">
        <f t="array" aca="1" ref="W689" ca="1">IF(AND(G689=INDIRECT("'["&amp;G689&amp;"]"&amp;E689&amp;"'!"&amp;$AH$2),OR(V689=INDIRECT("'["&amp;G689&amp;"]"&amp;E689&amp;"'!"&amp;$AI$2))),INDIRECT("'["&amp;G689&amp;"]"&amp;E689&amp;"'!"&amp;$AI$3),0)</f>
        <v>#VALUE!</v>
      </c>
      <c r="AJ689" s="25">
        <v>1</v>
      </c>
      <c r="AK689" s="38">
        <f t="shared" ca="1" si="183"/>
        <v>0</v>
      </c>
      <c r="AL689" s="38">
        <f t="shared" ca="1" si="184"/>
        <v>0</v>
      </c>
      <c r="AM689" s="54" t="str">
        <f t="shared" ca="1" si="185"/>
        <v/>
      </c>
      <c r="AN689" s="25" t="e">
        <f t="shared" ca="1" si="186"/>
        <v>#VALUE!</v>
      </c>
      <c r="AO689" s="25" t="e">
        <f t="shared" ca="1" si="187"/>
        <v>#VALUE!</v>
      </c>
      <c r="AQ689" s="46" t="str">
        <f ca="1">IF(AND(C689&lt;&gt;0, C690=0), SUM($C$2:C689)-SUM($AQ$1:AQ688), "")</f>
        <v/>
      </c>
      <c r="AR689" s="46" t="str">
        <f ca="1">IF(AND(AK689&lt;&gt;0, AK690=0), SUM($AK$2:AK689)-SUM($AR$1:AR688), "")</f>
        <v/>
      </c>
    </row>
    <row r="690" spans="2:44" ht="13.15" customHeight="1">
      <c r="B690" s="68" t="str">
        <f t="shared" si="173"/>
        <v/>
      </c>
      <c r="C690" s="55" cm="1">
        <f t="array" aca="1" ref="C690" ca="1">SUM(IF(ISNUMBER(M690:U690),M690:U690,""))</f>
        <v>0</v>
      </c>
      <c r="D690" s="25" t="str">
        <f t="shared" si="174"/>
        <v/>
      </c>
      <c r="E690" s="25" t="e">
        <f t="shared" si="175"/>
        <v>#VALUE!</v>
      </c>
      <c r="F690" s="25" t="str">
        <f t="shared" si="176"/>
        <v/>
      </c>
      <c r="G690" s="25" t="str">
        <f t="shared" si="177"/>
        <v>.xlsx</v>
      </c>
      <c r="H690" s="29" t="e" cm="1">
        <f t="array" aca="1" ref="H690" ca="1">IF(AND(VALUE(E690)=INDIRECT("'["&amp;G690&amp;"]"&amp;E690&amp;"'!"&amp;$X$2),G690=INDIRECT("'["&amp;G690&amp;"]"&amp;E690&amp;"'!"&amp;$X$3)),INDIRECT("'["&amp;G690&amp;"]"&amp;E690&amp;"'!"&amp;$X$1),0)</f>
        <v>#VALUE!</v>
      </c>
      <c r="I690" s="25" t="str">
        <f t="shared" si="178"/>
        <v/>
      </c>
      <c r="J690" s="32" t="str">
        <f t="shared" si="179"/>
        <v/>
      </c>
      <c r="K690" s="25" t="str">
        <f t="shared" si="180"/>
        <v/>
      </c>
      <c r="L690" s="25" t="str">
        <f t="shared" si="181"/>
        <v/>
      </c>
      <c r="M690" s="33" t="e" cm="1">
        <f t="array" aca="1" ref="M690" ca="1">IF(AND(J690=INDIRECT("'["&amp;G690&amp;"]"&amp;E690&amp;"'!"&amp;$Y$2),G690=INDIRECT("'["&amp;G690&amp;"]"&amp;E690&amp;"'!"&amp;$AH$2)),INDIRECT("'["&amp;G690&amp;"]"&amp;E690&amp;"'!"&amp;$Y$3),0)</f>
        <v>#VALUE!</v>
      </c>
      <c r="N690" s="34" t="e" cm="1">
        <f t="array" aca="1" ref="N690" ca="1">IF(AND(G690=INDIRECT("'["&amp;G690&amp;"]"&amp;E690&amp;"'!"&amp;$AH$2),OR(K690=INDIRECT("'["&amp;G690&amp;"]"&amp;E690&amp;"'!"&amp;$Z$2))),INDIRECT("'["&amp;G690&amp;"]"&amp;E690&amp;"'!"&amp;$Z$3),0)</f>
        <v>#VALUE!</v>
      </c>
      <c r="O690" s="34" t="e" cm="1">
        <f t="array" aca="1" ref="O690" ca="1">IF(AND(G690=INDIRECT("'["&amp;G690&amp;"]"&amp;E690&amp;"'!"&amp;$AH$2),OR(L690=INDIRECT("'["&amp;G690&amp;"]"&amp;E690&amp;"'!"&amp;$AA$2))),INDIRECT("'["&amp;G690&amp;"]"&amp;E690&amp;"'!"&amp;$AA$3),0)</f>
        <v>#VALUE!</v>
      </c>
      <c r="P690" s="34" t="e" cm="1">
        <f t="array" aca="1" ref="P690" ca="1">IF(AND(G690=INDIRECT("'["&amp;G690&amp;"]"&amp;E690&amp;"'!"&amp;$AH$2),OR(VALUE(I690)=INDIRECT("'["&amp;G690&amp;"]"&amp;E690&amp;"'!"&amp;$AB$2))),INDIRECT("'["&amp;G690&amp;"]"&amp;E690&amp;"'!"&amp;$AB$3),0)</f>
        <v>#VALUE!</v>
      </c>
      <c r="Q690" s="34" t="e" cm="1">
        <f t="array" aca="1" ref="Q690" ca="1">IF(AND(G690=INDIRECT("'["&amp;G690&amp;"]"&amp;E690&amp;"'!"&amp;$AH$2),OR(VALUE(I690)=INDIRECT("'["&amp;G690&amp;"]"&amp;E690&amp;"'!"&amp;$AC$2))),INDIRECT("'["&amp;G690&amp;"]"&amp;E690&amp;"'!"&amp;$AC$3),0)</f>
        <v>#VALUE!</v>
      </c>
      <c r="R690" s="34" t="e" cm="1">
        <f t="array" aca="1" ref="R690" ca="1">IF(AND(G690=INDIRECT("'["&amp;G690&amp;"]"&amp;E690&amp;"'!"&amp;$AH$2),OR(I690=INDIRECT("'["&amp;G690&amp;"]"&amp;E690&amp;"'!"&amp;$AD$2))),INDIRECT("'["&amp;G690&amp;"]"&amp;E690&amp;"'!"&amp;$AD$3),0)</f>
        <v>#VALUE!</v>
      </c>
      <c r="S690" s="34" t="e" cm="1">
        <f t="array" aca="1" ref="S690" ca="1">IF(AND(G690=INDIRECT("'["&amp;G690&amp;"]"&amp;E690&amp;"'!"&amp;$AH$2),OR(I690=INDIRECT("'["&amp;G690&amp;"]"&amp;E690&amp;"'!"&amp;$AE$2))),INDIRECT("'["&amp;G690&amp;"]"&amp;E690&amp;"'!"&amp;$AE$3),0)</f>
        <v>#VALUE!</v>
      </c>
      <c r="T690" s="35" t="e" cm="1">
        <f t="array" aca="1" ref="T690" ca="1">IF(AND(G690=INDIRECT("'["&amp;G690&amp;"]"&amp;E690&amp;"'!"&amp;$AH$2),OR(I690=INDIRECT("'["&amp;G690&amp;"]"&amp;E690&amp;"'!"&amp;$AF$2))),INDIRECT("'["&amp;G690&amp;"]"&amp;E690&amp;"'!"&amp;$AF$3),0)</f>
        <v>#VALUE!</v>
      </c>
      <c r="U690" s="34" t="e" cm="1">
        <f t="array" aca="1" ref="U690" ca="1">IF(AND(G690=INDIRECT("'["&amp;G690&amp;"]"&amp;E690&amp;"'!"&amp;$AH$2),OR(I690=INDIRECT("'["&amp;G690&amp;"]"&amp;E690&amp;"'!"&amp;$AG$2))),INDIRECT("'["&amp;G690&amp;"]"&amp;E690&amp;"'!"&amp;$AG$3),0)</f>
        <v>#VALUE!</v>
      </c>
      <c r="V690" s="25" t="str">
        <f t="shared" si="182"/>
        <v/>
      </c>
      <c r="W690" s="36" t="e" cm="1">
        <f t="array" aca="1" ref="W690" ca="1">IF(AND(G690=INDIRECT("'["&amp;G690&amp;"]"&amp;E690&amp;"'!"&amp;$AH$2),OR(V690=INDIRECT("'["&amp;G690&amp;"]"&amp;E690&amp;"'!"&amp;$AI$2))),INDIRECT("'["&amp;G690&amp;"]"&amp;E690&amp;"'!"&amp;$AI$3),0)</f>
        <v>#VALUE!</v>
      </c>
      <c r="AJ690" s="25">
        <v>1</v>
      </c>
      <c r="AK690" s="38">
        <f t="shared" ca="1" si="183"/>
        <v>0</v>
      </c>
      <c r="AL690" s="38">
        <f t="shared" ca="1" si="184"/>
        <v>0</v>
      </c>
      <c r="AM690" s="54" t="str">
        <f t="shared" ca="1" si="185"/>
        <v/>
      </c>
      <c r="AN690" s="25" t="e">
        <f t="shared" ca="1" si="186"/>
        <v>#VALUE!</v>
      </c>
      <c r="AO690" s="25" t="e">
        <f t="shared" ca="1" si="187"/>
        <v>#VALUE!</v>
      </c>
      <c r="AQ690" s="46" t="str">
        <f ca="1">IF(AND(C690&lt;&gt;0, C691=0), SUM($C$2:C690)-SUM($AQ$1:AQ689), "")</f>
        <v/>
      </c>
      <c r="AR690" s="46" t="str">
        <f ca="1">IF(AND(AK690&lt;&gt;0, AK691=0), SUM($AK$2:AK690)-SUM($AR$1:AR689), "")</f>
        <v/>
      </c>
    </row>
    <row r="691" spans="2:44" ht="13.15" customHeight="1">
      <c r="B691" s="68" t="str">
        <f t="shared" si="173"/>
        <v/>
      </c>
      <c r="C691" s="55" cm="1">
        <f t="array" aca="1" ref="C691" ca="1">SUM(IF(ISNUMBER(M691:U691),M691:U691,""))</f>
        <v>0</v>
      </c>
      <c r="D691" s="25" t="str">
        <f t="shared" si="174"/>
        <v/>
      </c>
      <c r="E691" s="25" t="e">
        <f t="shared" si="175"/>
        <v>#VALUE!</v>
      </c>
      <c r="F691" s="25" t="str">
        <f t="shared" si="176"/>
        <v/>
      </c>
      <c r="G691" s="25" t="str">
        <f t="shared" si="177"/>
        <v>.xlsx</v>
      </c>
      <c r="H691" s="29" t="e" cm="1">
        <f t="array" aca="1" ref="H691" ca="1">IF(AND(VALUE(E691)=INDIRECT("'["&amp;G691&amp;"]"&amp;E691&amp;"'!"&amp;$X$2),G691=INDIRECT("'["&amp;G691&amp;"]"&amp;E691&amp;"'!"&amp;$X$3)),INDIRECT("'["&amp;G691&amp;"]"&amp;E691&amp;"'!"&amp;$X$1),0)</f>
        <v>#VALUE!</v>
      </c>
      <c r="I691" s="25" t="str">
        <f t="shared" si="178"/>
        <v/>
      </c>
      <c r="J691" s="32" t="str">
        <f t="shared" si="179"/>
        <v/>
      </c>
      <c r="K691" s="25" t="str">
        <f t="shared" si="180"/>
        <v/>
      </c>
      <c r="L691" s="25" t="str">
        <f t="shared" si="181"/>
        <v/>
      </c>
      <c r="M691" s="33" t="e" cm="1">
        <f t="array" aca="1" ref="M691" ca="1">IF(AND(J691=INDIRECT("'["&amp;G691&amp;"]"&amp;E691&amp;"'!"&amp;$Y$2),G691=INDIRECT("'["&amp;G691&amp;"]"&amp;E691&amp;"'!"&amp;$AH$2)),INDIRECT("'["&amp;G691&amp;"]"&amp;E691&amp;"'!"&amp;$Y$3),0)</f>
        <v>#VALUE!</v>
      </c>
      <c r="N691" s="34" t="e" cm="1">
        <f t="array" aca="1" ref="N691" ca="1">IF(AND(G691=INDIRECT("'["&amp;G691&amp;"]"&amp;E691&amp;"'!"&amp;$AH$2),OR(K691=INDIRECT("'["&amp;G691&amp;"]"&amp;E691&amp;"'!"&amp;$Z$2))),INDIRECT("'["&amp;G691&amp;"]"&amp;E691&amp;"'!"&amp;$Z$3),0)</f>
        <v>#VALUE!</v>
      </c>
      <c r="O691" s="34" t="e" cm="1">
        <f t="array" aca="1" ref="O691" ca="1">IF(AND(G691=INDIRECT("'["&amp;G691&amp;"]"&amp;E691&amp;"'!"&amp;$AH$2),OR(L691=INDIRECT("'["&amp;G691&amp;"]"&amp;E691&amp;"'!"&amp;$AA$2))),INDIRECT("'["&amp;G691&amp;"]"&amp;E691&amp;"'!"&amp;$AA$3),0)</f>
        <v>#VALUE!</v>
      </c>
      <c r="P691" s="34" t="e" cm="1">
        <f t="array" aca="1" ref="P691" ca="1">IF(AND(G691=INDIRECT("'["&amp;G691&amp;"]"&amp;E691&amp;"'!"&amp;$AH$2),OR(VALUE(I691)=INDIRECT("'["&amp;G691&amp;"]"&amp;E691&amp;"'!"&amp;$AB$2))),INDIRECT("'["&amp;G691&amp;"]"&amp;E691&amp;"'!"&amp;$AB$3),0)</f>
        <v>#VALUE!</v>
      </c>
      <c r="Q691" s="34" t="e" cm="1">
        <f t="array" aca="1" ref="Q691" ca="1">IF(AND(G691=INDIRECT("'["&amp;G691&amp;"]"&amp;E691&amp;"'!"&amp;$AH$2),OR(VALUE(I691)=INDIRECT("'["&amp;G691&amp;"]"&amp;E691&amp;"'!"&amp;$AC$2))),INDIRECT("'["&amp;G691&amp;"]"&amp;E691&amp;"'!"&amp;$AC$3),0)</f>
        <v>#VALUE!</v>
      </c>
      <c r="R691" s="34" t="e" cm="1">
        <f t="array" aca="1" ref="R691" ca="1">IF(AND(G691=INDIRECT("'["&amp;G691&amp;"]"&amp;E691&amp;"'!"&amp;$AH$2),OR(I691=INDIRECT("'["&amp;G691&amp;"]"&amp;E691&amp;"'!"&amp;$AD$2))),INDIRECT("'["&amp;G691&amp;"]"&amp;E691&amp;"'!"&amp;$AD$3),0)</f>
        <v>#VALUE!</v>
      </c>
      <c r="S691" s="34" t="e" cm="1">
        <f t="array" aca="1" ref="S691" ca="1">IF(AND(G691=INDIRECT("'["&amp;G691&amp;"]"&amp;E691&amp;"'!"&amp;$AH$2),OR(I691=INDIRECT("'["&amp;G691&amp;"]"&amp;E691&amp;"'!"&amp;$AE$2))),INDIRECT("'["&amp;G691&amp;"]"&amp;E691&amp;"'!"&amp;$AE$3),0)</f>
        <v>#VALUE!</v>
      </c>
      <c r="T691" s="35" t="e" cm="1">
        <f t="array" aca="1" ref="T691" ca="1">IF(AND(G691=INDIRECT("'["&amp;G691&amp;"]"&amp;E691&amp;"'!"&amp;$AH$2),OR(I691=INDIRECT("'["&amp;G691&amp;"]"&amp;E691&amp;"'!"&amp;$AF$2))),INDIRECT("'["&amp;G691&amp;"]"&amp;E691&amp;"'!"&amp;$AF$3),0)</f>
        <v>#VALUE!</v>
      </c>
      <c r="U691" s="34" t="e" cm="1">
        <f t="array" aca="1" ref="U691" ca="1">IF(AND(G691=INDIRECT("'["&amp;G691&amp;"]"&amp;E691&amp;"'!"&amp;$AH$2),OR(I691=INDIRECT("'["&amp;G691&amp;"]"&amp;E691&amp;"'!"&amp;$AG$2))),INDIRECT("'["&amp;G691&amp;"]"&amp;E691&amp;"'!"&amp;$AG$3),0)</f>
        <v>#VALUE!</v>
      </c>
      <c r="V691" s="25" t="str">
        <f t="shared" si="182"/>
        <v/>
      </c>
      <c r="W691" s="36" t="e" cm="1">
        <f t="array" aca="1" ref="W691" ca="1">IF(AND(G691=INDIRECT("'["&amp;G691&amp;"]"&amp;E691&amp;"'!"&amp;$AH$2),OR(V691=INDIRECT("'["&amp;G691&amp;"]"&amp;E691&amp;"'!"&amp;$AI$2))),INDIRECT("'["&amp;G691&amp;"]"&amp;E691&amp;"'!"&amp;$AI$3),0)</f>
        <v>#VALUE!</v>
      </c>
      <c r="AJ691" s="25">
        <v>1</v>
      </c>
      <c r="AK691" s="38">
        <f t="shared" ca="1" si="183"/>
        <v>0</v>
      </c>
      <c r="AL691" s="38">
        <f t="shared" ca="1" si="184"/>
        <v>0</v>
      </c>
      <c r="AM691" s="54" t="str">
        <f t="shared" ca="1" si="185"/>
        <v/>
      </c>
      <c r="AN691" s="25" t="e">
        <f t="shared" ca="1" si="186"/>
        <v>#VALUE!</v>
      </c>
      <c r="AO691" s="25" t="e">
        <f t="shared" ca="1" si="187"/>
        <v>#VALUE!</v>
      </c>
      <c r="AQ691" s="46" t="str">
        <f ca="1">IF(AND(C691&lt;&gt;0, C692=0), SUM($C$2:C691)-SUM($AQ$1:AQ690), "")</f>
        <v/>
      </c>
      <c r="AR691" s="46" t="str">
        <f ca="1">IF(AND(AK691&lt;&gt;0, AK692=0), SUM($AK$2:AK691)-SUM($AR$1:AR690), "")</f>
        <v/>
      </c>
    </row>
    <row r="692" spans="2:44" ht="13.15" customHeight="1">
      <c r="B692" s="68" t="str">
        <f t="shared" si="173"/>
        <v/>
      </c>
      <c r="C692" s="55" cm="1">
        <f t="array" aca="1" ref="C692" ca="1">SUM(IF(ISNUMBER(M692:U692),M692:U692,""))</f>
        <v>0</v>
      </c>
      <c r="D692" s="25" t="str">
        <f t="shared" si="174"/>
        <v/>
      </c>
      <c r="E692" s="25" t="e">
        <f t="shared" si="175"/>
        <v>#VALUE!</v>
      </c>
      <c r="F692" s="25" t="str">
        <f t="shared" si="176"/>
        <v/>
      </c>
      <c r="G692" s="25" t="str">
        <f t="shared" si="177"/>
        <v>.xlsx</v>
      </c>
      <c r="H692" s="29" t="e" cm="1">
        <f t="array" aca="1" ref="H692" ca="1">IF(AND(VALUE(E692)=INDIRECT("'["&amp;G692&amp;"]"&amp;E692&amp;"'!"&amp;$X$2),G692=INDIRECT("'["&amp;G692&amp;"]"&amp;E692&amp;"'!"&amp;$X$3)),INDIRECT("'["&amp;G692&amp;"]"&amp;E692&amp;"'!"&amp;$X$1),0)</f>
        <v>#VALUE!</v>
      </c>
      <c r="I692" s="25" t="str">
        <f t="shared" si="178"/>
        <v/>
      </c>
      <c r="J692" s="32" t="str">
        <f t="shared" si="179"/>
        <v/>
      </c>
      <c r="K692" s="25" t="str">
        <f t="shared" si="180"/>
        <v/>
      </c>
      <c r="L692" s="25" t="str">
        <f t="shared" si="181"/>
        <v/>
      </c>
      <c r="M692" s="33" t="e" cm="1">
        <f t="array" aca="1" ref="M692" ca="1">IF(AND(J692=INDIRECT("'["&amp;G692&amp;"]"&amp;E692&amp;"'!"&amp;$Y$2),G692=INDIRECT("'["&amp;G692&amp;"]"&amp;E692&amp;"'!"&amp;$AH$2)),INDIRECT("'["&amp;G692&amp;"]"&amp;E692&amp;"'!"&amp;$Y$3),0)</f>
        <v>#VALUE!</v>
      </c>
      <c r="N692" s="34" t="e" cm="1">
        <f t="array" aca="1" ref="N692" ca="1">IF(AND(G692=INDIRECT("'["&amp;G692&amp;"]"&amp;E692&amp;"'!"&amp;$AH$2),OR(K692=INDIRECT("'["&amp;G692&amp;"]"&amp;E692&amp;"'!"&amp;$Z$2))),INDIRECT("'["&amp;G692&amp;"]"&amp;E692&amp;"'!"&amp;$Z$3),0)</f>
        <v>#VALUE!</v>
      </c>
      <c r="O692" s="34" t="e" cm="1">
        <f t="array" aca="1" ref="O692" ca="1">IF(AND(G692=INDIRECT("'["&amp;G692&amp;"]"&amp;E692&amp;"'!"&amp;$AH$2),OR(L692=INDIRECT("'["&amp;G692&amp;"]"&amp;E692&amp;"'!"&amp;$AA$2))),INDIRECT("'["&amp;G692&amp;"]"&amp;E692&amp;"'!"&amp;$AA$3),0)</f>
        <v>#VALUE!</v>
      </c>
      <c r="P692" s="34" t="e" cm="1">
        <f t="array" aca="1" ref="P692" ca="1">IF(AND(G692=INDIRECT("'["&amp;G692&amp;"]"&amp;E692&amp;"'!"&amp;$AH$2),OR(VALUE(I692)=INDIRECT("'["&amp;G692&amp;"]"&amp;E692&amp;"'!"&amp;$AB$2))),INDIRECT("'["&amp;G692&amp;"]"&amp;E692&amp;"'!"&amp;$AB$3),0)</f>
        <v>#VALUE!</v>
      </c>
      <c r="Q692" s="34" t="e" cm="1">
        <f t="array" aca="1" ref="Q692" ca="1">IF(AND(G692=INDIRECT("'["&amp;G692&amp;"]"&amp;E692&amp;"'!"&amp;$AH$2),OR(VALUE(I692)=INDIRECT("'["&amp;G692&amp;"]"&amp;E692&amp;"'!"&amp;$AC$2))),INDIRECT("'["&amp;G692&amp;"]"&amp;E692&amp;"'!"&amp;$AC$3),0)</f>
        <v>#VALUE!</v>
      </c>
      <c r="R692" s="34" t="e" cm="1">
        <f t="array" aca="1" ref="R692" ca="1">IF(AND(G692=INDIRECT("'["&amp;G692&amp;"]"&amp;E692&amp;"'!"&amp;$AH$2),OR(I692=INDIRECT("'["&amp;G692&amp;"]"&amp;E692&amp;"'!"&amp;$AD$2))),INDIRECT("'["&amp;G692&amp;"]"&amp;E692&amp;"'!"&amp;$AD$3),0)</f>
        <v>#VALUE!</v>
      </c>
      <c r="S692" s="34" t="e" cm="1">
        <f t="array" aca="1" ref="S692" ca="1">IF(AND(G692=INDIRECT("'["&amp;G692&amp;"]"&amp;E692&amp;"'!"&amp;$AH$2),OR(I692=INDIRECT("'["&amp;G692&amp;"]"&amp;E692&amp;"'!"&amp;$AE$2))),INDIRECT("'["&amp;G692&amp;"]"&amp;E692&amp;"'!"&amp;$AE$3),0)</f>
        <v>#VALUE!</v>
      </c>
      <c r="T692" s="35" t="e" cm="1">
        <f t="array" aca="1" ref="T692" ca="1">IF(AND(G692=INDIRECT("'["&amp;G692&amp;"]"&amp;E692&amp;"'!"&amp;$AH$2),OR(I692=INDIRECT("'["&amp;G692&amp;"]"&amp;E692&amp;"'!"&amp;$AF$2))),INDIRECT("'["&amp;G692&amp;"]"&amp;E692&amp;"'!"&amp;$AF$3),0)</f>
        <v>#VALUE!</v>
      </c>
      <c r="U692" s="34" t="e" cm="1">
        <f t="array" aca="1" ref="U692" ca="1">IF(AND(G692=INDIRECT("'["&amp;G692&amp;"]"&amp;E692&amp;"'!"&amp;$AH$2),OR(I692=INDIRECT("'["&amp;G692&amp;"]"&amp;E692&amp;"'!"&amp;$AG$2))),INDIRECT("'["&amp;G692&amp;"]"&amp;E692&amp;"'!"&amp;$AG$3),0)</f>
        <v>#VALUE!</v>
      </c>
      <c r="V692" s="25" t="str">
        <f t="shared" si="182"/>
        <v/>
      </c>
      <c r="W692" s="36" t="e" cm="1">
        <f t="array" aca="1" ref="W692" ca="1">IF(AND(G692=INDIRECT("'["&amp;G692&amp;"]"&amp;E692&amp;"'!"&amp;$AH$2),OR(V692=INDIRECT("'["&amp;G692&amp;"]"&amp;E692&amp;"'!"&amp;$AI$2))),INDIRECT("'["&amp;G692&amp;"]"&amp;E692&amp;"'!"&amp;$AI$3),0)</f>
        <v>#VALUE!</v>
      </c>
      <c r="AJ692" s="25">
        <v>1</v>
      </c>
      <c r="AK692" s="38">
        <f t="shared" ca="1" si="183"/>
        <v>0</v>
      </c>
      <c r="AL692" s="38">
        <f t="shared" ca="1" si="184"/>
        <v>0</v>
      </c>
      <c r="AM692" s="54" t="str">
        <f t="shared" ca="1" si="185"/>
        <v/>
      </c>
      <c r="AN692" s="25" t="e">
        <f t="shared" ca="1" si="186"/>
        <v>#VALUE!</v>
      </c>
      <c r="AO692" s="25" t="e">
        <f t="shared" ca="1" si="187"/>
        <v>#VALUE!</v>
      </c>
      <c r="AQ692" s="46" t="str">
        <f ca="1">IF(AND(C692&lt;&gt;0, C693=0), SUM($C$2:C692)-SUM($AQ$1:AQ691), "")</f>
        <v/>
      </c>
      <c r="AR692" s="46" t="str">
        <f ca="1">IF(AND(AK692&lt;&gt;0, AK693=0), SUM($AK$2:AK692)-SUM($AR$1:AR691), "")</f>
        <v/>
      </c>
    </row>
    <row r="693" spans="2:44" ht="13.15" customHeight="1">
      <c r="B693" s="68" t="str">
        <f t="shared" ref="B693:B756" si="188">LEFT(A693,15)</f>
        <v/>
      </c>
      <c r="C693" s="55" cm="1">
        <f t="array" aca="1" ref="C693" ca="1">SUM(IF(ISNUMBER(M693:U693),M693:U693,""))</f>
        <v>0</v>
      </c>
      <c r="D693" s="25" t="str">
        <f t="shared" ref="D693:D756" si="189">MID(A693,4,2)</f>
        <v/>
      </c>
      <c r="E693" s="25" t="e">
        <f t="shared" ref="E693:E756" si="190">IF(ISEVEN(D693),D693-1,VALUE(D693))</f>
        <v>#VALUE!</v>
      </c>
      <c r="F693" s="25" t="str">
        <f t="shared" ref="F693:F756" si="191">LEFT(A693,2)</f>
        <v/>
      </c>
      <c r="G693" s="25" t="str">
        <f t="shared" ref="G693:G756" si="192">CONCATENATE(F693,".xlsx")</f>
        <v>.xlsx</v>
      </c>
      <c r="H693" s="29" t="e" cm="1">
        <f t="array" aca="1" ref="H693" ca="1">IF(AND(VALUE(E693)=INDIRECT("'["&amp;G693&amp;"]"&amp;E693&amp;"'!"&amp;$X$2),G693=INDIRECT("'["&amp;G693&amp;"]"&amp;E693&amp;"'!"&amp;$X$3)),INDIRECT("'["&amp;G693&amp;"]"&amp;E693&amp;"'!"&amp;$X$1),0)</f>
        <v>#VALUE!</v>
      </c>
      <c r="I693" s="25" t="str">
        <f t="shared" ref="I693:I756" si="193">MID(A693,10,6)</f>
        <v/>
      </c>
      <c r="J693" s="32" t="str">
        <f t="shared" ref="J693:J756" si="194">RIGHT(I693,2)</f>
        <v/>
      </c>
      <c r="K693" s="25" t="str">
        <f t="shared" ref="K693:K756" si="195">LEFT(I693,3)</f>
        <v/>
      </c>
      <c r="L693" s="25" t="str">
        <f t="shared" ref="L693:L756" si="196">RIGHT(I693,3)</f>
        <v/>
      </c>
      <c r="M693" s="33" t="e" cm="1">
        <f t="array" aca="1" ref="M693" ca="1">IF(AND(J693=INDIRECT("'["&amp;G693&amp;"]"&amp;E693&amp;"'!"&amp;$Y$2),G693=INDIRECT("'["&amp;G693&amp;"]"&amp;E693&amp;"'!"&amp;$AH$2)),INDIRECT("'["&amp;G693&amp;"]"&amp;E693&amp;"'!"&amp;$Y$3),0)</f>
        <v>#VALUE!</v>
      </c>
      <c r="N693" s="34" t="e" cm="1">
        <f t="array" aca="1" ref="N693" ca="1">IF(AND(G693=INDIRECT("'["&amp;G693&amp;"]"&amp;E693&amp;"'!"&amp;$AH$2),OR(K693=INDIRECT("'["&amp;G693&amp;"]"&amp;E693&amp;"'!"&amp;$Z$2))),INDIRECT("'["&amp;G693&amp;"]"&amp;E693&amp;"'!"&amp;$Z$3),0)</f>
        <v>#VALUE!</v>
      </c>
      <c r="O693" s="34" t="e" cm="1">
        <f t="array" aca="1" ref="O693" ca="1">IF(AND(G693=INDIRECT("'["&amp;G693&amp;"]"&amp;E693&amp;"'!"&amp;$AH$2),OR(L693=INDIRECT("'["&amp;G693&amp;"]"&amp;E693&amp;"'!"&amp;$AA$2))),INDIRECT("'["&amp;G693&amp;"]"&amp;E693&amp;"'!"&amp;$AA$3),0)</f>
        <v>#VALUE!</v>
      </c>
      <c r="P693" s="34" t="e" cm="1">
        <f t="array" aca="1" ref="P693" ca="1">IF(AND(G693=INDIRECT("'["&amp;G693&amp;"]"&amp;E693&amp;"'!"&amp;$AH$2),OR(VALUE(I693)=INDIRECT("'["&amp;G693&amp;"]"&amp;E693&amp;"'!"&amp;$AB$2))),INDIRECT("'["&amp;G693&amp;"]"&amp;E693&amp;"'!"&amp;$AB$3),0)</f>
        <v>#VALUE!</v>
      </c>
      <c r="Q693" s="34" t="e" cm="1">
        <f t="array" aca="1" ref="Q693" ca="1">IF(AND(G693=INDIRECT("'["&amp;G693&amp;"]"&amp;E693&amp;"'!"&amp;$AH$2),OR(VALUE(I693)=INDIRECT("'["&amp;G693&amp;"]"&amp;E693&amp;"'!"&amp;$AC$2))),INDIRECT("'["&amp;G693&amp;"]"&amp;E693&amp;"'!"&amp;$AC$3),0)</f>
        <v>#VALUE!</v>
      </c>
      <c r="R693" s="34" t="e" cm="1">
        <f t="array" aca="1" ref="R693" ca="1">IF(AND(G693=INDIRECT("'["&amp;G693&amp;"]"&amp;E693&amp;"'!"&amp;$AH$2),OR(I693=INDIRECT("'["&amp;G693&amp;"]"&amp;E693&amp;"'!"&amp;$AD$2))),INDIRECT("'["&amp;G693&amp;"]"&amp;E693&amp;"'!"&amp;$AD$3),0)</f>
        <v>#VALUE!</v>
      </c>
      <c r="S693" s="34" t="e" cm="1">
        <f t="array" aca="1" ref="S693" ca="1">IF(AND(G693=INDIRECT("'["&amp;G693&amp;"]"&amp;E693&amp;"'!"&amp;$AH$2),OR(I693=INDIRECT("'["&amp;G693&amp;"]"&amp;E693&amp;"'!"&amp;$AE$2))),INDIRECT("'["&amp;G693&amp;"]"&amp;E693&amp;"'!"&amp;$AE$3),0)</f>
        <v>#VALUE!</v>
      </c>
      <c r="T693" s="35" t="e" cm="1">
        <f t="array" aca="1" ref="T693" ca="1">IF(AND(G693=INDIRECT("'["&amp;G693&amp;"]"&amp;E693&amp;"'!"&amp;$AH$2),OR(I693=INDIRECT("'["&amp;G693&amp;"]"&amp;E693&amp;"'!"&amp;$AF$2))),INDIRECT("'["&amp;G693&amp;"]"&amp;E693&amp;"'!"&amp;$AF$3),0)</f>
        <v>#VALUE!</v>
      </c>
      <c r="U693" s="34" t="e" cm="1">
        <f t="array" aca="1" ref="U693" ca="1">IF(AND(G693=INDIRECT("'["&amp;G693&amp;"]"&amp;E693&amp;"'!"&amp;$AH$2),OR(I693=INDIRECT("'["&amp;G693&amp;"]"&amp;E693&amp;"'!"&amp;$AG$2))),INDIRECT("'["&amp;G693&amp;"]"&amp;E693&amp;"'!"&amp;$AG$3),0)</f>
        <v>#VALUE!</v>
      </c>
      <c r="V693" s="25" t="str">
        <f t="shared" ref="V693:V756" si="197">MID(B693,7,9)</f>
        <v/>
      </c>
      <c r="W693" s="36" t="e" cm="1">
        <f t="array" aca="1" ref="W693" ca="1">IF(AND(G693=INDIRECT("'["&amp;G693&amp;"]"&amp;E693&amp;"'!"&amp;$AH$2),OR(V693=INDIRECT("'["&amp;G693&amp;"]"&amp;E693&amp;"'!"&amp;$AI$2))),INDIRECT("'["&amp;G693&amp;"]"&amp;E693&amp;"'!"&amp;$AI$3),0)</f>
        <v>#VALUE!</v>
      </c>
      <c r="AJ693" s="25">
        <v>1</v>
      </c>
      <c r="AK693" s="38">
        <f t="shared" ref="AK693:AK756" ca="1" si="198">(C693*AJ693%)</f>
        <v>0</v>
      </c>
      <c r="AL693" s="38">
        <f t="shared" ref="AL693:AL756" ca="1" si="199">C693-AK693</f>
        <v>0</v>
      </c>
      <c r="AM693" s="54" t="str">
        <f t="shared" ref="AM693:AM756" ca="1" si="200">IF(A693&lt;&gt;"",IF(AM693="",NOW(),AM693),"")</f>
        <v/>
      </c>
      <c r="AN693" s="25" t="e">
        <f t="shared" ref="AN693:AN756" ca="1" si="201">IF(VALUE(N693),"/","")</f>
        <v>#VALUE!</v>
      </c>
      <c r="AO693" s="25" t="e">
        <f t="shared" ref="AO693:AO756" ca="1" si="202">IF(VALUE(O693),"/","")</f>
        <v>#VALUE!</v>
      </c>
      <c r="AQ693" s="46" t="str">
        <f ca="1">IF(AND(C693&lt;&gt;0, C694=0), SUM($C$2:C693)-SUM($AQ$1:AQ692), "")</f>
        <v/>
      </c>
      <c r="AR693" s="46" t="str">
        <f ca="1">IF(AND(AK693&lt;&gt;0, AK694=0), SUM($AK$2:AK693)-SUM($AR$1:AR692), "")</f>
        <v/>
      </c>
    </row>
    <row r="694" spans="2:44" ht="13.15" customHeight="1">
      <c r="B694" s="68" t="str">
        <f t="shared" si="188"/>
        <v/>
      </c>
      <c r="C694" s="55" cm="1">
        <f t="array" aca="1" ref="C694" ca="1">SUM(IF(ISNUMBER(M694:U694),M694:U694,""))</f>
        <v>0</v>
      </c>
      <c r="D694" s="25" t="str">
        <f t="shared" si="189"/>
        <v/>
      </c>
      <c r="E694" s="25" t="e">
        <f t="shared" si="190"/>
        <v>#VALUE!</v>
      </c>
      <c r="F694" s="25" t="str">
        <f t="shared" si="191"/>
        <v/>
      </c>
      <c r="G694" s="25" t="str">
        <f t="shared" si="192"/>
        <v>.xlsx</v>
      </c>
      <c r="H694" s="29" t="e" cm="1">
        <f t="array" aca="1" ref="H694" ca="1">IF(AND(VALUE(E694)=INDIRECT("'["&amp;G694&amp;"]"&amp;E694&amp;"'!"&amp;$X$2),G694=INDIRECT("'["&amp;G694&amp;"]"&amp;E694&amp;"'!"&amp;$X$3)),INDIRECT("'["&amp;G694&amp;"]"&amp;E694&amp;"'!"&amp;$X$1),0)</f>
        <v>#VALUE!</v>
      </c>
      <c r="I694" s="25" t="str">
        <f t="shared" si="193"/>
        <v/>
      </c>
      <c r="J694" s="32" t="str">
        <f t="shared" si="194"/>
        <v/>
      </c>
      <c r="K694" s="25" t="str">
        <f t="shared" si="195"/>
        <v/>
      </c>
      <c r="L694" s="25" t="str">
        <f t="shared" si="196"/>
        <v/>
      </c>
      <c r="M694" s="33" t="e" cm="1">
        <f t="array" aca="1" ref="M694" ca="1">IF(AND(J694=INDIRECT("'["&amp;G694&amp;"]"&amp;E694&amp;"'!"&amp;$Y$2),G694=INDIRECT("'["&amp;G694&amp;"]"&amp;E694&amp;"'!"&amp;$AH$2)),INDIRECT("'["&amp;G694&amp;"]"&amp;E694&amp;"'!"&amp;$Y$3),0)</f>
        <v>#VALUE!</v>
      </c>
      <c r="N694" s="34" t="e" cm="1">
        <f t="array" aca="1" ref="N694" ca="1">IF(AND(G694=INDIRECT("'["&amp;G694&amp;"]"&amp;E694&amp;"'!"&amp;$AH$2),OR(K694=INDIRECT("'["&amp;G694&amp;"]"&amp;E694&amp;"'!"&amp;$Z$2))),INDIRECT("'["&amp;G694&amp;"]"&amp;E694&amp;"'!"&amp;$Z$3),0)</f>
        <v>#VALUE!</v>
      </c>
      <c r="O694" s="34" t="e" cm="1">
        <f t="array" aca="1" ref="O694" ca="1">IF(AND(G694=INDIRECT("'["&amp;G694&amp;"]"&amp;E694&amp;"'!"&amp;$AH$2),OR(L694=INDIRECT("'["&amp;G694&amp;"]"&amp;E694&amp;"'!"&amp;$AA$2))),INDIRECT("'["&amp;G694&amp;"]"&amp;E694&amp;"'!"&amp;$AA$3),0)</f>
        <v>#VALUE!</v>
      </c>
      <c r="P694" s="34" t="e" cm="1">
        <f t="array" aca="1" ref="P694" ca="1">IF(AND(G694=INDIRECT("'["&amp;G694&amp;"]"&amp;E694&amp;"'!"&amp;$AH$2),OR(VALUE(I694)=INDIRECT("'["&amp;G694&amp;"]"&amp;E694&amp;"'!"&amp;$AB$2))),INDIRECT("'["&amp;G694&amp;"]"&amp;E694&amp;"'!"&amp;$AB$3),0)</f>
        <v>#VALUE!</v>
      </c>
      <c r="Q694" s="34" t="e" cm="1">
        <f t="array" aca="1" ref="Q694" ca="1">IF(AND(G694=INDIRECT("'["&amp;G694&amp;"]"&amp;E694&amp;"'!"&amp;$AH$2),OR(VALUE(I694)=INDIRECT("'["&amp;G694&amp;"]"&amp;E694&amp;"'!"&amp;$AC$2))),INDIRECT("'["&amp;G694&amp;"]"&amp;E694&amp;"'!"&amp;$AC$3),0)</f>
        <v>#VALUE!</v>
      </c>
      <c r="R694" s="34" t="e" cm="1">
        <f t="array" aca="1" ref="R694" ca="1">IF(AND(G694=INDIRECT("'["&amp;G694&amp;"]"&amp;E694&amp;"'!"&amp;$AH$2),OR(I694=INDIRECT("'["&amp;G694&amp;"]"&amp;E694&amp;"'!"&amp;$AD$2))),INDIRECT("'["&amp;G694&amp;"]"&amp;E694&amp;"'!"&amp;$AD$3),0)</f>
        <v>#VALUE!</v>
      </c>
      <c r="S694" s="34" t="e" cm="1">
        <f t="array" aca="1" ref="S694" ca="1">IF(AND(G694=INDIRECT("'["&amp;G694&amp;"]"&amp;E694&amp;"'!"&amp;$AH$2),OR(I694=INDIRECT("'["&amp;G694&amp;"]"&amp;E694&amp;"'!"&amp;$AE$2))),INDIRECT("'["&amp;G694&amp;"]"&amp;E694&amp;"'!"&amp;$AE$3),0)</f>
        <v>#VALUE!</v>
      </c>
      <c r="T694" s="35" t="e" cm="1">
        <f t="array" aca="1" ref="T694" ca="1">IF(AND(G694=INDIRECT("'["&amp;G694&amp;"]"&amp;E694&amp;"'!"&amp;$AH$2),OR(I694=INDIRECT("'["&amp;G694&amp;"]"&amp;E694&amp;"'!"&amp;$AF$2))),INDIRECT("'["&amp;G694&amp;"]"&amp;E694&amp;"'!"&amp;$AF$3),0)</f>
        <v>#VALUE!</v>
      </c>
      <c r="U694" s="34" t="e" cm="1">
        <f t="array" aca="1" ref="U694" ca="1">IF(AND(G694=INDIRECT("'["&amp;G694&amp;"]"&amp;E694&amp;"'!"&amp;$AH$2),OR(I694=INDIRECT("'["&amp;G694&amp;"]"&amp;E694&amp;"'!"&amp;$AG$2))),INDIRECT("'["&amp;G694&amp;"]"&amp;E694&amp;"'!"&amp;$AG$3),0)</f>
        <v>#VALUE!</v>
      </c>
      <c r="V694" s="25" t="str">
        <f t="shared" si="197"/>
        <v/>
      </c>
      <c r="W694" s="36" t="e" cm="1">
        <f t="array" aca="1" ref="W694" ca="1">IF(AND(G694=INDIRECT("'["&amp;G694&amp;"]"&amp;E694&amp;"'!"&amp;$AH$2),OR(V694=INDIRECT("'["&amp;G694&amp;"]"&amp;E694&amp;"'!"&amp;$AI$2))),INDIRECT("'["&amp;G694&amp;"]"&amp;E694&amp;"'!"&amp;$AI$3),0)</f>
        <v>#VALUE!</v>
      </c>
      <c r="AJ694" s="25">
        <v>1</v>
      </c>
      <c r="AK694" s="38">
        <f t="shared" ca="1" si="198"/>
        <v>0</v>
      </c>
      <c r="AL694" s="38">
        <f t="shared" ca="1" si="199"/>
        <v>0</v>
      </c>
      <c r="AM694" s="54" t="str">
        <f t="shared" ca="1" si="200"/>
        <v/>
      </c>
      <c r="AN694" s="25" t="e">
        <f t="shared" ca="1" si="201"/>
        <v>#VALUE!</v>
      </c>
      <c r="AO694" s="25" t="e">
        <f t="shared" ca="1" si="202"/>
        <v>#VALUE!</v>
      </c>
      <c r="AQ694" s="46" t="str">
        <f ca="1">IF(AND(C694&lt;&gt;0, C695=0), SUM($C$2:C694)-SUM($AQ$1:AQ693), "")</f>
        <v/>
      </c>
      <c r="AR694" s="46" t="str">
        <f ca="1">IF(AND(AK694&lt;&gt;0, AK695=0), SUM($AK$2:AK694)-SUM($AR$1:AR693), "")</f>
        <v/>
      </c>
    </row>
    <row r="695" spans="2:44" ht="13.15" customHeight="1">
      <c r="B695" s="68" t="str">
        <f t="shared" si="188"/>
        <v/>
      </c>
      <c r="C695" s="55" cm="1">
        <f t="array" aca="1" ref="C695" ca="1">SUM(IF(ISNUMBER(M695:U695),M695:U695,""))</f>
        <v>0</v>
      </c>
      <c r="D695" s="25" t="str">
        <f t="shared" si="189"/>
        <v/>
      </c>
      <c r="E695" s="25" t="e">
        <f t="shared" si="190"/>
        <v>#VALUE!</v>
      </c>
      <c r="F695" s="25" t="str">
        <f t="shared" si="191"/>
        <v/>
      </c>
      <c r="G695" s="25" t="str">
        <f t="shared" si="192"/>
        <v>.xlsx</v>
      </c>
      <c r="H695" s="29" t="e" cm="1">
        <f t="array" aca="1" ref="H695" ca="1">IF(AND(VALUE(E695)=INDIRECT("'["&amp;G695&amp;"]"&amp;E695&amp;"'!"&amp;$X$2),G695=INDIRECT("'["&amp;G695&amp;"]"&amp;E695&amp;"'!"&amp;$X$3)),INDIRECT("'["&amp;G695&amp;"]"&amp;E695&amp;"'!"&amp;$X$1),0)</f>
        <v>#VALUE!</v>
      </c>
      <c r="I695" s="25" t="str">
        <f t="shared" si="193"/>
        <v/>
      </c>
      <c r="J695" s="32" t="str">
        <f t="shared" si="194"/>
        <v/>
      </c>
      <c r="K695" s="25" t="str">
        <f t="shared" si="195"/>
        <v/>
      </c>
      <c r="L695" s="25" t="str">
        <f t="shared" si="196"/>
        <v/>
      </c>
      <c r="M695" s="33" t="e" cm="1">
        <f t="array" aca="1" ref="M695" ca="1">IF(AND(J695=INDIRECT("'["&amp;G695&amp;"]"&amp;E695&amp;"'!"&amp;$Y$2),G695=INDIRECT("'["&amp;G695&amp;"]"&amp;E695&amp;"'!"&amp;$AH$2)),INDIRECT("'["&amp;G695&amp;"]"&amp;E695&amp;"'!"&amp;$Y$3),0)</f>
        <v>#VALUE!</v>
      </c>
      <c r="N695" s="34" t="e" cm="1">
        <f t="array" aca="1" ref="N695" ca="1">IF(AND(G695=INDIRECT("'["&amp;G695&amp;"]"&amp;E695&amp;"'!"&amp;$AH$2),OR(K695=INDIRECT("'["&amp;G695&amp;"]"&amp;E695&amp;"'!"&amp;$Z$2))),INDIRECT("'["&amp;G695&amp;"]"&amp;E695&amp;"'!"&amp;$Z$3),0)</f>
        <v>#VALUE!</v>
      </c>
      <c r="O695" s="34" t="e" cm="1">
        <f t="array" aca="1" ref="O695" ca="1">IF(AND(G695=INDIRECT("'["&amp;G695&amp;"]"&amp;E695&amp;"'!"&amp;$AH$2),OR(L695=INDIRECT("'["&amp;G695&amp;"]"&amp;E695&amp;"'!"&amp;$AA$2))),INDIRECT("'["&amp;G695&amp;"]"&amp;E695&amp;"'!"&amp;$AA$3),0)</f>
        <v>#VALUE!</v>
      </c>
      <c r="P695" s="34" t="e" cm="1">
        <f t="array" aca="1" ref="P695" ca="1">IF(AND(G695=INDIRECT("'["&amp;G695&amp;"]"&amp;E695&amp;"'!"&amp;$AH$2),OR(VALUE(I695)=INDIRECT("'["&amp;G695&amp;"]"&amp;E695&amp;"'!"&amp;$AB$2))),INDIRECT("'["&amp;G695&amp;"]"&amp;E695&amp;"'!"&amp;$AB$3),0)</f>
        <v>#VALUE!</v>
      </c>
      <c r="Q695" s="34" t="e" cm="1">
        <f t="array" aca="1" ref="Q695" ca="1">IF(AND(G695=INDIRECT("'["&amp;G695&amp;"]"&amp;E695&amp;"'!"&amp;$AH$2),OR(VALUE(I695)=INDIRECT("'["&amp;G695&amp;"]"&amp;E695&amp;"'!"&amp;$AC$2))),INDIRECT("'["&amp;G695&amp;"]"&amp;E695&amp;"'!"&amp;$AC$3),0)</f>
        <v>#VALUE!</v>
      </c>
      <c r="R695" s="34" t="e" cm="1">
        <f t="array" aca="1" ref="R695" ca="1">IF(AND(G695=INDIRECT("'["&amp;G695&amp;"]"&amp;E695&amp;"'!"&amp;$AH$2),OR(I695=INDIRECT("'["&amp;G695&amp;"]"&amp;E695&amp;"'!"&amp;$AD$2))),INDIRECT("'["&amp;G695&amp;"]"&amp;E695&amp;"'!"&amp;$AD$3),0)</f>
        <v>#VALUE!</v>
      </c>
      <c r="S695" s="34" t="e" cm="1">
        <f t="array" aca="1" ref="S695" ca="1">IF(AND(G695=INDIRECT("'["&amp;G695&amp;"]"&amp;E695&amp;"'!"&amp;$AH$2),OR(I695=INDIRECT("'["&amp;G695&amp;"]"&amp;E695&amp;"'!"&amp;$AE$2))),INDIRECT("'["&amp;G695&amp;"]"&amp;E695&amp;"'!"&amp;$AE$3),0)</f>
        <v>#VALUE!</v>
      </c>
      <c r="T695" s="35" t="e" cm="1">
        <f t="array" aca="1" ref="T695" ca="1">IF(AND(G695=INDIRECT("'["&amp;G695&amp;"]"&amp;E695&amp;"'!"&amp;$AH$2),OR(I695=INDIRECT("'["&amp;G695&amp;"]"&amp;E695&amp;"'!"&amp;$AF$2))),INDIRECT("'["&amp;G695&amp;"]"&amp;E695&amp;"'!"&amp;$AF$3),0)</f>
        <v>#VALUE!</v>
      </c>
      <c r="U695" s="34" t="e" cm="1">
        <f t="array" aca="1" ref="U695" ca="1">IF(AND(G695=INDIRECT("'["&amp;G695&amp;"]"&amp;E695&amp;"'!"&amp;$AH$2),OR(I695=INDIRECT("'["&amp;G695&amp;"]"&amp;E695&amp;"'!"&amp;$AG$2))),INDIRECT("'["&amp;G695&amp;"]"&amp;E695&amp;"'!"&amp;$AG$3),0)</f>
        <v>#VALUE!</v>
      </c>
      <c r="V695" s="25" t="str">
        <f t="shared" si="197"/>
        <v/>
      </c>
      <c r="W695" s="36" t="e" cm="1">
        <f t="array" aca="1" ref="W695" ca="1">IF(AND(G695=INDIRECT("'["&amp;G695&amp;"]"&amp;E695&amp;"'!"&amp;$AH$2),OR(V695=INDIRECT("'["&amp;G695&amp;"]"&amp;E695&amp;"'!"&amp;$AI$2))),INDIRECT("'["&amp;G695&amp;"]"&amp;E695&amp;"'!"&amp;$AI$3),0)</f>
        <v>#VALUE!</v>
      </c>
      <c r="AJ695" s="25">
        <v>1</v>
      </c>
      <c r="AK695" s="38">
        <f t="shared" ca="1" si="198"/>
        <v>0</v>
      </c>
      <c r="AL695" s="38">
        <f t="shared" ca="1" si="199"/>
        <v>0</v>
      </c>
      <c r="AM695" s="54" t="str">
        <f t="shared" ca="1" si="200"/>
        <v/>
      </c>
      <c r="AN695" s="25" t="e">
        <f t="shared" ca="1" si="201"/>
        <v>#VALUE!</v>
      </c>
      <c r="AO695" s="25" t="e">
        <f t="shared" ca="1" si="202"/>
        <v>#VALUE!</v>
      </c>
      <c r="AQ695" s="46" t="str">
        <f ca="1">IF(AND(C695&lt;&gt;0, C696=0), SUM($C$2:C695)-SUM($AQ$1:AQ694), "")</f>
        <v/>
      </c>
      <c r="AR695" s="46" t="str">
        <f ca="1">IF(AND(AK695&lt;&gt;0, AK696=0), SUM($AK$2:AK695)-SUM($AR$1:AR694), "")</f>
        <v/>
      </c>
    </row>
    <row r="696" spans="2:44" ht="13.15" customHeight="1">
      <c r="B696" s="68" t="str">
        <f t="shared" si="188"/>
        <v/>
      </c>
      <c r="C696" s="55" cm="1">
        <f t="array" aca="1" ref="C696" ca="1">SUM(IF(ISNUMBER(M696:U696),M696:U696,""))</f>
        <v>0</v>
      </c>
      <c r="D696" s="25" t="str">
        <f t="shared" si="189"/>
        <v/>
      </c>
      <c r="E696" s="25" t="e">
        <f t="shared" si="190"/>
        <v>#VALUE!</v>
      </c>
      <c r="F696" s="25" t="str">
        <f t="shared" si="191"/>
        <v/>
      </c>
      <c r="G696" s="25" t="str">
        <f t="shared" si="192"/>
        <v>.xlsx</v>
      </c>
      <c r="H696" s="29" t="e" cm="1">
        <f t="array" aca="1" ref="H696" ca="1">IF(AND(VALUE(E696)=INDIRECT("'["&amp;G696&amp;"]"&amp;E696&amp;"'!"&amp;$X$2),G696=INDIRECT("'["&amp;G696&amp;"]"&amp;E696&amp;"'!"&amp;$X$3)),INDIRECT("'["&amp;G696&amp;"]"&amp;E696&amp;"'!"&amp;$X$1),0)</f>
        <v>#VALUE!</v>
      </c>
      <c r="I696" s="25" t="str">
        <f t="shared" si="193"/>
        <v/>
      </c>
      <c r="J696" s="32" t="str">
        <f t="shared" si="194"/>
        <v/>
      </c>
      <c r="K696" s="25" t="str">
        <f t="shared" si="195"/>
        <v/>
      </c>
      <c r="L696" s="25" t="str">
        <f t="shared" si="196"/>
        <v/>
      </c>
      <c r="M696" s="33" t="e" cm="1">
        <f t="array" aca="1" ref="M696" ca="1">IF(AND(J696=INDIRECT("'["&amp;G696&amp;"]"&amp;E696&amp;"'!"&amp;$Y$2),G696=INDIRECT("'["&amp;G696&amp;"]"&amp;E696&amp;"'!"&amp;$AH$2)),INDIRECT("'["&amp;G696&amp;"]"&amp;E696&amp;"'!"&amp;$Y$3),0)</f>
        <v>#VALUE!</v>
      </c>
      <c r="N696" s="34" t="e" cm="1">
        <f t="array" aca="1" ref="N696" ca="1">IF(AND(G696=INDIRECT("'["&amp;G696&amp;"]"&amp;E696&amp;"'!"&amp;$AH$2),OR(K696=INDIRECT("'["&amp;G696&amp;"]"&amp;E696&amp;"'!"&amp;$Z$2))),INDIRECT("'["&amp;G696&amp;"]"&amp;E696&amp;"'!"&amp;$Z$3),0)</f>
        <v>#VALUE!</v>
      </c>
      <c r="O696" s="34" t="e" cm="1">
        <f t="array" aca="1" ref="O696" ca="1">IF(AND(G696=INDIRECT("'["&amp;G696&amp;"]"&amp;E696&amp;"'!"&amp;$AH$2),OR(L696=INDIRECT("'["&amp;G696&amp;"]"&amp;E696&amp;"'!"&amp;$AA$2))),INDIRECT("'["&amp;G696&amp;"]"&amp;E696&amp;"'!"&amp;$AA$3),0)</f>
        <v>#VALUE!</v>
      </c>
      <c r="P696" s="34" t="e" cm="1">
        <f t="array" aca="1" ref="P696" ca="1">IF(AND(G696=INDIRECT("'["&amp;G696&amp;"]"&amp;E696&amp;"'!"&amp;$AH$2),OR(VALUE(I696)=INDIRECT("'["&amp;G696&amp;"]"&amp;E696&amp;"'!"&amp;$AB$2))),INDIRECT("'["&amp;G696&amp;"]"&amp;E696&amp;"'!"&amp;$AB$3),0)</f>
        <v>#VALUE!</v>
      </c>
      <c r="Q696" s="34" t="e" cm="1">
        <f t="array" aca="1" ref="Q696" ca="1">IF(AND(G696=INDIRECT("'["&amp;G696&amp;"]"&amp;E696&amp;"'!"&amp;$AH$2),OR(VALUE(I696)=INDIRECT("'["&amp;G696&amp;"]"&amp;E696&amp;"'!"&amp;$AC$2))),INDIRECT("'["&amp;G696&amp;"]"&amp;E696&amp;"'!"&amp;$AC$3),0)</f>
        <v>#VALUE!</v>
      </c>
      <c r="R696" s="34" t="e" cm="1">
        <f t="array" aca="1" ref="R696" ca="1">IF(AND(G696=INDIRECT("'["&amp;G696&amp;"]"&amp;E696&amp;"'!"&amp;$AH$2),OR(I696=INDIRECT("'["&amp;G696&amp;"]"&amp;E696&amp;"'!"&amp;$AD$2))),INDIRECT("'["&amp;G696&amp;"]"&amp;E696&amp;"'!"&amp;$AD$3),0)</f>
        <v>#VALUE!</v>
      </c>
      <c r="S696" s="34" t="e" cm="1">
        <f t="array" aca="1" ref="S696" ca="1">IF(AND(G696=INDIRECT("'["&amp;G696&amp;"]"&amp;E696&amp;"'!"&amp;$AH$2),OR(I696=INDIRECT("'["&amp;G696&amp;"]"&amp;E696&amp;"'!"&amp;$AE$2))),INDIRECT("'["&amp;G696&amp;"]"&amp;E696&amp;"'!"&amp;$AE$3),0)</f>
        <v>#VALUE!</v>
      </c>
      <c r="T696" s="35" t="e" cm="1">
        <f t="array" aca="1" ref="T696" ca="1">IF(AND(G696=INDIRECT("'["&amp;G696&amp;"]"&amp;E696&amp;"'!"&amp;$AH$2),OR(I696=INDIRECT("'["&amp;G696&amp;"]"&amp;E696&amp;"'!"&amp;$AF$2))),INDIRECT("'["&amp;G696&amp;"]"&amp;E696&amp;"'!"&amp;$AF$3),0)</f>
        <v>#VALUE!</v>
      </c>
      <c r="U696" s="34" t="e" cm="1">
        <f t="array" aca="1" ref="U696" ca="1">IF(AND(G696=INDIRECT("'["&amp;G696&amp;"]"&amp;E696&amp;"'!"&amp;$AH$2),OR(I696=INDIRECT("'["&amp;G696&amp;"]"&amp;E696&amp;"'!"&amp;$AG$2))),INDIRECT("'["&amp;G696&amp;"]"&amp;E696&amp;"'!"&amp;$AG$3),0)</f>
        <v>#VALUE!</v>
      </c>
      <c r="V696" s="25" t="str">
        <f t="shared" si="197"/>
        <v/>
      </c>
      <c r="W696" s="36" t="e" cm="1">
        <f t="array" aca="1" ref="W696" ca="1">IF(AND(G696=INDIRECT("'["&amp;G696&amp;"]"&amp;E696&amp;"'!"&amp;$AH$2),OR(V696=INDIRECT("'["&amp;G696&amp;"]"&amp;E696&amp;"'!"&amp;$AI$2))),INDIRECT("'["&amp;G696&amp;"]"&amp;E696&amp;"'!"&amp;$AI$3),0)</f>
        <v>#VALUE!</v>
      </c>
      <c r="AJ696" s="25">
        <v>1</v>
      </c>
      <c r="AK696" s="38">
        <f t="shared" ca="1" si="198"/>
        <v>0</v>
      </c>
      <c r="AL696" s="38">
        <f t="shared" ca="1" si="199"/>
        <v>0</v>
      </c>
      <c r="AM696" s="54" t="str">
        <f t="shared" ca="1" si="200"/>
        <v/>
      </c>
      <c r="AN696" s="25" t="e">
        <f t="shared" ca="1" si="201"/>
        <v>#VALUE!</v>
      </c>
      <c r="AO696" s="25" t="e">
        <f t="shared" ca="1" si="202"/>
        <v>#VALUE!</v>
      </c>
      <c r="AQ696" s="46" t="str">
        <f ca="1">IF(AND(C696&lt;&gt;0, C697=0), SUM($C$2:C696)-SUM($AQ$1:AQ695), "")</f>
        <v/>
      </c>
      <c r="AR696" s="46" t="str">
        <f ca="1">IF(AND(AK696&lt;&gt;0, AK697=0), SUM($AK$2:AK696)-SUM($AR$1:AR695), "")</f>
        <v/>
      </c>
    </row>
    <row r="697" spans="2:44" ht="13.15" customHeight="1">
      <c r="B697" s="68" t="str">
        <f t="shared" si="188"/>
        <v/>
      </c>
      <c r="C697" s="55" cm="1">
        <f t="array" aca="1" ref="C697" ca="1">SUM(IF(ISNUMBER(M697:U697),M697:U697,""))</f>
        <v>0</v>
      </c>
      <c r="D697" s="25" t="str">
        <f t="shared" si="189"/>
        <v/>
      </c>
      <c r="E697" s="25" t="e">
        <f t="shared" si="190"/>
        <v>#VALUE!</v>
      </c>
      <c r="F697" s="25" t="str">
        <f t="shared" si="191"/>
        <v/>
      </c>
      <c r="G697" s="25" t="str">
        <f t="shared" si="192"/>
        <v>.xlsx</v>
      </c>
      <c r="H697" s="29" t="e" cm="1">
        <f t="array" aca="1" ref="H697" ca="1">IF(AND(VALUE(E697)=INDIRECT("'["&amp;G697&amp;"]"&amp;E697&amp;"'!"&amp;$X$2),G697=INDIRECT("'["&amp;G697&amp;"]"&amp;E697&amp;"'!"&amp;$X$3)),INDIRECT("'["&amp;G697&amp;"]"&amp;E697&amp;"'!"&amp;$X$1),0)</f>
        <v>#VALUE!</v>
      </c>
      <c r="I697" s="25" t="str">
        <f t="shared" si="193"/>
        <v/>
      </c>
      <c r="J697" s="32" t="str">
        <f t="shared" si="194"/>
        <v/>
      </c>
      <c r="K697" s="25" t="str">
        <f t="shared" si="195"/>
        <v/>
      </c>
      <c r="L697" s="25" t="str">
        <f t="shared" si="196"/>
        <v/>
      </c>
      <c r="M697" s="33" t="e" cm="1">
        <f t="array" aca="1" ref="M697" ca="1">IF(AND(J697=INDIRECT("'["&amp;G697&amp;"]"&amp;E697&amp;"'!"&amp;$Y$2),G697=INDIRECT("'["&amp;G697&amp;"]"&amp;E697&amp;"'!"&amp;$AH$2)),INDIRECT("'["&amp;G697&amp;"]"&amp;E697&amp;"'!"&amp;$Y$3),0)</f>
        <v>#VALUE!</v>
      </c>
      <c r="N697" s="34" t="e" cm="1">
        <f t="array" aca="1" ref="N697" ca="1">IF(AND(G697=INDIRECT("'["&amp;G697&amp;"]"&amp;E697&amp;"'!"&amp;$AH$2),OR(K697=INDIRECT("'["&amp;G697&amp;"]"&amp;E697&amp;"'!"&amp;$Z$2))),INDIRECT("'["&amp;G697&amp;"]"&amp;E697&amp;"'!"&amp;$Z$3),0)</f>
        <v>#VALUE!</v>
      </c>
      <c r="O697" s="34" t="e" cm="1">
        <f t="array" aca="1" ref="O697" ca="1">IF(AND(G697=INDIRECT("'["&amp;G697&amp;"]"&amp;E697&amp;"'!"&amp;$AH$2),OR(L697=INDIRECT("'["&amp;G697&amp;"]"&amp;E697&amp;"'!"&amp;$AA$2))),INDIRECT("'["&amp;G697&amp;"]"&amp;E697&amp;"'!"&amp;$AA$3),0)</f>
        <v>#VALUE!</v>
      </c>
      <c r="P697" s="34" t="e" cm="1">
        <f t="array" aca="1" ref="P697" ca="1">IF(AND(G697=INDIRECT("'["&amp;G697&amp;"]"&amp;E697&amp;"'!"&amp;$AH$2),OR(VALUE(I697)=INDIRECT("'["&amp;G697&amp;"]"&amp;E697&amp;"'!"&amp;$AB$2))),INDIRECT("'["&amp;G697&amp;"]"&amp;E697&amp;"'!"&amp;$AB$3),0)</f>
        <v>#VALUE!</v>
      </c>
      <c r="Q697" s="34" t="e" cm="1">
        <f t="array" aca="1" ref="Q697" ca="1">IF(AND(G697=INDIRECT("'["&amp;G697&amp;"]"&amp;E697&amp;"'!"&amp;$AH$2),OR(VALUE(I697)=INDIRECT("'["&amp;G697&amp;"]"&amp;E697&amp;"'!"&amp;$AC$2))),INDIRECT("'["&amp;G697&amp;"]"&amp;E697&amp;"'!"&amp;$AC$3),0)</f>
        <v>#VALUE!</v>
      </c>
      <c r="R697" s="34" t="e" cm="1">
        <f t="array" aca="1" ref="R697" ca="1">IF(AND(G697=INDIRECT("'["&amp;G697&amp;"]"&amp;E697&amp;"'!"&amp;$AH$2),OR(I697=INDIRECT("'["&amp;G697&amp;"]"&amp;E697&amp;"'!"&amp;$AD$2))),INDIRECT("'["&amp;G697&amp;"]"&amp;E697&amp;"'!"&amp;$AD$3),0)</f>
        <v>#VALUE!</v>
      </c>
      <c r="S697" s="34" t="e" cm="1">
        <f t="array" aca="1" ref="S697" ca="1">IF(AND(G697=INDIRECT("'["&amp;G697&amp;"]"&amp;E697&amp;"'!"&amp;$AH$2),OR(I697=INDIRECT("'["&amp;G697&amp;"]"&amp;E697&amp;"'!"&amp;$AE$2))),INDIRECT("'["&amp;G697&amp;"]"&amp;E697&amp;"'!"&amp;$AE$3),0)</f>
        <v>#VALUE!</v>
      </c>
      <c r="T697" s="35" t="e" cm="1">
        <f t="array" aca="1" ref="T697" ca="1">IF(AND(G697=INDIRECT("'["&amp;G697&amp;"]"&amp;E697&amp;"'!"&amp;$AH$2),OR(I697=INDIRECT("'["&amp;G697&amp;"]"&amp;E697&amp;"'!"&amp;$AF$2))),INDIRECT("'["&amp;G697&amp;"]"&amp;E697&amp;"'!"&amp;$AF$3),0)</f>
        <v>#VALUE!</v>
      </c>
      <c r="U697" s="34" t="e" cm="1">
        <f t="array" aca="1" ref="U697" ca="1">IF(AND(G697=INDIRECT("'["&amp;G697&amp;"]"&amp;E697&amp;"'!"&amp;$AH$2),OR(I697=INDIRECT("'["&amp;G697&amp;"]"&amp;E697&amp;"'!"&amp;$AG$2))),INDIRECT("'["&amp;G697&amp;"]"&amp;E697&amp;"'!"&amp;$AG$3),0)</f>
        <v>#VALUE!</v>
      </c>
      <c r="V697" s="25" t="str">
        <f t="shared" si="197"/>
        <v/>
      </c>
      <c r="W697" s="36" t="e" cm="1">
        <f t="array" aca="1" ref="W697" ca="1">IF(AND(G697=INDIRECT("'["&amp;G697&amp;"]"&amp;E697&amp;"'!"&amp;$AH$2),OR(V697=INDIRECT("'["&amp;G697&amp;"]"&amp;E697&amp;"'!"&amp;$AI$2))),INDIRECT("'["&amp;G697&amp;"]"&amp;E697&amp;"'!"&amp;$AI$3),0)</f>
        <v>#VALUE!</v>
      </c>
      <c r="AJ697" s="25">
        <v>1</v>
      </c>
      <c r="AK697" s="38">
        <f t="shared" ca="1" si="198"/>
        <v>0</v>
      </c>
      <c r="AL697" s="38">
        <f t="shared" ca="1" si="199"/>
        <v>0</v>
      </c>
      <c r="AM697" s="54" t="str">
        <f t="shared" ca="1" si="200"/>
        <v/>
      </c>
      <c r="AN697" s="25" t="e">
        <f t="shared" ca="1" si="201"/>
        <v>#VALUE!</v>
      </c>
      <c r="AO697" s="25" t="e">
        <f t="shared" ca="1" si="202"/>
        <v>#VALUE!</v>
      </c>
      <c r="AQ697" s="46" t="str">
        <f ca="1">IF(AND(C697&lt;&gt;0, C698=0), SUM($C$2:C697)-SUM($AQ$1:AQ696), "")</f>
        <v/>
      </c>
      <c r="AR697" s="46" t="str">
        <f ca="1">IF(AND(AK697&lt;&gt;0, AK698=0), SUM($AK$2:AK697)-SUM($AR$1:AR696), "")</f>
        <v/>
      </c>
    </row>
    <row r="698" spans="2:44" ht="13.15" customHeight="1">
      <c r="B698" s="68" t="str">
        <f t="shared" si="188"/>
        <v/>
      </c>
      <c r="C698" s="55" cm="1">
        <f t="array" aca="1" ref="C698" ca="1">SUM(IF(ISNUMBER(M698:U698),M698:U698,""))</f>
        <v>0</v>
      </c>
      <c r="D698" s="25" t="str">
        <f t="shared" si="189"/>
        <v/>
      </c>
      <c r="E698" s="25" t="e">
        <f t="shared" si="190"/>
        <v>#VALUE!</v>
      </c>
      <c r="F698" s="25" t="str">
        <f t="shared" si="191"/>
        <v/>
      </c>
      <c r="G698" s="25" t="str">
        <f t="shared" si="192"/>
        <v>.xlsx</v>
      </c>
      <c r="H698" s="29" t="e" cm="1">
        <f t="array" aca="1" ref="H698" ca="1">IF(AND(VALUE(E698)=INDIRECT("'["&amp;G698&amp;"]"&amp;E698&amp;"'!"&amp;$X$2),G698=INDIRECT("'["&amp;G698&amp;"]"&amp;E698&amp;"'!"&amp;$X$3)),INDIRECT("'["&amp;G698&amp;"]"&amp;E698&amp;"'!"&amp;$X$1),0)</f>
        <v>#VALUE!</v>
      </c>
      <c r="I698" s="25" t="str">
        <f t="shared" si="193"/>
        <v/>
      </c>
      <c r="J698" s="32" t="str">
        <f t="shared" si="194"/>
        <v/>
      </c>
      <c r="K698" s="25" t="str">
        <f t="shared" si="195"/>
        <v/>
      </c>
      <c r="L698" s="25" t="str">
        <f t="shared" si="196"/>
        <v/>
      </c>
      <c r="M698" s="33" t="e" cm="1">
        <f t="array" aca="1" ref="M698" ca="1">IF(AND(J698=INDIRECT("'["&amp;G698&amp;"]"&amp;E698&amp;"'!"&amp;$Y$2),G698=INDIRECT("'["&amp;G698&amp;"]"&amp;E698&amp;"'!"&amp;$AH$2)),INDIRECT("'["&amp;G698&amp;"]"&amp;E698&amp;"'!"&amp;$Y$3),0)</f>
        <v>#VALUE!</v>
      </c>
      <c r="N698" s="34" t="e" cm="1">
        <f t="array" aca="1" ref="N698" ca="1">IF(AND(G698=INDIRECT("'["&amp;G698&amp;"]"&amp;E698&amp;"'!"&amp;$AH$2),OR(K698=INDIRECT("'["&amp;G698&amp;"]"&amp;E698&amp;"'!"&amp;$Z$2))),INDIRECT("'["&amp;G698&amp;"]"&amp;E698&amp;"'!"&amp;$Z$3),0)</f>
        <v>#VALUE!</v>
      </c>
      <c r="O698" s="34" t="e" cm="1">
        <f t="array" aca="1" ref="O698" ca="1">IF(AND(G698=INDIRECT("'["&amp;G698&amp;"]"&amp;E698&amp;"'!"&amp;$AH$2),OR(L698=INDIRECT("'["&amp;G698&amp;"]"&amp;E698&amp;"'!"&amp;$AA$2))),INDIRECT("'["&amp;G698&amp;"]"&amp;E698&amp;"'!"&amp;$AA$3),0)</f>
        <v>#VALUE!</v>
      </c>
      <c r="P698" s="34" t="e" cm="1">
        <f t="array" aca="1" ref="P698" ca="1">IF(AND(G698=INDIRECT("'["&amp;G698&amp;"]"&amp;E698&amp;"'!"&amp;$AH$2),OR(VALUE(I698)=INDIRECT("'["&amp;G698&amp;"]"&amp;E698&amp;"'!"&amp;$AB$2))),INDIRECT("'["&amp;G698&amp;"]"&amp;E698&amp;"'!"&amp;$AB$3),0)</f>
        <v>#VALUE!</v>
      </c>
      <c r="Q698" s="34" t="e" cm="1">
        <f t="array" aca="1" ref="Q698" ca="1">IF(AND(G698=INDIRECT("'["&amp;G698&amp;"]"&amp;E698&amp;"'!"&amp;$AH$2),OR(VALUE(I698)=INDIRECT("'["&amp;G698&amp;"]"&amp;E698&amp;"'!"&amp;$AC$2))),INDIRECT("'["&amp;G698&amp;"]"&amp;E698&amp;"'!"&amp;$AC$3),0)</f>
        <v>#VALUE!</v>
      </c>
      <c r="R698" s="34" t="e" cm="1">
        <f t="array" aca="1" ref="R698" ca="1">IF(AND(G698=INDIRECT("'["&amp;G698&amp;"]"&amp;E698&amp;"'!"&amp;$AH$2),OR(I698=INDIRECT("'["&amp;G698&amp;"]"&amp;E698&amp;"'!"&amp;$AD$2))),INDIRECT("'["&amp;G698&amp;"]"&amp;E698&amp;"'!"&amp;$AD$3),0)</f>
        <v>#VALUE!</v>
      </c>
      <c r="S698" s="34" t="e" cm="1">
        <f t="array" aca="1" ref="S698" ca="1">IF(AND(G698=INDIRECT("'["&amp;G698&amp;"]"&amp;E698&amp;"'!"&amp;$AH$2),OR(I698=INDIRECT("'["&amp;G698&amp;"]"&amp;E698&amp;"'!"&amp;$AE$2))),INDIRECT("'["&amp;G698&amp;"]"&amp;E698&amp;"'!"&amp;$AE$3),0)</f>
        <v>#VALUE!</v>
      </c>
      <c r="T698" s="35" t="e" cm="1">
        <f t="array" aca="1" ref="T698" ca="1">IF(AND(G698=INDIRECT("'["&amp;G698&amp;"]"&amp;E698&amp;"'!"&amp;$AH$2),OR(I698=INDIRECT("'["&amp;G698&amp;"]"&amp;E698&amp;"'!"&amp;$AF$2))),INDIRECT("'["&amp;G698&amp;"]"&amp;E698&amp;"'!"&amp;$AF$3),0)</f>
        <v>#VALUE!</v>
      </c>
      <c r="U698" s="34" t="e" cm="1">
        <f t="array" aca="1" ref="U698" ca="1">IF(AND(G698=INDIRECT("'["&amp;G698&amp;"]"&amp;E698&amp;"'!"&amp;$AH$2),OR(I698=INDIRECT("'["&amp;G698&amp;"]"&amp;E698&amp;"'!"&amp;$AG$2))),INDIRECT("'["&amp;G698&amp;"]"&amp;E698&amp;"'!"&amp;$AG$3),0)</f>
        <v>#VALUE!</v>
      </c>
      <c r="V698" s="25" t="str">
        <f t="shared" si="197"/>
        <v/>
      </c>
      <c r="W698" s="36" t="e" cm="1">
        <f t="array" aca="1" ref="W698" ca="1">IF(AND(G698=INDIRECT("'["&amp;G698&amp;"]"&amp;E698&amp;"'!"&amp;$AH$2),OR(V698=INDIRECT("'["&amp;G698&amp;"]"&amp;E698&amp;"'!"&amp;$AI$2))),INDIRECT("'["&amp;G698&amp;"]"&amp;E698&amp;"'!"&amp;$AI$3),0)</f>
        <v>#VALUE!</v>
      </c>
      <c r="AJ698" s="25">
        <v>1</v>
      </c>
      <c r="AK698" s="38">
        <f t="shared" ca="1" si="198"/>
        <v>0</v>
      </c>
      <c r="AL698" s="38">
        <f t="shared" ca="1" si="199"/>
        <v>0</v>
      </c>
      <c r="AM698" s="54" t="str">
        <f t="shared" ca="1" si="200"/>
        <v/>
      </c>
      <c r="AN698" s="25" t="e">
        <f t="shared" ca="1" si="201"/>
        <v>#VALUE!</v>
      </c>
      <c r="AO698" s="25" t="e">
        <f t="shared" ca="1" si="202"/>
        <v>#VALUE!</v>
      </c>
      <c r="AQ698" s="46" t="str">
        <f ca="1">IF(AND(C698&lt;&gt;0, C699=0), SUM($C$2:C698)-SUM($AQ$1:AQ697), "")</f>
        <v/>
      </c>
      <c r="AR698" s="46" t="str">
        <f ca="1">IF(AND(AK698&lt;&gt;0, AK699=0), SUM($AK$2:AK698)-SUM($AR$1:AR697), "")</f>
        <v/>
      </c>
    </row>
    <row r="699" spans="2:44" ht="13.15" customHeight="1">
      <c r="B699" s="68" t="str">
        <f t="shared" si="188"/>
        <v/>
      </c>
      <c r="C699" s="55" cm="1">
        <f t="array" aca="1" ref="C699" ca="1">SUM(IF(ISNUMBER(M699:U699),M699:U699,""))</f>
        <v>0</v>
      </c>
      <c r="D699" s="25" t="str">
        <f t="shared" si="189"/>
        <v/>
      </c>
      <c r="E699" s="25" t="e">
        <f t="shared" si="190"/>
        <v>#VALUE!</v>
      </c>
      <c r="F699" s="25" t="str">
        <f t="shared" si="191"/>
        <v/>
      </c>
      <c r="G699" s="25" t="str">
        <f t="shared" si="192"/>
        <v>.xlsx</v>
      </c>
      <c r="H699" s="29" t="e" cm="1">
        <f t="array" aca="1" ref="H699" ca="1">IF(AND(VALUE(E699)=INDIRECT("'["&amp;G699&amp;"]"&amp;E699&amp;"'!"&amp;$X$2),G699=INDIRECT("'["&amp;G699&amp;"]"&amp;E699&amp;"'!"&amp;$X$3)),INDIRECT("'["&amp;G699&amp;"]"&amp;E699&amp;"'!"&amp;$X$1),0)</f>
        <v>#VALUE!</v>
      </c>
      <c r="I699" s="25" t="str">
        <f t="shared" si="193"/>
        <v/>
      </c>
      <c r="J699" s="32" t="str">
        <f t="shared" si="194"/>
        <v/>
      </c>
      <c r="K699" s="25" t="str">
        <f t="shared" si="195"/>
        <v/>
      </c>
      <c r="L699" s="25" t="str">
        <f t="shared" si="196"/>
        <v/>
      </c>
      <c r="M699" s="33" t="e" cm="1">
        <f t="array" aca="1" ref="M699" ca="1">IF(AND(J699=INDIRECT("'["&amp;G699&amp;"]"&amp;E699&amp;"'!"&amp;$Y$2),G699=INDIRECT("'["&amp;G699&amp;"]"&amp;E699&amp;"'!"&amp;$AH$2)),INDIRECT("'["&amp;G699&amp;"]"&amp;E699&amp;"'!"&amp;$Y$3),0)</f>
        <v>#VALUE!</v>
      </c>
      <c r="N699" s="34" t="e" cm="1">
        <f t="array" aca="1" ref="N699" ca="1">IF(AND(G699=INDIRECT("'["&amp;G699&amp;"]"&amp;E699&amp;"'!"&amp;$AH$2),OR(K699=INDIRECT("'["&amp;G699&amp;"]"&amp;E699&amp;"'!"&amp;$Z$2))),INDIRECT("'["&amp;G699&amp;"]"&amp;E699&amp;"'!"&amp;$Z$3),0)</f>
        <v>#VALUE!</v>
      </c>
      <c r="O699" s="34" t="e" cm="1">
        <f t="array" aca="1" ref="O699" ca="1">IF(AND(G699=INDIRECT("'["&amp;G699&amp;"]"&amp;E699&amp;"'!"&amp;$AH$2),OR(L699=INDIRECT("'["&amp;G699&amp;"]"&amp;E699&amp;"'!"&amp;$AA$2))),INDIRECT("'["&amp;G699&amp;"]"&amp;E699&amp;"'!"&amp;$AA$3),0)</f>
        <v>#VALUE!</v>
      </c>
      <c r="P699" s="34" t="e" cm="1">
        <f t="array" aca="1" ref="P699" ca="1">IF(AND(G699=INDIRECT("'["&amp;G699&amp;"]"&amp;E699&amp;"'!"&amp;$AH$2),OR(VALUE(I699)=INDIRECT("'["&amp;G699&amp;"]"&amp;E699&amp;"'!"&amp;$AB$2))),INDIRECT("'["&amp;G699&amp;"]"&amp;E699&amp;"'!"&amp;$AB$3),0)</f>
        <v>#VALUE!</v>
      </c>
      <c r="Q699" s="34" t="e" cm="1">
        <f t="array" aca="1" ref="Q699" ca="1">IF(AND(G699=INDIRECT("'["&amp;G699&amp;"]"&amp;E699&amp;"'!"&amp;$AH$2),OR(VALUE(I699)=INDIRECT("'["&amp;G699&amp;"]"&amp;E699&amp;"'!"&amp;$AC$2))),INDIRECT("'["&amp;G699&amp;"]"&amp;E699&amp;"'!"&amp;$AC$3),0)</f>
        <v>#VALUE!</v>
      </c>
      <c r="R699" s="34" t="e" cm="1">
        <f t="array" aca="1" ref="R699" ca="1">IF(AND(G699=INDIRECT("'["&amp;G699&amp;"]"&amp;E699&amp;"'!"&amp;$AH$2),OR(I699=INDIRECT("'["&amp;G699&amp;"]"&amp;E699&amp;"'!"&amp;$AD$2))),INDIRECT("'["&amp;G699&amp;"]"&amp;E699&amp;"'!"&amp;$AD$3),0)</f>
        <v>#VALUE!</v>
      </c>
      <c r="S699" s="34" t="e" cm="1">
        <f t="array" aca="1" ref="S699" ca="1">IF(AND(G699=INDIRECT("'["&amp;G699&amp;"]"&amp;E699&amp;"'!"&amp;$AH$2),OR(I699=INDIRECT("'["&amp;G699&amp;"]"&amp;E699&amp;"'!"&amp;$AE$2))),INDIRECT("'["&amp;G699&amp;"]"&amp;E699&amp;"'!"&amp;$AE$3),0)</f>
        <v>#VALUE!</v>
      </c>
      <c r="T699" s="35" t="e" cm="1">
        <f t="array" aca="1" ref="T699" ca="1">IF(AND(G699=INDIRECT("'["&amp;G699&amp;"]"&amp;E699&amp;"'!"&amp;$AH$2),OR(I699=INDIRECT("'["&amp;G699&amp;"]"&amp;E699&amp;"'!"&amp;$AF$2))),INDIRECT("'["&amp;G699&amp;"]"&amp;E699&amp;"'!"&amp;$AF$3),0)</f>
        <v>#VALUE!</v>
      </c>
      <c r="U699" s="34" t="e" cm="1">
        <f t="array" aca="1" ref="U699" ca="1">IF(AND(G699=INDIRECT("'["&amp;G699&amp;"]"&amp;E699&amp;"'!"&amp;$AH$2),OR(I699=INDIRECT("'["&amp;G699&amp;"]"&amp;E699&amp;"'!"&amp;$AG$2))),INDIRECT("'["&amp;G699&amp;"]"&amp;E699&amp;"'!"&amp;$AG$3),0)</f>
        <v>#VALUE!</v>
      </c>
      <c r="V699" s="25" t="str">
        <f t="shared" si="197"/>
        <v/>
      </c>
      <c r="W699" s="36" t="e" cm="1">
        <f t="array" aca="1" ref="W699" ca="1">IF(AND(G699=INDIRECT("'["&amp;G699&amp;"]"&amp;E699&amp;"'!"&amp;$AH$2),OR(V699=INDIRECT("'["&amp;G699&amp;"]"&amp;E699&amp;"'!"&amp;$AI$2))),INDIRECT("'["&amp;G699&amp;"]"&amp;E699&amp;"'!"&amp;$AI$3),0)</f>
        <v>#VALUE!</v>
      </c>
      <c r="AJ699" s="25">
        <v>1</v>
      </c>
      <c r="AK699" s="38">
        <f t="shared" ca="1" si="198"/>
        <v>0</v>
      </c>
      <c r="AL699" s="38">
        <f t="shared" ca="1" si="199"/>
        <v>0</v>
      </c>
      <c r="AM699" s="54" t="str">
        <f t="shared" ca="1" si="200"/>
        <v/>
      </c>
      <c r="AN699" s="25" t="e">
        <f t="shared" ca="1" si="201"/>
        <v>#VALUE!</v>
      </c>
      <c r="AO699" s="25" t="e">
        <f t="shared" ca="1" si="202"/>
        <v>#VALUE!</v>
      </c>
      <c r="AQ699" s="46" t="str">
        <f ca="1">IF(AND(C699&lt;&gt;0, C700=0), SUM($C$2:C699)-SUM($AQ$1:AQ698), "")</f>
        <v/>
      </c>
      <c r="AR699" s="46" t="str">
        <f ca="1">IF(AND(AK699&lt;&gt;0, AK700=0), SUM($AK$2:AK699)-SUM($AR$1:AR698), "")</f>
        <v/>
      </c>
    </row>
    <row r="700" spans="2:44" ht="13.15" customHeight="1">
      <c r="B700" s="68" t="str">
        <f t="shared" si="188"/>
        <v/>
      </c>
      <c r="C700" s="55" cm="1">
        <f t="array" aca="1" ref="C700" ca="1">SUM(IF(ISNUMBER(M700:U700),M700:U700,""))</f>
        <v>0</v>
      </c>
      <c r="D700" s="25" t="str">
        <f t="shared" si="189"/>
        <v/>
      </c>
      <c r="E700" s="25" t="e">
        <f t="shared" si="190"/>
        <v>#VALUE!</v>
      </c>
      <c r="F700" s="25" t="str">
        <f t="shared" si="191"/>
        <v/>
      </c>
      <c r="G700" s="25" t="str">
        <f t="shared" si="192"/>
        <v>.xlsx</v>
      </c>
      <c r="H700" s="29" t="e" cm="1">
        <f t="array" aca="1" ref="H700" ca="1">IF(AND(VALUE(E700)=INDIRECT("'["&amp;G700&amp;"]"&amp;E700&amp;"'!"&amp;$X$2),G700=INDIRECT("'["&amp;G700&amp;"]"&amp;E700&amp;"'!"&amp;$X$3)),INDIRECT("'["&amp;G700&amp;"]"&amp;E700&amp;"'!"&amp;$X$1),0)</f>
        <v>#VALUE!</v>
      </c>
      <c r="I700" s="25" t="str">
        <f t="shared" si="193"/>
        <v/>
      </c>
      <c r="J700" s="32" t="str">
        <f t="shared" si="194"/>
        <v/>
      </c>
      <c r="K700" s="25" t="str">
        <f t="shared" si="195"/>
        <v/>
      </c>
      <c r="L700" s="25" t="str">
        <f t="shared" si="196"/>
        <v/>
      </c>
      <c r="M700" s="33" t="e" cm="1">
        <f t="array" aca="1" ref="M700" ca="1">IF(AND(J700=INDIRECT("'["&amp;G700&amp;"]"&amp;E700&amp;"'!"&amp;$Y$2),G700=INDIRECT("'["&amp;G700&amp;"]"&amp;E700&amp;"'!"&amp;$AH$2)),INDIRECT("'["&amp;G700&amp;"]"&amp;E700&amp;"'!"&amp;$Y$3),0)</f>
        <v>#VALUE!</v>
      </c>
      <c r="N700" s="34" t="e" cm="1">
        <f t="array" aca="1" ref="N700" ca="1">IF(AND(G700=INDIRECT("'["&amp;G700&amp;"]"&amp;E700&amp;"'!"&amp;$AH$2),OR(K700=INDIRECT("'["&amp;G700&amp;"]"&amp;E700&amp;"'!"&amp;$Z$2))),INDIRECT("'["&amp;G700&amp;"]"&amp;E700&amp;"'!"&amp;$Z$3),0)</f>
        <v>#VALUE!</v>
      </c>
      <c r="O700" s="34" t="e" cm="1">
        <f t="array" aca="1" ref="O700" ca="1">IF(AND(G700=INDIRECT("'["&amp;G700&amp;"]"&amp;E700&amp;"'!"&amp;$AH$2),OR(L700=INDIRECT("'["&amp;G700&amp;"]"&amp;E700&amp;"'!"&amp;$AA$2))),INDIRECT("'["&amp;G700&amp;"]"&amp;E700&amp;"'!"&amp;$AA$3),0)</f>
        <v>#VALUE!</v>
      </c>
      <c r="P700" s="34" t="e" cm="1">
        <f t="array" aca="1" ref="P700" ca="1">IF(AND(G700=INDIRECT("'["&amp;G700&amp;"]"&amp;E700&amp;"'!"&amp;$AH$2),OR(VALUE(I700)=INDIRECT("'["&amp;G700&amp;"]"&amp;E700&amp;"'!"&amp;$AB$2))),INDIRECT("'["&amp;G700&amp;"]"&amp;E700&amp;"'!"&amp;$AB$3),0)</f>
        <v>#VALUE!</v>
      </c>
      <c r="Q700" s="34" t="e" cm="1">
        <f t="array" aca="1" ref="Q700" ca="1">IF(AND(G700=INDIRECT("'["&amp;G700&amp;"]"&amp;E700&amp;"'!"&amp;$AH$2),OR(VALUE(I700)=INDIRECT("'["&amp;G700&amp;"]"&amp;E700&amp;"'!"&amp;$AC$2))),INDIRECT("'["&amp;G700&amp;"]"&amp;E700&amp;"'!"&amp;$AC$3),0)</f>
        <v>#VALUE!</v>
      </c>
      <c r="R700" s="34" t="e" cm="1">
        <f t="array" aca="1" ref="R700" ca="1">IF(AND(G700=INDIRECT("'["&amp;G700&amp;"]"&amp;E700&amp;"'!"&amp;$AH$2),OR(I700=INDIRECT("'["&amp;G700&amp;"]"&amp;E700&amp;"'!"&amp;$AD$2))),INDIRECT("'["&amp;G700&amp;"]"&amp;E700&amp;"'!"&amp;$AD$3),0)</f>
        <v>#VALUE!</v>
      </c>
      <c r="S700" s="34" t="e" cm="1">
        <f t="array" aca="1" ref="S700" ca="1">IF(AND(G700=INDIRECT("'["&amp;G700&amp;"]"&amp;E700&amp;"'!"&amp;$AH$2),OR(I700=INDIRECT("'["&amp;G700&amp;"]"&amp;E700&amp;"'!"&amp;$AE$2))),INDIRECT("'["&amp;G700&amp;"]"&amp;E700&amp;"'!"&amp;$AE$3),0)</f>
        <v>#VALUE!</v>
      </c>
      <c r="T700" s="35" t="e" cm="1">
        <f t="array" aca="1" ref="T700" ca="1">IF(AND(G700=INDIRECT("'["&amp;G700&amp;"]"&amp;E700&amp;"'!"&amp;$AH$2),OR(I700=INDIRECT("'["&amp;G700&amp;"]"&amp;E700&amp;"'!"&amp;$AF$2))),INDIRECT("'["&amp;G700&amp;"]"&amp;E700&amp;"'!"&amp;$AF$3),0)</f>
        <v>#VALUE!</v>
      </c>
      <c r="U700" s="34" t="e" cm="1">
        <f t="array" aca="1" ref="U700" ca="1">IF(AND(G700=INDIRECT("'["&amp;G700&amp;"]"&amp;E700&amp;"'!"&amp;$AH$2),OR(I700=INDIRECT("'["&amp;G700&amp;"]"&amp;E700&amp;"'!"&amp;$AG$2))),INDIRECT("'["&amp;G700&amp;"]"&amp;E700&amp;"'!"&amp;$AG$3),0)</f>
        <v>#VALUE!</v>
      </c>
      <c r="V700" s="25" t="str">
        <f t="shared" si="197"/>
        <v/>
      </c>
      <c r="W700" s="36" t="e" cm="1">
        <f t="array" aca="1" ref="W700" ca="1">IF(AND(G700=INDIRECT("'["&amp;G700&amp;"]"&amp;E700&amp;"'!"&amp;$AH$2),OR(V700=INDIRECT("'["&amp;G700&amp;"]"&amp;E700&amp;"'!"&amp;$AI$2))),INDIRECT("'["&amp;G700&amp;"]"&amp;E700&amp;"'!"&amp;$AI$3),0)</f>
        <v>#VALUE!</v>
      </c>
      <c r="AJ700" s="25">
        <v>1</v>
      </c>
      <c r="AK700" s="38">
        <f t="shared" ca="1" si="198"/>
        <v>0</v>
      </c>
      <c r="AL700" s="38">
        <f t="shared" ca="1" si="199"/>
        <v>0</v>
      </c>
      <c r="AM700" s="54" t="str">
        <f t="shared" ca="1" si="200"/>
        <v/>
      </c>
      <c r="AN700" s="25" t="e">
        <f t="shared" ca="1" si="201"/>
        <v>#VALUE!</v>
      </c>
      <c r="AO700" s="25" t="e">
        <f t="shared" ca="1" si="202"/>
        <v>#VALUE!</v>
      </c>
      <c r="AQ700" s="46" t="str">
        <f ca="1">IF(AND(C700&lt;&gt;0, C701=0), SUM($C$2:C700)-SUM($AQ$1:AQ699), "")</f>
        <v/>
      </c>
      <c r="AR700" s="46" t="str">
        <f ca="1">IF(AND(AK700&lt;&gt;0, AK701=0), SUM($AK$2:AK700)-SUM($AR$1:AR699), "")</f>
        <v/>
      </c>
    </row>
    <row r="701" spans="2:44" ht="13.15" customHeight="1">
      <c r="B701" s="68" t="str">
        <f t="shared" si="188"/>
        <v/>
      </c>
      <c r="C701" s="55" cm="1">
        <f t="array" aca="1" ref="C701" ca="1">SUM(IF(ISNUMBER(M701:U701),M701:U701,""))</f>
        <v>0</v>
      </c>
      <c r="D701" s="25" t="str">
        <f t="shared" si="189"/>
        <v/>
      </c>
      <c r="E701" s="25" t="e">
        <f t="shared" si="190"/>
        <v>#VALUE!</v>
      </c>
      <c r="F701" s="25" t="str">
        <f t="shared" si="191"/>
        <v/>
      </c>
      <c r="G701" s="25" t="str">
        <f t="shared" si="192"/>
        <v>.xlsx</v>
      </c>
      <c r="H701" s="29" t="e" cm="1">
        <f t="array" aca="1" ref="H701" ca="1">IF(AND(VALUE(E701)=INDIRECT("'["&amp;G701&amp;"]"&amp;E701&amp;"'!"&amp;$X$2),G701=INDIRECT("'["&amp;G701&amp;"]"&amp;E701&amp;"'!"&amp;$X$3)),INDIRECT("'["&amp;G701&amp;"]"&amp;E701&amp;"'!"&amp;$X$1),0)</f>
        <v>#VALUE!</v>
      </c>
      <c r="I701" s="25" t="str">
        <f t="shared" si="193"/>
        <v/>
      </c>
      <c r="J701" s="32" t="str">
        <f t="shared" si="194"/>
        <v/>
      </c>
      <c r="K701" s="25" t="str">
        <f t="shared" si="195"/>
        <v/>
      </c>
      <c r="L701" s="25" t="str">
        <f t="shared" si="196"/>
        <v/>
      </c>
      <c r="M701" s="33" t="e" cm="1">
        <f t="array" aca="1" ref="M701" ca="1">IF(AND(J701=INDIRECT("'["&amp;G701&amp;"]"&amp;E701&amp;"'!"&amp;$Y$2),G701=INDIRECT("'["&amp;G701&amp;"]"&amp;E701&amp;"'!"&amp;$AH$2)),INDIRECT("'["&amp;G701&amp;"]"&amp;E701&amp;"'!"&amp;$Y$3),0)</f>
        <v>#VALUE!</v>
      </c>
      <c r="N701" s="34" t="e" cm="1">
        <f t="array" aca="1" ref="N701" ca="1">IF(AND(G701=INDIRECT("'["&amp;G701&amp;"]"&amp;E701&amp;"'!"&amp;$AH$2),OR(K701=INDIRECT("'["&amp;G701&amp;"]"&amp;E701&amp;"'!"&amp;$Z$2))),INDIRECT("'["&amp;G701&amp;"]"&amp;E701&amp;"'!"&amp;$Z$3),0)</f>
        <v>#VALUE!</v>
      </c>
      <c r="O701" s="34" t="e" cm="1">
        <f t="array" aca="1" ref="O701" ca="1">IF(AND(G701=INDIRECT("'["&amp;G701&amp;"]"&amp;E701&amp;"'!"&amp;$AH$2),OR(L701=INDIRECT("'["&amp;G701&amp;"]"&amp;E701&amp;"'!"&amp;$AA$2))),INDIRECT("'["&amp;G701&amp;"]"&amp;E701&amp;"'!"&amp;$AA$3),0)</f>
        <v>#VALUE!</v>
      </c>
      <c r="P701" s="34" t="e" cm="1">
        <f t="array" aca="1" ref="P701" ca="1">IF(AND(G701=INDIRECT("'["&amp;G701&amp;"]"&amp;E701&amp;"'!"&amp;$AH$2),OR(VALUE(I701)=INDIRECT("'["&amp;G701&amp;"]"&amp;E701&amp;"'!"&amp;$AB$2))),INDIRECT("'["&amp;G701&amp;"]"&amp;E701&amp;"'!"&amp;$AB$3),0)</f>
        <v>#VALUE!</v>
      </c>
      <c r="Q701" s="34" t="e" cm="1">
        <f t="array" aca="1" ref="Q701" ca="1">IF(AND(G701=INDIRECT("'["&amp;G701&amp;"]"&amp;E701&amp;"'!"&amp;$AH$2),OR(VALUE(I701)=INDIRECT("'["&amp;G701&amp;"]"&amp;E701&amp;"'!"&amp;$AC$2))),INDIRECT("'["&amp;G701&amp;"]"&amp;E701&amp;"'!"&amp;$AC$3),0)</f>
        <v>#VALUE!</v>
      </c>
      <c r="R701" s="34" t="e" cm="1">
        <f t="array" aca="1" ref="R701" ca="1">IF(AND(G701=INDIRECT("'["&amp;G701&amp;"]"&amp;E701&amp;"'!"&amp;$AH$2),OR(I701=INDIRECT("'["&amp;G701&amp;"]"&amp;E701&amp;"'!"&amp;$AD$2))),INDIRECT("'["&amp;G701&amp;"]"&amp;E701&amp;"'!"&amp;$AD$3),0)</f>
        <v>#VALUE!</v>
      </c>
      <c r="S701" s="34" t="e" cm="1">
        <f t="array" aca="1" ref="S701" ca="1">IF(AND(G701=INDIRECT("'["&amp;G701&amp;"]"&amp;E701&amp;"'!"&amp;$AH$2),OR(I701=INDIRECT("'["&amp;G701&amp;"]"&amp;E701&amp;"'!"&amp;$AE$2))),INDIRECT("'["&amp;G701&amp;"]"&amp;E701&amp;"'!"&amp;$AE$3),0)</f>
        <v>#VALUE!</v>
      </c>
      <c r="T701" s="35" t="e" cm="1">
        <f t="array" aca="1" ref="T701" ca="1">IF(AND(G701=INDIRECT("'["&amp;G701&amp;"]"&amp;E701&amp;"'!"&amp;$AH$2),OR(I701=INDIRECT("'["&amp;G701&amp;"]"&amp;E701&amp;"'!"&amp;$AF$2))),INDIRECT("'["&amp;G701&amp;"]"&amp;E701&amp;"'!"&amp;$AF$3),0)</f>
        <v>#VALUE!</v>
      </c>
      <c r="U701" s="34" t="e" cm="1">
        <f t="array" aca="1" ref="U701" ca="1">IF(AND(G701=INDIRECT("'["&amp;G701&amp;"]"&amp;E701&amp;"'!"&amp;$AH$2),OR(I701=INDIRECT("'["&amp;G701&amp;"]"&amp;E701&amp;"'!"&amp;$AG$2))),INDIRECT("'["&amp;G701&amp;"]"&amp;E701&amp;"'!"&amp;$AG$3),0)</f>
        <v>#VALUE!</v>
      </c>
      <c r="V701" s="25" t="str">
        <f t="shared" si="197"/>
        <v/>
      </c>
      <c r="W701" s="36" t="e" cm="1">
        <f t="array" aca="1" ref="W701" ca="1">IF(AND(G701=INDIRECT("'["&amp;G701&amp;"]"&amp;E701&amp;"'!"&amp;$AH$2),OR(V701=INDIRECT("'["&amp;G701&amp;"]"&amp;E701&amp;"'!"&amp;$AI$2))),INDIRECT("'["&amp;G701&amp;"]"&amp;E701&amp;"'!"&amp;$AI$3),0)</f>
        <v>#VALUE!</v>
      </c>
      <c r="AJ701" s="25">
        <v>1</v>
      </c>
      <c r="AK701" s="38">
        <f t="shared" ca="1" si="198"/>
        <v>0</v>
      </c>
      <c r="AL701" s="38">
        <f t="shared" ca="1" si="199"/>
        <v>0</v>
      </c>
      <c r="AM701" s="54" t="str">
        <f t="shared" ca="1" si="200"/>
        <v/>
      </c>
      <c r="AN701" s="25" t="e">
        <f t="shared" ca="1" si="201"/>
        <v>#VALUE!</v>
      </c>
      <c r="AO701" s="25" t="e">
        <f t="shared" ca="1" si="202"/>
        <v>#VALUE!</v>
      </c>
      <c r="AQ701" s="46" t="str">
        <f ca="1">IF(AND(C701&lt;&gt;0, C702=0), SUM($C$2:C701)-SUM($AQ$1:AQ700), "")</f>
        <v/>
      </c>
      <c r="AR701" s="46" t="str">
        <f ca="1">IF(AND(AK701&lt;&gt;0, AK702=0), SUM($AK$2:AK701)-SUM($AR$1:AR700), "")</f>
        <v/>
      </c>
    </row>
    <row r="702" spans="2:44" ht="13.15" customHeight="1">
      <c r="B702" s="68" t="str">
        <f t="shared" si="188"/>
        <v/>
      </c>
      <c r="C702" s="55" cm="1">
        <f t="array" aca="1" ref="C702" ca="1">SUM(IF(ISNUMBER(M702:U702),M702:U702,""))</f>
        <v>0</v>
      </c>
      <c r="D702" s="25" t="str">
        <f t="shared" si="189"/>
        <v/>
      </c>
      <c r="E702" s="25" t="e">
        <f t="shared" si="190"/>
        <v>#VALUE!</v>
      </c>
      <c r="F702" s="25" t="str">
        <f t="shared" si="191"/>
        <v/>
      </c>
      <c r="G702" s="25" t="str">
        <f t="shared" si="192"/>
        <v>.xlsx</v>
      </c>
      <c r="H702" s="29" t="e" cm="1">
        <f t="array" aca="1" ref="H702" ca="1">IF(AND(VALUE(E702)=INDIRECT("'["&amp;G702&amp;"]"&amp;E702&amp;"'!"&amp;$X$2),G702=INDIRECT("'["&amp;G702&amp;"]"&amp;E702&amp;"'!"&amp;$X$3)),INDIRECT("'["&amp;G702&amp;"]"&amp;E702&amp;"'!"&amp;$X$1),0)</f>
        <v>#VALUE!</v>
      </c>
      <c r="I702" s="25" t="str">
        <f t="shared" si="193"/>
        <v/>
      </c>
      <c r="J702" s="32" t="str">
        <f t="shared" si="194"/>
        <v/>
      </c>
      <c r="K702" s="25" t="str">
        <f t="shared" si="195"/>
        <v/>
      </c>
      <c r="L702" s="25" t="str">
        <f t="shared" si="196"/>
        <v/>
      </c>
      <c r="M702" s="33" t="e" cm="1">
        <f t="array" aca="1" ref="M702" ca="1">IF(AND(J702=INDIRECT("'["&amp;G702&amp;"]"&amp;E702&amp;"'!"&amp;$Y$2),G702=INDIRECT("'["&amp;G702&amp;"]"&amp;E702&amp;"'!"&amp;$AH$2)),INDIRECT("'["&amp;G702&amp;"]"&amp;E702&amp;"'!"&amp;$Y$3),0)</f>
        <v>#VALUE!</v>
      </c>
      <c r="N702" s="34" t="e" cm="1">
        <f t="array" aca="1" ref="N702" ca="1">IF(AND(G702=INDIRECT("'["&amp;G702&amp;"]"&amp;E702&amp;"'!"&amp;$AH$2),OR(K702=INDIRECT("'["&amp;G702&amp;"]"&amp;E702&amp;"'!"&amp;$Z$2))),INDIRECT("'["&amp;G702&amp;"]"&amp;E702&amp;"'!"&amp;$Z$3),0)</f>
        <v>#VALUE!</v>
      </c>
      <c r="O702" s="34" t="e" cm="1">
        <f t="array" aca="1" ref="O702" ca="1">IF(AND(G702=INDIRECT("'["&amp;G702&amp;"]"&amp;E702&amp;"'!"&amp;$AH$2),OR(L702=INDIRECT("'["&amp;G702&amp;"]"&amp;E702&amp;"'!"&amp;$AA$2))),INDIRECT("'["&amp;G702&amp;"]"&amp;E702&amp;"'!"&amp;$AA$3),0)</f>
        <v>#VALUE!</v>
      </c>
      <c r="P702" s="34" t="e" cm="1">
        <f t="array" aca="1" ref="P702" ca="1">IF(AND(G702=INDIRECT("'["&amp;G702&amp;"]"&amp;E702&amp;"'!"&amp;$AH$2),OR(VALUE(I702)=INDIRECT("'["&amp;G702&amp;"]"&amp;E702&amp;"'!"&amp;$AB$2))),INDIRECT("'["&amp;G702&amp;"]"&amp;E702&amp;"'!"&amp;$AB$3),0)</f>
        <v>#VALUE!</v>
      </c>
      <c r="Q702" s="34" t="e" cm="1">
        <f t="array" aca="1" ref="Q702" ca="1">IF(AND(G702=INDIRECT("'["&amp;G702&amp;"]"&amp;E702&amp;"'!"&amp;$AH$2),OR(VALUE(I702)=INDIRECT("'["&amp;G702&amp;"]"&amp;E702&amp;"'!"&amp;$AC$2))),INDIRECT("'["&amp;G702&amp;"]"&amp;E702&amp;"'!"&amp;$AC$3),0)</f>
        <v>#VALUE!</v>
      </c>
      <c r="R702" s="34" t="e" cm="1">
        <f t="array" aca="1" ref="R702" ca="1">IF(AND(G702=INDIRECT("'["&amp;G702&amp;"]"&amp;E702&amp;"'!"&amp;$AH$2),OR(I702=INDIRECT("'["&amp;G702&amp;"]"&amp;E702&amp;"'!"&amp;$AD$2))),INDIRECT("'["&amp;G702&amp;"]"&amp;E702&amp;"'!"&amp;$AD$3),0)</f>
        <v>#VALUE!</v>
      </c>
      <c r="S702" s="34" t="e" cm="1">
        <f t="array" aca="1" ref="S702" ca="1">IF(AND(G702=INDIRECT("'["&amp;G702&amp;"]"&amp;E702&amp;"'!"&amp;$AH$2),OR(I702=INDIRECT("'["&amp;G702&amp;"]"&amp;E702&amp;"'!"&amp;$AE$2))),INDIRECT("'["&amp;G702&amp;"]"&amp;E702&amp;"'!"&amp;$AE$3),0)</f>
        <v>#VALUE!</v>
      </c>
      <c r="T702" s="35" t="e" cm="1">
        <f t="array" aca="1" ref="T702" ca="1">IF(AND(G702=INDIRECT("'["&amp;G702&amp;"]"&amp;E702&amp;"'!"&amp;$AH$2),OR(I702=INDIRECT("'["&amp;G702&amp;"]"&amp;E702&amp;"'!"&amp;$AF$2))),INDIRECT("'["&amp;G702&amp;"]"&amp;E702&amp;"'!"&amp;$AF$3),0)</f>
        <v>#VALUE!</v>
      </c>
      <c r="U702" s="34" t="e" cm="1">
        <f t="array" aca="1" ref="U702" ca="1">IF(AND(G702=INDIRECT("'["&amp;G702&amp;"]"&amp;E702&amp;"'!"&amp;$AH$2),OR(I702=INDIRECT("'["&amp;G702&amp;"]"&amp;E702&amp;"'!"&amp;$AG$2))),INDIRECT("'["&amp;G702&amp;"]"&amp;E702&amp;"'!"&amp;$AG$3),0)</f>
        <v>#VALUE!</v>
      </c>
      <c r="V702" s="25" t="str">
        <f t="shared" si="197"/>
        <v/>
      </c>
      <c r="W702" s="36" t="e" cm="1">
        <f t="array" aca="1" ref="W702" ca="1">IF(AND(G702=INDIRECT("'["&amp;G702&amp;"]"&amp;E702&amp;"'!"&amp;$AH$2),OR(V702=INDIRECT("'["&amp;G702&amp;"]"&amp;E702&amp;"'!"&amp;$AI$2))),INDIRECT("'["&amp;G702&amp;"]"&amp;E702&amp;"'!"&amp;$AI$3),0)</f>
        <v>#VALUE!</v>
      </c>
      <c r="AJ702" s="25">
        <v>1</v>
      </c>
      <c r="AK702" s="38">
        <f t="shared" ca="1" si="198"/>
        <v>0</v>
      </c>
      <c r="AL702" s="38">
        <f t="shared" ca="1" si="199"/>
        <v>0</v>
      </c>
      <c r="AM702" s="54" t="str">
        <f t="shared" ca="1" si="200"/>
        <v/>
      </c>
      <c r="AN702" s="25" t="e">
        <f t="shared" ca="1" si="201"/>
        <v>#VALUE!</v>
      </c>
      <c r="AO702" s="25" t="e">
        <f t="shared" ca="1" si="202"/>
        <v>#VALUE!</v>
      </c>
      <c r="AQ702" s="46" t="str">
        <f ca="1">IF(AND(C702&lt;&gt;0, C703=0), SUM($C$2:C702)-SUM($AQ$1:AQ701), "")</f>
        <v/>
      </c>
      <c r="AR702" s="46" t="str">
        <f ca="1">IF(AND(AK702&lt;&gt;0, AK703=0), SUM($AK$2:AK702)-SUM($AR$1:AR701), "")</f>
        <v/>
      </c>
    </row>
    <row r="703" spans="2:44" ht="13.15" customHeight="1">
      <c r="B703" s="68" t="str">
        <f t="shared" si="188"/>
        <v/>
      </c>
      <c r="C703" s="55" cm="1">
        <f t="array" aca="1" ref="C703" ca="1">SUM(IF(ISNUMBER(M703:U703),M703:U703,""))</f>
        <v>0</v>
      </c>
      <c r="D703" s="25" t="str">
        <f t="shared" si="189"/>
        <v/>
      </c>
      <c r="E703" s="25" t="e">
        <f t="shared" si="190"/>
        <v>#VALUE!</v>
      </c>
      <c r="F703" s="25" t="str">
        <f t="shared" si="191"/>
        <v/>
      </c>
      <c r="G703" s="25" t="str">
        <f t="shared" si="192"/>
        <v>.xlsx</v>
      </c>
      <c r="H703" s="29" t="e" cm="1">
        <f t="array" aca="1" ref="H703" ca="1">IF(AND(VALUE(E703)=INDIRECT("'["&amp;G703&amp;"]"&amp;E703&amp;"'!"&amp;$X$2),G703=INDIRECT("'["&amp;G703&amp;"]"&amp;E703&amp;"'!"&amp;$X$3)),INDIRECT("'["&amp;G703&amp;"]"&amp;E703&amp;"'!"&amp;$X$1),0)</f>
        <v>#VALUE!</v>
      </c>
      <c r="I703" s="25" t="str">
        <f t="shared" si="193"/>
        <v/>
      </c>
      <c r="J703" s="32" t="str">
        <f t="shared" si="194"/>
        <v/>
      </c>
      <c r="K703" s="25" t="str">
        <f t="shared" si="195"/>
        <v/>
      </c>
      <c r="L703" s="25" t="str">
        <f t="shared" si="196"/>
        <v/>
      </c>
      <c r="M703" s="33" t="e" cm="1">
        <f t="array" aca="1" ref="M703" ca="1">IF(AND(J703=INDIRECT("'["&amp;G703&amp;"]"&amp;E703&amp;"'!"&amp;$Y$2),G703=INDIRECT("'["&amp;G703&amp;"]"&amp;E703&amp;"'!"&amp;$AH$2)),INDIRECT("'["&amp;G703&amp;"]"&amp;E703&amp;"'!"&amp;$Y$3),0)</f>
        <v>#VALUE!</v>
      </c>
      <c r="N703" s="34" t="e" cm="1">
        <f t="array" aca="1" ref="N703" ca="1">IF(AND(G703=INDIRECT("'["&amp;G703&amp;"]"&amp;E703&amp;"'!"&amp;$AH$2),OR(K703=INDIRECT("'["&amp;G703&amp;"]"&amp;E703&amp;"'!"&amp;$Z$2))),INDIRECT("'["&amp;G703&amp;"]"&amp;E703&amp;"'!"&amp;$Z$3),0)</f>
        <v>#VALUE!</v>
      </c>
      <c r="O703" s="34" t="e" cm="1">
        <f t="array" aca="1" ref="O703" ca="1">IF(AND(G703=INDIRECT("'["&amp;G703&amp;"]"&amp;E703&amp;"'!"&amp;$AH$2),OR(L703=INDIRECT("'["&amp;G703&amp;"]"&amp;E703&amp;"'!"&amp;$AA$2))),INDIRECT("'["&amp;G703&amp;"]"&amp;E703&amp;"'!"&amp;$AA$3),0)</f>
        <v>#VALUE!</v>
      </c>
      <c r="P703" s="34" t="e" cm="1">
        <f t="array" aca="1" ref="P703" ca="1">IF(AND(G703=INDIRECT("'["&amp;G703&amp;"]"&amp;E703&amp;"'!"&amp;$AH$2),OR(VALUE(I703)=INDIRECT("'["&amp;G703&amp;"]"&amp;E703&amp;"'!"&amp;$AB$2))),INDIRECT("'["&amp;G703&amp;"]"&amp;E703&amp;"'!"&amp;$AB$3),0)</f>
        <v>#VALUE!</v>
      </c>
      <c r="Q703" s="34" t="e" cm="1">
        <f t="array" aca="1" ref="Q703" ca="1">IF(AND(G703=INDIRECT("'["&amp;G703&amp;"]"&amp;E703&amp;"'!"&amp;$AH$2),OR(VALUE(I703)=INDIRECT("'["&amp;G703&amp;"]"&amp;E703&amp;"'!"&amp;$AC$2))),INDIRECT("'["&amp;G703&amp;"]"&amp;E703&amp;"'!"&amp;$AC$3),0)</f>
        <v>#VALUE!</v>
      </c>
      <c r="R703" s="34" t="e" cm="1">
        <f t="array" aca="1" ref="R703" ca="1">IF(AND(G703=INDIRECT("'["&amp;G703&amp;"]"&amp;E703&amp;"'!"&amp;$AH$2),OR(I703=INDIRECT("'["&amp;G703&amp;"]"&amp;E703&amp;"'!"&amp;$AD$2))),INDIRECT("'["&amp;G703&amp;"]"&amp;E703&amp;"'!"&amp;$AD$3),0)</f>
        <v>#VALUE!</v>
      </c>
      <c r="S703" s="34" t="e" cm="1">
        <f t="array" aca="1" ref="S703" ca="1">IF(AND(G703=INDIRECT("'["&amp;G703&amp;"]"&amp;E703&amp;"'!"&amp;$AH$2),OR(I703=INDIRECT("'["&amp;G703&amp;"]"&amp;E703&amp;"'!"&amp;$AE$2))),INDIRECT("'["&amp;G703&amp;"]"&amp;E703&amp;"'!"&amp;$AE$3),0)</f>
        <v>#VALUE!</v>
      </c>
      <c r="T703" s="35" t="e" cm="1">
        <f t="array" aca="1" ref="T703" ca="1">IF(AND(G703=INDIRECT("'["&amp;G703&amp;"]"&amp;E703&amp;"'!"&amp;$AH$2),OR(I703=INDIRECT("'["&amp;G703&amp;"]"&amp;E703&amp;"'!"&amp;$AF$2))),INDIRECT("'["&amp;G703&amp;"]"&amp;E703&amp;"'!"&amp;$AF$3),0)</f>
        <v>#VALUE!</v>
      </c>
      <c r="U703" s="34" t="e" cm="1">
        <f t="array" aca="1" ref="U703" ca="1">IF(AND(G703=INDIRECT("'["&amp;G703&amp;"]"&amp;E703&amp;"'!"&amp;$AH$2),OR(I703=INDIRECT("'["&amp;G703&amp;"]"&amp;E703&amp;"'!"&amp;$AG$2))),INDIRECT("'["&amp;G703&amp;"]"&amp;E703&amp;"'!"&amp;$AG$3),0)</f>
        <v>#VALUE!</v>
      </c>
      <c r="V703" s="25" t="str">
        <f t="shared" si="197"/>
        <v/>
      </c>
      <c r="W703" s="36" t="e" cm="1">
        <f t="array" aca="1" ref="W703" ca="1">IF(AND(G703=INDIRECT("'["&amp;G703&amp;"]"&amp;E703&amp;"'!"&amp;$AH$2),OR(V703=INDIRECT("'["&amp;G703&amp;"]"&amp;E703&amp;"'!"&amp;$AI$2))),INDIRECT("'["&amp;G703&amp;"]"&amp;E703&amp;"'!"&amp;$AI$3),0)</f>
        <v>#VALUE!</v>
      </c>
      <c r="AJ703" s="25">
        <v>1</v>
      </c>
      <c r="AK703" s="38">
        <f t="shared" ca="1" si="198"/>
        <v>0</v>
      </c>
      <c r="AL703" s="38">
        <f t="shared" ca="1" si="199"/>
        <v>0</v>
      </c>
      <c r="AM703" s="54" t="str">
        <f t="shared" ca="1" si="200"/>
        <v/>
      </c>
      <c r="AN703" s="25" t="e">
        <f t="shared" ca="1" si="201"/>
        <v>#VALUE!</v>
      </c>
      <c r="AO703" s="25" t="e">
        <f t="shared" ca="1" si="202"/>
        <v>#VALUE!</v>
      </c>
      <c r="AQ703" s="46" t="str">
        <f ca="1">IF(AND(C703&lt;&gt;0, C704=0), SUM($C$2:C703)-SUM($AQ$1:AQ702), "")</f>
        <v/>
      </c>
      <c r="AR703" s="46" t="str">
        <f ca="1">IF(AND(AK703&lt;&gt;0, AK704=0), SUM($AK$2:AK703)-SUM($AR$1:AR702), "")</f>
        <v/>
      </c>
    </row>
    <row r="704" spans="2:44" ht="13.15" customHeight="1">
      <c r="B704" s="68" t="str">
        <f t="shared" si="188"/>
        <v/>
      </c>
      <c r="C704" s="55" cm="1">
        <f t="array" aca="1" ref="C704" ca="1">SUM(IF(ISNUMBER(M704:U704),M704:U704,""))</f>
        <v>0</v>
      </c>
      <c r="D704" s="25" t="str">
        <f t="shared" si="189"/>
        <v/>
      </c>
      <c r="E704" s="25" t="e">
        <f t="shared" si="190"/>
        <v>#VALUE!</v>
      </c>
      <c r="F704" s="25" t="str">
        <f t="shared" si="191"/>
        <v/>
      </c>
      <c r="G704" s="25" t="str">
        <f t="shared" si="192"/>
        <v>.xlsx</v>
      </c>
      <c r="H704" s="29" t="e" cm="1">
        <f t="array" aca="1" ref="H704" ca="1">IF(AND(VALUE(E704)=INDIRECT("'["&amp;G704&amp;"]"&amp;E704&amp;"'!"&amp;$X$2),G704=INDIRECT("'["&amp;G704&amp;"]"&amp;E704&amp;"'!"&amp;$X$3)),INDIRECT("'["&amp;G704&amp;"]"&amp;E704&amp;"'!"&amp;$X$1),0)</f>
        <v>#VALUE!</v>
      </c>
      <c r="I704" s="25" t="str">
        <f t="shared" si="193"/>
        <v/>
      </c>
      <c r="J704" s="32" t="str">
        <f t="shared" si="194"/>
        <v/>
      </c>
      <c r="K704" s="25" t="str">
        <f t="shared" si="195"/>
        <v/>
      </c>
      <c r="L704" s="25" t="str">
        <f t="shared" si="196"/>
        <v/>
      </c>
      <c r="M704" s="33" t="e" cm="1">
        <f t="array" aca="1" ref="M704" ca="1">IF(AND(J704=INDIRECT("'["&amp;G704&amp;"]"&amp;E704&amp;"'!"&amp;$Y$2),G704=INDIRECT("'["&amp;G704&amp;"]"&amp;E704&amp;"'!"&amp;$AH$2)),INDIRECT("'["&amp;G704&amp;"]"&amp;E704&amp;"'!"&amp;$Y$3),0)</f>
        <v>#VALUE!</v>
      </c>
      <c r="N704" s="34" t="e" cm="1">
        <f t="array" aca="1" ref="N704" ca="1">IF(AND(G704=INDIRECT("'["&amp;G704&amp;"]"&amp;E704&amp;"'!"&amp;$AH$2),OR(K704=INDIRECT("'["&amp;G704&amp;"]"&amp;E704&amp;"'!"&amp;$Z$2))),INDIRECT("'["&amp;G704&amp;"]"&amp;E704&amp;"'!"&amp;$Z$3),0)</f>
        <v>#VALUE!</v>
      </c>
      <c r="O704" s="34" t="e" cm="1">
        <f t="array" aca="1" ref="O704" ca="1">IF(AND(G704=INDIRECT("'["&amp;G704&amp;"]"&amp;E704&amp;"'!"&amp;$AH$2),OR(L704=INDIRECT("'["&amp;G704&amp;"]"&amp;E704&amp;"'!"&amp;$AA$2))),INDIRECT("'["&amp;G704&amp;"]"&amp;E704&amp;"'!"&amp;$AA$3),0)</f>
        <v>#VALUE!</v>
      </c>
      <c r="P704" s="34" t="e" cm="1">
        <f t="array" aca="1" ref="P704" ca="1">IF(AND(G704=INDIRECT("'["&amp;G704&amp;"]"&amp;E704&amp;"'!"&amp;$AH$2),OR(VALUE(I704)=INDIRECT("'["&amp;G704&amp;"]"&amp;E704&amp;"'!"&amp;$AB$2))),INDIRECT("'["&amp;G704&amp;"]"&amp;E704&amp;"'!"&amp;$AB$3),0)</f>
        <v>#VALUE!</v>
      </c>
      <c r="Q704" s="34" t="e" cm="1">
        <f t="array" aca="1" ref="Q704" ca="1">IF(AND(G704=INDIRECT("'["&amp;G704&amp;"]"&amp;E704&amp;"'!"&amp;$AH$2),OR(VALUE(I704)=INDIRECT("'["&amp;G704&amp;"]"&amp;E704&amp;"'!"&amp;$AC$2))),INDIRECT("'["&amp;G704&amp;"]"&amp;E704&amp;"'!"&amp;$AC$3),0)</f>
        <v>#VALUE!</v>
      </c>
      <c r="R704" s="34" t="e" cm="1">
        <f t="array" aca="1" ref="R704" ca="1">IF(AND(G704=INDIRECT("'["&amp;G704&amp;"]"&amp;E704&amp;"'!"&amp;$AH$2),OR(I704=INDIRECT("'["&amp;G704&amp;"]"&amp;E704&amp;"'!"&amp;$AD$2))),INDIRECT("'["&amp;G704&amp;"]"&amp;E704&amp;"'!"&amp;$AD$3),0)</f>
        <v>#VALUE!</v>
      </c>
      <c r="S704" s="34" t="e" cm="1">
        <f t="array" aca="1" ref="S704" ca="1">IF(AND(G704=INDIRECT("'["&amp;G704&amp;"]"&amp;E704&amp;"'!"&amp;$AH$2),OR(I704=INDIRECT("'["&amp;G704&amp;"]"&amp;E704&amp;"'!"&amp;$AE$2))),INDIRECT("'["&amp;G704&amp;"]"&amp;E704&amp;"'!"&amp;$AE$3),0)</f>
        <v>#VALUE!</v>
      </c>
      <c r="T704" s="35" t="e" cm="1">
        <f t="array" aca="1" ref="T704" ca="1">IF(AND(G704=INDIRECT("'["&amp;G704&amp;"]"&amp;E704&amp;"'!"&amp;$AH$2),OR(I704=INDIRECT("'["&amp;G704&amp;"]"&amp;E704&amp;"'!"&amp;$AF$2))),INDIRECT("'["&amp;G704&amp;"]"&amp;E704&amp;"'!"&amp;$AF$3),0)</f>
        <v>#VALUE!</v>
      </c>
      <c r="U704" s="34" t="e" cm="1">
        <f t="array" aca="1" ref="U704" ca="1">IF(AND(G704=INDIRECT("'["&amp;G704&amp;"]"&amp;E704&amp;"'!"&amp;$AH$2),OR(I704=INDIRECT("'["&amp;G704&amp;"]"&amp;E704&amp;"'!"&amp;$AG$2))),INDIRECT("'["&amp;G704&amp;"]"&amp;E704&amp;"'!"&amp;$AG$3),0)</f>
        <v>#VALUE!</v>
      </c>
      <c r="V704" s="25" t="str">
        <f t="shared" si="197"/>
        <v/>
      </c>
      <c r="W704" s="36" t="e" cm="1">
        <f t="array" aca="1" ref="W704" ca="1">IF(AND(G704=INDIRECT("'["&amp;G704&amp;"]"&amp;E704&amp;"'!"&amp;$AH$2),OR(V704=INDIRECT("'["&amp;G704&amp;"]"&amp;E704&amp;"'!"&amp;$AI$2))),INDIRECT("'["&amp;G704&amp;"]"&amp;E704&amp;"'!"&amp;$AI$3),0)</f>
        <v>#VALUE!</v>
      </c>
      <c r="AJ704" s="25">
        <v>1</v>
      </c>
      <c r="AK704" s="38">
        <f t="shared" ca="1" si="198"/>
        <v>0</v>
      </c>
      <c r="AL704" s="38">
        <f t="shared" ca="1" si="199"/>
        <v>0</v>
      </c>
      <c r="AM704" s="54" t="str">
        <f t="shared" ca="1" si="200"/>
        <v/>
      </c>
      <c r="AN704" s="25" t="e">
        <f t="shared" ca="1" si="201"/>
        <v>#VALUE!</v>
      </c>
      <c r="AO704" s="25" t="e">
        <f t="shared" ca="1" si="202"/>
        <v>#VALUE!</v>
      </c>
      <c r="AQ704" s="46" t="str">
        <f ca="1">IF(AND(C704&lt;&gt;0, C705=0), SUM($C$2:C704)-SUM($AQ$1:AQ703), "")</f>
        <v/>
      </c>
      <c r="AR704" s="46" t="str">
        <f ca="1">IF(AND(AK704&lt;&gt;0, AK705=0), SUM($AK$2:AK704)-SUM($AR$1:AR703), "")</f>
        <v/>
      </c>
    </row>
    <row r="705" spans="2:44" ht="13.15" customHeight="1">
      <c r="B705" s="68" t="str">
        <f t="shared" si="188"/>
        <v/>
      </c>
      <c r="C705" s="55" cm="1">
        <f t="array" aca="1" ref="C705" ca="1">SUM(IF(ISNUMBER(M705:U705),M705:U705,""))</f>
        <v>0</v>
      </c>
      <c r="D705" s="25" t="str">
        <f t="shared" si="189"/>
        <v/>
      </c>
      <c r="E705" s="25" t="e">
        <f t="shared" si="190"/>
        <v>#VALUE!</v>
      </c>
      <c r="F705" s="25" t="str">
        <f t="shared" si="191"/>
        <v/>
      </c>
      <c r="G705" s="25" t="str">
        <f t="shared" si="192"/>
        <v>.xlsx</v>
      </c>
      <c r="H705" s="29" t="e" cm="1">
        <f t="array" aca="1" ref="H705" ca="1">IF(AND(VALUE(E705)=INDIRECT("'["&amp;G705&amp;"]"&amp;E705&amp;"'!"&amp;$X$2),G705=INDIRECT("'["&amp;G705&amp;"]"&amp;E705&amp;"'!"&amp;$X$3)),INDIRECT("'["&amp;G705&amp;"]"&amp;E705&amp;"'!"&amp;$X$1),0)</f>
        <v>#VALUE!</v>
      </c>
      <c r="I705" s="25" t="str">
        <f t="shared" si="193"/>
        <v/>
      </c>
      <c r="J705" s="32" t="str">
        <f t="shared" si="194"/>
        <v/>
      </c>
      <c r="K705" s="25" t="str">
        <f t="shared" si="195"/>
        <v/>
      </c>
      <c r="L705" s="25" t="str">
        <f t="shared" si="196"/>
        <v/>
      </c>
      <c r="M705" s="33" t="e" cm="1">
        <f t="array" aca="1" ref="M705" ca="1">IF(AND(J705=INDIRECT("'["&amp;G705&amp;"]"&amp;E705&amp;"'!"&amp;$Y$2),G705=INDIRECT("'["&amp;G705&amp;"]"&amp;E705&amp;"'!"&amp;$AH$2)),INDIRECT("'["&amp;G705&amp;"]"&amp;E705&amp;"'!"&amp;$Y$3),0)</f>
        <v>#VALUE!</v>
      </c>
      <c r="N705" s="34" t="e" cm="1">
        <f t="array" aca="1" ref="N705" ca="1">IF(AND(G705=INDIRECT("'["&amp;G705&amp;"]"&amp;E705&amp;"'!"&amp;$AH$2),OR(K705=INDIRECT("'["&amp;G705&amp;"]"&amp;E705&amp;"'!"&amp;$Z$2))),INDIRECT("'["&amp;G705&amp;"]"&amp;E705&amp;"'!"&amp;$Z$3),0)</f>
        <v>#VALUE!</v>
      </c>
      <c r="O705" s="34" t="e" cm="1">
        <f t="array" aca="1" ref="O705" ca="1">IF(AND(G705=INDIRECT("'["&amp;G705&amp;"]"&amp;E705&amp;"'!"&amp;$AH$2),OR(L705=INDIRECT("'["&amp;G705&amp;"]"&amp;E705&amp;"'!"&amp;$AA$2))),INDIRECT("'["&amp;G705&amp;"]"&amp;E705&amp;"'!"&amp;$AA$3),0)</f>
        <v>#VALUE!</v>
      </c>
      <c r="P705" s="34" t="e" cm="1">
        <f t="array" aca="1" ref="P705" ca="1">IF(AND(G705=INDIRECT("'["&amp;G705&amp;"]"&amp;E705&amp;"'!"&amp;$AH$2),OR(VALUE(I705)=INDIRECT("'["&amp;G705&amp;"]"&amp;E705&amp;"'!"&amp;$AB$2))),INDIRECT("'["&amp;G705&amp;"]"&amp;E705&amp;"'!"&amp;$AB$3),0)</f>
        <v>#VALUE!</v>
      </c>
      <c r="Q705" s="34" t="e" cm="1">
        <f t="array" aca="1" ref="Q705" ca="1">IF(AND(G705=INDIRECT("'["&amp;G705&amp;"]"&amp;E705&amp;"'!"&amp;$AH$2),OR(VALUE(I705)=INDIRECT("'["&amp;G705&amp;"]"&amp;E705&amp;"'!"&amp;$AC$2))),INDIRECT("'["&amp;G705&amp;"]"&amp;E705&amp;"'!"&amp;$AC$3),0)</f>
        <v>#VALUE!</v>
      </c>
      <c r="R705" s="34" t="e" cm="1">
        <f t="array" aca="1" ref="R705" ca="1">IF(AND(G705=INDIRECT("'["&amp;G705&amp;"]"&amp;E705&amp;"'!"&amp;$AH$2),OR(I705=INDIRECT("'["&amp;G705&amp;"]"&amp;E705&amp;"'!"&amp;$AD$2))),INDIRECT("'["&amp;G705&amp;"]"&amp;E705&amp;"'!"&amp;$AD$3),0)</f>
        <v>#VALUE!</v>
      </c>
      <c r="S705" s="34" t="e" cm="1">
        <f t="array" aca="1" ref="S705" ca="1">IF(AND(G705=INDIRECT("'["&amp;G705&amp;"]"&amp;E705&amp;"'!"&amp;$AH$2),OR(I705=INDIRECT("'["&amp;G705&amp;"]"&amp;E705&amp;"'!"&amp;$AE$2))),INDIRECT("'["&amp;G705&amp;"]"&amp;E705&amp;"'!"&amp;$AE$3),0)</f>
        <v>#VALUE!</v>
      </c>
      <c r="T705" s="35" t="e" cm="1">
        <f t="array" aca="1" ref="T705" ca="1">IF(AND(G705=INDIRECT("'["&amp;G705&amp;"]"&amp;E705&amp;"'!"&amp;$AH$2),OR(I705=INDIRECT("'["&amp;G705&amp;"]"&amp;E705&amp;"'!"&amp;$AF$2))),INDIRECT("'["&amp;G705&amp;"]"&amp;E705&amp;"'!"&amp;$AF$3),0)</f>
        <v>#VALUE!</v>
      </c>
      <c r="U705" s="34" t="e" cm="1">
        <f t="array" aca="1" ref="U705" ca="1">IF(AND(G705=INDIRECT("'["&amp;G705&amp;"]"&amp;E705&amp;"'!"&amp;$AH$2),OR(I705=INDIRECT("'["&amp;G705&amp;"]"&amp;E705&amp;"'!"&amp;$AG$2))),INDIRECT("'["&amp;G705&amp;"]"&amp;E705&amp;"'!"&amp;$AG$3),0)</f>
        <v>#VALUE!</v>
      </c>
      <c r="V705" s="25" t="str">
        <f t="shared" si="197"/>
        <v/>
      </c>
      <c r="W705" s="36" t="e" cm="1">
        <f t="array" aca="1" ref="W705" ca="1">IF(AND(G705=INDIRECT("'["&amp;G705&amp;"]"&amp;E705&amp;"'!"&amp;$AH$2),OR(V705=INDIRECT("'["&amp;G705&amp;"]"&amp;E705&amp;"'!"&amp;$AI$2))),INDIRECT("'["&amp;G705&amp;"]"&amp;E705&amp;"'!"&amp;$AI$3),0)</f>
        <v>#VALUE!</v>
      </c>
      <c r="AJ705" s="25">
        <v>1</v>
      </c>
      <c r="AK705" s="38">
        <f t="shared" ca="1" si="198"/>
        <v>0</v>
      </c>
      <c r="AL705" s="38">
        <f t="shared" ca="1" si="199"/>
        <v>0</v>
      </c>
      <c r="AM705" s="54" t="str">
        <f t="shared" ca="1" si="200"/>
        <v/>
      </c>
      <c r="AN705" s="25" t="e">
        <f t="shared" ca="1" si="201"/>
        <v>#VALUE!</v>
      </c>
      <c r="AO705" s="25" t="e">
        <f t="shared" ca="1" si="202"/>
        <v>#VALUE!</v>
      </c>
      <c r="AQ705" s="46" t="str">
        <f ca="1">IF(AND(C705&lt;&gt;0, C706=0), SUM($C$2:C705)-SUM($AQ$1:AQ704), "")</f>
        <v/>
      </c>
      <c r="AR705" s="46" t="str">
        <f ca="1">IF(AND(AK705&lt;&gt;0, AK706=0), SUM($AK$2:AK705)-SUM($AR$1:AR704), "")</f>
        <v/>
      </c>
    </row>
    <row r="706" spans="2:44" ht="13.15" customHeight="1">
      <c r="B706" s="68" t="str">
        <f t="shared" si="188"/>
        <v/>
      </c>
      <c r="C706" s="55" cm="1">
        <f t="array" aca="1" ref="C706" ca="1">SUM(IF(ISNUMBER(M706:U706),M706:U706,""))</f>
        <v>0</v>
      </c>
      <c r="D706" s="25" t="str">
        <f t="shared" si="189"/>
        <v/>
      </c>
      <c r="E706" s="25" t="e">
        <f t="shared" si="190"/>
        <v>#VALUE!</v>
      </c>
      <c r="F706" s="25" t="str">
        <f t="shared" si="191"/>
        <v/>
      </c>
      <c r="G706" s="25" t="str">
        <f t="shared" si="192"/>
        <v>.xlsx</v>
      </c>
      <c r="H706" s="29" t="e" cm="1">
        <f t="array" aca="1" ref="H706" ca="1">IF(AND(VALUE(E706)=INDIRECT("'["&amp;G706&amp;"]"&amp;E706&amp;"'!"&amp;$X$2),G706=INDIRECT("'["&amp;G706&amp;"]"&amp;E706&amp;"'!"&amp;$X$3)),INDIRECT("'["&amp;G706&amp;"]"&amp;E706&amp;"'!"&amp;$X$1),0)</f>
        <v>#VALUE!</v>
      </c>
      <c r="I706" s="25" t="str">
        <f t="shared" si="193"/>
        <v/>
      </c>
      <c r="J706" s="32" t="str">
        <f t="shared" si="194"/>
        <v/>
      </c>
      <c r="K706" s="25" t="str">
        <f t="shared" si="195"/>
        <v/>
      </c>
      <c r="L706" s="25" t="str">
        <f t="shared" si="196"/>
        <v/>
      </c>
      <c r="M706" s="33" t="e" cm="1">
        <f t="array" aca="1" ref="M706" ca="1">IF(AND(J706=INDIRECT("'["&amp;G706&amp;"]"&amp;E706&amp;"'!"&amp;$Y$2),G706=INDIRECT("'["&amp;G706&amp;"]"&amp;E706&amp;"'!"&amp;$AH$2)),INDIRECT("'["&amp;G706&amp;"]"&amp;E706&amp;"'!"&amp;$Y$3),0)</f>
        <v>#VALUE!</v>
      </c>
      <c r="N706" s="34" t="e" cm="1">
        <f t="array" aca="1" ref="N706" ca="1">IF(AND(G706=INDIRECT("'["&amp;G706&amp;"]"&amp;E706&amp;"'!"&amp;$AH$2),OR(K706=INDIRECT("'["&amp;G706&amp;"]"&amp;E706&amp;"'!"&amp;$Z$2))),INDIRECT("'["&amp;G706&amp;"]"&amp;E706&amp;"'!"&amp;$Z$3),0)</f>
        <v>#VALUE!</v>
      </c>
      <c r="O706" s="34" t="e" cm="1">
        <f t="array" aca="1" ref="O706" ca="1">IF(AND(G706=INDIRECT("'["&amp;G706&amp;"]"&amp;E706&amp;"'!"&amp;$AH$2),OR(L706=INDIRECT("'["&amp;G706&amp;"]"&amp;E706&amp;"'!"&amp;$AA$2))),INDIRECT("'["&amp;G706&amp;"]"&amp;E706&amp;"'!"&amp;$AA$3),0)</f>
        <v>#VALUE!</v>
      </c>
      <c r="P706" s="34" t="e" cm="1">
        <f t="array" aca="1" ref="P706" ca="1">IF(AND(G706=INDIRECT("'["&amp;G706&amp;"]"&amp;E706&amp;"'!"&amp;$AH$2),OR(VALUE(I706)=INDIRECT("'["&amp;G706&amp;"]"&amp;E706&amp;"'!"&amp;$AB$2))),INDIRECT("'["&amp;G706&amp;"]"&amp;E706&amp;"'!"&amp;$AB$3),0)</f>
        <v>#VALUE!</v>
      </c>
      <c r="Q706" s="34" t="e" cm="1">
        <f t="array" aca="1" ref="Q706" ca="1">IF(AND(G706=INDIRECT("'["&amp;G706&amp;"]"&amp;E706&amp;"'!"&amp;$AH$2),OR(VALUE(I706)=INDIRECT("'["&amp;G706&amp;"]"&amp;E706&amp;"'!"&amp;$AC$2))),INDIRECT("'["&amp;G706&amp;"]"&amp;E706&amp;"'!"&amp;$AC$3),0)</f>
        <v>#VALUE!</v>
      </c>
      <c r="R706" s="34" t="e" cm="1">
        <f t="array" aca="1" ref="R706" ca="1">IF(AND(G706=INDIRECT("'["&amp;G706&amp;"]"&amp;E706&amp;"'!"&amp;$AH$2),OR(I706=INDIRECT("'["&amp;G706&amp;"]"&amp;E706&amp;"'!"&amp;$AD$2))),INDIRECT("'["&amp;G706&amp;"]"&amp;E706&amp;"'!"&amp;$AD$3),0)</f>
        <v>#VALUE!</v>
      </c>
      <c r="S706" s="34" t="e" cm="1">
        <f t="array" aca="1" ref="S706" ca="1">IF(AND(G706=INDIRECT("'["&amp;G706&amp;"]"&amp;E706&amp;"'!"&amp;$AH$2),OR(I706=INDIRECT("'["&amp;G706&amp;"]"&amp;E706&amp;"'!"&amp;$AE$2))),INDIRECT("'["&amp;G706&amp;"]"&amp;E706&amp;"'!"&amp;$AE$3),0)</f>
        <v>#VALUE!</v>
      </c>
      <c r="T706" s="35" t="e" cm="1">
        <f t="array" aca="1" ref="T706" ca="1">IF(AND(G706=INDIRECT("'["&amp;G706&amp;"]"&amp;E706&amp;"'!"&amp;$AH$2),OR(I706=INDIRECT("'["&amp;G706&amp;"]"&amp;E706&amp;"'!"&amp;$AF$2))),INDIRECT("'["&amp;G706&amp;"]"&amp;E706&amp;"'!"&amp;$AF$3),0)</f>
        <v>#VALUE!</v>
      </c>
      <c r="U706" s="34" t="e" cm="1">
        <f t="array" aca="1" ref="U706" ca="1">IF(AND(G706=INDIRECT("'["&amp;G706&amp;"]"&amp;E706&amp;"'!"&amp;$AH$2),OR(I706=INDIRECT("'["&amp;G706&amp;"]"&amp;E706&amp;"'!"&amp;$AG$2))),INDIRECT("'["&amp;G706&amp;"]"&amp;E706&amp;"'!"&amp;$AG$3),0)</f>
        <v>#VALUE!</v>
      </c>
      <c r="V706" s="25" t="str">
        <f t="shared" si="197"/>
        <v/>
      </c>
      <c r="W706" s="36" t="e" cm="1">
        <f t="array" aca="1" ref="W706" ca="1">IF(AND(G706=INDIRECT("'["&amp;G706&amp;"]"&amp;E706&amp;"'!"&amp;$AH$2),OR(V706=INDIRECT("'["&amp;G706&amp;"]"&amp;E706&amp;"'!"&amp;$AI$2))),INDIRECT("'["&amp;G706&amp;"]"&amp;E706&amp;"'!"&amp;$AI$3),0)</f>
        <v>#VALUE!</v>
      </c>
      <c r="AJ706" s="25">
        <v>1</v>
      </c>
      <c r="AK706" s="38">
        <f t="shared" ca="1" si="198"/>
        <v>0</v>
      </c>
      <c r="AL706" s="38">
        <f t="shared" ca="1" si="199"/>
        <v>0</v>
      </c>
      <c r="AM706" s="54" t="str">
        <f t="shared" ca="1" si="200"/>
        <v/>
      </c>
      <c r="AN706" s="25" t="e">
        <f t="shared" ca="1" si="201"/>
        <v>#VALUE!</v>
      </c>
      <c r="AO706" s="25" t="e">
        <f t="shared" ca="1" si="202"/>
        <v>#VALUE!</v>
      </c>
      <c r="AQ706" s="46" t="str">
        <f ca="1">IF(AND(C706&lt;&gt;0, C707=0), SUM($C$2:C706)-SUM($AQ$1:AQ705), "")</f>
        <v/>
      </c>
      <c r="AR706" s="46" t="str">
        <f ca="1">IF(AND(AK706&lt;&gt;0, AK707=0), SUM($AK$2:AK706)-SUM($AR$1:AR705), "")</f>
        <v/>
      </c>
    </row>
    <row r="707" spans="2:44" ht="13.15" customHeight="1">
      <c r="B707" s="68" t="str">
        <f t="shared" si="188"/>
        <v/>
      </c>
      <c r="C707" s="55" cm="1">
        <f t="array" aca="1" ref="C707" ca="1">SUM(IF(ISNUMBER(M707:U707),M707:U707,""))</f>
        <v>0</v>
      </c>
      <c r="D707" s="25" t="str">
        <f t="shared" si="189"/>
        <v/>
      </c>
      <c r="E707" s="25" t="e">
        <f t="shared" si="190"/>
        <v>#VALUE!</v>
      </c>
      <c r="F707" s="25" t="str">
        <f t="shared" si="191"/>
        <v/>
      </c>
      <c r="G707" s="25" t="str">
        <f t="shared" si="192"/>
        <v>.xlsx</v>
      </c>
      <c r="H707" s="29" t="e" cm="1">
        <f t="array" aca="1" ref="H707" ca="1">IF(AND(VALUE(E707)=INDIRECT("'["&amp;G707&amp;"]"&amp;E707&amp;"'!"&amp;$X$2),G707=INDIRECT("'["&amp;G707&amp;"]"&amp;E707&amp;"'!"&amp;$X$3)),INDIRECT("'["&amp;G707&amp;"]"&amp;E707&amp;"'!"&amp;$X$1),0)</f>
        <v>#VALUE!</v>
      </c>
      <c r="I707" s="25" t="str">
        <f t="shared" si="193"/>
        <v/>
      </c>
      <c r="J707" s="32" t="str">
        <f t="shared" si="194"/>
        <v/>
      </c>
      <c r="K707" s="25" t="str">
        <f t="shared" si="195"/>
        <v/>
      </c>
      <c r="L707" s="25" t="str">
        <f t="shared" si="196"/>
        <v/>
      </c>
      <c r="M707" s="33" t="e" cm="1">
        <f t="array" aca="1" ref="M707" ca="1">IF(AND(J707=INDIRECT("'["&amp;G707&amp;"]"&amp;E707&amp;"'!"&amp;$Y$2),G707=INDIRECT("'["&amp;G707&amp;"]"&amp;E707&amp;"'!"&amp;$AH$2)),INDIRECT("'["&amp;G707&amp;"]"&amp;E707&amp;"'!"&amp;$Y$3),0)</f>
        <v>#VALUE!</v>
      </c>
      <c r="N707" s="34" t="e" cm="1">
        <f t="array" aca="1" ref="N707" ca="1">IF(AND(G707=INDIRECT("'["&amp;G707&amp;"]"&amp;E707&amp;"'!"&amp;$AH$2),OR(K707=INDIRECT("'["&amp;G707&amp;"]"&amp;E707&amp;"'!"&amp;$Z$2))),INDIRECT("'["&amp;G707&amp;"]"&amp;E707&amp;"'!"&amp;$Z$3),0)</f>
        <v>#VALUE!</v>
      </c>
      <c r="O707" s="34" t="e" cm="1">
        <f t="array" aca="1" ref="O707" ca="1">IF(AND(G707=INDIRECT("'["&amp;G707&amp;"]"&amp;E707&amp;"'!"&amp;$AH$2),OR(L707=INDIRECT("'["&amp;G707&amp;"]"&amp;E707&amp;"'!"&amp;$AA$2))),INDIRECT("'["&amp;G707&amp;"]"&amp;E707&amp;"'!"&amp;$AA$3),0)</f>
        <v>#VALUE!</v>
      </c>
      <c r="P707" s="34" t="e" cm="1">
        <f t="array" aca="1" ref="P707" ca="1">IF(AND(G707=INDIRECT("'["&amp;G707&amp;"]"&amp;E707&amp;"'!"&amp;$AH$2),OR(VALUE(I707)=INDIRECT("'["&amp;G707&amp;"]"&amp;E707&amp;"'!"&amp;$AB$2))),INDIRECT("'["&amp;G707&amp;"]"&amp;E707&amp;"'!"&amp;$AB$3),0)</f>
        <v>#VALUE!</v>
      </c>
      <c r="Q707" s="34" t="e" cm="1">
        <f t="array" aca="1" ref="Q707" ca="1">IF(AND(G707=INDIRECT("'["&amp;G707&amp;"]"&amp;E707&amp;"'!"&amp;$AH$2),OR(VALUE(I707)=INDIRECT("'["&amp;G707&amp;"]"&amp;E707&amp;"'!"&amp;$AC$2))),INDIRECT("'["&amp;G707&amp;"]"&amp;E707&amp;"'!"&amp;$AC$3),0)</f>
        <v>#VALUE!</v>
      </c>
      <c r="R707" s="34" t="e" cm="1">
        <f t="array" aca="1" ref="R707" ca="1">IF(AND(G707=INDIRECT("'["&amp;G707&amp;"]"&amp;E707&amp;"'!"&amp;$AH$2),OR(I707=INDIRECT("'["&amp;G707&amp;"]"&amp;E707&amp;"'!"&amp;$AD$2))),INDIRECT("'["&amp;G707&amp;"]"&amp;E707&amp;"'!"&amp;$AD$3),0)</f>
        <v>#VALUE!</v>
      </c>
      <c r="S707" s="34" t="e" cm="1">
        <f t="array" aca="1" ref="S707" ca="1">IF(AND(G707=INDIRECT("'["&amp;G707&amp;"]"&amp;E707&amp;"'!"&amp;$AH$2),OR(I707=INDIRECT("'["&amp;G707&amp;"]"&amp;E707&amp;"'!"&amp;$AE$2))),INDIRECT("'["&amp;G707&amp;"]"&amp;E707&amp;"'!"&amp;$AE$3),0)</f>
        <v>#VALUE!</v>
      </c>
      <c r="T707" s="35" t="e" cm="1">
        <f t="array" aca="1" ref="T707" ca="1">IF(AND(G707=INDIRECT("'["&amp;G707&amp;"]"&amp;E707&amp;"'!"&amp;$AH$2),OR(I707=INDIRECT("'["&amp;G707&amp;"]"&amp;E707&amp;"'!"&amp;$AF$2))),INDIRECT("'["&amp;G707&amp;"]"&amp;E707&amp;"'!"&amp;$AF$3),0)</f>
        <v>#VALUE!</v>
      </c>
      <c r="U707" s="34" t="e" cm="1">
        <f t="array" aca="1" ref="U707" ca="1">IF(AND(G707=INDIRECT("'["&amp;G707&amp;"]"&amp;E707&amp;"'!"&amp;$AH$2),OR(I707=INDIRECT("'["&amp;G707&amp;"]"&amp;E707&amp;"'!"&amp;$AG$2))),INDIRECT("'["&amp;G707&amp;"]"&amp;E707&amp;"'!"&amp;$AG$3),0)</f>
        <v>#VALUE!</v>
      </c>
      <c r="V707" s="25" t="str">
        <f t="shared" si="197"/>
        <v/>
      </c>
      <c r="W707" s="36" t="e" cm="1">
        <f t="array" aca="1" ref="W707" ca="1">IF(AND(G707=INDIRECT("'["&amp;G707&amp;"]"&amp;E707&amp;"'!"&amp;$AH$2),OR(V707=INDIRECT("'["&amp;G707&amp;"]"&amp;E707&amp;"'!"&amp;$AI$2))),INDIRECT("'["&amp;G707&amp;"]"&amp;E707&amp;"'!"&amp;$AI$3),0)</f>
        <v>#VALUE!</v>
      </c>
      <c r="AJ707" s="25">
        <v>1</v>
      </c>
      <c r="AK707" s="38">
        <f t="shared" ca="1" si="198"/>
        <v>0</v>
      </c>
      <c r="AL707" s="38">
        <f t="shared" ca="1" si="199"/>
        <v>0</v>
      </c>
      <c r="AM707" s="54" t="str">
        <f t="shared" ca="1" si="200"/>
        <v/>
      </c>
      <c r="AN707" s="25" t="e">
        <f t="shared" ca="1" si="201"/>
        <v>#VALUE!</v>
      </c>
      <c r="AO707" s="25" t="e">
        <f t="shared" ca="1" si="202"/>
        <v>#VALUE!</v>
      </c>
      <c r="AQ707" s="46" t="str">
        <f ca="1">IF(AND(C707&lt;&gt;0, C708=0), SUM($C$2:C707)-SUM($AQ$1:AQ706), "")</f>
        <v/>
      </c>
      <c r="AR707" s="46" t="str">
        <f ca="1">IF(AND(AK707&lt;&gt;0, AK708=0), SUM($AK$2:AK707)-SUM($AR$1:AR706), "")</f>
        <v/>
      </c>
    </row>
    <row r="708" spans="2:44" ht="13.15" customHeight="1">
      <c r="B708" s="68" t="str">
        <f t="shared" si="188"/>
        <v/>
      </c>
      <c r="C708" s="55" cm="1">
        <f t="array" aca="1" ref="C708" ca="1">SUM(IF(ISNUMBER(M708:U708),M708:U708,""))</f>
        <v>0</v>
      </c>
      <c r="D708" s="25" t="str">
        <f t="shared" si="189"/>
        <v/>
      </c>
      <c r="E708" s="25" t="e">
        <f t="shared" si="190"/>
        <v>#VALUE!</v>
      </c>
      <c r="F708" s="25" t="str">
        <f t="shared" si="191"/>
        <v/>
      </c>
      <c r="G708" s="25" t="str">
        <f t="shared" si="192"/>
        <v>.xlsx</v>
      </c>
      <c r="H708" s="29" t="e" cm="1">
        <f t="array" aca="1" ref="H708" ca="1">IF(AND(VALUE(E708)=INDIRECT("'["&amp;G708&amp;"]"&amp;E708&amp;"'!"&amp;$X$2),G708=INDIRECT("'["&amp;G708&amp;"]"&amp;E708&amp;"'!"&amp;$X$3)),INDIRECT("'["&amp;G708&amp;"]"&amp;E708&amp;"'!"&amp;$X$1),0)</f>
        <v>#VALUE!</v>
      </c>
      <c r="I708" s="25" t="str">
        <f t="shared" si="193"/>
        <v/>
      </c>
      <c r="J708" s="32" t="str">
        <f t="shared" si="194"/>
        <v/>
      </c>
      <c r="K708" s="25" t="str">
        <f t="shared" si="195"/>
        <v/>
      </c>
      <c r="L708" s="25" t="str">
        <f t="shared" si="196"/>
        <v/>
      </c>
      <c r="M708" s="33" t="e" cm="1">
        <f t="array" aca="1" ref="M708" ca="1">IF(AND(J708=INDIRECT("'["&amp;G708&amp;"]"&amp;E708&amp;"'!"&amp;$Y$2),G708=INDIRECT("'["&amp;G708&amp;"]"&amp;E708&amp;"'!"&amp;$AH$2)),INDIRECT("'["&amp;G708&amp;"]"&amp;E708&amp;"'!"&amp;$Y$3),0)</f>
        <v>#VALUE!</v>
      </c>
      <c r="N708" s="34" t="e" cm="1">
        <f t="array" aca="1" ref="N708" ca="1">IF(AND(G708=INDIRECT("'["&amp;G708&amp;"]"&amp;E708&amp;"'!"&amp;$AH$2),OR(K708=INDIRECT("'["&amp;G708&amp;"]"&amp;E708&amp;"'!"&amp;$Z$2))),INDIRECT("'["&amp;G708&amp;"]"&amp;E708&amp;"'!"&amp;$Z$3),0)</f>
        <v>#VALUE!</v>
      </c>
      <c r="O708" s="34" t="e" cm="1">
        <f t="array" aca="1" ref="O708" ca="1">IF(AND(G708=INDIRECT("'["&amp;G708&amp;"]"&amp;E708&amp;"'!"&amp;$AH$2),OR(L708=INDIRECT("'["&amp;G708&amp;"]"&amp;E708&amp;"'!"&amp;$AA$2))),INDIRECT("'["&amp;G708&amp;"]"&amp;E708&amp;"'!"&amp;$AA$3),0)</f>
        <v>#VALUE!</v>
      </c>
      <c r="P708" s="34" t="e" cm="1">
        <f t="array" aca="1" ref="P708" ca="1">IF(AND(G708=INDIRECT("'["&amp;G708&amp;"]"&amp;E708&amp;"'!"&amp;$AH$2),OR(VALUE(I708)=INDIRECT("'["&amp;G708&amp;"]"&amp;E708&amp;"'!"&amp;$AB$2))),INDIRECT("'["&amp;G708&amp;"]"&amp;E708&amp;"'!"&amp;$AB$3),0)</f>
        <v>#VALUE!</v>
      </c>
      <c r="Q708" s="34" t="e" cm="1">
        <f t="array" aca="1" ref="Q708" ca="1">IF(AND(G708=INDIRECT("'["&amp;G708&amp;"]"&amp;E708&amp;"'!"&amp;$AH$2),OR(VALUE(I708)=INDIRECT("'["&amp;G708&amp;"]"&amp;E708&amp;"'!"&amp;$AC$2))),INDIRECT("'["&amp;G708&amp;"]"&amp;E708&amp;"'!"&amp;$AC$3),0)</f>
        <v>#VALUE!</v>
      </c>
      <c r="R708" s="34" t="e" cm="1">
        <f t="array" aca="1" ref="R708" ca="1">IF(AND(G708=INDIRECT("'["&amp;G708&amp;"]"&amp;E708&amp;"'!"&amp;$AH$2),OR(I708=INDIRECT("'["&amp;G708&amp;"]"&amp;E708&amp;"'!"&amp;$AD$2))),INDIRECT("'["&amp;G708&amp;"]"&amp;E708&amp;"'!"&amp;$AD$3),0)</f>
        <v>#VALUE!</v>
      </c>
      <c r="S708" s="34" t="e" cm="1">
        <f t="array" aca="1" ref="S708" ca="1">IF(AND(G708=INDIRECT("'["&amp;G708&amp;"]"&amp;E708&amp;"'!"&amp;$AH$2),OR(I708=INDIRECT("'["&amp;G708&amp;"]"&amp;E708&amp;"'!"&amp;$AE$2))),INDIRECT("'["&amp;G708&amp;"]"&amp;E708&amp;"'!"&amp;$AE$3),0)</f>
        <v>#VALUE!</v>
      </c>
      <c r="T708" s="35" t="e" cm="1">
        <f t="array" aca="1" ref="T708" ca="1">IF(AND(G708=INDIRECT("'["&amp;G708&amp;"]"&amp;E708&amp;"'!"&amp;$AH$2),OR(I708=INDIRECT("'["&amp;G708&amp;"]"&amp;E708&amp;"'!"&amp;$AF$2))),INDIRECT("'["&amp;G708&amp;"]"&amp;E708&amp;"'!"&amp;$AF$3),0)</f>
        <v>#VALUE!</v>
      </c>
      <c r="U708" s="34" t="e" cm="1">
        <f t="array" aca="1" ref="U708" ca="1">IF(AND(G708=INDIRECT("'["&amp;G708&amp;"]"&amp;E708&amp;"'!"&amp;$AH$2),OR(I708=INDIRECT("'["&amp;G708&amp;"]"&amp;E708&amp;"'!"&amp;$AG$2))),INDIRECT("'["&amp;G708&amp;"]"&amp;E708&amp;"'!"&amp;$AG$3),0)</f>
        <v>#VALUE!</v>
      </c>
      <c r="V708" s="25" t="str">
        <f t="shared" si="197"/>
        <v/>
      </c>
      <c r="W708" s="36" t="e" cm="1">
        <f t="array" aca="1" ref="W708" ca="1">IF(AND(G708=INDIRECT("'["&amp;G708&amp;"]"&amp;E708&amp;"'!"&amp;$AH$2),OR(V708=INDIRECT("'["&amp;G708&amp;"]"&amp;E708&amp;"'!"&amp;$AI$2))),INDIRECT("'["&amp;G708&amp;"]"&amp;E708&amp;"'!"&amp;$AI$3),0)</f>
        <v>#VALUE!</v>
      </c>
      <c r="AJ708" s="25">
        <v>1</v>
      </c>
      <c r="AK708" s="38">
        <f t="shared" ca="1" si="198"/>
        <v>0</v>
      </c>
      <c r="AL708" s="38">
        <f t="shared" ca="1" si="199"/>
        <v>0</v>
      </c>
      <c r="AM708" s="54" t="str">
        <f t="shared" ca="1" si="200"/>
        <v/>
      </c>
      <c r="AN708" s="25" t="e">
        <f t="shared" ca="1" si="201"/>
        <v>#VALUE!</v>
      </c>
      <c r="AO708" s="25" t="e">
        <f t="shared" ca="1" si="202"/>
        <v>#VALUE!</v>
      </c>
      <c r="AQ708" s="46" t="str">
        <f ca="1">IF(AND(C708&lt;&gt;0, C709=0), SUM($C$2:C708)-SUM($AQ$1:AQ707), "")</f>
        <v/>
      </c>
      <c r="AR708" s="46" t="str">
        <f ca="1">IF(AND(AK708&lt;&gt;0, AK709=0), SUM($AK$2:AK708)-SUM($AR$1:AR707), "")</f>
        <v/>
      </c>
    </row>
    <row r="709" spans="2:44" ht="13.15" customHeight="1">
      <c r="B709" s="68" t="str">
        <f t="shared" si="188"/>
        <v/>
      </c>
      <c r="C709" s="55" cm="1">
        <f t="array" aca="1" ref="C709" ca="1">SUM(IF(ISNUMBER(M709:U709),M709:U709,""))</f>
        <v>0</v>
      </c>
      <c r="D709" s="25" t="str">
        <f t="shared" si="189"/>
        <v/>
      </c>
      <c r="E709" s="25" t="e">
        <f t="shared" si="190"/>
        <v>#VALUE!</v>
      </c>
      <c r="F709" s="25" t="str">
        <f t="shared" si="191"/>
        <v/>
      </c>
      <c r="G709" s="25" t="str">
        <f t="shared" si="192"/>
        <v>.xlsx</v>
      </c>
      <c r="H709" s="29" t="e" cm="1">
        <f t="array" aca="1" ref="H709" ca="1">IF(AND(VALUE(E709)=INDIRECT("'["&amp;G709&amp;"]"&amp;E709&amp;"'!"&amp;$X$2),G709=INDIRECT("'["&amp;G709&amp;"]"&amp;E709&amp;"'!"&amp;$X$3)),INDIRECT("'["&amp;G709&amp;"]"&amp;E709&amp;"'!"&amp;$X$1),0)</f>
        <v>#VALUE!</v>
      </c>
      <c r="I709" s="25" t="str">
        <f t="shared" si="193"/>
        <v/>
      </c>
      <c r="J709" s="32" t="str">
        <f t="shared" si="194"/>
        <v/>
      </c>
      <c r="K709" s="25" t="str">
        <f t="shared" si="195"/>
        <v/>
      </c>
      <c r="L709" s="25" t="str">
        <f t="shared" si="196"/>
        <v/>
      </c>
      <c r="M709" s="33" t="e" cm="1">
        <f t="array" aca="1" ref="M709" ca="1">IF(AND(J709=INDIRECT("'["&amp;G709&amp;"]"&amp;E709&amp;"'!"&amp;$Y$2),G709=INDIRECT("'["&amp;G709&amp;"]"&amp;E709&amp;"'!"&amp;$AH$2)),INDIRECT("'["&amp;G709&amp;"]"&amp;E709&amp;"'!"&amp;$Y$3),0)</f>
        <v>#VALUE!</v>
      </c>
      <c r="N709" s="34" t="e" cm="1">
        <f t="array" aca="1" ref="N709" ca="1">IF(AND(G709=INDIRECT("'["&amp;G709&amp;"]"&amp;E709&amp;"'!"&amp;$AH$2),OR(K709=INDIRECT("'["&amp;G709&amp;"]"&amp;E709&amp;"'!"&amp;$Z$2))),INDIRECT("'["&amp;G709&amp;"]"&amp;E709&amp;"'!"&amp;$Z$3),0)</f>
        <v>#VALUE!</v>
      </c>
      <c r="O709" s="34" t="e" cm="1">
        <f t="array" aca="1" ref="O709" ca="1">IF(AND(G709=INDIRECT("'["&amp;G709&amp;"]"&amp;E709&amp;"'!"&amp;$AH$2),OR(L709=INDIRECT("'["&amp;G709&amp;"]"&amp;E709&amp;"'!"&amp;$AA$2))),INDIRECT("'["&amp;G709&amp;"]"&amp;E709&amp;"'!"&amp;$AA$3),0)</f>
        <v>#VALUE!</v>
      </c>
      <c r="P709" s="34" t="e" cm="1">
        <f t="array" aca="1" ref="P709" ca="1">IF(AND(G709=INDIRECT("'["&amp;G709&amp;"]"&amp;E709&amp;"'!"&amp;$AH$2),OR(VALUE(I709)=INDIRECT("'["&amp;G709&amp;"]"&amp;E709&amp;"'!"&amp;$AB$2))),INDIRECT("'["&amp;G709&amp;"]"&amp;E709&amp;"'!"&amp;$AB$3),0)</f>
        <v>#VALUE!</v>
      </c>
      <c r="Q709" s="34" t="e" cm="1">
        <f t="array" aca="1" ref="Q709" ca="1">IF(AND(G709=INDIRECT("'["&amp;G709&amp;"]"&amp;E709&amp;"'!"&amp;$AH$2),OR(VALUE(I709)=INDIRECT("'["&amp;G709&amp;"]"&amp;E709&amp;"'!"&amp;$AC$2))),INDIRECT("'["&amp;G709&amp;"]"&amp;E709&amp;"'!"&amp;$AC$3),0)</f>
        <v>#VALUE!</v>
      </c>
      <c r="R709" s="34" t="e" cm="1">
        <f t="array" aca="1" ref="R709" ca="1">IF(AND(G709=INDIRECT("'["&amp;G709&amp;"]"&amp;E709&amp;"'!"&amp;$AH$2),OR(I709=INDIRECT("'["&amp;G709&amp;"]"&amp;E709&amp;"'!"&amp;$AD$2))),INDIRECT("'["&amp;G709&amp;"]"&amp;E709&amp;"'!"&amp;$AD$3),0)</f>
        <v>#VALUE!</v>
      </c>
      <c r="S709" s="34" t="e" cm="1">
        <f t="array" aca="1" ref="S709" ca="1">IF(AND(G709=INDIRECT("'["&amp;G709&amp;"]"&amp;E709&amp;"'!"&amp;$AH$2),OR(I709=INDIRECT("'["&amp;G709&amp;"]"&amp;E709&amp;"'!"&amp;$AE$2))),INDIRECT("'["&amp;G709&amp;"]"&amp;E709&amp;"'!"&amp;$AE$3),0)</f>
        <v>#VALUE!</v>
      </c>
      <c r="T709" s="35" t="e" cm="1">
        <f t="array" aca="1" ref="T709" ca="1">IF(AND(G709=INDIRECT("'["&amp;G709&amp;"]"&amp;E709&amp;"'!"&amp;$AH$2),OR(I709=INDIRECT("'["&amp;G709&amp;"]"&amp;E709&amp;"'!"&amp;$AF$2))),INDIRECT("'["&amp;G709&amp;"]"&amp;E709&amp;"'!"&amp;$AF$3),0)</f>
        <v>#VALUE!</v>
      </c>
      <c r="U709" s="34" t="e" cm="1">
        <f t="array" aca="1" ref="U709" ca="1">IF(AND(G709=INDIRECT("'["&amp;G709&amp;"]"&amp;E709&amp;"'!"&amp;$AH$2),OR(I709=INDIRECT("'["&amp;G709&amp;"]"&amp;E709&amp;"'!"&amp;$AG$2))),INDIRECT("'["&amp;G709&amp;"]"&amp;E709&amp;"'!"&amp;$AG$3),0)</f>
        <v>#VALUE!</v>
      </c>
      <c r="V709" s="25" t="str">
        <f t="shared" si="197"/>
        <v/>
      </c>
      <c r="W709" s="36" t="e" cm="1">
        <f t="array" aca="1" ref="W709" ca="1">IF(AND(G709=INDIRECT("'["&amp;G709&amp;"]"&amp;E709&amp;"'!"&amp;$AH$2),OR(V709=INDIRECT("'["&amp;G709&amp;"]"&amp;E709&amp;"'!"&amp;$AI$2))),INDIRECT("'["&amp;G709&amp;"]"&amp;E709&amp;"'!"&amp;$AI$3),0)</f>
        <v>#VALUE!</v>
      </c>
      <c r="AJ709" s="25">
        <v>1</v>
      </c>
      <c r="AK709" s="38">
        <f t="shared" ca="1" si="198"/>
        <v>0</v>
      </c>
      <c r="AL709" s="38">
        <f t="shared" ca="1" si="199"/>
        <v>0</v>
      </c>
      <c r="AM709" s="54" t="str">
        <f t="shared" ca="1" si="200"/>
        <v/>
      </c>
      <c r="AN709" s="25" t="e">
        <f t="shared" ca="1" si="201"/>
        <v>#VALUE!</v>
      </c>
      <c r="AO709" s="25" t="e">
        <f t="shared" ca="1" si="202"/>
        <v>#VALUE!</v>
      </c>
      <c r="AQ709" s="46" t="str">
        <f ca="1">IF(AND(C709&lt;&gt;0, C710=0), SUM($C$2:C709)-SUM($AQ$1:AQ708), "")</f>
        <v/>
      </c>
      <c r="AR709" s="46" t="str">
        <f ca="1">IF(AND(AK709&lt;&gt;0, AK710=0), SUM($AK$2:AK709)-SUM($AR$1:AR708), "")</f>
        <v/>
      </c>
    </row>
    <row r="710" spans="2:44" ht="13.15" customHeight="1">
      <c r="B710" s="68" t="str">
        <f t="shared" si="188"/>
        <v/>
      </c>
      <c r="C710" s="55" cm="1">
        <f t="array" aca="1" ref="C710" ca="1">SUM(IF(ISNUMBER(M710:U710),M710:U710,""))</f>
        <v>0</v>
      </c>
      <c r="D710" s="25" t="str">
        <f t="shared" si="189"/>
        <v/>
      </c>
      <c r="E710" s="25" t="e">
        <f t="shared" si="190"/>
        <v>#VALUE!</v>
      </c>
      <c r="F710" s="25" t="str">
        <f t="shared" si="191"/>
        <v/>
      </c>
      <c r="G710" s="25" t="str">
        <f t="shared" si="192"/>
        <v>.xlsx</v>
      </c>
      <c r="H710" s="29" t="e" cm="1">
        <f t="array" aca="1" ref="H710" ca="1">IF(AND(VALUE(E710)=INDIRECT("'["&amp;G710&amp;"]"&amp;E710&amp;"'!"&amp;$X$2),G710=INDIRECT("'["&amp;G710&amp;"]"&amp;E710&amp;"'!"&amp;$X$3)),INDIRECT("'["&amp;G710&amp;"]"&amp;E710&amp;"'!"&amp;$X$1),0)</f>
        <v>#VALUE!</v>
      </c>
      <c r="I710" s="25" t="str">
        <f t="shared" si="193"/>
        <v/>
      </c>
      <c r="J710" s="32" t="str">
        <f t="shared" si="194"/>
        <v/>
      </c>
      <c r="K710" s="25" t="str">
        <f t="shared" si="195"/>
        <v/>
      </c>
      <c r="L710" s="25" t="str">
        <f t="shared" si="196"/>
        <v/>
      </c>
      <c r="M710" s="33" t="e" cm="1">
        <f t="array" aca="1" ref="M710" ca="1">IF(AND(J710=INDIRECT("'["&amp;G710&amp;"]"&amp;E710&amp;"'!"&amp;$Y$2),G710=INDIRECT("'["&amp;G710&amp;"]"&amp;E710&amp;"'!"&amp;$AH$2)),INDIRECT("'["&amp;G710&amp;"]"&amp;E710&amp;"'!"&amp;$Y$3),0)</f>
        <v>#VALUE!</v>
      </c>
      <c r="N710" s="34" t="e" cm="1">
        <f t="array" aca="1" ref="N710" ca="1">IF(AND(G710=INDIRECT("'["&amp;G710&amp;"]"&amp;E710&amp;"'!"&amp;$AH$2),OR(K710=INDIRECT("'["&amp;G710&amp;"]"&amp;E710&amp;"'!"&amp;$Z$2))),INDIRECT("'["&amp;G710&amp;"]"&amp;E710&amp;"'!"&amp;$Z$3),0)</f>
        <v>#VALUE!</v>
      </c>
      <c r="O710" s="34" t="e" cm="1">
        <f t="array" aca="1" ref="O710" ca="1">IF(AND(G710=INDIRECT("'["&amp;G710&amp;"]"&amp;E710&amp;"'!"&amp;$AH$2),OR(L710=INDIRECT("'["&amp;G710&amp;"]"&amp;E710&amp;"'!"&amp;$AA$2))),INDIRECT("'["&amp;G710&amp;"]"&amp;E710&amp;"'!"&amp;$AA$3),0)</f>
        <v>#VALUE!</v>
      </c>
      <c r="P710" s="34" t="e" cm="1">
        <f t="array" aca="1" ref="P710" ca="1">IF(AND(G710=INDIRECT("'["&amp;G710&amp;"]"&amp;E710&amp;"'!"&amp;$AH$2),OR(VALUE(I710)=INDIRECT("'["&amp;G710&amp;"]"&amp;E710&amp;"'!"&amp;$AB$2))),INDIRECT("'["&amp;G710&amp;"]"&amp;E710&amp;"'!"&amp;$AB$3),0)</f>
        <v>#VALUE!</v>
      </c>
      <c r="Q710" s="34" t="e" cm="1">
        <f t="array" aca="1" ref="Q710" ca="1">IF(AND(G710=INDIRECT("'["&amp;G710&amp;"]"&amp;E710&amp;"'!"&amp;$AH$2),OR(VALUE(I710)=INDIRECT("'["&amp;G710&amp;"]"&amp;E710&amp;"'!"&amp;$AC$2))),INDIRECT("'["&amp;G710&amp;"]"&amp;E710&amp;"'!"&amp;$AC$3),0)</f>
        <v>#VALUE!</v>
      </c>
      <c r="R710" s="34" t="e" cm="1">
        <f t="array" aca="1" ref="R710" ca="1">IF(AND(G710=INDIRECT("'["&amp;G710&amp;"]"&amp;E710&amp;"'!"&amp;$AH$2),OR(I710=INDIRECT("'["&amp;G710&amp;"]"&amp;E710&amp;"'!"&amp;$AD$2))),INDIRECT("'["&amp;G710&amp;"]"&amp;E710&amp;"'!"&amp;$AD$3),0)</f>
        <v>#VALUE!</v>
      </c>
      <c r="S710" s="34" t="e" cm="1">
        <f t="array" aca="1" ref="S710" ca="1">IF(AND(G710=INDIRECT("'["&amp;G710&amp;"]"&amp;E710&amp;"'!"&amp;$AH$2),OR(I710=INDIRECT("'["&amp;G710&amp;"]"&amp;E710&amp;"'!"&amp;$AE$2))),INDIRECT("'["&amp;G710&amp;"]"&amp;E710&amp;"'!"&amp;$AE$3),0)</f>
        <v>#VALUE!</v>
      </c>
      <c r="T710" s="35" t="e" cm="1">
        <f t="array" aca="1" ref="T710" ca="1">IF(AND(G710=INDIRECT("'["&amp;G710&amp;"]"&amp;E710&amp;"'!"&amp;$AH$2),OR(I710=INDIRECT("'["&amp;G710&amp;"]"&amp;E710&amp;"'!"&amp;$AF$2))),INDIRECT("'["&amp;G710&amp;"]"&amp;E710&amp;"'!"&amp;$AF$3),0)</f>
        <v>#VALUE!</v>
      </c>
      <c r="U710" s="34" t="e" cm="1">
        <f t="array" aca="1" ref="U710" ca="1">IF(AND(G710=INDIRECT("'["&amp;G710&amp;"]"&amp;E710&amp;"'!"&amp;$AH$2),OR(I710=INDIRECT("'["&amp;G710&amp;"]"&amp;E710&amp;"'!"&amp;$AG$2))),INDIRECT("'["&amp;G710&amp;"]"&amp;E710&amp;"'!"&amp;$AG$3),0)</f>
        <v>#VALUE!</v>
      </c>
      <c r="V710" s="25" t="str">
        <f t="shared" si="197"/>
        <v/>
      </c>
      <c r="W710" s="36" t="e" cm="1">
        <f t="array" aca="1" ref="W710" ca="1">IF(AND(G710=INDIRECT("'["&amp;G710&amp;"]"&amp;E710&amp;"'!"&amp;$AH$2),OR(V710=INDIRECT("'["&amp;G710&amp;"]"&amp;E710&amp;"'!"&amp;$AI$2))),INDIRECT("'["&amp;G710&amp;"]"&amp;E710&amp;"'!"&amp;$AI$3),0)</f>
        <v>#VALUE!</v>
      </c>
      <c r="AJ710" s="25">
        <v>1</v>
      </c>
      <c r="AK710" s="38">
        <f t="shared" ca="1" si="198"/>
        <v>0</v>
      </c>
      <c r="AL710" s="38">
        <f t="shared" ca="1" si="199"/>
        <v>0</v>
      </c>
      <c r="AM710" s="54" t="str">
        <f t="shared" ca="1" si="200"/>
        <v/>
      </c>
      <c r="AN710" s="25" t="e">
        <f t="shared" ca="1" si="201"/>
        <v>#VALUE!</v>
      </c>
      <c r="AO710" s="25" t="e">
        <f t="shared" ca="1" si="202"/>
        <v>#VALUE!</v>
      </c>
      <c r="AQ710" s="46" t="str">
        <f ca="1">IF(AND(C710&lt;&gt;0, C711=0), SUM($C$2:C710)-SUM($AQ$1:AQ709), "")</f>
        <v/>
      </c>
      <c r="AR710" s="46" t="str">
        <f ca="1">IF(AND(AK710&lt;&gt;0, AK711=0), SUM($AK$2:AK710)-SUM($AR$1:AR709), "")</f>
        <v/>
      </c>
    </row>
    <row r="711" spans="2:44" ht="13.15" customHeight="1">
      <c r="B711" s="68" t="str">
        <f t="shared" si="188"/>
        <v/>
      </c>
      <c r="C711" s="55" cm="1">
        <f t="array" aca="1" ref="C711" ca="1">SUM(IF(ISNUMBER(M711:U711),M711:U711,""))</f>
        <v>0</v>
      </c>
      <c r="D711" s="25" t="str">
        <f t="shared" si="189"/>
        <v/>
      </c>
      <c r="E711" s="25" t="e">
        <f t="shared" si="190"/>
        <v>#VALUE!</v>
      </c>
      <c r="F711" s="25" t="str">
        <f t="shared" si="191"/>
        <v/>
      </c>
      <c r="G711" s="25" t="str">
        <f t="shared" si="192"/>
        <v>.xlsx</v>
      </c>
      <c r="H711" s="29" t="e" cm="1">
        <f t="array" aca="1" ref="H711" ca="1">IF(AND(VALUE(E711)=INDIRECT("'["&amp;G711&amp;"]"&amp;E711&amp;"'!"&amp;$X$2),G711=INDIRECT("'["&amp;G711&amp;"]"&amp;E711&amp;"'!"&amp;$X$3)),INDIRECT("'["&amp;G711&amp;"]"&amp;E711&amp;"'!"&amp;$X$1),0)</f>
        <v>#VALUE!</v>
      </c>
      <c r="I711" s="25" t="str">
        <f t="shared" si="193"/>
        <v/>
      </c>
      <c r="J711" s="32" t="str">
        <f t="shared" si="194"/>
        <v/>
      </c>
      <c r="K711" s="25" t="str">
        <f t="shared" si="195"/>
        <v/>
      </c>
      <c r="L711" s="25" t="str">
        <f t="shared" si="196"/>
        <v/>
      </c>
      <c r="M711" s="33" t="e" cm="1">
        <f t="array" aca="1" ref="M711" ca="1">IF(AND(J711=INDIRECT("'["&amp;G711&amp;"]"&amp;E711&amp;"'!"&amp;$Y$2),G711=INDIRECT("'["&amp;G711&amp;"]"&amp;E711&amp;"'!"&amp;$AH$2)),INDIRECT("'["&amp;G711&amp;"]"&amp;E711&amp;"'!"&amp;$Y$3),0)</f>
        <v>#VALUE!</v>
      </c>
      <c r="N711" s="34" t="e" cm="1">
        <f t="array" aca="1" ref="N711" ca="1">IF(AND(G711=INDIRECT("'["&amp;G711&amp;"]"&amp;E711&amp;"'!"&amp;$AH$2),OR(K711=INDIRECT("'["&amp;G711&amp;"]"&amp;E711&amp;"'!"&amp;$Z$2))),INDIRECT("'["&amp;G711&amp;"]"&amp;E711&amp;"'!"&amp;$Z$3),0)</f>
        <v>#VALUE!</v>
      </c>
      <c r="O711" s="34" t="e" cm="1">
        <f t="array" aca="1" ref="O711" ca="1">IF(AND(G711=INDIRECT("'["&amp;G711&amp;"]"&amp;E711&amp;"'!"&amp;$AH$2),OR(L711=INDIRECT("'["&amp;G711&amp;"]"&amp;E711&amp;"'!"&amp;$AA$2))),INDIRECT("'["&amp;G711&amp;"]"&amp;E711&amp;"'!"&amp;$AA$3),0)</f>
        <v>#VALUE!</v>
      </c>
      <c r="P711" s="34" t="e" cm="1">
        <f t="array" aca="1" ref="P711" ca="1">IF(AND(G711=INDIRECT("'["&amp;G711&amp;"]"&amp;E711&amp;"'!"&amp;$AH$2),OR(VALUE(I711)=INDIRECT("'["&amp;G711&amp;"]"&amp;E711&amp;"'!"&amp;$AB$2))),INDIRECT("'["&amp;G711&amp;"]"&amp;E711&amp;"'!"&amp;$AB$3),0)</f>
        <v>#VALUE!</v>
      </c>
      <c r="Q711" s="34" t="e" cm="1">
        <f t="array" aca="1" ref="Q711" ca="1">IF(AND(G711=INDIRECT("'["&amp;G711&amp;"]"&amp;E711&amp;"'!"&amp;$AH$2),OR(VALUE(I711)=INDIRECT("'["&amp;G711&amp;"]"&amp;E711&amp;"'!"&amp;$AC$2))),INDIRECT("'["&amp;G711&amp;"]"&amp;E711&amp;"'!"&amp;$AC$3),0)</f>
        <v>#VALUE!</v>
      </c>
      <c r="R711" s="34" t="e" cm="1">
        <f t="array" aca="1" ref="R711" ca="1">IF(AND(G711=INDIRECT("'["&amp;G711&amp;"]"&amp;E711&amp;"'!"&amp;$AH$2),OR(I711=INDIRECT("'["&amp;G711&amp;"]"&amp;E711&amp;"'!"&amp;$AD$2))),INDIRECT("'["&amp;G711&amp;"]"&amp;E711&amp;"'!"&amp;$AD$3),0)</f>
        <v>#VALUE!</v>
      </c>
      <c r="S711" s="34" t="e" cm="1">
        <f t="array" aca="1" ref="S711" ca="1">IF(AND(G711=INDIRECT("'["&amp;G711&amp;"]"&amp;E711&amp;"'!"&amp;$AH$2),OR(I711=INDIRECT("'["&amp;G711&amp;"]"&amp;E711&amp;"'!"&amp;$AE$2))),INDIRECT("'["&amp;G711&amp;"]"&amp;E711&amp;"'!"&amp;$AE$3),0)</f>
        <v>#VALUE!</v>
      </c>
      <c r="T711" s="35" t="e" cm="1">
        <f t="array" aca="1" ref="T711" ca="1">IF(AND(G711=INDIRECT("'["&amp;G711&amp;"]"&amp;E711&amp;"'!"&amp;$AH$2),OR(I711=INDIRECT("'["&amp;G711&amp;"]"&amp;E711&amp;"'!"&amp;$AF$2))),INDIRECT("'["&amp;G711&amp;"]"&amp;E711&amp;"'!"&amp;$AF$3),0)</f>
        <v>#VALUE!</v>
      </c>
      <c r="U711" s="34" t="e" cm="1">
        <f t="array" aca="1" ref="U711" ca="1">IF(AND(G711=INDIRECT("'["&amp;G711&amp;"]"&amp;E711&amp;"'!"&amp;$AH$2),OR(I711=INDIRECT("'["&amp;G711&amp;"]"&amp;E711&amp;"'!"&amp;$AG$2))),INDIRECT("'["&amp;G711&amp;"]"&amp;E711&amp;"'!"&amp;$AG$3),0)</f>
        <v>#VALUE!</v>
      </c>
      <c r="V711" s="25" t="str">
        <f t="shared" si="197"/>
        <v/>
      </c>
      <c r="W711" s="36" t="e" cm="1">
        <f t="array" aca="1" ref="W711" ca="1">IF(AND(G711=INDIRECT("'["&amp;G711&amp;"]"&amp;E711&amp;"'!"&amp;$AH$2),OR(V711=INDIRECT("'["&amp;G711&amp;"]"&amp;E711&amp;"'!"&amp;$AI$2))),INDIRECT("'["&amp;G711&amp;"]"&amp;E711&amp;"'!"&amp;$AI$3),0)</f>
        <v>#VALUE!</v>
      </c>
      <c r="AJ711" s="25">
        <v>1</v>
      </c>
      <c r="AK711" s="38">
        <f t="shared" ca="1" si="198"/>
        <v>0</v>
      </c>
      <c r="AL711" s="38">
        <f t="shared" ca="1" si="199"/>
        <v>0</v>
      </c>
      <c r="AM711" s="54" t="str">
        <f t="shared" ca="1" si="200"/>
        <v/>
      </c>
      <c r="AN711" s="25" t="e">
        <f t="shared" ca="1" si="201"/>
        <v>#VALUE!</v>
      </c>
      <c r="AO711" s="25" t="e">
        <f t="shared" ca="1" si="202"/>
        <v>#VALUE!</v>
      </c>
      <c r="AQ711" s="46" t="str">
        <f ca="1">IF(AND(C711&lt;&gt;0, C712=0), SUM($C$2:C711)-SUM($AQ$1:AQ710), "")</f>
        <v/>
      </c>
      <c r="AR711" s="46" t="str">
        <f ca="1">IF(AND(AK711&lt;&gt;0, AK712=0), SUM($AK$2:AK711)-SUM($AR$1:AR710), "")</f>
        <v/>
      </c>
    </row>
    <row r="712" spans="2:44" ht="13.15" customHeight="1">
      <c r="B712" s="68" t="str">
        <f t="shared" si="188"/>
        <v/>
      </c>
      <c r="C712" s="55" cm="1">
        <f t="array" aca="1" ref="C712" ca="1">SUM(IF(ISNUMBER(M712:U712),M712:U712,""))</f>
        <v>0</v>
      </c>
      <c r="D712" s="25" t="str">
        <f t="shared" si="189"/>
        <v/>
      </c>
      <c r="E712" s="25" t="e">
        <f t="shared" si="190"/>
        <v>#VALUE!</v>
      </c>
      <c r="F712" s="25" t="str">
        <f t="shared" si="191"/>
        <v/>
      </c>
      <c r="G712" s="25" t="str">
        <f t="shared" si="192"/>
        <v>.xlsx</v>
      </c>
      <c r="H712" s="29" t="e" cm="1">
        <f t="array" aca="1" ref="H712" ca="1">IF(AND(VALUE(E712)=INDIRECT("'["&amp;G712&amp;"]"&amp;E712&amp;"'!"&amp;$X$2),G712=INDIRECT("'["&amp;G712&amp;"]"&amp;E712&amp;"'!"&amp;$X$3)),INDIRECT("'["&amp;G712&amp;"]"&amp;E712&amp;"'!"&amp;$X$1),0)</f>
        <v>#VALUE!</v>
      </c>
      <c r="I712" s="25" t="str">
        <f t="shared" si="193"/>
        <v/>
      </c>
      <c r="J712" s="32" t="str">
        <f t="shared" si="194"/>
        <v/>
      </c>
      <c r="K712" s="25" t="str">
        <f t="shared" si="195"/>
        <v/>
      </c>
      <c r="L712" s="25" t="str">
        <f t="shared" si="196"/>
        <v/>
      </c>
      <c r="M712" s="33" t="e" cm="1">
        <f t="array" aca="1" ref="M712" ca="1">IF(AND(J712=INDIRECT("'["&amp;G712&amp;"]"&amp;E712&amp;"'!"&amp;$Y$2),G712=INDIRECT("'["&amp;G712&amp;"]"&amp;E712&amp;"'!"&amp;$AH$2)),INDIRECT("'["&amp;G712&amp;"]"&amp;E712&amp;"'!"&amp;$Y$3),0)</f>
        <v>#VALUE!</v>
      </c>
      <c r="N712" s="34" t="e" cm="1">
        <f t="array" aca="1" ref="N712" ca="1">IF(AND(G712=INDIRECT("'["&amp;G712&amp;"]"&amp;E712&amp;"'!"&amp;$AH$2),OR(K712=INDIRECT("'["&amp;G712&amp;"]"&amp;E712&amp;"'!"&amp;$Z$2))),INDIRECT("'["&amp;G712&amp;"]"&amp;E712&amp;"'!"&amp;$Z$3),0)</f>
        <v>#VALUE!</v>
      </c>
      <c r="O712" s="34" t="e" cm="1">
        <f t="array" aca="1" ref="O712" ca="1">IF(AND(G712=INDIRECT("'["&amp;G712&amp;"]"&amp;E712&amp;"'!"&amp;$AH$2),OR(L712=INDIRECT("'["&amp;G712&amp;"]"&amp;E712&amp;"'!"&amp;$AA$2))),INDIRECT("'["&amp;G712&amp;"]"&amp;E712&amp;"'!"&amp;$AA$3),0)</f>
        <v>#VALUE!</v>
      </c>
      <c r="P712" s="34" t="e" cm="1">
        <f t="array" aca="1" ref="P712" ca="1">IF(AND(G712=INDIRECT("'["&amp;G712&amp;"]"&amp;E712&amp;"'!"&amp;$AH$2),OR(VALUE(I712)=INDIRECT("'["&amp;G712&amp;"]"&amp;E712&amp;"'!"&amp;$AB$2))),INDIRECT("'["&amp;G712&amp;"]"&amp;E712&amp;"'!"&amp;$AB$3),0)</f>
        <v>#VALUE!</v>
      </c>
      <c r="Q712" s="34" t="e" cm="1">
        <f t="array" aca="1" ref="Q712" ca="1">IF(AND(G712=INDIRECT("'["&amp;G712&amp;"]"&amp;E712&amp;"'!"&amp;$AH$2),OR(VALUE(I712)=INDIRECT("'["&amp;G712&amp;"]"&amp;E712&amp;"'!"&amp;$AC$2))),INDIRECT("'["&amp;G712&amp;"]"&amp;E712&amp;"'!"&amp;$AC$3),0)</f>
        <v>#VALUE!</v>
      </c>
      <c r="R712" s="34" t="e" cm="1">
        <f t="array" aca="1" ref="R712" ca="1">IF(AND(G712=INDIRECT("'["&amp;G712&amp;"]"&amp;E712&amp;"'!"&amp;$AH$2),OR(I712=INDIRECT("'["&amp;G712&amp;"]"&amp;E712&amp;"'!"&amp;$AD$2))),INDIRECT("'["&amp;G712&amp;"]"&amp;E712&amp;"'!"&amp;$AD$3),0)</f>
        <v>#VALUE!</v>
      </c>
      <c r="S712" s="34" t="e" cm="1">
        <f t="array" aca="1" ref="S712" ca="1">IF(AND(G712=INDIRECT("'["&amp;G712&amp;"]"&amp;E712&amp;"'!"&amp;$AH$2),OR(I712=INDIRECT("'["&amp;G712&amp;"]"&amp;E712&amp;"'!"&amp;$AE$2))),INDIRECT("'["&amp;G712&amp;"]"&amp;E712&amp;"'!"&amp;$AE$3),0)</f>
        <v>#VALUE!</v>
      </c>
      <c r="T712" s="35" t="e" cm="1">
        <f t="array" aca="1" ref="T712" ca="1">IF(AND(G712=INDIRECT("'["&amp;G712&amp;"]"&amp;E712&amp;"'!"&amp;$AH$2),OR(I712=INDIRECT("'["&amp;G712&amp;"]"&amp;E712&amp;"'!"&amp;$AF$2))),INDIRECT("'["&amp;G712&amp;"]"&amp;E712&amp;"'!"&amp;$AF$3),0)</f>
        <v>#VALUE!</v>
      </c>
      <c r="U712" s="34" t="e" cm="1">
        <f t="array" aca="1" ref="U712" ca="1">IF(AND(G712=INDIRECT("'["&amp;G712&amp;"]"&amp;E712&amp;"'!"&amp;$AH$2),OR(I712=INDIRECT("'["&amp;G712&amp;"]"&amp;E712&amp;"'!"&amp;$AG$2))),INDIRECT("'["&amp;G712&amp;"]"&amp;E712&amp;"'!"&amp;$AG$3),0)</f>
        <v>#VALUE!</v>
      </c>
      <c r="V712" s="25" t="str">
        <f t="shared" si="197"/>
        <v/>
      </c>
      <c r="W712" s="36" t="e" cm="1">
        <f t="array" aca="1" ref="W712" ca="1">IF(AND(G712=INDIRECT("'["&amp;G712&amp;"]"&amp;E712&amp;"'!"&amp;$AH$2),OR(V712=INDIRECT("'["&amp;G712&amp;"]"&amp;E712&amp;"'!"&amp;$AI$2))),INDIRECT("'["&amp;G712&amp;"]"&amp;E712&amp;"'!"&amp;$AI$3),0)</f>
        <v>#VALUE!</v>
      </c>
      <c r="AJ712" s="25">
        <v>1</v>
      </c>
      <c r="AK712" s="38">
        <f t="shared" ca="1" si="198"/>
        <v>0</v>
      </c>
      <c r="AL712" s="38">
        <f t="shared" ca="1" si="199"/>
        <v>0</v>
      </c>
      <c r="AM712" s="54" t="str">
        <f t="shared" ca="1" si="200"/>
        <v/>
      </c>
      <c r="AN712" s="25" t="e">
        <f t="shared" ca="1" si="201"/>
        <v>#VALUE!</v>
      </c>
      <c r="AO712" s="25" t="e">
        <f t="shared" ca="1" si="202"/>
        <v>#VALUE!</v>
      </c>
      <c r="AQ712" s="46" t="str">
        <f ca="1">IF(AND(C712&lt;&gt;0, C713=0), SUM($C$2:C712)-SUM($AQ$1:AQ711), "")</f>
        <v/>
      </c>
      <c r="AR712" s="46" t="str">
        <f ca="1">IF(AND(AK712&lt;&gt;0, AK713=0), SUM($AK$2:AK712)-SUM($AR$1:AR711), "")</f>
        <v/>
      </c>
    </row>
    <row r="713" spans="2:44" ht="13.15" customHeight="1">
      <c r="B713" s="68" t="str">
        <f t="shared" si="188"/>
        <v/>
      </c>
      <c r="C713" s="55" cm="1">
        <f t="array" aca="1" ref="C713" ca="1">SUM(IF(ISNUMBER(M713:U713),M713:U713,""))</f>
        <v>0</v>
      </c>
      <c r="D713" s="25" t="str">
        <f t="shared" si="189"/>
        <v/>
      </c>
      <c r="E713" s="25" t="e">
        <f t="shared" si="190"/>
        <v>#VALUE!</v>
      </c>
      <c r="F713" s="25" t="str">
        <f t="shared" si="191"/>
        <v/>
      </c>
      <c r="G713" s="25" t="str">
        <f t="shared" si="192"/>
        <v>.xlsx</v>
      </c>
      <c r="H713" s="29" t="e" cm="1">
        <f t="array" aca="1" ref="H713" ca="1">IF(AND(VALUE(E713)=INDIRECT("'["&amp;G713&amp;"]"&amp;E713&amp;"'!"&amp;$X$2),G713=INDIRECT("'["&amp;G713&amp;"]"&amp;E713&amp;"'!"&amp;$X$3)),INDIRECT("'["&amp;G713&amp;"]"&amp;E713&amp;"'!"&amp;$X$1),0)</f>
        <v>#VALUE!</v>
      </c>
      <c r="I713" s="25" t="str">
        <f t="shared" si="193"/>
        <v/>
      </c>
      <c r="J713" s="32" t="str">
        <f t="shared" si="194"/>
        <v/>
      </c>
      <c r="K713" s="25" t="str">
        <f t="shared" si="195"/>
        <v/>
      </c>
      <c r="L713" s="25" t="str">
        <f t="shared" si="196"/>
        <v/>
      </c>
      <c r="M713" s="33" t="e" cm="1">
        <f t="array" aca="1" ref="M713" ca="1">IF(AND(J713=INDIRECT("'["&amp;G713&amp;"]"&amp;E713&amp;"'!"&amp;$Y$2),G713=INDIRECT("'["&amp;G713&amp;"]"&amp;E713&amp;"'!"&amp;$AH$2)),INDIRECT("'["&amp;G713&amp;"]"&amp;E713&amp;"'!"&amp;$Y$3),0)</f>
        <v>#VALUE!</v>
      </c>
      <c r="N713" s="34" t="e" cm="1">
        <f t="array" aca="1" ref="N713" ca="1">IF(AND(G713=INDIRECT("'["&amp;G713&amp;"]"&amp;E713&amp;"'!"&amp;$AH$2),OR(K713=INDIRECT("'["&amp;G713&amp;"]"&amp;E713&amp;"'!"&amp;$Z$2))),INDIRECT("'["&amp;G713&amp;"]"&amp;E713&amp;"'!"&amp;$Z$3),0)</f>
        <v>#VALUE!</v>
      </c>
      <c r="O713" s="34" t="e" cm="1">
        <f t="array" aca="1" ref="O713" ca="1">IF(AND(G713=INDIRECT("'["&amp;G713&amp;"]"&amp;E713&amp;"'!"&amp;$AH$2),OR(L713=INDIRECT("'["&amp;G713&amp;"]"&amp;E713&amp;"'!"&amp;$AA$2))),INDIRECT("'["&amp;G713&amp;"]"&amp;E713&amp;"'!"&amp;$AA$3),0)</f>
        <v>#VALUE!</v>
      </c>
      <c r="P713" s="34" t="e" cm="1">
        <f t="array" aca="1" ref="P713" ca="1">IF(AND(G713=INDIRECT("'["&amp;G713&amp;"]"&amp;E713&amp;"'!"&amp;$AH$2),OR(VALUE(I713)=INDIRECT("'["&amp;G713&amp;"]"&amp;E713&amp;"'!"&amp;$AB$2))),INDIRECT("'["&amp;G713&amp;"]"&amp;E713&amp;"'!"&amp;$AB$3),0)</f>
        <v>#VALUE!</v>
      </c>
      <c r="Q713" s="34" t="e" cm="1">
        <f t="array" aca="1" ref="Q713" ca="1">IF(AND(G713=INDIRECT("'["&amp;G713&amp;"]"&amp;E713&amp;"'!"&amp;$AH$2),OR(VALUE(I713)=INDIRECT("'["&amp;G713&amp;"]"&amp;E713&amp;"'!"&amp;$AC$2))),INDIRECT("'["&amp;G713&amp;"]"&amp;E713&amp;"'!"&amp;$AC$3),0)</f>
        <v>#VALUE!</v>
      </c>
      <c r="R713" s="34" t="e" cm="1">
        <f t="array" aca="1" ref="R713" ca="1">IF(AND(G713=INDIRECT("'["&amp;G713&amp;"]"&amp;E713&amp;"'!"&amp;$AH$2),OR(I713=INDIRECT("'["&amp;G713&amp;"]"&amp;E713&amp;"'!"&amp;$AD$2))),INDIRECT("'["&amp;G713&amp;"]"&amp;E713&amp;"'!"&amp;$AD$3),0)</f>
        <v>#VALUE!</v>
      </c>
      <c r="S713" s="34" t="e" cm="1">
        <f t="array" aca="1" ref="S713" ca="1">IF(AND(G713=INDIRECT("'["&amp;G713&amp;"]"&amp;E713&amp;"'!"&amp;$AH$2),OR(I713=INDIRECT("'["&amp;G713&amp;"]"&amp;E713&amp;"'!"&amp;$AE$2))),INDIRECT("'["&amp;G713&amp;"]"&amp;E713&amp;"'!"&amp;$AE$3),0)</f>
        <v>#VALUE!</v>
      </c>
      <c r="T713" s="35" t="e" cm="1">
        <f t="array" aca="1" ref="T713" ca="1">IF(AND(G713=INDIRECT("'["&amp;G713&amp;"]"&amp;E713&amp;"'!"&amp;$AH$2),OR(I713=INDIRECT("'["&amp;G713&amp;"]"&amp;E713&amp;"'!"&amp;$AF$2))),INDIRECT("'["&amp;G713&amp;"]"&amp;E713&amp;"'!"&amp;$AF$3),0)</f>
        <v>#VALUE!</v>
      </c>
      <c r="U713" s="34" t="e" cm="1">
        <f t="array" aca="1" ref="U713" ca="1">IF(AND(G713=INDIRECT("'["&amp;G713&amp;"]"&amp;E713&amp;"'!"&amp;$AH$2),OR(I713=INDIRECT("'["&amp;G713&amp;"]"&amp;E713&amp;"'!"&amp;$AG$2))),INDIRECT("'["&amp;G713&amp;"]"&amp;E713&amp;"'!"&amp;$AG$3),0)</f>
        <v>#VALUE!</v>
      </c>
      <c r="V713" s="25" t="str">
        <f t="shared" si="197"/>
        <v/>
      </c>
      <c r="W713" s="36" t="e" cm="1">
        <f t="array" aca="1" ref="W713" ca="1">IF(AND(G713=INDIRECT("'["&amp;G713&amp;"]"&amp;E713&amp;"'!"&amp;$AH$2),OR(V713=INDIRECT("'["&amp;G713&amp;"]"&amp;E713&amp;"'!"&amp;$AI$2))),INDIRECT("'["&amp;G713&amp;"]"&amp;E713&amp;"'!"&amp;$AI$3),0)</f>
        <v>#VALUE!</v>
      </c>
      <c r="AJ713" s="25">
        <v>1</v>
      </c>
      <c r="AK713" s="38">
        <f t="shared" ca="1" si="198"/>
        <v>0</v>
      </c>
      <c r="AL713" s="38">
        <f t="shared" ca="1" si="199"/>
        <v>0</v>
      </c>
      <c r="AM713" s="54" t="str">
        <f t="shared" ca="1" si="200"/>
        <v/>
      </c>
      <c r="AN713" s="25" t="e">
        <f t="shared" ca="1" si="201"/>
        <v>#VALUE!</v>
      </c>
      <c r="AO713" s="25" t="e">
        <f t="shared" ca="1" si="202"/>
        <v>#VALUE!</v>
      </c>
      <c r="AQ713" s="46" t="str">
        <f ca="1">IF(AND(C713&lt;&gt;0, C714=0), SUM($C$2:C713)-SUM($AQ$1:AQ712), "")</f>
        <v/>
      </c>
      <c r="AR713" s="46" t="str">
        <f ca="1">IF(AND(AK713&lt;&gt;0, AK714=0), SUM($AK$2:AK713)-SUM($AR$1:AR712), "")</f>
        <v/>
      </c>
    </row>
    <row r="714" spans="2:44" ht="13.15" customHeight="1">
      <c r="B714" s="68" t="str">
        <f t="shared" si="188"/>
        <v/>
      </c>
      <c r="C714" s="55" cm="1">
        <f t="array" aca="1" ref="C714" ca="1">SUM(IF(ISNUMBER(M714:U714),M714:U714,""))</f>
        <v>0</v>
      </c>
      <c r="D714" s="25" t="str">
        <f t="shared" si="189"/>
        <v/>
      </c>
      <c r="E714" s="25" t="e">
        <f t="shared" si="190"/>
        <v>#VALUE!</v>
      </c>
      <c r="F714" s="25" t="str">
        <f t="shared" si="191"/>
        <v/>
      </c>
      <c r="G714" s="25" t="str">
        <f t="shared" si="192"/>
        <v>.xlsx</v>
      </c>
      <c r="H714" s="29" t="e" cm="1">
        <f t="array" aca="1" ref="H714" ca="1">IF(AND(VALUE(E714)=INDIRECT("'["&amp;G714&amp;"]"&amp;E714&amp;"'!"&amp;$X$2),G714=INDIRECT("'["&amp;G714&amp;"]"&amp;E714&amp;"'!"&amp;$X$3)),INDIRECT("'["&amp;G714&amp;"]"&amp;E714&amp;"'!"&amp;$X$1),0)</f>
        <v>#VALUE!</v>
      </c>
      <c r="I714" s="25" t="str">
        <f t="shared" si="193"/>
        <v/>
      </c>
      <c r="J714" s="32" t="str">
        <f t="shared" si="194"/>
        <v/>
      </c>
      <c r="K714" s="25" t="str">
        <f t="shared" si="195"/>
        <v/>
      </c>
      <c r="L714" s="25" t="str">
        <f t="shared" si="196"/>
        <v/>
      </c>
      <c r="M714" s="33" t="e" cm="1">
        <f t="array" aca="1" ref="M714" ca="1">IF(AND(J714=INDIRECT("'["&amp;G714&amp;"]"&amp;E714&amp;"'!"&amp;$Y$2),G714=INDIRECT("'["&amp;G714&amp;"]"&amp;E714&amp;"'!"&amp;$AH$2)),INDIRECT("'["&amp;G714&amp;"]"&amp;E714&amp;"'!"&amp;$Y$3),0)</f>
        <v>#VALUE!</v>
      </c>
      <c r="N714" s="34" t="e" cm="1">
        <f t="array" aca="1" ref="N714" ca="1">IF(AND(G714=INDIRECT("'["&amp;G714&amp;"]"&amp;E714&amp;"'!"&amp;$AH$2),OR(K714=INDIRECT("'["&amp;G714&amp;"]"&amp;E714&amp;"'!"&amp;$Z$2))),INDIRECT("'["&amp;G714&amp;"]"&amp;E714&amp;"'!"&amp;$Z$3),0)</f>
        <v>#VALUE!</v>
      </c>
      <c r="O714" s="34" t="e" cm="1">
        <f t="array" aca="1" ref="O714" ca="1">IF(AND(G714=INDIRECT("'["&amp;G714&amp;"]"&amp;E714&amp;"'!"&amp;$AH$2),OR(L714=INDIRECT("'["&amp;G714&amp;"]"&amp;E714&amp;"'!"&amp;$AA$2))),INDIRECT("'["&amp;G714&amp;"]"&amp;E714&amp;"'!"&amp;$AA$3),0)</f>
        <v>#VALUE!</v>
      </c>
      <c r="P714" s="34" t="e" cm="1">
        <f t="array" aca="1" ref="P714" ca="1">IF(AND(G714=INDIRECT("'["&amp;G714&amp;"]"&amp;E714&amp;"'!"&amp;$AH$2),OR(VALUE(I714)=INDIRECT("'["&amp;G714&amp;"]"&amp;E714&amp;"'!"&amp;$AB$2))),INDIRECT("'["&amp;G714&amp;"]"&amp;E714&amp;"'!"&amp;$AB$3),0)</f>
        <v>#VALUE!</v>
      </c>
      <c r="Q714" s="34" t="e" cm="1">
        <f t="array" aca="1" ref="Q714" ca="1">IF(AND(G714=INDIRECT("'["&amp;G714&amp;"]"&amp;E714&amp;"'!"&amp;$AH$2),OR(VALUE(I714)=INDIRECT("'["&amp;G714&amp;"]"&amp;E714&amp;"'!"&amp;$AC$2))),INDIRECT("'["&amp;G714&amp;"]"&amp;E714&amp;"'!"&amp;$AC$3),0)</f>
        <v>#VALUE!</v>
      </c>
      <c r="R714" s="34" t="e" cm="1">
        <f t="array" aca="1" ref="R714" ca="1">IF(AND(G714=INDIRECT("'["&amp;G714&amp;"]"&amp;E714&amp;"'!"&amp;$AH$2),OR(I714=INDIRECT("'["&amp;G714&amp;"]"&amp;E714&amp;"'!"&amp;$AD$2))),INDIRECT("'["&amp;G714&amp;"]"&amp;E714&amp;"'!"&amp;$AD$3),0)</f>
        <v>#VALUE!</v>
      </c>
      <c r="S714" s="34" t="e" cm="1">
        <f t="array" aca="1" ref="S714" ca="1">IF(AND(G714=INDIRECT("'["&amp;G714&amp;"]"&amp;E714&amp;"'!"&amp;$AH$2),OR(I714=INDIRECT("'["&amp;G714&amp;"]"&amp;E714&amp;"'!"&amp;$AE$2))),INDIRECT("'["&amp;G714&amp;"]"&amp;E714&amp;"'!"&amp;$AE$3),0)</f>
        <v>#VALUE!</v>
      </c>
      <c r="T714" s="35" t="e" cm="1">
        <f t="array" aca="1" ref="T714" ca="1">IF(AND(G714=INDIRECT("'["&amp;G714&amp;"]"&amp;E714&amp;"'!"&amp;$AH$2),OR(I714=INDIRECT("'["&amp;G714&amp;"]"&amp;E714&amp;"'!"&amp;$AF$2))),INDIRECT("'["&amp;G714&amp;"]"&amp;E714&amp;"'!"&amp;$AF$3),0)</f>
        <v>#VALUE!</v>
      </c>
      <c r="U714" s="34" t="e" cm="1">
        <f t="array" aca="1" ref="U714" ca="1">IF(AND(G714=INDIRECT("'["&amp;G714&amp;"]"&amp;E714&amp;"'!"&amp;$AH$2),OR(I714=INDIRECT("'["&amp;G714&amp;"]"&amp;E714&amp;"'!"&amp;$AG$2))),INDIRECT("'["&amp;G714&amp;"]"&amp;E714&amp;"'!"&amp;$AG$3),0)</f>
        <v>#VALUE!</v>
      </c>
      <c r="V714" s="25" t="str">
        <f t="shared" si="197"/>
        <v/>
      </c>
      <c r="W714" s="36" t="e" cm="1">
        <f t="array" aca="1" ref="W714" ca="1">IF(AND(G714=INDIRECT("'["&amp;G714&amp;"]"&amp;E714&amp;"'!"&amp;$AH$2),OR(V714=INDIRECT("'["&amp;G714&amp;"]"&amp;E714&amp;"'!"&amp;$AI$2))),INDIRECT("'["&amp;G714&amp;"]"&amp;E714&amp;"'!"&amp;$AI$3),0)</f>
        <v>#VALUE!</v>
      </c>
      <c r="AJ714" s="25">
        <v>1</v>
      </c>
      <c r="AK714" s="38">
        <f t="shared" ca="1" si="198"/>
        <v>0</v>
      </c>
      <c r="AL714" s="38">
        <f t="shared" ca="1" si="199"/>
        <v>0</v>
      </c>
      <c r="AM714" s="54" t="str">
        <f t="shared" ca="1" si="200"/>
        <v/>
      </c>
      <c r="AN714" s="25" t="e">
        <f t="shared" ca="1" si="201"/>
        <v>#VALUE!</v>
      </c>
      <c r="AO714" s="25" t="e">
        <f t="shared" ca="1" si="202"/>
        <v>#VALUE!</v>
      </c>
      <c r="AQ714" s="46" t="str">
        <f ca="1">IF(AND(C714&lt;&gt;0, C715=0), SUM($C$2:C714)-SUM($AQ$1:AQ713), "")</f>
        <v/>
      </c>
      <c r="AR714" s="46" t="str">
        <f ca="1">IF(AND(AK714&lt;&gt;0, AK715=0), SUM($AK$2:AK714)-SUM($AR$1:AR713), "")</f>
        <v/>
      </c>
    </row>
    <row r="715" spans="2:44" ht="13.15" customHeight="1">
      <c r="B715" s="68" t="str">
        <f t="shared" si="188"/>
        <v/>
      </c>
      <c r="C715" s="55" cm="1">
        <f t="array" aca="1" ref="C715" ca="1">SUM(IF(ISNUMBER(M715:U715),M715:U715,""))</f>
        <v>0</v>
      </c>
      <c r="D715" s="25" t="str">
        <f t="shared" si="189"/>
        <v/>
      </c>
      <c r="E715" s="25" t="e">
        <f t="shared" si="190"/>
        <v>#VALUE!</v>
      </c>
      <c r="F715" s="25" t="str">
        <f t="shared" si="191"/>
        <v/>
      </c>
      <c r="G715" s="25" t="str">
        <f t="shared" si="192"/>
        <v>.xlsx</v>
      </c>
      <c r="H715" s="29" t="e" cm="1">
        <f t="array" aca="1" ref="H715" ca="1">IF(AND(VALUE(E715)=INDIRECT("'["&amp;G715&amp;"]"&amp;E715&amp;"'!"&amp;$X$2),G715=INDIRECT("'["&amp;G715&amp;"]"&amp;E715&amp;"'!"&amp;$X$3)),INDIRECT("'["&amp;G715&amp;"]"&amp;E715&amp;"'!"&amp;$X$1),0)</f>
        <v>#VALUE!</v>
      </c>
      <c r="I715" s="25" t="str">
        <f t="shared" si="193"/>
        <v/>
      </c>
      <c r="J715" s="32" t="str">
        <f t="shared" si="194"/>
        <v/>
      </c>
      <c r="K715" s="25" t="str">
        <f t="shared" si="195"/>
        <v/>
      </c>
      <c r="L715" s="25" t="str">
        <f t="shared" si="196"/>
        <v/>
      </c>
      <c r="M715" s="33" t="e" cm="1">
        <f t="array" aca="1" ref="M715" ca="1">IF(AND(J715=INDIRECT("'["&amp;G715&amp;"]"&amp;E715&amp;"'!"&amp;$Y$2),G715=INDIRECT("'["&amp;G715&amp;"]"&amp;E715&amp;"'!"&amp;$AH$2)),INDIRECT("'["&amp;G715&amp;"]"&amp;E715&amp;"'!"&amp;$Y$3),0)</f>
        <v>#VALUE!</v>
      </c>
      <c r="N715" s="34" t="e" cm="1">
        <f t="array" aca="1" ref="N715" ca="1">IF(AND(G715=INDIRECT("'["&amp;G715&amp;"]"&amp;E715&amp;"'!"&amp;$AH$2),OR(K715=INDIRECT("'["&amp;G715&amp;"]"&amp;E715&amp;"'!"&amp;$Z$2))),INDIRECT("'["&amp;G715&amp;"]"&amp;E715&amp;"'!"&amp;$Z$3),0)</f>
        <v>#VALUE!</v>
      </c>
      <c r="O715" s="34" t="e" cm="1">
        <f t="array" aca="1" ref="O715" ca="1">IF(AND(G715=INDIRECT("'["&amp;G715&amp;"]"&amp;E715&amp;"'!"&amp;$AH$2),OR(L715=INDIRECT("'["&amp;G715&amp;"]"&amp;E715&amp;"'!"&amp;$AA$2))),INDIRECT("'["&amp;G715&amp;"]"&amp;E715&amp;"'!"&amp;$AA$3),0)</f>
        <v>#VALUE!</v>
      </c>
      <c r="P715" s="34" t="e" cm="1">
        <f t="array" aca="1" ref="P715" ca="1">IF(AND(G715=INDIRECT("'["&amp;G715&amp;"]"&amp;E715&amp;"'!"&amp;$AH$2),OR(VALUE(I715)=INDIRECT("'["&amp;G715&amp;"]"&amp;E715&amp;"'!"&amp;$AB$2))),INDIRECT("'["&amp;G715&amp;"]"&amp;E715&amp;"'!"&amp;$AB$3),0)</f>
        <v>#VALUE!</v>
      </c>
      <c r="Q715" s="34" t="e" cm="1">
        <f t="array" aca="1" ref="Q715" ca="1">IF(AND(G715=INDIRECT("'["&amp;G715&amp;"]"&amp;E715&amp;"'!"&amp;$AH$2),OR(VALUE(I715)=INDIRECT("'["&amp;G715&amp;"]"&amp;E715&amp;"'!"&amp;$AC$2))),INDIRECT("'["&amp;G715&amp;"]"&amp;E715&amp;"'!"&amp;$AC$3),0)</f>
        <v>#VALUE!</v>
      </c>
      <c r="R715" s="34" t="e" cm="1">
        <f t="array" aca="1" ref="R715" ca="1">IF(AND(G715=INDIRECT("'["&amp;G715&amp;"]"&amp;E715&amp;"'!"&amp;$AH$2),OR(I715=INDIRECT("'["&amp;G715&amp;"]"&amp;E715&amp;"'!"&amp;$AD$2))),INDIRECT("'["&amp;G715&amp;"]"&amp;E715&amp;"'!"&amp;$AD$3),0)</f>
        <v>#VALUE!</v>
      </c>
      <c r="S715" s="34" t="e" cm="1">
        <f t="array" aca="1" ref="S715" ca="1">IF(AND(G715=INDIRECT("'["&amp;G715&amp;"]"&amp;E715&amp;"'!"&amp;$AH$2),OR(I715=INDIRECT("'["&amp;G715&amp;"]"&amp;E715&amp;"'!"&amp;$AE$2))),INDIRECT("'["&amp;G715&amp;"]"&amp;E715&amp;"'!"&amp;$AE$3),0)</f>
        <v>#VALUE!</v>
      </c>
      <c r="T715" s="35" t="e" cm="1">
        <f t="array" aca="1" ref="T715" ca="1">IF(AND(G715=INDIRECT("'["&amp;G715&amp;"]"&amp;E715&amp;"'!"&amp;$AH$2),OR(I715=INDIRECT("'["&amp;G715&amp;"]"&amp;E715&amp;"'!"&amp;$AF$2))),INDIRECT("'["&amp;G715&amp;"]"&amp;E715&amp;"'!"&amp;$AF$3),0)</f>
        <v>#VALUE!</v>
      </c>
      <c r="U715" s="34" t="e" cm="1">
        <f t="array" aca="1" ref="U715" ca="1">IF(AND(G715=INDIRECT("'["&amp;G715&amp;"]"&amp;E715&amp;"'!"&amp;$AH$2),OR(I715=INDIRECT("'["&amp;G715&amp;"]"&amp;E715&amp;"'!"&amp;$AG$2))),INDIRECT("'["&amp;G715&amp;"]"&amp;E715&amp;"'!"&amp;$AG$3),0)</f>
        <v>#VALUE!</v>
      </c>
      <c r="V715" s="25" t="str">
        <f t="shared" si="197"/>
        <v/>
      </c>
      <c r="W715" s="36" t="e" cm="1">
        <f t="array" aca="1" ref="W715" ca="1">IF(AND(G715=INDIRECT("'["&amp;G715&amp;"]"&amp;E715&amp;"'!"&amp;$AH$2),OR(V715=INDIRECT("'["&amp;G715&amp;"]"&amp;E715&amp;"'!"&amp;$AI$2))),INDIRECT("'["&amp;G715&amp;"]"&amp;E715&amp;"'!"&amp;$AI$3),0)</f>
        <v>#VALUE!</v>
      </c>
      <c r="AJ715" s="25">
        <v>1</v>
      </c>
      <c r="AK715" s="38">
        <f t="shared" ca="1" si="198"/>
        <v>0</v>
      </c>
      <c r="AL715" s="38">
        <f t="shared" ca="1" si="199"/>
        <v>0</v>
      </c>
      <c r="AM715" s="54" t="str">
        <f t="shared" ca="1" si="200"/>
        <v/>
      </c>
      <c r="AN715" s="25" t="e">
        <f t="shared" ca="1" si="201"/>
        <v>#VALUE!</v>
      </c>
      <c r="AO715" s="25" t="e">
        <f t="shared" ca="1" si="202"/>
        <v>#VALUE!</v>
      </c>
      <c r="AQ715" s="46" t="str">
        <f ca="1">IF(AND(C715&lt;&gt;0, C716=0), SUM($C$2:C715)-SUM($AQ$1:AQ714), "")</f>
        <v/>
      </c>
      <c r="AR715" s="46" t="str">
        <f ca="1">IF(AND(AK715&lt;&gt;0, AK716=0), SUM($AK$2:AK715)-SUM($AR$1:AR714), "")</f>
        <v/>
      </c>
    </row>
    <row r="716" spans="2:44" ht="13.15" customHeight="1">
      <c r="B716" s="68" t="str">
        <f t="shared" si="188"/>
        <v/>
      </c>
      <c r="C716" s="55" cm="1">
        <f t="array" aca="1" ref="C716" ca="1">SUM(IF(ISNUMBER(M716:U716),M716:U716,""))</f>
        <v>0</v>
      </c>
      <c r="D716" s="25" t="str">
        <f t="shared" si="189"/>
        <v/>
      </c>
      <c r="E716" s="25" t="e">
        <f t="shared" si="190"/>
        <v>#VALUE!</v>
      </c>
      <c r="F716" s="25" t="str">
        <f t="shared" si="191"/>
        <v/>
      </c>
      <c r="G716" s="25" t="str">
        <f t="shared" si="192"/>
        <v>.xlsx</v>
      </c>
      <c r="H716" s="29" t="e" cm="1">
        <f t="array" aca="1" ref="H716" ca="1">IF(AND(VALUE(E716)=INDIRECT("'["&amp;G716&amp;"]"&amp;E716&amp;"'!"&amp;$X$2),G716=INDIRECT("'["&amp;G716&amp;"]"&amp;E716&amp;"'!"&amp;$X$3)),INDIRECT("'["&amp;G716&amp;"]"&amp;E716&amp;"'!"&amp;$X$1),0)</f>
        <v>#VALUE!</v>
      </c>
      <c r="I716" s="25" t="str">
        <f t="shared" si="193"/>
        <v/>
      </c>
      <c r="J716" s="32" t="str">
        <f t="shared" si="194"/>
        <v/>
      </c>
      <c r="K716" s="25" t="str">
        <f t="shared" si="195"/>
        <v/>
      </c>
      <c r="L716" s="25" t="str">
        <f t="shared" si="196"/>
        <v/>
      </c>
      <c r="M716" s="33" t="e" cm="1">
        <f t="array" aca="1" ref="M716" ca="1">IF(AND(J716=INDIRECT("'["&amp;G716&amp;"]"&amp;E716&amp;"'!"&amp;$Y$2),G716=INDIRECT("'["&amp;G716&amp;"]"&amp;E716&amp;"'!"&amp;$AH$2)),INDIRECT("'["&amp;G716&amp;"]"&amp;E716&amp;"'!"&amp;$Y$3),0)</f>
        <v>#VALUE!</v>
      </c>
      <c r="N716" s="34" t="e" cm="1">
        <f t="array" aca="1" ref="N716" ca="1">IF(AND(G716=INDIRECT("'["&amp;G716&amp;"]"&amp;E716&amp;"'!"&amp;$AH$2),OR(K716=INDIRECT("'["&amp;G716&amp;"]"&amp;E716&amp;"'!"&amp;$Z$2))),INDIRECT("'["&amp;G716&amp;"]"&amp;E716&amp;"'!"&amp;$Z$3),0)</f>
        <v>#VALUE!</v>
      </c>
      <c r="O716" s="34" t="e" cm="1">
        <f t="array" aca="1" ref="O716" ca="1">IF(AND(G716=INDIRECT("'["&amp;G716&amp;"]"&amp;E716&amp;"'!"&amp;$AH$2),OR(L716=INDIRECT("'["&amp;G716&amp;"]"&amp;E716&amp;"'!"&amp;$AA$2))),INDIRECT("'["&amp;G716&amp;"]"&amp;E716&amp;"'!"&amp;$AA$3),0)</f>
        <v>#VALUE!</v>
      </c>
      <c r="P716" s="34" t="e" cm="1">
        <f t="array" aca="1" ref="P716" ca="1">IF(AND(G716=INDIRECT("'["&amp;G716&amp;"]"&amp;E716&amp;"'!"&amp;$AH$2),OR(VALUE(I716)=INDIRECT("'["&amp;G716&amp;"]"&amp;E716&amp;"'!"&amp;$AB$2))),INDIRECT("'["&amp;G716&amp;"]"&amp;E716&amp;"'!"&amp;$AB$3),0)</f>
        <v>#VALUE!</v>
      </c>
      <c r="Q716" s="34" t="e" cm="1">
        <f t="array" aca="1" ref="Q716" ca="1">IF(AND(G716=INDIRECT("'["&amp;G716&amp;"]"&amp;E716&amp;"'!"&amp;$AH$2),OR(VALUE(I716)=INDIRECT("'["&amp;G716&amp;"]"&amp;E716&amp;"'!"&amp;$AC$2))),INDIRECT("'["&amp;G716&amp;"]"&amp;E716&amp;"'!"&amp;$AC$3),0)</f>
        <v>#VALUE!</v>
      </c>
      <c r="R716" s="34" t="e" cm="1">
        <f t="array" aca="1" ref="R716" ca="1">IF(AND(G716=INDIRECT("'["&amp;G716&amp;"]"&amp;E716&amp;"'!"&amp;$AH$2),OR(I716=INDIRECT("'["&amp;G716&amp;"]"&amp;E716&amp;"'!"&amp;$AD$2))),INDIRECT("'["&amp;G716&amp;"]"&amp;E716&amp;"'!"&amp;$AD$3),0)</f>
        <v>#VALUE!</v>
      </c>
      <c r="S716" s="34" t="e" cm="1">
        <f t="array" aca="1" ref="S716" ca="1">IF(AND(G716=INDIRECT("'["&amp;G716&amp;"]"&amp;E716&amp;"'!"&amp;$AH$2),OR(I716=INDIRECT("'["&amp;G716&amp;"]"&amp;E716&amp;"'!"&amp;$AE$2))),INDIRECT("'["&amp;G716&amp;"]"&amp;E716&amp;"'!"&amp;$AE$3),0)</f>
        <v>#VALUE!</v>
      </c>
      <c r="T716" s="35" t="e" cm="1">
        <f t="array" aca="1" ref="T716" ca="1">IF(AND(G716=INDIRECT("'["&amp;G716&amp;"]"&amp;E716&amp;"'!"&amp;$AH$2),OR(I716=INDIRECT("'["&amp;G716&amp;"]"&amp;E716&amp;"'!"&amp;$AF$2))),INDIRECT("'["&amp;G716&amp;"]"&amp;E716&amp;"'!"&amp;$AF$3),0)</f>
        <v>#VALUE!</v>
      </c>
      <c r="U716" s="34" t="e" cm="1">
        <f t="array" aca="1" ref="U716" ca="1">IF(AND(G716=INDIRECT("'["&amp;G716&amp;"]"&amp;E716&amp;"'!"&amp;$AH$2),OR(I716=INDIRECT("'["&amp;G716&amp;"]"&amp;E716&amp;"'!"&amp;$AG$2))),INDIRECT("'["&amp;G716&amp;"]"&amp;E716&amp;"'!"&amp;$AG$3),0)</f>
        <v>#VALUE!</v>
      </c>
      <c r="V716" s="25" t="str">
        <f t="shared" si="197"/>
        <v/>
      </c>
      <c r="W716" s="36" t="e" cm="1">
        <f t="array" aca="1" ref="W716" ca="1">IF(AND(G716=INDIRECT("'["&amp;G716&amp;"]"&amp;E716&amp;"'!"&amp;$AH$2),OR(V716=INDIRECT("'["&amp;G716&amp;"]"&amp;E716&amp;"'!"&amp;$AI$2))),INDIRECT("'["&amp;G716&amp;"]"&amp;E716&amp;"'!"&amp;$AI$3),0)</f>
        <v>#VALUE!</v>
      </c>
      <c r="AJ716" s="25">
        <v>1</v>
      </c>
      <c r="AK716" s="38">
        <f t="shared" ca="1" si="198"/>
        <v>0</v>
      </c>
      <c r="AL716" s="38">
        <f t="shared" ca="1" si="199"/>
        <v>0</v>
      </c>
      <c r="AM716" s="54" t="str">
        <f t="shared" ca="1" si="200"/>
        <v/>
      </c>
      <c r="AN716" s="25" t="e">
        <f t="shared" ca="1" si="201"/>
        <v>#VALUE!</v>
      </c>
      <c r="AO716" s="25" t="e">
        <f t="shared" ca="1" si="202"/>
        <v>#VALUE!</v>
      </c>
      <c r="AQ716" s="46" t="str">
        <f ca="1">IF(AND(C716&lt;&gt;0, C717=0), SUM($C$2:C716)-SUM($AQ$1:AQ715), "")</f>
        <v/>
      </c>
      <c r="AR716" s="46" t="str">
        <f ca="1">IF(AND(AK716&lt;&gt;0, AK717=0), SUM($AK$2:AK716)-SUM($AR$1:AR715), "")</f>
        <v/>
      </c>
    </row>
    <row r="717" spans="2:44" ht="13.15" customHeight="1">
      <c r="B717" s="68" t="str">
        <f t="shared" si="188"/>
        <v/>
      </c>
      <c r="C717" s="55" cm="1">
        <f t="array" aca="1" ref="C717" ca="1">SUM(IF(ISNUMBER(M717:U717),M717:U717,""))</f>
        <v>0</v>
      </c>
      <c r="D717" s="25" t="str">
        <f t="shared" si="189"/>
        <v/>
      </c>
      <c r="E717" s="25" t="e">
        <f t="shared" si="190"/>
        <v>#VALUE!</v>
      </c>
      <c r="F717" s="25" t="str">
        <f t="shared" si="191"/>
        <v/>
      </c>
      <c r="G717" s="25" t="str">
        <f t="shared" si="192"/>
        <v>.xlsx</v>
      </c>
      <c r="H717" s="29" t="e" cm="1">
        <f t="array" aca="1" ref="H717" ca="1">IF(AND(VALUE(E717)=INDIRECT("'["&amp;G717&amp;"]"&amp;E717&amp;"'!"&amp;$X$2),G717=INDIRECT("'["&amp;G717&amp;"]"&amp;E717&amp;"'!"&amp;$X$3)),INDIRECT("'["&amp;G717&amp;"]"&amp;E717&amp;"'!"&amp;$X$1),0)</f>
        <v>#VALUE!</v>
      </c>
      <c r="I717" s="25" t="str">
        <f t="shared" si="193"/>
        <v/>
      </c>
      <c r="J717" s="32" t="str">
        <f t="shared" si="194"/>
        <v/>
      </c>
      <c r="K717" s="25" t="str">
        <f t="shared" si="195"/>
        <v/>
      </c>
      <c r="L717" s="25" t="str">
        <f t="shared" si="196"/>
        <v/>
      </c>
      <c r="M717" s="33" t="e" cm="1">
        <f t="array" aca="1" ref="M717" ca="1">IF(AND(J717=INDIRECT("'["&amp;G717&amp;"]"&amp;E717&amp;"'!"&amp;$Y$2),G717=INDIRECT("'["&amp;G717&amp;"]"&amp;E717&amp;"'!"&amp;$AH$2)),INDIRECT("'["&amp;G717&amp;"]"&amp;E717&amp;"'!"&amp;$Y$3),0)</f>
        <v>#VALUE!</v>
      </c>
      <c r="N717" s="34" t="e" cm="1">
        <f t="array" aca="1" ref="N717" ca="1">IF(AND(G717=INDIRECT("'["&amp;G717&amp;"]"&amp;E717&amp;"'!"&amp;$AH$2),OR(K717=INDIRECT("'["&amp;G717&amp;"]"&amp;E717&amp;"'!"&amp;$Z$2))),INDIRECT("'["&amp;G717&amp;"]"&amp;E717&amp;"'!"&amp;$Z$3),0)</f>
        <v>#VALUE!</v>
      </c>
      <c r="O717" s="34" t="e" cm="1">
        <f t="array" aca="1" ref="O717" ca="1">IF(AND(G717=INDIRECT("'["&amp;G717&amp;"]"&amp;E717&amp;"'!"&amp;$AH$2),OR(L717=INDIRECT("'["&amp;G717&amp;"]"&amp;E717&amp;"'!"&amp;$AA$2))),INDIRECT("'["&amp;G717&amp;"]"&amp;E717&amp;"'!"&amp;$AA$3),0)</f>
        <v>#VALUE!</v>
      </c>
      <c r="P717" s="34" t="e" cm="1">
        <f t="array" aca="1" ref="P717" ca="1">IF(AND(G717=INDIRECT("'["&amp;G717&amp;"]"&amp;E717&amp;"'!"&amp;$AH$2),OR(VALUE(I717)=INDIRECT("'["&amp;G717&amp;"]"&amp;E717&amp;"'!"&amp;$AB$2))),INDIRECT("'["&amp;G717&amp;"]"&amp;E717&amp;"'!"&amp;$AB$3),0)</f>
        <v>#VALUE!</v>
      </c>
      <c r="Q717" s="34" t="e" cm="1">
        <f t="array" aca="1" ref="Q717" ca="1">IF(AND(G717=INDIRECT("'["&amp;G717&amp;"]"&amp;E717&amp;"'!"&amp;$AH$2),OR(VALUE(I717)=INDIRECT("'["&amp;G717&amp;"]"&amp;E717&amp;"'!"&amp;$AC$2))),INDIRECT("'["&amp;G717&amp;"]"&amp;E717&amp;"'!"&amp;$AC$3),0)</f>
        <v>#VALUE!</v>
      </c>
      <c r="R717" s="34" t="e" cm="1">
        <f t="array" aca="1" ref="R717" ca="1">IF(AND(G717=INDIRECT("'["&amp;G717&amp;"]"&amp;E717&amp;"'!"&amp;$AH$2),OR(I717=INDIRECT("'["&amp;G717&amp;"]"&amp;E717&amp;"'!"&amp;$AD$2))),INDIRECT("'["&amp;G717&amp;"]"&amp;E717&amp;"'!"&amp;$AD$3),0)</f>
        <v>#VALUE!</v>
      </c>
      <c r="S717" s="34" t="e" cm="1">
        <f t="array" aca="1" ref="S717" ca="1">IF(AND(G717=INDIRECT("'["&amp;G717&amp;"]"&amp;E717&amp;"'!"&amp;$AH$2),OR(I717=INDIRECT("'["&amp;G717&amp;"]"&amp;E717&amp;"'!"&amp;$AE$2))),INDIRECT("'["&amp;G717&amp;"]"&amp;E717&amp;"'!"&amp;$AE$3),0)</f>
        <v>#VALUE!</v>
      </c>
      <c r="T717" s="35" t="e" cm="1">
        <f t="array" aca="1" ref="T717" ca="1">IF(AND(G717=INDIRECT("'["&amp;G717&amp;"]"&amp;E717&amp;"'!"&amp;$AH$2),OR(I717=INDIRECT("'["&amp;G717&amp;"]"&amp;E717&amp;"'!"&amp;$AF$2))),INDIRECT("'["&amp;G717&amp;"]"&amp;E717&amp;"'!"&amp;$AF$3),0)</f>
        <v>#VALUE!</v>
      </c>
      <c r="U717" s="34" t="e" cm="1">
        <f t="array" aca="1" ref="U717" ca="1">IF(AND(G717=INDIRECT("'["&amp;G717&amp;"]"&amp;E717&amp;"'!"&amp;$AH$2),OR(I717=INDIRECT("'["&amp;G717&amp;"]"&amp;E717&amp;"'!"&amp;$AG$2))),INDIRECT("'["&amp;G717&amp;"]"&amp;E717&amp;"'!"&amp;$AG$3),0)</f>
        <v>#VALUE!</v>
      </c>
      <c r="V717" s="25" t="str">
        <f t="shared" si="197"/>
        <v/>
      </c>
      <c r="W717" s="36" t="e" cm="1">
        <f t="array" aca="1" ref="W717" ca="1">IF(AND(G717=INDIRECT("'["&amp;G717&amp;"]"&amp;E717&amp;"'!"&amp;$AH$2),OR(V717=INDIRECT("'["&amp;G717&amp;"]"&amp;E717&amp;"'!"&amp;$AI$2))),INDIRECT("'["&amp;G717&amp;"]"&amp;E717&amp;"'!"&amp;$AI$3),0)</f>
        <v>#VALUE!</v>
      </c>
      <c r="AJ717" s="25">
        <v>1</v>
      </c>
      <c r="AK717" s="38">
        <f t="shared" ca="1" si="198"/>
        <v>0</v>
      </c>
      <c r="AL717" s="38">
        <f t="shared" ca="1" si="199"/>
        <v>0</v>
      </c>
      <c r="AM717" s="54" t="str">
        <f t="shared" ca="1" si="200"/>
        <v/>
      </c>
      <c r="AN717" s="25" t="e">
        <f t="shared" ca="1" si="201"/>
        <v>#VALUE!</v>
      </c>
      <c r="AO717" s="25" t="e">
        <f t="shared" ca="1" si="202"/>
        <v>#VALUE!</v>
      </c>
      <c r="AQ717" s="46" t="str">
        <f ca="1">IF(AND(C717&lt;&gt;0, C718=0), SUM($C$2:C717)-SUM($AQ$1:AQ716), "")</f>
        <v/>
      </c>
      <c r="AR717" s="46" t="str">
        <f ca="1">IF(AND(AK717&lt;&gt;0, AK718=0), SUM($AK$2:AK717)-SUM($AR$1:AR716), "")</f>
        <v/>
      </c>
    </row>
    <row r="718" spans="2:44" ht="13.15" customHeight="1">
      <c r="B718" s="68" t="str">
        <f t="shared" si="188"/>
        <v/>
      </c>
      <c r="C718" s="55" cm="1">
        <f t="array" aca="1" ref="C718" ca="1">SUM(IF(ISNUMBER(M718:U718),M718:U718,""))</f>
        <v>0</v>
      </c>
      <c r="D718" s="25" t="str">
        <f t="shared" si="189"/>
        <v/>
      </c>
      <c r="E718" s="25" t="e">
        <f t="shared" si="190"/>
        <v>#VALUE!</v>
      </c>
      <c r="F718" s="25" t="str">
        <f t="shared" si="191"/>
        <v/>
      </c>
      <c r="G718" s="25" t="str">
        <f t="shared" si="192"/>
        <v>.xlsx</v>
      </c>
      <c r="H718" s="29" t="e" cm="1">
        <f t="array" aca="1" ref="H718" ca="1">IF(AND(VALUE(E718)=INDIRECT("'["&amp;G718&amp;"]"&amp;E718&amp;"'!"&amp;$X$2),G718=INDIRECT("'["&amp;G718&amp;"]"&amp;E718&amp;"'!"&amp;$X$3)),INDIRECT("'["&amp;G718&amp;"]"&amp;E718&amp;"'!"&amp;$X$1),0)</f>
        <v>#VALUE!</v>
      </c>
      <c r="I718" s="25" t="str">
        <f t="shared" si="193"/>
        <v/>
      </c>
      <c r="J718" s="32" t="str">
        <f t="shared" si="194"/>
        <v/>
      </c>
      <c r="K718" s="25" t="str">
        <f t="shared" si="195"/>
        <v/>
      </c>
      <c r="L718" s="25" t="str">
        <f t="shared" si="196"/>
        <v/>
      </c>
      <c r="M718" s="33" t="e" cm="1">
        <f t="array" aca="1" ref="M718" ca="1">IF(AND(J718=INDIRECT("'["&amp;G718&amp;"]"&amp;E718&amp;"'!"&amp;$Y$2),G718=INDIRECT("'["&amp;G718&amp;"]"&amp;E718&amp;"'!"&amp;$AH$2)),INDIRECT("'["&amp;G718&amp;"]"&amp;E718&amp;"'!"&amp;$Y$3),0)</f>
        <v>#VALUE!</v>
      </c>
      <c r="N718" s="34" t="e" cm="1">
        <f t="array" aca="1" ref="N718" ca="1">IF(AND(G718=INDIRECT("'["&amp;G718&amp;"]"&amp;E718&amp;"'!"&amp;$AH$2),OR(K718=INDIRECT("'["&amp;G718&amp;"]"&amp;E718&amp;"'!"&amp;$Z$2))),INDIRECT("'["&amp;G718&amp;"]"&amp;E718&amp;"'!"&amp;$Z$3),0)</f>
        <v>#VALUE!</v>
      </c>
      <c r="O718" s="34" t="e" cm="1">
        <f t="array" aca="1" ref="O718" ca="1">IF(AND(G718=INDIRECT("'["&amp;G718&amp;"]"&amp;E718&amp;"'!"&amp;$AH$2),OR(L718=INDIRECT("'["&amp;G718&amp;"]"&amp;E718&amp;"'!"&amp;$AA$2))),INDIRECT("'["&amp;G718&amp;"]"&amp;E718&amp;"'!"&amp;$AA$3),0)</f>
        <v>#VALUE!</v>
      </c>
      <c r="P718" s="34" t="e" cm="1">
        <f t="array" aca="1" ref="P718" ca="1">IF(AND(G718=INDIRECT("'["&amp;G718&amp;"]"&amp;E718&amp;"'!"&amp;$AH$2),OR(VALUE(I718)=INDIRECT("'["&amp;G718&amp;"]"&amp;E718&amp;"'!"&amp;$AB$2))),INDIRECT("'["&amp;G718&amp;"]"&amp;E718&amp;"'!"&amp;$AB$3),0)</f>
        <v>#VALUE!</v>
      </c>
      <c r="Q718" s="34" t="e" cm="1">
        <f t="array" aca="1" ref="Q718" ca="1">IF(AND(G718=INDIRECT("'["&amp;G718&amp;"]"&amp;E718&amp;"'!"&amp;$AH$2),OR(VALUE(I718)=INDIRECT("'["&amp;G718&amp;"]"&amp;E718&amp;"'!"&amp;$AC$2))),INDIRECT("'["&amp;G718&amp;"]"&amp;E718&amp;"'!"&amp;$AC$3),0)</f>
        <v>#VALUE!</v>
      </c>
      <c r="R718" s="34" t="e" cm="1">
        <f t="array" aca="1" ref="R718" ca="1">IF(AND(G718=INDIRECT("'["&amp;G718&amp;"]"&amp;E718&amp;"'!"&amp;$AH$2),OR(I718=INDIRECT("'["&amp;G718&amp;"]"&amp;E718&amp;"'!"&amp;$AD$2))),INDIRECT("'["&amp;G718&amp;"]"&amp;E718&amp;"'!"&amp;$AD$3),0)</f>
        <v>#VALUE!</v>
      </c>
      <c r="S718" s="34" t="e" cm="1">
        <f t="array" aca="1" ref="S718" ca="1">IF(AND(G718=INDIRECT("'["&amp;G718&amp;"]"&amp;E718&amp;"'!"&amp;$AH$2),OR(I718=INDIRECT("'["&amp;G718&amp;"]"&amp;E718&amp;"'!"&amp;$AE$2))),INDIRECT("'["&amp;G718&amp;"]"&amp;E718&amp;"'!"&amp;$AE$3),0)</f>
        <v>#VALUE!</v>
      </c>
      <c r="T718" s="35" t="e" cm="1">
        <f t="array" aca="1" ref="T718" ca="1">IF(AND(G718=INDIRECT("'["&amp;G718&amp;"]"&amp;E718&amp;"'!"&amp;$AH$2),OR(I718=INDIRECT("'["&amp;G718&amp;"]"&amp;E718&amp;"'!"&amp;$AF$2))),INDIRECT("'["&amp;G718&amp;"]"&amp;E718&amp;"'!"&amp;$AF$3),0)</f>
        <v>#VALUE!</v>
      </c>
      <c r="U718" s="34" t="e" cm="1">
        <f t="array" aca="1" ref="U718" ca="1">IF(AND(G718=INDIRECT("'["&amp;G718&amp;"]"&amp;E718&amp;"'!"&amp;$AH$2),OR(I718=INDIRECT("'["&amp;G718&amp;"]"&amp;E718&amp;"'!"&amp;$AG$2))),INDIRECT("'["&amp;G718&amp;"]"&amp;E718&amp;"'!"&amp;$AG$3),0)</f>
        <v>#VALUE!</v>
      </c>
      <c r="V718" s="25" t="str">
        <f t="shared" si="197"/>
        <v/>
      </c>
      <c r="W718" s="36" t="e" cm="1">
        <f t="array" aca="1" ref="W718" ca="1">IF(AND(G718=INDIRECT("'["&amp;G718&amp;"]"&amp;E718&amp;"'!"&amp;$AH$2),OR(V718=INDIRECT("'["&amp;G718&amp;"]"&amp;E718&amp;"'!"&amp;$AI$2))),INDIRECT("'["&amp;G718&amp;"]"&amp;E718&amp;"'!"&amp;$AI$3),0)</f>
        <v>#VALUE!</v>
      </c>
      <c r="AJ718" s="25">
        <v>1</v>
      </c>
      <c r="AK718" s="38">
        <f t="shared" ca="1" si="198"/>
        <v>0</v>
      </c>
      <c r="AL718" s="38">
        <f t="shared" ca="1" si="199"/>
        <v>0</v>
      </c>
      <c r="AM718" s="54" t="str">
        <f t="shared" ca="1" si="200"/>
        <v/>
      </c>
      <c r="AN718" s="25" t="e">
        <f t="shared" ca="1" si="201"/>
        <v>#VALUE!</v>
      </c>
      <c r="AO718" s="25" t="e">
        <f t="shared" ca="1" si="202"/>
        <v>#VALUE!</v>
      </c>
      <c r="AQ718" s="46" t="str">
        <f ca="1">IF(AND(C718&lt;&gt;0, C719=0), SUM($C$2:C718)-SUM($AQ$1:AQ717), "")</f>
        <v/>
      </c>
      <c r="AR718" s="46" t="str">
        <f ca="1">IF(AND(AK718&lt;&gt;0, AK719=0), SUM($AK$2:AK718)-SUM($AR$1:AR717), "")</f>
        <v/>
      </c>
    </row>
    <row r="719" spans="2:44" ht="13.15" customHeight="1">
      <c r="B719" s="68" t="str">
        <f t="shared" si="188"/>
        <v/>
      </c>
      <c r="C719" s="55" cm="1">
        <f t="array" aca="1" ref="C719" ca="1">SUM(IF(ISNUMBER(M719:U719),M719:U719,""))</f>
        <v>0</v>
      </c>
      <c r="D719" s="25" t="str">
        <f t="shared" si="189"/>
        <v/>
      </c>
      <c r="E719" s="25" t="e">
        <f t="shared" si="190"/>
        <v>#VALUE!</v>
      </c>
      <c r="F719" s="25" t="str">
        <f t="shared" si="191"/>
        <v/>
      </c>
      <c r="G719" s="25" t="str">
        <f t="shared" si="192"/>
        <v>.xlsx</v>
      </c>
      <c r="H719" s="29" t="e" cm="1">
        <f t="array" aca="1" ref="H719" ca="1">IF(AND(VALUE(E719)=INDIRECT("'["&amp;G719&amp;"]"&amp;E719&amp;"'!"&amp;$X$2),G719=INDIRECT("'["&amp;G719&amp;"]"&amp;E719&amp;"'!"&amp;$X$3)),INDIRECT("'["&amp;G719&amp;"]"&amp;E719&amp;"'!"&amp;$X$1),0)</f>
        <v>#VALUE!</v>
      </c>
      <c r="I719" s="25" t="str">
        <f t="shared" si="193"/>
        <v/>
      </c>
      <c r="J719" s="32" t="str">
        <f t="shared" si="194"/>
        <v/>
      </c>
      <c r="K719" s="25" t="str">
        <f t="shared" si="195"/>
        <v/>
      </c>
      <c r="L719" s="25" t="str">
        <f t="shared" si="196"/>
        <v/>
      </c>
      <c r="M719" s="33" t="e" cm="1">
        <f t="array" aca="1" ref="M719" ca="1">IF(AND(J719=INDIRECT("'["&amp;G719&amp;"]"&amp;E719&amp;"'!"&amp;$Y$2),G719=INDIRECT("'["&amp;G719&amp;"]"&amp;E719&amp;"'!"&amp;$AH$2)),INDIRECT("'["&amp;G719&amp;"]"&amp;E719&amp;"'!"&amp;$Y$3),0)</f>
        <v>#VALUE!</v>
      </c>
      <c r="N719" s="34" t="e" cm="1">
        <f t="array" aca="1" ref="N719" ca="1">IF(AND(G719=INDIRECT("'["&amp;G719&amp;"]"&amp;E719&amp;"'!"&amp;$AH$2),OR(K719=INDIRECT("'["&amp;G719&amp;"]"&amp;E719&amp;"'!"&amp;$Z$2))),INDIRECT("'["&amp;G719&amp;"]"&amp;E719&amp;"'!"&amp;$Z$3),0)</f>
        <v>#VALUE!</v>
      </c>
      <c r="O719" s="34" t="e" cm="1">
        <f t="array" aca="1" ref="O719" ca="1">IF(AND(G719=INDIRECT("'["&amp;G719&amp;"]"&amp;E719&amp;"'!"&amp;$AH$2),OR(L719=INDIRECT("'["&amp;G719&amp;"]"&amp;E719&amp;"'!"&amp;$AA$2))),INDIRECT("'["&amp;G719&amp;"]"&amp;E719&amp;"'!"&amp;$AA$3),0)</f>
        <v>#VALUE!</v>
      </c>
      <c r="P719" s="34" t="e" cm="1">
        <f t="array" aca="1" ref="P719" ca="1">IF(AND(G719=INDIRECT("'["&amp;G719&amp;"]"&amp;E719&amp;"'!"&amp;$AH$2),OR(VALUE(I719)=INDIRECT("'["&amp;G719&amp;"]"&amp;E719&amp;"'!"&amp;$AB$2))),INDIRECT("'["&amp;G719&amp;"]"&amp;E719&amp;"'!"&amp;$AB$3),0)</f>
        <v>#VALUE!</v>
      </c>
      <c r="Q719" s="34" t="e" cm="1">
        <f t="array" aca="1" ref="Q719" ca="1">IF(AND(G719=INDIRECT("'["&amp;G719&amp;"]"&amp;E719&amp;"'!"&amp;$AH$2),OR(VALUE(I719)=INDIRECT("'["&amp;G719&amp;"]"&amp;E719&amp;"'!"&amp;$AC$2))),INDIRECT("'["&amp;G719&amp;"]"&amp;E719&amp;"'!"&amp;$AC$3),0)</f>
        <v>#VALUE!</v>
      </c>
      <c r="R719" s="34" t="e" cm="1">
        <f t="array" aca="1" ref="R719" ca="1">IF(AND(G719=INDIRECT("'["&amp;G719&amp;"]"&amp;E719&amp;"'!"&amp;$AH$2),OR(I719=INDIRECT("'["&amp;G719&amp;"]"&amp;E719&amp;"'!"&amp;$AD$2))),INDIRECT("'["&amp;G719&amp;"]"&amp;E719&amp;"'!"&amp;$AD$3),0)</f>
        <v>#VALUE!</v>
      </c>
      <c r="S719" s="34" t="e" cm="1">
        <f t="array" aca="1" ref="S719" ca="1">IF(AND(G719=INDIRECT("'["&amp;G719&amp;"]"&amp;E719&amp;"'!"&amp;$AH$2),OR(I719=INDIRECT("'["&amp;G719&amp;"]"&amp;E719&amp;"'!"&amp;$AE$2))),INDIRECT("'["&amp;G719&amp;"]"&amp;E719&amp;"'!"&amp;$AE$3),0)</f>
        <v>#VALUE!</v>
      </c>
      <c r="T719" s="35" t="e" cm="1">
        <f t="array" aca="1" ref="T719" ca="1">IF(AND(G719=INDIRECT("'["&amp;G719&amp;"]"&amp;E719&amp;"'!"&amp;$AH$2),OR(I719=INDIRECT("'["&amp;G719&amp;"]"&amp;E719&amp;"'!"&amp;$AF$2))),INDIRECT("'["&amp;G719&amp;"]"&amp;E719&amp;"'!"&amp;$AF$3),0)</f>
        <v>#VALUE!</v>
      </c>
      <c r="U719" s="34" t="e" cm="1">
        <f t="array" aca="1" ref="U719" ca="1">IF(AND(G719=INDIRECT("'["&amp;G719&amp;"]"&amp;E719&amp;"'!"&amp;$AH$2),OR(I719=INDIRECT("'["&amp;G719&amp;"]"&amp;E719&amp;"'!"&amp;$AG$2))),INDIRECT("'["&amp;G719&amp;"]"&amp;E719&amp;"'!"&amp;$AG$3),0)</f>
        <v>#VALUE!</v>
      </c>
      <c r="V719" s="25" t="str">
        <f t="shared" si="197"/>
        <v/>
      </c>
      <c r="W719" s="36" t="e" cm="1">
        <f t="array" aca="1" ref="W719" ca="1">IF(AND(G719=INDIRECT("'["&amp;G719&amp;"]"&amp;E719&amp;"'!"&amp;$AH$2),OR(V719=INDIRECT("'["&amp;G719&amp;"]"&amp;E719&amp;"'!"&amp;$AI$2))),INDIRECT("'["&amp;G719&amp;"]"&amp;E719&amp;"'!"&amp;$AI$3),0)</f>
        <v>#VALUE!</v>
      </c>
      <c r="AJ719" s="25">
        <v>1</v>
      </c>
      <c r="AK719" s="38">
        <f t="shared" ca="1" si="198"/>
        <v>0</v>
      </c>
      <c r="AL719" s="38">
        <f t="shared" ca="1" si="199"/>
        <v>0</v>
      </c>
      <c r="AM719" s="54" t="str">
        <f t="shared" ca="1" si="200"/>
        <v/>
      </c>
      <c r="AN719" s="25" t="e">
        <f t="shared" ca="1" si="201"/>
        <v>#VALUE!</v>
      </c>
      <c r="AO719" s="25" t="e">
        <f t="shared" ca="1" si="202"/>
        <v>#VALUE!</v>
      </c>
      <c r="AQ719" s="46" t="str">
        <f ca="1">IF(AND(C719&lt;&gt;0, C720=0), SUM($C$2:C719)-SUM($AQ$1:AQ718), "")</f>
        <v/>
      </c>
      <c r="AR719" s="46" t="str">
        <f ca="1">IF(AND(AK719&lt;&gt;0, AK720=0), SUM($AK$2:AK719)-SUM($AR$1:AR718), "")</f>
        <v/>
      </c>
    </row>
    <row r="720" spans="2:44" ht="13.15" customHeight="1">
      <c r="B720" s="68" t="str">
        <f t="shared" si="188"/>
        <v/>
      </c>
      <c r="C720" s="55" cm="1">
        <f t="array" aca="1" ref="C720" ca="1">SUM(IF(ISNUMBER(M720:U720),M720:U720,""))</f>
        <v>0</v>
      </c>
      <c r="D720" s="25" t="str">
        <f t="shared" si="189"/>
        <v/>
      </c>
      <c r="E720" s="25" t="e">
        <f t="shared" si="190"/>
        <v>#VALUE!</v>
      </c>
      <c r="F720" s="25" t="str">
        <f t="shared" si="191"/>
        <v/>
      </c>
      <c r="G720" s="25" t="str">
        <f t="shared" si="192"/>
        <v>.xlsx</v>
      </c>
      <c r="H720" s="29" t="e" cm="1">
        <f t="array" aca="1" ref="H720" ca="1">IF(AND(VALUE(E720)=INDIRECT("'["&amp;G720&amp;"]"&amp;E720&amp;"'!"&amp;$X$2),G720=INDIRECT("'["&amp;G720&amp;"]"&amp;E720&amp;"'!"&amp;$X$3)),INDIRECT("'["&amp;G720&amp;"]"&amp;E720&amp;"'!"&amp;$X$1),0)</f>
        <v>#VALUE!</v>
      </c>
      <c r="I720" s="25" t="str">
        <f t="shared" si="193"/>
        <v/>
      </c>
      <c r="J720" s="32" t="str">
        <f t="shared" si="194"/>
        <v/>
      </c>
      <c r="K720" s="25" t="str">
        <f t="shared" si="195"/>
        <v/>
      </c>
      <c r="L720" s="25" t="str">
        <f t="shared" si="196"/>
        <v/>
      </c>
      <c r="M720" s="33" t="e" cm="1">
        <f t="array" aca="1" ref="M720" ca="1">IF(AND(J720=INDIRECT("'["&amp;G720&amp;"]"&amp;E720&amp;"'!"&amp;$Y$2),G720=INDIRECT("'["&amp;G720&amp;"]"&amp;E720&amp;"'!"&amp;$AH$2)),INDIRECT("'["&amp;G720&amp;"]"&amp;E720&amp;"'!"&amp;$Y$3),0)</f>
        <v>#VALUE!</v>
      </c>
      <c r="N720" s="34" t="e" cm="1">
        <f t="array" aca="1" ref="N720" ca="1">IF(AND(G720=INDIRECT("'["&amp;G720&amp;"]"&amp;E720&amp;"'!"&amp;$AH$2),OR(K720=INDIRECT("'["&amp;G720&amp;"]"&amp;E720&amp;"'!"&amp;$Z$2))),INDIRECT("'["&amp;G720&amp;"]"&amp;E720&amp;"'!"&amp;$Z$3),0)</f>
        <v>#VALUE!</v>
      </c>
      <c r="O720" s="34" t="e" cm="1">
        <f t="array" aca="1" ref="O720" ca="1">IF(AND(G720=INDIRECT("'["&amp;G720&amp;"]"&amp;E720&amp;"'!"&amp;$AH$2),OR(L720=INDIRECT("'["&amp;G720&amp;"]"&amp;E720&amp;"'!"&amp;$AA$2))),INDIRECT("'["&amp;G720&amp;"]"&amp;E720&amp;"'!"&amp;$AA$3),0)</f>
        <v>#VALUE!</v>
      </c>
      <c r="P720" s="34" t="e" cm="1">
        <f t="array" aca="1" ref="P720" ca="1">IF(AND(G720=INDIRECT("'["&amp;G720&amp;"]"&amp;E720&amp;"'!"&amp;$AH$2),OR(VALUE(I720)=INDIRECT("'["&amp;G720&amp;"]"&amp;E720&amp;"'!"&amp;$AB$2))),INDIRECT("'["&amp;G720&amp;"]"&amp;E720&amp;"'!"&amp;$AB$3),0)</f>
        <v>#VALUE!</v>
      </c>
      <c r="Q720" s="34" t="e" cm="1">
        <f t="array" aca="1" ref="Q720" ca="1">IF(AND(G720=INDIRECT("'["&amp;G720&amp;"]"&amp;E720&amp;"'!"&amp;$AH$2),OR(VALUE(I720)=INDIRECT("'["&amp;G720&amp;"]"&amp;E720&amp;"'!"&amp;$AC$2))),INDIRECT("'["&amp;G720&amp;"]"&amp;E720&amp;"'!"&amp;$AC$3),0)</f>
        <v>#VALUE!</v>
      </c>
      <c r="R720" s="34" t="e" cm="1">
        <f t="array" aca="1" ref="R720" ca="1">IF(AND(G720=INDIRECT("'["&amp;G720&amp;"]"&amp;E720&amp;"'!"&amp;$AH$2),OR(I720=INDIRECT("'["&amp;G720&amp;"]"&amp;E720&amp;"'!"&amp;$AD$2))),INDIRECT("'["&amp;G720&amp;"]"&amp;E720&amp;"'!"&amp;$AD$3),0)</f>
        <v>#VALUE!</v>
      </c>
      <c r="S720" s="34" t="e" cm="1">
        <f t="array" aca="1" ref="S720" ca="1">IF(AND(G720=INDIRECT("'["&amp;G720&amp;"]"&amp;E720&amp;"'!"&amp;$AH$2),OR(I720=INDIRECT("'["&amp;G720&amp;"]"&amp;E720&amp;"'!"&amp;$AE$2))),INDIRECT("'["&amp;G720&amp;"]"&amp;E720&amp;"'!"&amp;$AE$3),0)</f>
        <v>#VALUE!</v>
      </c>
      <c r="T720" s="35" t="e" cm="1">
        <f t="array" aca="1" ref="T720" ca="1">IF(AND(G720=INDIRECT("'["&amp;G720&amp;"]"&amp;E720&amp;"'!"&amp;$AH$2),OR(I720=INDIRECT("'["&amp;G720&amp;"]"&amp;E720&amp;"'!"&amp;$AF$2))),INDIRECT("'["&amp;G720&amp;"]"&amp;E720&amp;"'!"&amp;$AF$3),0)</f>
        <v>#VALUE!</v>
      </c>
      <c r="U720" s="34" t="e" cm="1">
        <f t="array" aca="1" ref="U720" ca="1">IF(AND(G720=INDIRECT("'["&amp;G720&amp;"]"&amp;E720&amp;"'!"&amp;$AH$2),OR(I720=INDIRECT("'["&amp;G720&amp;"]"&amp;E720&amp;"'!"&amp;$AG$2))),INDIRECT("'["&amp;G720&amp;"]"&amp;E720&amp;"'!"&amp;$AG$3),0)</f>
        <v>#VALUE!</v>
      </c>
      <c r="V720" s="25" t="str">
        <f t="shared" si="197"/>
        <v/>
      </c>
      <c r="W720" s="36" t="e" cm="1">
        <f t="array" aca="1" ref="W720" ca="1">IF(AND(G720=INDIRECT("'["&amp;G720&amp;"]"&amp;E720&amp;"'!"&amp;$AH$2),OR(V720=INDIRECT("'["&amp;G720&amp;"]"&amp;E720&amp;"'!"&amp;$AI$2))),INDIRECT("'["&amp;G720&amp;"]"&amp;E720&amp;"'!"&amp;$AI$3),0)</f>
        <v>#VALUE!</v>
      </c>
      <c r="AJ720" s="25">
        <v>1</v>
      </c>
      <c r="AK720" s="38">
        <f t="shared" ca="1" si="198"/>
        <v>0</v>
      </c>
      <c r="AL720" s="38">
        <f t="shared" ca="1" si="199"/>
        <v>0</v>
      </c>
      <c r="AM720" s="54" t="str">
        <f t="shared" ca="1" si="200"/>
        <v/>
      </c>
      <c r="AN720" s="25" t="e">
        <f t="shared" ca="1" si="201"/>
        <v>#VALUE!</v>
      </c>
      <c r="AO720" s="25" t="e">
        <f t="shared" ca="1" si="202"/>
        <v>#VALUE!</v>
      </c>
      <c r="AQ720" s="46" t="str">
        <f ca="1">IF(AND(C720&lt;&gt;0, C721=0), SUM($C$2:C720)-SUM($AQ$1:AQ719), "")</f>
        <v/>
      </c>
      <c r="AR720" s="46" t="str">
        <f ca="1">IF(AND(AK720&lt;&gt;0, AK721=0), SUM($AK$2:AK720)-SUM($AR$1:AR719), "")</f>
        <v/>
      </c>
    </row>
    <row r="721" spans="2:44" ht="13.15" customHeight="1">
      <c r="B721" s="68" t="str">
        <f t="shared" si="188"/>
        <v/>
      </c>
      <c r="C721" s="55" cm="1">
        <f t="array" aca="1" ref="C721" ca="1">SUM(IF(ISNUMBER(M721:U721),M721:U721,""))</f>
        <v>0</v>
      </c>
      <c r="D721" s="25" t="str">
        <f t="shared" si="189"/>
        <v/>
      </c>
      <c r="E721" s="25" t="e">
        <f t="shared" si="190"/>
        <v>#VALUE!</v>
      </c>
      <c r="F721" s="25" t="str">
        <f t="shared" si="191"/>
        <v/>
      </c>
      <c r="G721" s="25" t="str">
        <f t="shared" si="192"/>
        <v>.xlsx</v>
      </c>
      <c r="H721" s="29" t="e" cm="1">
        <f t="array" aca="1" ref="H721" ca="1">IF(AND(VALUE(E721)=INDIRECT("'["&amp;G721&amp;"]"&amp;E721&amp;"'!"&amp;$X$2),G721=INDIRECT("'["&amp;G721&amp;"]"&amp;E721&amp;"'!"&amp;$X$3)),INDIRECT("'["&amp;G721&amp;"]"&amp;E721&amp;"'!"&amp;$X$1),0)</f>
        <v>#VALUE!</v>
      </c>
      <c r="I721" s="25" t="str">
        <f t="shared" si="193"/>
        <v/>
      </c>
      <c r="J721" s="32" t="str">
        <f t="shared" si="194"/>
        <v/>
      </c>
      <c r="K721" s="25" t="str">
        <f t="shared" si="195"/>
        <v/>
      </c>
      <c r="L721" s="25" t="str">
        <f t="shared" si="196"/>
        <v/>
      </c>
      <c r="M721" s="33" t="e" cm="1">
        <f t="array" aca="1" ref="M721" ca="1">IF(AND(J721=INDIRECT("'["&amp;G721&amp;"]"&amp;E721&amp;"'!"&amp;$Y$2),G721=INDIRECT("'["&amp;G721&amp;"]"&amp;E721&amp;"'!"&amp;$AH$2)),INDIRECT("'["&amp;G721&amp;"]"&amp;E721&amp;"'!"&amp;$Y$3),0)</f>
        <v>#VALUE!</v>
      </c>
      <c r="N721" s="34" t="e" cm="1">
        <f t="array" aca="1" ref="N721" ca="1">IF(AND(G721=INDIRECT("'["&amp;G721&amp;"]"&amp;E721&amp;"'!"&amp;$AH$2),OR(K721=INDIRECT("'["&amp;G721&amp;"]"&amp;E721&amp;"'!"&amp;$Z$2))),INDIRECT("'["&amp;G721&amp;"]"&amp;E721&amp;"'!"&amp;$Z$3),0)</f>
        <v>#VALUE!</v>
      </c>
      <c r="O721" s="34" t="e" cm="1">
        <f t="array" aca="1" ref="O721" ca="1">IF(AND(G721=INDIRECT("'["&amp;G721&amp;"]"&amp;E721&amp;"'!"&amp;$AH$2),OR(L721=INDIRECT("'["&amp;G721&amp;"]"&amp;E721&amp;"'!"&amp;$AA$2))),INDIRECT("'["&amp;G721&amp;"]"&amp;E721&amp;"'!"&amp;$AA$3),0)</f>
        <v>#VALUE!</v>
      </c>
      <c r="P721" s="34" t="e" cm="1">
        <f t="array" aca="1" ref="P721" ca="1">IF(AND(G721=INDIRECT("'["&amp;G721&amp;"]"&amp;E721&amp;"'!"&amp;$AH$2),OR(VALUE(I721)=INDIRECT("'["&amp;G721&amp;"]"&amp;E721&amp;"'!"&amp;$AB$2))),INDIRECT("'["&amp;G721&amp;"]"&amp;E721&amp;"'!"&amp;$AB$3),0)</f>
        <v>#VALUE!</v>
      </c>
      <c r="Q721" s="34" t="e" cm="1">
        <f t="array" aca="1" ref="Q721" ca="1">IF(AND(G721=INDIRECT("'["&amp;G721&amp;"]"&amp;E721&amp;"'!"&amp;$AH$2),OR(VALUE(I721)=INDIRECT("'["&amp;G721&amp;"]"&amp;E721&amp;"'!"&amp;$AC$2))),INDIRECT("'["&amp;G721&amp;"]"&amp;E721&amp;"'!"&amp;$AC$3),0)</f>
        <v>#VALUE!</v>
      </c>
      <c r="R721" s="34" t="e" cm="1">
        <f t="array" aca="1" ref="R721" ca="1">IF(AND(G721=INDIRECT("'["&amp;G721&amp;"]"&amp;E721&amp;"'!"&amp;$AH$2),OR(I721=INDIRECT("'["&amp;G721&amp;"]"&amp;E721&amp;"'!"&amp;$AD$2))),INDIRECT("'["&amp;G721&amp;"]"&amp;E721&amp;"'!"&amp;$AD$3),0)</f>
        <v>#VALUE!</v>
      </c>
      <c r="S721" s="34" t="e" cm="1">
        <f t="array" aca="1" ref="S721" ca="1">IF(AND(G721=INDIRECT("'["&amp;G721&amp;"]"&amp;E721&amp;"'!"&amp;$AH$2),OR(I721=INDIRECT("'["&amp;G721&amp;"]"&amp;E721&amp;"'!"&amp;$AE$2))),INDIRECT("'["&amp;G721&amp;"]"&amp;E721&amp;"'!"&amp;$AE$3),0)</f>
        <v>#VALUE!</v>
      </c>
      <c r="T721" s="35" t="e" cm="1">
        <f t="array" aca="1" ref="T721" ca="1">IF(AND(G721=INDIRECT("'["&amp;G721&amp;"]"&amp;E721&amp;"'!"&amp;$AH$2),OR(I721=INDIRECT("'["&amp;G721&amp;"]"&amp;E721&amp;"'!"&amp;$AF$2))),INDIRECT("'["&amp;G721&amp;"]"&amp;E721&amp;"'!"&amp;$AF$3),0)</f>
        <v>#VALUE!</v>
      </c>
      <c r="U721" s="34" t="e" cm="1">
        <f t="array" aca="1" ref="U721" ca="1">IF(AND(G721=INDIRECT("'["&amp;G721&amp;"]"&amp;E721&amp;"'!"&amp;$AH$2),OR(I721=INDIRECT("'["&amp;G721&amp;"]"&amp;E721&amp;"'!"&amp;$AG$2))),INDIRECT("'["&amp;G721&amp;"]"&amp;E721&amp;"'!"&amp;$AG$3),0)</f>
        <v>#VALUE!</v>
      </c>
      <c r="V721" s="25" t="str">
        <f t="shared" si="197"/>
        <v/>
      </c>
      <c r="W721" s="36" t="e" cm="1">
        <f t="array" aca="1" ref="W721" ca="1">IF(AND(G721=INDIRECT("'["&amp;G721&amp;"]"&amp;E721&amp;"'!"&amp;$AH$2),OR(V721=INDIRECT("'["&amp;G721&amp;"]"&amp;E721&amp;"'!"&amp;$AI$2))),INDIRECT("'["&amp;G721&amp;"]"&amp;E721&amp;"'!"&amp;$AI$3),0)</f>
        <v>#VALUE!</v>
      </c>
      <c r="AJ721" s="25">
        <v>1</v>
      </c>
      <c r="AK721" s="38">
        <f t="shared" ca="1" si="198"/>
        <v>0</v>
      </c>
      <c r="AL721" s="38">
        <f t="shared" ca="1" si="199"/>
        <v>0</v>
      </c>
      <c r="AM721" s="54" t="str">
        <f t="shared" ca="1" si="200"/>
        <v/>
      </c>
      <c r="AN721" s="25" t="e">
        <f t="shared" ca="1" si="201"/>
        <v>#VALUE!</v>
      </c>
      <c r="AO721" s="25" t="e">
        <f t="shared" ca="1" si="202"/>
        <v>#VALUE!</v>
      </c>
      <c r="AQ721" s="46" t="str">
        <f ca="1">IF(AND(C721&lt;&gt;0, C722=0), SUM($C$2:C721)-SUM($AQ$1:AQ720), "")</f>
        <v/>
      </c>
      <c r="AR721" s="46" t="str">
        <f ca="1">IF(AND(AK721&lt;&gt;0, AK722=0), SUM($AK$2:AK721)-SUM($AR$1:AR720), "")</f>
        <v/>
      </c>
    </row>
    <row r="722" spans="2:44" ht="13.15" customHeight="1">
      <c r="B722" s="68" t="str">
        <f t="shared" si="188"/>
        <v/>
      </c>
      <c r="C722" s="55" cm="1">
        <f t="array" aca="1" ref="C722" ca="1">SUM(IF(ISNUMBER(M722:U722),M722:U722,""))</f>
        <v>0</v>
      </c>
      <c r="D722" s="25" t="str">
        <f t="shared" si="189"/>
        <v/>
      </c>
      <c r="E722" s="25" t="e">
        <f t="shared" si="190"/>
        <v>#VALUE!</v>
      </c>
      <c r="F722" s="25" t="str">
        <f t="shared" si="191"/>
        <v/>
      </c>
      <c r="G722" s="25" t="str">
        <f t="shared" si="192"/>
        <v>.xlsx</v>
      </c>
      <c r="H722" s="29" t="e" cm="1">
        <f t="array" aca="1" ref="H722" ca="1">IF(AND(VALUE(E722)=INDIRECT("'["&amp;G722&amp;"]"&amp;E722&amp;"'!"&amp;$X$2),G722=INDIRECT("'["&amp;G722&amp;"]"&amp;E722&amp;"'!"&amp;$X$3)),INDIRECT("'["&amp;G722&amp;"]"&amp;E722&amp;"'!"&amp;$X$1),0)</f>
        <v>#VALUE!</v>
      </c>
      <c r="I722" s="25" t="str">
        <f t="shared" si="193"/>
        <v/>
      </c>
      <c r="J722" s="32" t="str">
        <f t="shared" si="194"/>
        <v/>
      </c>
      <c r="K722" s="25" t="str">
        <f t="shared" si="195"/>
        <v/>
      </c>
      <c r="L722" s="25" t="str">
        <f t="shared" si="196"/>
        <v/>
      </c>
      <c r="M722" s="33" t="e" cm="1">
        <f t="array" aca="1" ref="M722" ca="1">IF(AND(J722=INDIRECT("'["&amp;G722&amp;"]"&amp;E722&amp;"'!"&amp;$Y$2),G722=INDIRECT("'["&amp;G722&amp;"]"&amp;E722&amp;"'!"&amp;$AH$2)),INDIRECT("'["&amp;G722&amp;"]"&amp;E722&amp;"'!"&amp;$Y$3),0)</f>
        <v>#VALUE!</v>
      </c>
      <c r="N722" s="34" t="e" cm="1">
        <f t="array" aca="1" ref="N722" ca="1">IF(AND(G722=INDIRECT("'["&amp;G722&amp;"]"&amp;E722&amp;"'!"&amp;$AH$2),OR(K722=INDIRECT("'["&amp;G722&amp;"]"&amp;E722&amp;"'!"&amp;$Z$2))),INDIRECT("'["&amp;G722&amp;"]"&amp;E722&amp;"'!"&amp;$Z$3),0)</f>
        <v>#VALUE!</v>
      </c>
      <c r="O722" s="34" t="e" cm="1">
        <f t="array" aca="1" ref="O722" ca="1">IF(AND(G722=INDIRECT("'["&amp;G722&amp;"]"&amp;E722&amp;"'!"&amp;$AH$2),OR(L722=INDIRECT("'["&amp;G722&amp;"]"&amp;E722&amp;"'!"&amp;$AA$2))),INDIRECT("'["&amp;G722&amp;"]"&amp;E722&amp;"'!"&amp;$AA$3),0)</f>
        <v>#VALUE!</v>
      </c>
      <c r="P722" s="34" t="e" cm="1">
        <f t="array" aca="1" ref="P722" ca="1">IF(AND(G722=INDIRECT("'["&amp;G722&amp;"]"&amp;E722&amp;"'!"&amp;$AH$2),OR(VALUE(I722)=INDIRECT("'["&amp;G722&amp;"]"&amp;E722&amp;"'!"&amp;$AB$2))),INDIRECT("'["&amp;G722&amp;"]"&amp;E722&amp;"'!"&amp;$AB$3),0)</f>
        <v>#VALUE!</v>
      </c>
      <c r="Q722" s="34" t="e" cm="1">
        <f t="array" aca="1" ref="Q722" ca="1">IF(AND(G722=INDIRECT("'["&amp;G722&amp;"]"&amp;E722&amp;"'!"&amp;$AH$2),OR(VALUE(I722)=INDIRECT("'["&amp;G722&amp;"]"&amp;E722&amp;"'!"&amp;$AC$2))),INDIRECT("'["&amp;G722&amp;"]"&amp;E722&amp;"'!"&amp;$AC$3),0)</f>
        <v>#VALUE!</v>
      </c>
      <c r="R722" s="34" t="e" cm="1">
        <f t="array" aca="1" ref="R722" ca="1">IF(AND(G722=INDIRECT("'["&amp;G722&amp;"]"&amp;E722&amp;"'!"&amp;$AH$2),OR(I722=INDIRECT("'["&amp;G722&amp;"]"&amp;E722&amp;"'!"&amp;$AD$2))),INDIRECT("'["&amp;G722&amp;"]"&amp;E722&amp;"'!"&amp;$AD$3),0)</f>
        <v>#VALUE!</v>
      </c>
      <c r="S722" s="34" t="e" cm="1">
        <f t="array" aca="1" ref="S722" ca="1">IF(AND(G722=INDIRECT("'["&amp;G722&amp;"]"&amp;E722&amp;"'!"&amp;$AH$2),OR(I722=INDIRECT("'["&amp;G722&amp;"]"&amp;E722&amp;"'!"&amp;$AE$2))),INDIRECT("'["&amp;G722&amp;"]"&amp;E722&amp;"'!"&amp;$AE$3),0)</f>
        <v>#VALUE!</v>
      </c>
      <c r="T722" s="35" t="e" cm="1">
        <f t="array" aca="1" ref="T722" ca="1">IF(AND(G722=INDIRECT("'["&amp;G722&amp;"]"&amp;E722&amp;"'!"&amp;$AH$2),OR(I722=INDIRECT("'["&amp;G722&amp;"]"&amp;E722&amp;"'!"&amp;$AF$2))),INDIRECT("'["&amp;G722&amp;"]"&amp;E722&amp;"'!"&amp;$AF$3),0)</f>
        <v>#VALUE!</v>
      </c>
      <c r="U722" s="34" t="e" cm="1">
        <f t="array" aca="1" ref="U722" ca="1">IF(AND(G722=INDIRECT("'["&amp;G722&amp;"]"&amp;E722&amp;"'!"&amp;$AH$2),OR(I722=INDIRECT("'["&amp;G722&amp;"]"&amp;E722&amp;"'!"&amp;$AG$2))),INDIRECT("'["&amp;G722&amp;"]"&amp;E722&amp;"'!"&amp;$AG$3),0)</f>
        <v>#VALUE!</v>
      </c>
      <c r="V722" s="25" t="str">
        <f t="shared" si="197"/>
        <v/>
      </c>
      <c r="W722" s="36" t="e" cm="1">
        <f t="array" aca="1" ref="W722" ca="1">IF(AND(G722=INDIRECT("'["&amp;G722&amp;"]"&amp;E722&amp;"'!"&amp;$AH$2),OR(V722=INDIRECT("'["&amp;G722&amp;"]"&amp;E722&amp;"'!"&amp;$AI$2))),INDIRECT("'["&amp;G722&amp;"]"&amp;E722&amp;"'!"&amp;$AI$3),0)</f>
        <v>#VALUE!</v>
      </c>
      <c r="AJ722" s="25">
        <v>1</v>
      </c>
      <c r="AK722" s="38">
        <f t="shared" ca="1" si="198"/>
        <v>0</v>
      </c>
      <c r="AL722" s="38">
        <f t="shared" ca="1" si="199"/>
        <v>0</v>
      </c>
      <c r="AM722" s="54" t="str">
        <f t="shared" ca="1" si="200"/>
        <v/>
      </c>
      <c r="AN722" s="25" t="e">
        <f t="shared" ca="1" si="201"/>
        <v>#VALUE!</v>
      </c>
      <c r="AO722" s="25" t="e">
        <f t="shared" ca="1" si="202"/>
        <v>#VALUE!</v>
      </c>
      <c r="AQ722" s="46" t="str">
        <f ca="1">IF(AND(C722&lt;&gt;0, C723=0), SUM($C$2:C722)-SUM($AQ$1:AQ721), "")</f>
        <v/>
      </c>
      <c r="AR722" s="46" t="str">
        <f ca="1">IF(AND(AK722&lt;&gt;0, AK723=0), SUM($AK$2:AK722)-SUM($AR$1:AR721), "")</f>
        <v/>
      </c>
    </row>
    <row r="723" spans="2:44" ht="13.15" customHeight="1">
      <c r="B723" s="68" t="str">
        <f t="shared" si="188"/>
        <v/>
      </c>
      <c r="C723" s="55" cm="1">
        <f t="array" aca="1" ref="C723" ca="1">SUM(IF(ISNUMBER(M723:U723),M723:U723,""))</f>
        <v>0</v>
      </c>
      <c r="D723" s="25" t="str">
        <f t="shared" si="189"/>
        <v/>
      </c>
      <c r="E723" s="25" t="e">
        <f t="shared" si="190"/>
        <v>#VALUE!</v>
      </c>
      <c r="F723" s="25" t="str">
        <f t="shared" si="191"/>
        <v/>
      </c>
      <c r="G723" s="25" t="str">
        <f t="shared" si="192"/>
        <v>.xlsx</v>
      </c>
      <c r="H723" s="29" t="e" cm="1">
        <f t="array" aca="1" ref="H723" ca="1">IF(AND(VALUE(E723)=INDIRECT("'["&amp;G723&amp;"]"&amp;E723&amp;"'!"&amp;$X$2),G723=INDIRECT("'["&amp;G723&amp;"]"&amp;E723&amp;"'!"&amp;$X$3)),INDIRECT("'["&amp;G723&amp;"]"&amp;E723&amp;"'!"&amp;$X$1),0)</f>
        <v>#VALUE!</v>
      </c>
      <c r="I723" s="25" t="str">
        <f t="shared" si="193"/>
        <v/>
      </c>
      <c r="J723" s="32" t="str">
        <f t="shared" si="194"/>
        <v/>
      </c>
      <c r="K723" s="25" t="str">
        <f t="shared" si="195"/>
        <v/>
      </c>
      <c r="L723" s="25" t="str">
        <f t="shared" si="196"/>
        <v/>
      </c>
      <c r="M723" s="33" t="e" cm="1">
        <f t="array" aca="1" ref="M723" ca="1">IF(AND(J723=INDIRECT("'["&amp;G723&amp;"]"&amp;E723&amp;"'!"&amp;$Y$2),G723=INDIRECT("'["&amp;G723&amp;"]"&amp;E723&amp;"'!"&amp;$AH$2)),INDIRECT("'["&amp;G723&amp;"]"&amp;E723&amp;"'!"&amp;$Y$3),0)</f>
        <v>#VALUE!</v>
      </c>
      <c r="N723" s="34" t="e" cm="1">
        <f t="array" aca="1" ref="N723" ca="1">IF(AND(G723=INDIRECT("'["&amp;G723&amp;"]"&amp;E723&amp;"'!"&amp;$AH$2),OR(K723=INDIRECT("'["&amp;G723&amp;"]"&amp;E723&amp;"'!"&amp;$Z$2))),INDIRECT("'["&amp;G723&amp;"]"&amp;E723&amp;"'!"&amp;$Z$3),0)</f>
        <v>#VALUE!</v>
      </c>
      <c r="O723" s="34" t="e" cm="1">
        <f t="array" aca="1" ref="O723" ca="1">IF(AND(G723=INDIRECT("'["&amp;G723&amp;"]"&amp;E723&amp;"'!"&amp;$AH$2),OR(L723=INDIRECT("'["&amp;G723&amp;"]"&amp;E723&amp;"'!"&amp;$AA$2))),INDIRECT("'["&amp;G723&amp;"]"&amp;E723&amp;"'!"&amp;$AA$3),0)</f>
        <v>#VALUE!</v>
      </c>
      <c r="P723" s="34" t="e" cm="1">
        <f t="array" aca="1" ref="P723" ca="1">IF(AND(G723=INDIRECT("'["&amp;G723&amp;"]"&amp;E723&amp;"'!"&amp;$AH$2),OR(VALUE(I723)=INDIRECT("'["&amp;G723&amp;"]"&amp;E723&amp;"'!"&amp;$AB$2))),INDIRECT("'["&amp;G723&amp;"]"&amp;E723&amp;"'!"&amp;$AB$3),0)</f>
        <v>#VALUE!</v>
      </c>
      <c r="Q723" s="34" t="e" cm="1">
        <f t="array" aca="1" ref="Q723" ca="1">IF(AND(G723=INDIRECT("'["&amp;G723&amp;"]"&amp;E723&amp;"'!"&amp;$AH$2),OR(VALUE(I723)=INDIRECT("'["&amp;G723&amp;"]"&amp;E723&amp;"'!"&amp;$AC$2))),INDIRECT("'["&amp;G723&amp;"]"&amp;E723&amp;"'!"&amp;$AC$3),0)</f>
        <v>#VALUE!</v>
      </c>
      <c r="R723" s="34" t="e" cm="1">
        <f t="array" aca="1" ref="R723" ca="1">IF(AND(G723=INDIRECT("'["&amp;G723&amp;"]"&amp;E723&amp;"'!"&amp;$AH$2),OR(I723=INDIRECT("'["&amp;G723&amp;"]"&amp;E723&amp;"'!"&amp;$AD$2))),INDIRECT("'["&amp;G723&amp;"]"&amp;E723&amp;"'!"&amp;$AD$3),0)</f>
        <v>#VALUE!</v>
      </c>
      <c r="S723" s="34" t="e" cm="1">
        <f t="array" aca="1" ref="S723" ca="1">IF(AND(G723=INDIRECT("'["&amp;G723&amp;"]"&amp;E723&amp;"'!"&amp;$AH$2),OR(I723=INDIRECT("'["&amp;G723&amp;"]"&amp;E723&amp;"'!"&amp;$AE$2))),INDIRECT("'["&amp;G723&amp;"]"&amp;E723&amp;"'!"&amp;$AE$3),0)</f>
        <v>#VALUE!</v>
      </c>
      <c r="T723" s="35" t="e" cm="1">
        <f t="array" aca="1" ref="T723" ca="1">IF(AND(G723=INDIRECT("'["&amp;G723&amp;"]"&amp;E723&amp;"'!"&amp;$AH$2),OR(I723=INDIRECT("'["&amp;G723&amp;"]"&amp;E723&amp;"'!"&amp;$AF$2))),INDIRECT("'["&amp;G723&amp;"]"&amp;E723&amp;"'!"&amp;$AF$3),0)</f>
        <v>#VALUE!</v>
      </c>
      <c r="U723" s="34" t="e" cm="1">
        <f t="array" aca="1" ref="U723" ca="1">IF(AND(G723=INDIRECT("'["&amp;G723&amp;"]"&amp;E723&amp;"'!"&amp;$AH$2),OR(I723=INDIRECT("'["&amp;G723&amp;"]"&amp;E723&amp;"'!"&amp;$AG$2))),INDIRECT("'["&amp;G723&amp;"]"&amp;E723&amp;"'!"&amp;$AG$3),0)</f>
        <v>#VALUE!</v>
      </c>
      <c r="V723" s="25" t="str">
        <f t="shared" si="197"/>
        <v/>
      </c>
      <c r="W723" s="36" t="e" cm="1">
        <f t="array" aca="1" ref="W723" ca="1">IF(AND(G723=INDIRECT("'["&amp;G723&amp;"]"&amp;E723&amp;"'!"&amp;$AH$2),OR(V723=INDIRECT("'["&amp;G723&amp;"]"&amp;E723&amp;"'!"&amp;$AI$2))),INDIRECT("'["&amp;G723&amp;"]"&amp;E723&amp;"'!"&amp;$AI$3),0)</f>
        <v>#VALUE!</v>
      </c>
      <c r="AJ723" s="25">
        <v>1</v>
      </c>
      <c r="AK723" s="38">
        <f t="shared" ca="1" si="198"/>
        <v>0</v>
      </c>
      <c r="AL723" s="38">
        <f t="shared" ca="1" si="199"/>
        <v>0</v>
      </c>
      <c r="AM723" s="54" t="str">
        <f t="shared" ca="1" si="200"/>
        <v/>
      </c>
      <c r="AN723" s="25" t="e">
        <f t="shared" ca="1" si="201"/>
        <v>#VALUE!</v>
      </c>
      <c r="AO723" s="25" t="e">
        <f t="shared" ca="1" si="202"/>
        <v>#VALUE!</v>
      </c>
      <c r="AQ723" s="46" t="str">
        <f ca="1">IF(AND(C723&lt;&gt;0, C724=0), SUM($C$2:C723)-SUM($AQ$1:AQ722), "")</f>
        <v/>
      </c>
      <c r="AR723" s="46" t="str">
        <f ca="1">IF(AND(AK723&lt;&gt;0, AK724=0), SUM($AK$2:AK723)-SUM($AR$1:AR722), "")</f>
        <v/>
      </c>
    </row>
    <row r="724" spans="2:44" ht="13.15" customHeight="1">
      <c r="B724" s="68" t="str">
        <f t="shared" si="188"/>
        <v/>
      </c>
      <c r="C724" s="55" cm="1">
        <f t="array" aca="1" ref="C724" ca="1">SUM(IF(ISNUMBER(M724:U724),M724:U724,""))</f>
        <v>0</v>
      </c>
      <c r="D724" s="25" t="str">
        <f t="shared" si="189"/>
        <v/>
      </c>
      <c r="E724" s="25" t="e">
        <f t="shared" si="190"/>
        <v>#VALUE!</v>
      </c>
      <c r="F724" s="25" t="str">
        <f t="shared" si="191"/>
        <v/>
      </c>
      <c r="G724" s="25" t="str">
        <f t="shared" si="192"/>
        <v>.xlsx</v>
      </c>
      <c r="H724" s="29" t="e" cm="1">
        <f t="array" aca="1" ref="H724" ca="1">IF(AND(VALUE(E724)=INDIRECT("'["&amp;G724&amp;"]"&amp;E724&amp;"'!"&amp;$X$2),G724=INDIRECT("'["&amp;G724&amp;"]"&amp;E724&amp;"'!"&amp;$X$3)),INDIRECT("'["&amp;G724&amp;"]"&amp;E724&amp;"'!"&amp;$X$1),0)</f>
        <v>#VALUE!</v>
      </c>
      <c r="I724" s="25" t="str">
        <f t="shared" si="193"/>
        <v/>
      </c>
      <c r="J724" s="32" t="str">
        <f t="shared" si="194"/>
        <v/>
      </c>
      <c r="K724" s="25" t="str">
        <f t="shared" si="195"/>
        <v/>
      </c>
      <c r="L724" s="25" t="str">
        <f t="shared" si="196"/>
        <v/>
      </c>
      <c r="M724" s="33" t="e" cm="1">
        <f t="array" aca="1" ref="M724" ca="1">IF(AND(J724=INDIRECT("'["&amp;G724&amp;"]"&amp;E724&amp;"'!"&amp;$Y$2),G724=INDIRECT("'["&amp;G724&amp;"]"&amp;E724&amp;"'!"&amp;$AH$2)),INDIRECT("'["&amp;G724&amp;"]"&amp;E724&amp;"'!"&amp;$Y$3),0)</f>
        <v>#VALUE!</v>
      </c>
      <c r="N724" s="34" t="e" cm="1">
        <f t="array" aca="1" ref="N724" ca="1">IF(AND(G724=INDIRECT("'["&amp;G724&amp;"]"&amp;E724&amp;"'!"&amp;$AH$2),OR(K724=INDIRECT("'["&amp;G724&amp;"]"&amp;E724&amp;"'!"&amp;$Z$2))),INDIRECT("'["&amp;G724&amp;"]"&amp;E724&amp;"'!"&amp;$Z$3),0)</f>
        <v>#VALUE!</v>
      </c>
      <c r="O724" s="34" t="e" cm="1">
        <f t="array" aca="1" ref="O724" ca="1">IF(AND(G724=INDIRECT("'["&amp;G724&amp;"]"&amp;E724&amp;"'!"&amp;$AH$2),OR(L724=INDIRECT("'["&amp;G724&amp;"]"&amp;E724&amp;"'!"&amp;$AA$2))),INDIRECT("'["&amp;G724&amp;"]"&amp;E724&amp;"'!"&amp;$AA$3),0)</f>
        <v>#VALUE!</v>
      </c>
      <c r="P724" s="34" t="e" cm="1">
        <f t="array" aca="1" ref="P724" ca="1">IF(AND(G724=INDIRECT("'["&amp;G724&amp;"]"&amp;E724&amp;"'!"&amp;$AH$2),OR(VALUE(I724)=INDIRECT("'["&amp;G724&amp;"]"&amp;E724&amp;"'!"&amp;$AB$2))),INDIRECT("'["&amp;G724&amp;"]"&amp;E724&amp;"'!"&amp;$AB$3),0)</f>
        <v>#VALUE!</v>
      </c>
      <c r="Q724" s="34" t="e" cm="1">
        <f t="array" aca="1" ref="Q724" ca="1">IF(AND(G724=INDIRECT("'["&amp;G724&amp;"]"&amp;E724&amp;"'!"&amp;$AH$2),OR(VALUE(I724)=INDIRECT("'["&amp;G724&amp;"]"&amp;E724&amp;"'!"&amp;$AC$2))),INDIRECT("'["&amp;G724&amp;"]"&amp;E724&amp;"'!"&amp;$AC$3),0)</f>
        <v>#VALUE!</v>
      </c>
      <c r="R724" s="34" t="e" cm="1">
        <f t="array" aca="1" ref="R724" ca="1">IF(AND(G724=INDIRECT("'["&amp;G724&amp;"]"&amp;E724&amp;"'!"&amp;$AH$2),OR(I724=INDIRECT("'["&amp;G724&amp;"]"&amp;E724&amp;"'!"&amp;$AD$2))),INDIRECT("'["&amp;G724&amp;"]"&amp;E724&amp;"'!"&amp;$AD$3),0)</f>
        <v>#VALUE!</v>
      </c>
      <c r="S724" s="34" t="e" cm="1">
        <f t="array" aca="1" ref="S724" ca="1">IF(AND(G724=INDIRECT("'["&amp;G724&amp;"]"&amp;E724&amp;"'!"&amp;$AH$2),OR(I724=INDIRECT("'["&amp;G724&amp;"]"&amp;E724&amp;"'!"&amp;$AE$2))),INDIRECT("'["&amp;G724&amp;"]"&amp;E724&amp;"'!"&amp;$AE$3),0)</f>
        <v>#VALUE!</v>
      </c>
      <c r="T724" s="35" t="e" cm="1">
        <f t="array" aca="1" ref="T724" ca="1">IF(AND(G724=INDIRECT("'["&amp;G724&amp;"]"&amp;E724&amp;"'!"&amp;$AH$2),OR(I724=INDIRECT("'["&amp;G724&amp;"]"&amp;E724&amp;"'!"&amp;$AF$2))),INDIRECT("'["&amp;G724&amp;"]"&amp;E724&amp;"'!"&amp;$AF$3),0)</f>
        <v>#VALUE!</v>
      </c>
      <c r="U724" s="34" t="e" cm="1">
        <f t="array" aca="1" ref="U724" ca="1">IF(AND(G724=INDIRECT("'["&amp;G724&amp;"]"&amp;E724&amp;"'!"&amp;$AH$2),OR(I724=INDIRECT("'["&amp;G724&amp;"]"&amp;E724&amp;"'!"&amp;$AG$2))),INDIRECT("'["&amp;G724&amp;"]"&amp;E724&amp;"'!"&amp;$AG$3),0)</f>
        <v>#VALUE!</v>
      </c>
      <c r="V724" s="25" t="str">
        <f t="shared" si="197"/>
        <v/>
      </c>
      <c r="W724" s="36" t="e" cm="1">
        <f t="array" aca="1" ref="W724" ca="1">IF(AND(G724=INDIRECT("'["&amp;G724&amp;"]"&amp;E724&amp;"'!"&amp;$AH$2),OR(V724=INDIRECT("'["&amp;G724&amp;"]"&amp;E724&amp;"'!"&amp;$AI$2))),INDIRECT("'["&amp;G724&amp;"]"&amp;E724&amp;"'!"&amp;$AI$3),0)</f>
        <v>#VALUE!</v>
      </c>
      <c r="AJ724" s="25">
        <v>1</v>
      </c>
      <c r="AK724" s="38">
        <f t="shared" ca="1" si="198"/>
        <v>0</v>
      </c>
      <c r="AL724" s="38">
        <f t="shared" ca="1" si="199"/>
        <v>0</v>
      </c>
      <c r="AM724" s="54" t="str">
        <f t="shared" ca="1" si="200"/>
        <v/>
      </c>
      <c r="AN724" s="25" t="e">
        <f t="shared" ca="1" si="201"/>
        <v>#VALUE!</v>
      </c>
      <c r="AO724" s="25" t="e">
        <f t="shared" ca="1" si="202"/>
        <v>#VALUE!</v>
      </c>
      <c r="AQ724" s="46" t="str">
        <f ca="1">IF(AND(C724&lt;&gt;0, C725=0), SUM($C$2:C724)-SUM($AQ$1:AQ723), "")</f>
        <v/>
      </c>
      <c r="AR724" s="46" t="str">
        <f ca="1">IF(AND(AK724&lt;&gt;0, AK725=0), SUM($AK$2:AK724)-SUM($AR$1:AR723), "")</f>
        <v/>
      </c>
    </row>
    <row r="725" spans="2:44" ht="13.15" customHeight="1">
      <c r="B725" s="68" t="str">
        <f t="shared" si="188"/>
        <v/>
      </c>
      <c r="C725" s="55" cm="1">
        <f t="array" aca="1" ref="C725" ca="1">SUM(IF(ISNUMBER(M725:U725),M725:U725,""))</f>
        <v>0</v>
      </c>
      <c r="D725" s="25" t="str">
        <f t="shared" si="189"/>
        <v/>
      </c>
      <c r="E725" s="25" t="e">
        <f t="shared" si="190"/>
        <v>#VALUE!</v>
      </c>
      <c r="F725" s="25" t="str">
        <f t="shared" si="191"/>
        <v/>
      </c>
      <c r="G725" s="25" t="str">
        <f t="shared" si="192"/>
        <v>.xlsx</v>
      </c>
      <c r="H725" s="29" t="e" cm="1">
        <f t="array" aca="1" ref="H725" ca="1">IF(AND(VALUE(E725)=INDIRECT("'["&amp;G725&amp;"]"&amp;E725&amp;"'!"&amp;$X$2),G725=INDIRECT("'["&amp;G725&amp;"]"&amp;E725&amp;"'!"&amp;$X$3)),INDIRECT("'["&amp;G725&amp;"]"&amp;E725&amp;"'!"&amp;$X$1),0)</f>
        <v>#VALUE!</v>
      </c>
      <c r="I725" s="25" t="str">
        <f t="shared" si="193"/>
        <v/>
      </c>
      <c r="J725" s="32" t="str">
        <f t="shared" si="194"/>
        <v/>
      </c>
      <c r="K725" s="25" t="str">
        <f t="shared" si="195"/>
        <v/>
      </c>
      <c r="L725" s="25" t="str">
        <f t="shared" si="196"/>
        <v/>
      </c>
      <c r="M725" s="33" t="e" cm="1">
        <f t="array" aca="1" ref="M725" ca="1">IF(AND(J725=INDIRECT("'["&amp;G725&amp;"]"&amp;E725&amp;"'!"&amp;$Y$2),G725=INDIRECT("'["&amp;G725&amp;"]"&amp;E725&amp;"'!"&amp;$AH$2)),INDIRECT("'["&amp;G725&amp;"]"&amp;E725&amp;"'!"&amp;$Y$3),0)</f>
        <v>#VALUE!</v>
      </c>
      <c r="N725" s="34" t="e" cm="1">
        <f t="array" aca="1" ref="N725" ca="1">IF(AND(G725=INDIRECT("'["&amp;G725&amp;"]"&amp;E725&amp;"'!"&amp;$AH$2),OR(K725=INDIRECT("'["&amp;G725&amp;"]"&amp;E725&amp;"'!"&amp;$Z$2))),INDIRECT("'["&amp;G725&amp;"]"&amp;E725&amp;"'!"&amp;$Z$3),0)</f>
        <v>#VALUE!</v>
      </c>
      <c r="O725" s="34" t="e" cm="1">
        <f t="array" aca="1" ref="O725" ca="1">IF(AND(G725=INDIRECT("'["&amp;G725&amp;"]"&amp;E725&amp;"'!"&amp;$AH$2),OR(L725=INDIRECT("'["&amp;G725&amp;"]"&amp;E725&amp;"'!"&amp;$AA$2))),INDIRECT("'["&amp;G725&amp;"]"&amp;E725&amp;"'!"&amp;$AA$3),0)</f>
        <v>#VALUE!</v>
      </c>
      <c r="P725" s="34" t="e" cm="1">
        <f t="array" aca="1" ref="P725" ca="1">IF(AND(G725=INDIRECT("'["&amp;G725&amp;"]"&amp;E725&amp;"'!"&amp;$AH$2),OR(VALUE(I725)=INDIRECT("'["&amp;G725&amp;"]"&amp;E725&amp;"'!"&amp;$AB$2))),INDIRECT("'["&amp;G725&amp;"]"&amp;E725&amp;"'!"&amp;$AB$3),0)</f>
        <v>#VALUE!</v>
      </c>
      <c r="Q725" s="34" t="e" cm="1">
        <f t="array" aca="1" ref="Q725" ca="1">IF(AND(G725=INDIRECT("'["&amp;G725&amp;"]"&amp;E725&amp;"'!"&amp;$AH$2),OR(VALUE(I725)=INDIRECT("'["&amp;G725&amp;"]"&amp;E725&amp;"'!"&amp;$AC$2))),INDIRECT("'["&amp;G725&amp;"]"&amp;E725&amp;"'!"&amp;$AC$3),0)</f>
        <v>#VALUE!</v>
      </c>
      <c r="R725" s="34" t="e" cm="1">
        <f t="array" aca="1" ref="R725" ca="1">IF(AND(G725=INDIRECT("'["&amp;G725&amp;"]"&amp;E725&amp;"'!"&amp;$AH$2),OR(I725=INDIRECT("'["&amp;G725&amp;"]"&amp;E725&amp;"'!"&amp;$AD$2))),INDIRECT("'["&amp;G725&amp;"]"&amp;E725&amp;"'!"&amp;$AD$3),0)</f>
        <v>#VALUE!</v>
      </c>
      <c r="S725" s="34" t="e" cm="1">
        <f t="array" aca="1" ref="S725" ca="1">IF(AND(G725=INDIRECT("'["&amp;G725&amp;"]"&amp;E725&amp;"'!"&amp;$AH$2),OR(I725=INDIRECT("'["&amp;G725&amp;"]"&amp;E725&amp;"'!"&amp;$AE$2))),INDIRECT("'["&amp;G725&amp;"]"&amp;E725&amp;"'!"&amp;$AE$3),0)</f>
        <v>#VALUE!</v>
      </c>
      <c r="T725" s="35" t="e" cm="1">
        <f t="array" aca="1" ref="T725" ca="1">IF(AND(G725=INDIRECT("'["&amp;G725&amp;"]"&amp;E725&amp;"'!"&amp;$AH$2),OR(I725=INDIRECT("'["&amp;G725&amp;"]"&amp;E725&amp;"'!"&amp;$AF$2))),INDIRECT("'["&amp;G725&amp;"]"&amp;E725&amp;"'!"&amp;$AF$3),0)</f>
        <v>#VALUE!</v>
      </c>
      <c r="U725" s="34" t="e" cm="1">
        <f t="array" aca="1" ref="U725" ca="1">IF(AND(G725=INDIRECT("'["&amp;G725&amp;"]"&amp;E725&amp;"'!"&amp;$AH$2),OR(I725=INDIRECT("'["&amp;G725&amp;"]"&amp;E725&amp;"'!"&amp;$AG$2))),INDIRECT("'["&amp;G725&amp;"]"&amp;E725&amp;"'!"&amp;$AG$3),0)</f>
        <v>#VALUE!</v>
      </c>
      <c r="V725" s="25" t="str">
        <f t="shared" si="197"/>
        <v/>
      </c>
      <c r="W725" s="36" t="e" cm="1">
        <f t="array" aca="1" ref="W725" ca="1">IF(AND(G725=INDIRECT("'["&amp;G725&amp;"]"&amp;E725&amp;"'!"&amp;$AH$2),OR(V725=INDIRECT("'["&amp;G725&amp;"]"&amp;E725&amp;"'!"&amp;$AI$2))),INDIRECT("'["&amp;G725&amp;"]"&amp;E725&amp;"'!"&amp;$AI$3),0)</f>
        <v>#VALUE!</v>
      </c>
      <c r="AJ725" s="25">
        <v>1</v>
      </c>
      <c r="AK725" s="38">
        <f t="shared" ca="1" si="198"/>
        <v>0</v>
      </c>
      <c r="AL725" s="38">
        <f t="shared" ca="1" si="199"/>
        <v>0</v>
      </c>
      <c r="AM725" s="54" t="str">
        <f t="shared" ca="1" si="200"/>
        <v/>
      </c>
      <c r="AN725" s="25" t="e">
        <f t="shared" ca="1" si="201"/>
        <v>#VALUE!</v>
      </c>
      <c r="AO725" s="25" t="e">
        <f t="shared" ca="1" si="202"/>
        <v>#VALUE!</v>
      </c>
      <c r="AQ725" s="46" t="str">
        <f ca="1">IF(AND(C725&lt;&gt;0, C726=0), SUM($C$2:C725)-SUM($AQ$1:AQ724), "")</f>
        <v/>
      </c>
      <c r="AR725" s="46" t="str">
        <f ca="1">IF(AND(AK725&lt;&gt;0, AK726=0), SUM($AK$2:AK725)-SUM($AR$1:AR724), "")</f>
        <v/>
      </c>
    </row>
    <row r="726" spans="2:44" ht="13.15" customHeight="1">
      <c r="B726" s="68" t="str">
        <f t="shared" si="188"/>
        <v/>
      </c>
      <c r="C726" s="55" cm="1">
        <f t="array" aca="1" ref="C726" ca="1">SUM(IF(ISNUMBER(M726:U726),M726:U726,""))</f>
        <v>0</v>
      </c>
      <c r="D726" s="25" t="str">
        <f t="shared" si="189"/>
        <v/>
      </c>
      <c r="E726" s="25" t="e">
        <f t="shared" si="190"/>
        <v>#VALUE!</v>
      </c>
      <c r="F726" s="25" t="str">
        <f t="shared" si="191"/>
        <v/>
      </c>
      <c r="G726" s="25" t="str">
        <f t="shared" si="192"/>
        <v>.xlsx</v>
      </c>
      <c r="H726" s="29" t="e" cm="1">
        <f t="array" aca="1" ref="H726" ca="1">IF(AND(VALUE(E726)=INDIRECT("'["&amp;G726&amp;"]"&amp;E726&amp;"'!"&amp;$X$2),G726=INDIRECT("'["&amp;G726&amp;"]"&amp;E726&amp;"'!"&amp;$X$3)),INDIRECT("'["&amp;G726&amp;"]"&amp;E726&amp;"'!"&amp;$X$1),0)</f>
        <v>#VALUE!</v>
      </c>
      <c r="I726" s="25" t="str">
        <f t="shared" si="193"/>
        <v/>
      </c>
      <c r="J726" s="32" t="str">
        <f t="shared" si="194"/>
        <v/>
      </c>
      <c r="K726" s="25" t="str">
        <f t="shared" si="195"/>
        <v/>
      </c>
      <c r="L726" s="25" t="str">
        <f t="shared" si="196"/>
        <v/>
      </c>
      <c r="M726" s="33" t="e" cm="1">
        <f t="array" aca="1" ref="M726" ca="1">IF(AND(J726=INDIRECT("'["&amp;G726&amp;"]"&amp;E726&amp;"'!"&amp;$Y$2),G726=INDIRECT("'["&amp;G726&amp;"]"&amp;E726&amp;"'!"&amp;$AH$2)),INDIRECT("'["&amp;G726&amp;"]"&amp;E726&amp;"'!"&amp;$Y$3),0)</f>
        <v>#VALUE!</v>
      </c>
      <c r="N726" s="34" t="e" cm="1">
        <f t="array" aca="1" ref="N726" ca="1">IF(AND(G726=INDIRECT("'["&amp;G726&amp;"]"&amp;E726&amp;"'!"&amp;$AH$2),OR(K726=INDIRECT("'["&amp;G726&amp;"]"&amp;E726&amp;"'!"&amp;$Z$2))),INDIRECT("'["&amp;G726&amp;"]"&amp;E726&amp;"'!"&amp;$Z$3),0)</f>
        <v>#VALUE!</v>
      </c>
      <c r="O726" s="34" t="e" cm="1">
        <f t="array" aca="1" ref="O726" ca="1">IF(AND(G726=INDIRECT("'["&amp;G726&amp;"]"&amp;E726&amp;"'!"&amp;$AH$2),OR(L726=INDIRECT("'["&amp;G726&amp;"]"&amp;E726&amp;"'!"&amp;$AA$2))),INDIRECT("'["&amp;G726&amp;"]"&amp;E726&amp;"'!"&amp;$AA$3),0)</f>
        <v>#VALUE!</v>
      </c>
      <c r="P726" s="34" t="e" cm="1">
        <f t="array" aca="1" ref="P726" ca="1">IF(AND(G726=INDIRECT("'["&amp;G726&amp;"]"&amp;E726&amp;"'!"&amp;$AH$2),OR(VALUE(I726)=INDIRECT("'["&amp;G726&amp;"]"&amp;E726&amp;"'!"&amp;$AB$2))),INDIRECT("'["&amp;G726&amp;"]"&amp;E726&amp;"'!"&amp;$AB$3),0)</f>
        <v>#VALUE!</v>
      </c>
      <c r="Q726" s="34" t="e" cm="1">
        <f t="array" aca="1" ref="Q726" ca="1">IF(AND(G726=INDIRECT("'["&amp;G726&amp;"]"&amp;E726&amp;"'!"&amp;$AH$2),OR(VALUE(I726)=INDIRECT("'["&amp;G726&amp;"]"&amp;E726&amp;"'!"&amp;$AC$2))),INDIRECT("'["&amp;G726&amp;"]"&amp;E726&amp;"'!"&amp;$AC$3),0)</f>
        <v>#VALUE!</v>
      </c>
      <c r="R726" s="34" t="e" cm="1">
        <f t="array" aca="1" ref="R726" ca="1">IF(AND(G726=INDIRECT("'["&amp;G726&amp;"]"&amp;E726&amp;"'!"&amp;$AH$2),OR(I726=INDIRECT("'["&amp;G726&amp;"]"&amp;E726&amp;"'!"&amp;$AD$2))),INDIRECT("'["&amp;G726&amp;"]"&amp;E726&amp;"'!"&amp;$AD$3),0)</f>
        <v>#VALUE!</v>
      </c>
      <c r="S726" s="34" t="e" cm="1">
        <f t="array" aca="1" ref="S726" ca="1">IF(AND(G726=INDIRECT("'["&amp;G726&amp;"]"&amp;E726&amp;"'!"&amp;$AH$2),OR(I726=INDIRECT("'["&amp;G726&amp;"]"&amp;E726&amp;"'!"&amp;$AE$2))),INDIRECT("'["&amp;G726&amp;"]"&amp;E726&amp;"'!"&amp;$AE$3),0)</f>
        <v>#VALUE!</v>
      </c>
      <c r="T726" s="35" t="e" cm="1">
        <f t="array" aca="1" ref="T726" ca="1">IF(AND(G726=INDIRECT("'["&amp;G726&amp;"]"&amp;E726&amp;"'!"&amp;$AH$2),OR(I726=INDIRECT("'["&amp;G726&amp;"]"&amp;E726&amp;"'!"&amp;$AF$2))),INDIRECT("'["&amp;G726&amp;"]"&amp;E726&amp;"'!"&amp;$AF$3),0)</f>
        <v>#VALUE!</v>
      </c>
      <c r="U726" s="34" t="e" cm="1">
        <f t="array" aca="1" ref="U726" ca="1">IF(AND(G726=INDIRECT("'["&amp;G726&amp;"]"&amp;E726&amp;"'!"&amp;$AH$2),OR(I726=INDIRECT("'["&amp;G726&amp;"]"&amp;E726&amp;"'!"&amp;$AG$2))),INDIRECT("'["&amp;G726&amp;"]"&amp;E726&amp;"'!"&amp;$AG$3),0)</f>
        <v>#VALUE!</v>
      </c>
      <c r="V726" s="25" t="str">
        <f t="shared" si="197"/>
        <v/>
      </c>
      <c r="W726" s="36" t="e" cm="1">
        <f t="array" aca="1" ref="W726" ca="1">IF(AND(G726=INDIRECT("'["&amp;G726&amp;"]"&amp;E726&amp;"'!"&amp;$AH$2),OR(V726=INDIRECT("'["&amp;G726&amp;"]"&amp;E726&amp;"'!"&amp;$AI$2))),INDIRECT("'["&amp;G726&amp;"]"&amp;E726&amp;"'!"&amp;$AI$3),0)</f>
        <v>#VALUE!</v>
      </c>
      <c r="AJ726" s="25">
        <v>1</v>
      </c>
      <c r="AK726" s="38">
        <f t="shared" ca="1" si="198"/>
        <v>0</v>
      </c>
      <c r="AL726" s="38">
        <f t="shared" ca="1" si="199"/>
        <v>0</v>
      </c>
      <c r="AM726" s="54" t="str">
        <f t="shared" ca="1" si="200"/>
        <v/>
      </c>
      <c r="AN726" s="25" t="e">
        <f t="shared" ca="1" si="201"/>
        <v>#VALUE!</v>
      </c>
      <c r="AO726" s="25" t="e">
        <f t="shared" ca="1" si="202"/>
        <v>#VALUE!</v>
      </c>
      <c r="AQ726" s="46" t="str">
        <f ca="1">IF(AND(C726&lt;&gt;0, C727=0), SUM($C$2:C726)-SUM($AQ$1:AQ725), "")</f>
        <v/>
      </c>
      <c r="AR726" s="46" t="str">
        <f ca="1">IF(AND(AK726&lt;&gt;0, AK727=0), SUM($AK$2:AK726)-SUM($AR$1:AR725), "")</f>
        <v/>
      </c>
    </row>
    <row r="727" spans="2:44" ht="13.15" customHeight="1">
      <c r="B727" s="68" t="str">
        <f t="shared" si="188"/>
        <v/>
      </c>
      <c r="C727" s="55" cm="1">
        <f t="array" aca="1" ref="C727" ca="1">SUM(IF(ISNUMBER(M727:U727),M727:U727,""))</f>
        <v>0</v>
      </c>
      <c r="D727" s="25" t="str">
        <f t="shared" si="189"/>
        <v/>
      </c>
      <c r="E727" s="25" t="e">
        <f t="shared" si="190"/>
        <v>#VALUE!</v>
      </c>
      <c r="F727" s="25" t="str">
        <f t="shared" si="191"/>
        <v/>
      </c>
      <c r="G727" s="25" t="str">
        <f t="shared" si="192"/>
        <v>.xlsx</v>
      </c>
      <c r="H727" s="29" t="e" cm="1">
        <f t="array" aca="1" ref="H727" ca="1">IF(AND(VALUE(E727)=INDIRECT("'["&amp;G727&amp;"]"&amp;E727&amp;"'!"&amp;$X$2),G727=INDIRECT("'["&amp;G727&amp;"]"&amp;E727&amp;"'!"&amp;$X$3)),INDIRECT("'["&amp;G727&amp;"]"&amp;E727&amp;"'!"&amp;$X$1),0)</f>
        <v>#VALUE!</v>
      </c>
      <c r="I727" s="25" t="str">
        <f t="shared" si="193"/>
        <v/>
      </c>
      <c r="J727" s="32" t="str">
        <f t="shared" si="194"/>
        <v/>
      </c>
      <c r="K727" s="25" t="str">
        <f t="shared" si="195"/>
        <v/>
      </c>
      <c r="L727" s="25" t="str">
        <f t="shared" si="196"/>
        <v/>
      </c>
      <c r="M727" s="33" t="e" cm="1">
        <f t="array" aca="1" ref="M727" ca="1">IF(AND(J727=INDIRECT("'["&amp;G727&amp;"]"&amp;E727&amp;"'!"&amp;$Y$2),G727=INDIRECT("'["&amp;G727&amp;"]"&amp;E727&amp;"'!"&amp;$AH$2)),INDIRECT("'["&amp;G727&amp;"]"&amp;E727&amp;"'!"&amp;$Y$3),0)</f>
        <v>#VALUE!</v>
      </c>
      <c r="N727" s="34" t="e" cm="1">
        <f t="array" aca="1" ref="N727" ca="1">IF(AND(G727=INDIRECT("'["&amp;G727&amp;"]"&amp;E727&amp;"'!"&amp;$AH$2),OR(K727=INDIRECT("'["&amp;G727&amp;"]"&amp;E727&amp;"'!"&amp;$Z$2))),INDIRECT("'["&amp;G727&amp;"]"&amp;E727&amp;"'!"&amp;$Z$3),0)</f>
        <v>#VALUE!</v>
      </c>
      <c r="O727" s="34" t="e" cm="1">
        <f t="array" aca="1" ref="O727" ca="1">IF(AND(G727=INDIRECT("'["&amp;G727&amp;"]"&amp;E727&amp;"'!"&amp;$AH$2),OR(L727=INDIRECT("'["&amp;G727&amp;"]"&amp;E727&amp;"'!"&amp;$AA$2))),INDIRECT("'["&amp;G727&amp;"]"&amp;E727&amp;"'!"&amp;$AA$3),0)</f>
        <v>#VALUE!</v>
      </c>
      <c r="P727" s="34" t="e" cm="1">
        <f t="array" aca="1" ref="P727" ca="1">IF(AND(G727=INDIRECT("'["&amp;G727&amp;"]"&amp;E727&amp;"'!"&amp;$AH$2),OR(VALUE(I727)=INDIRECT("'["&amp;G727&amp;"]"&amp;E727&amp;"'!"&amp;$AB$2))),INDIRECT("'["&amp;G727&amp;"]"&amp;E727&amp;"'!"&amp;$AB$3),0)</f>
        <v>#VALUE!</v>
      </c>
      <c r="Q727" s="34" t="e" cm="1">
        <f t="array" aca="1" ref="Q727" ca="1">IF(AND(G727=INDIRECT("'["&amp;G727&amp;"]"&amp;E727&amp;"'!"&amp;$AH$2),OR(VALUE(I727)=INDIRECT("'["&amp;G727&amp;"]"&amp;E727&amp;"'!"&amp;$AC$2))),INDIRECT("'["&amp;G727&amp;"]"&amp;E727&amp;"'!"&amp;$AC$3),0)</f>
        <v>#VALUE!</v>
      </c>
      <c r="R727" s="34" t="e" cm="1">
        <f t="array" aca="1" ref="R727" ca="1">IF(AND(G727=INDIRECT("'["&amp;G727&amp;"]"&amp;E727&amp;"'!"&amp;$AH$2),OR(I727=INDIRECT("'["&amp;G727&amp;"]"&amp;E727&amp;"'!"&amp;$AD$2))),INDIRECT("'["&amp;G727&amp;"]"&amp;E727&amp;"'!"&amp;$AD$3),0)</f>
        <v>#VALUE!</v>
      </c>
      <c r="S727" s="34" t="e" cm="1">
        <f t="array" aca="1" ref="S727" ca="1">IF(AND(G727=INDIRECT("'["&amp;G727&amp;"]"&amp;E727&amp;"'!"&amp;$AH$2),OR(I727=INDIRECT("'["&amp;G727&amp;"]"&amp;E727&amp;"'!"&amp;$AE$2))),INDIRECT("'["&amp;G727&amp;"]"&amp;E727&amp;"'!"&amp;$AE$3),0)</f>
        <v>#VALUE!</v>
      </c>
      <c r="T727" s="35" t="e" cm="1">
        <f t="array" aca="1" ref="T727" ca="1">IF(AND(G727=INDIRECT("'["&amp;G727&amp;"]"&amp;E727&amp;"'!"&amp;$AH$2),OR(I727=INDIRECT("'["&amp;G727&amp;"]"&amp;E727&amp;"'!"&amp;$AF$2))),INDIRECT("'["&amp;G727&amp;"]"&amp;E727&amp;"'!"&amp;$AF$3),0)</f>
        <v>#VALUE!</v>
      </c>
      <c r="U727" s="34" t="e" cm="1">
        <f t="array" aca="1" ref="U727" ca="1">IF(AND(G727=INDIRECT("'["&amp;G727&amp;"]"&amp;E727&amp;"'!"&amp;$AH$2),OR(I727=INDIRECT("'["&amp;G727&amp;"]"&amp;E727&amp;"'!"&amp;$AG$2))),INDIRECT("'["&amp;G727&amp;"]"&amp;E727&amp;"'!"&amp;$AG$3),0)</f>
        <v>#VALUE!</v>
      </c>
      <c r="V727" s="25" t="str">
        <f t="shared" si="197"/>
        <v/>
      </c>
      <c r="W727" s="36" t="e" cm="1">
        <f t="array" aca="1" ref="W727" ca="1">IF(AND(G727=INDIRECT("'["&amp;G727&amp;"]"&amp;E727&amp;"'!"&amp;$AH$2),OR(V727=INDIRECT("'["&amp;G727&amp;"]"&amp;E727&amp;"'!"&amp;$AI$2))),INDIRECT("'["&amp;G727&amp;"]"&amp;E727&amp;"'!"&amp;$AI$3),0)</f>
        <v>#VALUE!</v>
      </c>
      <c r="AJ727" s="25">
        <v>1</v>
      </c>
      <c r="AK727" s="38">
        <f t="shared" ca="1" si="198"/>
        <v>0</v>
      </c>
      <c r="AL727" s="38">
        <f t="shared" ca="1" si="199"/>
        <v>0</v>
      </c>
      <c r="AM727" s="54" t="str">
        <f t="shared" ca="1" si="200"/>
        <v/>
      </c>
      <c r="AN727" s="25" t="e">
        <f t="shared" ca="1" si="201"/>
        <v>#VALUE!</v>
      </c>
      <c r="AO727" s="25" t="e">
        <f t="shared" ca="1" si="202"/>
        <v>#VALUE!</v>
      </c>
      <c r="AQ727" s="46" t="str">
        <f ca="1">IF(AND(C727&lt;&gt;0, C728=0), SUM($C$2:C727)-SUM($AQ$1:AQ726), "")</f>
        <v/>
      </c>
      <c r="AR727" s="46" t="str">
        <f ca="1">IF(AND(AK727&lt;&gt;0, AK728=0), SUM($AK$2:AK727)-SUM($AR$1:AR726), "")</f>
        <v/>
      </c>
    </row>
    <row r="728" spans="2:44" ht="13.15" customHeight="1">
      <c r="B728" s="68" t="str">
        <f t="shared" si="188"/>
        <v/>
      </c>
      <c r="C728" s="55" cm="1">
        <f t="array" aca="1" ref="C728" ca="1">SUM(IF(ISNUMBER(M728:U728),M728:U728,""))</f>
        <v>0</v>
      </c>
      <c r="D728" s="25" t="str">
        <f t="shared" si="189"/>
        <v/>
      </c>
      <c r="E728" s="25" t="e">
        <f t="shared" si="190"/>
        <v>#VALUE!</v>
      </c>
      <c r="F728" s="25" t="str">
        <f t="shared" si="191"/>
        <v/>
      </c>
      <c r="G728" s="25" t="str">
        <f t="shared" si="192"/>
        <v>.xlsx</v>
      </c>
      <c r="H728" s="29" t="e" cm="1">
        <f t="array" aca="1" ref="H728" ca="1">IF(AND(VALUE(E728)=INDIRECT("'["&amp;G728&amp;"]"&amp;E728&amp;"'!"&amp;$X$2),G728=INDIRECT("'["&amp;G728&amp;"]"&amp;E728&amp;"'!"&amp;$X$3)),INDIRECT("'["&amp;G728&amp;"]"&amp;E728&amp;"'!"&amp;$X$1),0)</f>
        <v>#VALUE!</v>
      </c>
      <c r="I728" s="25" t="str">
        <f t="shared" si="193"/>
        <v/>
      </c>
      <c r="J728" s="32" t="str">
        <f t="shared" si="194"/>
        <v/>
      </c>
      <c r="K728" s="25" t="str">
        <f t="shared" si="195"/>
        <v/>
      </c>
      <c r="L728" s="25" t="str">
        <f t="shared" si="196"/>
        <v/>
      </c>
      <c r="M728" s="33" t="e" cm="1">
        <f t="array" aca="1" ref="M728" ca="1">IF(AND(J728=INDIRECT("'["&amp;G728&amp;"]"&amp;E728&amp;"'!"&amp;$Y$2),G728=INDIRECT("'["&amp;G728&amp;"]"&amp;E728&amp;"'!"&amp;$AH$2)),INDIRECT("'["&amp;G728&amp;"]"&amp;E728&amp;"'!"&amp;$Y$3),0)</f>
        <v>#VALUE!</v>
      </c>
      <c r="N728" s="34" t="e" cm="1">
        <f t="array" aca="1" ref="N728" ca="1">IF(AND(G728=INDIRECT("'["&amp;G728&amp;"]"&amp;E728&amp;"'!"&amp;$AH$2),OR(K728=INDIRECT("'["&amp;G728&amp;"]"&amp;E728&amp;"'!"&amp;$Z$2))),INDIRECT("'["&amp;G728&amp;"]"&amp;E728&amp;"'!"&amp;$Z$3),0)</f>
        <v>#VALUE!</v>
      </c>
      <c r="O728" s="34" t="e" cm="1">
        <f t="array" aca="1" ref="O728" ca="1">IF(AND(G728=INDIRECT("'["&amp;G728&amp;"]"&amp;E728&amp;"'!"&amp;$AH$2),OR(L728=INDIRECT("'["&amp;G728&amp;"]"&amp;E728&amp;"'!"&amp;$AA$2))),INDIRECT("'["&amp;G728&amp;"]"&amp;E728&amp;"'!"&amp;$AA$3),0)</f>
        <v>#VALUE!</v>
      </c>
      <c r="P728" s="34" t="e" cm="1">
        <f t="array" aca="1" ref="P728" ca="1">IF(AND(G728=INDIRECT("'["&amp;G728&amp;"]"&amp;E728&amp;"'!"&amp;$AH$2),OR(VALUE(I728)=INDIRECT("'["&amp;G728&amp;"]"&amp;E728&amp;"'!"&amp;$AB$2))),INDIRECT("'["&amp;G728&amp;"]"&amp;E728&amp;"'!"&amp;$AB$3),0)</f>
        <v>#VALUE!</v>
      </c>
      <c r="Q728" s="34" t="e" cm="1">
        <f t="array" aca="1" ref="Q728" ca="1">IF(AND(G728=INDIRECT("'["&amp;G728&amp;"]"&amp;E728&amp;"'!"&amp;$AH$2),OR(VALUE(I728)=INDIRECT("'["&amp;G728&amp;"]"&amp;E728&amp;"'!"&amp;$AC$2))),INDIRECT("'["&amp;G728&amp;"]"&amp;E728&amp;"'!"&amp;$AC$3),0)</f>
        <v>#VALUE!</v>
      </c>
      <c r="R728" s="34" t="e" cm="1">
        <f t="array" aca="1" ref="R728" ca="1">IF(AND(G728=INDIRECT("'["&amp;G728&amp;"]"&amp;E728&amp;"'!"&amp;$AH$2),OR(I728=INDIRECT("'["&amp;G728&amp;"]"&amp;E728&amp;"'!"&amp;$AD$2))),INDIRECT("'["&amp;G728&amp;"]"&amp;E728&amp;"'!"&amp;$AD$3),0)</f>
        <v>#VALUE!</v>
      </c>
      <c r="S728" s="34" t="e" cm="1">
        <f t="array" aca="1" ref="S728" ca="1">IF(AND(G728=INDIRECT("'["&amp;G728&amp;"]"&amp;E728&amp;"'!"&amp;$AH$2),OR(I728=INDIRECT("'["&amp;G728&amp;"]"&amp;E728&amp;"'!"&amp;$AE$2))),INDIRECT("'["&amp;G728&amp;"]"&amp;E728&amp;"'!"&amp;$AE$3),0)</f>
        <v>#VALUE!</v>
      </c>
      <c r="T728" s="35" t="e" cm="1">
        <f t="array" aca="1" ref="T728" ca="1">IF(AND(G728=INDIRECT("'["&amp;G728&amp;"]"&amp;E728&amp;"'!"&amp;$AH$2),OR(I728=INDIRECT("'["&amp;G728&amp;"]"&amp;E728&amp;"'!"&amp;$AF$2))),INDIRECT("'["&amp;G728&amp;"]"&amp;E728&amp;"'!"&amp;$AF$3),0)</f>
        <v>#VALUE!</v>
      </c>
      <c r="U728" s="34" t="e" cm="1">
        <f t="array" aca="1" ref="U728" ca="1">IF(AND(G728=INDIRECT("'["&amp;G728&amp;"]"&amp;E728&amp;"'!"&amp;$AH$2),OR(I728=INDIRECT("'["&amp;G728&amp;"]"&amp;E728&amp;"'!"&amp;$AG$2))),INDIRECT("'["&amp;G728&amp;"]"&amp;E728&amp;"'!"&amp;$AG$3),0)</f>
        <v>#VALUE!</v>
      </c>
      <c r="V728" s="25" t="str">
        <f t="shared" si="197"/>
        <v/>
      </c>
      <c r="W728" s="36" t="e" cm="1">
        <f t="array" aca="1" ref="W728" ca="1">IF(AND(G728=INDIRECT("'["&amp;G728&amp;"]"&amp;E728&amp;"'!"&amp;$AH$2),OR(V728=INDIRECT("'["&amp;G728&amp;"]"&amp;E728&amp;"'!"&amp;$AI$2))),INDIRECT("'["&amp;G728&amp;"]"&amp;E728&amp;"'!"&amp;$AI$3),0)</f>
        <v>#VALUE!</v>
      </c>
      <c r="AJ728" s="25">
        <v>1</v>
      </c>
      <c r="AK728" s="38">
        <f t="shared" ca="1" si="198"/>
        <v>0</v>
      </c>
      <c r="AL728" s="38">
        <f t="shared" ca="1" si="199"/>
        <v>0</v>
      </c>
      <c r="AM728" s="54" t="str">
        <f t="shared" ca="1" si="200"/>
        <v/>
      </c>
      <c r="AN728" s="25" t="e">
        <f t="shared" ca="1" si="201"/>
        <v>#VALUE!</v>
      </c>
      <c r="AO728" s="25" t="e">
        <f t="shared" ca="1" si="202"/>
        <v>#VALUE!</v>
      </c>
      <c r="AQ728" s="46" t="str">
        <f ca="1">IF(AND(C728&lt;&gt;0, C729=0), SUM($C$2:C728)-SUM($AQ$1:AQ727), "")</f>
        <v/>
      </c>
      <c r="AR728" s="46" t="str">
        <f ca="1">IF(AND(AK728&lt;&gt;0, AK729=0), SUM($AK$2:AK728)-SUM($AR$1:AR727), "")</f>
        <v/>
      </c>
    </row>
    <row r="729" spans="2:44" ht="13.15" customHeight="1">
      <c r="B729" s="68" t="str">
        <f t="shared" si="188"/>
        <v/>
      </c>
      <c r="C729" s="55" cm="1">
        <f t="array" aca="1" ref="C729" ca="1">SUM(IF(ISNUMBER(M729:U729),M729:U729,""))</f>
        <v>0</v>
      </c>
      <c r="D729" s="25" t="str">
        <f t="shared" si="189"/>
        <v/>
      </c>
      <c r="E729" s="25" t="e">
        <f t="shared" si="190"/>
        <v>#VALUE!</v>
      </c>
      <c r="F729" s="25" t="str">
        <f t="shared" si="191"/>
        <v/>
      </c>
      <c r="G729" s="25" t="str">
        <f t="shared" si="192"/>
        <v>.xlsx</v>
      </c>
      <c r="H729" s="29" t="e" cm="1">
        <f t="array" aca="1" ref="H729" ca="1">IF(AND(VALUE(E729)=INDIRECT("'["&amp;G729&amp;"]"&amp;E729&amp;"'!"&amp;$X$2),G729=INDIRECT("'["&amp;G729&amp;"]"&amp;E729&amp;"'!"&amp;$X$3)),INDIRECT("'["&amp;G729&amp;"]"&amp;E729&amp;"'!"&amp;$X$1),0)</f>
        <v>#VALUE!</v>
      </c>
      <c r="I729" s="25" t="str">
        <f t="shared" si="193"/>
        <v/>
      </c>
      <c r="J729" s="32" t="str">
        <f t="shared" si="194"/>
        <v/>
      </c>
      <c r="K729" s="25" t="str">
        <f t="shared" si="195"/>
        <v/>
      </c>
      <c r="L729" s="25" t="str">
        <f t="shared" si="196"/>
        <v/>
      </c>
      <c r="M729" s="33" t="e" cm="1">
        <f t="array" aca="1" ref="M729" ca="1">IF(AND(J729=INDIRECT("'["&amp;G729&amp;"]"&amp;E729&amp;"'!"&amp;$Y$2),G729=INDIRECT("'["&amp;G729&amp;"]"&amp;E729&amp;"'!"&amp;$AH$2)),INDIRECT("'["&amp;G729&amp;"]"&amp;E729&amp;"'!"&amp;$Y$3),0)</f>
        <v>#VALUE!</v>
      </c>
      <c r="N729" s="34" t="e" cm="1">
        <f t="array" aca="1" ref="N729" ca="1">IF(AND(G729=INDIRECT("'["&amp;G729&amp;"]"&amp;E729&amp;"'!"&amp;$AH$2),OR(K729=INDIRECT("'["&amp;G729&amp;"]"&amp;E729&amp;"'!"&amp;$Z$2))),INDIRECT("'["&amp;G729&amp;"]"&amp;E729&amp;"'!"&amp;$Z$3),0)</f>
        <v>#VALUE!</v>
      </c>
      <c r="O729" s="34" t="e" cm="1">
        <f t="array" aca="1" ref="O729" ca="1">IF(AND(G729=INDIRECT("'["&amp;G729&amp;"]"&amp;E729&amp;"'!"&amp;$AH$2),OR(L729=INDIRECT("'["&amp;G729&amp;"]"&amp;E729&amp;"'!"&amp;$AA$2))),INDIRECT("'["&amp;G729&amp;"]"&amp;E729&amp;"'!"&amp;$AA$3),0)</f>
        <v>#VALUE!</v>
      </c>
      <c r="P729" s="34" t="e" cm="1">
        <f t="array" aca="1" ref="P729" ca="1">IF(AND(G729=INDIRECT("'["&amp;G729&amp;"]"&amp;E729&amp;"'!"&amp;$AH$2),OR(VALUE(I729)=INDIRECT("'["&amp;G729&amp;"]"&amp;E729&amp;"'!"&amp;$AB$2))),INDIRECT("'["&amp;G729&amp;"]"&amp;E729&amp;"'!"&amp;$AB$3),0)</f>
        <v>#VALUE!</v>
      </c>
      <c r="Q729" s="34" t="e" cm="1">
        <f t="array" aca="1" ref="Q729" ca="1">IF(AND(G729=INDIRECT("'["&amp;G729&amp;"]"&amp;E729&amp;"'!"&amp;$AH$2),OR(VALUE(I729)=INDIRECT("'["&amp;G729&amp;"]"&amp;E729&amp;"'!"&amp;$AC$2))),INDIRECT("'["&amp;G729&amp;"]"&amp;E729&amp;"'!"&amp;$AC$3),0)</f>
        <v>#VALUE!</v>
      </c>
      <c r="R729" s="34" t="e" cm="1">
        <f t="array" aca="1" ref="R729" ca="1">IF(AND(G729=INDIRECT("'["&amp;G729&amp;"]"&amp;E729&amp;"'!"&amp;$AH$2),OR(I729=INDIRECT("'["&amp;G729&amp;"]"&amp;E729&amp;"'!"&amp;$AD$2))),INDIRECT("'["&amp;G729&amp;"]"&amp;E729&amp;"'!"&amp;$AD$3),0)</f>
        <v>#VALUE!</v>
      </c>
      <c r="S729" s="34" t="e" cm="1">
        <f t="array" aca="1" ref="S729" ca="1">IF(AND(G729=INDIRECT("'["&amp;G729&amp;"]"&amp;E729&amp;"'!"&amp;$AH$2),OR(I729=INDIRECT("'["&amp;G729&amp;"]"&amp;E729&amp;"'!"&amp;$AE$2))),INDIRECT("'["&amp;G729&amp;"]"&amp;E729&amp;"'!"&amp;$AE$3),0)</f>
        <v>#VALUE!</v>
      </c>
      <c r="T729" s="35" t="e" cm="1">
        <f t="array" aca="1" ref="T729" ca="1">IF(AND(G729=INDIRECT("'["&amp;G729&amp;"]"&amp;E729&amp;"'!"&amp;$AH$2),OR(I729=INDIRECT("'["&amp;G729&amp;"]"&amp;E729&amp;"'!"&amp;$AF$2))),INDIRECT("'["&amp;G729&amp;"]"&amp;E729&amp;"'!"&amp;$AF$3),0)</f>
        <v>#VALUE!</v>
      </c>
      <c r="U729" s="34" t="e" cm="1">
        <f t="array" aca="1" ref="U729" ca="1">IF(AND(G729=INDIRECT("'["&amp;G729&amp;"]"&amp;E729&amp;"'!"&amp;$AH$2),OR(I729=INDIRECT("'["&amp;G729&amp;"]"&amp;E729&amp;"'!"&amp;$AG$2))),INDIRECT("'["&amp;G729&amp;"]"&amp;E729&amp;"'!"&amp;$AG$3),0)</f>
        <v>#VALUE!</v>
      </c>
      <c r="V729" s="25" t="str">
        <f t="shared" si="197"/>
        <v/>
      </c>
      <c r="W729" s="36" t="e" cm="1">
        <f t="array" aca="1" ref="W729" ca="1">IF(AND(G729=INDIRECT("'["&amp;G729&amp;"]"&amp;E729&amp;"'!"&amp;$AH$2),OR(V729=INDIRECT("'["&amp;G729&amp;"]"&amp;E729&amp;"'!"&amp;$AI$2))),INDIRECT("'["&amp;G729&amp;"]"&amp;E729&amp;"'!"&amp;$AI$3),0)</f>
        <v>#VALUE!</v>
      </c>
      <c r="AJ729" s="25">
        <v>1</v>
      </c>
      <c r="AK729" s="38">
        <f t="shared" ca="1" si="198"/>
        <v>0</v>
      </c>
      <c r="AL729" s="38">
        <f t="shared" ca="1" si="199"/>
        <v>0</v>
      </c>
      <c r="AM729" s="54" t="str">
        <f t="shared" ca="1" si="200"/>
        <v/>
      </c>
      <c r="AN729" s="25" t="e">
        <f t="shared" ca="1" si="201"/>
        <v>#VALUE!</v>
      </c>
      <c r="AO729" s="25" t="e">
        <f t="shared" ca="1" si="202"/>
        <v>#VALUE!</v>
      </c>
      <c r="AQ729" s="46" t="str">
        <f ca="1">IF(AND(C729&lt;&gt;0, C730=0), SUM($C$2:C729)-SUM($AQ$1:AQ728), "")</f>
        <v/>
      </c>
      <c r="AR729" s="46" t="str">
        <f ca="1">IF(AND(AK729&lt;&gt;0, AK730=0), SUM($AK$2:AK729)-SUM($AR$1:AR728), "")</f>
        <v/>
      </c>
    </row>
    <row r="730" spans="2:44" ht="13.15" customHeight="1">
      <c r="B730" s="68" t="str">
        <f t="shared" si="188"/>
        <v/>
      </c>
      <c r="C730" s="55" cm="1">
        <f t="array" aca="1" ref="C730" ca="1">SUM(IF(ISNUMBER(M730:U730),M730:U730,""))</f>
        <v>0</v>
      </c>
      <c r="D730" s="25" t="str">
        <f t="shared" si="189"/>
        <v/>
      </c>
      <c r="E730" s="25" t="e">
        <f t="shared" si="190"/>
        <v>#VALUE!</v>
      </c>
      <c r="F730" s="25" t="str">
        <f t="shared" si="191"/>
        <v/>
      </c>
      <c r="G730" s="25" t="str">
        <f t="shared" si="192"/>
        <v>.xlsx</v>
      </c>
      <c r="H730" s="29" t="e" cm="1">
        <f t="array" aca="1" ref="H730" ca="1">IF(AND(VALUE(E730)=INDIRECT("'["&amp;G730&amp;"]"&amp;E730&amp;"'!"&amp;$X$2),G730=INDIRECT("'["&amp;G730&amp;"]"&amp;E730&amp;"'!"&amp;$X$3)),INDIRECT("'["&amp;G730&amp;"]"&amp;E730&amp;"'!"&amp;$X$1),0)</f>
        <v>#VALUE!</v>
      </c>
      <c r="I730" s="25" t="str">
        <f t="shared" si="193"/>
        <v/>
      </c>
      <c r="J730" s="32" t="str">
        <f t="shared" si="194"/>
        <v/>
      </c>
      <c r="K730" s="25" t="str">
        <f t="shared" si="195"/>
        <v/>
      </c>
      <c r="L730" s="25" t="str">
        <f t="shared" si="196"/>
        <v/>
      </c>
      <c r="M730" s="33" t="e" cm="1">
        <f t="array" aca="1" ref="M730" ca="1">IF(AND(J730=INDIRECT("'["&amp;G730&amp;"]"&amp;E730&amp;"'!"&amp;$Y$2),G730=INDIRECT("'["&amp;G730&amp;"]"&amp;E730&amp;"'!"&amp;$AH$2)),INDIRECT("'["&amp;G730&amp;"]"&amp;E730&amp;"'!"&amp;$Y$3),0)</f>
        <v>#VALUE!</v>
      </c>
      <c r="N730" s="34" t="e" cm="1">
        <f t="array" aca="1" ref="N730" ca="1">IF(AND(G730=INDIRECT("'["&amp;G730&amp;"]"&amp;E730&amp;"'!"&amp;$AH$2),OR(K730=INDIRECT("'["&amp;G730&amp;"]"&amp;E730&amp;"'!"&amp;$Z$2))),INDIRECT("'["&amp;G730&amp;"]"&amp;E730&amp;"'!"&amp;$Z$3),0)</f>
        <v>#VALUE!</v>
      </c>
      <c r="O730" s="34" t="e" cm="1">
        <f t="array" aca="1" ref="O730" ca="1">IF(AND(G730=INDIRECT("'["&amp;G730&amp;"]"&amp;E730&amp;"'!"&amp;$AH$2),OR(L730=INDIRECT("'["&amp;G730&amp;"]"&amp;E730&amp;"'!"&amp;$AA$2))),INDIRECT("'["&amp;G730&amp;"]"&amp;E730&amp;"'!"&amp;$AA$3),0)</f>
        <v>#VALUE!</v>
      </c>
      <c r="P730" s="34" t="e" cm="1">
        <f t="array" aca="1" ref="P730" ca="1">IF(AND(G730=INDIRECT("'["&amp;G730&amp;"]"&amp;E730&amp;"'!"&amp;$AH$2),OR(VALUE(I730)=INDIRECT("'["&amp;G730&amp;"]"&amp;E730&amp;"'!"&amp;$AB$2))),INDIRECT("'["&amp;G730&amp;"]"&amp;E730&amp;"'!"&amp;$AB$3),0)</f>
        <v>#VALUE!</v>
      </c>
      <c r="Q730" s="34" t="e" cm="1">
        <f t="array" aca="1" ref="Q730" ca="1">IF(AND(G730=INDIRECT("'["&amp;G730&amp;"]"&amp;E730&amp;"'!"&amp;$AH$2),OR(VALUE(I730)=INDIRECT("'["&amp;G730&amp;"]"&amp;E730&amp;"'!"&amp;$AC$2))),INDIRECT("'["&amp;G730&amp;"]"&amp;E730&amp;"'!"&amp;$AC$3),0)</f>
        <v>#VALUE!</v>
      </c>
      <c r="R730" s="34" t="e" cm="1">
        <f t="array" aca="1" ref="R730" ca="1">IF(AND(G730=INDIRECT("'["&amp;G730&amp;"]"&amp;E730&amp;"'!"&amp;$AH$2),OR(I730=INDIRECT("'["&amp;G730&amp;"]"&amp;E730&amp;"'!"&amp;$AD$2))),INDIRECT("'["&amp;G730&amp;"]"&amp;E730&amp;"'!"&amp;$AD$3),0)</f>
        <v>#VALUE!</v>
      </c>
      <c r="S730" s="34" t="e" cm="1">
        <f t="array" aca="1" ref="S730" ca="1">IF(AND(G730=INDIRECT("'["&amp;G730&amp;"]"&amp;E730&amp;"'!"&amp;$AH$2),OR(I730=INDIRECT("'["&amp;G730&amp;"]"&amp;E730&amp;"'!"&amp;$AE$2))),INDIRECT("'["&amp;G730&amp;"]"&amp;E730&amp;"'!"&amp;$AE$3),0)</f>
        <v>#VALUE!</v>
      </c>
      <c r="T730" s="35" t="e" cm="1">
        <f t="array" aca="1" ref="T730" ca="1">IF(AND(G730=INDIRECT("'["&amp;G730&amp;"]"&amp;E730&amp;"'!"&amp;$AH$2),OR(I730=INDIRECT("'["&amp;G730&amp;"]"&amp;E730&amp;"'!"&amp;$AF$2))),INDIRECT("'["&amp;G730&amp;"]"&amp;E730&amp;"'!"&amp;$AF$3),0)</f>
        <v>#VALUE!</v>
      </c>
      <c r="U730" s="34" t="e" cm="1">
        <f t="array" aca="1" ref="U730" ca="1">IF(AND(G730=INDIRECT("'["&amp;G730&amp;"]"&amp;E730&amp;"'!"&amp;$AH$2),OR(I730=INDIRECT("'["&amp;G730&amp;"]"&amp;E730&amp;"'!"&amp;$AG$2))),INDIRECT("'["&amp;G730&amp;"]"&amp;E730&amp;"'!"&amp;$AG$3),0)</f>
        <v>#VALUE!</v>
      </c>
      <c r="V730" s="25" t="str">
        <f t="shared" si="197"/>
        <v/>
      </c>
      <c r="W730" s="36" t="e" cm="1">
        <f t="array" aca="1" ref="W730" ca="1">IF(AND(G730=INDIRECT("'["&amp;G730&amp;"]"&amp;E730&amp;"'!"&amp;$AH$2),OR(V730=INDIRECT("'["&amp;G730&amp;"]"&amp;E730&amp;"'!"&amp;$AI$2))),INDIRECT("'["&amp;G730&amp;"]"&amp;E730&amp;"'!"&amp;$AI$3),0)</f>
        <v>#VALUE!</v>
      </c>
      <c r="AJ730" s="25">
        <v>1</v>
      </c>
      <c r="AK730" s="38">
        <f t="shared" ca="1" si="198"/>
        <v>0</v>
      </c>
      <c r="AL730" s="38">
        <f t="shared" ca="1" si="199"/>
        <v>0</v>
      </c>
      <c r="AM730" s="54" t="str">
        <f t="shared" ca="1" si="200"/>
        <v/>
      </c>
      <c r="AN730" s="25" t="e">
        <f t="shared" ca="1" si="201"/>
        <v>#VALUE!</v>
      </c>
      <c r="AO730" s="25" t="e">
        <f t="shared" ca="1" si="202"/>
        <v>#VALUE!</v>
      </c>
      <c r="AQ730" s="46" t="str">
        <f ca="1">IF(AND(C730&lt;&gt;0, C731=0), SUM($C$2:C730)-SUM($AQ$1:AQ729), "")</f>
        <v/>
      </c>
      <c r="AR730" s="46" t="str">
        <f ca="1">IF(AND(AK730&lt;&gt;0, AK731=0), SUM($AK$2:AK730)-SUM($AR$1:AR729), "")</f>
        <v/>
      </c>
    </row>
    <row r="731" spans="2:44" ht="13.15" customHeight="1">
      <c r="B731" s="68" t="str">
        <f t="shared" si="188"/>
        <v/>
      </c>
      <c r="C731" s="55" cm="1">
        <f t="array" aca="1" ref="C731" ca="1">SUM(IF(ISNUMBER(M731:U731),M731:U731,""))</f>
        <v>0</v>
      </c>
      <c r="D731" s="25" t="str">
        <f t="shared" si="189"/>
        <v/>
      </c>
      <c r="E731" s="25" t="e">
        <f t="shared" si="190"/>
        <v>#VALUE!</v>
      </c>
      <c r="F731" s="25" t="str">
        <f t="shared" si="191"/>
        <v/>
      </c>
      <c r="G731" s="25" t="str">
        <f t="shared" si="192"/>
        <v>.xlsx</v>
      </c>
      <c r="H731" s="29" t="e" cm="1">
        <f t="array" aca="1" ref="H731" ca="1">IF(AND(VALUE(E731)=INDIRECT("'["&amp;G731&amp;"]"&amp;E731&amp;"'!"&amp;$X$2),G731=INDIRECT("'["&amp;G731&amp;"]"&amp;E731&amp;"'!"&amp;$X$3)),INDIRECT("'["&amp;G731&amp;"]"&amp;E731&amp;"'!"&amp;$X$1),0)</f>
        <v>#VALUE!</v>
      </c>
      <c r="I731" s="25" t="str">
        <f t="shared" si="193"/>
        <v/>
      </c>
      <c r="J731" s="32" t="str">
        <f t="shared" si="194"/>
        <v/>
      </c>
      <c r="K731" s="25" t="str">
        <f t="shared" si="195"/>
        <v/>
      </c>
      <c r="L731" s="25" t="str">
        <f t="shared" si="196"/>
        <v/>
      </c>
      <c r="M731" s="33" t="e" cm="1">
        <f t="array" aca="1" ref="M731" ca="1">IF(AND(J731=INDIRECT("'["&amp;G731&amp;"]"&amp;E731&amp;"'!"&amp;$Y$2),G731=INDIRECT("'["&amp;G731&amp;"]"&amp;E731&amp;"'!"&amp;$AH$2)),INDIRECT("'["&amp;G731&amp;"]"&amp;E731&amp;"'!"&amp;$Y$3),0)</f>
        <v>#VALUE!</v>
      </c>
      <c r="N731" s="34" t="e" cm="1">
        <f t="array" aca="1" ref="N731" ca="1">IF(AND(G731=INDIRECT("'["&amp;G731&amp;"]"&amp;E731&amp;"'!"&amp;$AH$2),OR(K731=INDIRECT("'["&amp;G731&amp;"]"&amp;E731&amp;"'!"&amp;$Z$2))),INDIRECT("'["&amp;G731&amp;"]"&amp;E731&amp;"'!"&amp;$Z$3),0)</f>
        <v>#VALUE!</v>
      </c>
      <c r="O731" s="34" t="e" cm="1">
        <f t="array" aca="1" ref="O731" ca="1">IF(AND(G731=INDIRECT("'["&amp;G731&amp;"]"&amp;E731&amp;"'!"&amp;$AH$2),OR(L731=INDIRECT("'["&amp;G731&amp;"]"&amp;E731&amp;"'!"&amp;$AA$2))),INDIRECT("'["&amp;G731&amp;"]"&amp;E731&amp;"'!"&amp;$AA$3),0)</f>
        <v>#VALUE!</v>
      </c>
      <c r="P731" s="34" t="e" cm="1">
        <f t="array" aca="1" ref="P731" ca="1">IF(AND(G731=INDIRECT("'["&amp;G731&amp;"]"&amp;E731&amp;"'!"&amp;$AH$2),OR(VALUE(I731)=INDIRECT("'["&amp;G731&amp;"]"&amp;E731&amp;"'!"&amp;$AB$2))),INDIRECT("'["&amp;G731&amp;"]"&amp;E731&amp;"'!"&amp;$AB$3),0)</f>
        <v>#VALUE!</v>
      </c>
      <c r="Q731" s="34" t="e" cm="1">
        <f t="array" aca="1" ref="Q731" ca="1">IF(AND(G731=INDIRECT("'["&amp;G731&amp;"]"&amp;E731&amp;"'!"&amp;$AH$2),OR(VALUE(I731)=INDIRECT("'["&amp;G731&amp;"]"&amp;E731&amp;"'!"&amp;$AC$2))),INDIRECT("'["&amp;G731&amp;"]"&amp;E731&amp;"'!"&amp;$AC$3),0)</f>
        <v>#VALUE!</v>
      </c>
      <c r="R731" s="34" t="e" cm="1">
        <f t="array" aca="1" ref="R731" ca="1">IF(AND(G731=INDIRECT("'["&amp;G731&amp;"]"&amp;E731&amp;"'!"&amp;$AH$2),OR(I731=INDIRECT("'["&amp;G731&amp;"]"&amp;E731&amp;"'!"&amp;$AD$2))),INDIRECT("'["&amp;G731&amp;"]"&amp;E731&amp;"'!"&amp;$AD$3),0)</f>
        <v>#VALUE!</v>
      </c>
      <c r="S731" s="34" t="e" cm="1">
        <f t="array" aca="1" ref="S731" ca="1">IF(AND(G731=INDIRECT("'["&amp;G731&amp;"]"&amp;E731&amp;"'!"&amp;$AH$2),OR(I731=INDIRECT("'["&amp;G731&amp;"]"&amp;E731&amp;"'!"&amp;$AE$2))),INDIRECT("'["&amp;G731&amp;"]"&amp;E731&amp;"'!"&amp;$AE$3),0)</f>
        <v>#VALUE!</v>
      </c>
      <c r="T731" s="35" t="e" cm="1">
        <f t="array" aca="1" ref="T731" ca="1">IF(AND(G731=INDIRECT("'["&amp;G731&amp;"]"&amp;E731&amp;"'!"&amp;$AH$2),OR(I731=INDIRECT("'["&amp;G731&amp;"]"&amp;E731&amp;"'!"&amp;$AF$2))),INDIRECT("'["&amp;G731&amp;"]"&amp;E731&amp;"'!"&amp;$AF$3),0)</f>
        <v>#VALUE!</v>
      </c>
      <c r="U731" s="34" t="e" cm="1">
        <f t="array" aca="1" ref="U731" ca="1">IF(AND(G731=INDIRECT("'["&amp;G731&amp;"]"&amp;E731&amp;"'!"&amp;$AH$2),OR(I731=INDIRECT("'["&amp;G731&amp;"]"&amp;E731&amp;"'!"&amp;$AG$2))),INDIRECT("'["&amp;G731&amp;"]"&amp;E731&amp;"'!"&amp;$AG$3),0)</f>
        <v>#VALUE!</v>
      </c>
      <c r="V731" s="25" t="str">
        <f t="shared" si="197"/>
        <v/>
      </c>
      <c r="W731" s="36" t="e" cm="1">
        <f t="array" aca="1" ref="W731" ca="1">IF(AND(G731=INDIRECT("'["&amp;G731&amp;"]"&amp;E731&amp;"'!"&amp;$AH$2),OR(V731=INDIRECT("'["&amp;G731&amp;"]"&amp;E731&amp;"'!"&amp;$AI$2))),INDIRECT("'["&amp;G731&amp;"]"&amp;E731&amp;"'!"&amp;$AI$3),0)</f>
        <v>#VALUE!</v>
      </c>
      <c r="AJ731" s="25">
        <v>1</v>
      </c>
      <c r="AK731" s="38">
        <f t="shared" ca="1" si="198"/>
        <v>0</v>
      </c>
      <c r="AL731" s="38">
        <f t="shared" ca="1" si="199"/>
        <v>0</v>
      </c>
      <c r="AM731" s="54" t="str">
        <f t="shared" ca="1" si="200"/>
        <v/>
      </c>
      <c r="AN731" s="25" t="e">
        <f t="shared" ca="1" si="201"/>
        <v>#VALUE!</v>
      </c>
      <c r="AO731" s="25" t="e">
        <f t="shared" ca="1" si="202"/>
        <v>#VALUE!</v>
      </c>
      <c r="AQ731" s="46" t="str">
        <f ca="1">IF(AND(C731&lt;&gt;0, C732=0), SUM($C$2:C731)-SUM($AQ$1:AQ730), "")</f>
        <v/>
      </c>
      <c r="AR731" s="46" t="str">
        <f ca="1">IF(AND(AK731&lt;&gt;0, AK732=0), SUM($AK$2:AK731)-SUM($AR$1:AR730), "")</f>
        <v/>
      </c>
    </row>
    <row r="732" spans="2:44" ht="13.15" customHeight="1">
      <c r="B732" s="68" t="str">
        <f t="shared" si="188"/>
        <v/>
      </c>
      <c r="C732" s="55" cm="1">
        <f t="array" aca="1" ref="C732" ca="1">SUM(IF(ISNUMBER(M732:U732),M732:U732,""))</f>
        <v>0</v>
      </c>
      <c r="D732" s="25" t="str">
        <f t="shared" si="189"/>
        <v/>
      </c>
      <c r="E732" s="25" t="e">
        <f t="shared" si="190"/>
        <v>#VALUE!</v>
      </c>
      <c r="F732" s="25" t="str">
        <f t="shared" si="191"/>
        <v/>
      </c>
      <c r="G732" s="25" t="str">
        <f t="shared" si="192"/>
        <v>.xlsx</v>
      </c>
      <c r="H732" s="29" t="e" cm="1">
        <f t="array" aca="1" ref="H732" ca="1">IF(AND(VALUE(E732)=INDIRECT("'["&amp;G732&amp;"]"&amp;E732&amp;"'!"&amp;$X$2),G732=INDIRECT("'["&amp;G732&amp;"]"&amp;E732&amp;"'!"&amp;$X$3)),INDIRECT("'["&amp;G732&amp;"]"&amp;E732&amp;"'!"&amp;$X$1),0)</f>
        <v>#VALUE!</v>
      </c>
      <c r="I732" s="25" t="str">
        <f t="shared" si="193"/>
        <v/>
      </c>
      <c r="J732" s="32" t="str">
        <f t="shared" si="194"/>
        <v/>
      </c>
      <c r="K732" s="25" t="str">
        <f t="shared" si="195"/>
        <v/>
      </c>
      <c r="L732" s="25" t="str">
        <f t="shared" si="196"/>
        <v/>
      </c>
      <c r="M732" s="33" t="e" cm="1">
        <f t="array" aca="1" ref="M732" ca="1">IF(AND(J732=INDIRECT("'["&amp;G732&amp;"]"&amp;E732&amp;"'!"&amp;$Y$2),G732=INDIRECT("'["&amp;G732&amp;"]"&amp;E732&amp;"'!"&amp;$AH$2)),INDIRECT("'["&amp;G732&amp;"]"&amp;E732&amp;"'!"&amp;$Y$3),0)</f>
        <v>#VALUE!</v>
      </c>
      <c r="N732" s="34" t="e" cm="1">
        <f t="array" aca="1" ref="N732" ca="1">IF(AND(G732=INDIRECT("'["&amp;G732&amp;"]"&amp;E732&amp;"'!"&amp;$AH$2),OR(K732=INDIRECT("'["&amp;G732&amp;"]"&amp;E732&amp;"'!"&amp;$Z$2))),INDIRECT("'["&amp;G732&amp;"]"&amp;E732&amp;"'!"&amp;$Z$3),0)</f>
        <v>#VALUE!</v>
      </c>
      <c r="O732" s="34" t="e" cm="1">
        <f t="array" aca="1" ref="O732" ca="1">IF(AND(G732=INDIRECT("'["&amp;G732&amp;"]"&amp;E732&amp;"'!"&amp;$AH$2),OR(L732=INDIRECT("'["&amp;G732&amp;"]"&amp;E732&amp;"'!"&amp;$AA$2))),INDIRECT("'["&amp;G732&amp;"]"&amp;E732&amp;"'!"&amp;$AA$3),0)</f>
        <v>#VALUE!</v>
      </c>
      <c r="P732" s="34" t="e" cm="1">
        <f t="array" aca="1" ref="P732" ca="1">IF(AND(G732=INDIRECT("'["&amp;G732&amp;"]"&amp;E732&amp;"'!"&amp;$AH$2),OR(VALUE(I732)=INDIRECT("'["&amp;G732&amp;"]"&amp;E732&amp;"'!"&amp;$AB$2))),INDIRECT("'["&amp;G732&amp;"]"&amp;E732&amp;"'!"&amp;$AB$3),0)</f>
        <v>#VALUE!</v>
      </c>
      <c r="Q732" s="34" t="e" cm="1">
        <f t="array" aca="1" ref="Q732" ca="1">IF(AND(G732=INDIRECT("'["&amp;G732&amp;"]"&amp;E732&amp;"'!"&amp;$AH$2),OR(VALUE(I732)=INDIRECT("'["&amp;G732&amp;"]"&amp;E732&amp;"'!"&amp;$AC$2))),INDIRECT("'["&amp;G732&amp;"]"&amp;E732&amp;"'!"&amp;$AC$3),0)</f>
        <v>#VALUE!</v>
      </c>
      <c r="R732" s="34" t="e" cm="1">
        <f t="array" aca="1" ref="R732" ca="1">IF(AND(G732=INDIRECT("'["&amp;G732&amp;"]"&amp;E732&amp;"'!"&amp;$AH$2),OR(I732=INDIRECT("'["&amp;G732&amp;"]"&amp;E732&amp;"'!"&amp;$AD$2))),INDIRECT("'["&amp;G732&amp;"]"&amp;E732&amp;"'!"&amp;$AD$3),0)</f>
        <v>#VALUE!</v>
      </c>
      <c r="S732" s="34" t="e" cm="1">
        <f t="array" aca="1" ref="S732" ca="1">IF(AND(G732=INDIRECT("'["&amp;G732&amp;"]"&amp;E732&amp;"'!"&amp;$AH$2),OR(I732=INDIRECT("'["&amp;G732&amp;"]"&amp;E732&amp;"'!"&amp;$AE$2))),INDIRECT("'["&amp;G732&amp;"]"&amp;E732&amp;"'!"&amp;$AE$3),0)</f>
        <v>#VALUE!</v>
      </c>
      <c r="T732" s="35" t="e" cm="1">
        <f t="array" aca="1" ref="T732" ca="1">IF(AND(G732=INDIRECT("'["&amp;G732&amp;"]"&amp;E732&amp;"'!"&amp;$AH$2),OR(I732=INDIRECT("'["&amp;G732&amp;"]"&amp;E732&amp;"'!"&amp;$AF$2))),INDIRECT("'["&amp;G732&amp;"]"&amp;E732&amp;"'!"&amp;$AF$3),0)</f>
        <v>#VALUE!</v>
      </c>
      <c r="U732" s="34" t="e" cm="1">
        <f t="array" aca="1" ref="U732" ca="1">IF(AND(G732=INDIRECT("'["&amp;G732&amp;"]"&amp;E732&amp;"'!"&amp;$AH$2),OR(I732=INDIRECT("'["&amp;G732&amp;"]"&amp;E732&amp;"'!"&amp;$AG$2))),INDIRECT("'["&amp;G732&amp;"]"&amp;E732&amp;"'!"&amp;$AG$3),0)</f>
        <v>#VALUE!</v>
      </c>
      <c r="V732" s="25" t="str">
        <f t="shared" si="197"/>
        <v/>
      </c>
      <c r="W732" s="36" t="e" cm="1">
        <f t="array" aca="1" ref="W732" ca="1">IF(AND(G732=INDIRECT("'["&amp;G732&amp;"]"&amp;E732&amp;"'!"&amp;$AH$2),OR(V732=INDIRECT("'["&amp;G732&amp;"]"&amp;E732&amp;"'!"&amp;$AI$2))),INDIRECT("'["&amp;G732&amp;"]"&amp;E732&amp;"'!"&amp;$AI$3),0)</f>
        <v>#VALUE!</v>
      </c>
      <c r="AJ732" s="25">
        <v>1</v>
      </c>
      <c r="AK732" s="38">
        <f t="shared" ca="1" si="198"/>
        <v>0</v>
      </c>
      <c r="AL732" s="38">
        <f t="shared" ca="1" si="199"/>
        <v>0</v>
      </c>
      <c r="AM732" s="54" t="str">
        <f t="shared" ca="1" si="200"/>
        <v/>
      </c>
      <c r="AN732" s="25" t="e">
        <f t="shared" ca="1" si="201"/>
        <v>#VALUE!</v>
      </c>
      <c r="AO732" s="25" t="e">
        <f t="shared" ca="1" si="202"/>
        <v>#VALUE!</v>
      </c>
      <c r="AQ732" s="46" t="str">
        <f ca="1">IF(AND(C732&lt;&gt;0, C733=0), SUM($C$2:C732)-SUM($AQ$1:AQ731), "")</f>
        <v/>
      </c>
      <c r="AR732" s="46" t="str">
        <f ca="1">IF(AND(AK732&lt;&gt;0, AK733=0), SUM($AK$2:AK732)-SUM($AR$1:AR731), "")</f>
        <v/>
      </c>
    </row>
    <row r="733" spans="2:44" ht="13.15" customHeight="1">
      <c r="B733" s="68" t="str">
        <f t="shared" si="188"/>
        <v/>
      </c>
      <c r="C733" s="55" cm="1">
        <f t="array" aca="1" ref="C733" ca="1">SUM(IF(ISNUMBER(M733:U733),M733:U733,""))</f>
        <v>0</v>
      </c>
      <c r="D733" s="25" t="str">
        <f t="shared" si="189"/>
        <v/>
      </c>
      <c r="E733" s="25" t="e">
        <f t="shared" si="190"/>
        <v>#VALUE!</v>
      </c>
      <c r="F733" s="25" t="str">
        <f t="shared" si="191"/>
        <v/>
      </c>
      <c r="G733" s="25" t="str">
        <f t="shared" si="192"/>
        <v>.xlsx</v>
      </c>
      <c r="H733" s="29" t="e" cm="1">
        <f t="array" aca="1" ref="H733" ca="1">IF(AND(VALUE(E733)=INDIRECT("'["&amp;G733&amp;"]"&amp;E733&amp;"'!"&amp;$X$2),G733=INDIRECT("'["&amp;G733&amp;"]"&amp;E733&amp;"'!"&amp;$X$3)),INDIRECT("'["&amp;G733&amp;"]"&amp;E733&amp;"'!"&amp;$X$1),0)</f>
        <v>#VALUE!</v>
      </c>
      <c r="I733" s="25" t="str">
        <f t="shared" si="193"/>
        <v/>
      </c>
      <c r="J733" s="32" t="str">
        <f t="shared" si="194"/>
        <v/>
      </c>
      <c r="K733" s="25" t="str">
        <f t="shared" si="195"/>
        <v/>
      </c>
      <c r="L733" s="25" t="str">
        <f t="shared" si="196"/>
        <v/>
      </c>
      <c r="M733" s="33" t="e" cm="1">
        <f t="array" aca="1" ref="M733" ca="1">IF(AND(J733=INDIRECT("'["&amp;G733&amp;"]"&amp;E733&amp;"'!"&amp;$Y$2),G733=INDIRECT("'["&amp;G733&amp;"]"&amp;E733&amp;"'!"&amp;$AH$2)),INDIRECT("'["&amp;G733&amp;"]"&amp;E733&amp;"'!"&amp;$Y$3),0)</f>
        <v>#VALUE!</v>
      </c>
      <c r="N733" s="34" t="e" cm="1">
        <f t="array" aca="1" ref="N733" ca="1">IF(AND(G733=INDIRECT("'["&amp;G733&amp;"]"&amp;E733&amp;"'!"&amp;$AH$2),OR(K733=INDIRECT("'["&amp;G733&amp;"]"&amp;E733&amp;"'!"&amp;$Z$2))),INDIRECT("'["&amp;G733&amp;"]"&amp;E733&amp;"'!"&amp;$Z$3),0)</f>
        <v>#VALUE!</v>
      </c>
      <c r="O733" s="34" t="e" cm="1">
        <f t="array" aca="1" ref="O733" ca="1">IF(AND(G733=INDIRECT("'["&amp;G733&amp;"]"&amp;E733&amp;"'!"&amp;$AH$2),OR(L733=INDIRECT("'["&amp;G733&amp;"]"&amp;E733&amp;"'!"&amp;$AA$2))),INDIRECT("'["&amp;G733&amp;"]"&amp;E733&amp;"'!"&amp;$AA$3),0)</f>
        <v>#VALUE!</v>
      </c>
      <c r="P733" s="34" t="e" cm="1">
        <f t="array" aca="1" ref="P733" ca="1">IF(AND(G733=INDIRECT("'["&amp;G733&amp;"]"&amp;E733&amp;"'!"&amp;$AH$2),OR(VALUE(I733)=INDIRECT("'["&amp;G733&amp;"]"&amp;E733&amp;"'!"&amp;$AB$2))),INDIRECT("'["&amp;G733&amp;"]"&amp;E733&amp;"'!"&amp;$AB$3),0)</f>
        <v>#VALUE!</v>
      </c>
      <c r="Q733" s="34" t="e" cm="1">
        <f t="array" aca="1" ref="Q733" ca="1">IF(AND(G733=INDIRECT("'["&amp;G733&amp;"]"&amp;E733&amp;"'!"&amp;$AH$2),OR(VALUE(I733)=INDIRECT("'["&amp;G733&amp;"]"&amp;E733&amp;"'!"&amp;$AC$2))),INDIRECT("'["&amp;G733&amp;"]"&amp;E733&amp;"'!"&amp;$AC$3),0)</f>
        <v>#VALUE!</v>
      </c>
      <c r="R733" s="34" t="e" cm="1">
        <f t="array" aca="1" ref="R733" ca="1">IF(AND(G733=INDIRECT("'["&amp;G733&amp;"]"&amp;E733&amp;"'!"&amp;$AH$2),OR(I733=INDIRECT("'["&amp;G733&amp;"]"&amp;E733&amp;"'!"&amp;$AD$2))),INDIRECT("'["&amp;G733&amp;"]"&amp;E733&amp;"'!"&amp;$AD$3),0)</f>
        <v>#VALUE!</v>
      </c>
      <c r="S733" s="34" t="e" cm="1">
        <f t="array" aca="1" ref="S733" ca="1">IF(AND(G733=INDIRECT("'["&amp;G733&amp;"]"&amp;E733&amp;"'!"&amp;$AH$2),OR(I733=INDIRECT("'["&amp;G733&amp;"]"&amp;E733&amp;"'!"&amp;$AE$2))),INDIRECT("'["&amp;G733&amp;"]"&amp;E733&amp;"'!"&amp;$AE$3),0)</f>
        <v>#VALUE!</v>
      </c>
      <c r="T733" s="35" t="e" cm="1">
        <f t="array" aca="1" ref="T733" ca="1">IF(AND(G733=INDIRECT("'["&amp;G733&amp;"]"&amp;E733&amp;"'!"&amp;$AH$2),OR(I733=INDIRECT("'["&amp;G733&amp;"]"&amp;E733&amp;"'!"&amp;$AF$2))),INDIRECT("'["&amp;G733&amp;"]"&amp;E733&amp;"'!"&amp;$AF$3),0)</f>
        <v>#VALUE!</v>
      </c>
      <c r="U733" s="34" t="e" cm="1">
        <f t="array" aca="1" ref="U733" ca="1">IF(AND(G733=INDIRECT("'["&amp;G733&amp;"]"&amp;E733&amp;"'!"&amp;$AH$2),OR(I733=INDIRECT("'["&amp;G733&amp;"]"&amp;E733&amp;"'!"&amp;$AG$2))),INDIRECT("'["&amp;G733&amp;"]"&amp;E733&amp;"'!"&amp;$AG$3),0)</f>
        <v>#VALUE!</v>
      </c>
      <c r="V733" s="25" t="str">
        <f t="shared" si="197"/>
        <v/>
      </c>
      <c r="W733" s="36" t="e" cm="1">
        <f t="array" aca="1" ref="W733" ca="1">IF(AND(G733=INDIRECT("'["&amp;G733&amp;"]"&amp;E733&amp;"'!"&amp;$AH$2),OR(V733=INDIRECT("'["&amp;G733&amp;"]"&amp;E733&amp;"'!"&amp;$AI$2))),INDIRECT("'["&amp;G733&amp;"]"&amp;E733&amp;"'!"&amp;$AI$3),0)</f>
        <v>#VALUE!</v>
      </c>
      <c r="AJ733" s="25">
        <v>1</v>
      </c>
      <c r="AK733" s="38">
        <f t="shared" ca="1" si="198"/>
        <v>0</v>
      </c>
      <c r="AL733" s="38">
        <f t="shared" ca="1" si="199"/>
        <v>0</v>
      </c>
      <c r="AM733" s="54" t="str">
        <f t="shared" ca="1" si="200"/>
        <v/>
      </c>
      <c r="AN733" s="25" t="e">
        <f t="shared" ca="1" si="201"/>
        <v>#VALUE!</v>
      </c>
      <c r="AO733" s="25" t="e">
        <f t="shared" ca="1" si="202"/>
        <v>#VALUE!</v>
      </c>
      <c r="AQ733" s="46" t="str">
        <f ca="1">IF(AND(C733&lt;&gt;0, C734=0), SUM($C$2:C733)-SUM($AQ$1:AQ732), "")</f>
        <v/>
      </c>
      <c r="AR733" s="46" t="str">
        <f ca="1">IF(AND(AK733&lt;&gt;0, AK734=0), SUM($AK$2:AK733)-SUM($AR$1:AR732), "")</f>
        <v/>
      </c>
    </row>
    <row r="734" spans="2:44" ht="13.15" customHeight="1">
      <c r="B734" s="68" t="str">
        <f t="shared" si="188"/>
        <v/>
      </c>
      <c r="C734" s="55" cm="1">
        <f t="array" aca="1" ref="C734" ca="1">SUM(IF(ISNUMBER(M734:U734),M734:U734,""))</f>
        <v>0</v>
      </c>
      <c r="D734" s="25" t="str">
        <f t="shared" si="189"/>
        <v/>
      </c>
      <c r="E734" s="25" t="e">
        <f t="shared" si="190"/>
        <v>#VALUE!</v>
      </c>
      <c r="F734" s="25" t="str">
        <f t="shared" si="191"/>
        <v/>
      </c>
      <c r="G734" s="25" t="str">
        <f t="shared" si="192"/>
        <v>.xlsx</v>
      </c>
      <c r="H734" s="29" t="e" cm="1">
        <f t="array" aca="1" ref="H734" ca="1">IF(AND(VALUE(E734)=INDIRECT("'["&amp;G734&amp;"]"&amp;E734&amp;"'!"&amp;$X$2),G734=INDIRECT("'["&amp;G734&amp;"]"&amp;E734&amp;"'!"&amp;$X$3)),INDIRECT("'["&amp;G734&amp;"]"&amp;E734&amp;"'!"&amp;$X$1),0)</f>
        <v>#VALUE!</v>
      </c>
      <c r="I734" s="25" t="str">
        <f t="shared" si="193"/>
        <v/>
      </c>
      <c r="J734" s="32" t="str">
        <f t="shared" si="194"/>
        <v/>
      </c>
      <c r="K734" s="25" t="str">
        <f t="shared" si="195"/>
        <v/>
      </c>
      <c r="L734" s="25" t="str">
        <f t="shared" si="196"/>
        <v/>
      </c>
      <c r="M734" s="33" t="e" cm="1">
        <f t="array" aca="1" ref="M734" ca="1">IF(AND(J734=INDIRECT("'["&amp;G734&amp;"]"&amp;E734&amp;"'!"&amp;$Y$2),G734=INDIRECT("'["&amp;G734&amp;"]"&amp;E734&amp;"'!"&amp;$AH$2)),INDIRECT("'["&amp;G734&amp;"]"&amp;E734&amp;"'!"&amp;$Y$3),0)</f>
        <v>#VALUE!</v>
      </c>
      <c r="N734" s="34" t="e" cm="1">
        <f t="array" aca="1" ref="N734" ca="1">IF(AND(G734=INDIRECT("'["&amp;G734&amp;"]"&amp;E734&amp;"'!"&amp;$AH$2),OR(K734=INDIRECT("'["&amp;G734&amp;"]"&amp;E734&amp;"'!"&amp;$Z$2))),INDIRECT("'["&amp;G734&amp;"]"&amp;E734&amp;"'!"&amp;$Z$3),0)</f>
        <v>#VALUE!</v>
      </c>
      <c r="O734" s="34" t="e" cm="1">
        <f t="array" aca="1" ref="O734" ca="1">IF(AND(G734=INDIRECT("'["&amp;G734&amp;"]"&amp;E734&amp;"'!"&amp;$AH$2),OR(L734=INDIRECT("'["&amp;G734&amp;"]"&amp;E734&amp;"'!"&amp;$AA$2))),INDIRECT("'["&amp;G734&amp;"]"&amp;E734&amp;"'!"&amp;$AA$3),0)</f>
        <v>#VALUE!</v>
      </c>
      <c r="P734" s="34" t="e" cm="1">
        <f t="array" aca="1" ref="P734" ca="1">IF(AND(G734=INDIRECT("'["&amp;G734&amp;"]"&amp;E734&amp;"'!"&amp;$AH$2),OR(VALUE(I734)=INDIRECT("'["&amp;G734&amp;"]"&amp;E734&amp;"'!"&amp;$AB$2))),INDIRECT("'["&amp;G734&amp;"]"&amp;E734&amp;"'!"&amp;$AB$3),0)</f>
        <v>#VALUE!</v>
      </c>
      <c r="Q734" s="34" t="e" cm="1">
        <f t="array" aca="1" ref="Q734" ca="1">IF(AND(G734=INDIRECT("'["&amp;G734&amp;"]"&amp;E734&amp;"'!"&amp;$AH$2),OR(VALUE(I734)=INDIRECT("'["&amp;G734&amp;"]"&amp;E734&amp;"'!"&amp;$AC$2))),INDIRECT("'["&amp;G734&amp;"]"&amp;E734&amp;"'!"&amp;$AC$3),0)</f>
        <v>#VALUE!</v>
      </c>
      <c r="R734" s="34" t="e" cm="1">
        <f t="array" aca="1" ref="R734" ca="1">IF(AND(G734=INDIRECT("'["&amp;G734&amp;"]"&amp;E734&amp;"'!"&amp;$AH$2),OR(I734=INDIRECT("'["&amp;G734&amp;"]"&amp;E734&amp;"'!"&amp;$AD$2))),INDIRECT("'["&amp;G734&amp;"]"&amp;E734&amp;"'!"&amp;$AD$3),0)</f>
        <v>#VALUE!</v>
      </c>
      <c r="S734" s="34" t="e" cm="1">
        <f t="array" aca="1" ref="S734" ca="1">IF(AND(G734=INDIRECT("'["&amp;G734&amp;"]"&amp;E734&amp;"'!"&amp;$AH$2),OR(I734=INDIRECT("'["&amp;G734&amp;"]"&amp;E734&amp;"'!"&amp;$AE$2))),INDIRECT("'["&amp;G734&amp;"]"&amp;E734&amp;"'!"&amp;$AE$3),0)</f>
        <v>#VALUE!</v>
      </c>
      <c r="T734" s="35" t="e" cm="1">
        <f t="array" aca="1" ref="T734" ca="1">IF(AND(G734=INDIRECT("'["&amp;G734&amp;"]"&amp;E734&amp;"'!"&amp;$AH$2),OR(I734=INDIRECT("'["&amp;G734&amp;"]"&amp;E734&amp;"'!"&amp;$AF$2))),INDIRECT("'["&amp;G734&amp;"]"&amp;E734&amp;"'!"&amp;$AF$3),0)</f>
        <v>#VALUE!</v>
      </c>
      <c r="U734" s="34" t="e" cm="1">
        <f t="array" aca="1" ref="U734" ca="1">IF(AND(G734=INDIRECT("'["&amp;G734&amp;"]"&amp;E734&amp;"'!"&amp;$AH$2),OR(I734=INDIRECT("'["&amp;G734&amp;"]"&amp;E734&amp;"'!"&amp;$AG$2))),INDIRECT("'["&amp;G734&amp;"]"&amp;E734&amp;"'!"&amp;$AG$3),0)</f>
        <v>#VALUE!</v>
      </c>
      <c r="V734" s="25" t="str">
        <f t="shared" si="197"/>
        <v/>
      </c>
      <c r="W734" s="36" t="e" cm="1">
        <f t="array" aca="1" ref="W734" ca="1">IF(AND(G734=INDIRECT("'["&amp;G734&amp;"]"&amp;E734&amp;"'!"&amp;$AH$2),OR(V734=INDIRECT("'["&amp;G734&amp;"]"&amp;E734&amp;"'!"&amp;$AI$2))),INDIRECT("'["&amp;G734&amp;"]"&amp;E734&amp;"'!"&amp;$AI$3),0)</f>
        <v>#VALUE!</v>
      </c>
      <c r="AJ734" s="25">
        <v>1</v>
      </c>
      <c r="AK734" s="38">
        <f t="shared" ca="1" si="198"/>
        <v>0</v>
      </c>
      <c r="AL734" s="38">
        <f t="shared" ca="1" si="199"/>
        <v>0</v>
      </c>
      <c r="AM734" s="54" t="str">
        <f t="shared" ca="1" si="200"/>
        <v/>
      </c>
      <c r="AN734" s="25" t="e">
        <f t="shared" ca="1" si="201"/>
        <v>#VALUE!</v>
      </c>
      <c r="AO734" s="25" t="e">
        <f t="shared" ca="1" si="202"/>
        <v>#VALUE!</v>
      </c>
      <c r="AQ734" s="46" t="str">
        <f ca="1">IF(AND(C734&lt;&gt;0, C735=0), SUM($C$2:C734)-SUM($AQ$1:AQ733), "")</f>
        <v/>
      </c>
      <c r="AR734" s="46" t="str">
        <f ca="1">IF(AND(AK734&lt;&gt;0, AK735=0), SUM($AK$2:AK734)-SUM($AR$1:AR733), "")</f>
        <v/>
      </c>
    </row>
    <row r="735" spans="2:44" ht="13.15" customHeight="1">
      <c r="B735" s="68" t="str">
        <f t="shared" si="188"/>
        <v/>
      </c>
      <c r="C735" s="55" cm="1">
        <f t="array" aca="1" ref="C735" ca="1">SUM(IF(ISNUMBER(M735:U735),M735:U735,""))</f>
        <v>0</v>
      </c>
      <c r="D735" s="25" t="str">
        <f t="shared" si="189"/>
        <v/>
      </c>
      <c r="E735" s="25" t="e">
        <f t="shared" si="190"/>
        <v>#VALUE!</v>
      </c>
      <c r="F735" s="25" t="str">
        <f t="shared" si="191"/>
        <v/>
      </c>
      <c r="G735" s="25" t="str">
        <f t="shared" si="192"/>
        <v>.xlsx</v>
      </c>
      <c r="H735" s="29" t="e" cm="1">
        <f t="array" aca="1" ref="H735" ca="1">IF(AND(VALUE(E735)=INDIRECT("'["&amp;G735&amp;"]"&amp;E735&amp;"'!"&amp;$X$2),G735=INDIRECT("'["&amp;G735&amp;"]"&amp;E735&amp;"'!"&amp;$X$3)),INDIRECT("'["&amp;G735&amp;"]"&amp;E735&amp;"'!"&amp;$X$1),0)</f>
        <v>#VALUE!</v>
      </c>
      <c r="I735" s="25" t="str">
        <f t="shared" si="193"/>
        <v/>
      </c>
      <c r="J735" s="32" t="str">
        <f t="shared" si="194"/>
        <v/>
      </c>
      <c r="K735" s="25" t="str">
        <f t="shared" si="195"/>
        <v/>
      </c>
      <c r="L735" s="25" t="str">
        <f t="shared" si="196"/>
        <v/>
      </c>
      <c r="M735" s="33" t="e" cm="1">
        <f t="array" aca="1" ref="M735" ca="1">IF(AND(J735=INDIRECT("'["&amp;G735&amp;"]"&amp;E735&amp;"'!"&amp;$Y$2),G735=INDIRECT("'["&amp;G735&amp;"]"&amp;E735&amp;"'!"&amp;$AH$2)),INDIRECT("'["&amp;G735&amp;"]"&amp;E735&amp;"'!"&amp;$Y$3),0)</f>
        <v>#VALUE!</v>
      </c>
      <c r="N735" s="34" t="e" cm="1">
        <f t="array" aca="1" ref="N735" ca="1">IF(AND(G735=INDIRECT("'["&amp;G735&amp;"]"&amp;E735&amp;"'!"&amp;$AH$2),OR(K735=INDIRECT("'["&amp;G735&amp;"]"&amp;E735&amp;"'!"&amp;$Z$2))),INDIRECT("'["&amp;G735&amp;"]"&amp;E735&amp;"'!"&amp;$Z$3),0)</f>
        <v>#VALUE!</v>
      </c>
      <c r="O735" s="34" t="e" cm="1">
        <f t="array" aca="1" ref="O735" ca="1">IF(AND(G735=INDIRECT("'["&amp;G735&amp;"]"&amp;E735&amp;"'!"&amp;$AH$2),OR(L735=INDIRECT("'["&amp;G735&amp;"]"&amp;E735&amp;"'!"&amp;$AA$2))),INDIRECT("'["&amp;G735&amp;"]"&amp;E735&amp;"'!"&amp;$AA$3),0)</f>
        <v>#VALUE!</v>
      </c>
      <c r="P735" s="34" t="e" cm="1">
        <f t="array" aca="1" ref="P735" ca="1">IF(AND(G735=INDIRECT("'["&amp;G735&amp;"]"&amp;E735&amp;"'!"&amp;$AH$2),OR(VALUE(I735)=INDIRECT("'["&amp;G735&amp;"]"&amp;E735&amp;"'!"&amp;$AB$2))),INDIRECT("'["&amp;G735&amp;"]"&amp;E735&amp;"'!"&amp;$AB$3),0)</f>
        <v>#VALUE!</v>
      </c>
      <c r="Q735" s="34" t="e" cm="1">
        <f t="array" aca="1" ref="Q735" ca="1">IF(AND(G735=INDIRECT("'["&amp;G735&amp;"]"&amp;E735&amp;"'!"&amp;$AH$2),OR(VALUE(I735)=INDIRECT("'["&amp;G735&amp;"]"&amp;E735&amp;"'!"&amp;$AC$2))),INDIRECT("'["&amp;G735&amp;"]"&amp;E735&amp;"'!"&amp;$AC$3),0)</f>
        <v>#VALUE!</v>
      </c>
      <c r="R735" s="34" t="e" cm="1">
        <f t="array" aca="1" ref="R735" ca="1">IF(AND(G735=INDIRECT("'["&amp;G735&amp;"]"&amp;E735&amp;"'!"&amp;$AH$2),OR(I735=INDIRECT("'["&amp;G735&amp;"]"&amp;E735&amp;"'!"&amp;$AD$2))),INDIRECT("'["&amp;G735&amp;"]"&amp;E735&amp;"'!"&amp;$AD$3),0)</f>
        <v>#VALUE!</v>
      </c>
      <c r="S735" s="34" t="e" cm="1">
        <f t="array" aca="1" ref="S735" ca="1">IF(AND(G735=INDIRECT("'["&amp;G735&amp;"]"&amp;E735&amp;"'!"&amp;$AH$2),OR(I735=INDIRECT("'["&amp;G735&amp;"]"&amp;E735&amp;"'!"&amp;$AE$2))),INDIRECT("'["&amp;G735&amp;"]"&amp;E735&amp;"'!"&amp;$AE$3),0)</f>
        <v>#VALUE!</v>
      </c>
      <c r="T735" s="35" t="e" cm="1">
        <f t="array" aca="1" ref="T735" ca="1">IF(AND(G735=INDIRECT("'["&amp;G735&amp;"]"&amp;E735&amp;"'!"&amp;$AH$2),OR(I735=INDIRECT("'["&amp;G735&amp;"]"&amp;E735&amp;"'!"&amp;$AF$2))),INDIRECT("'["&amp;G735&amp;"]"&amp;E735&amp;"'!"&amp;$AF$3),0)</f>
        <v>#VALUE!</v>
      </c>
      <c r="U735" s="34" t="e" cm="1">
        <f t="array" aca="1" ref="U735" ca="1">IF(AND(G735=INDIRECT("'["&amp;G735&amp;"]"&amp;E735&amp;"'!"&amp;$AH$2),OR(I735=INDIRECT("'["&amp;G735&amp;"]"&amp;E735&amp;"'!"&amp;$AG$2))),INDIRECT("'["&amp;G735&amp;"]"&amp;E735&amp;"'!"&amp;$AG$3),0)</f>
        <v>#VALUE!</v>
      </c>
      <c r="V735" s="25" t="str">
        <f t="shared" si="197"/>
        <v/>
      </c>
      <c r="W735" s="36" t="e" cm="1">
        <f t="array" aca="1" ref="W735" ca="1">IF(AND(G735=INDIRECT("'["&amp;G735&amp;"]"&amp;E735&amp;"'!"&amp;$AH$2),OR(V735=INDIRECT("'["&amp;G735&amp;"]"&amp;E735&amp;"'!"&amp;$AI$2))),INDIRECT("'["&amp;G735&amp;"]"&amp;E735&amp;"'!"&amp;$AI$3),0)</f>
        <v>#VALUE!</v>
      </c>
      <c r="AJ735" s="25">
        <v>1</v>
      </c>
      <c r="AK735" s="38">
        <f t="shared" ca="1" si="198"/>
        <v>0</v>
      </c>
      <c r="AL735" s="38">
        <f t="shared" ca="1" si="199"/>
        <v>0</v>
      </c>
      <c r="AM735" s="54" t="str">
        <f t="shared" ca="1" si="200"/>
        <v/>
      </c>
      <c r="AN735" s="25" t="e">
        <f t="shared" ca="1" si="201"/>
        <v>#VALUE!</v>
      </c>
      <c r="AO735" s="25" t="e">
        <f t="shared" ca="1" si="202"/>
        <v>#VALUE!</v>
      </c>
      <c r="AQ735" s="46" t="str">
        <f ca="1">IF(AND(C735&lt;&gt;0, C736=0), SUM($C$2:C735)-SUM($AQ$1:AQ734), "")</f>
        <v/>
      </c>
      <c r="AR735" s="46" t="str">
        <f ca="1">IF(AND(AK735&lt;&gt;0, AK736=0), SUM($AK$2:AK735)-SUM($AR$1:AR734), "")</f>
        <v/>
      </c>
    </row>
    <row r="736" spans="2:44" ht="13.15" customHeight="1">
      <c r="B736" s="68" t="str">
        <f t="shared" si="188"/>
        <v/>
      </c>
      <c r="C736" s="55" cm="1">
        <f t="array" aca="1" ref="C736" ca="1">SUM(IF(ISNUMBER(M736:U736),M736:U736,""))</f>
        <v>0</v>
      </c>
      <c r="D736" s="25" t="str">
        <f t="shared" si="189"/>
        <v/>
      </c>
      <c r="E736" s="25" t="e">
        <f t="shared" si="190"/>
        <v>#VALUE!</v>
      </c>
      <c r="F736" s="25" t="str">
        <f t="shared" si="191"/>
        <v/>
      </c>
      <c r="G736" s="25" t="str">
        <f t="shared" si="192"/>
        <v>.xlsx</v>
      </c>
      <c r="H736" s="29" t="e" cm="1">
        <f t="array" aca="1" ref="H736" ca="1">IF(AND(VALUE(E736)=INDIRECT("'["&amp;G736&amp;"]"&amp;E736&amp;"'!"&amp;$X$2),G736=INDIRECT("'["&amp;G736&amp;"]"&amp;E736&amp;"'!"&amp;$X$3)),INDIRECT("'["&amp;G736&amp;"]"&amp;E736&amp;"'!"&amp;$X$1),0)</f>
        <v>#VALUE!</v>
      </c>
      <c r="I736" s="25" t="str">
        <f t="shared" si="193"/>
        <v/>
      </c>
      <c r="J736" s="32" t="str">
        <f t="shared" si="194"/>
        <v/>
      </c>
      <c r="K736" s="25" t="str">
        <f t="shared" si="195"/>
        <v/>
      </c>
      <c r="L736" s="25" t="str">
        <f t="shared" si="196"/>
        <v/>
      </c>
      <c r="M736" s="33" t="e" cm="1">
        <f t="array" aca="1" ref="M736" ca="1">IF(AND(J736=INDIRECT("'["&amp;G736&amp;"]"&amp;E736&amp;"'!"&amp;$Y$2),G736=INDIRECT("'["&amp;G736&amp;"]"&amp;E736&amp;"'!"&amp;$AH$2)),INDIRECT("'["&amp;G736&amp;"]"&amp;E736&amp;"'!"&amp;$Y$3),0)</f>
        <v>#VALUE!</v>
      </c>
      <c r="N736" s="34" t="e" cm="1">
        <f t="array" aca="1" ref="N736" ca="1">IF(AND(G736=INDIRECT("'["&amp;G736&amp;"]"&amp;E736&amp;"'!"&amp;$AH$2),OR(K736=INDIRECT("'["&amp;G736&amp;"]"&amp;E736&amp;"'!"&amp;$Z$2))),INDIRECT("'["&amp;G736&amp;"]"&amp;E736&amp;"'!"&amp;$Z$3),0)</f>
        <v>#VALUE!</v>
      </c>
      <c r="O736" s="34" t="e" cm="1">
        <f t="array" aca="1" ref="O736" ca="1">IF(AND(G736=INDIRECT("'["&amp;G736&amp;"]"&amp;E736&amp;"'!"&amp;$AH$2),OR(L736=INDIRECT("'["&amp;G736&amp;"]"&amp;E736&amp;"'!"&amp;$AA$2))),INDIRECT("'["&amp;G736&amp;"]"&amp;E736&amp;"'!"&amp;$AA$3),0)</f>
        <v>#VALUE!</v>
      </c>
      <c r="P736" s="34" t="e" cm="1">
        <f t="array" aca="1" ref="P736" ca="1">IF(AND(G736=INDIRECT("'["&amp;G736&amp;"]"&amp;E736&amp;"'!"&amp;$AH$2),OR(VALUE(I736)=INDIRECT("'["&amp;G736&amp;"]"&amp;E736&amp;"'!"&amp;$AB$2))),INDIRECT("'["&amp;G736&amp;"]"&amp;E736&amp;"'!"&amp;$AB$3),0)</f>
        <v>#VALUE!</v>
      </c>
      <c r="Q736" s="34" t="e" cm="1">
        <f t="array" aca="1" ref="Q736" ca="1">IF(AND(G736=INDIRECT("'["&amp;G736&amp;"]"&amp;E736&amp;"'!"&amp;$AH$2),OR(VALUE(I736)=INDIRECT("'["&amp;G736&amp;"]"&amp;E736&amp;"'!"&amp;$AC$2))),INDIRECT("'["&amp;G736&amp;"]"&amp;E736&amp;"'!"&amp;$AC$3),0)</f>
        <v>#VALUE!</v>
      </c>
      <c r="R736" s="34" t="e" cm="1">
        <f t="array" aca="1" ref="R736" ca="1">IF(AND(G736=INDIRECT("'["&amp;G736&amp;"]"&amp;E736&amp;"'!"&amp;$AH$2),OR(I736=INDIRECT("'["&amp;G736&amp;"]"&amp;E736&amp;"'!"&amp;$AD$2))),INDIRECT("'["&amp;G736&amp;"]"&amp;E736&amp;"'!"&amp;$AD$3),0)</f>
        <v>#VALUE!</v>
      </c>
      <c r="S736" s="34" t="e" cm="1">
        <f t="array" aca="1" ref="S736" ca="1">IF(AND(G736=INDIRECT("'["&amp;G736&amp;"]"&amp;E736&amp;"'!"&amp;$AH$2),OR(I736=INDIRECT("'["&amp;G736&amp;"]"&amp;E736&amp;"'!"&amp;$AE$2))),INDIRECT("'["&amp;G736&amp;"]"&amp;E736&amp;"'!"&amp;$AE$3),0)</f>
        <v>#VALUE!</v>
      </c>
      <c r="T736" s="35" t="e" cm="1">
        <f t="array" aca="1" ref="T736" ca="1">IF(AND(G736=INDIRECT("'["&amp;G736&amp;"]"&amp;E736&amp;"'!"&amp;$AH$2),OR(I736=INDIRECT("'["&amp;G736&amp;"]"&amp;E736&amp;"'!"&amp;$AF$2))),INDIRECT("'["&amp;G736&amp;"]"&amp;E736&amp;"'!"&amp;$AF$3),0)</f>
        <v>#VALUE!</v>
      </c>
      <c r="U736" s="34" t="e" cm="1">
        <f t="array" aca="1" ref="U736" ca="1">IF(AND(G736=INDIRECT("'["&amp;G736&amp;"]"&amp;E736&amp;"'!"&amp;$AH$2),OR(I736=INDIRECT("'["&amp;G736&amp;"]"&amp;E736&amp;"'!"&amp;$AG$2))),INDIRECT("'["&amp;G736&amp;"]"&amp;E736&amp;"'!"&amp;$AG$3),0)</f>
        <v>#VALUE!</v>
      </c>
      <c r="V736" s="25" t="str">
        <f t="shared" si="197"/>
        <v/>
      </c>
      <c r="W736" s="36" t="e" cm="1">
        <f t="array" aca="1" ref="W736" ca="1">IF(AND(G736=INDIRECT("'["&amp;G736&amp;"]"&amp;E736&amp;"'!"&amp;$AH$2),OR(V736=INDIRECT("'["&amp;G736&amp;"]"&amp;E736&amp;"'!"&amp;$AI$2))),INDIRECT("'["&amp;G736&amp;"]"&amp;E736&amp;"'!"&amp;$AI$3),0)</f>
        <v>#VALUE!</v>
      </c>
      <c r="AJ736" s="25">
        <v>1</v>
      </c>
      <c r="AK736" s="38">
        <f t="shared" ca="1" si="198"/>
        <v>0</v>
      </c>
      <c r="AL736" s="38">
        <f t="shared" ca="1" si="199"/>
        <v>0</v>
      </c>
      <c r="AM736" s="54" t="str">
        <f t="shared" ca="1" si="200"/>
        <v/>
      </c>
      <c r="AN736" s="25" t="e">
        <f t="shared" ca="1" si="201"/>
        <v>#VALUE!</v>
      </c>
      <c r="AO736" s="25" t="e">
        <f t="shared" ca="1" si="202"/>
        <v>#VALUE!</v>
      </c>
      <c r="AQ736" s="46" t="str">
        <f ca="1">IF(AND(C736&lt;&gt;0, C737=0), SUM($C$2:C736)-SUM($AQ$1:AQ735), "")</f>
        <v/>
      </c>
      <c r="AR736" s="46" t="str">
        <f ca="1">IF(AND(AK736&lt;&gt;0, AK737=0), SUM($AK$2:AK736)-SUM($AR$1:AR735), "")</f>
        <v/>
      </c>
    </row>
    <row r="737" spans="2:44" ht="13.15" customHeight="1">
      <c r="B737" s="68" t="str">
        <f t="shared" si="188"/>
        <v/>
      </c>
      <c r="C737" s="55" cm="1">
        <f t="array" aca="1" ref="C737" ca="1">SUM(IF(ISNUMBER(M737:U737),M737:U737,""))</f>
        <v>0</v>
      </c>
      <c r="D737" s="25" t="str">
        <f t="shared" si="189"/>
        <v/>
      </c>
      <c r="E737" s="25" t="e">
        <f t="shared" si="190"/>
        <v>#VALUE!</v>
      </c>
      <c r="F737" s="25" t="str">
        <f t="shared" si="191"/>
        <v/>
      </c>
      <c r="G737" s="25" t="str">
        <f t="shared" si="192"/>
        <v>.xlsx</v>
      </c>
      <c r="H737" s="29" t="e" cm="1">
        <f t="array" aca="1" ref="H737" ca="1">IF(AND(VALUE(E737)=INDIRECT("'["&amp;G737&amp;"]"&amp;E737&amp;"'!"&amp;$X$2),G737=INDIRECT("'["&amp;G737&amp;"]"&amp;E737&amp;"'!"&amp;$X$3)),INDIRECT("'["&amp;G737&amp;"]"&amp;E737&amp;"'!"&amp;$X$1),0)</f>
        <v>#VALUE!</v>
      </c>
      <c r="I737" s="25" t="str">
        <f t="shared" si="193"/>
        <v/>
      </c>
      <c r="J737" s="32" t="str">
        <f t="shared" si="194"/>
        <v/>
      </c>
      <c r="K737" s="25" t="str">
        <f t="shared" si="195"/>
        <v/>
      </c>
      <c r="L737" s="25" t="str">
        <f t="shared" si="196"/>
        <v/>
      </c>
      <c r="M737" s="33" t="e" cm="1">
        <f t="array" aca="1" ref="M737" ca="1">IF(AND(J737=INDIRECT("'["&amp;G737&amp;"]"&amp;E737&amp;"'!"&amp;$Y$2),G737=INDIRECT("'["&amp;G737&amp;"]"&amp;E737&amp;"'!"&amp;$AH$2)),INDIRECT("'["&amp;G737&amp;"]"&amp;E737&amp;"'!"&amp;$Y$3),0)</f>
        <v>#VALUE!</v>
      </c>
      <c r="N737" s="34" t="e" cm="1">
        <f t="array" aca="1" ref="N737" ca="1">IF(AND(G737=INDIRECT("'["&amp;G737&amp;"]"&amp;E737&amp;"'!"&amp;$AH$2),OR(K737=INDIRECT("'["&amp;G737&amp;"]"&amp;E737&amp;"'!"&amp;$Z$2))),INDIRECT("'["&amp;G737&amp;"]"&amp;E737&amp;"'!"&amp;$Z$3),0)</f>
        <v>#VALUE!</v>
      </c>
      <c r="O737" s="34" t="e" cm="1">
        <f t="array" aca="1" ref="O737" ca="1">IF(AND(G737=INDIRECT("'["&amp;G737&amp;"]"&amp;E737&amp;"'!"&amp;$AH$2),OR(L737=INDIRECT("'["&amp;G737&amp;"]"&amp;E737&amp;"'!"&amp;$AA$2))),INDIRECT("'["&amp;G737&amp;"]"&amp;E737&amp;"'!"&amp;$AA$3),0)</f>
        <v>#VALUE!</v>
      </c>
      <c r="P737" s="34" t="e" cm="1">
        <f t="array" aca="1" ref="P737" ca="1">IF(AND(G737=INDIRECT("'["&amp;G737&amp;"]"&amp;E737&amp;"'!"&amp;$AH$2),OR(VALUE(I737)=INDIRECT("'["&amp;G737&amp;"]"&amp;E737&amp;"'!"&amp;$AB$2))),INDIRECT("'["&amp;G737&amp;"]"&amp;E737&amp;"'!"&amp;$AB$3),0)</f>
        <v>#VALUE!</v>
      </c>
      <c r="Q737" s="34" t="e" cm="1">
        <f t="array" aca="1" ref="Q737" ca="1">IF(AND(G737=INDIRECT("'["&amp;G737&amp;"]"&amp;E737&amp;"'!"&amp;$AH$2),OR(VALUE(I737)=INDIRECT("'["&amp;G737&amp;"]"&amp;E737&amp;"'!"&amp;$AC$2))),INDIRECT("'["&amp;G737&amp;"]"&amp;E737&amp;"'!"&amp;$AC$3),0)</f>
        <v>#VALUE!</v>
      </c>
      <c r="R737" s="34" t="e" cm="1">
        <f t="array" aca="1" ref="R737" ca="1">IF(AND(G737=INDIRECT("'["&amp;G737&amp;"]"&amp;E737&amp;"'!"&amp;$AH$2),OR(I737=INDIRECT("'["&amp;G737&amp;"]"&amp;E737&amp;"'!"&amp;$AD$2))),INDIRECT("'["&amp;G737&amp;"]"&amp;E737&amp;"'!"&amp;$AD$3),0)</f>
        <v>#VALUE!</v>
      </c>
      <c r="S737" s="34" t="e" cm="1">
        <f t="array" aca="1" ref="S737" ca="1">IF(AND(G737=INDIRECT("'["&amp;G737&amp;"]"&amp;E737&amp;"'!"&amp;$AH$2),OR(I737=INDIRECT("'["&amp;G737&amp;"]"&amp;E737&amp;"'!"&amp;$AE$2))),INDIRECT("'["&amp;G737&amp;"]"&amp;E737&amp;"'!"&amp;$AE$3),0)</f>
        <v>#VALUE!</v>
      </c>
      <c r="T737" s="35" t="e" cm="1">
        <f t="array" aca="1" ref="T737" ca="1">IF(AND(G737=INDIRECT("'["&amp;G737&amp;"]"&amp;E737&amp;"'!"&amp;$AH$2),OR(I737=INDIRECT("'["&amp;G737&amp;"]"&amp;E737&amp;"'!"&amp;$AF$2))),INDIRECT("'["&amp;G737&amp;"]"&amp;E737&amp;"'!"&amp;$AF$3),0)</f>
        <v>#VALUE!</v>
      </c>
      <c r="U737" s="34" t="e" cm="1">
        <f t="array" aca="1" ref="U737" ca="1">IF(AND(G737=INDIRECT("'["&amp;G737&amp;"]"&amp;E737&amp;"'!"&amp;$AH$2),OR(I737=INDIRECT("'["&amp;G737&amp;"]"&amp;E737&amp;"'!"&amp;$AG$2))),INDIRECT("'["&amp;G737&amp;"]"&amp;E737&amp;"'!"&amp;$AG$3),0)</f>
        <v>#VALUE!</v>
      </c>
      <c r="V737" s="25" t="str">
        <f t="shared" si="197"/>
        <v/>
      </c>
      <c r="W737" s="36" t="e" cm="1">
        <f t="array" aca="1" ref="W737" ca="1">IF(AND(G737=INDIRECT("'["&amp;G737&amp;"]"&amp;E737&amp;"'!"&amp;$AH$2),OR(V737=INDIRECT("'["&amp;G737&amp;"]"&amp;E737&amp;"'!"&amp;$AI$2))),INDIRECT("'["&amp;G737&amp;"]"&amp;E737&amp;"'!"&amp;$AI$3),0)</f>
        <v>#VALUE!</v>
      </c>
      <c r="AJ737" s="25">
        <v>1</v>
      </c>
      <c r="AK737" s="38">
        <f t="shared" ca="1" si="198"/>
        <v>0</v>
      </c>
      <c r="AL737" s="38">
        <f t="shared" ca="1" si="199"/>
        <v>0</v>
      </c>
      <c r="AM737" s="54" t="str">
        <f t="shared" ca="1" si="200"/>
        <v/>
      </c>
      <c r="AN737" s="25" t="e">
        <f t="shared" ca="1" si="201"/>
        <v>#VALUE!</v>
      </c>
      <c r="AO737" s="25" t="e">
        <f t="shared" ca="1" si="202"/>
        <v>#VALUE!</v>
      </c>
      <c r="AQ737" s="46" t="str">
        <f ca="1">IF(AND(C737&lt;&gt;0, C738=0), SUM($C$2:C737)-SUM($AQ$1:AQ736), "")</f>
        <v/>
      </c>
      <c r="AR737" s="46" t="str">
        <f ca="1">IF(AND(AK737&lt;&gt;0, AK738=0), SUM($AK$2:AK737)-SUM($AR$1:AR736), "")</f>
        <v/>
      </c>
    </row>
    <row r="738" spans="2:44" ht="13.15" customHeight="1">
      <c r="B738" s="68" t="str">
        <f t="shared" si="188"/>
        <v/>
      </c>
      <c r="C738" s="55" cm="1">
        <f t="array" aca="1" ref="C738" ca="1">SUM(IF(ISNUMBER(M738:U738),M738:U738,""))</f>
        <v>0</v>
      </c>
      <c r="D738" s="25" t="str">
        <f t="shared" si="189"/>
        <v/>
      </c>
      <c r="E738" s="25" t="e">
        <f t="shared" si="190"/>
        <v>#VALUE!</v>
      </c>
      <c r="F738" s="25" t="str">
        <f t="shared" si="191"/>
        <v/>
      </c>
      <c r="G738" s="25" t="str">
        <f t="shared" si="192"/>
        <v>.xlsx</v>
      </c>
      <c r="H738" s="29" t="e" cm="1">
        <f t="array" aca="1" ref="H738" ca="1">IF(AND(VALUE(E738)=INDIRECT("'["&amp;G738&amp;"]"&amp;E738&amp;"'!"&amp;$X$2),G738=INDIRECT("'["&amp;G738&amp;"]"&amp;E738&amp;"'!"&amp;$X$3)),INDIRECT("'["&amp;G738&amp;"]"&amp;E738&amp;"'!"&amp;$X$1),0)</f>
        <v>#VALUE!</v>
      </c>
      <c r="I738" s="25" t="str">
        <f t="shared" si="193"/>
        <v/>
      </c>
      <c r="J738" s="32" t="str">
        <f t="shared" si="194"/>
        <v/>
      </c>
      <c r="K738" s="25" t="str">
        <f t="shared" si="195"/>
        <v/>
      </c>
      <c r="L738" s="25" t="str">
        <f t="shared" si="196"/>
        <v/>
      </c>
      <c r="M738" s="33" t="e" cm="1">
        <f t="array" aca="1" ref="M738" ca="1">IF(AND(J738=INDIRECT("'["&amp;G738&amp;"]"&amp;E738&amp;"'!"&amp;$Y$2),G738=INDIRECT("'["&amp;G738&amp;"]"&amp;E738&amp;"'!"&amp;$AH$2)),INDIRECT("'["&amp;G738&amp;"]"&amp;E738&amp;"'!"&amp;$Y$3),0)</f>
        <v>#VALUE!</v>
      </c>
      <c r="N738" s="34" t="e" cm="1">
        <f t="array" aca="1" ref="N738" ca="1">IF(AND(G738=INDIRECT("'["&amp;G738&amp;"]"&amp;E738&amp;"'!"&amp;$AH$2),OR(K738=INDIRECT("'["&amp;G738&amp;"]"&amp;E738&amp;"'!"&amp;$Z$2))),INDIRECT("'["&amp;G738&amp;"]"&amp;E738&amp;"'!"&amp;$Z$3),0)</f>
        <v>#VALUE!</v>
      </c>
      <c r="O738" s="34" t="e" cm="1">
        <f t="array" aca="1" ref="O738" ca="1">IF(AND(G738=INDIRECT("'["&amp;G738&amp;"]"&amp;E738&amp;"'!"&amp;$AH$2),OR(L738=INDIRECT("'["&amp;G738&amp;"]"&amp;E738&amp;"'!"&amp;$AA$2))),INDIRECT("'["&amp;G738&amp;"]"&amp;E738&amp;"'!"&amp;$AA$3),0)</f>
        <v>#VALUE!</v>
      </c>
      <c r="P738" s="34" t="e" cm="1">
        <f t="array" aca="1" ref="P738" ca="1">IF(AND(G738=INDIRECT("'["&amp;G738&amp;"]"&amp;E738&amp;"'!"&amp;$AH$2),OR(VALUE(I738)=INDIRECT("'["&amp;G738&amp;"]"&amp;E738&amp;"'!"&amp;$AB$2))),INDIRECT("'["&amp;G738&amp;"]"&amp;E738&amp;"'!"&amp;$AB$3),0)</f>
        <v>#VALUE!</v>
      </c>
      <c r="Q738" s="34" t="e" cm="1">
        <f t="array" aca="1" ref="Q738" ca="1">IF(AND(G738=INDIRECT("'["&amp;G738&amp;"]"&amp;E738&amp;"'!"&amp;$AH$2),OR(VALUE(I738)=INDIRECT("'["&amp;G738&amp;"]"&amp;E738&amp;"'!"&amp;$AC$2))),INDIRECT("'["&amp;G738&amp;"]"&amp;E738&amp;"'!"&amp;$AC$3),0)</f>
        <v>#VALUE!</v>
      </c>
      <c r="R738" s="34" t="e" cm="1">
        <f t="array" aca="1" ref="R738" ca="1">IF(AND(G738=INDIRECT("'["&amp;G738&amp;"]"&amp;E738&amp;"'!"&amp;$AH$2),OR(I738=INDIRECT("'["&amp;G738&amp;"]"&amp;E738&amp;"'!"&amp;$AD$2))),INDIRECT("'["&amp;G738&amp;"]"&amp;E738&amp;"'!"&amp;$AD$3),0)</f>
        <v>#VALUE!</v>
      </c>
      <c r="S738" s="34" t="e" cm="1">
        <f t="array" aca="1" ref="S738" ca="1">IF(AND(G738=INDIRECT("'["&amp;G738&amp;"]"&amp;E738&amp;"'!"&amp;$AH$2),OR(I738=INDIRECT("'["&amp;G738&amp;"]"&amp;E738&amp;"'!"&amp;$AE$2))),INDIRECT("'["&amp;G738&amp;"]"&amp;E738&amp;"'!"&amp;$AE$3),0)</f>
        <v>#VALUE!</v>
      </c>
      <c r="T738" s="35" t="e" cm="1">
        <f t="array" aca="1" ref="T738" ca="1">IF(AND(G738=INDIRECT("'["&amp;G738&amp;"]"&amp;E738&amp;"'!"&amp;$AH$2),OR(I738=INDIRECT("'["&amp;G738&amp;"]"&amp;E738&amp;"'!"&amp;$AF$2))),INDIRECT("'["&amp;G738&amp;"]"&amp;E738&amp;"'!"&amp;$AF$3),0)</f>
        <v>#VALUE!</v>
      </c>
      <c r="U738" s="34" t="e" cm="1">
        <f t="array" aca="1" ref="U738" ca="1">IF(AND(G738=INDIRECT("'["&amp;G738&amp;"]"&amp;E738&amp;"'!"&amp;$AH$2),OR(I738=INDIRECT("'["&amp;G738&amp;"]"&amp;E738&amp;"'!"&amp;$AG$2))),INDIRECT("'["&amp;G738&amp;"]"&amp;E738&amp;"'!"&amp;$AG$3),0)</f>
        <v>#VALUE!</v>
      </c>
      <c r="V738" s="25" t="str">
        <f t="shared" si="197"/>
        <v/>
      </c>
      <c r="W738" s="36" t="e" cm="1">
        <f t="array" aca="1" ref="W738" ca="1">IF(AND(G738=INDIRECT("'["&amp;G738&amp;"]"&amp;E738&amp;"'!"&amp;$AH$2),OR(V738=INDIRECT("'["&amp;G738&amp;"]"&amp;E738&amp;"'!"&amp;$AI$2))),INDIRECT("'["&amp;G738&amp;"]"&amp;E738&amp;"'!"&amp;$AI$3),0)</f>
        <v>#VALUE!</v>
      </c>
      <c r="AJ738" s="25">
        <v>1</v>
      </c>
      <c r="AK738" s="38">
        <f t="shared" ca="1" si="198"/>
        <v>0</v>
      </c>
      <c r="AL738" s="38">
        <f t="shared" ca="1" si="199"/>
        <v>0</v>
      </c>
      <c r="AM738" s="54" t="str">
        <f t="shared" ca="1" si="200"/>
        <v/>
      </c>
      <c r="AN738" s="25" t="e">
        <f t="shared" ca="1" si="201"/>
        <v>#VALUE!</v>
      </c>
      <c r="AO738" s="25" t="e">
        <f t="shared" ca="1" si="202"/>
        <v>#VALUE!</v>
      </c>
      <c r="AQ738" s="46" t="str">
        <f ca="1">IF(AND(C738&lt;&gt;0, C739=0), SUM($C$2:C738)-SUM($AQ$1:AQ737), "")</f>
        <v/>
      </c>
      <c r="AR738" s="46" t="str">
        <f ca="1">IF(AND(AK738&lt;&gt;0, AK739=0), SUM($AK$2:AK738)-SUM($AR$1:AR737), "")</f>
        <v/>
      </c>
    </row>
    <row r="739" spans="2:44" ht="13.15" customHeight="1">
      <c r="B739" s="68" t="str">
        <f t="shared" si="188"/>
        <v/>
      </c>
      <c r="C739" s="55" cm="1">
        <f t="array" aca="1" ref="C739" ca="1">SUM(IF(ISNUMBER(M739:U739),M739:U739,""))</f>
        <v>0</v>
      </c>
      <c r="D739" s="25" t="str">
        <f t="shared" si="189"/>
        <v/>
      </c>
      <c r="E739" s="25" t="e">
        <f t="shared" si="190"/>
        <v>#VALUE!</v>
      </c>
      <c r="F739" s="25" t="str">
        <f t="shared" si="191"/>
        <v/>
      </c>
      <c r="G739" s="25" t="str">
        <f t="shared" si="192"/>
        <v>.xlsx</v>
      </c>
      <c r="H739" s="29" t="e" cm="1">
        <f t="array" aca="1" ref="H739" ca="1">IF(AND(VALUE(E739)=INDIRECT("'["&amp;G739&amp;"]"&amp;E739&amp;"'!"&amp;$X$2),G739=INDIRECT("'["&amp;G739&amp;"]"&amp;E739&amp;"'!"&amp;$X$3)),INDIRECT("'["&amp;G739&amp;"]"&amp;E739&amp;"'!"&amp;$X$1),0)</f>
        <v>#VALUE!</v>
      </c>
      <c r="I739" s="25" t="str">
        <f t="shared" si="193"/>
        <v/>
      </c>
      <c r="J739" s="32" t="str">
        <f t="shared" si="194"/>
        <v/>
      </c>
      <c r="K739" s="25" t="str">
        <f t="shared" si="195"/>
        <v/>
      </c>
      <c r="L739" s="25" t="str">
        <f t="shared" si="196"/>
        <v/>
      </c>
      <c r="M739" s="33" t="e" cm="1">
        <f t="array" aca="1" ref="M739" ca="1">IF(AND(J739=INDIRECT("'["&amp;G739&amp;"]"&amp;E739&amp;"'!"&amp;$Y$2),G739=INDIRECT("'["&amp;G739&amp;"]"&amp;E739&amp;"'!"&amp;$AH$2)),INDIRECT("'["&amp;G739&amp;"]"&amp;E739&amp;"'!"&amp;$Y$3),0)</f>
        <v>#VALUE!</v>
      </c>
      <c r="N739" s="34" t="e" cm="1">
        <f t="array" aca="1" ref="N739" ca="1">IF(AND(G739=INDIRECT("'["&amp;G739&amp;"]"&amp;E739&amp;"'!"&amp;$AH$2),OR(K739=INDIRECT("'["&amp;G739&amp;"]"&amp;E739&amp;"'!"&amp;$Z$2))),INDIRECT("'["&amp;G739&amp;"]"&amp;E739&amp;"'!"&amp;$Z$3),0)</f>
        <v>#VALUE!</v>
      </c>
      <c r="O739" s="34" t="e" cm="1">
        <f t="array" aca="1" ref="O739" ca="1">IF(AND(G739=INDIRECT("'["&amp;G739&amp;"]"&amp;E739&amp;"'!"&amp;$AH$2),OR(L739=INDIRECT("'["&amp;G739&amp;"]"&amp;E739&amp;"'!"&amp;$AA$2))),INDIRECT("'["&amp;G739&amp;"]"&amp;E739&amp;"'!"&amp;$AA$3),0)</f>
        <v>#VALUE!</v>
      </c>
      <c r="P739" s="34" t="e" cm="1">
        <f t="array" aca="1" ref="P739" ca="1">IF(AND(G739=INDIRECT("'["&amp;G739&amp;"]"&amp;E739&amp;"'!"&amp;$AH$2),OR(VALUE(I739)=INDIRECT("'["&amp;G739&amp;"]"&amp;E739&amp;"'!"&amp;$AB$2))),INDIRECT("'["&amp;G739&amp;"]"&amp;E739&amp;"'!"&amp;$AB$3),0)</f>
        <v>#VALUE!</v>
      </c>
      <c r="Q739" s="34" t="e" cm="1">
        <f t="array" aca="1" ref="Q739" ca="1">IF(AND(G739=INDIRECT("'["&amp;G739&amp;"]"&amp;E739&amp;"'!"&amp;$AH$2),OR(VALUE(I739)=INDIRECT("'["&amp;G739&amp;"]"&amp;E739&amp;"'!"&amp;$AC$2))),INDIRECT("'["&amp;G739&amp;"]"&amp;E739&amp;"'!"&amp;$AC$3),0)</f>
        <v>#VALUE!</v>
      </c>
      <c r="R739" s="34" t="e" cm="1">
        <f t="array" aca="1" ref="R739" ca="1">IF(AND(G739=INDIRECT("'["&amp;G739&amp;"]"&amp;E739&amp;"'!"&amp;$AH$2),OR(I739=INDIRECT("'["&amp;G739&amp;"]"&amp;E739&amp;"'!"&amp;$AD$2))),INDIRECT("'["&amp;G739&amp;"]"&amp;E739&amp;"'!"&amp;$AD$3),0)</f>
        <v>#VALUE!</v>
      </c>
      <c r="S739" s="34" t="e" cm="1">
        <f t="array" aca="1" ref="S739" ca="1">IF(AND(G739=INDIRECT("'["&amp;G739&amp;"]"&amp;E739&amp;"'!"&amp;$AH$2),OR(I739=INDIRECT("'["&amp;G739&amp;"]"&amp;E739&amp;"'!"&amp;$AE$2))),INDIRECT("'["&amp;G739&amp;"]"&amp;E739&amp;"'!"&amp;$AE$3),0)</f>
        <v>#VALUE!</v>
      </c>
      <c r="T739" s="35" t="e" cm="1">
        <f t="array" aca="1" ref="T739" ca="1">IF(AND(G739=INDIRECT("'["&amp;G739&amp;"]"&amp;E739&amp;"'!"&amp;$AH$2),OR(I739=INDIRECT("'["&amp;G739&amp;"]"&amp;E739&amp;"'!"&amp;$AF$2))),INDIRECT("'["&amp;G739&amp;"]"&amp;E739&amp;"'!"&amp;$AF$3),0)</f>
        <v>#VALUE!</v>
      </c>
      <c r="U739" s="34" t="e" cm="1">
        <f t="array" aca="1" ref="U739" ca="1">IF(AND(G739=INDIRECT("'["&amp;G739&amp;"]"&amp;E739&amp;"'!"&amp;$AH$2),OR(I739=INDIRECT("'["&amp;G739&amp;"]"&amp;E739&amp;"'!"&amp;$AG$2))),INDIRECT("'["&amp;G739&amp;"]"&amp;E739&amp;"'!"&amp;$AG$3),0)</f>
        <v>#VALUE!</v>
      </c>
      <c r="V739" s="25" t="str">
        <f t="shared" si="197"/>
        <v/>
      </c>
      <c r="W739" s="36" t="e" cm="1">
        <f t="array" aca="1" ref="W739" ca="1">IF(AND(G739=INDIRECT("'["&amp;G739&amp;"]"&amp;E739&amp;"'!"&amp;$AH$2),OR(V739=INDIRECT("'["&amp;G739&amp;"]"&amp;E739&amp;"'!"&amp;$AI$2))),INDIRECT("'["&amp;G739&amp;"]"&amp;E739&amp;"'!"&amp;$AI$3),0)</f>
        <v>#VALUE!</v>
      </c>
      <c r="AJ739" s="25">
        <v>1</v>
      </c>
      <c r="AK739" s="38">
        <f t="shared" ca="1" si="198"/>
        <v>0</v>
      </c>
      <c r="AL739" s="38">
        <f t="shared" ca="1" si="199"/>
        <v>0</v>
      </c>
      <c r="AM739" s="54" t="str">
        <f t="shared" ca="1" si="200"/>
        <v/>
      </c>
      <c r="AN739" s="25" t="e">
        <f t="shared" ca="1" si="201"/>
        <v>#VALUE!</v>
      </c>
      <c r="AO739" s="25" t="e">
        <f t="shared" ca="1" si="202"/>
        <v>#VALUE!</v>
      </c>
      <c r="AQ739" s="46" t="str">
        <f ca="1">IF(AND(C739&lt;&gt;0, C740=0), SUM($C$2:C739)-SUM($AQ$1:AQ738), "")</f>
        <v/>
      </c>
      <c r="AR739" s="46" t="str">
        <f ca="1">IF(AND(AK739&lt;&gt;0, AK740=0), SUM($AK$2:AK739)-SUM($AR$1:AR738), "")</f>
        <v/>
      </c>
    </row>
    <row r="740" spans="2:44" ht="13.15" customHeight="1">
      <c r="B740" s="68" t="str">
        <f t="shared" si="188"/>
        <v/>
      </c>
      <c r="C740" s="55" cm="1">
        <f t="array" aca="1" ref="C740" ca="1">SUM(IF(ISNUMBER(M740:U740),M740:U740,""))</f>
        <v>0</v>
      </c>
      <c r="D740" s="25" t="str">
        <f t="shared" si="189"/>
        <v/>
      </c>
      <c r="E740" s="25" t="e">
        <f t="shared" si="190"/>
        <v>#VALUE!</v>
      </c>
      <c r="F740" s="25" t="str">
        <f t="shared" si="191"/>
        <v/>
      </c>
      <c r="G740" s="25" t="str">
        <f t="shared" si="192"/>
        <v>.xlsx</v>
      </c>
      <c r="H740" s="29" t="e" cm="1">
        <f t="array" aca="1" ref="H740" ca="1">IF(AND(VALUE(E740)=INDIRECT("'["&amp;G740&amp;"]"&amp;E740&amp;"'!"&amp;$X$2),G740=INDIRECT("'["&amp;G740&amp;"]"&amp;E740&amp;"'!"&amp;$X$3)),INDIRECT("'["&amp;G740&amp;"]"&amp;E740&amp;"'!"&amp;$X$1),0)</f>
        <v>#VALUE!</v>
      </c>
      <c r="I740" s="25" t="str">
        <f t="shared" si="193"/>
        <v/>
      </c>
      <c r="J740" s="32" t="str">
        <f t="shared" si="194"/>
        <v/>
      </c>
      <c r="K740" s="25" t="str">
        <f t="shared" si="195"/>
        <v/>
      </c>
      <c r="L740" s="25" t="str">
        <f t="shared" si="196"/>
        <v/>
      </c>
      <c r="M740" s="33" t="e" cm="1">
        <f t="array" aca="1" ref="M740" ca="1">IF(AND(J740=INDIRECT("'["&amp;G740&amp;"]"&amp;E740&amp;"'!"&amp;$Y$2),G740=INDIRECT("'["&amp;G740&amp;"]"&amp;E740&amp;"'!"&amp;$AH$2)),INDIRECT("'["&amp;G740&amp;"]"&amp;E740&amp;"'!"&amp;$Y$3),0)</f>
        <v>#VALUE!</v>
      </c>
      <c r="N740" s="34" t="e" cm="1">
        <f t="array" aca="1" ref="N740" ca="1">IF(AND(G740=INDIRECT("'["&amp;G740&amp;"]"&amp;E740&amp;"'!"&amp;$AH$2),OR(K740=INDIRECT("'["&amp;G740&amp;"]"&amp;E740&amp;"'!"&amp;$Z$2))),INDIRECT("'["&amp;G740&amp;"]"&amp;E740&amp;"'!"&amp;$Z$3),0)</f>
        <v>#VALUE!</v>
      </c>
      <c r="O740" s="34" t="e" cm="1">
        <f t="array" aca="1" ref="O740" ca="1">IF(AND(G740=INDIRECT("'["&amp;G740&amp;"]"&amp;E740&amp;"'!"&amp;$AH$2),OR(L740=INDIRECT("'["&amp;G740&amp;"]"&amp;E740&amp;"'!"&amp;$AA$2))),INDIRECT("'["&amp;G740&amp;"]"&amp;E740&amp;"'!"&amp;$AA$3),0)</f>
        <v>#VALUE!</v>
      </c>
      <c r="P740" s="34" t="e" cm="1">
        <f t="array" aca="1" ref="P740" ca="1">IF(AND(G740=INDIRECT("'["&amp;G740&amp;"]"&amp;E740&amp;"'!"&amp;$AH$2),OR(VALUE(I740)=INDIRECT("'["&amp;G740&amp;"]"&amp;E740&amp;"'!"&amp;$AB$2))),INDIRECT("'["&amp;G740&amp;"]"&amp;E740&amp;"'!"&amp;$AB$3),0)</f>
        <v>#VALUE!</v>
      </c>
      <c r="Q740" s="34" t="e" cm="1">
        <f t="array" aca="1" ref="Q740" ca="1">IF(AND(G740=INDIRECT("'["&amp;G740&amp;"]"&amp;E740&amp;"'!"&amp;$AH$2),OR(VALUE(I740)=INDIRECT("'["&amp;G740&amp;"]"&amp;E740&amp;"'!"&amp;$AC$2))),INDIRECT("'["&amp;G740&amp;"]"&amp;E740&amp;"'!"&amp;$AC$3),0)</f>
        <v>#VALUE!</v>
      </c>
      <c r="R740" s="34" t="e" cm="1">
        <f t="array" aca="1" ref="R740" ca="1">IF(AND(G740=INDIRECT("'["&amp;G740&amp;"]"&amp;E740&amp;"'!"&amp;$AH$2),OR(I740=INDIRECT("'["&amp;G740&amp;"]"&amp;E740&amp;"'!"&amp;$AD$2))),INDIRECT("'["&amp;G740&amp;"]"&amp;E740&amp;"'!"&amp;$AD$3),0)</f>
        <v>#VALUE!</v>
      </c>
      <c r="S740" s="34" t="e" cm="1">
        <f t="array" aca="1" ref="S740" ca="1">IF(AND(G740=INDIRECT("'["&amp;G740&amp;"]"&amp;E740&amp;"'!"&amp;$AH$2),OR(I740=INDIRECT("'["&amp;G740&amp;"]"&amp;E740&amp;"'!"&amp;$AE$2))),INDIRECT("'["&amp;G740&amp;"]"&amp;E740&amp;"'!"&amp;$AE$3),0)</f>
        <v>#VALUE!</v>
      </c>
      <c r="T740" s="35" t="e" cm="1">
        <f t="array" aca="1" ref="T740" ca="1">IF(AND(G740=INDIRECT("'["&amp;G740&amp;"]"&amp;E740&amp;"'!"&amp;$AH$2),OR(I740=INDIRECT("'["&amp;G740&amp;"]"&amp;E740&amp;"'!"&amp;$AF$2))),INDIRECT("'["&amp;G740&amp;"]"&amp;E740&amp;"'!"&amp;$AF$3),0)</f>
        <v>#VALUE!</v>
      </c>
      <c r="U740" s="34" t="e" cm="1">
        <f t="array" aca="1" ref="U740" ca="1">IF(AND(G740=INDIRECT("'["&amp;G740&amp;"]"&amp;E740&amp;"'!"&amp;$AH$2),OR(I740=INDIRECT("'["&amp;G740&amp;"]"&amp;E740&amp;"'!"&amp;$AG$2))),INDIRECT("'["&amp;G740&amp;"]"&amp;E740&amp;"'!"&amp;$AG$3),0)</f>
        <v>#VALUE!</v>
      </c>
      <c r="V740" s="25" t="str">
        <f t="shared" si="197"/>
        <v/>
      </c>
      <c r="W740" s="36" t="e" cm="1">
        <f t="array" aca="1" ref="W740" ca="1">IF(AND(G740=INDIRECT("'["&amp;G740&amp;"]"&amp;E740&amp;"'!"&amp;$AH$2),OR(V740=INDIRECT("'["&amp;G740&amp;"]"&amp;E740&amp;"'!"&amp;$AI$2))),INDIRECT("'["&amp;G740&amp;"]"&amp;E740&amp;"'!"&amp;$AI$3),0)</f>
        <v>#VALUE!</v>
      </c>
      <c r="AJ740" s="25">
        <v>1</v>
      </c>
      <c r="AK740" s="38">
        <f t="shared" ca="1" si="198"/>
        <v>0</v>
      </c>
      <c r="AL740" s="38">
        <f t="shared" ca="1" si="199"/>
        <v>0</v>
      </c>
      <c r="AM740" s="54" t="str">
        <f t="shared" ca="1" si="200"/>
        <v/>
      </c>
      <c r="AN740" s="25" t="e">
        <f t="shared" ca="1" si="201"/>
        <v>#VALUE!</v>
      </c>
      <c r="AO740" s="25" t="e">
        <f t="shared" ca="1" si="202"/>
        <v>#VALUE!</v>
      </c>
      <c r="AQ740" s="46" t="str">
        <f ca="1">IF(AND(C740&lt;&gt;0, C741=0), SUM($C$2:C740)-SUM($AQ$1:AQ739), "")</f>
        <v/>
      </c>
      <c r="AR740" s="46" t="str">
        <f ca="1">IF(AND(AK740&lt;&gt;0, AK741=0), SUM($AK$2:AK740)-SUM($AR$1:AR739), "")</f>
        <v/>
      </c>
    </row>
    <row r="741" spans="2:44" ht="13.15" customHeight="1">
      <c r="B741" s="68" t="str">
        <f t="shared" si="188"/>
        <v/>
      </c>
      <c r="C741" s="55" cm="1">
        <f t="array" aca="1" ref="C741" ca="1">SUM(IF(ISNUMBER(M741:U741),M741:U741,""))</f>
        <v>0</v>
      </c>
      <c r="D741" s="25" t="str">
        <f t="shared" si="189"/>
        <v/>
      </c>
      <c r="E741" s="25" t="e">
        <f t="shared" si="190"/>
        <v>#VALUE!</v>
      </c>
      <c r="F741" s="25" t="str">
        <f t="shared" si="191"/>
        <v/>
      </c>
      <c r="G741" s="25" t="str">
        <f t="shared" si="192"/>
        <v>.xlsx</v>
      </c>
      <c r="H741" s="29" t="e" cm="1">
        <f t="array" aca="1" ref="H741" ca="1">IF(AND(VALUE(E741)=INDIRECT("'["&amp;G741&amp;"]"&amp;E741&amp;"'!"&amp;$X$2),G741=INDIRECT("'["&amp;G741&amp;"]"&amp;E741&amp;"'!"&amp;$X$3)),INDIRECT("'["&amp;G741&amp;"]"&amp;E741&amp;"'!"&amp;$X$1),0)</f>
        <v>#VALUE!</v>
      </c>
      <c r="I741" s="25" t="str">
        <f t="shared" si="193"/>
        <v/>
      </c>
      <c r="J741" s="32" t="str">
        <f t="shared" si="194"/>
        <v/>
      </c>
      <c r="K741" s="25" t="str">
        <f t="shared" si="195"/>
        <v/>
      </c>
      <c r="L741" s="25" t="str">
        <f t="shared" si="196"/>
        <v/>
      </c>
      <c r="M741" s="33" t="e" cm="1">
        <f t="array" aca="1" ref="M741" ca="1">IF(AND(J741=INDIRECT("'["&amp;G741&amp;"]"&amp;E741&amp;"'!"&amp;$Y$2),G741=INDIRECT("'["&amp;G741&amp;"]"&amp;E741&amp;"'!"&amp;$AH$2)),INDIRECT("'["&amp;G741&amp;"]"&amp;E741&amp;"'!"&amp;$Y$3),0)</f>
        <v>#VALUE!</v>
      </c>
      <c r="N741" s="34" t="e" cm="1">
        <f t="array" aca="1" ref="N741" ca="1">IF(AND(G741=INDIRECT("'["&amp;G741&amp;"]"&amp;E741&amp;"'!"&amp;$AH$2),OR(K741=INDIRECT("'["&amp;G741&amp;"]"&amp;E741&amp;"'!"&amp;$Z$2))),INDIRECT("'["&amp;G741&amp;"]"&amp;E741&amp;"'!"&amp;$Z$3),0)</f>
        <v>#VALUE!</v>
      </c>
      <c r="O741" s="34" t="e" cm="1">
        <f t="array" aca="1" ref="O741" ca="1">IF(AND(G741=INDIRECT("'["&amp;G741&amp;"]"&amp;E741&amp;"'!"&amp;$AH$2),OR(L741=INDIRECT("'["&amp;G741&amp;"]"&amp;E741&amp;"'!"&amp;$AA$2))),INDIRECT("'["&amp;G741&amp;"]"&amp;E741&amp;"'!"&amp;$AA$3),0)</f>
        <v>#VALUE!</v>
      </c>
      <c r="P741" s="34" t="e" cm="1">
        <f t="array" aca="1" ref="P741" ca="1">IF(AND(G741=INDIRECT("'["&amp;G741&amp;"]"&amp;E741&amp;"'!"&amp;$AH$2),OR(VALUE(I741)=INDIRECT("'["&amp;G741&amp;"]"&amp;E741&amp;"'!"&amp;$AB$2))),INDIRECT("'["&amp;G741&amp;"]"&amp;E741&amp;"'!"&amp;$AB$3),0)</f>
        <v>#VALUE!</v>
      </c>
      <c r="Q741" s="34" t="e" cm="1">
        <f t="array" aca="1" ref="Q741" ca="1">IF(AND(G741=INDIRECT("'["&amp;G741&amp;"]"&amp;E741&amp;"'!"&amp;$AH$2),OR(VALUE(I741)=INDIRECT("'["&amp;G741&amp;"]"&amp;E741&amp;"'!"&amp;$AC$2))),INDIRECT("'["&amp;G741&amp;"]"&amp;E741&amp;"'!"&amp;$AC$3),0)</f>
        <v>#VALUE!</v>
      </c>
      <c r="R741" s="34" t="e" cm="1">
        <f t="array" aca="1" ref="R741" ca="1">IF(AND(G741=INDIRECT("'["&amp;G741&amp;"]"&amp;E741&amp;"'!"&amp;$AH$2),OR(I741=INDIRECT("'["&amp;G741&amp;"]"&amp;E741&amp;"'!"&amp;$AD$2))),INDIRECT("'["&amp;G741&amp;"]"&amp;E741&amp;"'!"&amp;$AD$3),0)</f>
        <v>#VALUE!</v>
      </c>
      <c r="S741" s="34" t="e" cm="1">
        <f t="array" aca="1" ref="S741" ca="1">IF(AND(G741=INDIRECT("'["&amp;G741&amp;"]"&amp;E741&amp;"'!"&amp;$AH$2),OR(I741=INDIRECT("'["&amp;G741&amp;"]"&amp;E741&amp;"'!"&amp;$AE$2))),INDIRECT("'["&amp;G741&amp;"]"&amp;E741&amp;"'!"&amp;$AE$3),0)</f>
        <v>#VALUE!</v>
      </c>
      <c r="T741" s="35" t="e" cm="1">
        <f t="array" aca="1" ref="T741" ca="1">IF(AND(G741=INDIRECT("'["&amp;G741&amp;"]"&amp;E741&amp;"'!"&amp;$AH$2),OR(I741=INDIRECT("'["&amp;G741&amp;"]"&amp;E741&amp;"'!"&amp;$AF$2))),INDIRECT("'["&amp;G741&amp;"]"&amp;E741&amp;"'!"&amp;$AF$3),0)</f>
        <v>#VALUE!</v>
      </c>
      <c r="U741" s="34" t="e" cm="1">
        <f t="array" aca="1" ref="U741" ca="1">IF(AND(G741=INDIRECT("'["&amp;G741&amp;"]"&amp;E741&amp;"'!"&amp;$AH$2),OR(I741=INDIRECT("'["&amp;G741&amp;"]"&amp;E741&amp;"'!"&amp;$AG$2))),INDIRECT("'["&amp;G741&amp;"]"&amp;E741&amp;"'!"&amp;$AG$3),0)</f>
        <v>#VALUE!</v>
      </c>
      <c r="V741" s="25" t="str">
        <f t="shared" si="197"/>
        <v/>
      </c>
      <c r="W741" s="36" t="e" cm="1">
        <f t="array" aca="1" ref="W741" ca="1">IF(AND(G741=INDIRECT("'["&amp;G741&amp;"]"&amp;E741&amp;"'!"&amp;$AH$2),OR(V741=INDIRECT("'["&amp;G741&amp;"]"&amp;E741&amp;"'!"&amp;$AI$2))),INDIRECT("'["&amp;G741&amp;"]"&amp;E741&amp;"'!"&amp;$AI$3),0)</f>
        <v>#VALUE!</v>
      </c>
      <c r="AJ741" s="25">
        <v>1</v>
      </c>
      <c r="AK741" s="38">
        <f t="shared" ca="1" si="198"/>
        <v>0</v>
      </c>
      <c r="AL741" s="38">
        <f t="shared" ca="1" si="199"/>
        <v>0</v>
      </c>
      <c r="AM741" s="54" t="str">
        <f t="shared" ca="1" si="200"/>
        <v/>
      </c>
      <c r="AN741" s="25" t="e">
        <f t="shared" ca="1" si="201"/>
        <v>#VALUE!</v>
      </c>
      <c r="AO741" s="25" t="e">
        <f t="shared" ca="1" si="202"/>
        <v>#VALUE!</v>
      </c>
      <c r="AQ741" s="46" t="str">
        <f ca="1">IF(AND(C741&lt;&gt;0, C742=0), SUM($C$2:C741)-SUM($AQ$1:AQ740), "")</f>
        <v/>
      </c>
      <c r="AR741" s="46" t="str">
        <f ca="1">IF(AND(AK741&lt;&gt;0, AK742=0), SUM($AK$2:AK741)-SUM($AR$1:AR740), "")</f>
        <v/>
      </c>
    </row>
    <row r="742" spans="2:44" ht="13.15" customHeight="1">
      <c r="B742" s="68" t="str">
        <f t="shared" si="188"/>
        <v/>
      </c>
      <c r="C742" s="55" cm="1">
        <f t="array" aca="1" ref="C742" ca="1">SUM(IF(ISNUMBER(M742:U742),M742:U742,""))</f>
        <v>0</v>
      </c>
      <c r="D742" s="25" t="str">
        <f t="shared" si="189"/>
        <v/>
      </c>
      <c r="E742" s="25" t="e">
        <f t="shared" si="190"/>
        <v>#VALUE!</v>
      </c>
      <c r="F742" s="25" t="str">
        <f t="shared" si="191"/>
        <v/>
      </c>
      <c r="G742" s="25" t="str">
        <f t="shared" si="192"/>
        <v>.xlsx</v>
      </c>
      <c r="H742" s="29" t="e" cm="1">
        <f t="array" aca="1" ref="H742" ca="1">IF(AND(VALUE(E742)=INDIRECT("'["&amp;G742&amp;"]"&amp;E742&amp;"'!"&amp;$X$2),G742=INDIRECT("'["&amp;G742&amp;"]"&amp;E742&amp;"'!"&amp;$X$3)),INDIRECT("'["&amp;G742&amp;"]"&amp;E742&amp;"'!"&amp;$X$1),0)</f>
        <v>#VALUE!</v>
      </c>
      <c r="I742" s="25" t="str">
        <f t="shared" si="193"/>
        <v/>
      </c>
      <c r="J742" s="32" t="str">
        <f t="shared" si="194"/>
        <v/>
      </c>
      <c r="K742" s="25" t="str">
        <f t="shared" si="195"/>
        <v/>
      </c>
      <c r="L742" s="25" t="str">
        <f t="shared" si="196"/>
        <v/>
      </c>
      <c r="M742" s="33" t="e" cm="1">
        <f t="array" aca="1" ref="M742" ca="1">IF(AND(J742=INDIRECT("'["&amp;G742&amp;"]"&amp;E742&amp;"'!"&amp;$Y$2),G742=INDIRECT("'["&amp;G742&amp;"]"&amp;E742&amp;"'!"&amp;$AH$2)),INDIRECT("'["&amp;G742&amp;"]"&amp;E742&amp;"'!"&amp;$Y$3),0)</f>
        <v>#VALUE!</v>
      </c>
      <c r="N742" s="34" t="e" cm="1">
        <f t="array" aca="1" ref="N742" ca="1">IF(AND(G742=INDIRECT("'["&amp;G742&amp;"]"&amp;E742&amp;"'!"&amp;$AH$2),OR(K742=INDIRECT("'["&amp;G742&amp;"]"&amp;E742&amp;"'!"&amp;$Z$2))),INDIRECT("'["&amp;G742&amp;"]"&amp;E742&amp;"'!"&amp;$Z$3),0)</f>
        <v>#VALUE!</v>
      </c>
      <c r="O742" s="34" t="e" cm="1">
        <f t="array" aca="1" ref="O742" ca="1">IF(AND(G742=INDIRECT("'["&amp;G742&amp;"]"&amp;E742&amp;"'!"&amp;$AH$2),OR(L742=INDIRECT("'["&amp;G742&amp;"]"&amp;E742&amp;"'!"&amp;$AA$2))),INDIRECT("'["&amp;G742&amp;"]"&amp;E742&amp;"'!"&amp;$AA$3),0)</f>
        <v>#VALUE!</v>
      </c>
      <c r="P742" s="34" t="e" cm="1">
        <f t="array" aca="1" ref="P742" ca="1">IF(AND(G742=INDIRECT("'["&amp;G742&amp;"]"&amp;E742&amp;"'!"&amp;$AH$2),OR(VALUE(I742)=INDIRECT("'["&amp;G742&amp;"]"&amp;E742&amp;"'!"&amp;$AB$2))),INDIRECT("'["&amp;G742&amp;"]"&amp;E742&amp;"'!"&amp;$AB$3),0)</f>
        <v>#VALUE!</v>
      </c>
      <c r="Q742" s="34" t="e" cm="1">
        <f t="array" aca="1" ref="Q742" ca="1">IF(AND(G742=INDIRECT("'["&amp;G742&amp;"]"&amp;E742&amp;"'!"&amp;$AH$2),OR(VALUE(I742)=INDIRECT("'["&amp;G742&amp;"]"&amp;E742&amp;"'!"&amp;$AC$2))),INDIRECT("'["&amp;G742&amp;"]"&amp;E742&amp;"'!"&amp;$AC$3),0)</f>
        <v>#VALUE!</v>
      </c>
      <c r="R742" s="34" t="e" cm="1">
        <f t="array" aca="1" ref="R742" ca="1">IF(AND(G742=INDIRECT("'["&amp;G742&amp;"]"&amp;E742&amp;"'!"&amp;$AH$2),OR(I742=INDIRECT("'["&amp;G742&amp;"]"&amp;E742&amp;"'!"&amp;$AD$2))),INDIRECT("'["&amp;G742&amp;"]"&amp;E742&amp;"'!"&amp;$AD$3),0)</f>
        <v>#VALUE!</v>
      </c>
      <c r="S742" s="34" t="e" cm="1">
        <f t="array" aca="1" ref="S742" ca="1">IF(AND(G742=INDIRECT("'["&amp;G742&amp;"]"&amp;E742&amp;"'!"&amp;$AH$2),OR(I742=INDIRECT("'["&amp;G742&amp;"]"&amp;E742&amp;"'!"&amp;$AE$2))),INDIRECT("'["&amp;G742&amp;"]"&amp;E742&amp;"'!"&amp;$AE$3),0)</f>
        <v>#VALUE!</v>
      </c>
      <c r="T742" s="35" t="e" cm="1">
        <f t="array" aca="1" ref="T742" ca="1">IF(AND(G742=INDIRECT("'["&amp;G742&amp;"]"&amp;E742&amp;"'!"&amp;$AH$2),OR(I742=INDIRECT("'["&amp;G742&amp;"]"&amp;E742&amp;"'!"&amp;$AF$2))),INDIRECT("'["&amp;G742&amp;"]"&amp;E742&amp;"'!"&amp;$AF$3),0)</f>
        <v>#VALUE!</v>
      </c>
      <c r="U742" s="34" t="e" cm="1">
        <f t="array" aca="1" ref="U742" ca="1">IF(AND(G742=INDIRECT("'["&amp;G742&amp;"]"&amp;E742&amp;"'!"&amp;$AH$2),OR(I742=INDIRECT("'["&amp;G742&amp;"]"&amp;E742&amp;"'!"&amp;$AG$2))),INDIRECT("'["&amp;G742&amp;"]"&amp;E742&amp;"'!"&amp;$AG$3),0)</f>
        <v>#VALUE!</v>
      </c>
      <c r="V742" s="25" t="str">
        <f t="shared" si="197"/>
        <v/>
      </c>
      <c r="W742" s="36" t="e" cm="1">
        <f t="array" aca="1" ref="W742" ca="1">IF(AND(G742=INDIRECT("'["&amp;G742&amp;"]"&amp;E742&amp;"'!"&amp;$AH$2),OR(V742=INDIRECT("'["&amp;G742&amp;"]"&amp;E742&amp;"'!"&amp;$AI$2))),INDIRECT("'["&amp;G742&amp;"]"&amp;E742&amp;"'!"&amp;$AI$3),0)</f>
        <v>#VALUE!</v>
      </c>
      <c r="AJ742" s="25">
        <v>1</v>
      </c>
      <c r="AK742" s="38">
        <f t="shared" ca="1" si="198"/>
        <v>0</v>
      </c>
      <c r="AL742" s="38">
        <f t="shared" ca="1" si="199"/>
        <v>0</v>
      </c>
      <c r="AM742" s="54" t="str">
        <f t="shared" ca="1" si="200"/>
        <v/>
      </c>
      <c r="AN742" s="25" t="e">
        <f t="shared" ca="1" si="201"/>
        <v>#VALUE!</v>
      </c>
      <c r="AO742" s="25" t="e">
        <f t="shared" ca="1" si="202"/>
        <v>#VALUE!</v>
      </c>
      <c r="AQ742" s="46" t="str">
        <f ca="1">IF(AND(C742&lt;&gt;0, C743=0), SUM($C$2:C742)-SUM($AQ$1:AQ741), "")</f>
        <v/>
      </c>
      <c r="AR742" s="46" t="str">
        <f ca="1">IF(AND(AK742&lt;&gt;0, AK743=0), SUM($AK$2:AK742)-SUM($AR$1:AR741), "")</f>
        <v/>
      </c>
    </row>
    <row r="743" spans="2:44" ht="13.15" customHeight="1">
      <c r="B743" s="68" t="str">
        <f t="shared" si="188"/>
        <v/>
      </c>
      <c r="C743" s="55" cm="1">
        <f t="array" aca="1" ref="C743" ca="1">SUM(IF(ISNUMBER(M743:U743),M743:U743,""))</f>
        <v>0</v>
      </c>
      <c r="D743" s="25" t="str">
        <f t="shared" si="189"/>
        <v/>
      </c>
      <c r="E743" s="25" t="e">
        <f t="shared" si="190"/>
        <v>#VALUE!</v>
      </c>
      <c r="F743" s="25" t="str">
        <f t="shared" si="191"/>
        <v/>
      </c>
      <c r="G743" s="25" t="str">
        <f t="shared" si="192"/>
        <v>.xlsx</v>
      </c>
      <c r="H743" s="29" t="e" cm="1">
        <f t="array" aca="1" ref="H743" ca="1">IF(AND(VALUE(E743)=INDIRECT("'["&amp;G743&amp;"]"&amp;E743&amp;"'!"&amp;$X$2),G743=INDIRECT("'["&amp;G743&amp;"]"&amp;E743&amp;"'!"&amp;$X$3)),INDIRECT("'["&amp;G743&amp;"]"&amp;E743&amp;"'!"&amp;$X$1),0)</f>
        <v>#VALUE!</v>
      </c>
      <c r="I743" s="25" t="str">
        <f t="shared" si="193"/>
        <v/>
      </c>
      <c r="J743" s="32" t="str">
        <f t="shared" si="194"/>
        <v/>
      </c>
      <c r="K743" s="25" t="str">
        <f t="shared" si="195"/>
        <v/>
      </c>
      <c r="L743" s="25" t="str">
        <f t="shared" si="196"/>
        <v/>
      </c>
      <c r="M743" s="33" t="e" cm="1">
        <f t="array" aca="1" ref="M743" ca="1">IF(AND(J743=INDIRECT("'["&amp;G743&amp;"]"&amp;E743&amp;"'!"&amp;$Y$2),G743=INDIRECT("'["&amp;G743&amp;"]"&amp;E743&amp;"'!"&amp;$AH$2)),INDIRECT("'["&amp;G743&amp;"]"&amp;E743&amp;"'!"&amp;$Y$3),0)</f>
        <v>#VALUE!</v>
      </c>
      <c r="N743" s="34" t="e" cm="1">
        <f t="array" aca="1" ref="N743" ca="1">IF(AND(G743=INDIRECT("'["&amp;G743&amp;"]"&amp;E743&amp;"'!"&amp;$AH$2),OR(K743=INDIRECT("'["&amp;G743&amp;"]"&amp;E743&amp;"'!"&amp;$Z$2))),INDIRECT("'["&amp;G743&amp;"]"&amp;E743&amp;"'!"&amp;$Z$3),0)</f>
        <v>#VALUE!</v>
      </c>
      <c r="O743" s="34" t="e" cm="1">
        <f t="array" aca="1" ref="O743" ca="1">IF(AND(G743=INDIRECT("'["&amp;G743&amp;"]"&amp;E743&amp;"'!"&amp;$AH$2),OR(L743=INDIRECT("'["&amp;G743&amp;"]"&amp;E743&amp;"'!"&amp;$AA$2))),INDIRECT("'["&amp;G743&amp;"]"&amp;E743&amp;"'!"&amp;$AA$3),0)</f>
        <v>#VALUE!</v>
      </c>
      <c r="P743" s="34" t="e" cm="1">
        <f t="array" aca="1" ref="P743" ca="1">IF(AND(G743=INDIRECT("'["&amp;G743&amp;"]"&amp;E743&amp;"'!"&amp;$AH$2),OR(VALUE(I743)=INDIRECT("'["&amp;G743&amp;"]"&amp;E743&amp;"'!"&amp;$AB$2))),INDIRECT("'["&amp;G743&amp;"]"&amp;E743&amp;"'!"&amp;$AB$3),0)</f>
        <v>#VALUE!</v>
      </c>
      <c r="Q743" s="34" t="e" cm="1">
        <f t="array" aca="1" ref="Q743" ca="1">IF(AND(G743=INDIRECT("'["&amp;G743&amp;"]"&amp;E743&amp;"'!"&amp;$AH$2),OR(VALUE(I743)=INDIRECT("'["&amp;G743&amp;"]"&amp;E743&amp;"'!"&amp;$AC$2))),INDIRECT("'["&amp;G743&amp;"]"&amp;E743&amp;"'!"&amp;$AC$3),0)</f>
        <v>#VALUE!</v>
      </c>
      <c r="R743" s="34" t="e" cm="1">
        <f t="array" aca="1" ref="R743" ca="1">IF(AND(G743=INDIRECT("'["&amp;G743&amp;"]"&amp;E743&amp;"'!"&amp;$AH$2),OR(I743=INDIRECT("'["&amp;G743&amp;"]"&amp;E743&amp;"'!"&amp;$AD$2))),INDIRECT("'["&amp;G743&amp;"]"&amp;E743&amp;"'!"&amp;$AD$3),0)</f>
        <v>#VALUE!</v>
      </c>
      <c r="S743" s="34" t="e" cm="1">
        <f t="array" aca="1" ref="S743" ca="1">IF(AND(G743=INDIRECT("'["&amp;G743&amp;"]"&amp;E743&amp;"'!"&amp;$AH$2),OR(I743=INDIRECT("'["&amp;G743&amp;"]"&amp;E743&amp;"'!"&amp;$AE$2))),INDIRECT("'["&amp;G743&amp;"]"&amp;E743&amp;"'!"&amp;$AE$3),0)</f>
        <v>#VALUE!</v>
      </c>
      <c r="T743" s="35" t="e" cm="1">
        <f t="array" aca="1" ref="T743" ca="1">IF(AND(G743=INDIRECT("'["&amp;G743&amp;"]"&amp;E743&amp;"'!"&amp;$AH$2),OR(I743=INDIRECT("'["&amp;G743&amp;"]"&amp;E743&amp;"'!"&amp;$AF$2))),INDIRECT("'["&amp;G743&amp;"]"&amp;E743&amp;"'!"&amp;$AF$3),0)</f>
        <v>#VALUE!</v>
      </c>
      <c r="U743" s="34" t="e" cm="1">
        <f t="array" aca="1" ref="U743" ca="1">IF(AND(G743=INDIRECT("'["&amp;G743&amp;"]"&amp;E743&amp;"'!"&amp;$AH$2),OR(I743=INDIRECT("'["&amp;G743&amp;"]"&amp;E743&amp;"'!"&amp;$AG$2))),INDIRECT("'["&amp;G743&amp;"]"&amp;E743&amp;"'!"&amp;$AG$3),0)</f>
        <v>#VALUE!</v>
      </c>
      <c r="V743" s="25" t="str">
        <f t="shared" si="197"/>
        <v/>
      </c>
      <c r="W743" s="36" t="e" cm="1">
        <f t="array" aca="1" ref="W743" ca="1">IF(AND(G743=INDIRECT("'["&amp;G743&amp;"]"&amp;E743&amp;"'!"&amp;$AH$2),OR(V743=INDIRECT("'["&amp;G743&amp;"]"&amp;E743&amp;"'!"&amp;$AI$2))),INDIRECT("'["&amp;G743&amp;"]"&amp;E743&amp;"'!"&amp;$AI$3),0)</f>
        <v>#VALUE!</v>
      </c>
      <c r="AJ743" s="25">
        <v>1</v>
      </c>
      <c r="AK743" s="38">
        <f t="shared" ca="1" si="198"/>
        <v>0</v>
      </c>
      <c r="AL743" s="38">
        <f t="shared" ca="1" si="199"/>
        <v>0</v>
      </c>
      <c r="AM743" s="54" t="str">
        <f t="shared" ca="1" si="200"/>
        <v/>
      </c>
      <c r="AN743" s="25" t="e">
        <f t="shared" ca="1" si="201"/>
        <v>#VALUE!</v>
      </c>
      <c r="AO743" s="25" t="e">
        <f t="shared" ca="1" si="202"/>
        <v>#VALUE!</v>
      </c>
      <c r="AQ743" s="46" t="str">
        <f ca="1">IF(AND(C743&lt;&gt;0, C744=0), SUM($C$2:C743)-SUM($AQ$1:AQ742), "")</f>
        <v/>
      </c>
      <c r="AR743" s="46" t="str">
        <f ca="1">IF(AND(AK743&lt;&gt;0, AK744=0), SUM($AK$2:AK743)-SUM($AR$1:AR742), "")</f>
        <v/>
      </c>
    </row>
    <row r="744" spans="2:44" ht="13.15" customHeight="1">
      <c r="B744" s="68" t="str">
        <f t="shared" si="188"/>
        <v/>
      </c>
      <c r="C744" s="55" cm="1">
        <f t="array" aca="1" ref="C744" ca="1">SUM(IF(ISNUMBER(M744:U744),M744:U744,""))</f>
        <v>0</v>
      </c>
      <c r="D744" s="25" t="str">
        <f t="shared" si="189"/>
        <v/>
      </c>
      <c r="E744" s="25" t="e">
        <f t="shared" si="190"/>
        <v>#VALUE!</v>
      </c>
      <c r="F744" s="25" t="str">
        <f t="shared" si="191"/>
        <v/>
      </c>
      <c r="G744" s="25" t="str">
        <f t="shared" si="192"/>
        <v>.xlsx</v>
      </c>
      <c r="H744" s="29" t="e" cm="1">
        <f t="array" aca="1" ref="H744" ca="1">IF(AND(VALUE(E744)=INDIRECT("'["&amp;G744&amp;"]"&amp;E744&amp;"'!"&amp;$X$2),G744=INDIRECT("'["&amp;G744&amp;"]"&amp;E744&amp;"'!"&amp;$X$3)),INDIRECT("'["&amp;G744&amp;"]"&amp;E744&amp;"'!"&amp;$X$1),0)</f>
        <v>#VALUE!</v>
      </c>
      <c r="I744" s="25" t="str">
        <f t="shared" si="193"/>
        <v/>
      </c>
      <c r="J744" s="32" t="str">
        <f t="shared" si="194"/>
        <v/>
      </c>
      <c r="K744" s="25" t="str">
        <f t="shared" si="195"/>
        <v/>
      </c>
      <c r="L744" s="25" t="str">
        <f t="shared" si="196"/>
        <v/>
      </c>
      <c r="M744" s="33" t="e" cm="1">
        <f t="array" aca="1" ref="M744" ca="1">IF(AND(J744=INDIRECT("'["&amp;G744&amp;"]"&amp;E744&amp;"'!"&amp;$Y$2),G744=INDIRECT("'["&amp;G744&amp;"]"&amp;E744&amp;"'!"&amp;$AH$2)),INDIRECT("'["&amp;G744&amp;"]"&amp;E744&amp;"'!"&amp;$Y$3),0)</f>
        <v>#VALUE!</v>
      </c>
      <c r="N744" s="34" t="e" cm="1">
        <f t="array" aca="1" ref="N744" ca="1">IF(AND(G744=INDIRECT("'["&amp;G744&amp;"]"&amp;E744&amp;"'!"&amp;$AH$2),OR(K744=INDIRECT("'["&amp;G744&amp;"]"&amp;E744&amp;"'!"&amp;$Z$2))),INDIRECT("'["&amp;G744&amp;"]"&amp;E744&amp;"'!"&amp;$Z$3),0)</f>
        <v>#VALUE!</v>
      </c>
      <c r="O744" s="34" t="e" cm="1">
        <f t="array" aca="1" ref="O744" ca="1">IF(AND(G744=INDIRECT("'["&amp;G744&amp;"]"&amp;E744&amp;"'!"&amp;$AH$2),OR(L744=INDIRECT("'["&amp;G744&amp;"]"&amp;E744&amp;"'!"&amp;$AA$2))),INDIRECT("'["&amp;G744&amp;"]"&amp;E744&amp;"'!"&amp;$AA$3),0)</f>
        <v>#VALUE!</v>
      </c>
      <c r="P744" s="34" t="e" cm="1">
        <f t="array" aca="1" ref="P744" ca="1">IF(AND(G744=INDIRECT("'["&amp;G744&amp;"]"&amp;E744&amp;"'!"&amp;$AH$2),OR(VALUE(I744)=INDIRECT("'["&amp;G744&amp;"]"&amp;E744&amp;"'!"&amp;$AB$2))),INDIRECT("'["&amp;G744&amp;"]"&amp;E744&amp;"'!"&amp;$AB$3),0)</f>
        <v>#VALUE!</v>
      </c>
      <c r="Q744" s="34" t="e" cm="1">
        <f t="array" aca="1" ref="Q744" ca="1">IF(AND(G744=INDIRECT("'["&amp;G744&amp;"]"&amp;E744&amp;"'!"&amp;$AH$2),OR(VALUE(I744)=INDIRECT("'["&amp;G744&amp;"]"&amp;E744&amp;"'!"&amp;$AC$2))),INDIRECT("'["&amp;G744&amp;"]"&amp;E744&amp;"'!"&amp;$AC$3),0)</f>
        <v>#VALUE!</v>
      </c>
      <c r="R744" s="34" t="e" cm="1">
        <f t="array" aca="1" ref="R744" ca="1">IF(AND(G744=INDIRECT("'["&amp;G744&amp;"]"&amp;E744&amp;"'!"&amp;$AH$2),OR(I744=INDIRECT("'["&amp;G744&amp;"]"&amp;E744&amp;"'!"&amp;$AD$2))),INDIRECT("'["&amp;G744&amp;"]"&amp;E744&amp;"'!"&amp;$AD$3),0)</f>
        <v>#VALUE!</v>
      </c>
      <c r="S744" s="34" t="e" cm="1">
        <f t="array" aca="1" ref="S744" ca="1">IF(AND(G744=INDIRECT("'["&amp;G744&amp;"]"&amp;E744&amp;"'!"&amp;$AH$2),OR(I744=INDIRECT("'["&amp;G744&amp;"]"&amp;E744&amp;"'!"&amp;$AE$2))),INDIRECT("'["&amp;G744&amp;"]"&amp;E744&amp;"'!"&amp;$AE$3),0)</f>
        <v>#VALUE!</v>
      </c>
      <c r="T744" s="35" t="e" cm="1">
        <f t="array" aca="1" ref="T744" ca="1">IF(AND(G744=INDIRECT("'["&amp;G744&amp;"]"&amp;E744&amp;"'!"&amp;$AH$2),OR(I744=INDIRECT("'["&amp;G744&amp;"]"&amp;E744&amp;"'!"&amp;$AF$2))),INDIRECT("'["&amp;G744&amp;"]"&amp;E744&amp;"'!"&amp;$AF$3),0)</f>
        <v>#VALUE!</v>
      </c>
      <c r="U744" s="34" t="e" cm="1">
        <f t="array" aca="1" ref="U744" ca="1">IF(AND(G744=INDIRECT("'["&amp;G744&amp;"]"&amp;E744&amp;"'!"&amp;$AH$2),OR(I744=INDIRECT("'["&amp;G744&amp;"]"&amp;E744&amp;"'!"&amp;$AG$2))),INDIRECT("'["&amp;G744&amp;"]"&amp;E744&amp;"'!"&amp;$AG$3),0)</f>
        <v>#VALUE!</v>
      </c>
      <c r="V744" s="25" t="str">
        <f t="shared" si="197"/>
        <v/>
      </c>
      <c r="W744" s="36" t="e" cm="1">
        <f t="array" aca="1" ref="W744" ca="1">IF(AND(G744=INDIRECT("'["&amp;G744&amp;"]"&amp;E744&amp;"'!"&amp;$AH$2),OR(V744=INDIRECT("'["&amp;G744&amp;"]"&amp;E744&amp;"'!"&amp;$AI$2))),INDIRECT("'["&amp;G744&amp;"]"&amp;E744&amp;"'!"&amp;$AI$3),0)</f>
        <v>#VALUE!</v>
      </c>
      <c r="AJ744" s="25">
        <v>1</v>
      </c>
      <c r="AK744" s="38">
        <f t="shared" ca="1" si="198"/>
        <v>0</v>
      </c>
      <c r="AL744" s="38">
        <f t="shared" ca="1" si="199"/>
        <v>0</v>
      </c>
      <c r="AM744" s="54" t="str">
        <f t="shared" ca="1" si="200"/>
        <v/>
      </c>
      <c r="AN744" s="25" t="e">
        <f t="shared" ca="1" si="201"/>
        <v>#VALUE!</v>
      </c>
      <c r="AO744" s="25" t="e">
        <f t="shared" ca="1" si="202"/>
        <v>#VALUE!</v>
      </c>
      <c r="AQ744" s="46" t="str">
        <f ca="1">IF(AND(C744&lt;&gt;0, C745=0), SUM($C$2:C744)-SUM($AQ$1:AQ743), "")</f>
        <v/>
      </c>
      <c r="AR744" s="46" t="str">
        <f ca="1">IF(AND(AK744&lt;&gt;0, AK745=0), SUM($AK$2:AK744)-SUM($AR$1:AR743), "")</f>
        <v/>
      </c>
    </row>
    <row r="745" spans="2:44" ht="13.15" customHeight="1">
      <c r="B745" s="68" t="str">
        <f t="shared" si="188"/>
        <v/>
      </c>
      <c r="C745" s="55" cm="1">
        <f t="array" aca="1" ref="C745" ca="1">SUM(IF(ISNUMBER(M745:U745),M745:U745,""))</f>
        <v>0</v>
      </c>
      <c r="D745" s="25" t="str">
        <f t="shared" si="189"/>
        <v/>
      </c>
      <c r="E745" s="25" t="e">
        <f t="shared" si="190"/>
        <v>#VALUE!</v>
      </c>
      <c r="F745" s="25" t="str">
        <f t="shared" si="191"/>
        <v/>
      </c>
      <c r="G745" s="25" t="str">
        <f t="shared" si="192"/>
        <v>.xlsx</v>
      </c>
      <c r="H745" s="29" t="e" cm="1">
        <f t="array" aca="1" ref="H745" ca="1">IF(AND(VALUE(E745)=INDIRECT("'["&amp;G745&amp;"]"&amp;E745&amp;"'!"&amp;$X$2),G745=INDIRECT("'["&amp;G745&amp;"]"&amp;E745&amp;"'!"&amp;$X$3)),INDIRECT("'["&amp;G745&amp;"]"&amp;E745&amp;"'!"&amp;$X$1),0)</f>
        <v>#VALUE!</v>
      </c>
      <c r="I745" s="25" t="str">
        <f t="shared" si="193"/>
        <v/>
      </c>
      <c r="J745" s="32" t="str">
        <f t="shared" si="194"/>
        <v/>
      </c>
      <c r="K745" s="25" t="str">
        <f t="shared" si="195"/>
        <v/>
      </c>
      <c r="L745" s="25" t="str">
        <f t="shared" si="196"/>
        <v/>
      </c>
      <c r="M745" s="33" t="e" cm="1">
        <f t="array" aca="1" ref="M745" ca="1">IF(AND(J745=INDIRECT("'["&amp;G745&amp;"]"&amp;E745&amp;"'!"&amp;$Y$2),G745=INDIRECT("'["&amp;G745&amp;"]"&amp;E745&amp;"'!"&amp;$AH$2)),INDIRECT("'["&amp;G745&amp;"]"&amp;E745&amp;"'!"&amp;$Y$3),0)</f>
        <v>#VALUE!</v>
      </c>
      <c r="N745" s="34" t="e" cm="1">
        <f t="array" aca="1" ref="N745" ca="1">IF(AND(G745=INDIRECT("'["&amp;G745&amp;"]"&amp;E745&amp;"'!"&amp;$AH$2),OR(K745=INDIRECT("'["&amp;G745&amp;"]"&amp;E745&amp;"'!"&amp;$Z$2))),INDIRECT("'["&amp;G745&amp;"]"&amp;E745&amp;"'!"&amp;$Z$3),0)</f>
        <v>#VALUE!</v>
      </c>
      <c r="O745" s="34" t="e" cm="1">
        <f t="array" aca="1" ref="O745" ca="1">IF(AND(G745=INDIRECT("'["&amp;G745&amp;"]"&amp;E745&amp;"'!"&amp;$AH$2),OR(L745=INDIRECT("'["&amp;G745&amp;"]"&amp;E745&amp;"'!"&amp;$AA$2))),INDIRECT("'["&amp;G745&amp;"]"&amp;E745&amp;"'!"&amp;$AA$3),0)</f>
        <v>#VALUE!</v>
      </c>
      <c r="P745" s="34" t="e" cm="1">
        <f t="array" aca="1" ref="P745" ca="1">IF(AND(G745=INDIRECT("'["&amp;G745&amp;"]"&amp;E745&amp;"'!"&amp;$AH$2),OR(VALUE(I745)=INDIRECT("'["&amp;G745&amp;"]"&amp;E745&amp;"'!"&amp;$AB$2))),INDIRECT("'["&amp;G745&amp;"]"&amp;E745&amp;"'!"&amp;$AB$3),0)</f>
        <v>#VALUE!</v>
      </c>
      <c r="Q745" s="34" t="e" cm="1">
        <f t="array" aca="1" ref="Q745" ca="1">IF(AND(G745=INDIRECT("'["&amp;G745&amp;"]"&amp;E745&amp;"'!"&amp;$AH$2),OR(VALUE(I745)=INDIRECT("'["&amp;G745&amp;"]"&amp;E745&amp;"'!"&amp;$AC$2))),INDIRECT("'["&amp;G745&amp;"]"&amp;E745&amp;"'!"&amp;$AC$3),0)</f>
        <v>#VALUE!</v>
      </c>
      <c r="R745" s="34" t="e" cm="1">
        <f t="array" aca="1" ref="R745" ca="1">IF(AND(G745=INDIRECT("'["&amp;G745&amp;"]"&amp;E745&amp;"'!"&amp;$AH$2),OR(I745=INDIRECT("'["&amp;G745&amp;"]"&amp;E745&amp;"'!"&amp;$AD$2))),INDIRECT("'["&amp;G745&amp;"]"&amp;E745&amp;"'!"&amp;$AD$3),0)</f>
        <v>#VALUE!</v>
      </c>
      <c r="S745" s="34" t="e" cm="1">
        <f t="array" aca="1" ref="S745" ca="1">IF(AND(G745=INDIRECT("'["&amp;G745&amp;"]"&amp;E745&amp;"'!"&amp;$AH$2),OR(I745=INDIRECT("'["&amp;G745&amp;"]"&amp;E745&amp;"'!"&amp;$AE$2))),INDIRECT("'["&amp;G745&amp;"]"&amp;E745&amp;"'!"&amp;$AE$3),0)</f>
        <v>#VALUE!</v>
      </c>
      <c r="T745" s="35" t="e" cm="1">
        <f t="array" aca="1" ref="T745" ca="1">IF(AND(G745=INDIRECT("'["&amp;G745&amp;"]"&amp;E745&amp;"'!"&amp;$AH$2),OR(I745=INDIRECT("'["&amp;G745&amp;"]"&amp;E745&amp;"'!"&amp;$AF$2))),INDIRECT("'["&amp;G745&amp;"]"&amp;E745&amp;"'!"&amp;$AF$3),0)</f>
        <v>#VALUE!</v>
      </c>
      <c r="U745" s="34" t="e" cm="1">
        <f t="array" aca="1" ref="U745" ca="1">IF(AND(G745=INDIRECT("'["&amp;G745&amp;"]"&amp;E745&amp;"'!"&amp;$AH$2),OR(I745=INDIRECT("'["&amp;G745&amp;"]"&amp;E745&amp;"'!"&amp;$AG$2))),INDIRECT("'["&amp;G745&amp;"]"&amp;E745&amp;"'!"&amp;$AG$3),0)</f>
        <v>#VALUE!</v>
      </c>
      <c r="V745" s="25" t="str">
        <f t="shared" si="197"/>
        <v/>
      </c>
      <c r="W745" s="36" t="e" cm="1">
        <f t="array" aca="1" ref="W745" ca="1">IF(AND(G745=INDIRECT("'["&amp;G745&amp;"]"&amp;E745&amp;"'!"&amp;$AH$2),OR(V745=INDIRECT("'["&amp;G745&amp;"]"&amp;E745&amp;"'!"&amp;$AI$2))),INDIRECT("'["&amp;G745&amp;"]"&amp;E745&amp;"'!"&amp;$AI$3),0)</f>
        <v>#VALUE!</v>
      </c>
      <c r="AJ745" s="25">
        <v>1</v>
      </c>
      <c r="AK745" s="38">
        <f t="shared" ca="1" si="198"/>
        <v>0</v>
      </c>
      <c r="AL745" s="38">
        <f t="shared" ca="1" si="199"/>
        <v>0</v>
      </c>
      <c r="AM745" s="54" t="str">
        <f t="shared" ca="1" si="200"/>
        <v/>
      </c>
      <c r="AN745" s="25" t="e">
        <f t="shared" ca="1" si="201"/>
        <v>#VALUE!</v>
      </c>
      <c r="AO745" s="25" t="e">
        <f t="shared" ca="1" si="202"/>
        <v>#VALUE!</v>
      </c>
      <c r="AQ745" s="46" t="str">
        <f ca="1">IF(AND(C745&lt;&gt;0, C746=0), SUM($C$2:C745)-SUM($AQ$1:AQ744), "")</f>
        <v/>
      </c>
      <c r="AR745" s="46" t="str">
        <f ca="1">IF(AND(AK745&lt;&gt;0, AK746=0), SUM($AK$2:AK745)-SUM($AR$1:AR744), "")</f>
        <v/>
      </c>
    </row>
    <row r="746" spans="2:44" ht="13.15" customHeight="1">
      <c r="B746" s="68" t="str">
        <f t="shared" si="188"/>
        <v/>
      </c>
      <c r="C746" s="55" cm="1">
        <f t="array" aca="1" ref="C746" ca="1">SUM(IF(ISNUMBER(M746:U746),M746:U746,""))</f>
        <v>0</v>
      </c>
      <c r="D746" s="25" t="str">
        <f t="shared" si="189"/>
        <v/>
      </c>
      <c r="E746" s="25" t="e">
        <f t="shared" si="190"/>
        <v>#VALUE!</v>
      </c>
      <c r="F746" s="25" t="str">
        <f t="shared" si="191"/>
        <v/>
      </c>
      <c r="G746" s="25" t="str">
        <f t="shared" si="192"/>
        <v>.xlsx</v>
      </c>
      <c r="H746" s="29" t="e" cm="1">
        <f t="array" aca="1" ref="H746" ca="1">IF(AND(VALUE(E746)=INDIRECT("'["&amp;G746&amp;"]"&amp;E746&amp;"'!"&amp;$X$2),G746=INDIRECT("'["&amp;G746&amp;"]"&amp;E746&amp;"'!"&amp;$X$3)),INDIRECT("'["&amp;G746&amp;"]"&amp;E746&amp;"'!"&amp;$X$1),0)</f>
        <v>#VALUE!</v>
      </c>
      <c r="I746" s="25" t="str">
        <f t="shared" si="193"/>
        <v/>
      </c>
      <c r="J746" s="32" t="str">
        <f t="shared" si="194"/>
        <v/>
      </c>
      <c r="K746" s="25" t="str">
        <f t="shared" si="195"/>
        <v/>
      </c>
      <c r="L746" s="25" t="str">
        <f t="shared" si="196"/>
        <v/>
      </c>
      <c r="M746" s="33" t="e" cm="1">
        <f t="array" aca="1" ref="M746" ca="1">IF(AND(J746=INDIRECT("'["&amp;G746&amp;"]"&amp;E746&amp;"'!"&amp;$Y$2),G746=INDIRECT("'["&amp;G746&amp;"]"&amp;E746&amp;"'!"&amp;$AH$2)),INDIRECT("'["&amp;G746&amp;"]"&amp;E746&amp;"'!"&amp;$Y$3),0)</f>
        <v>#VALUE!</v>
      </c>
      <c r="N746" s="34" t="e" cm="1">
        <f t="array" aca="1" ref="N746" ca="1">IF(AND(G746=INDIRECT("'["&amp;G746&amp;"]"&amp;E746&amp;"'!"&amp;$AH$2),OR(K746=INDIRECT("'["&amp;G746&amp;"]"&amp;E746&amp;"'!"&amp;$Z$2))),INDIRECT("'["&amp;G746&amp;"]"&amp;E746&amp;"'!"&amp;$Z$3),0)</f>
        <v>#VALUE!</v>
      </c>
      <c r="O746" s="34" t="e" cm="1">
        <f t="array" aca="1" ref="O746" ca="1">IF(AND(G746=INDIRECT("'["&amp;G746&amp;"]"&amp;E746&amp;"'!"&amp;$AH$2),OR(L746=INDIRECT("'["&amp;G746&amp;"]"&amp;E746&amp;"'!"&amp;$AA$2))),INDIRECT("'["&amp;G746&amp;"]"&amp;E746&amp;"'!"&amp;$AA$3),0)</f>
        <v>#VALUE!</v>
      </c>
      <c r="P746" s="34" t="e" cm="1">
        <f t="array" aca="1" ref="P746" ca="1">IF(AND(G746=INDIRECT("'["&amp;G746&amp;"]"&amp;E746&amp;"'!"&amp;$AH$2),OR(VALUE(I746)=INDIRECT("'["&amp;G746&amp;"]"&amp;E746&amp;"'!"&amp;$AB$2))),INDIRECT("'["&amp;G746&amp;"]"&amp;E746&amp;"'!"&amp;$AB$3),0)</f>
        <v>#VALUE!</v>
      </c>
      <c r="Q746" s="34" t="e" cm="1">
        <f t="array" aca="1" ref="Q746" ca="1">IF(AND(G746=INDIRECT("'["&amp;G746&amp;"]"&amp;E746&amp;"'!"&amp;$AH$2),OR(VALUE(I746)=INDIRECT("'["&amp;G746&amp;"]"&amp;E746&amp;"'!"&amp;$AC$2))),INDIRECT("'["&amp;G746&amp;"]"&amp;E746&amp;"'!"&amp;$AC$3),0)</f>
        <v>#VALUE!</v>
      </c>
      <c r="R746" s="34" t="e" cm="1">
        <f t="array" aca="1" ref="R746" ca="1">IF(AND(G746=INDIRECT("'["&amp;G746&amp;"]"&amp;E746&amp;"'!"&amp;$AH$2),OR(I746=INDIRECT("'["&amp;G746&amp;"]"&amp;E746&amp;"'!"&amp;$AD$2))),INDIRECT("'["&amp;G746&amp;"]"&amp;E746&amp;"'!"&amp;$AD$3),0)</f>
        <v>#VALUE!</v>
      </c>
      <c r="S746" s="34" t="e" cm="1">
        <f t="array" aca="1" ref="S746" ca="1">IF(AND(G746=INDIRECT("'["&amp;G746&amp;"]"&amp;E746&amp;"'!"&amp;$AH$2),OR(I746=INDIRECT("'["&amp;G746&amp;"]"&amp;E746&amp;"'!"&amp;$AE$2))),INDIRECT("'["&amp;G746&amp;"]"&amp;E746&amp;"'!"&amp;$AE$3),0)</f>
        <v>#VALUE!</v>
      </c>
      <c r="T746" s="35" t="e" cm="1">
        <f t="array" aca="1" ref="T746" ca="1">IF(AND(G746=INDIRECT("'["&amp;G746&amp;"]"&amp;E746&amp;"'!"&amp;$AH$2),OR(I746=INDIRECT("'["&amp;G746&amp;"]"&amp;E746&amp;"'!"&amp;$AF$2))),INDIRECT("'["&amp;G746&amp;"]"&amp;E746&amp;"'!"&amp;$AF$3),0)</f>
        <v>#VALUE!</v>
      </c>
      <c r="U746" s="34" t="e" cm="1">
        <f t="array" aca="1" ref="U746" ca="1">IF(AND(G746=INDIRECT("'["&amp;G746&amp;"]"&amp;E746&amp;"'!"&amp;$AH$2),OR(I746=INDIRECT("'["&amp;G746&amp;"]"&amp;E746&amp;"'!"&amp;$AG$2))),INDIRECT("'["&amp;G746&amp;"]"&amp;E746&amp;"'!"&amp;$AG$3),0)</f>
        <v>#VALUE!</v>
      </c>
      <c r="V746" s="25" t="str">
        <f t="shared" si="197"/>
        <v/>
      </c>
      <c r="W746" s="36" t="e" cm="1">
        <f t="array" aca="1" ref="W746" ca="1">IF(AND(G746=INDIRECT("'["&amp;G746&amp;"]"&amp;E746&amp;"'!"&amp;$AH$2),OR(V746=INDIRECT("'["&amp;G746&amp;"]"&amp;E746&amp;"'!"&amp;$AI$2))),INDIRECT("'["&amp;G746&amp;"]"&amp;E746&amp;"'!"&amp;$AI$3),0)</f>
        <v>#VALUE!</v>
      </c>
      <c r="AJ746" s="25">
        <v>1</v>
      </c>
      <c r="AK746" s="38">
        <f t="shared" ca="1" si="198"/>
        <v>0</v>
      </c>
      <c r="AL746" s="38">
        <f t="shared" ca="1" si="199"/>
        <v>0</v>
      </c>
      <c r="AM746" s="54" t="str">
        <f t="shared" ca="1" si="200"/>
        <v/>
      </c>
      <c r="AN746" s="25" t="e">
        <f t="shared" ca="1" si="201"/>
        <v>#VALUE!</v>
      </c>
      <c r="AO746" s="25" t="e">
        <f t="shared" ca="1" si="202"/>
        <v>#VALUE!</v>
      </c>
      <c r="AQ746" s="46" t="str">
        <f ca="1">IF(AND(C746&lt;&gt;0, C747=0), SUM($C$2:C746)-SUM($AQ$1:AQ745), "")</f>
        <v/>
      </c>
      <c r="AR746" s="46" t="str">
        <f ca="1">IF(AND(AK746&lt;&gt;0, AK747=0), SUM($AK$2:AK746)-SUM($AR$1:AR745), "")</f>
        <v/>
      </c>
    </row>
    <row r="747" spans="2:44" ht="13.15" customHeight="1">
      <c r="B747" s="68" t="str">
        <f t="shared" si="188"/>
        <v/>
      </c>
      <c r="C747" s="55" cm="1">
        <f t="array" aca="1" ref="C747" ca="1">SUM(IF(ISNUMBER(M747:U747),M747:U747,""))</f>
        <v>0</v>
      </c>
      <c r="D747" s="25" t="str">
        <f t="shared" si="189"/>
        <v/>
      </c>
      <c r="E747" s="25" t="e">
        <f t="shared" si="190"/>
        <v>#VALUE!</v>
      </c>
      <c r="F747" s="25" t="str">
        <f t="shared" si="191"/>
        <v/>
      </c>
      <c r="G747" s="25" t="str">
        <f t="shared" si="192"/>
        <v>.xlsx</v>
      </c>
      <c r="H747" s="29" t="e" cm="1">
        <f t="array" aca="1" ref="H747" ca="1">IF(AND(VALUE(E747)=INDIRECT("'["&amp;G747&amp;"]"&amp;E747&amp;"'!"&amp;$X$2),G747=INDIRECT("'["&amp;G747&amp;"]"&amp;E747&amp;"'!"&amp;$X$3)),INDIRECT("'["&amp;G747&amp;"]"&amp;E747&amp;"'!"&amp;$X$1),0)</f>
        <v>#VALUE!</v>
      </c>
      <c r="I747" s="25" t="str">
        <f t="shared" si="193"/>
        <v/>
      </c>
      <c r="J747" s="32" t="str">
        <f t="shared" si="194"/>
        <v/>
      </c>
      <c r="K747" s="25" t="str">
        <f t="shared" si="195"/>
        <v/>
      </c>
      <c r="L747" s="25" t="str">
        <f t="shared" si="196"/>
        <v/>
      </c>
      <c r="M747" s="33" t="e" cm="1">
        <f t="array" aca="1" ref="M747" ca="1">IF(AND(J747=INDIRECT("'["&amp;G747&amp;"]"&amp;E747&amp;"'!"&amp;$Y$2),G747=INDIRECT("'["&amp;G747&amp;"]"&amp;E747&amp;"'!"&amp;$AH$2)),INDIRECT("'["&amp;G747&amp;"]"&amp;E747&amp;"'!"&amp;$Y$3),0)</f>
        <v>#VALUE!</v>
      </c>
      <c r="N747" s="34" t="e" cm="1">
        <f t="array" aca="1" ref="N747" ca="1">IF(AND(G747=INDIRECT("'["&amp;G747&amp;"]"&amp;E747&amp;"'!"&amp;$AH$2),OR(K747=INDIRECT("'["&amp;G747&amp;"]"&amp;E747&amp;"'!"&amp;$Z$2))),INDIRECT("'["&amp;G747&amp;"]"&amp;E747&amp;"'!"&amp;$Z$3),0)</f>
        <v>#VALUE!</v>
      </c>
      <c r="O747" s="34" t="e" cm="1">
        <f t="array" aca="1" ref="O747" ca="1">IF(AND(G747=INDIRECT("'["&amp;G747&amp;"]"&amp;E747&amp;"'!"&amp;$AH$2),OR(L747=INDIRECT("'["&amp;G747&amp;"]"&amp;E747&amp;"'!"&amp;$AA$2))),INDIRECT("'["&amp;G747&amp;"]"&amp;E747&amp;"'!"&amp;$AA$3),0)</f>
        <v>#VALUE!</v>
      </c>
      <c r="P747" s="34" t="e" cm="1">
        <f t="array" aca="1" ref="P747" ca="1">IF(AND(G747=INDIRECT("'["&amp;G747&amp;"]"&amp;E747&amp;"'!"&amp;$AH$2),OR(VALUE(I747)=INDIRECT("'["&amp;G747&amp;"]"&amp;E747&amp;"'!"&amp;$AB$2))),INDIRECT("'["&amp;G747&amp;"]"&amp;E747&amp;"'!"&amp;$AB$3),0)</f>
        <v>#VALUE!</v>
      </c>
      <c r="Q747" s="34" t="e" cm="1">
        <f t="array" aca="1" ref="Q747" ca="1">IF(AND(G747=INDIRECT("'["&amp;G747&amp;"]"&amp;E747&amp;"'!"&amp;$AH$2),OR(VALUE(I747)=INDIRECT("'["&amp;G747&amp;"]"&amp;E747&amp;"'!"&amp;$AC$2))),INDIRECT("'["&amp;G747&amp;"]"&amp;E747&amp;"'!"&amp;$AC$3),0)</f>
        <v>#VALUE!</v>
      </c>
      <c r="R747" s="34" t="e" cm="1">
        <f t="array" aca="1" ref="R747" ca="1">IF(AND(G747=INDIRECT("'["&amp;G747&amp;"]"&amp;E747&amp;"'!"&amp;$AH$2),OR(I747=INDIRECT("'["&amp;G747&amp;"]"&amp;E747&amp;"'!"&amp;$AD$2))),INDIRECT("'["&amp;G747&amp;"]"&amp;E747&amp;"'!"&amp;$AD$3),0)</f>
        <v>#VALUE!</v>
      </c>
      <c r="S747" s="34" t="e" cm="1">
        <f t="array" aca="1" ref="S747" ca="1">IF(AND(G747=INDIRECT("'["&amp;G747&amp;"]"&amp;E747&amp;"'!"&amp;$AH$2),OR(I747=INDIRECT("'["&amp;G747&amp;"]"&amp;E747&amp;"'!"&amp;$AE$2))),INDIRECT("'["&amp;G747&amp;"]"&amp;E747&amp;"'!"&amp;$AE$3),0)</f>
        <v>#VALUE!</v>
      </c>
      <c r="T747" s="35" t="e" cm="1">
        <f t="array" aca="1" ref="T747" ca="1">IF(AND(G747=INDIRECT("'["&amp;G747&amp;"]"&amp;E747&amp;"'!"&amp;$AH$2),OR(I747=INDIRECT("'["&amp;G747&amp;"]"&amp;E747&amp;"'!"&amp;$AF$2))),INDIRECT("'["&amp;G747&amp;"]"&amp;E747&amp;"'!"&amp;$AF$3),0)</f>
        <v>#VALUE!</v>
      </c>
      <c r="U747" s="34" t="e" cm="1">
        <f t="array" aca="1" ref="U747" ca="1">IF(AND(G747=INDIRECT("'["&amp;G747&amp;"]"&amp;E747&amp;"'!"&amp;$AH$2),OR(I747=INDIRECT("'["&amp;G747&amp;"]"&amp;E747&amp;"'!"&amp;$AG$2))),INDIRECT("'["&amp;G747&amp;"]"&amp;E747&amp;"'!"&amp;$AG$3),0)</f>
        <v>#VALUE!</v>
      </c>
      <c r="V747" s="25" t="str">
        <f t="shared" si="197"/>
        <v/>
      </c>
      <c r="W747" s="36" t="e" cm="1">
        <f t="array" aca="1" ref="W747" ca="1">IF(AND(G747=INDIRECT("'["&amp;G747&amp;"]"&amp;E747&amp;"'!"&amp;$AH$2),OR(V747=INDIRECT("'["&amp;G747&amp;"]"&amp;E747&amp;"'!"&amp;$AI$2))),INDIRECT("'["&amp;G747&amp;"]"&amp;E747&amp;"'!"&amp;$AI$3),0)</f>
        <v>#VALUE!</v>
      </c>
      <c r="AJ747" s="25">
        <v>1</v>
      </c>
      <c r="AK747" s="38">
        <f t="shared" ca="1" si="198"/>
        <v>0</v>
      </c>
      <c r="AL747" s="38">
        <f t="shared" ca="1" si="199"/>
        <v>0</v>
      </c>
      <c r="AM747" s="54" t="str">
        <f t="shared" ca="1" si="200"/>
        <v/>
      </c>
      <c r="AN747" s="25" t="e">
        <f t="shared" ca="1" si="201"/>
        <v>#VALUE!</v>
      </c>
      <c r="AO747" s="25" t="e">
        <f t="shared" ca="1" si="202"/>
        <v>#VALUE!</v>
      </c>
      <c r="AQ747" s="46" t="str">
        <f ca="1">IF(AND(C747&lt;&gt;0, C748=0), SUM($C$2:C747)-SUM($AQ$1:AQ746), "")</f>
        <v/>
      </c>
      <c r="AR747" s="46" t="str">
        <f ca="1">IF(AND(AK747&lt;&gt;0, AK748=0), SUM($AK$2:AK747)-SUM($AR$1:AR746), "")</f>
        <v/>
      </c>
    </row>
    <row r="748" spans="2:44" ht="13.15" customHeight="1">
      <c r="B748" s="68" t="str">
        <f t="shared" si="188"/>
        <v/>
      </c>
      <c r="C748" s="55" cm="1">
        <f t="array" aca="1" ref="C748" ca="1">SUM(IF(ISNUMBER(M748:U748),M748:U748,""))</f>
        <v>0</v>
      </c>
      <c r="D748" s="25" t="str">
        <f t="shared" si="189"/>
        <v/>
      </c>
      <c r="E748" s="25" t="e">
        <f t="shared" si="190"/>
        <v>#VALUE!</v>
      </c>
      <c r="F748" s="25" t="str">
        <f t="shared" si="191"/>
        <v/>
      </c>
      <c r="G748" s="25" t="str">
        <f t="shared" si="192"/>
        <v>.xlsx</v>
      </c>
      <c r="H748" s="29" t="e" cm="1">
        <f t="array" aca="1" ref="H748" ca="1">IF(AND(VALUE(E748)=INDIRECT("'["&amp;G748&amp;"]"&amp;E748&amp;"'!"&amp;$X$2),G748=INDIRECT("'["&amp;G748&amp;"]"&amp;E748&amp;"'!"&amp;$X$3)),INDIRECT("'["&amp;G748&amp;"]"&amp;E748&amp;"'!"&amp;$X$1),0)</f>
        <v>#VALUE!</v>
      </c>
      <c r="I748" s="25" t="str">
        <f t="shared" si="193"/>
        <v/>
      </c>
      <c r="J748" s="32" t="str">
        <f t="shared" si="194"/>
        <v/>
      </c>
      <c r="K748" s="25" t="str">
        <f t="shared" si="195"/>
        <v/>
      </c>
      <c r="L748" s="25" t="str">
        <f t="shared" si="196"/>
        <v/>
      </c>
      <c r="M748" s="33" t="e" cm="1">
        <f t="array" aca="1" ref="M748" ca="1">IF(AND(J748=INDIRECT("'["&amp;G748&amp;"]"&amp;E748&amp;"'!"&amp;$Y$2),G748=INDIRECT("'["&amp;G748&amp;"]"&amp;E748&amp;"'!"&amp;$AH$2)),INDIRECT("'["&amp;G748&amp;"]"&amp;E748&amp;"'!"&amp;$Y$3),0)</f>
        <v>#VALUE!</v>
      </c>
      <c r="N748" s="34" t="e" cm="1">
        <f t="array" aca="1" ref="N748" ca="1">IF(AND(G748=INDIRECT("'["&amp;G748&amp;"]"&amp;E748&amp;"'!"&amp;$AH$2),OR(K748=INDIRECT("'["&amp;G748&amp;"]"&amp;E748&amp;"'!"&amp;$Z$2))),INDIRECT("'["&amp;G748&amp;"]"&amp;E748&amp;"'!"&amp;$Z$3),0)</f>
        <v>#VALUE!</v>
      </c>
      <c r="O748" s="34" t="e" cm="1">
        <f t="array" aca="1" ref="O748" ca="1">IF(AND(G748=INDIRECT("'["&amp;G748&amp;"]"&amp;E748&amp;"'!"&amp;$AH$2),OR(L748=INDIRECT("'["&amp;G748&amp;"]"&amp;E748&amp;"'!"&amp;$AA$2))),INDIRECT("'["&amp;G748&amp;"]"&amp;E748&amp;"'!"&amp;$AA$3),0)</f>
        <v>#VALUE!</v>
      </c>
      <c r="P748" s="34" t="e" cm="1">
        <f t="array" aca="1" ref="P748" ca="1">IF(AND(G748=INDIRECT("'["&amp;G748&amp;"]"&amp;E748&amp;"'!"&amp;$AH$2),OR(VALUE(I748)=INDIRECT("'["&amp;G748&amp;"]"&amp;E748&amp;"'!"&amp;$AB$2))),INDIRECT("'["&amp;G748&amp;"]"&amp;E748&amp;"'!"&amp;$AB$3),0)</f>
        <v>#VALUE!</v>
      </c>
      <c r="Q748" s="34" t="e" cm="1">
        <f t="array" aca="1" ref="Q748" ca="1">IF(AND(G748=INDIRECT("'["&amp;G748&amp;"]"&amp;E748&amp;"'!"&amp;$AH$2),OR(VALUE(I748)=INDIRECT("'["&amp;G748&amp;"]"&amp;E748&amp;"'!"&amp;$AC$2))),INDIRECT("'["&amp;G748&amp;"]"&amp;E748&amp;"'!"&amp;$AC$3),0)</f>
        <v>#VALUE!</v>
      </c>
      <c r="R748" s="34" t="e" cm="1">
        <f t="array" aca="1" ref="R748" ca="1">IF(AND(G748=INDIRECT("'["&amp;G748&amp;"]"&amp;E748&amp;"'!"&amp;$AH$2),OR(I748=INDIRECT("'["&amp;G748&amp;"]"&amp;E748&amp;"'!"&amp;$AD$2))),INDIRECT("'["&amp;G748&amp;"]"&amp;E748&amp;"'!"&amp;$AD$3),0)</f>
        <v>#VALUE!</v>
      </c>
      <c r="S748" s="34" t="e" cm="1">
        <f t="array" aca="1" ref="S748" ca="1">IF(AND(G748=INDIRECT("'["&amp;G748&amp;"]"&amp;E748&amp;"'!"&amp;$AH$2),OR(I748=INDIRECT("'["&amp;G748&amp;"]"&amp;E748&amp;"'!"&amp;$AE$2))),INDIRECT("'["&amp;G748&amp;"]"&amp;E748&amp;"'!"&amp;$AE$3),0)</f>
        <v>#VALUE!</v>
      </c>
      <c r="T748" s="35" t="e" cm="1">
        <f t="array" aca="1" ref="T748" ca="1">IF(AND(G748=INDIRECT("'["&amp;G748&amp;"]"&amp;E748&amp;"'!"&amp;$AH$2),OR(I748=INDIRECT("'["&amp;G748&amp;"]"&amp;E748&amp;"'!"&amp;$AF$2))),INDIRECT("'["&amp;G748&amp;"]"&amp;E748&amp;"'!"&amp;$AF$3),0)</f>
        <v>#VALUE!</v>
      </c>
      <c r="U748" s="34" t="e" cm="1">
        <f t="array" aca="1" ref="U748" ca="1">IF(AND(G748=INDIRECT("'["&amp;G748&amp;"]"&amp;E748&amp;"'!"&amp;$AH$2),OR(I748=INDIRECT("'["&amp;G748&amp;"]"&amp;E748&amp;"'!"&amp;$AG$2))),INDIRECT("'["&amp;G748&amp;"]"&amp;E748&amp;"'!"&amp;$AG$3),0)</f>
        <v>#VALUE!</v>
      </c>
      <c r="V748" s="25" t="str">
        <f t="shared" si="197"/>
        <v/>
      </c>
      <c r="W748" s="36" t="e" cm="1">
        <f t="array" aca="1" ref="W748" ca="1">IF(AND(G748=INDIRECT("'["&amp;G748&amp;"]"&amp;E748&amp;"'!"&amp;$AH$2),OR(V748=INDIRECT("'["&amp;G748&amp;"]"&amp;E748&amp;"'!"&amp;$AI$2))),INDIRECT("'["&amp;G748&amp;"]"&amp;E748&amp;"'!"&amp;$AI$3),0)</f>
        <v>#VALUE!</v>
      </c>
      <c r="AJ748" s="25">
        <v>1</v>
      </c>
      <c r="AK748" s="38">
        <f t="shared" ca="1" si="198"/>
        <v>0</v>
      </c>
      <c r="AL748" s="38">
        <f t="shared" ca="1" si="199"/>
        <v>0</v>
      </c>
      <c r="AM748" s="54" t="str">
        <f t="shared" ca="1" si="200"/>
        <v/>
      </c>
      <c r="AN748" s="25" t="e">
        <f t="shared" ca="1" si="201"/>
        <v>#VALUE!</v>
      </c>
      <c r="AO748" s="25" t="e">
        <f t="shared" ca="1" si="202"/>
        <v>#VALUE!</v>
      </c>
      <c r="AQ748" s="46" t="str">
        <f ca="1">IF(AND(C748&lt;&gt;0, C749=0), SUM($C$2:C748)-SUM($AQ$1:AQ747), "")</f>
        <v/>
      </c>
      <c r="AR748" s="46" t="str">
        <f ca="1">IF(AND(AK748&lt;&gt;0, AK749=0), SUM($AK$2:AK748)-SUM($AR$1:AR747), "")</f>
        <v/>
      </c>
    </row>
    <row r="749" spans="2:44" ht="13.15" customHeight="1">
      <c r="B749" s="68" t="str">
        <f t="shared" si="188"/>
        <v/>
      </c>
      <c r="C749" s="55" cm="1">
        <f t="array" aca="1" ref="C749" ca="1">SUM(IF(ISNUMBER(M749:U749),M749:U749,""))</f>
        <v>0</v>
      </c>
      <c r="D749" s="25" t="str">
        <f t="shared" si="189"/>
        <v/>
      </c>
      <c r="E749" s="25" t="e">
        <f t="shared" si="190"/>
        <v>#VALUE!</v>
      </c>
      <c r="F749" s="25" t="str">
        <f t="shared" si="191"/>
        <v/>
      </c>
      <c r="G749" s="25" t="str">
        <f t="shared" si="192"/>
        <v>.xlsx</v>
      </c>
      <c r="H749" s="29" t="e" cm="1">
        <f t="array" aca="1" ref="H749" ca="1">IF(AND(VALUE(E749)=INDIRECT("'["&amp;G749&amp;"]"&amp;E749&amp;"'!"&amp;$X$2),G749=INDIRECT("'["&amp;G749&amp;"]"&amp;E749&amp;"'!"&amp;$X$3)),INDIRECT("'["&amp;G749&amp;"]"&amp;E749&amp;"'!"&amp;$X$1),0)</f>
        <v>#VALUE!</v>
      </c>
      <c r="I749" s="25" t="str">
        <f t="shared" si="193"/>
        <v/>
      </c>
      <c r="J749" s="32" t="str">
        <f t="shared" si="194"/>
        <v/>
      </c>
      <c r="K749" s="25" t="str">
        <f t="shared" si="195"/>
        <v/>
      </c>
      <c r="L749" s="25" t="str">
        <f t="shared" si="196"/>
        <v/>
      </c>
      <c r="M749" s="33" t="e" cm="1">
        <f t="array" aca="1" ref="M749" ca="1">IF(AND(J749=INDIRECT("'["&amp;G749&amp;"]"&amp;E749&amp;"'!"&amp;$Y$2),G749=INDIRECT("'["&amp;G749&amp;"]"&amp;E749&amp;"'!"&amp;$AH$2)),INDIRECT("'["&amp;G749&amp;"]"&amp;E749&amp;"'!"&amp;$Y$3),0)</f>
        <v>#VALUE!</v>
      </c>
      <c r="N749" s="34" t="e" cm="1">
        <f t="array" aca="1" ref="N749" ca="1">IF(AND(G749=INDIRECT("'["&amp;G749&amp;"]"&amp;E749&amp;"'!"&amp;$AH$2),OR(K749=INDIRECT("'["&amp;G749&amp;"]"&amp;E749&amp;"'!"&amp;$Z$2))),INDIRECT("'["&amp;G749&amp;"]"&amp;E749&amp;"'!"&amp;$Z$3),0)</f>
        <v>#VALUE!</v>
      </c>
      <c r="O749" s="34" t="e" cm="1">
        <f t="array" aca="1" ref="O749" ca="1">IF(AND(G749=INDIRECT("'["&amp;G749&amp;"]"&amp;E749&amp;"'!"&amp;$AH$2),OR(L749=INDIRECT("'["&amp;G749&amp;"]"&amp;E749&amp;"'!"&amp;$AA$2))),INDIRECT("'["&amp;G749&amp;"]"&amp;E749&amp;"'!"&amp;$AA$3),0)</f>
        <v>#VALUE!</v>
      </c>
      <c r="P749" s="34" t="e" cm="1">
        <f t="array" aca="1" ref="P749" ca="1">IF(AND(G749=INDIRECT("'["&amp;G749&amp;"]"&amp;E749&amp;"'!"&amp;$AH$2),OR(VALUE(I749)=INDIRECT("'["&amp;G749&amp;"]"&amp;E749&amp;"'!"&amp;$AB$2))),INDIRECT("'["&amp;G749&amp;"]"&amp;E749&amp;"'!"&amp;$AB$3),0)</f>
        <v>#VALUE!</v>
      </c>
      <c r="Q749" s="34" t="e" cm="1">
        <f t="array" aca="1" ref="Q749" ca="1">IF(AND(G749=INDIRECT("'["&amp;G749&amp;"]"&amp;E749&amp;"'!"&amp;$AH$2),OR(VALUE(I749)=INDIRECT("'["&amp;G749&amp;"]"&amp;E749&amp;"'!"&amp;$AC$2))),INDIRECT("'["&amp;G749&amp;"]"&amp;E749&amp;"'!"&amp;$AC$3),0)</f>
        <v>#VALUE!</v>
      </c>
      <c r="R749" s="34" t="e" cm="1">
        <f t="array" aca="1" ref="R749" ca="1">IF(AND(G749=INDIRECT("'["&amp;G749&amp;"]"&amp;E749&amp;"'!"&amp;$AH$2),OR(I749=INDIRECT("'["&amp;G749&amp;"]"&amp;E749&amp;"'!"&amp;$AD$2))),INDIRECT("'["&amp;G749&amp;"]"&amp;E749&amp;"'!"&amp;$AD$3),0)</f>
        <v>#VALUE!</v>
      </c>
      <c r="S749" s="34" t="e" cm="1">
        <f t="array" aca="1" ref="S749" ca="1">IF(AND(G749=INDIRECT("'["&amp;G749&amp;"]"&amp;E749&amp;"'!"&amp;$AH$2),OR(I749=INDIRECT("'["&amp;G749&amp;"]"&amp;E749&amp;"'!"&amp;$AE$2))),INDIRECT("'["&amp;G749&amp;"]"&amp;E749&amp;"'!"&amp;$AE$3),0)</f>
        <v>#VALUE!</v>
      </c>
      <c r="T749" s="35" t="e" cm="1">
        <f t="array" aca="1" ref="T749" ca="1">IF(AND(G749=INDIRECT("'["&amp;G749&amp;"]"&amp;E749&amp;"'!"&amp;$AH$2),OR(I749=INDIRECT("'["&amp;G749&amp;"]"&amp;E749&amp;"'!"&amp;$AF$2))),INDIRECT("'["&amp;G749&amp;"]"&amp;E749&amp;"'!"&amp;$AF$3),0)</f>
        <v>#VALUE!</v>
      </c>
      <c r="U749" s="34" t="e" cm="1">
        <f t="array" aca="1" ref="U749" ca="1">IF(AND(G749=INDIRECT("'["&amp;G749&amp;"]"&amp;E749&amp;"'!"&amp;$AH$2),OR(I749=INDIRECT("'["&amp;G749&amp;"]"&amp;E749&amp;"'!"&amp;$AG$2))),INDIRECT("'["&amp;G749&amp;"]"&amp;E749&amp;"'!"&amp;$AG$3),0)</f>
        <v>#VALUE!</v>
      </c>
      <c r="V749" s="25" t="str">
        <f t="shared" si="197"/>
        <v/>
      </c>
      <c r="W749" s="36" t="e" cm="1">
        <f t="array" aca="1" ref="W749" ca="1">IF(AND(G749=INDIRECT("'["&amp;G749&amp;"]"&amp;E749&amp;"'!"&amp;$AH$2),OR(V749=INDIRECT("'["&amp;G749&amp;"]"&amp;E749&amp;"'!"&amp;$AI$2))),INDIRECT("'["&amp;G749&amp;"]"&amp;E749&amp;"'!"&amp;$AI$3),0)</f>
        <v>#VALUE!</v>
      </c>
      <c r="AJ749" s="25">
        <v>1</v>
      </c>
      <c r="AK749" s="38">
        <f t="shared" ca="1" si="198"/>
        <v>0</v>
      </c>
      <c r="AL749" s="38">
        <f t="shared" ca="1" si="199"/>
        <v>0</v>
      </c>
      <c r="AM749" s="54" t="str">
        <f t="shared" ca="1" si="200"/>
        <v/>
      </c>
      <c r="AN749" s="25" t="e">
        <f t="shared" ca="1" si="201"/>
        <v>#VALUE!</v>
      </c>
      <c r="AO749" s="25" t="e">
        <f t="shared" ca="1" si="202"/>
        <v>#VALUE!</v>
      </c>
      <c r="AQ749" s="46" t="str">
        <f ca="1">IF(AND(C749&lt;&gt;0, C750=0), SUM($C$2:C749)-SUM($AQ$1:AQ748), "")</f>
        <v/>
      </c>
      <c r="AR749" s="46" t="str">
        <f ca="1">IF(AND(AK749&lt;&gt;0, AK750=0), SUM($AK$2:AK749)-SUM($AR$1:AR748), "")</f>
        <v/>
      </c>
    </row>
    <row r="750" spans="2:44" ht="13.15" customHeight="1">
      <c r="B750" s="68" t="str">
        <f t="shared" si="188"/>
        <v/>
      </c>
      <c r="C750" s="55" cm="1">
        <f t="array" aca="1" ref="C750" ca="1">SUM(IF(ISNUMBER(M750:U750),M750:U750,""))</f>
        <v>0</v>
      </c>
      <c r="D750" s="25" t="str">
        <f t="shared" si="189"/>
        <v/>
      </c>
      <c r="E750" s="25" t="e">
        <f t="shared" si="190"/>
        <v>#VALUE!</v>
      </c>
      <c r="F750" s="25" t="str">
        <f t="shared" si="191"/>
        <v/>
      </c>
      <c r="G750" s="25" t="str">
        <f t="shared" si="192"/>
        <v>.xlsx</v>
      </c>
      <c r="H750" s="29" t="e" cm="1">
        <f t="array" aca="1" ref="H750" ca="1">IF(AND(VALUE(E750)=INDIRECT("'["&amp;G750&amp;"]"&amp;E750&amp;"'!"&amp;$X$2),G750=INDIRECT("'["&amp;G750&amp;"]"&amp;E750&amp;"'!"&amp;$X$3)),INDIRECT("'["&amp;G750&amp;"]"&amp;E750&amp;"'!"&amp;$X$1),0)</f>
        <v>#VALUE!</v>
      </c>
      <c r="I750" s="25" t="str">
        <f t="shared" si="193"/>
        <v/>
      </c>
      <c r="J750" s="32" t="str">
        <f t="shared" si="194"/>
        <v/>
      </c>
      <c r="K750" s="25" t="str">
        <f t="shared" si="195"/>
        <v/>
      </c>
      <c r="L750" s="25" t="str">
        <f t="shared" si="196"/>
        <v/>
      </c>
      <c r="M750" s="33" t="e" cm="1">
        <f t="array" aca="1" ref="M750" ca="1">IF(AND(J750=INDIRECT("'["&amp;G750&amp;"]"&amp;E750&amp;"'!"&amp;$Y$2),G750=INDIRECT("'["&amp;G750&amp;"]"&amp;E750&amp;"'!"&amp;$AH$2)),INDIRECT("'["&amp;G750&amp;"]"&amp;E750&amp;"'!"&amp;$Y$3),0)</f>
        <v>#VALUE!</v>
      </c>
      <c r="N750" s="34" t="e" cm="1">
        <f t="array" aca="1" ref="N750" ca="1">IF(AND(G750=INDIRECT("'["&amp;G750&amp;"]"&amp;E750&amp;"'!"&amp;$AH$2),OR(K750=INDIRECT("'["&amp;G750&amp;"]"&amp;E750&amp;"'!"&amp;$Z$2))),INDIRECT("'["&amp;G750&amp;"]"&amp;E750&amp;"'!"&amp;$Z$3),0)</f>
        <v>#VALUE!</v>
      </c>
      <c r="O750" s="34" t="e" cm="1">
        <f t="array" aca="1" ref="O750" ca="1">IF(AND(G750=INDIRECT("'["&amp;G750&amp;"]"&amp;E750&amp;"'!"&amp;$AH$2),OR(L750=INDIRECT("'["&amp;G750&amp;"]"&amp;E750&amp;"'!"&amp;$AA$2))),INDIRECT("'["&amp;G750&amp;"]"&amp;E750&amp;"'!"&amp;$AA$3),0)</f>
        <v>#VALUE!</v>
      </c>
      <c r="P750" s="34" t="e" cm="1">
        <f t="array" aca="1" ref="P750" ca="1">IF(AND(G750=INDIRECT("'["&amp;G750&amp;"]"&amp;E750&amp;"'!"&amp;$AH$2),OR(VALUE(I750)=INDIRECT("'["&amp;G750&amp;"]"&amp;E750&amp;"'!"&amp;$AB$2))),INDIRECT("'["&amp;G750&amp;"]"&amp;E750&amp;"'!"&amp;$AB$3),0)</f>
        <v>#VALUE!</v>
      </c>
      <c r="Q750" s="34" t="e" cm="1">
        <f t="array" aca="1" ref="Q750" ca="1">IF(AND(G750=INDIRECT("'["&amp;G750&amp;"]"&amp;E750&amp;"'!"&amp;$AH$2),OR(VALUE(I750)=INDIRECT("'["&amp;G750&amp;"]"&amp;E750&amp;"'!"&amp;$AC$2))),INDIRECT("'["&amp;G750&amp;"]"&amp;E750&amp;"'!"&amp;$AC$3),0)</f>
        <v>#VALUE!</v>
      </c>
      <c r="R750" s="34" t="e" cm="1">
        <f t="array" aca="1" ref="R750" ca="1">IF(AND(G750=INDIRECT("'["&amp;G750&amp;"]"&amp;E750&amp;"'!"&amp;$AH$2),OR(I750=INDIRECT("'["&amp;G750&amp;"]"&amp;E750&amp;"'!"&amp;$AD$2))),INDIRECT("'["&amp;G750&amp;"]"&amp;E750&amp;"'!"&amp;$AD$3),0)</f>
        <v>#VALUE!</v>
      </c>
      <c r="S750" s="34" t="e" cm="1">
        <f t="array" aca="1" ref="S750" ca="1">IF(AND(G750=INDIRECT("'["&amp;G750&amp;"]"&amp;E750&amp;"'!"&amp;$AH$2),OR(I750=INDIRECT("'["&amp;G750&amp;"]"&amp;E750&amp;"'!"&amp;$AE$2))),INDIRECT("'["&amp;G750&amp;"]"&amp;E750&amp;"'!"&amp;$AE$3),0)</f>
        <v>#VALUE!</v>
      </c>
      <c r="T750" s="35" t="e" cm="1">
        <f t="array" aca="1" ref="T750" ca="1">IF(AND(G750=INDIRECT("'["&amp;G750&amp;"]"&amp;E750&amp;"'!"&amp;$AH$2),OR(I750=INDIRECT("'["&amp;G750&amp;"]"&amp;E750&amp;"'!"&amp;$AF$2))),INDIRECT("'["&amp;G750&amp;"]"&amp;E750&amp;"'!"&amp;$AF$3),0)</f>
        <v>#VALUE!</v>
      </c>
      <c r="U750" s="34" t="e" cm="1">
        <f t="array" aca="1" ref="U750" ca="1">IF(AND(G750=INDIRECT("'["&amp;G750&amp;"]"&amp;E750&amp;"'!"&amp;$AH$2),OR(I750=INDIRECT("'["&amp;G750&amp;"]"&amp;E750&amp;"'!"&amp;$AG$2))),INDIRECT("'["&amp;G750&amp;"]"&amp;E750&amp;"'!"&amp;$AG$3),0)</f>
        <v>#VALUE!</v>
      </c>
      <c r="V750" s="25" t="str">
        <f t="shared" si="197"/>
        <v/>
      </c>
      <c r="W750" s="36" t="e" cm="1">
        <f t="array" aca="1" ref="W750" ca="1">IF(AND(G750=INDIRECT("'["&amp;G750&amp;"]"&amp;E750&amp;"'!"&amp;$AH$2),OR(V750=INDIRECT("'["&amp;G750&amp;"]"&amp;E750&amp;"'!"&amp;$AI$2))),INDIRECT("'["&amp;G750&amp;"]"&amp;E750&amp;"'!"&amp;$AI$3),0)</f>
        <v>#VALUE!</v>
      </c>
      <c r="AJ750" s="25">
        <v>1</v>
      </c>
      <c r="AK750" s="38">
        <f t="shared" ca="1" si="198"/>
        <v>0</v>
      </c>
      <c r="AL750" s="38">
        <f t="shared" ca="1" si="199"/>
        <v>0</v>
      </c>
      <c r="AM750" s="54" t="str">
        <f t="shared" ca="1" si="200"/>
        <v/>
      </c>
      <c r="AN750" s="25" t="e">
        <f t="shared" ca="1" si="201"/>
        <v>#VALUE!</v>
      </c>
      <c r="AO750" s="25" t="e">
        <f t="shared" ca="1" si="202"/>
        <v>#VALUE!</v>
      </c>
      <c r="AQ750" s="46" t="str">
        <f ca="1">IF(AND(C750&lt;&gt;0, C751=0), SUM($C$2:C750)-SUM($AQ$1:AQ749), "")</f>
        <v/>
      </c>
      <c r="AR750" s="46" t="str">
        <f ca="1">IF(AND(AK750&lt;&gt;0, AK751=0), SUM($AK$2:AK750)-SUM($AR$1:AR749), "")</f>
        <v/>
      </c>
    </row>
    <row r="751" spans="2:44" ht="13.15" customHeight="1">
      <c r="B751" s="68" t="str">
        <f t="shared" si="188"/>
        <v/>
      </c>
      <c r="C751" s="55" cm="1">
        <f t="array" aca="1" ref="C751" ca="1">SUM(IF(ISNUMBER(M751:U751),M751:U751,""))</f>
        <v>0</v>
      </c>
      <c r="D751" s="25" t="str">
        <f t="shared" si="189"/>
        <v/>
      </c>
      <c r="E751" s="25" t="e">
        <f t="shared" si="190"/>
        <v>#VALUE!</v>
      </c>
      <c r="F751" s="25" t="str">
        <f t="shared" si="191"/>
        <v/>
      </c>
      <c r="G751" s="25" t="str">
        <f t="shared" si="192"/>
        <v>.xlsx</v>
      </c>
      <c r="H751" s="29" t="e" cm="1">
        <f t="array" aca="1" ref="H751" ca="1">IF(AND(VALUE(E751)=INDIRECT("'["&amp;G751&amp;"]"&amp;E751&amp;"'!"&amp;$X$2),G751=INDIRECT("'["&amp;G751&amp;"]"&amp;E751&amp;"'!"&amp;$X$3)),INDIRECT("'["&amp;G751&amp;"]"&amp;E751&amp;"'!"&amp;$X$1),0)</f>
        <v>#VALUE!</v>
      </c>
      <c r="I751" s="25" t="str">
        <f t="shared" si="193"/>
        <v/>
      </c>
      <c r="J751" s="32" t="str">
        <f t="shared" si="194"/>
        <v/>
      </c>
      <c r="K751" s="25" t="str">
        <f t="shared" si="195"/>
        <v/>
      </c>
      <c r="L751" s="25" t="str">
        <f t="shared" si="196"/>
        <v/>
      </c>
      <c r="M751" s="33" t="e" cm="1">
        <f t="array" aca="1" ref="M751" ca="1">IF(AND(J751=INDIRECT("'["&amp;G751&amp;"]"&amp;E751&amp;"'!"&amp;$Y$2),G751=INDIRECT("'["&amp;G751&amp;"]"&amp;E751&amp;"'!"&amp;$AH$2)),INDIRECT("'["&amp;G751&amp;"]"&amp;E751&amp;"'!"&amp;$Y$3),0)</f>
        <v>#VALUE!</v>
      </c>
      <c r="N751" s="34" t="e" cm="1">
        <f t="array" aca="1" ref="N751" ca="1">IF(AND(G751=INDIRECT("'["&amp;G751&amp;"]"&amp;E751&amp;"'!"&amp;$AH$2),OR(K751=INDIRECT("'["&amp;G751&amp;"]"&amp;E751&amp;"'!"&amp;$Z$2))),INDIRECT("'["&amp;G751&amp;"]"&amp;E751&amp;"'!"&amp;$Z$3),0)</f>
        <v>#VALUE!</v>
      </c>
      <c r="O751" s="34" t="e" cm="1">
        <f t="array" aca="1" ref="O751" ca="1">IF(AND(G751=INDIRECT("'["&amp;G751&amp;"]"&amp;E751&amp;"'!"&amp;$AH$2),OR(L751=INDIRECT("'["&amp;G751&amp;"]"&amp;E751&amp;"'!"&amp;$AA$2))),INDIRECT("'["&amp;G751&amp;"]"&amp;E751&amp;"'!"&amp;$AA$3),0)</f>
        <v>#VALUE!</v>
      </c>
      <c r="P751" s="34" t="e" cm="1">
        <f t="array" aca="1" ref="P751" ca="1">IF(AND(G751=INDIRECT("'["&amp;G751&amp;"]"&amp;E751&amp;"'!"&amp;$AH$2),OR(VALUE(I751)=INDIRECT("'["&amp;G751&amp;"]"&amp;E751&amp;"'!"&amp;$AB$2))),INDIRECT("'["&amp;G751&amp;"]"&amp;E751&amp;"'!"&amp;$AB$3),0)</f>
        <v>#VALUE!</v>
      </c>
      <c r="Q751" s="34" t="e" cm="1">
        <f t="array" aca="1" ref="Q751" ca="1">IF(AND(G751=INDIRECT("'["&amp;G751&amp;"]"&amp;E751&amp;"'!"&amp;$AH$2),OR(VALUE(I751)=INDIRECT("'["&amp;G751&amp;"]"&amp;E751&amp;"'!"&amp;$AC$2))),INDIRECT("'["&amp;G751&amp;"]"&amp;E751&amp;"'!"&amp;$AC$3),0)</f>
        <v>#VALUE!</v>
      </c>
      <c r="R751" s="34" t="e" cm="1">
        <f t="array" aca="1" ref="R751" ca="1">IF(AND(G751=INDIRECT("'["&amp;G751&amp;"]"&amp;E751&amp;"'!"&amp;$AH$2),OR(I751=INDIRECT("'["&amp;G751&amp;"]"&amp;E751&amp;"'!"&amp;$AD$2))),INDIRECT("'["&amp;G751&amp;"]"&amp;E751&amp;"'!"&amp;$AD$3),0)</f>
        <v>#VALUE!</v>
      </c>
      <c r="S751" s="34" t="e" cm="1">
        <f t="array" aca="1" ref="S751" ca="1">IF(AND(G751=INDIRECT("'["&amp;G751&amp;"]"&amp;E751&amp;"'!"&amp;$AH$2),OR(I751=INDIRECT("'["&amp;G751&amp;"]"&amp;E751&amp;"'!"&amp;$AE$2))),INDIRECT("'["&amp;G751&amp;"]"&amp;E751&amp;"'!"&amp;$AE$3),0)</f>
        <v>#VALUE!</v>
      </c>
      <c r="T751" s="35" t="e" cm="1">
        <f t="array" aca="1" ref="T751" ca="1">IF(AND(G751=INDIRECT("'["&amp;G751&amp;"]"&amp;E751&amp;"'!"&amp;$AH$2),OR(I751=INDIRECT("'["&amp;G751&amp;"]"&amp;E751&amp;"'!"&amp;$AF$2))),INDIRECT("'["&amp;G751&amp;"]"&amp;E751&amp;"'!"&amp;$AF$3),0)</f>
        <v>#VALUE!</v>
      </c>
      <c r="U751" s="34" t="e" cm="1">
        <f t="array" aca="1" ref="U751" ca="1">IF(AND(G751=INDIRECT("'["&amp;G751&amp;"]"&amp;E751&amp;"'!"&amp;$AH$2),OR(I751=INDIRECT("'["&amp;G751&amp;"]"&amp;E751&amp;"'!"&amp;$AG$2))),INDIRECT("'["&amp;G751&amp;"]"&amp;E751&amp;"'!"&amp;$AG$3),0)</f>
        <v>#VALUE!</v>
      </c>
      <c r="V751" s="25" t="str">
        <f t="shared" si="197"/>
        <v/>
      </c>
      <c r="W751" s="36" t="e" cm="1">
        <f t="array" aca="1" ref="W751" ca="1">IF(AND(G751=INDIRECT("'["&amp;G751&amp;"]"&amp;E751&amp;"'!"&amp;$AH$2),OR(V751=INDIRECT("'["&amp;G751&amp;"]"&amp;E751&amp;"'!"&amp;$AI$2))),INDIRECT("'["&amp;G751&amp;"]"&amp;E751&amp;"'!"&amp;$AI$3),0)</f>
        <v>#VALUE!</v>
      </c>
      <c r="AJ751" s="25">
        <v>1</v>
      </c>
      <c r="AK751" s="38">
        <f t="shared" ca="1" si="198"/>
        <v>0</v>
      </c>
      <c r="AL751" s="38">
        <f t="shared" ca="1" si="199"/>
        <v>0</v>
      </c>
      <c r="AM751" s="54" t="str">
        <f t="shared" ca="1" si="200"/>
        <v/>
      </c>
      <c r="AN751" s="25" t="e">
        <f t="shared" ca="1" si="201"/>
        <v>#VALUE!</v>
      </c>
      <c r="AO751" s="25" t="e">
        <f t="shared" ca="1" si="202"/>
        <v>#VALUE!</v>
      </c>
      <c r="AQ751" s="46" t="str">
        <f ca="1">IF(AND(C751&lt;&gt;0, C752=0), SUM($C$2:C751)-SUM($AQ$1:AQ750), "")</f>
        <v/>
      </c>
      <c r="AR751" s="46" t="str">
        <f ca="1">IF(AND(AK751&lt;&gt;0, AK752=0), SUM($AK$2:AK751)-SUM($AR$1:AR750), "")</f>
        <v/>
      </c>
    </row>
    <row r="752" spans="2:44" ht="13.15" customHeight="1">
      <c r="B752" s="68" t="str">
        <f t="shared" si="188"/>
        <v/>
      </c>
      <c r="C752" s="55" cm="1">
        <f t="array" aca="1" ref="C752" ca="1">SUM(IF(ISNUMBER(M752:U752),M752:U752,""))</f>
        <v>0</v>
      </c>
      <c r="D752" s="25" t="str">
        <f t="shared" si="189"/>
        <v/>
      </c>
      <c r="E752" s="25" t="e">
        <f t="shared" si="190"/>
        <v>#VALUE!</v>
      </c>
      <c r="F752" s="25" t="str">
        <f t="shared" si="191"/>
        <v/>
      </c>
      <c r="G752" s="25" t="str">
        <f t="shared" si="192"/>
        <v>.xlsx</v>
      </c>
      <c r="H752" s="29" t="e" cm="1">
        <f t="array" aca="1" ref="H752" ca="1">IF(AND(VALUE(E752)=INDIRECT("'["&amp;G752&amp;"]"&amp;E752&amp;"'!"&amp;$X$2),G752=INDIRECT("'["&amp;G752&amp;"]"&amp;E752&amp;"'!"&amp;$X$3)),INDIRECT("'["&amp;G752&amp;"]"&amp;E752&amp;"'!"&amp;$X$1),0)</f>
        <v>#VALUE!</v>
      </c>
      <c r="I752" s="25" t="str">
        <f t="shared" si="193"/>
        <v/>
      </c>
      <c r="J752" s="32" t="str">
        <f t="shared" si="194"/>
        <v/>
      </c>
      <c r="K752" s="25" t="str">
        <f t="shared" si="195"/>
        <v/>
      </c>
      <c r="L752" s="25" t="str">
        <f t="shared" si="196"/>
        <v/>
      </c>
      <c r="M752" s="33" t="e" cm="1">
        <f t="array" aca="1" ref="M752" ca="1">IF(AND(J752=INDIRECT("'["&amp;G752&amp;"]"&amp;E752&amp;"'!"&amp;$Y$2),G752=INDIRECT("'["&amp;G752&amp;"]"&amp;E752&amp;"'!"&amp;$AH$2)),INDIRECT("'["&amp;G752&amp;"]"&amp;E752&amp;"'!"&amp;$Y$3),0)</f>
        <v>#VALUE!</v>
      </c>
      <c r="N752" s="34" t="e" cm="1">
        <f t="array" aca="1" ref="N752" ca="1">IF(AND(G752=INDIRECT("'["&amp;G752&amp;"]"&amp;E752&amp;"'!"&amp;$AH$2),OR(K752=INDIRECT("'["&amp;G752&amp;"]"&amp;E752&amp;"'!"&amp;$Z$2))),INDIRECT("'["&amp;G752&amp;"]"&amp;E752&amp;"'!"&amp;$Z$3),0)</f>
        <v>#VALUE!</v>
      </c>
      <c r="O752" s="34" t="e" cm="1">
        <f t="array" aca="1" ref="O752" ca="1">IF(AND(G752=INDIRECT("'["&amp;G752&amp;"]"&amp;E752&amp;"'!"&amp;$AH$2),OR(L752=INDIRECT("'["&amp;G752&amp;"]"&amp;E752&amp;"'!"&amp;$AA$2))),INDIRECT("'["&amp;G752&amp;"]"&amp;E752&amp;"'!"&amp;$AA$3),0)</f>
        <v>#VALUE!</v>
      </c>
      <c r="P752" s="34" t="e" cm="1">
        <f t="array" aca="1" ref="P752" ca="1">IF(AND(G752=INDIRECT("'["&amp;G752&amp;"]"&amp;E752&amp;"'!"&amp;$AH$2),OR(VALUE(I752)=INDIRECT("'["&amp;G752&amp;"]"&amp;E752&amp;"'!"&amp;$AB$2))),INDIRECT("'["&amp;G752&amp;"]"&amp;E752&amp;"'!"&amp;$AB$3),0)</f>
        <v>#VALUE!</v>
      </c>
      <c r="Q752" s="34" t="e" cm="1">
        <f t="array" aca="1" ref="Q752" ca="1">IF(AND(G752=INDIRECT("'["&amp;G752&amp;"]"&amp;E752&amp;"'!"&amp;$AH$2),OR(VALUE(I752)=INDIRECT("'["&amp;G752&amp;"]"&amp;E752&amp;"'!"&amp;$AC$2))),INDIRECT("'["&amp;G752&amp;"]"&amp;E752&amp;"'!"&amp;$AC$3),0)</f>
        <v>#VALUE!</v>
      </c>
      <c r="R752" s="34" t="e" cm="1">
        <f t="array" aca="1" ref="R752" ca="1">IF(AND(G752=INDIRECT("'["&amp;G752&amp;"]"&amp;E752&amp;"'!"&amp;$AH$2),OR(I752=INDIRECT("'["&amp;G752&amp;"]"&amp;E752&amp;"'!"&amp;$AD$2))),INDIRECT("'["&amp;G752&amp;"]"&amp;E752&amp;"'!"&amp;$AD$3),0)</f>
        <v>#VALUE!</v>
      </c>
      <c r="S752" s="34" t="e" cm="1">
        <f t="array" aca="1" ref="S752" ca="1">IF(AND(G752=INDIRECT("'["&amp;G752&amp;"]"&amp;E752&amp;"'!"&amp;$AH$2),OR(I752=INDIRECT("'["&amp;G752&amp;"]"&amp;E752&amp;"'!"&amp;$AE$2))),INDIRECT("'["&amp;G752&amp;"]"&amp;E752&amp;"'!"&amp;$AE$3),0)</f>
        <v>#VALUE!</v>
      </c>
      <c r="T752" s="35" t="e" cm="1">
        <f t="array" aca="1" ref="T752" ca="1">IF(AND(G752=INDIRECT("'["&amp;G752&amp;"]"&amp;E752&amp;"'!"&amp;$AH$2),OR(I752=INDIRECT("'["&amp;G752&amp;"]"&amp;E752&amp;"'!"&amp;$AF$2))),INDIRECT("'["&amp;G752&amp;"]"&amp;E752&amp;"'!"&amp;$AF$3),0)</f>
        <v>#VALUE!</v>
      </c>
      <c r="U752" s="34" t="e" cm="1">
        <f t="array" aca="1" ref="U752" ca="1">IF(AND(G752=INDIRECT("'["&amp;G752&amp;"]"&amp;E752&amp;"'!"&amp;$AH$2),OR(I752=INDIRECT("'["&amp;G752&amp;"]"&amp;E752&amp;"'!"&amp;$AG$2))),INDIRECT("'["&amp;G752&amp;"]"&amp;E752&amp;"'!"&amp;$AG$3),0)</f>
        <v>#VALUE!</v>
      </c>
      <c r="V752" s="25" t="str">
        <f t="shared" si="197"/>
        <v/>
      </c>
      <c r="W752" s="36" t="e" cm="1">
        <f t="array" aca="1" ref="W752" ca="1">IF(AND(G752=INDIRECT("'["&amp;G752&amp;"]"&amp;E752&amp;"'!"&amp;$AH$2),OR(V752=INDIRECT("'["&amp;G752&amp;"]"&amp;E752&amp;"'!"&amp;$AI$2))),INDIRECT("'["&amp;G752&amp;"]"&amp;E752&amp;"'!"&amp;$AI$3),0)</f>
        <v>#VALUE!</v>
      </c>
      <c r="AJ752" s="25">
        <v>1</v>
      </c>
      <c r="AK752" s="38">
        <f t="shared" ca="1" si="198"/>
        <v>0</v>
      </c>
      <c r="AL752" s="38">
        <f t="shared" ca="1" si="199"/>
        <v>0</v>
      </c>
      <c r="AM752" s="54" t="str">
        <f t="shared" ca="1" si="200"/>
        <v/>
      </c>
      <c r="AN752" s="25" t="e">
        <f t="shared" ca="1" si="201"/>
        <v>#VALUE!</v>
      </c>
      <c r="AO752" s="25" t="e">
        <f t="shared" ca="1" si="202"/>
        <v>#VALUE!</v>
      </c>
      <c r="AQ752" s="46" t="str">
        <f ca="1">IF(AND(C752&lt;&gt;0, C753=0), SUM($C$2:C752)-SUM($AQ$1:AQ751), "")</f>
        <v/>
      </c>
      <c r="AR752" s="46" t="str">
        <f ca="1">IF(AND(AK752&lt;&gt;0, AK753=0), SUM($AK$2:AK752)-SUM($AR$1:AR751), "")</f>
        <v/>
      </c>
    </row>
    <row r="753" spans="2:44" ht="13.15" customHeight="1">
      <c r="B753" s="68" t="str">
        <f t="shared" si="188"/>
        <v/>
      </c>
      <c r="C753" s="55" cm="1">
        <f t="array" aca="1" ref="C753" ca="1">SUM(IF(ISNUMBER(M753:U753),M753:U753,""))</f>
        <v>0</v>
      </c>
      <c r="D753" s="25" t="str">
        <f t="shared" si="189"/>
        <v/>
      </c>
      <c r="E753" s="25" t="e">
        <f t="shared" si="190"/>
        <v>#VALUE!</v>
      </c>
      <c r="F753" s="25" t="str">
        <f t="shared" si="191"/>
        <v/>
      </c>
      <c r="G753" s="25" t="str">
        <f t="shared" si="192"/>
        <v>.xlsx</v>
      </c>
      <c r="H753" s="29" t="e" cm="1">
        <f t="array" aca="1" ref="H753" ca="1">IF(AND(VALUE(E753)=INDIRECT("'["&amp;G753&amp;"]"&amp;E753&amp;"'!"&amp;$X$2),G753=INDIRECT("'["&amp;G753&amp;"]"&amp;E753&amp;"'!"&amp;$X$3)),INDIRECT("'["&amp;G753&amp;"]"&amp;E753&amp;"'!"&amp;$X$1),0)</f>
        <v>#VALUE!</v>
      </c>
      <c r="I753" s="25" t="str">
        <f t="shared" si="193"/>
        <v/>
      </c>
      <c r="J753" s="32" t="str">
        <f t="shared" si="194"/>
        <v/>
      </c>
      <c r="K753" s="25" t="str">
        <f t="shared" si="195"/>
        <v/>
      </c>
      <c r="L753" s="25" t="str">
        <f t="shared" si="196"/>
        <v/>
      </c>
      <c r="M753" s="33" t="e" cm="1">
        <f t="array" aca="1" ref="M753" ca="1">IF(AND(J753=INDIRECT("'["&amp;G753&amp;"]"&amp;E753&amp;"'!"&amp;$Y$2),G753=INDIRECT("'["&amp;G753&amp;"]"&amp;E753&amp;"'!"&amp;$AH$2)),INDIRECT("'["&amp;G753&amp;"]"&amp;E753&amp;"'!"&amp;$Y$3),0)</f>
        <v>#VALUE!</v>
      </c>
      <c r="N753" s="34" t="e" cm="1">
        <f t="array" aca="1" ref="N753" ca="1">IF(AND(G753=INDIRECT("'["&amp;G753&amp;"]"&amp;E753&amp;"'!"&amp;$AH$2),OR(K753=INDIRECT("'["&amp;G753&amp;"]"&amp;E753&amp;"'!"&amp;$Z$2))),INDIRECT("'["&amp;G753&amp;"]"&amp;E753&amp;"'!"&amp;$Z$3),0)</f>
        <v>#VALUE!</v>
      </c>
      <c r="O753" s="34" t="e" cm="1">
        <f t="array" aca="1" ref="O753" ca="1">IF(AND(G753=INDIRECT("'["&amp;G753&amp;"]"&amp;E753&amp;"'!"&amp;$AH$2),OR(L753=INDIRECT("'["&amp;G753&amp;"]"&amp;E753&amp;"'!"&amp;$AA$2))),INDIRECT("'["&amp;G753&amp;"]"&amp;E753&amp;"'!"&amp;$AA$3),0)</f>
        <v>#VALUE!</v>
      </c>
      <c r="P753" s="34" t="e" cm="1">
        <f t="array" aca="1" ref="P753" ca="1">IF(AND(G753=INDIRECT("'["&amp;G753&amp;"]"&amp;E753&amp;"'!"&amp;$AH$2),OR(VALUE(I753)=INDIRECT("'["&amp;G753&amp;"]"&amp;E753&amp;"'!"&amp;$AB$2))),INDIRECT("'["&amp;G753&amp;"]"&amp;E753&amp;"'!"&amp;$AB$3),0)</f>
        <v>#VALUE!</v>
      </c>
      <c r="Q753" s="34" t="e" cm="1">
        <f t="array" aca="1" ref="Q753" ca="1">IF(AND(G753=INDIRECT("'["&amp;G753&amp;"]"&amp;E753&amp;"'!"&amp;$AH$2),OR(VALUE(I753)=INDIRECT("'["&amp;G753&amp;"]"&amp;E753&amp;"'!"&amp;$AC$2))),INDIRECT("'["&amp;G753&amp;"]"&amp;E753&amp;"'!"&amp;$AC$3),0)</f>
        <v>#VALUE!</v>
      </c>
      <c r="R753" s="34" t="e" cm="1">
        <f t="array" aca="1" ref="R753" ca="1">IF(AND(G753=INDIRECT("'["&amp;G753&amp;"]"&amp;E753&amp;"'!"&amp;$AH$2),OR(I753=INDIRECT("'["&amp;G753&amp;"]"&amp;E753&amp;"'!"&amp;$AD$2))),INDIRECT("'["&amp;G753&amp;"]"&amp;E753&amp;"'!"&amp;$AD$3),0)</f>
        <v>#VALUE!</v>
      </c>
      <c r="S753" s="34" t="e" cm="1">
        <f t="array" aca="1" ref="S753" ca="1">IF(AND(G753=INDIRECT("'["&amp;G753&amp;"]"&amp;E753&amp;"'!"&amp;$AH$2),OR(I753=INDIRECT("'["&amp;G753&amp;"]"&amp;E753&amp;"'!"&amp;$AE$2))),INDIRECT("'["&amp;G753&amp;"]"&amp;E753&amp;"'!"&amp;$AE$3),0)</f>
        <v>#VALUE!</v>
      </c>
      <c r="T753" s="35" t="e" cm="1">
        <f t="array" aca="1" ref="T753" ca="1">IF(AND(G753=INDIRECT("'["&amp;G753&amp;"]"&amp;E753&amp;"'!"&amp;$AH$2),OR(I753=INDIRECT("'["&amp;G753&amp;"]"&amp;E753&amp;"'!"&amp;$AF$2))),INDIRECT("'["&amp;G753&amp;"]"&amp;E753&amp;"'!"&amp;$AF$3),0)</f>
        <v>#VALUE!</v>
      </c>
      <c r="U753" s="34" t="e" cm="1">
        <f t="array" aca="1" ref="U753" ca="1">IF(AND(G753=INDIRECT("'["&amp;G753&amp;"]"&amp;E753&amp;"'!"&amp;$AH$2),OR(I753=INDIRECT("'["&amp;G753&amp;"]"&amp;E753&amp;"'!"&amp;$AG$2))),INDIRECT("'["&amp;G753&amp;"]"&amp;E753&amp;"'!"&amp;$AG$3),0)</f>
        <v>#VALUE!</v>
      </c>
      <c r="V753" s="25" t="str">
        <f t="shared" si="197"/>
        <v/>
      </c>
      <c r="W753" s="36" t="e" cm="1">
        <f t="array" aca="1" ref="W753" ca="1">IF(AND(G753=INDIRECT("'["&amp;G753&amp;"]"&amp;E753&amp;"'!"&amp;$AH$2),OR(V753=INDIRECT("'["&amp;G753&amp;"]"&amp;E753&amp;"'!"&amp;$AI$2))),INDIRECT("'["&amp;G753&amp;"]"&amp;E753&amp;"'!"&amp;$AI$3),0)</f>
        <v>#VALUE!</v>
      </c>
      <c r="AJ753" s="25">
        <v>1</v>
      </c>
      <c r="AK753" s="38">
        <f t="shared" ca="1" si="198"/>
        <v>0</v>
      </c>
      <c r="AL753" s="38">
        <f t="shared" ca="1" si="199"/>
        <v>0</v>
      </c>
      <c r="AM753" s="54" t="str">
        <f t="shared" ca="1" si="200"/>
        <v/>
      </c>
      <c r="AN753" s="25" t="e">
        <f t="shared" ca="1" si="201"/>
        <v>#VALUE!</v>
      </c>
      <c r="AO753" s="25" t="e">
        <f t="shared" ca="1" si="202"/>
        <v>#VALUE!</v>
      </c>
      <c r="AQ753" s="46" t="str">
        <f ca="1">IF(AND(C753&lt;&gt;0, C754=0), SUM($C$2:C753)-SUM($AQ$1:AQ752), "")</f>
        <v/>
      </c>
      <c r="AR753" s="46" t="str">
        <f ca="1">IF(AND(AK753&lt;&gt;0, AK754=0), SUM($AK$2:AK753)-SUM($AR$1:AR752), "")</f>
        <v/>
      </c>
    </row>
    <row r="754" spans="2:44" ht="13.15" customHeight="1">
      <c r="B754" s="68" t="str">
        <f t="shared" si="188"/>
        <v/>
      </c>
      <c r="C754" s="55" cm="1">
        <f t="array" aca="1" ref="C754" ca="1">SUM(IF(ISNUMBER(M754:U754),M754:U754,""))</f>
        <v>0</v>
      </c>
      <c r="D754" s="25" t="str">
        <f t="shared" si="189"/>
        <v/>
      </c>
      <c r="E754" s="25" t="e">
        <f t="shared" si="190"/>
        <v>#VALUE!</v>
      </c>
      <c r="F754" s="25" t="str">
        <f t="shared" si="191"/>
        <v/>
      </c>
      <c r="G754" s="25" t="str">
        <f t="shared" si="192"/>
        <v>.xlsx</v>
      </c>
      <c r="H754" s="29" t="e" cm="1">
        <f t="array" aca="1" ref="H754" ca="1">IF(AND(VALUE(E754)=INDIRECT("'["&amp;G754&amp;"]"&amp;E754&amp;"'!"&amp;$X$2),G754=INDIRECT("'["&amp;G754&amp;"]"&amp;E754&amp;"'!"&amp;$X$3)),INDIRECT("'["&amp;G754&amp;"]"&amp;E754&amp;"'!"&amp;$X$1),0)</f>
        <v>#VALUE!</v>
      </c>
      <c r="I754" s="25" t="str">
        <f t="shared" si="193"/>
        <v/>
      </c>
      <c r="J754" s="32" t="str">
        <f t="shared" si="194"/>
        <v/>
      </c>
      <c r="K754" s="25" t="str">
        <f t="shared" si="195"/>
        <v/>
      </c>
      <c r="L754" s="25" t="str">
        <f t="shared" si="196"/>
        <v/>
      </c>
      <c r="M754" s="33" t="e" cm="1">
        <f t="array" aca="1" ref="M754" ca="1">IF(AND(J754=INDIRECT("'["&amp;G754&amp;"]"&amp;E754&amp;"'!"&amp;$Y$2),G754=INDIRECT("'["&amp;G754&amp;"]"&amp;E754&amp;"'!"&amp;$AH$2)),INDIRECT("'["&amp;G754&amp;"]"&amp;E754&amp;"'!"&amp;$Y$3),0)</f>
        <v>#VALUE!</v>
      </c>
      <c r="N754" s="34" t="e" cm="1">
        <f t="array" aca="1" ref="N754" ca="1">IF(AND(G754=INDIRECT("'["&amp;G754&amp;"]"&amp;E754&amp;"'!"&amp;$AH$2),OR(K754=INDIRECT("'["&amp;G754&amp;"]"&amp;E754&amp;"'!"&amp;$Z$2))),INDIRECT("'["&amp;G754&amp;"]"&amp;E754&amp;"'!"&amp;$Z$3),0)</f>
        <v>#VALUE!</v>
      </c>
      <c r="O754" s="34" t="e" cm="1">
        <f t="array" aca="1" ref="O754" ca="1">IF(AND(G754=INDIRECT("'["&amp;G754&amp;"]"&amp;E754&amp;"'!"&amp;$AH$2),OR(L754=INDIRECT("'["&amp;G754&amp;"]"&amp;E754&amp;"'!"&amp;$AA$2))),INDIRECT("'["&amp;G754&amp;"]"&amp;E754&amp;"'!"&amp;$AA$3),0)</f>
        <v>#VALUE!</v>
      </c>
      <c r="P754" s="34" t="e" cm="1">
        <f t="array" aca="1" ref="P754" ca="1">IF(AND(G754=INDIRECT("'["&amp;G754&amp;"]"&amp;E754&amp;"'!"&amp;$AH$2),OR(VALUE(I754)=INDIRECT("'["&amp;G754&amp;"]"&amp;E754&amp;"'!"&amp;$AB$2))),INDIRECT("'["&amp;G754&amp;"]"&amp;E754&amp;"'!"&amp;$AB$3),0)</f>
        <v>#VALUE!</v>
      </c>
      <c r="Q754" s="34" t="e" cm="1">
        <f t="array" aca="1" ref="Q754" ca="1">IF(AND(G754=INDIRECT("'["&amp;G754&amp;"]"&amp;E754&amp;"'!"&amp;$AH$2),OR(VALUE(I754)=INDIRECT("'["&amp;G754&amp;"]"&amp;E754&amp;"'!"&amp;$AC$2))),INDIRECT("'["&amp;G754&amp;"]"&amp;E754&amp;"'!"&amp;$AC$3),0)</f>
        <v>#VALUE!</v>
      </c>
      <c r="R754" s="34" t="e" cm="1">
        <f t="array" aca="1" ref="R754" ca="1">IF(AND(G754=INDIRECT("'["&amp;G754&amp;"]"&amp;E754&amp;"'!"&amp;$AH$2),OR(I754=INDIRECT("'["&amp;G754&amp;"]"&amp;E754&amp;"'!"&amp;$AD$2))),INDIRECT("'["&amp;G754&amp;"]"&amp;E754&amp;"'!"&amp;$AD$3),0)</f>
        <v>#VALUE!</v>
      </c>
      <c r="S754" s="34" t="e" cm="1">
        <f t="array" aca="1" ref="S754" ca="1">IF(AND(G754=INDIRECT("'["&amp;G754&amp;"]"&amp;E754&amp;"'!"&amp;$AH$2),OR(I754=INDIRECT("'["&amp;G754&amp;"]"&amp;E754&amp;"'!"&amp;$AE$2))),INDIRECT("'["&amp;G754&amp;"]"&amp;E754&amp;"'!"&amp;$AE$3),0)</f>
        <v>#VALUE!</v>
      </c>
      <c r="T754" s="35" t="e" cm="1">
        <f t="array" aca="1" ref="T754" ca="1">IF(AND(G754=INDIRECT("'["&amp;G754&amp;"]"&amp;E754&amp;"'!"&amp;$AH$2),OR(I754=INDIRECT("'["&amp;G754&amp;"]"&amp;E754&amp;"'!"&amp;$AF$2))),INDIRECT("'["&amp;G754&amp;"]"&amp;E754&amp;"'!"&amp;$AF$3),0)</f>
        <v>#VALUE!</v>
      </c>
      <c r="U754" s="34" t="e" cm="1">
        <f t="array" aca="1" ref="U754" ca="1">IF(AND(G754=INDIRECT("'["&amp;G754&amp;"]"&amp;E754&amp;"'!"&amp;$AH$2),OR(I754=INDIRECT("'["&amp;G754&amp;"]"&amp;E754&amp;"'!"&amp;$AG$2))),INDIRECT("'["&amp;G754&amp;"]"&amp;E754&amp;"'!"&amp;$AG$3),0)</f>
        <v>#VALUE!</v>
      </c>
      <c r="V754" s="25" t="str">
        <f t="shared" si="197"/>
        <v/>
      </c>
      <c r="W754" s="36" t="e" cm="1">
        <f t="array" aca="1" ref="W754" ca="1">IF(AND(G754=INDIRECT("'["&amp;G754&amp;"]"&amp;E754&amp;"'!"&amp;$AH$2),OR(V754=INDIRECT("'["&amp;G754&amp;"]"&amp;E754&amp;"'!"&amp;$AI$2))),INDIRECT("'["&amp;G754&amp;"]"&amp;E754&amp;"'!"&amp;$AI$3),0)</f>
        <v>#VALUE!</v>
      </c>
      <c r="AJ754" s="25">
        <v>1</v>
      </c>
      <c r="AK754" s="38">
        <f t="shared" ca="1" si="198"/>
        <v>0</v>
      </c>
      <c r="AL754" s="38">
        <f t="shared" ca="1" si="199"/>
        <v>0</v>
      </c>
      <c r="AM754" s="54" t="str">
        <f t="shared" ca="1" si="200"/>
        <v/>
      </c>
      <c r="AN754" s="25" t="e">
        <f t="shared" ca="1" si="201"/>
        <v>#VALUE!</v>
      </c>
      <c r="AO754" s="25" t="e">
        <f t="shared" ca="1" si="202"/>
        <v>#VALUE!</v>
      </c>
      <c r="AQ754" s="46" t="str">
        <f ca="1">IF(AND(C754&lt;&gt;0, C755=0), SUM($C$2:C754)-SUM($AQ$1:AQ753), "")</f>
        <v/>
      </c>
      <c r="AR754" s="46" t="str">
        <f ca="1">IF(AND(AK754&lt;&gt;0, AK755=0), SUM($AK$2:AK754)-SUM($AR$1:AR753), "")</f>
        <v/>
      </c>
    </row>
    <row r="755" spans="2:44" ht="13.15" customHeight="1">
      <c r="B755" s="68" t="str">
        <f t="shared" si="188"/>
        <v/>
      </c>
      <c r="C755" s="55" cm="1">
        <f t="array" aca="1" ref="C755" ca="1">SUM(IF(ISNUMBER(M755:U755),M755:U755,""))</f>
        <v>0</v>
      </c>
      <c r="D755" s="25" t="str">
        <f t="shared" si="189"/>
        <v/>
      </c>
      <c r="E755" s="25" t="e">
        <f t="shared" si="190"/>
        <v>#VALUE!</v>
      </c>
      <c r="F755" s="25" t="str">
        <f t="shared" si="191"/>
        <v/>
      </c>
      <c r="G755" s="25" t="str">
        <f t="shared" si="192"/>
        <v>.xlsx</v>
      </c>
      <c r="H755" s="29" t="e" cm="1">
        <f t="array" aca="1" ref="H755" ca="1">IF(AND(VALUE(E755)=INDIRECT("'["&amp;G755&amp;"]"&amp;E755&amp;"'!"&amp;$X$2),G755=INDIRECT("'["&amp;G755&amp;"]"&amp;E755&amp;"'!"&amp;$X$3)),INDIRECT("'["&amp;G755&amp;"]"&amp;E755&amp;"'!"&amp;$X$1),0)</f>
        <v>#VALUE!</v>
      </c>
      <c r="I755" s="25" t="str">
        <f t="shared" si="193"/>
        <v/>
      </c>
      <c r="J755" s="32" t="str">
        <f t="shared" si="194"/>
        <v/>
      </c>
      <c r="K755" s="25" t="str">
        <f t="shared" si="195"/>
        <v/>
      </c>
      <c r="L755" s="25" t="str">
        <f t="shared" si="196"/>
        <v/>
      </c>
      <c r="M755" s="33" t="e" cm="1">
        <f t="array" aca="1" ref="M755" ca="1">IF(AND(J755=INDIRECT("'["&amp;G755&amp;"]"&amp;E755&amp;"'!"&amp;$Y$2),G755=INDIRECT("'["&amp;G755&amp;"]"&amp;E755&amp;"'!"&amp;$AH$2)),INDIRECT("'["&amp;G755&amp;"]"&amp;E755&amp;"'!"&amp;$Y$3),0)</f>
        <v>#VALUE!</v>
      </c>
      <c r="N755" s="34" t="e" cm="1">
        <f t="array" aca="1" ref="N755" ca="1">IF(AND(G755=INDIRECT("'["&amp;G755&amp;"]"&amp;E755&amp;"'!"&amp;$AH$2),OR(K755=INDIRECT("'["&amp;G755&amp;"]"&amp;E755&amp;"'!"&amp;$Z$2))),INDIRECT("'["&amp;G755&amp;"]"&amp;E755&amp;"'!"&amp;$Z$3),0)</f>
        <v>#VALUE!</v>
      </c>
      <c r="O755" s="34" t="e" cm="1">
        <f t="array" aca="1" ref="O755" ca="1">IF(AND(G755=INDIRECT("'["&amp;G755&amp;"]"&amp;E755&amp;"'!"&amp;$AH$2),OR(L755=INDIRECT("'["&amp;G755&amp;"]"&amp;E755&amp;"'!"&amp;$AA$2))),INDIRECT("'["&amp;G755&amp;"]"&amp;E755&amp;"'!"&amp;$AA$3),0)</f>
        <v>#VALUE!</v>
      </c>
      <c r="P755" s="34" t="e" cm="1">
        <f t="array" aca="1" ref="P755" ca="1">IF(AND(G755=INDIRECT("'["&amp;G755&amp;"]"&amp;E755&amp;"'!"&amp;$AH$2),OR(VALUE(I755)=INDIRECT("'["&amp;G755&amp;"]"&amp;E755&amp;"'!"&amp;$AB$2))),INDIRECT("'["&amp;G755&amp;"]"&amp;E755&amp;"'!"&amp;$AB$3),0)</f>
        <v>#VALUE!</v>
      </c>
      <c r="Q755" s="34" t="e" cm="1">
        <f t="array" aca="1" ref="Q755" ca="1">IF(AND(G755=INDIRECT("'["&amp;G755&amp;"]"&amp;E755&amp;"'!"&amp;$AH$2),OR(VALUE(I755)=INDIRECT("'["&amp;G755&amp;"]"&amp;E755&amp;"'!"&amp;$AC$2))),INDIRECT("'["&amp;G755&amp;"]"&amp;E755&amp;"'!"&amp;$AC$3),0)</f>
        <v>#VALUE!</v>
      </c>
      <c r="R755" s="34" t="e" cm="1">
        <f t="array" aca="1" ref="R755" ca="1">IF(AND(G755=INDIRECT("'["&amp;G755&amp;"]"&amp;E755&amp;"'!"&amp;$AH$2),OR(I755=INDIRECT("'["&amp;G755&amp;"]"&amp;E755&amp;"'!"&amp;$AD$2))),INDIRECT("'["&amp;G755&amp;"]"&amp;E755&amp;"'!"&amp;$AD$3),0)</f>
        <v>#VALUE!</v>
      </c>
      <c r="S755" s="34" t="e" cm="1">
        <f t="array" aca="1" ref="S755" ca="1">IF(AND(G755=INDIRECT("'["&amp;G755&amp;"]"&amp;E755&amp;"'!"&amp;$AH$2),OR(I755=INDIRECT("'["&amp;G755&amp;"]"&amp;E755&amp;"'!"&amp;$AE$2))),INDIRECT("'["&amp;G755&amp;"]"&amp;E755&amp;"'!"&amp;$AE$3),0)</f>
        <v>#VALUE!</v>
      </c>
      <c r="T755" s="35" t="e" cm="1">
        <f t="array" aca="1" ref="T755" ca="1">IF(AND(G755=INDIRECT("'["&amp;G755&amp;"]"&amp;E755&amp;"'!"&amp;$AH$2),OR(I755=INDIRECT("'["&amp;G755&amp;"]"&amp;E755&amp;"'!"&amp;$AF$2))),INDIRECT("'["&amp;G755&amp;"]"&amp;E755&amp;"'!"&amp;$AF$3),0)</f>
        <v>#VALUE!</v>
      </c>
      <c r="U755" s="34" t="e" cm="1">
        <f t="array" aca="1" ref="U755" ca="1">IF(AND(G755=INDIRECT("'["&amp;G755&amp;"]"&amp;E755&amp;"'!"&amp;$AH$2),OR(I755=INDIRECT("'["&amp;G755&amp;"]"&amp;E755&amp;"'!"&amp;$AG$2))),INDIRECT("'["&amp;G755&amp;"]"&amp;E755&amp;"'!"&amp;$AG$3),0)</f>
        <v>#VALUE!</v>
      </c>
      <c r="V755" s="25" t="str">
        <f t="shared" si="197"/>
        <v/>
      </c>
      <c r="W755" s="36" t="e" cm="1">
        <f t="array" aca="1" ref="W755" ca="1">IF(AND(G755=INDIRECT("'["&amp;G755&amp;"]"&amp;E755&amp;"'!"&amp;$AH$2),OR(V755=INDIRECT("'["&amp;G755&amp;"]"&amp;E755&amp;"'!"&amp;$AI$2))),INDIRECT("'["&amp;G755&amp;"]"&amp;E755&amp;"'!"&amp;$AI$3),0)</f>
        <v>#VALUE!</v>
      </c>
      <c r="AJ755" s="25">
        <v>1</v>
      </c>
      <c r="AK755" s="38">
        <f t="shared" ca="1" si="198"/>
        <v>0</v>
      </c>
      <c r="AL755" s="38">
        <f t="shared" ca="1" si="199"/>
        <v>0</v>
      </c>
      <c r="AM755" s="54" t="str">
        <f t="shared" ca="1" si="200"/>
        <v/>
      </c>
      <c r="AN755" s="25" t="e">
        <f t="shared" ca="1" si="201"/>
        <v>#VALUE!</v>
      </c>
      <c r="AO755" s="25" t="e">
        <f t="shared" ca="1" si="202"/>
        <v>#VALUE!</v>
      </c>
      <c r="AQ755" s="46" t="str">
        <f ca="1">IF(AND(C755&lt;&gt;0, C756=0), SUM($C$2:C755)-SUM($AQ$1:AQ754), "")</f>
        <v/>
      </c>
      <c r="AR755" s="46" t="str">
        <f ca="1">IF(AND(AK755&lt;&gt;0, AK756=0), SUM($AK$2:AK755)-SUM($AR$1:AR754), "")</f>
        <v/>
      </c>
    </row>
    <row r="756" spans="2:44" ht="13.15" customHeight="1">
      <c r="B756" s="68" t="str">
        <f t="shared" si="188"/>
        <v/>
      </c>
      <c r="C756" s="55" cm="1">
        <f t="array" aca="1" ref="C756" ca="1">SUM(IF(ISNUMBER(M756:U756),M756:U756,""))</f>
        <v>0</v>
      </c>
      <c r="D756" s="25" t="str">
        <f t="shared" si="189"/>
        <v/>
      </c>
      <c r="E756" s="25" t="e">
        <f t="shared" si="190"/>
        <v>#VALUE!</v>
      </c>
      <c r="F756" s="25" t="str">
        <f t="shared" si="191"/>
        <v/>
      </c>
      <c r="G756" s="25" t="str">
        <f t="shared" si="192"/>
        <v>.xlsx</v>
      </c>
      <c r="H756" s="29" t="e" cm="1">
        <f t="array" aca="1" ref="H756" ca="1">IF(AND(VALUE(E756)=INDIRECT("'["&amp;G756&amp;"]"&amp;E756&amp;"'!"&amp;$X$2),G756=INDIRECT("'["&amp;G756&amp;"]"&amp;E756&amp;"'!"&amp;$X$3)),INDIRECT("'["&amp;G756&amp;"]"&amp;E756&amp;"'!"&amp;$X$1),0)</f>
        <v>#VALUE!</v>
      </c>
      <c r="I756" s="25" t="str">
        <f t="shared" si="193"/>
        <v/>
      </c>
      <c r="J756" s="32" t="str">
        <f t="shared" si="194"/>
        <v/>
      </c>
      <c r="K756" s="25" t="str">
        <f t="shared" si="195"/>
        <v/>
      </c>
      <c r="L756" s="25" t="str">
        <f t="shared" si="196"/>
        <v/>
      </c>
      <c r="M756" s="33" t="e" cm="1">
        <f t="array" aca="1" ref="M756" ca="1">IF(AND(J756=INDIRECT("'["&amp;G756&amp;"]"&amp;E756&amp;"'!"&amp;$Y$2),G756=INDIRECT("'["&amp;G756&amp;"]"&amp;E756&amp;"'!"&amp;$AH$2)),INDIRECT("'["&amp;G756&amp;"]"&amp;E756&amp;"'!"&amp;$Y$3),0)</f>
        <v>#VALUE!</v>
      </c>
      <c r="N756" s="34" t="e" cm="1">
        <f t="array" aca="1" ref="N756" ca="1">IF(AND(G756=INDIRECT("'["&amp;G756&amp;"]"&amp;E756&amp;"'!"&amp;$AH$2),OR(K756=INDIRECT("'["&amp;G756&amp;"]"&amp;E756&amp;"'!"&amp;$Z$2))),INDIRECT("'["&amp;G756&amp;"]"&amp;E756&amp;"'!"&amp;$Z$3),0)</f>
        <v>#VALUE!</v>
      </c>
      <c r="O756" s="34" t="e" cm="1">
        <f t="array" aca="1" ref="O756" ca="1">IF(AND(G756=INDIRECT("'["&amp;G756&amp;"]"&amp;E756&amp;"'!"&amp;$AH$2),OR(L756=INDIRECT("'["&amp;G756&amp;"]"&amp;E756&amp;"'!"&amp;$AA$2))),INDIRECT("'["&amp;G756&amp;"]"&amp;E756&amp;"'!"&amp;$AA$3),0)</f>
        <v>#VALUE!</v>
      </c>
      <c r="P756" s="34" t="e" cm="1">
        <f t="array" aca="1" ref="P756" ca="1">IF(AND(G756=INDIRECT("'["&amp;G756&amp;"]"&amp;E756&amp;"'!"&amp;$AH$2),OR(VALUE(I756)=INDIRECT("'["&amp;G756&amp;"]"&amp;E756&amp;"'!"&amp;$AB$2))),INDIRECT("'["&amp;G756&amp;"]"&amp;E756&amp;"'!"&amp;$AB$3),0)</f>
        <v>#VALUE!</v>
      </c>
      <c r="Q756" s="34" t="e" cm="1">
        <f t="array" aca="1" ref="Q756" ca="1">IF(AND(G756=INDIRECT("'["&amp;G756&amp;"]"&amp;E756&amp;"'!"&amp;$AH$2),OR(VALUE(I756)=INDIRECT("'["&amp;G756&amp;"]"&amp;E756&amp;"'!"&amp;$AC$2))),INDIRECT("'["&amp;G756&amp;"]"&amp;E756&amp;"'!"&amp;$AC$3),0)</f>
        <v>#VALUE!</v>
      </c>
      <c r="R756" s="34" t="e" cm="1">
        <f t="array" aca="1" ref="R756" ca="1">IF(AND(G756=INDIRECT("'["&amp;G756&amp;"]"&amp;E756&amp;"'!"&amp;$AH$2),OR(I756=INDIRECT("'["&amp;G756&amp;"]"&amp;E756&amp;"'!"&amp;$AD$2))),INDIRECT("'["&amp;G756&amp;"]"&amp;E756&amp;"'!"&amp;$AD$3),0)</f>
        <v>#VALUE!</v>
      </c>
      <c r="S756" s="34" t="e" cm="1">
        <f t="array" aca="1" ref="S756" ca="1">IF(AND(G756=INDIRECT("'["&amp;G756&amp;"]"&amp;E756&amp;"'!"&amp;$AH$2),OR(I756=INDIRECT("'["&amp;G756&amp;"]"&amp;E756&amp;"'!"&amp;$AE$2))),INDIRECT("'["&amp;G756&amp;"]"&amp;E756&amp;"'!"&amp;$AE$3),0)</f>
        <v>#VALUE!</v>
      </c>
      <c r="T756" s="35" t="e" cm="1">
        <f t="array" aca="1" ref="T756" ca="1">IF(AND(G756=INDIRECT("'["&amp;G756&amp;"]"&amp;E756&amp;"'!"&amp;$AH$2),OR(I756=INDIRECT("'["&amp;G756&amp;"]"&amp;E756&amp;"'!"&amp;$AF$2))),INDIRECT("'["&amp;G756&amp;"]"&amp;E756&amp;"'!"&amp;$AF$3),0)</f>
        <v>#VALUE!</v>
      </c>
      <c r="U756" s="34" t="e" cm="1">
        <f t="array" aca="1" ref="U756" ca="1">IF(AND(G756=INDIRECT("'["&amp;G756&amp;"]"&amp;E756&amp;"'!"&amp;$AH$2),OR(I756=INDIRECT("'["&amp;G756&amp;"]"&amp;E756&amp;"'!"&amp;$AG$2))),INDIRECT("'["&amp;G756&amp;"]"&amp;E756&amp;"'!"&amp;$AG$3),0)</f>
        <v>#VALUE!</v>
      </c>
      <c r="V756" s="25" t="str">
        <f t="shared" si="197"/>
        <v/>
      </c>
      <c r="W756" s="36" t="e" cm="1">
        <f t="array" aca="1" ref="W756" ca="1">IF(AND(G756=INDIRECT("'["&amp;G756&amp;"]"&amp;E756&amp;"'!"&amp;$AH$2),OR(V756=INDIRECT("'["&amp;G756&amp;"]"&amp;E756&amp;"'!"&amp;$AI$2))),INDIRECT("'["&amp;G756&amp;"]"&amp;E756&amp;"'!"&amp;$AI$3),0)</f>
        <v>#VALUE!</v>
      </c>
      <c r="AJ756" s="25">
        <v>1</v>
      </c>
      <c r="AK756" s="38">
        <f t="shared" ca="1" si="198"/>
        <v>0</v>
      </c>
      <c r="AL756" s="38">
        <f t="shared" ca="1" si="199"/>
        <v>0</v>
      </c>
      <c r="AM756" s="54" t="str">
        <f t="shared" ca="1" si="200"/>
        <v/>
      </c>
      <c r="AN756" s="25" t="e">
        <f t="shared" ca="1" si="201"/>
        <v>#VALUE!</v>
      </c>
      <c r="AO756" s="25" t="e">
        <f t="shared" ca="1" si="202"/>
        <v>#VALUE!</v>
      </c>
      <c r="AQ756" s="46" t="str">
        <f ca="1">IF(AND(C756&lt;&gt;0, C757=0), SUM($C$2:C756)-SUM($AQ$1:AQ755), "")</f>
        <v/>
      </c>
      <c r="AR756" s="46" t="str">
        <f ca="1">IF(AND(AK756&lt;&gt;0, AK757=0), SUM($AK$2:AK756)-SUM($AR$1:AR755), "")</f>
        <v/>
      </c>
    </row>
    <row r="757" spans="2:44" ht="13.15" customHeight="1">
      <c r="B757" s="68" t="str">
        <f t="shared" ref="B757:B820" si="203">LEFT(A757,15)</f>
        <v/>
      </c>
      <c r="C757" s="55" cm="1">
        <f t="array" aca="1" ref="C757" ca="1">SUM(IF(ISNUMBER(M757:U757),M757:U757,""))</f>
        <v>0</v>
      </c>
      <c r="D757" s="25" t="str">
        <f t="shared" ref="D757:D820" si="204">MID(A757,4,2)</f>
        <v/>
      </c>
      <c r="E757" s="25" t="e">
        <f t="shared" ref="E757:E820" si="205">IF(ISEVEN(D757),D757-1,VALUE(D757))</f>
        <v>#VALUE!</v>
      </c>
      <c r="F757" s="25" t="str">
        <f t="shared" ref="F757:F820" si="206">LEFT(A757,2)</f>
        <v/>
      </c>
      <c r="G757" s="25" t="str">
        <f t="shared" ref="G757:G820" si="207">CONCATENATE(F757,".xlsx")</f>
        <v>.xlsx</v>
      </c>
      <c r="H757" s="29" t="e" cm="1">
        <f t="array" aca="1" ref="H757" ca="1">IF(AND(VALUE(E757)=INDIRECT("'["&amp;G757&amp;"]"&amp;E757&amp;"'!"&amp;$X$2),G757=INDIRECT("'["&amp;G757&amp;"]"&amp;E757&amp;"'!"&amp;$X$3)),INDIRECT("'["&amp;G757&amp;"]"&amp;E757&amp;"'!"&amp;$X$1),0)</f>
        <v>#VALUE!</v>
      </c>
      <c r="I757" s="25" t="str">
        <f t="shared" ref="I757:I820" si="208">MID(A757,10,6)</f>
        <v/>
      </c>
      <c r="J757" s="32" t="str">
        <f t="shared" ref="J757:J820" si="209">RIGHT(I757,2)</f>
        <v/>
      </c>
      <c r="K757" s="25" t="str">
        <f t="shared" ref="K757:K820" si="210">LEFT(I757,3)</f>
        <v/>
      </c>
      <c r="L757" s="25" t="str">
        <f t="shared" ref="L757:L820" si="211">RIGHT(I757,3)</f>
        <v/>
      </c>
      <c r="M757" s="33" t="e" cm="1">
        <f t="array" aca="1" ref="M757" ca="1">IF(AND(J757=INDIRECT("'["&amp;G757&amp;"]"&amp;E757&amp;"'!"&amp;$Y$2),G757=INDIRECT("'["&amp;G757&amp;"]"&amp;E757&amp;"'!"&amp;$AH$2)),INDIRECT("'["&amp;G757&amp;"]"&amp;E757&amp;"'!"&amp;$Y$3),0)</f>
        <v>#VALUE!</v>
      </c>
      <c r="N757" s="34" t="e" cm="1">
        <f t="array" aca="1" ref="N757" ca="1">IF(AND(G757=INDIRECT("'["&amp;G757&amp;"]"&amp;E757&amp;"'!"&amp;$AH$2),OR(K757=INDIRECT("'["&amp;G757&amp;"]"&amp;E757&amp;"'!"&amp;$Z$2))),INDIRECT("'["&amp;G757&amp;"]"&amp;E757&amp;"'!"&amp;$Z$3),0)</f>
        <v>#VALUE!</v>
      </c>
      <c r="O757" s="34" t="e" cm="1">
        <f t="array" aca="1" ref="O757" ca="1">IF(AND(G757=INDIRECT("'["&amp;G757&amp;"]"&amp;E757&amp;"'!"&amp;$AH$2),OR(L757=INDIRECT("'["&amp;G757&amp;"]"&amp;E757&amp;"'!"&amp;$AA$2))),INDIRECT("'["&amp;G757&amp;"]"&amp;E757&amp;"'!"&amp;$AA$3),0)</f>
        <v>#VALUE!</v>
      </c>
      <c r="P757" s="34" t="e" cm="1">
        <f t="array" aca="1" ref="P757" ca="1">IF(AND(G757=INDIRECT("'["&amp;G757&amp;"]"&amp;E757&amp;"'!"&amp;$AH$2),OR(VALUE(I757)=INDIRECT("'["&amp;G757&amp;"]"&amp;E757&amp;"'!"&amp;$AB$2))),INDIRECT("'["&amp;G757&amp;"]"&amp;E757&amp;"'!"&amp;$AB$3),0)</f>
        <v>#VALUE!</v>
      </c>
      <c r="Q757" s="34" t="e" cm="1">
        <f t="array" aca="1" ref="Q757" ca="1">IF(AND(G757=INDIRECT("'["&amp;G757&amp;"]"&amp;E757&amp;"'!"&amp;$AH$2),OR(VALUE(I757)=INDIRECT("'["&amp;G757&amp;"]"&amp;E757&amp;"'!"&amp;$AC$2))),INDIRECT("'["&amp;G757&amp;"]"&amp;E757&amp;"'!"&amp;$AC$3),0)</f>
        <v>#VALUE!</v>
      </c>
      <c r="R757" s="34" t="e" cm="1">
        <f t="array" aca="1" ref="R757" ca="1">IF(AND(G757=INDIRECT("'["&amp;G757&amp;"]"&amp;E757&amp;"'!"&amp;$AH$2),OR(I757=INDIRECT("'["&amp;G757&amp;"]"&amp;E757&amp;"'!"&amp;$AD$2))),INDIRECT("'["&amp;G757&amp;"]"&amp;E757&amp;"'!"&amp;$AD$3),0)</f>
        <v>#VALUE!</v>
      </c>
      <c r="S757" s="34" t="e" cm="1">
        <f t="array" aca="1" ref="S757" ca="1">IF(AND(G757=INDIRECT("'["&amp;G757&amp;"]"&amp;E757&amp;"'!"&amp;$AH$2),OR(I757=INDIRECT("'["&amp;G757&amp;"]"&amp;E757&amp;"'!"&amp;$AE$2))),INDIRECT("'["&amp;G757&amp;"]"&amp;E757&amp;"'!"&amp;$AE$3),0)</f>
        <v>#VALUE!</v>
      </c>
      <c r="T757" s="35" t="e" cm="1">
        <f t="array" aca="1" ref="T757" ca="1">IF(AND(G757=INDIRECT("'["&amp;G757&amp;"]"&amp;E757&amp;"'!"&amp;$AH$2),OR(I757=INDIRECT("'["&amp;G757&amp;"]"&amp;E757&amp;"'!"&amp;$AF$2))),INDIRECT("'["&amp;G757&amp;"]"&amp;E757&amp;"'!"&amp;$AF$3),0)</f>
        <v>#VALUE!</v>
      </c>
      <c r="U757" s="34" t="e" cm="1">
        <f t="array" aca="1" ref="U757" ca="1">IF(AND(G757=INDIRECT("'["&amp;G757&amp;"]"&amp;E757&amp;"'!"&amp;$AH$2),OR(I757=INDIRECT("'["&amp;G757&amp;"]"&amp;E757&amp;"'!"&amp;$AG$2))),INDIRECT("'["&amp;G757&amp;"]"&amp;E757&amp;"'!"&amp;$AG$3),0)</f>
        <v>#VALUE!</v>
      </c>
      <c r="V757" s="25" t="str">
        <f t="shared" ref="V757:V820" si="212">MID(B757,7,9)</f>
        <v/>
      </c>
      <c r="W757" s="36" t="e" cm="1">
        <f t="array" aca="1" ref="W757" ca="1">IF(AND(G757=INDIRECT("'["&amp;G757&amp;"]"&amp;E757&amp;"'!"&amp;$AH$2),OR(V757=INDIRECT("'["&amp;G757&amp;"]"&amp;E757&amp;"'!"&amp;$AI$2))),INDIRECT("'["&amp;G757&amp;"]"&amp;E757&amp;"'!"&amp;$AI$3),0)</f>
        <v>#VALUE!</v>
      </c>
      <c r="AJ757" s="25">
        <v>1</v>
      </c>
      <c r="AK757" s="38">
        <f t="shared" ref="AK757:AK820" ca="1" si="213">(C757*AJ757%)</f>
        <v>0</v>
      </c>
      <c r="AL757" s="38">
        <f t="shared" ref="AL757:AL820" ca="1" si="214">C757-AK757</f>
        <v>0</v>
      </c>
      <c r="AM757" s="54" t="str">
        <f t="shared" ref="AM757:AM820" ca="1" si="215">IF(A757&lt;&gt;"",IF(AM757="",NOW(),AM757),"")</f>
        <v/>
      </c>
      <c r="AN757" s="25" t="e">
        <f t="shared" ref="AN757:AN820" ca="1" si="216">IF(VALUE(N757),"/","")</f>
        <v>#VALUE!</v>
      </c>
      <c r="AO757" s="25" t="e">
        <f t="shared" ref="AO757:AO820" ca="1" si="217">IF(VALUE(O757),"/","")</f>
        <v>#VALUE!</v>
      </c>
      <c r="AQ757" s="46" t="str">
        <f ca="1">IF(AND(C757&lt;&gt;0, C758=0), SUM($C$2:C757)-SUM($AQ$1:AQ756), "")</f>
        <v/>
      </c>
      <c r="AR757" s="46" t="str">
        <f ca="1">IF(AND(AK757&lt;&gt;0, AK758=0), SUM($AK$2:AK757)-SUM($AR$1:AR756), "")</f>
        <v/>
      </c>
    </row>
    <row r="758" spans="2:44" ht="13.15" customHeight="1">
      <c r="B758" s="68" t="str">
        <f t="shared" si="203"/>
        <v/>
      </c>
      <c r="C758" s="55" cm="1">
        <f t="array" aca="1" ref="C758" ca="1">SUM(IF(ISNUMBER(M758:U758),M758:U758,""))</f>
        <v>0</v>
      </c>
      <c r="D758" s="25" t="str">
        <f t="shared" si="204"/>
        <v/>
      </c>
      <c r="E758" s="25" t="e">
        <f t="shared" si="205"/>
        <v>#VALUE!</v>
      </c>
      <c r="F758" s="25" t="str">
        <f t="shared" si="206"/>
        <v/>
      </c>
      <c r="G758" s="25" t="str">
        <f t="shared" si="207"/>
        <v>.xlsx</v>
      </c>
      <c r="H758" s="29" t="e" cm="1">
        <f t="array" aca="1" ref="H758" ca="1">IF(AND(VALUE(E758)=INDIRECT("'["&amp;G758&amp;"]"&amp;E758&amp;"'!"&amp;$X$2),G758=INDIRECT("'["&amp;G758&amp;"]"&amp;E758&amp;"'!"&amp;$X$3)),INDIRECT("'["&amp;G758&amp;"]"&amp;E758&amp;"'!"&amp;$X$1),0)</f>
        <v>#VALUE!</v>
      </c>
      <c r="I758" s="25" t="str">
        <f t="shared" si="208"/>
        <v/>
      </c>
      <c r="J758" s="32" t="str">
        <f t="shared" si="209"/>
        <v/>
      </c>
      <c r="K758" s="25" t="str">
        <f t="shared" si="210"/>
        <v/>
      </c>
      <c r="L758" s="25" t="str">
        <f t="shared" si="211"/>
        <v/>
      </c>
      <c r="M758" s="33" t="e" cm="1">
        <f t="array" aca="1" ref="M758" ca="1">IF(AND(J758=INDIRECT("'["&amp;G758&amp;"]"&amp;E758&amp;"'!"&amp;$Y$2),G758=INDIRECT("'["&amp;G758&amp;"]"&amp;E758&amp;"'!"&amp;$AH$2)),INDIRECT("'["&amp;G758&amp;"]"&amp;E758&amp;"'!"&amp;$Y$3),0)</f>
        <v>#VALUE!</v>
      </c>
      <c r="N758" s="34" t="e" cm="1">
        <f t="array" aca="1" ref="N758" ca="1">IF(AND(G758=INDIRECT("'["&amp;G758&amp;"]"&amp;E758&amp;"'!"&amp;$AH$2),OR(K758=INDIRECT("'["&amp;G758&amp;"]"&amp;E758&amp;"'!"&amp;$Z$2))),INDIRECT("'["&amp;G758&amp;"]"&amp;E758&amp;"'!"&amp;$Z$3),0)</f>
        <v>#VALUE!</v>
      </c>
      <c r="O758" s="34" t="e" cm="1">
        <f t="array" aca="1" ref="O758" ca="1">IF(AND(G758=INDIRECT("'["&amp;G758&amp;"]"&amp;E758&amp;"'!"&amp;$AH$2),OR(L758=INDIRECT("'["&amp;G758&amp;"]"&amp;E758&amp;"'!"&amp;$AA$2))),INDIRECT("'["&amp;G758&amp;"]"&amp;E758&amp;"'!"&amp;$AA$3),0)</f>
        <v>#VALUE!</v>
      </c>
      <c r="P758" s="34" t="e" cm="1">
        <f t="array" aca="1" ref="P758" ca="1">IF(AND(G758=INDIRECT("'["&amp;G758&amp;"]"&amp;E758&amp;"'!"&amp;$AH$2),OR(VALUE(I758)=INDIRECT("'["&amp;G758&amp;"]"&amp;E758&amp;"'!"&amp;$AB$2))),INDIRECT("'["&amp;G758&amp;"]"&amp;E758&amp;"'!"&amp;$AB$3),0)</f>
        <v>#VALUE!</v>
      </c>
      <c r="Q758" s="34" t="e" cm="1">
        <f t="array" aca="1" ref="Q758" ca="1">IF(AND(G758=INDIRECT("'["&amp;G758&amp;"]"&amp;E758&amp;"'!"&amp;$AH$2),OR(VALUE(I758)=INDIRECT("'["&amp;G758&amp;"]"&amp;E758&amp;"'!"&amp;$AC$2))),INDIRECT("'["&amp;G758&amp;"]"&amp;E758&amp;"'!"&amp;$AC$3),0)</f>
        <v>#VALUE!</v>
      </c>
      <c r="R758" s="34" t="e" cm="1">
        <f t="array" aca="1" ref="R758" ca="1">IF(AND(G758=INDIRECT("'["&amp;G758&amp;"]"&amp;E758&amp;"'!"&amp;$AH$2),OR(I758=INDIRECT("'["&amp;G758&amp;"]"&amp;E758&amp;"'!"&amp;$AD$2))),INDIRECT("'["&amp;G758&amp;"]"&amp;E758&amp;"'!"&amp;$AD$3),0)</f>
        <v>#VALUE!</v>
      </c>
      <c r="S758" s="34" t="e" cm="1">
        <f t="array" aca="1" ref="S758" ca="1">IF(AND(G758=INDIRECT("'["&amp;G758&amp;"]"&amp;E758&amp;"'!"&amp;$AH$2),OR(I758=INDIRECT("'["&amp;G758&amp;"]"&amp;E758&amp;"'!"&amp;$AE$2))),INDIRECT("'["&amp;G758&amp;"]"&amp;E758&amp;"'!"&amp;$AE$3),0)</f>
        <v>#VALUE!</v>
      </c>
      <c r="T758" s="35" t="e" cm="1">
        <f t="array" aca="1" ref="T758" ca="1">IF(AND(G758=INDIRECT("'["&amp;G758&amp;"]"&amp;E758&amp;"'!"&amp;$AH$2),OR(I758=INDIRECT("'["&amp;G758&amp;"]"&amp;E758&amp;"'!"&amp;$AF$2))),INDIRECT("'["&amp;G758&amp;"]"&amp;E758&amp;"'!"&amp;$AF$3),0)</f>
        <v>#VALUE!</v>
      </c>
      <c r="U758" s="34" t="e" cm="1">
        <f t="array" aca="1" ref="U758" ca="1">IF(AND(G758=INDIRECT("'["&amp;G758&amp;"]"&amp;E758&amp;"'!"&amp;$AH$2),OR(I758=INDIRECT("'["&amp;G758&amp;"]"&amp;E758&amp;"'!"&amp;$AG$2))),INDIRECT("'["&amp;G758&amp;"]"&amp;E758&amp;"'!"&amp;$AG$3),0)</f>
        <v>#VALUE!</v>
      </c>
      <c r="V758" s="25" t="str">
        <f t="shared" si="212"/>
        <v/>
      </c>
      <c r="W758" s="36" t="e" cm="1">
        <f t="array" aca="1" ref="W758" ca="1">IF(AND(G758=INDIRECT("'["&amp;G758&amp;"]"&amp;E758&amp;"'!"&amp;$AH$2),OR(V758=INDIRECT("'["&amp;G758&amp;"]"&amp;E758&amp;"'!"&amp;$AI$2))),INDIRECT("'["&amp;G758&amp;"]"&amp;E758&amp;"'!"&amp;$AI$3),0)</f>
        <v>#VALUE!</v>
      </c>
      <c r="AJ758" s="25">
        <v>1</v>
      </c>
      <c r="AK758" s="38">
        <f t="shared" ca="1" si="213"/>
        <v>0</v>
      </c>
      <c r="AL758" s="38">
        <f t="shared" ca="1" si="214"/>
        <v>0</v>
      </c>
      <c r="AM758" s="54" t="str">
        <f t="shared" ca="1" si="215"/>
        <v/>
      </c>
      <c r="AN758" s="25" t="e">
        <f t="shared" ca="1" si="216"/>
        <v>#VALUE!</v>
      </c>
      <c r="AO758" s="25" t="e">
        <f t="shared" ca="1" si="217"/>
        <v>#VALUE!</v>
      </c>
      <c r="AQ758" s="46" t="str">
        <f ca="1">IF(AND(C758&lt;&gt;0, C759=0), SUM($C$2:C758)-SUM($AQ$1:AQ757), "")</f>
        <v/>
      </c>
      <c r="AR758" s="46" t="str">
        <f ca="1">IF(AND(AK758&lt;&gt;0, AK759=0), SUM($AK$2:AK758)-SUM($AR$1:AR757), "")</f>
        <v/>
      </c>
    </row>
    <row r="759" spans="2:44" ht="13.15" customHeight="1">
      <c r="B759" s="68" t="str">
        <f t="shared" si="203"/>
        <v/>
      </c>
      <c r="C759" s="55" cm="1">
        <f t="array" aca="1" ref="C759" ca="1">SUM(IF(ISNUMBER(M759:U759),M759:U759,""))</f>
        <v>0</v>
      </c>
      <c r="D759" s="25" t="str">
        <f t="shared" si="204"/>
        <v/>
      </c>
      <c r="E759" s="25" t="e">
        <f t="shared" si="205"/>
        <v>#VALUE!</v>
      </c>
      <c r="F759" s="25" t="str">
        <f t="shared" si="206"/>
        <v/>
      </c>
      <c r="G759" s="25" t="str">
        <f t="shared" si="207"/>
        <v>.xlsx</v>
      </c>
      <c r="H759" s="29" t="e" cm="1">
        <f t="array" aca="1" ref="H759" ca="1">IF(AND(VALUE(E759)=INDIRECT("'["&amp;G759&amp;"]"&amp;E759&amp;"'!"&amp;$X$2),G759=INDIRECT("'["&amp;G759&amp;"]"&amp;E759&amp;"'!"&amp;$X$3)),INDIRECT("'["&amp;G759&amp;"]"&amp;E759&amp;"'!"&amp;$X$1),0)</f>
        <v>#VALUE!</v>
      </c>
      <c r="I759" s="25" t="str">
        <f t="shared" si="208"/>
        <v/>
      </c>
      <c r="J759" s="32" t="str">
        <f t="shared" si="209"/>
        <v/>
      </c>
      <c r="K759" s="25" t="str">
        <f t="shared" si="210"/>
        <v/>
      </c>
      <c r="L759" s="25" t="str">
        <f t="shared" si="211"/>
        <v/>
      </c>
      <c r="M759" s="33" t="e" cm="1">
        <f t="array" aca="1" ref="M759" ca="1">IF(AND(J759=INDIRECT("'["&amp;G759&amp;"]"&amp;E759&amp;"'!"&amp;$Y$2),G759=INDIRECT("'["&amp;G759&amp;"]"&amp;E759&amp;"'!"&amp;$AH$2)),INDIRECT("'["&amp;G759&amp;"]"&amp;E759&amp;"'!"&amp;$Y$3),0)</f>
        <v>#VALUE!</v>
      </c>
      <c r="N759" s="34" t="e" cm="1">
        <f t="array" aca="1" ref="N759" ca="1">IF(AND(G759=INDIRECT("'["&amp;G759&amp;"]"&amp;E759&amp;"'!"&amp;$AH$2),OR(K759=INDIRECT("'["&amp;G759&amp;"]"&amp;E759&amp;"'!"&amp;$Z$2))),INDIRECT("'["&amp;G759&amp;"]"&amp;E759&amp;"'!"&amp;$Z$3),0)</f>
        <v>#VALUE!</v>
      </c>
      <c r="O759" s="34" t="e" cm="1">
        <f t="array" aca="1" ref="O759" ca="1">IF(AND(G759=INDIRECT("'["&amp;G759&amp;"]"&amp;E759&amp;"'!"&amp;$AH$2),OR(L759=INDIRECT("'["&amp;G759&amp;"]"&amp;E759&amp;"'!"&amp;$AA$2))),INDIRECT("'["&amp;G759&amp;"]"&amp;E759&amp;"'!"&amp;$AA$3),0)</f>
        <v>#VALUE!</v>
      </c>
      <c r="P759" s="34" t="e" cm="1">
        <f t="array" aca="1" ref="P759" ca="1">IF(AND(G759=INDIRECT("'["&amp;G759&amp;"]"&amp;E759&amp;"'!"&amp;$AH$2),OR(VALUE(I759)=INDIRECT("'["&amp;G759&amp;"]"&amp;E759&amp;"'!"&amp;$AB$2))),INDIRECT("'["&amp;G759&amp;"]"&amp;E759&amp;"'!"&amp;$AB$3),0)</f>
        <v>#VALUE!</v>
      </c>
      <c r="Q759" s="34" t="e" cm="1">
        <f t="array" aca="1" ref="Q759" ca="1">IF(AND(G759=INDIRECT("'["&amp;G759&amp;"]"&amp;E759&amp;"'!"&amp;$AH$2),OR(VALUE(I759)=INDIRECT("'["&amp;G759&amp;"]"&amp;E759&amp;"'!"&amp;$AC$2))),INDIRECT("'["&amp;G759&amp;"]"&amp;E759&amp;"'!"&amp;$AC$3),0)</f>
        <v>#VALUE!</v>
      </c>
      <c r="R759" s="34" t="e" cm="1">
        <f t="array" aca="1" ref="R759" ca="1">IF(AND(G759=INDIRECT("'["&amp;G759&amp;"]"&amp;E759&amp;"'!"&amp;$AH$2),OR(I759=INDIRECT("'["&amp;G759&amp;"]"&amp;E759&amp;"'!"&amp;$AD$2))),INDIRECT("'["&amp;G759&amp;"]"&amp;E759&amp;"'!"&amp;$AD$3),0)</f>
        <v>#VALUE!</v>
      </c>
      <c r="S759" s="34" t="e" cm="1">
        <f t="array" aca="1" ref="S759" ca="1">IF(AND(G759=INDIRECT("'["&amp;G759&amp;"]"&amp;E759&amp;"'!"&amp;$AH$2),OR(I759=INDIRECT("'["&amp;G759&amp;"]"&amp;E759&amp;"'!"&amp;$AE$2))),INDIRECT("'["&amp;G759&amp;"]"&amp;E759&amp;"'!"&amp;$AE$3),0)</f>
        <v>#VALUE!</v>
      </c>
      <c r="T759" s="35" t="e" cm="1">
        <f t="array" aca="1" ref="T759" ca="1">IF(AND(G759=INDIRECT("'["&amp;G759&amp;"]"&amp;E759&amp;"'!"&amp;$AH$2),OR(I759=INDIRECT("'["&amp;G759&amp;"]"&amp;E759&amp;"'!"&amp;$AF$2))),INDIRECT("'["&amp;G759&amp;"]"&amp;E759&amp;"'!"&amp;$AF$3),0)</f>
        <v>#VALUE!</v>
      </c>
      <c r="U759" s="34" t="e" cm="1">
        <f t="array" aca="1" ref="U759" ca="1">IF(AND(G759=INDIRECT("'["&amp;G759&amp;"]"&amp;E759&amp;"'!"&amp;$AH$2),OR(I759=INDIRECT("'["&amp;G759&amp;"]"&amp;E759&amp;"'!"&amp;$AG$2))),INDIRECT("'["&amp;G759&amp;"]"&amp;E759&amp;"'!"&amp;$AG$3),0)</f>
        <v>#VALUE!</v>
      </c>
      <c r="V759" s="25" t="str">
        <f t="shared" si="212"/>
        <v/>
      </c>
      <c r="W759" s="36" t="e" cm="1">
        <f t="array" aca="1" ref="W759" ca="1">IF(AND(G759=INDIRECT("'["&amp;G759&amp;"]"&amp;E759&amp;"'!"&amp;$AH$2),OR(V759=INDIRECT("'["&amp;G759&amp;"]"&amp;E759&amp;"'!"&amp;$AI$2))),INDIRECT("'["&amp;G759&amp;"]"&amp;E759&amp;"'!"&amp;$AI$3),0)</f>
        <v>#VALUE!</v>
      </c>
      <c r="AJ759" s="25">
        <v>1</v>
      </c>
      <c r="AK759" s="38">
        <f t="shared" ca="1" si="213"/>
        <v>0</v>
      </c>
      <c r="AL759" s="38">
        <f t="shared" ca="1" si="214"/>
        <v>0</v>
      </c>
      <c r="AM759" s="54" t="str">
        <f t="shared" ca="1" si="215"/>
        <v/>
      </c>
      <c r="AN759" s="25" t="e">
        <f t="shared" ca="1" si="216"/>
        <v>#VALUE!</v>
      </c>
      <c r="AO759" s="25" t="e">
        <f t="shared" ca="1" si="217"/>
        <v>#VALUE!</v>
      </c>
      <c r="AQ759" s="46" t="str">
        <f ca="1">IF(AND(C759&lt;&gt;0, C760=0), SUM($C$2:C759)-SUM($AQ$1:AQ758), "")</f>
        <v/>
      </c>
      <c r="AR759" s="46" t="str">
        <f ca="1">IF(AND(AK759&lt;&gt;0, AK760=0), SUM($AK$2:AK759)-SUM($AR$1:AR758), "")</f>
        <v/>
      </c>
    </row>
    <row r="760" spans="2:44" ht="13.15" customHeight="1">
      <c r="B760" s="68" t="str">
        <f t="shared" si="203"/>
        <v/>
      </c>
      <c r="C760" s="55" cm="1">
        <f t="array" aca="1" ref="C760" ca="1">SUM(IF(ISNUMBER(M760:U760),M760:U760,""))</f>
        <v>0</v>
      </c>
      <c r="D760" s="25" t="str">
        <f t="shared" si="204"/>
        <v/>
      </c>
      <c r="E760" s="25" t="e">
        <f t="shared" si="205"/>
        <v>#VALUE!</v>
      </c>
      <c r="F760" s="25" t="str">
        <f t="shared" si="206"/>
        <v/>
      </c>
      <c r="G760" s="25" t="str">
        <f t="shared" si="207"/>
        <v>.xlsx</v>
      </c>
      <c r="H760" s="29" t="e" cm="1">
        <f t="array" aca="1" ref="H760" ca="1">IF(AND(VALUE(E760)=INDIRECT("'["&amp;G760&amp;"]"&amp;E760&amp;"'!"&amp;$X$2),G760=INDIRECT("'["&amp;G760&amp;"]"&amp;E760&amp;"'!"&amp;$X$3)),INDIRECT("'["&amp;G760&amp;"]"&amp;E760&amp;"'!"&amp;$X$1),0)</f>
        <v>#VALUE!</v>
      </c>
      <c r="I760" s="25" t="str">
        <f t="shared" si="208"/>
        <v/>
      </c>
      <c r="J760" s="32" t="str">
        <f t="shared" si="209"/>
        <v/>
      </c>
      <c r="K760" s="25" t="str">
        <f t="shared" si="210"/>
        <v/>
      </c>
      <c r="L760" s="25" t="str">
        <f t="shared" si="211"/>
        <v/>
      </c>
      <c r="M760" s="33" t="e" cm="1">
        <f t="array" aca="1" ref="M760" ca="1">IF(AND(J760=INDIRECT("'["&amp;G760&amp;"]"&amp;E760&amp;"'!"&amp;$Y$2),G760=INDIRECT("'["&amp;G760&amp;"]"&amp;E760&amp;"'!"&amp;$AH$2)),INDIRECT("'["&amp;G760&amp;"]"&amp;E760&amp;"'!"&amp;$Y$3),0)</f>
        <v>#VALUE!</v>
      </c>
      <c r="N760" s="34" t="e" cm="1">
        <f t="array" aca="1" ref="N760" ca="1">IF(AND(G760=INDIRECT("'["&amp;G760&amp;"]"&amp;E760&amp;"'!"&amp;$AH$2),OR(K760=INDIRECT("'["&amp;G760&amp;"]"&amp;E760&amp;"'!"&amp;$Z$2))),INDIRECT("'["&amp;G760&amp;"]"&amp;E760&amp;"'!"&amp;$Z$3),0)</f>
        <v>#VALUE!</v>
      </c>
      <c r="O760" s="34" t="e" cm="1">
        <f t="array" aca="1" ref="O760" ca="1">IF(AND(G760=INDIRECT("'["&amp;G760&amp;"]"&amp;E760&amp;"'!"&amp;$AH$2),OR(L760=INDIRECT("'["&amp;G760&amp;"]"&amp;E760&amp;"'!"&amp;$AA$2))),INDIRECT("'["&amp;G760&amp;"]"&amp;E760&amp;"'!"&amp;$AA$3),0)</f>
        <v>#VALUE!</v>
      </c>
      <c r="P760" s="34" t="e" cm="1">
        <f t="array" aca="1" ref="P760" ca="1">IF(AND(G760=INDIRECT("'["&amp;G760&amp;"]"&amp;E760&amp;"'!"&amp;$AH$2),OR(VALUE(I760)=INDIRECT("'["&amp;G760&amp;"]"&amp;E760&amp;"'!"&amp;$AB$2))),INDIRECT("'["&amp;G760&amp;"]"&amp;E760&amp;"'!"&amp;$AB$3),0)</f>
        <v>#VALUE!</v>
      </c>
      <c r="Q760" s="34" t="e" cm="1">
        <f t="array" aca="1" ref="Q760" ca="1">IF(AND(G760=INDIRECT("'["&amp;G760&amp;"]"&amp;E760&amp;"'!"&amp;$AH$2),OR(VALUE(I760)=INDIRECT("'["&amp;G760&amp;"]"&amp;E760&amp;"'!"&amp;$AC$2))),INDIRECT("'["&amp;G760&amp;"]"&amp;E760&amp;"'!"&amp;$AC$3),0)</f>
        <v>#VALUE!</v>
      </c>
      <c r="R760" s="34" t="e" cm="1">
        <f t="array" aca="1" ref="R760" ca="1">IF(AND(G760=INDIRECT("'["&amp;G760&amp;"]"&amp;E760&amp;"'!"&amp;$AH$2),OR(I760=INDIRECT("'["&amp;G760&amp;"]"&amp;E760&amp;"'!"&amp;$AD$2))),INDIRECT("'["&amp;G760&amp;"]"&amp;E760&amp;"'!"&amp;$AD$3),0)</f>
        <v>#VALUE!</v>
      </c>
      <c r="S760" s="34" t="e" cm="1">
        <f t="array" aca="1" ref="S760" ca="1">IF(AND(G760=INDIRECT("'["&amp;G760&amp;"]"&amp;E760&amp;"'!"&amp;$AH$2),OR(I760=INDIRECT("'["&amp;G760&amp;"]"&amp;E760&amp;"'!"&amp;$AE$2))),INDIRECT("'["&amp;G760&amp;"]"&amp;E760&amp;"'!"&amp;$AE$3),0)</f>
        <v>#VALUE!</v>
      </c>
      <c r="T760" s="35" t="e" cm="1">
        <f t="array" aca="1" ref="T760" ca="1">IF(AND(G760=INDIRECT("'["&amp;G760&amp;"]"&amp;E760&amp;"'!"&amp;$AH$2),OR(I760=INDIRECT("'["&amp;G760&amp;"]"&amp;E760&amp;"'!"&amp;$AF$2))),INDIRECT("'["&amp;G760&amp;"]"&amp;E760&amp;"'!"&amp;$AF$3),0)</f>
        <v>#VALUE!</v>
      </c>
      <c r="U760" s="34" t="e" cm="1">
        <f t="array" aca="1" ref="U760" ca="1">IF(AND(G760=INDIRECT("'["&amp;G760&amp;"]"&amp;E760&amp;"'!"&amp;$AH$2),OR(I760=INDIRECT("'["&amp;G760&amp;"]"&amp;E760&amp;"'!"&amp;$AG$2))),INDIRECT("'["&amp;G760&amp;"]"&amp;E760&amp;"'!"&amp;$AG$3),0)</f>
        <v>#VALUE!</v>
      </c>
      <c r="V760" s="25" t="str">
        <f t="shared" si="212"/>
        <v/>
      </c>
      <c r="W760" s="36" t="e" cm="1">
        <f t="array" aca="1" ref="W760" ca="1">IF(AND(G760=INDIRECT("'["&amp;G760&amp;"]"&amp;E760&amp;"'!"&amp;$AH$2),OR(V760=INDIRECT("'["&amp;G760&amp;"]"&amp;E760&amp;"'!"&amp;$AI$2))),INDIRECT("'["&amp;G760&amp;"]"&amp;E760&amp;"'!"&amp;$AI$3),0)</f>
        <v>#VALUE!</v>
      </c>
      <c r="AJ760" s="25">
        <v>1</v>
      </c>
      <c r="AK760" s="38">
        <f t="shared" ca="1" si="213"/>
        <v>0</v>
      </c>
      <c r="AL760" s="38">
        <f t="shared" ca="1" si="214"/>
        <v>0</v>
      </c>
      <c r="AM760" s="54" t="str">
        <f t="shared" ca="1" si="215"/>
        <v/>
      </c>
      <c r="AN760" s="25" t="e">
        <f t="shared" ca="1" si="216"/>
        <v>#VALUE!</v>
      </c>
      <c r="AO760" s="25" t="e">
        <f t="shared" ca="1" si="217"/>
        <v>#VALUE!</v>
      </c>
      <c r="AQ760" s="46" t="str">
        <f ca="1">IF(AND(C760&lt;&gt;0, C761=0), SUM($C$2:C760)-SUM($AQ$1:AQ759), "")</f>
        <v/>
      </c>
      <c r="AR760" s="46" t="str">
        <f ca="1">IF(AND(AK760&lt;&gt;0, AK761=0), SUM($AK$2:AK760)-SUM($AR$1:AR759), "")</f>
        <v/>
      </c>
    </row>
    <row r="761" spans="2:44" ht="13.15" customHeight="1">
      <c r="B761" s="68" t="str">
        <f t="shared" si="203"/>
        <v/>
      </c>
      <c r="C761" s="55" cm="1">
        <f t="array" aca="1" ref="C761" ca="1">SUM(IF(ISNUMBER(M761:U761),M761:U761,""))</f>
        <v>0</v>
      </c>
      <c r="D761" s="25" t="str">
        <f t="shared" si="204"/>
        <v/>
      </c>
      <c r="E761" s="25" t="e">
        <f t="shared" si="205"/>
        <v>#VALUE!</v>
      </c>
      <c r="F761" s="25" t="str">
        <f t="shared" si="206"/>
        <v/>
      </c>
      <c r="G761" s="25" t="str">
        <f t="shared" si="207"/>
        <v>.xlsx</v>
      </c>
      <c r="H761" s="29" t="e" cm="1">
        <f t="array" aca="1" ref="H761" ca="1">IF(AND(VALUE(E761)=INDIRECT("'["&amp;G761&amp;"]"&amp;E761&amp;"'!"&amp;$X$2),G761=INDIRECT("'["&amp;G761&amp;"]"&amp;E761&amp;"'!"&amp;$X$3)),INDIRECT("'["&amp;G761&amp;"]"&amp;E761&amp;"'!"&amp;$X$1),0)</f>
        <v>#VALUE!</v>
      </c>
      <c r="I761" s="25" t="str">
        <f t="shared" si="208"/>
        <v/>
      </c>
      <c r="J761" s="32" t="str">
        <f t="shared" si="209"/>
        <v/>
      </c>
      <c r="K761" s="25" t="str">
        <f t="shared" si="210"/>
        <v/>
      </c>
      <c r="L761" s="25" t="str">
        <f t="shared" si="211"/>
        <v/>
      </c>
      <c r="M761" s="33" t="e" cm="1">
        <f t="array" aca="1" ref="M761" ca="1">IF(AND(J761=INDIRECT("'["&amp;G761&amp;"]"&amp;E761&amp;"'!"&amp;$Y$2),G761=INDIRECT("'["&amp;G761&amp;"]"&amp;E761&amp;"'!"&amp;$AH$2)),INDIRECT("'["&amp;G761&amp;"]"&amp;E761&amp;"'!"&amp;$Y$3),0)</f>
        <v>#VALUE!</v>
      </c>
      <c r="N761" s="34" t="e" cm="1">
        <f t="array" aca="1" ref="N761" ca="1">IF(AND(G761=INDIRECT("'["&amp;G761&amp;"]"&amp;E761&amp;"'!"&amp;$AH$2),OR(K761=INDIRECT("'["&amp;G761&amp;"]"&amp;E761&amp;"'!"&amp;$Z$2))),INDIRECT("'["&amp;G761&amp;"]"&amp;E761&amp;"'!"&amp;$Z$3),0)</f>
        <v>#VALUE!</v>
      </c>
      <c r="O761" s="34" t="e" cm="1">
        <f t="array" aca="1" ref="O761" ca="1">IF(AND(G761=INDIRECT("'["&amp;G761&amp;"]"&amp;E761&amp;"'!"&amp;$AH$2),OR(L761=INDIRECT("'["&amp;G761&amp;"]"&amp;E761&amp;"'!"&amp;$AA$2))),INDIRECT("'["&amp;G761&amp;"]"&amp;E761&amp;"'!"&amp;$AA$3),0)</f>
        <v>#VALUE!</v>
      </c>
      <c r="P761" s="34" t="e" cm="1">
        <f t="array" aca="1" ref="P761" ca="1">IF(AND(G761=INDIRECT("'["&amp;G761&amp;"]"&amp;E761&amp;"'!"&amp;$AH$2),OR(VALUE(I761)=INDIRECT("'["&amp;G761&amp;"]"&amp;E761&amp;"'!"&amp;$AB$2))),INDIRECT("'["&amp;G761&amp;"]"&amp;E761&amp;"'!"&amp;$AB$3),0)</f>
        <v>#VALUE!</v>
      </c>
      <c r="Q761" s="34" t="e" cm="1">
        <f t="array" aca="1" ref="Q761" ca="1">IF(AND(G761=INDIRECT("'["&amp;G761&amp;"]"&amp;E761&amp;"'!"&amp;$AH$2),OR(VALUE(I761)=INDIRECT("'["&amp;G761&amp;"]"&amp;E761&amp;"'!"&amp;$AC$2))),INDIRECT("'["&amp;G761&amp;"]"&amp;E761&amp;"'!"&amp;$AC$3),0)</f>
        <v>#VALUE!</v>
      </c>
      <c r="R761" s="34" t="e" cm="1">
        <f t="array" aca="1" ref="R761" ca="1">IF(AND(G761=INDIRECT("'["&amp;G761&amp;"]"&amp;E761&amp;"'!"&amp;$AH$2),OR(I761=INDIRECT("'["&amp;G761&amp;"]"&amp;E761&amp;"'!"&amp;$AD$2))),INDIRECT("'["&amp;G761&amp;"]"&amp;E761&amp;"'!"&amp;$AD$3),0)</f>
        <v>#VALUE!</v>
      </c>
      <c r="S761" s="34" t="e" cm="1">
        <f t="array" aca="1" ref="S761" ca="1">IF(AND(G761=INDIRECT("'["&amp;G761&amp;"]"&amp;E761&amp;"'!"&amp;$AH$2),OR(I761=INDIRECT("'["&amp;G761&amp;"]"&amp;E761&amp;"'!"&amp;$AE$2))),INDIRECT("'["&amp;G761&amp;"]"&amp;E761&amp;"'!"&amp;$AE$3),0)</f>
        <v>#VALUE!</v>
      </c>
      <c r="T761" s="35" t="e" cm="1">
        <f t="array" aca="1" ref="T761" ca="1">IF(AND(G761=INDIRECT("'["&amp;G761&amp;"]"&amp;E761&amp;"'!"&amp;$AH$2),OR(I761=INDIRECT("'["&amp;G761&amp;"]"&amp;E761&amp;"'!"&amp;$AF$2))),INDIRECT("'["&amp;G761&amp;"]"&amp;E761&amp;"'!"&amp;$AF$3),0)</f>
        <v>#VALUE!</v>
      </c>
      <c r="U761" s="34" t="e" cm="1">
        <f t="array" aca="1" ref="U761" ca="1">IF(AND(G761=INDIRECT("'["&amp;G761&amp;"]"&amp;E761&amp;"'!"&amp;$AH$2),OR(I761=INDIRECT("'["&amp;G761&amp;"]"&amp;E761&amp;"'!"&amp;$AG$2))),INDIRECT("'["&amp;G761&amp;"]"&amp;E761&amp;"'!"&amp;$AG$3),0)</f>
        <v>#VALUE!</v>
      </c>
      <c r="V761" s="25" t="str">
        <f t="shared" si="212"/>
        <v/>
      </c>
      <c r="W761" s="36" t="e" cm="1">
        <f t="array" aca="1" ref="W761" ca="1">IF(AND(G761=INDIRECT("'["&amp;G761&amp;"]"&amp;E761&amp;"'!"&amp;$AH$2),OR(V761=INDIRECT("'["&amp;G761&amp;"]"&amp;E761&amp;"'!"&amp;$AI$2))),INDIRECT("'["&amp;G761&amp;"]"&amp;E761&amp;"'!"&amp;$AI$3),0)</f>
        <v>#VALUE!</v>
      </c>
      <c r="AJ761" s="25">
        <v>1</v>
      </c>
      <c r="AK761" s="38">
        <f t="shared" ca="1" si="213"/>
        <v>0</v>
      </c>
      <c r="AL761" s="38">
        <f t="shared" ca="1" si="214"/>
        <v>0</v>
      </c>
      <c r="AM761" s="54" t="str">
        <f t="shared" ca="1" si="215"/>
        <v/>
      </c>
      <c r="AN761" s="25" t="e">
        <f t="shared" ca="1" si="216"/>
        <v>#VALUE!</v>
      </c>
      <c r="AO761" s="25" t="e">
        <f t="shared" ca="1" si="217"/>
        <v>#VALUE!</v>
      </c>
      <c r="AQ761" s="46" t="str">
        <f ca="1">IF(AND(C761&lt;&gt;0, C762=0), SUM($C$2:C761)-SUM($AQ$1:AQ760), "")</f>
        <v/>
      </c>
      <c r="AR761" s="46" t="str">
        <f ca="1">IF(AND(AK761&lt;&gt;0, AK762=0), SUM($AK$2:AK761)-SUM($AR$1:AR760), "")</f>
        <v/>
      </c>
    </row>
    <row r="762" spans="2:44" ht="13.15" customHeight="1">
      <c r="B762" s="68" t="str">
        <f t="shared" si="203"/>
        <v/>
      </c>
      <c r="C762" s="55" cm="1">
        <f t="array" aca="1" ref="C762" ca="1">SUM(IF(ISNUMBER(M762:U762),M762:U762,""))</f>
        <v>0</v>
      </c>
      <c r="D762" s="25" t="str">
        <f t="shared" si="204"/>
        <v/>
      </c>
      <c r="E762" s="25" t="e">
        <f t="shared" si="205"/>
        <v>#VALUE!</v>
      </c>
      <c r="F762" s="25" t="str">
        <f t="shared" si="206"/>
        <v/>
      </c>
      <c r="G762" s="25" t="str">
        <f t="shared" si="207"/>
        <v>.xlsx</v>
      </c>
      <c r="H762" s="29" t="e" cm="1">
        <f t="array" aca="1" ref="H762" ca="1">IF(AND(VALUE(E762)=INDIRECT("'["&amp;G762&amp;"]"&amp;E762&amp;"'!"&amp;$X$2),G762=INDIRECT("'["&amp;G762&amp;"]"&amp;E762&amp;"'!"&amp;$X$3)),INDIRECT("'["&amp;G762&amp;"]"&amp;E762&amp;"'!"&amp;$X$1),0)</f>
        <v>#VALUE!</v>
      </c>
      <c r="I762" s="25" t="str">
        <f t="shared" si="208"/>
        <v/>
      </c>
      <c r="J762" s="32" t="str">
        <f t="shared" si="209"/>
        <v/>
      </c>
      <c r="K762" s="25" t="str">
        <f t="shared" si="210"/>
        <v/>
      </c>
      <c r="L762" s="25" t="str">
        <f t="shared" si="211"/>
        <v/>
      </c>
      <c r="M762" s="33" t="e" cm="1">
        <f t="array" aca="1" ref="M762" ca="1">IF(AND(J762=INDIRECT("'["&amp;G762&amp;"]"&amp;E762&amp;"'!"&amp;$Y$2),G762=INDIRECT("'["&amp;G762&amp;"]"&amp;E762&amp;"'!"&amp;$AH$2)),INDIRECT("'["&amp;G762&amp;"]"&amp;E762&amp;"'!"&amp;$Y$3),0)</f>
        <v>#VALUE!</v>
      </c>
      <c r="N762" s="34" t="e" cm="1">
        <f t="array" aca="1" ref="N762" ca="1">IF(AND(G762=INDIRECT("'["&amp;G762&amp;"]"&amp;E762&amp;"'!"&amp;$AH$2),OR(K762=INDIRECT("'["&amp;G762&amp;"]"&amp;E762&amp;"'!"&amp;$Z$2))),INDIRECT("'["&amp;G762&amp;"]"&amp;E762&amp;"'!"&amp;$Z$3),0)</f>
        <v>#VALUE!</v>
      </c>
      <c r="O762" s="34" t="e" cm="1">
        <f t="array" aca="1" ref="O762" ca="1">IF(AND(G762=INDIRECT("'["&amp;G762&amp;"]"&amp;E762&amp;"'!"&amp;$AH$2),OR(L762=INDIRECT("'["&amp;G762&amp;"]"&amp;E762&amp;"'!"&amp;$AA$2))),INDIRECT("'["&amp;G762&amp;"]"&amp;E762&amp;"'!"&amp;$AA$3),0)</f>
        <v>#VALUE!</v>
      </c>
      <c r="P762" s="34" t="e" cm="1">
        <f t="array" aca="1" ref="P762" ca="1">IF(AND(G762=INDIRECT("'["&amp;G762&amp;"]"&amp;E762&amp;"'!"&amp;$AH$2),OR(VALUE(I762)=INDIRECT("'["&amp;G762&amp;"]"&amp;E762&amp;"'!"&amp;$AB$2))),INDIRECT("'["&amp;G762&amp;"]"&amp;E762&amp;"'!"&amp;$AB$3),0)</f>
        <v>#VALUE!</v>
      </c>
      <c r="Q762" s="34" t="e" cm="1">
        <f t="array" aca="1" ref="Q762" ca="1">IF(AND(G762=INDIRECT("'["&amp;G762&amp;"]"&amp;E762&amp;"'!"&amp;$AH$2),OR(VALUE(I762)=INDIRECT("'["&amp;G762&amp;"]"&amp;E762&amp;"'!"&amp;$AC$2))),INDIRECT("'["&amp;G762&amp;"]"&amp;E762&amp;"'!"&amp;$AC$3),0)</f>
        <v>#VALUE!</v>
      </c>
      <c r="R762" s="34" t="e" cm="1">
        <f t="array" aca="1" ref="R762" ca="1">IF(AND(G762=INDIRECT("'["&amp;G762&amp;"]"&amp;E762&amp;"'!"&amp;$AH$2),OR(I762=INDIRECT("'["&amp;G762&amp;"]"&amp;E762&amp;"'!"&amp;$AD$2))),INDIRECT("'["&amp;G762&amp;"]"&amp;E762&amp;"'!"&amp;$AD$3),0)</f>
        <v>#VALUE!</v>
      </c>
      <c r="S762" s="34" t="e" cm="1">
        <f t="array" aca="1" ref="S762" ca="1">IF(AND(G762=INDIRECT("'["&amp;G762&amp;"]"&amp;E762&amp;"'!"&amp;$AH$2),OR(I762=INDIRECT("'["&amp;G762&amp;"]"&amp;E762&amp;"'!"&amp;$AE$2))),INDIRECT("'["&amp;G762&amp;"]"&amp;E762&amp;"'!"&amp;$AE$3),0)</f>
        <v>#VALUE!</v>
      </c>
      <c r="T762" s="35" t="e" cm="1">
        <f t="array" aca="1" ref="T762" ca="1">IF(AND(G762=INDIRECT("'["&amp;G762&amp;"]"&amp;E762&amp;"'!"&amp;$AH$2),OR(I762=INDIRECT("'["&amp;G762&amp;"]"&amp;E762&amp;"'!"&amp;$AF$2))),INDIRECT("'["&amp;G762&amp;"]"&amp;E762&amp;"'!"&amp;$AF$3),0)</f>
        <v>#VALUE!</v>
      </c>
      <c r="U762" s="34" t="e" cm="1">
        <f t="array" aca="1" ref="U762" ca="1">IF(AND(G762=INDIRECT("'["&amp;G762&amp;"]"&amp;E762&amp;"'!"&amp;$AH$2),OR(I762=INDIRECT("'["&amp;G762&amp;"]"&amp;E762&amp;"'!"&amp;$AG$2))),INDIRECT("'["&amp;G762&amp;"]"&amp;E762&amp;"'!"&amp;$AG$3),0)</f>
        <v>#VALUE!</v>
      </c>
      <c r="V762" s="25" t="str">
        <f t="shared" si="212"/>
        <v/>
      </c>
      <c r="W762" s="36" t="e" cm="1">
        <f t="array" aca="1" ref="W762" ca="1">IF(AND(G762=INDIRECT("'["&amp;G762&amp;"]"&amp;E762&amp;"'!"&amp;$AH$2),OR(V762=INDIRECT("'["&amp;G762&amp;"]"&amp;E762&amp;"'!"&amp;$AI$2))),INDIRECT("'["&amp;G762&amp;"]"&amp;E762&amp;"'!"&amp;$AI$3),0)</f>
        <v>#VALUE!</v>
      </c>
      <c r="AJ762" s="25">
        <v>1</v>
      </c>
      <c r="AK762" s="38">
        <f t="shared" ca="1" si="213"/>
        <v>0</v>
      </c>
      <c r="AL762" s="38">
        <f t="shared" ca="1" si="214"/>
        <v>0</v>
      </c>
      <c r="AM762" s="54" t="str">
        <f t="shared" ca="1" si="215"/>
        <v/>
      </c>
      <c r="AN762" s="25" t="e">
        <f t="shared" ca="1" si="216"/>
        <v>#VALUE!</v>
      </c>
      <c r="AO762" s="25" t="e">
        <f t="shared" ca="1" si="217"/>
        <v>#VALUE!</v>
      </c>
      <c r="AQ762" s="46" t="str">
        <f ca="1">IF(AND(C762&lt;&gt;0, C763=0), SUM($C$2:C762)-SUM($AQ$1:AQ761), "")</f>
        <v/>
      </c>
      <c r="AR762" s="46" t="str">
        <f ca="1">IF(AND(AK762&lt;&gt;0, AK763=0), SUM($AK$2:AK762)-SUM($AR$1:AR761), "")</f>
        <v/>
      </c>
    </row>
    <row r="763" spans="2:44" ht="13.15" customHeight="1">
      <c r="B763" s="68" t="str">
        <f t="shared" si="203"/>
        <v/>
      </c>
      <c r="C763" s="55" cm="1">
        <f t="array" aca="1" ref="C763" ca="1">SUM(IF(ISNUMBER(M763:U763),M763:U763,""))</f>
        <v>0</v>
      </c>
      <c r="D763" s="25" t="str">
        <f t="shared" si="204"/>
        <v/>
      </c>
      <c r="E763" s="25" t="e">
        <f t="shared" si="205"/>
        <v>#VALUE!</v>
      </c>
      <c r="F763" s="25" t="str">
        <f t="shared" si="206"/>
        <v/>
      </c>
      <c r="G763" s="25" t="str">
        <f t="shared" si="207"/>
        <v>.xlsx</v>
      </c>
      <c r="H763" s="29" t="e" cm="1">
        <f t="array" aca="1" ref="H763" ca="1">IF(AND(VALUE(E763)=INDIRECT("'["&amp;G763&amp;"]"&amp;E763&amp;"'!"&amp;$X$2),G763=INDIRECT("'["&amp;G763&amp;"]"&amp;E763&amp;"'!"&amp;$X$3)),INDIRECT("'["&amp;G763&amp;"]"&amp;E763&amp;"'!"&amp;$X$1),0)</f>
        <v>#VALUE!</v>
      </c>
      <c r="I763" s="25" t="str">
        <f t="shared" si="208"/>
        <v/>
      </c>
      <c r="J763" s="32" t="str">
        <f t="shared" si="209"/>
        <v/>
      </c>
      <c r="K763" s="25" t="str">
        <f t="shared" si="210"/>
        <v/>
      </c>
      <c r="L763" s="25" t="str">
        <f t="shared" si="211"/>
        <v/>
      </c>
      <c r="M763" s="33" t="e" cm="1">
        <f t="array" aca="1" ref="M763" ca="1">IF(AND(J763=INDIRECT("'["&amp;G763&amp;"]"&amp;E763&amp;"'!"&amp;$Y$2),G763=INDIRECT("'["&amp;G763&amp;"]"&amp;E763&amp;"'!"&amp;$AH$2)),INDIRECT("'["&amp;G763&amp;"]"&amp;E763&amp;"'!"&amp;$Y$3),0)</f>
        <v>#VALUE!</v>
      </c>
      <c r="N763" s="34" t="e" cm="1">
        <f t="array" aca="1" ref="N763" ca="1">IF(AND(G763=INDIRECT("'["&amp;G763&amp;"]"&amp;E763&amp;"'!"&amp;$AH$2),OR(K763=INDIRECT("'["&amp;G763&amp;"]"&amp;E763&amp;"'!"&amp;$Z$2))),INDIRECT("'["&amp;G763&amp;"]"&amp;E763&amp;"'!"&amp;$Z$3),0)</f>
        <v>#VALUE!</v>
      </c>
      <c r="O763" s="34" t="e" cm="1">
        <f t="array" aca="1" ref="O763" ca="1">IF(AND(G763=INDIRECT("'["&amp;G763&amp;"]"&amp;E763&amp;"'!"&amp;$AH$2),OR(L763=INDIRECT("'["&amp;G763&amp;"]"&amp;E763&amp;"'!"&amp;$AA$2))),INDIRECT("'["&amp;G763&amp;"]"&amp;E763&amp;"'!"&amp;$AA$3),0)</f>
        <v>#VALUE!</v>
      </c>
      <c r="P763" s="34" t="e" cm="1">
        <f t="array" aca="1" ref="P763" ca="1">IF(AND(G763=INDIRECT("'["&amp;G763&amp;"]"&amp;E763&amp;"'!"&amp;$AH$2),OR(VALUE(I763)=INDIRECT("'["&amp;G763&amp;"]"&amp;E763&amp;"'!"&amp;$AB$2))),INDIRECT("'["&amp;G763&amp;"]"&amp;E763&amp;"'!"&amp;$AB$3),0)</f>
        <v>#VALUE!</v>
      </c>
      <c r="Q763" s="34" t="e" cm="1">
        <f t="array" aca="1" ref="Q763" ca="1">IF(AND(G763=INDIRECT("'["&amp;G763&amp;"]"&amp;E763&amp;"'!"&amp;$AH$2),OR(VALUE(I763)=INDIRECT("'["&amp;G763&amp;"]"&amp;E763&amp;"'!"&amp;$AC$2))),INDIRECT("'["&amp;G763&amp;"]"&amp;E763&amp;"'!"&amp;$AC$3),0)</f>
        <v>#VALUE!</v>
      </c>
      <c r="R763" s="34" t="e" cm="1">
        <f t="array" aca="1" ref="R763" ca="1">IF(AND(G763=INDIRECT("'["&amp;G763&amp;"]"&amp;E763&amp;"'!"&amp;$AH$2),OR(I763=INDIRECT("'["&amp;G763&amp;"]"&amp;E763&amp;"'!"&amp;$AD$2))),INDIRECT("'["&amp;G763&amp;"]"&amp;E763&amp;"'!"&amp;$AD$3),0)</f>
        <v>#VALUE!</v>
      </c>
      <c r="S763" s="34" t="e" cm="1">
        <f t="array" aca="1" ref="S763" ca="1">IF(AND(G763=INDIRECT("'["&amp;G763&amp;"]"&amp;E763&amp;"'!"&amp;$AH$2),OR(I763=INDIRECT("'["&amp;G763&amp;"]"&amp;E763&amp;"'!"&amp;$AE$2))),INDIRECT("'["&amp;G763&amp;"]"&amp;E763&amp;"'!"&amp;$AE$3),0)</f>
        <v>#VALUE!</v>
      </c>
      <c r="T763" s="35" t="e" cm="1">
        <f t="array" aca="1" ref="T763" ca="1">IF(AND(G763=INDIRECT("'["&amp;G763&amp;"]"&amp;E763&amp;"'!"&amp;$AH$2),OR(I763=INDIRECT("'["&amp;G763&amp;"]"&amp;E763&amp;"'!"&amp;$AF$2))),INDIRECT("'["&amp;G763&amp;"]"&amp;E763&amp;"'!"&amp;$AF$3),0)</f>
        <v>#VALUE!</v>
      </c>
      <c r="U763" s="34" t="e" cm="1">
        <f t="array" aca="1" ref="U763" ca="1">IF(AND(G763=INDIRECT("'["&amp;G763&amp;"]"&amp;E763&amp;"'!"&amp;$AH$2),OR(I763=INDIRECT("'["&amp;G763&amp;"]"&amp;E763&amp;"'!"&amp;$AG$2))),INDIRECT("'["&amp;G763&amp;"]"&amp;E763&amp;"'!"&amp;$AG$3),0)</f>
        <v>#VALUE!</v>
      </c>
      <c r="V763" s="25" t="str">
        <f t="shared" si="212"/>
        <v/>
      </c>
      <c r="W763" s="36" t="e" cm="1">
        <f t="array" aca="1" ref="W763" ca="1">IF(AND(G763=INDIRECT("'["&amp;G763&amp;"]"&amp;E763&amp;"'!"&amp;$AH$2),OR(V763=INDIRECT("'["&amp;G763&amp;"]"&amp;E763&amp;"'!"&amp;$AI$2))),INDIRECT("'["&amp;G763&amp;"]"&amp;E763&amp;"'!"&amp;$AI$3),0)</f>
        <v>#VALUE!</v>
      </c>
      <c r="AJ763" s="25">
        <v>1</v>
      </c>
      <c r="AK763" s="38">
        <f t="shared" ca="1" si="213"/>
        <v>0</v>
      </c>
      <c r="AL763" s="38">
        <f t="shared" ca="1" si="214"/>
        <v>0</v>
      </c>
      <c r="AM763" s="54" t="str">
        <f t="shared" ca="1" si="215"/>
        <v/>
      </c>
      <c r="AN763" s="25" t="e">
        <f t="shared" ca="1" si="216"/>
        <v>#VALUE!</v>
      </c>
      <c r="AO763" s="25" t="e">
        <f t="shared" ca="1" si="217"/>
        <v>#VALUE!</v>
      </c>
      <c r="AQ763" s="46" t="str">
        <f ca="1">IF(AND(C763&lt;&gt;0, C764=0), SUM($C$2:C763)-SUM($AQ$1:AQ762), "")</f>
        <v/>
      </c>
      <c r="AR763" s="46" t="str">
        <f ca="1">IF(AND(AK763&lt;&gt;0, AK764=0), SUM($AK$2:AK763)-SUM($AR$1:AR762), "")</f>
        <v/>
      </c>
    </row>
    <row r="764" spans="2:44" ht="13.15" customHeight="1">
      <c r="B764" s="68" t="str">
        <f t="shared" si="203"/>
        <v/>
      </c>
      <c r="C764" s="55" cm="1">
        <f t="array" aca="1" ref="C764" ca="1">SUM(IF(ISNUMBER(M764:U764),M764:U764,""))</f>
        <v>0</v>
      </c>
      <c r="D764" s="25" t="str">
        <f t="shared" si="204"/>
        <v/>
      </c>
      <c r="E764" s="25" t="e">
        <f t="shared" si="205"/>
        <v>#VALUE!</v>
      </c>
      <c r="F764" s="25" t="str">
        <f t="shared" si="206"/>
        <v/>
      </c>
      <c r="G764" s="25" t="str">
        <f t="shared" si="207"/>
        <v>.xlsx</v>
      </c>
      <c r="H764" s="29" t="e" cm="1">
        <f t="array" aca="1" ref="H764" ca="1">IF(AND(VALUE(E764)=INDIRECT("'["&amp;G764&amp;"]"&amp;E764&amp;"'!"&amp;$X$2),G764=INDIRECT("'["&amp;G764&amp;"]"&amp;E764&amp;"'!"&amp;$X$3)),INDIRECT("'["&amp;G764&amp;"]"&amp;E764&amp;"'!"&amp;$X$1),0)</f>
        <v>#VALUE!</v>
      </c>
      <c r="I764" s="25" t="str">
        <f t="shared" si="208"/>
        <v/>
      </c>
      <c r="J764" s="32" t="str">
        <f t="shared" si="209"/>
        <v/>
      </c>
      <c r="K764" s="25" t="str">
        <f t="shared" si="210"/>
        <v/>
      </c>
      <c r="L764" s="25" t="str">
        <f t="shared" si="211"/>
        <v/>
      </c>
      <c r="M764" s="33" t="e" cm="1">
        <f t="array" aca="1" ref="M764" ca="1">IF(AND(J764=INDIRECT("'["&amp;G764&amp;"]"&amp;E764&amp;"'!"&amp;$Y$2),G764=INDIRECT("'["&amp;G764&amp;"]"&amp;E764&amp;"'!"&amp;$AH$2)),INDIRECT("'["&amp;G764&amp;"]"&amp;E764&amp;"'!"&amp;$Y$3),0)</f>
        <v>#VALUE!</v>
      </c>
      <c r="N764" s="34" t="e" cm="1">
        <f t="array" aca="1" ref="N764" ca="1">IF(AND(G764=INDIRECT("'["&amp;G764&amp;"]"&amp;E764&amp;"'!"&amp;$AH$2),OR(K764=INDIRECT("'["&amp;G764&amp;"]"&amp;E764&amp;"'!"&amp;$Z$2))),INDIRECT("'["&amp;G764&amp;"]"&amp;E764&amp;"'!"&amp;$Z$3),0)</f>
        <v>#VALUE!</v>
      </c>
      <c r="O764" s="34" t="e" cm="1">
        <f t="array" aca="1" ref="O764" ca="1">IF(AND(G764=INDIRECT("'["&amp;G764&amp;"]"&amp;E764&amp;"'!"&amp;$AH$2),OR(L764=INDIRECT("'["&amp;G764&amp;"]"&amp;E764&amp;"'!"&amp;$AA$2))),INDIRECT("'["&amp;G764&amp;"]"&amp;E764&amp;"'!"&amp;$AA$3),0)</f>
        <v>#VALUE!</v>
      </c>
      <c r="P764" s="34" t="e" cm="1">
        <f t="array" aca="1" ref="P764" ca="1">IF(AND(G764=INDIRECT("'["&amp;G764&amp;"]"&amp;E764&amp;"'!"&amp;$AH$2),OR(VALUE(I764)=INDIRECT("'["&amp;G764&amp;"]"&amp;E764&amp;"'!"&amp;$AB$2))),INDIRECT("'["&amp;G764&amp;"]"&amp;E764&amp;"'!"&amp;$AB$3),0)</f>
        <v>#VALUE!</v>
      </c>
      <c r="Q764" s="34" t="e" cm="1">
        <f t="array" aca="1" ref="Q764" ca="1">IF(AND(G764=INDIRECT("'["&amp;G764&amp;"]"&amp;E764&amp;"'!"&amp;$AH$2),OR(VALUE(I764)=INDIRECT("'["&amp;G764&amp;"]"&amp;E764&amp;"'!"&amp;$AC$2))),INDIRECT("'["&amp;G764&amp;"]"&amp;E764&amp;"'!"&amp;$AC$3),0)</f>
        <v>#VALUE!</v>
      </c>
      <c r="R764" s="34" t="e" cm="1">
        <f t="array" aca="1" ref="R764" ca="1">IF(AND(G764=INDIRECT("'["&amp;G764&amp;"]"&amp;E764&amp;"'!"&amp;$AH$2),OR(I764=INDIRECT("'["&amp;G764&amp;"]"&amp;E764&amp;"'!"&amp;$AD$2))),INDIRECT("'["&amp;G764&amp;"]"&amp;E764&amp;"'!"&amp;$AD$3),0)</f>
        <v>#VALUE!</v>
      </c>
      <c r="S764" s="34" t="e" cm="1">
        <f t="array" aca="1" ref="S764" ca="1">IF(AND(G764=INDIRECT("'["&amp;G764&amp;"]"&amp;E764&amp;"'!"&amp;$AH$2),OR(I764=INDIRECT("'["&amp;G764&amp;"]"&amp;E764&amp;"'!"&amp;$AE$2))),INDIRECT("'["&amp;G764&amp;"]"&amp;E764&amp;"'!"&amp;$AE$3),0)</f>
        <v>#VALUE!</v>
      </c>
      <c r="T764" s="35" t="e" cm="1">
        <f t="array" aca="1" ref="T764" ca="1">IF(AND(G764=INDIRECT("'["&amp;G764&amp;"]"&amp;E764&amp;"'!"&amp;$AH$2),OR(I764=INDIRECT("'["&amp;G764&amp;"]"&amp;E764&amp;"'!"&amp;$AF$2))),INDIRECT("'["&amp;G764&amp;"]"&amp;E764&amp;"'!"&amp;$AF$3),0)</f>
        <v>#VALUE!</v>
      </c>
      <c r="U764" s="34" t="e" cm="1">
        <f t="array" aca="1" ref="U764" ca="1">IF(AND(G764=INDIRECT("'["&amp;G764&amp;"]"&amp;E764&amp;"'!"&amp;$AH$2),OR(I764=INDIRECT("'["&amp;G764&amp;"]"&amp;E764&amp;"'!"&amp;$AG$2))),INDIRECT("'["&amp;G764&amp;"]"&amp;E764&amp;"'!"&amp;$AG$3),0)</f>
        <v>#VALUE!</v>
      </c>
      <c r="V764" s="25" t="str">
        <f t="shared" si="212"/>
        <v/>
      </c>
      <c r="W764" s="36" t="e" cm="1">
        <f t="array" aca="1" ref="W764" ca="1">IF(AND(G764=INDIRECT("'["&amp;G764&amp;"]"&amp;E764&amp;"'!"&amp;$AH$2),OR(V764=INDIRECT("'["&amp;G764&amp;"]"&amp;E764&amp;"'!"&amp;$AI$2))),INDIRECT("'["&amp;G764&amp;"]"&amp;E764&amp;"'!"&amp;$AI$3),0)</f>
        <v>#VALUE!</v>
      </c>
      <c r="AJ764" s="25">
        <v>1</v>
      </c>
      <c r="AK764" s="38">
        <f t="shared" ca="1" si="213"/>
        <v>0</v>
      </c>
      <c r="AL764" s="38">
        <f t="shared" ca="1" si="214"/>
        <v>0</v>
      </c>
      <c r="AM764" s="54" t="str">
        <f t="shared" ca="1" si="215"/>
        <v/>
      </c>
      <c r="AN764" s="25" t="e">
        <f t="shared" ca="1" si="216"/>
        <v>#VALUE!</v>
      </c>
      <c r="AO764" s="25" t="e">
        <f t="shared" ca="1" si="217"/>
        <v>#VALUE!</v>
      </c>
      <c r="AQ764" s="46" t="str">
        <f ca="1">IF(AND(C764&lt;&gt;0, C765=0), SUM($C$2:C764)-SUM($AQ$1:AQ763), "")</f>
        <v/>
      </c>
      <c r="AR764" s="46" t="str">
        <f ca="1">IF(AND(AK764&lt;&gt;0, AK765=0), SUM($AK$2:AK764)-SUM($AR$1:AR763), "")</f>
        <v/>
      </c>
    </row>
    <row r="765" spans="2:44" ht="13.15" customHeight="1">
      <c r="B765" s="68" t="str">
        <f t="shared" si="203"/>
        <v/>
      </c>
      <c r="C765" s="55" cm="1">
        <f t="array" aca="1" ref="C765" ca="1">SUM(IF(ISNUMBER(M765:U765),M765:U765,""))</f>
        <v>0</v>
      </c>
      <c r="D765" s="25" t="str">
        <f t="shared" si="204"/>
        <v/>
      </c>
      <c r="E765" s="25" t="e">
        <f t="shared" si="205"/>
        <v>#VALUE!</v>
      </c>
      <c r="F765" s="25" t="str">
        <f t="shared" si="206"/>
        <v/>
      </c>
      <c r="G765" s="25" t="str">
        <f t="shared" si="207"/>
        <v>.xlsx</v>
      </c>
      <c r="H765" s="29" t="e" cm="1">
        <f t="array" aca="1" ref="H765" ca="1">IF(AND(VALUE(E765)=INDIRECT("'["&amp;G765&amp;"]"&amp;E765&amp;"'!"&amp;$X$2),G765=INDIRECT("'["&amp;G765&amp;"]"&amp;E765&amp;"'!"&amp;$X$3)),INDIRECT("'["&amp;G765&amp;"]"&amp;E765&amp;"'!"&amp;$X$1),0)</f>
        <v>#VALUE!</v>
      </c>
      <c r="I765" s="25" t="str">
        <f t="shared" si="208"/>
        <v/>
      </c>
      <c r="J765" s="32" t="str">
        <f t="shared" si="209"/>
        <v/>
      </c>
      <c r="K765" s="25" t="str">
        <f t="shared" si="210"/>
        <v/>
      </c>
      <c r="L765" s="25" t="str">
        <f t="shared" si="211"/>
        <v/>
      </c>
      <c r="M765" s="33" t="e" cm="1">
        <f t="array" aca="1" ref="M765" ca="1">IF(AND(J765=INDIRECT("'["&amp;G765&amp;"]"&amp;E765&amp;"'!"&amp;$Y$2),G765=INDIRECT("'["&amp;G765&amp;"]"&amp;E765&amp;"'!"&amp;$AH$2)),INDIRECT("'["&amp;G765&amp;"]"&amp;E765&amp;"'!"&amp;$Y$3),0)</f>
        <v>#VALUE!</v>
      </c>
      <c r="N765" s="34" t="e" cm="1">
        <f t="array" aca="1" ref="N765" ca="1">IF(AND(G765=INDIRECT("'["&amp;G765&amp;"]"&amp;E765&amp;"'!"&amp;$AH$2),OR(K765=INDIRECT("'["&amp;G765&amp;"]"&amp;E765&amp;"'!"&amp;$Z$2))),INDIRECT("'["&amp;G765&amp;"]"&amp;E765&amp;"'!"&amp;$Z$3),0)</f>
        <v>#VALUE!</v>
      </c>
      <c r="O765" s="34" t="e" cm="1">
        <f t="array" aca="1" ref="O765" ca="1">IF(AND(G765=INDIRECT("'["&amp;G765&amp;"]"&amp;E765&amp;"'!"&amp;$AH$2),OR(L765=INDIRECT("'["&amp;G765&amp;"]"&amp;E765&amp;"'!"&amp;$AA$2))),INDIRECT("'["&amp;G765&amp;"]"&amp;E765&amp;"'!"&amp;$AA$3),0)</f>
        <v>#VALUE!</v>
      </c>
      <c r="P765" s="34" t="e" cm="1">
        <f t="array" aca="1" ref="P765" ca="1">IF(AND(G765=INDIRECT("'["&amp;G765&amp;"]"&amp;E765&amp;"'!"&amp;$AH$2),OR(VALUE(I765)=INDIRECT("'["&amp;G765&amp;"]"&amp;E765&amp;"'!"&amp;$AB$2))),INDIRECT("'["&amp;G765&amp;"]"&amp;E765&amp;"'!"&amp;$AB$3),0)</f>
        <v>#VALUE!</v>
      </c>
      <c r="Q765" s="34" t="e" cm="1">
        <f t="array" aca="1" ref="Q765" ca="1">IF(AND(G765=INDIRECT("'["&amp;G765&amp;"]"&amp;E765&amp;"'!"&amp;$AH$2),OR(VALUE(I765)=INDIRECT("'["&amp;G765&amp;"]"&amp;E765&amp;"'!"&amp;$AC$2))),INDIRECT("'["&amp;G765&amp;"]"&amp;E765&amp;"'!"&amp;$AC$3),0)</f>
        <v>#VALUE!</v>
      </c>
      <c r="R765" s="34" t="e" cm="1">
        <f t="array" aca="1" ref="R765" ca="1">IF(AND(G765=INDIRECT("'["&amp;G765&amp;"]"&amp;E765&amp;"'!"&amp;$AH$2),OR(I765=INDIRECT("'["&amp;G765&amp;"]"&amp;E765&amp;"'!"&amp;$AD$2))),INDIRECT("'["&amp;G765&amp;"]"&amp;E765&amp;"'!"&amp;$AD$3),0)</f>
        <v>#VALUE!</v>
      </c>
      <c r="S765" s="34" t="e" cm="1">
        <f t="array" aca="1" ref="S765" ca="1">IF(AND(G765=INDIRECT("'["&amp;G765&amp;"]"&amp;E765&amp;"'!"&amp;$AH$2),OR(I765=INDIRECT("'["&amp;G765&amp;"]"&amp;E765&amp;"'!"&amp;$AE$2))),INDIRECT("'["&amp;G765&amp;"]"&amp;E765&amp;"'!"&amp;$AE$3),0)</f>
        <v>#VALUE!</v>
      </c>
      <c r="T765" s="35" t="e" cm="1">
        <f t="array" aca="1" ref="T765" ca="1">IF(AND(G765=INDIRECT("'["&amp;G765&amp;"]"&amp;E765&amp;"'!"&amp;$AH$2),OR(I765=INDIRECT("'["&amp;G765&amp;"]"&amp;E765&amp;"'!"&amp;$AF$2))),INDIRECT("'["&amp;G765&amp;"]"&amp;E765&amp;"'!"&amp;$AF$3),0)</f>
        <v>#VALUE!</v>
      </c>
      <c r="U765" s="34" t="e" cm="1">
        <f t="array" aca="1" ref="U765" ca="1">IF(AND(G765=INDIRECT("'["&amp;G765&amp;"]"&amp;E765&amp;"'!"&amp;$AH$2),OR(I765=INDIRECT("'["&amp;G765&amp;"]"&amp;E765&amp;"'!"&amp;$AG$2))),INDIRECT("'["&amp;G765&amp;"]"&amp;E765&amp;"'!"&amp;$AG$3),0)</f>
        <v>#VALUE!</v>
      </c>
      <c r="V765" s="25" t="str">
        <f t="shared" si="212"/>
        <v/>
      </c>
      <c r="W765" s="36" t="e" cm="1">
        <f t="array" aca="1" ref="W765" ca="1">IF(AND(G765=INDIRECT("'["&amp;G765&amp;"]"&amp;E765&amp;"'!"&amp;$AH$2),OR(V765=INDIRECT("'["&amp;G765&amp;"]"&amp;E765&amp;"'!"&amp;$AI$2))),INDIRECT("'["&amp;G765&amp;"]"&amp;E765&amp;"'!"&amp;$AI$3),0)</f>
        <v>#VALUE!</v>
      </c>
      <c r="AJ765" s="25">
        <v>1</v>
      </c>
      <c r="AK765" s="38">
        <f t="shared" ca="1" si="213"/>
        <v>0</v>
      </c>
      <c r="AL765" s="38">
        <f t="shared" ca="1" si="214"/>
        <v>0</v>
      </c>
      <c r="AM765" s="54" t="str">
        <f t="shared" ca="1" si="215"/>
        <v/>
      </c>
      <c r="AN765" s="25" t="e">
        <f t="shared" ca="1" si="216"/>
        <v>#VALUE!</v>
      </c>
      <c r="AO765" s="25" t="e">
        <f t="shared" ca="1" si="217"/>
        <v>#VALUE!</v>
      </c>
      <c r="AQ765" s="46" t="str">
        <f ca="1">IF(AND(C765&lt;&gt;0, C766=0), SUM($C$2:C765)-SUM($AQ$1:AQ764), "")</f>
        <v/>
      </c>
      <c r="AR765" s="46" t="str">
        <f ca="1">IF(AND(AK765&lt;&gt;0, AK766=0), SUM($AK$2:AK765)-SUM($AR$1:AR764), "")</f>
        <v/>
      </c>
    </row>
    <row r="766" spans="2:44" ht="13.15" customHeight="1">
      <c r="B766" s="68" t="str">
        <f t="shared" si="203"/>
        <v/>
      </c>
      <c r="C766" s="55" cm="1">
        <f t="array" aca="1" ref="C766" ca="1">SUM(IF(ISNUMBER(M766:U766),M766:U766,""))</f>
        <v>0</v>
      </c>
      <c r="D766" s="25" t="str">
        <f t="shared" si="204"/>
        <v/>
      </c>
      <c r="E766" s="25" t="e">
        <f t="shared" si="205"/>
        <v>#VALUE!</v>
      </c>
      <c r="F766" s="25" t="str">
        <f t="shared" si="206"/>
        <v/>
      </c>
      <c r="G766" s="25" t="str">
        <f t="shared" si="207"/>
        <v>.xlsx</v>
      </c>
      <c r="H766" s="29" t="e" cm="1">
        <f t="array" aca="1" ref="H766" ca="1">IF(AND(VALUE(E766)=INDIRECT("'["&amp;G766&amp;"]"&amp;E766&amp;"'!"&amp;$X$2),G766=INDIRECT("'["&amp;G766&amp;"]"&amp;E766&amp;"'!"&amp;$X$3)),INDIRECT("'["&amp;G766&amp;"]"&amp;E766&amp;"'!"&amp;$X$1),0)</f>
        <v>#VALUE!</v>
      </c>
      <c r="I766" s="25" t="str">
        <f t="shared" si="208"/>
        <v/>
      </c>
      <c r="J766" s="32" t="str">
        <f t="shared" si="209"/>
        <v/>
      </c>
      <c r="K766" s="25" t="str">
        <f t="shared" si="210"/>
        <v/>
      </c>
      <c r="L766" s="25" t="str">
        <f t="shared" si="211"/>
        <v/>
      </c>
      <c r="M766" s="33" t="e" cm="1">
        <f t="array" aca="1" ref="M766" ca="1">IF(AND(J766=INDIRECT("'["&amp;G766&amp;"]"&amp;E766&amp;"'!"&amp;$Y$2),G766=INDIRECT("'["&amp;G766&amp;"]"&amp;E766&amp;"'!"&amp;$AH$2)),INDIRECT("'["&amp;G766&amp;"]"&amp;E766&amp;"'!"&amp;$Y$3),0)</f>
        <v>#VALUE!</v>
      </c>
      <c r="N766" s="34" t="e" cm="1">
        <f t="array" aca="1" ref="N766" ca="1">IF(AND(G766=INDIRECT("'["&amp;G766&amp;"]"&amp;E766&amp;"'!"&amp;$AH$2),OR(K766=INDIRECT("'["&amp;G766&amp;"]"&amp;E766&amp;"'!"&amp;$Z$2))),INDIRECT("'["&amp;G766&amp;"]"&amp;E766&amp;"'!"&amp;$Z$3),0)</f>
        <v>#VALUE!</v>
      </c>
      <c r="O766" s="34" t="e" cm="1">
        <f t="array" aca="1" ref="O766" ca="1">IF(AND(G766=INDIRECT("'["&amp;G766&amp;"]"&amp;E766&amp;"'!"&amp;$AH$2),OR(L766=INDIRECT("'["&amp;G766&amp;"]"&amp;E766&amp;"'!"&amp;$AA$2))),INDIRECT("'["&amp;G766&amp;"]"&amp;E766&amp;"'!"&amp;$AA$3),0)</f>
        <v>#VALUE!</v>
      </c>
      <c r="P766" s="34" t="e" cm="1">
        <f t="array" aca="1" ref="P766" ca="1">IF(AND(G766=INDIRECT("'["&amp;G766&amp;"]"&amp;E766&amp;"'!"&amp;$AH$2),OR(VALUE(I766)=INDIRECT("'["&amp;G766&amp;"]"&amp;E766&amp;"'!"&amp;$AB$2))),INDIRECT("'["&amp;G766&amp;"]"&amp;E766&amp;"'!"&amp;$AB$3),0)</f>
        <v>#VALUE!</v>
      </c>
      <c r="Q766" s="34" t="e" cm="1">
        <f t="array" aca="1" ref="Q766" ca="1">IF(AND(G766=INDIRECT("'["&amp;G766&amp;"]"&amp;E766&amp;"'!"&amp;$AH$2),OR(VALUE(I766)=INDIRECT("'["&amp;G766&amp;"]"&amp;E766&amp;"'!"&amp;$AC$2))),INDIRECT("'["&amp;G766&amp;"]"&amp;E766&amp;"'!"&amp;$AC$3),0)</f>
        <v>#VALUE!</v>
      </c>
      <c r="R766" s="34" t="e" cm="1">
        <f t="array" aca="1" ref="R766" ca="1">IF(AND(G766=INDIRECT("'["&amp;G766&amp;"]"&amp;E766&amp;"'!"&amp;$AH$2),OR(I766=INDIRECT("'["&amp;G766&amp;"]"&amp;E766&amp;"'!"&amp;$AD$2))),INDIRECT("'["&amp;G766&amp;"]"&amp;E766&amp;"'!"&amp;$AD$3),0)</f>
        <v>#VALUE!</v>
      </c>
      <c r="S766" s="34" t="e" cm="1">
        <f t="array" aca="1" ref="S766" ca="1">IF(AND(G766=INDIRECT("'["&amp;G766&amp;"]"&amp;E766&amp;"'!"&amp;$AH$2),OR(I766=INDIRECT("'["&amp;G766&amp;"]"&amp;E766&amp;"'!"&amp;$AE$2))),INDIRECT("'["&amp;G766&amp;"]"&amp;E766&amp;"'!"&amp;$AE$3),0)</f>
        <v>#VALUE!</v>
      </c>
      <c r="T766" s="35" t="e" cm="1">
        <f t="array" aca="1" ref="T766" ca="1">IF(AND(G766=INDIRECT("'["&amp;G766&amp;"]"&amp;E766&amp;"'!"&amp;$AH$2),OR(I766=INDIRECT("'["&amp;G766&amp;"]"&amp;E766&amp;"'!"&amp;$AF$2))),INDIRECT("'["&amp;G766&amp;"]"&amp;E766&amp;"'!"&amp;$AF$3),0)</f>
        <v>#VALUE!</v>
      </c>
      <c r="U766" s="34" t="e" cm="1">
        <f t="array" aca="1" ref="U766" ca="1">IF(AND(G766=INDIRECT("'["&amp;G766&amp;"]"&amp;E766&amp;"'!"&amp;$AH$2),OR(I766=INDIRECT("'["&amp;G766&amp;"]"&amp;E766&amp;"'!"&amp;$AG$2))),INDIRECT("'["&amp;G766&amp;"]"&amp;E766&amp;"'!"&amp;$AG$3),0)</f>
        <v>#VALUE!</v>
      </c>
      <c r="V766" s="25" t="str">
        <f t="shared" si="212"/>
        <v/>
      </c>
      <c r="W766" s="36" t="e" cm="1">
        <f t="array" aca="1" ref="W766" ca="1">IF(AND(G766=INDIRECT("'["&amp;G766&amp;"]"&amp;E766&amp;"'!"&amp;$AH$2),OR(V766=INDIRECT("'["&amp;G766&amp;"]"&amp;E766&amp;"'!"&amp;$AI$2))),INDIRECT("'["&amp;G766&amp;"]"&amp;E766&amp;"'!"&amp;$AI$3),0)</f>
        <v>#VALUE!</v>
      </c>
      <c r="AJ766" s="25">
        <v>1</v>
      </c>
      <c r="AK766" s="38">
        <f t="shared" ca="1" si="213"/>
        <v>0</v>
      </c>
      <c r="AL766" s="38">
        <f t="shared" ca="1" si="214"/>
        <v>0</v>
      </c>
      <c r="AM766" s="54" t="str">
        <f t="shared" ca="1" si="215"/>
        <v/>
      </c>
      <c r="AN766" s="25" t="e">
        <f t="shared" ca="1" si="216"/>
        <v>#VALUE!</v>
      </c>
      <c r="AO766" s="25" t="e">
        <f t="shared" ca="1" si="217"/>
        <v>#VALUE!</v>
      </c>
      <c r="AQ766" s="46" t="str">
        <f ca="1">IF(AND(C766&lt;&gt;0, C767=0), SUM($C$2:C766)-SUM($AQ$1:AQ765), "")</f>
        <v/>
      </c>
      <c r="AR766" s="46" t="str">
        <f ca="1">IF(AND(AK766&lt;&gt;0, AK767=0), SUM($AK$2:AK766)-SUM($AR$1:AR765), "")</f>
        <v/>
      </c>
    </row>
    <row r="767" spans="2:44" ht="13.15" customHeight="1">
      <c r="B767" s="68" t="str">
        <f t="shared" si="203"/>
        <v/>
      </c>
      <c r="C767" s="55" cm="1">
        <f t="array" aca="1" ref="C767" ca="1">SUM(IF(ISNUMBER(M767:U767),M767:U767,""))</f>
        <v>0</v>
      </c>
      <c r="D767" s="25" t="str">
        <f t="shared" si="204"/>
        <v/>
      </c>
      <c r="E767" s="25" t="e">
        <f t="shared" si="205"/>
        <v>#VALUE!</v>
      </c>
      <c r="F767" s="25" t="str">
        <f t="shared" si="206"/>
        <v/>
      </c>
      <c r="G767" s="25" t="str">
        <f t="shared" si="207"/>
        <v>.xlsx</v>
      </c>
      <c r="H767" s="29" t="e" cm="1">
        <f t="array" aca="1" ref="H767" ca="1">IF(AND(VALUE(E767)=INDIRECT("'["&amp;G767&amp;"]"&amp;E767&amp;"'!"&amp;$X$2),G767=INDIRECT("'["&amp;G767&amp;"]"&amp;E767&amp;"'!"&amp;$X$3)),INDIRECT("'["&amp;G767&amp;"]"&amp;E767&amp;"'!"&amp;$X$1),0)</f>
        <v>#VALUE!</v>
      </c>
      <c r="I767" s="25" t="str">
        <f t="shared" si="208"/>
        <v/>
      </c>
      <c r="J767" s="32" t="str">
        <f t="shared" si="209"/>
        <v/>
      </c>
      <c r="K767" s="25" t="str">
        <f t="shared" si="210"/>
        <v/>
      </c>
      <c r="L767" s="25" t="str">
        <f t="shared" si="211"/>
        <v/>
      </c>
      <c r="M767" s="33" t="e" cm="1">
        <f t="array" aca="1" ref="M767" ca="1">IF(AND(J767=INDIRECT("'["&amp;G767&amp;"]"&amp;E767&amp;"'!"&amp;$Y$2),G767=INDIRECT("'["&amp;G767&amp;"]"&amp;E767&amp;"'!"&amp;$AH$2)),INDIRECT("'["&amp;G767&amp;"]"&amp;E767&amp;"'!"&amp;$Y$3),0)</f>
        <v>#VALUE!</v>
      </c>
      <c r="N767" s="34" t="e" cm="1">
        <f t="array" aca="1" ref="N767" ca="1">IF(AND(G767=INDIRECT("'["&amp;G767&amp;"]"&amp;E767&amp;"'!"&amp;$AH$2),OR(K767=INDIRECT("'["&amp;G767&amp;"]"&amp;E767&amp;"'!"&amp;$Z$2))),INDIRECT("'["&amp;G767&amp;"]"&amp;E767&amp;"'!"&amp;$Z$3),0)</f>
        <v>#VALUE!</v>
      </c>
      <c r="O767" s="34" t="e" cm="1">
        <f t="array" aca="1" ref="O767" ca="1">IF(AND(G767=INDIRECT("'["&amp;G767&amp;"]"&amp;E767&amp;"'!"&amp;$AH$2),OR(L767=INDIRECT("'["&amp;G767&amp;"]"&amp;E767&amp;"'!"&amp;$AA$2))),INDIRECT("'["&amp;G767&amp;"]"&amp;E767&amp;"'!"&amp;$AA$3),0)</f>
        <v>#VALUE!</v>
      </c>
      <c r="P767" s="34" t="e" cm="1">
        <f t="array" aca="1" ref="P767" ca="1">IF(AND(G767=INDIRECT("'["&amp;G767&amp;"]"&amp;E767&amp;"'!"&amp;$AH$2),OR(VALUE(I767)=INDIRECT("'["&amp;G767&amp;"]"&amp;E767&amp;"'!"&amp;$AB$2))),INDIRECT("'["&amp;G767&amp;"]"&amp;E767&amp;"'!"&amp;$AB$3),0)</f>
        <v>#VALUE!</v>
      </c>
      <c r="Q767" s="34" t="e" cm="1">
        <f t="array" aca="1" ref="Q767" ca="1">IF(AND(G767=INDIRECT("'["&amp;G767&amp;"]"&amp;E767&amp;"'!"&amp;$AH$2),OR(VALUE(I767)=INDIRECT("'["&amp;G767&amp;"]"&amp;E767&amp;"'!"&amp;$AC$2))),INDIRECT("'["&amp;G767&amp;"]"&amp;E767&amp;"'!"&amp;$AC$3),0)</f>
        <v>#VALUE!</v>
      </c>
      <c r="R767" s="34" t="e" cm="1">
        <f t="array" aca="1" ref="R767" ca="1">IF(AND(G767=INDIRECT("'["&amp;G767&amp;"]"&amp;E767&amp;"'!"&amp;$AH$2),OR(I767=INDIRECT("'["&amp;G767&amp;"]"&amp;E767&amp;"'!"&amp;$AD$2))),INDIRECT("'["&amp;G767&amp;"]"&amp;E767&amp;"'!"&amp;$AD$3),0)</f>
        <v>#VALUE!</v>
      </c>
      <c r="S767" s="34" t="e" cm="1">
        <f t="array" aca="1" ref="S767" ca="1">IF(AND(G767=INDIRECT("'["&amp;G767&amp;"]"&amp;E767&amp;"'!"&amp;$AH$2),OR(I767=INDIRECT("'["&amp;G767&amp;"]"&amp;E767&amp;"'!"&amp;$AE$2))),INDIRECT("'["&amp;G767&amp;"]"&amp;E767&amp;"'!"&amp;$AE$3),0)</f>
        <v>#VALUE!</v>
      </c>
      <c r="T767" s="35" t="e" cm="1">
        <f t="array" aca="1" ref="T767" ca="1">IF(AND(G767=INDIRECT("'["&amp;G767&amp;"]"&amp;E767&amp;"'!"&amp;$AH$2),OR(I767=INDIRECT("'["&amp;G767&amp;"]"&amp;E767&amp;"'!"&amp;$AF$2))),INDIRECT("'["&amp;G767&amp;"]"&amp;E767&amp;"'!"&amp;$AF$3),0)</f>
        <v>#VALUE!</v>
      </c>
      <c r="U767" s="34" t="e" cm="1">
        <f t="array" aca="1" ref="U767" ca="1">IF(AND(G767=INDIRECT("'["&amp;G767&amp;"]"&amp;E767&amp;"'!"&amp;$AH$2),OR(I767=INDIRECT("'["&amp;G767&amp;"]"&amp;E767&amp;"'!"&amp;$AG$2))),INDIRECT("'["&amp;G767&amp;"]"&amp;E767&amp;"'!"&amp;$AG$3),0)</f>
        <v>#VALUE!</v>
      </c>
      <c r="V767" s="25" t="str">
        <f t="shared" si="212"/>
        <v/>
      </c>
      <c r="W767" s="36" t="e" cm="1">
        <f t="array" aca="1" ref="W767" ca="1">IF(AND(G767=INDIRECT("'["&amp;G767&amp;"]"&amp;E767&amp;"'!"&amp;$AH$2),OR(V767=INDIRECT("'["&amp;G767&amp;"]"&amp;E767&amp;"'!"&amp;$AI$2))),INDIRECT("'["&amp;G767&amp;"]"&amp;E767&amp;"'!"&amp;$AI$3),0)</f>
        <v>#VALUE!</v>
      </c>
      <c r="AJ767" s="25">
        <v>1</v>
      </c>
      <c r="AK767" s="38">
        <f t="shared" ca="1" si="213"/>
        <v>0</v>
      </c>
      <c r="AL767" s="38">
        <f t="shared" ca="1" si="214"/>
        <v>0</v>
      </c>
      <c r="AM767" s="54" t="str">
        <f t="shared" ca="1" si="215"/>
        <v/>
      </c>
      <c r="AN767" s="25" t="e">
        <f t="shared" ca="1" si="216"/>
        <v>#VALUE!</v>
      </c>
      <c r="AO767" s="25" t="e">
        <f t="shared" ca="1" si="217"/>
        <v>#VALUE!</v>
      </c>
      <c r="AQ767" s="46" t="str">
        <f ca="1">IF(AND(C767&lt;&gt;0, C768=0), SUM($C$2:C767)-SUM($AQ$1:AQ766), "")</f>
        <v/>
      </c>
      <c r="AR767" s="46" t="str">
        <f ca="1">IF(AND(AK767&lt;&gt;0, AK768=0), SUM($AK$2:AK767)-SUM($AR$1:AR766), "")</f>
        <v/>
      </c>
    </row>
    <row r="768" spans="2:44" ht="13.15" customHeight="1">
      <c r="B768" s="68" t="str">
        <f t="shared" si="203"/>
        <v/>
      </c>
      <c r="C768" s="55" cm="1">
        <f t="array" aca="1" ref="C768" ca="1">SUM(IF(ISNUMBER(M768:U768),M768:U768,""))</f>
        <v>0</v>
      </c>
      <c r="D768" s="25" t="str">
        <f t="shared" si="204"/>
        <v/>
      </c>
      <c r="E768" s="25" t="e">
        <f t="shared" si="205"/>
        <v>#VALUE!</v>
      </c>
      <c r="F768" s="25" t="str">
        <f t="shared" si="206"/>
        <v/>
      </c>
      <c r="G768" s="25" t="str">
        <f t="shared" si="207"/>
        <v>.xlsx</v>
      </c>
      <c r="H768" s="29" t="e" cm="1">
        <f t="array" aca="1" ref="H768" ca="1">IF(AND(VALUE(E768)=INDIRECT("'["&amp;G768&amp;"]"&amp;E768&amp;"'!"&amp;$X$2),G768=INDIRECT("'["&amp;G768&amp;"]"&amp;E768&amp;"'!"&amp;$X$3)),INDIRECT("'["&amp;G768&amp;"]"&amp;E768&amp;"'!"&amp;$X$1),0)</f>
        <v>#VALUE!</v>
      </c>
      <c r="I768" s="25" t="str">
        <f t="shared" si="208"/>
        <v/>
      </c>
      <c r="J768" s="32" t="str">
        <f t="shared" si="209"/>
        <v/>
      </c>
      <c r="K768" s="25" t="str">
        <f t="shared" si="210"/>
        <v/>
      </c>
      <c r="L768" s="25" t="str">
        <f t="shared" si="211"/>
        <v/>
      </c>
      <c r="M768" s="33" t="e" cm="1">
        <f t="array" aca="1" ref="M768" ca="1">IF(AND(J768=INDIRECT("'["&amp;G768&amp;"]"&amp;E768&amp;"'!"&amp;$Y$2),G768=INDIRECT("'["&amp;G768&amp;"]"&amp;E768&amp;"'!"&amp;$AH$2)),INDIRECT("'["&amp;G768&amp;"]"&amp;E768&amp;"'!"&amp;$Y$3),0)</f>
        <v>#VALUE!</v>
      </c>
      <c r="N768" s="34" t="e" cm="1">
        <f t="array" aca="1" ref="N768" ca="1">IF(AND(G768=INDIRECT("'["&amp;G768&amp;"]"&amp;E768&amp;"'!"&amp;$AH$2),OR(K768=INDIRECT("'["&amp;G768&amp;"]"&amp;E768&amp;"'!"&amp;$Z$2))),INDIRECT("'["&amp;G768&amp;"]"&amp;E768&amp;"'!"&amp;$Z$3),0)</f>
        <v>#VALUE!</v>
      </c>
      <c r="O768" s="34" t="e" cm="1">
        <f t="array" aca="1" ref="O768" ca="1">IF(AND(G768=INDIRECT("'["&amp;G768&amp;"]"&amp;E768&amp;"'!"&amp;$AH$2),OR(L768=INDIRECT("'["&amp;G768&amp;"]"&amp;E768&amp;"'!"&amp;$AA$2))),INDIRECT("'["&amp;G768&amp;"]"&amp;E768&amp;"'!"&amp;$AA$3),0)</f>
        <v>#VALUE!</v>
      </c>
      <c r="P768" s="34" t="e" cm="1">
        <f t="array" aca="1" ref="P768" ca="1">IF(AND(G768=INDIRECT("'["&amp;G768&amp;"]"&amp;E768&amp;"'!"&amp;$AH$2),OR(VALUE(I768)=INDIRECT("'["&amp;G768&amp;"]"&amp;E768&amp;"'!"&amp;$AB$2))),INDIRECT("'["&amp;G768&amp;"]"&amp;E768&amp;"'!"&amp;$AB$3),0)</f>
        <v>#VALUE!</v>
      </c>
      <c r="Q768" s="34" t="e" cm="1">
        <f t="array" aca="1" ref="Q768" ca="1">IF(AND(G768=INDIRECT("'["&amp;G768&amp;"]"&amp;E768&amp;"'!"&amp;$AH$2),OR(VALUE(I768)=INDIRECT("'["&amp;G768&amp;"]"&amp;E768&amp;"'!"&amp;$AC$2))),INDIRECT("'["&amp;G768&amp;"]"&amp;E768&amp;"'!"&amp;$AC$3),0)</f>
        <v>#VALUE!</v>
      </c>
      <c r="R768" s="34" t="e" cm="1">
        <f t="array" aca="1" ref="R768" ca="1">IF(AND(G768=INDIRECT("'["&amp;G768&amp;"]"&amp;E768&amp;"'!"&amp;$AH$2),OR(I768=INDIRECT("'["&amp;G768&amp;"]"&amp;E768&amp;"'!"&amp;$AD$2))),INDIRECT("'["&amp;G768&amp;"]"&amp;E768&amp;"'!"&amp;$AD$3),0)</f>
        <v>#VALUE!</v>
      </c>
      <c r="S768" s="34" t="e" cm="1">
        <f t="array" aca="1" ref="S768" ca="1">IF(AND(G768=INDIRECT("'["&amp;G768&amp;"]"&amp;E768&amp;"'!"&amp;$AH$2),OR(I768=INDIRECT("'["&amp;G768&amp;"]"&amp;E768&amp;"'!"&amp;$AE$2))),INDIRECT("'["&amp;G768&amp;"]"&amp;E768&amp;"'!"&amp;$AE$3),0)</f>
        <v>#VALUE!</v>
      </c>
      <c r="T768" s="35" t="e" cm="1">
        <f t="array" aca="1" ref="T768" ca="1">IF(AND(G768=INDIRECT("'["&amp;G768&amp;"]"&amp;E768&amp;"'!"&amp;$AH$2),OR(I768=INDIRECT("'["&amp;G768&amp;"]"&amp;E768&amp;"'!"&amp;$AF$2))),INDIRECT("'["&amp;G768&amp;"]"&amp;E768&amp;"'!"&amp;$AF$3),0)</f>
        <v>#VALUE!</v>
      </c>
      <c r="U768" s="34" t="e" cm="1">
        <f t="array" aca="1" ref="U768" ca="1">IF(AND(G768=INDIRECT("'["&amp;G768&amp;"]"&amp;E768&amp;"'!"&amp;$AH$2),OR(I768=INDIRECT("'["&amp;G768&amp;"]"&amp;E768&amp;"'!"&amp;$AG$2))),INDIRECT("'["&amp;G768&amp;"]"&amp;E768&amp;"'!"&amp;$AG$3),0)</f>
        <v>#VALUE!</v>
      </c>
      <c r="V768" s="25" t="str">
        <f t="shared" si="212"/>
        <v/>
      </c>
      <c r="W768" s="36" t="e" cm="1">
        <f t="array" aca="1" ref="W768" ca="1">IF(AND(G768=INDIRECT("'["&amp;G768&amp;"]"&amp;E768&amp;"'!"&amp;$AH$2),OR(V768=INDIRECT("'["&amp;G768&amp;"]"&amp;E768&amp;"'!"&amp;$AI$2))),INDIRECT("'["&amp;G768&amp;"]"&amp;E768&amp;"'!"&amp;$AI$3),0)</f>
        <v>#VALUE!</v>
      </c>
      <c r="AJ768" s="25">
        <v>1</v>
      </c>
      <c r="AK768" s="38">
        <f t="shared" ca="1" si="213"/>
        <v>0</v>
      </c>
      <c r="AL768" s="38">
        <f t="shared" ca="1" si="214"/>
        <v>0</v>
      </c>
      <c r="AM768" s="54" t="str">
        <f t="shared" ca="1" si="215"/>
        <v/>
      </c>
      <c r="AN768" s="25" t="e">
        <f t="shared" ca="1" si="216"/>
        <v>#VALUE!</v>
      </c>
      <c r="AO768" s="25" t="e">
        <f t="shared" ca="1" si="217"/>
        <v>#VALUE!</v>
      </c>
      <c r="AQ768" s="46" t="str">
        <f ca="1">IF(AND(C768&lt;&gt;0, C769=0), SUM($C$2:C768)-SUM($AQ$1:AQ767), "")</f>
        <v/>
      </c>
      <c r="AR768" s="46" t="str">
        <f ca="1">IF(AND(AK768&lt;&gt;0, AK769=0), SUM($AK$2:AK768)-SUM($AR$1:AR767), "")</f>
        <v/>
      </c>
    </row>
    <row r="769" spans="2:44" ht="13.15" customHeight="1">
      <c r="B769" s="68" t="str">
        <f t="shared" si="203"/>
        <v/>
      </c>
      <c r="C769" s="55" cm="1">
        <f t="array" aca="1" ref="C769" ca="1">SUM(IF(ISNUMBER(M769:U769),M769:U769,""))</f>
        <v>0</v>
      </c>
      <c r="D769" s="25" t="str">
        <f t="shared" si="204"/>
        <v/>
      </c>
      <c r="E769" s="25" t="e">
        <f t="shared" si="205"/>
        <v>#VALUE!</v>
      </c>
      <c r="F769" s="25" t="str">
        <f t="shared" si="206"/>
        <v/>
      </c>
      <c r="G769" s="25" t="str">
        <f t="shared" si="207"/>
        <v>.xlsx</v>
      </c>
      <c r="H769" s="29" t="e" cm="1">
        <f t="array" aca="1" ref="H769" ca="1">IF(AND(VALUE(E769)=INDIRECT("'["&amp;G769&amp;"]"&amp;E769&amp;"'!"&amp;$X$2),G769=INDIRECT("'["&amp;G769&amp;"]"&amp;E769&amp;"'!"&amp;$X$3)),INDIRECT("'["&amp;G769&amp;"]"&amp;E769&amp;"'!"&amp;$X$1),0)</f>
        <v>#VALUE!</v>
      </c>
      <c r="I769" s="25" t="str">
        <f t="shared" si="208"/>
        <v/>
      </c>
      <c r="J769" s="32" t="str">
        <f t="shared" si="209"/>
        <v/>
      </c>
      <c r="K769" s="25" t="str">
        <f t="shared" si="210"/>
        <v/>
      </c>
      <c r="L769" s="25" t="str">
        <f t="shared" si="211"/>
        <v/>
      </c>
      <c r="M769" s="33" t="e" cm="1">
        <f t="array" aca="1" ref="M769" ca="1">IF(AND(J769=INDIRECT("'["&amp;G769&amp;"]"&amp;E769&amp;"'!"&amp;$Y$2),G769=INDIRECT("'["&amp;G769&amp;"]"&amp;E769&amp;"'!"&amp;$AH$2)),INDIRECT("'["&amp;G769&amp;"]"&amp;E769&amp;"'!"&amp;$Y$3),0)</f>
        <v>#VALUE!</v>
      </c>
      <c r="N769" s="34" t="e" cm="1">
        <f t="array" aca="1" ref="N769" ca="1">IF(AND(G769=INDIRECT("'["&amp;G769&amp;"]"&amp;E769&amp;"'!"&amp;$AH$2),OR(K769=INDIRECT("'["&amp;G769&amp;"]"&amp;E769&amp;"'!"&amp;$Z$2))),INDIRECT("'["&amp;G769&amp;"]"&amp;E769&amp;"'!"&amp;$Z$3),0)</f>
        <v>#VALUE!</v>
      </c>
      <c r="O769" s="34" t="e" cm="1">
        <f t="array" aca="1" ref="O769" ca="1">IF(AND(G769=INDIRECT("'["&amp;G769&amp;"]"&amp;E769&amp;"'!"&amp;$AH$2),OR(L769=INDIRECT("'["&amp;G769&amp;"]"&amp;E769&amp;"'!"&amp;$AA$2))),INDIRECT("'["&amp;G769&amp;"]"&amp;E769&amp;"'!"&amp;$AA$3),0)</f>
        <v>#VALUE!</v>
      </c>
      <c r="P769" s="34" t="e" cm="1">
        <f t="array" aca="1" ref="P769" ca="1">IF(AND(G769=INDIRECT("'["&amp;G769&amp;"]"&amp;E769&amp;"'!"&amp;$AH$2),OR(VALUE(I769)=INDIRECT("'["&amp;G769&amp;"]"&amp;E769&amp;"'!"&amp;$AB$2))),INDIRECT("'["&amp;G769&amp;"]"&amp;E769&amp;"'!"&amp;$AB$3),0)</f>
        <v>#VALUE!</v>
      </c>
      <c r="Q769" s="34" t="e" cm="1">
        <f t="array" aca="1" ref="Q769" ca="1">IF(AND(G769=INDIRECT("'["&amp;G769&amp;"]"&amp;E769&amp;"'!"&amp;$AH$2),OR(VALUE(I769)=INDIRECT("'["&amp;G769&amp;"]"&amp;E769&amp;"'!"&amp;$AC$2))),INDIRECT("'["&amp;G769&amp;"]"&amp;E769&amp;"'!"&amp;$AC$3),0)</f>
        <v>#VALUE!</v>
      </c>
      <c r="R769" s="34" t="e" cm="1">
        <f t="array" aca="1" ref="R769" ca="1">IF(AND(G769=INDIRECT("'["&amp;G769&amp;"]"&amp;E769&amp;"'!"&amp;$AH$2),OR(I769=INDIRECT("'["&amp;G769&amp;"]"&amp;E769&amp;"'!"&amp;$AD$2))),INDIRECT("'["&amp;G769&amp;"]"&amp;E769&amp;"'!"&amp;$AD$3),0)</f>
        <v>#VALUE!</v>
      </c>
      <c r="S769" s="34" t="e" cm="1">
        <f t="array" aca="1" ref="S769" ca="1">IF(AND(G769=INDIRECT("'["&amp;G769&amp;"]"&amp;E769&amp;"'!"&amp;$AH$2),OR(I769=INDIRECT("'["&amp;G769&amp;"]"&amp;E769&amp;"'!"&amp;$AE$2))),INDIRECT("'["&amp;G769&amp;"]"&amp;E769&amp;"'!"&amp;$AE$3),0)</f>
        <v>#VALUE!</v>
      </c>
      <c r="T769" s="35" t="e" cm="1">
        <f t="array" aca="1" ref="T769" ca="1">IF(AND(G769=INDIRECT("'["&amp;G769&amp;"]"&amp;E769&amp;"'!"&amp;$AH$2),OR(I769=INDIRECT("'["&amp;G769&amp;"]"&amp;E769&amp;"'!"&amp;$AF$2))),INDIRECT("'["&amp;G769&amp;"]"&amp;E769&amp;"'!"&amp;$AF$3),0)</f>
        <v>#VALUE!</v>
      </c>
      <c r="U769" s="34" t="e" cm="1">
        <f t="array" aca="1" ref="U769" ca="1">IF(AND(G769=INDIRECT("'["&amp;G769&amp;"]"&amp;E769&amp;"'!"&amp;$AH$2),OR(I769=INDIRECT("'["&amp;G769&amp;"]"&amp;E769&amp;"'!"&amp;$AG$2))),INDIRECT("'["&amp;G769&amp;"]"&amp;E769&amp;"'!"&amp;$AG$3),0)</f>
        <v>#VALUE!</v>
      </c>
      <c r="V769" s="25" t="str">
        <f t="shared" si="212"/>
        <v/>
      </c>
      <c r="W769" s="36" t="e" cm="1">
        <f t="array" aca="1" ref="W769" ca="1">IF(AND(G769=INDIRECT("'["&amp;G769&amp;"]"&amp;E769&amp;"'!"&amp;$AH$2),OR(V769=INDIRECT("'["&amp;G769&amp;"]"&amp;E769&amp;"'!"&amp;$AI$2))),INDIRECT("'["&amp;G769&amp;"]"&amp;E769&amp;"'!"&amp;$AI$3),0)</f>
        <v>#VALUE!</v>
      </c>
      <c r="AJ769" s="25">
        <v>1</v>
      </c>
      <c r="AK769" s="38">
        <f t="shared" ca="1" si="213"/>
        <v>0</v>
      </c>
      <c r="AL769" s="38">
        <f t="shared" ca="1" si="214"/>
        <v>0</v>
      </c>
      <c r="AM769" s="54" t="str">
        <f t="shared" ca="1" si="215"/>
        <v/>
      </c>
      <c r="AN769" s="25" t="e">
        <f t="shared" ca="1" si="216"/>
        <v>#VALUE!</v>
      </c>
      <c r="AO769" s="25" t="e">
        <f t="shared" ca="1" si="217"/>
        <v>#VALUE!</v>
      </c>
      <c r="AQ769" s="46" t="str">
        <f ca="1">IF(AND(C769&lt;&gt;0, C770=0), SUM($C$2:C769)-SUM($AQ$1:AQ768), "")</f>
        <v/>
      </c>
      <c r="AR769" s="46" t="str">
        <f ca="1">IF(AND(AK769&lt;&gt;0, AK770=0), SUM($AK$2:AK769)-SUM($AR$1:AR768), "")</f>
        <v/>
      </c>
    </row>
    <row r="770" spans="2:44" ht="13.15" customHeight="1">
      <c r="B770" s="68" t="str">
        <f t="shared" si="203"/>
        <v/>
      </c>
      <c r="C770" s="55" cm="1">
        <f t="array" aca="1" ref="C770" ca="1">SUM(IF(ISNUMBER(M770:U770),M770:U770,""))</f>
        <v>0</v>
      </c>
      <c r="D770" s="25" t="str">
        <f t="shared" si="204"/>
        <v/>
      </c>
      <c r="E770" s="25" t="e">
        <f t="shared" si="205"/>
        <v>#VALUE!</v>
      </c>
      <c r="F770" s="25" t="str">
        <f t="shared" si="206"/>
        <v/>
      </c>
      <c r="G770" s="25" t="str">
        <f t="shared" si="207"/>
        <v>.xlsx</v>
      </c>
      <c r="H770" s="29" t="e" cm="1">
        <f t="array" aca="1" ref="H770" ca="1">IF(AND(VALUE(E770)=INDIRECT("'["&amp;G770&amp;"]"&amp;E770&amp;"'!"&amp;$X$2),G770=INDIRECT("'["&amp;G770&amp;"]"&amp;E770&amp;"'!"&amp;$X$3)),INDIRECT("'["&amp;G770&amp;"]"&amp;E770&amp;"'!"&amp;$X$1),0)</f>
        <v>#VALUE!</v>
      </c>
      <c r="I770" s="25" t="str">
        <f t="shared" si="208"/>
        <v/>
      </c>
      <c r="J770" s="32" t="str">
        <f t="shared" si="209"/>
        <v/>
      </c>
      <c r="K770" s="25" t="str">
        <f t="shared" si="210"/>
        <v/>
      </c>
      <c r="L770" s="25" t="str">
        <f t="shared" si="211"/>
        <v/>
      </c>
      <c r="M770" s="33" t="e" cm="1">
        <f t="array" aca="1" ref="M770" ca="1">IF(AND(J770=INDIRECT("'["&amp;G770&amp;"]"&amp;E770&amp;"'!"&amp;$Y$2),G770=INDIRECT("'["&amp;G770&amp;"]"&amp;E770&amp;"'!"&amp;$AH$2)),INDIRECT("'["&amp;G770&amp;"]"&amp;E770&amp;"'!"&amp;$Y$3),0)</f>
        <v>#VALUE!</v>
      </c>
      <c r="N770" s="34" t="e" cm="1">
        <f t="array" aca="1" ref="N770" ca="1">IF(AND(G770=INDIRECT("'["&amp;G770&amp;"]"&amp;E770&amp;"'!"&amp;$AH$2),OR(K770=INDIRECT("'["&amp;G770&amp;"]"&amp;E770&amp;"'!"&amp;$Z$2))),INDIRECT("'["&amp;G770&amp;"]"&amp;E770&amp;"'!"&amp;$Z$3),0)</f>
        <v>#VALUE!</v>
      </c>
      <c r="O770" s="34" t="e" cm="1">
        <f t="array" aca="1" ref="O770" ca="1">IF(AND(G770=INDIRECT("'["&amp;G770&amp;"]"&amp;E770&amp;"'!"&amp;$AH$2),OR(L770=INDIRECT("'["&amp;G770&amp;"]"&amp;E770&amp;"'!"&amp;$AA$2))),INDIRECT("'["&amp;G770&amp;"]"&amp;E770&amp;"'!"&amp;$AA$3),0)</f>
        <v>#VALUE!</v>
      </c>
      <c r="P770" s="34" t="e" cm="1">
        <f t="array" aca="1" ref="P770" ca="1">IF(AND(G770=INDIRECT("'["&amp;G770&amp;"]"&amp;E770&amp;"'!"&amp;$AH$2),OR(VALUE(I770)=INDIRECT("'["&amp;G770&amp;"]"&amp;E770&amp;"'!"&amp;$AB$2))),INDIRECT("'["&amp;G770&amp;"]"&amp;E770&amp;"'!"&amp;$AB$3),0)</f>
        <v>#VALUE!</v>
      </c>
      <c r="Q770" s="34" t="e" cm="1">
        <f t="array" aca="1" ref="Q770" ca="1">IF(AND(G770=INDIRECT("'["&amp;G770&amp;"]"&amp;E770&amp;"'!"&amp;$AH$2),OR(VALUE(I770)=INDIRECT("'["&amp;G770&amp;"]"&amp;E770&amp;"'!"&amp;$AC$2))),INDIRECT("'["&amp;G770&amp;"]"&amp;E770&amp;"'!"&amp;$AC$3),0)</f>
        <v>#VALUE!</v>
      </c>
      <c r="R770" s="34" t="e" cm="1">
        <f t="array" aca="1" ref="R770" ca="1">IF(AND(G770=INDIRECT("'["&amp;G770&amp;"]"&amp;E770&amp;"'!"&amp;$AH$2),OR(I770=INDIRECT("'["&amp;G770&amp;"]"&amp;E770&amp;"'!"&amp;$AD$2))),INDIRECT("'["&amp;G770&amp;"]"&amp;E770&amp;"'!"&amp;$AD$3),0)</f>
        <v>#VALUE!</v>
      </c>
      <c r="S770" s="34" t="e" cm="1">
        <f t="array" aca="1" ref="S770" ca="1">IF(AND(G770=INDIRECT("'["&amp;G770&amp;"]"&amp;E770&amp;"'!"&amp;$AH$2),OR(I770=INDIRECT("'["&amp;G770&amp;"]"&amp;E770&amp;"'!"&amp;$AE$2))),INDIRECT("'["&amp;G770&amp;"]"&amp;E770&amp;"'!"&amp;$AE$3),0)</f>
        <v>#VALUE!</v>
      </c>
      <c r="T770" s="35" t="e" cm="1">
        <f t="array" aca="1" ref="T770" ca="1">IF(AND(G770=INDIRECT("'["&amp;G770&amp;"]"&amp;E770&amp;"'!"&amp;$AH$2),OR(I770=INDIRECT("'["&amp;G770&amp;"]"&amp;E770&amp;"'!"&amp;$AF$2))),INDIRECT("'["&amp;G770&amp;"]"&amp;E770&amp;"'!"&amp;$AF$3),0)</f>
        <v>#VALUE!</v>
      </c>
      <c r="U770" s="34" t="e" cm="1">
        <f t="array" aca="1" ref="U770" ca="1">IF(AND(G770=INDIRECT("'["&amp;G770&amp;"]"&amp;E770&amp;"'!"&amp;$AH$2),OR(I770=INDIRECT("'["&amp;G770&amp;"]"&amp;E770&amp;"'!"&amp;$AG$2))),INDIRECT("'["&amp;G770&amp;"]"&amp;E770&amp;"'!"&amp;$AG$3),0)</f>
        <v>#VALUE!</v>
      </c>
      <c r="V770" s="25" t="str">
        <f t="shared" si="212"/>
        <v/>
      </c>
      <c r="W770" s="36" t="e" cm="1">
        <f t="array" aca="1" ref="W770" ca="1">IF(AND(G770=INDIRECT("'["&amp;G770&amp;"]"&amp;E770&amp;"'!"&amp;$AH$2),OR(V770=INDIRECT("'["&amp;G770&amp;"]"&amp;E770&amp;"'!"&amp;$AI$2))),INDIRECT("'["&amp;G770&amp;"]"&amp;E770&amp;"'!"&amp;$AI$3),0)</f>
        <v>#VALUE!</v>
      </c>
      <c r="AJ770" s="25">
        <v>1</v>
      </c>
      <c r="AK770" s="38">
        <f t="shared" ca="1" si="213"/>
        <v>0</v>
      </c>
      <c r="AL770" s="38">
        <f t="shared" ca="1" si="214"/>
        <v>0</v>
      </c>
      <c r="AM770" s="54" t="str">
        <f t="shared" ca="1" si="215"/>
        <v/>
      </c>
      <c r="AN770" s="25" t="e">
        <f t="shared" ca="1" si="216"/>
        <v>#VALUE!</v>
      </c>
      <c r="AO770" s="25" t="e">
        <f t="shared" ca="1" si="217"/>
        <v>#VALUE!</v>
      </c>
      <c r="AQ770" s="46" t="str">
        <f ca="1">IF(AND(C770&lt;&gt;0, C771=0), SUM($C$2:C770)-SUM($AQ$1:AQ769), "")</f>
        <v/>
      </c>
      <c r="AR770" s="46" t="str">
        <f ca="1">IF(AND(AK770&lt;&gt;0, AK771=0), SUM($AK$2:AK770)-SUM($AR$1:AR769), "")</f>
        <v/>
      </c>
    </row>
    <row r="771" spans="2:44" ht="13.15" customHeight="1">
      <c r="B771" s="68" t="str">
        <f t="shared" si="203"/>
        <v/>
      </c>
      <c r="C771" s="55" cm="1">
        <f t="array" aca="1" ref="C771" ca="1">SUM(IF(ISNUMBER(M771:U771),M771:U771,""))</f>
        <v>0</v>
      </c>
      <c r="D771" s="25" t="str">
        <f t="shared" si="204"/>
        <v/>
      </c>
      <c r="E771" s="25" t="e">
        <f t="shared" si="205"/>
        <v>#VALUE!</v>
      </c>
      <c r="F771" s="25" t="str">
        <f t="shared" si="206"/>
        <v/>
      </c>
      <c r="G771" s="25" t="str">
        <f t="shared" si="207"/>
        <v>.xlsx</v>
      </c>
      <c r="H771" s="29" t="e" cm="1">
        <f t="array" aca="1" ref="H771" ca="1">IF(AND(VALUE(E771)=INDIRECT("'["&amp;G771&amp;"]"&amp;E771&amp;"'!"&amp;$X$2),G771=INDIRECT("'["&amp;G771&amp;"]"&amp;E771&amp;"'!"&amp;$X$3)),INDIRECT("'["&amp;G771&amp;"]"&amp;E771&amp;"'!"&amp;$X$1),0)</f>
        <v>#VALUE!</v>
      </c>
      <c r="I771" s="25" t="str">
        <f t="shared" si="208"/>
        <v/>
      </c>
      <c r="J771" s="32" t="str">
        <f t="shared" si="209"/>
        <v/>
      </c>
      <c r="K771" s="25" t="str">
        <f t="shared" si="210"/>
        <v/>
      </c>
      <c r="L771" s="25" t="str">
        <f t="shared" si="211"/>
        <v/>
      </c>
      <c r="M771" s="33" t="e" cm="1">
        <f t="array" aca="1" ref="M771" ca="1">IF(AND(J771=INDIRECT("'["&amp;G771&amp;"]"&amp;E771&amp;"'!"&amp;$Y$2),G771=INDIRECT("'["&amp;G771&amp;"]"&amp;E771&amp;"'!"&amp;$AH$2)),INDIRECT("'["&amp;G771&amp;"]"&amp;E771&amp;"'!"&amp;$Y$3),0)</f>
        <v>#VALUE!</v>
      </c>
      <c r="N771" s="34" t="e" cm="1">
        <f t="array" aca="1" ref="N771" ca="1">IF(AND(G771=INDIRECT("'["&amp;G771&amp;"]"&amp;E771&amp;"'!"&amp;$AH$2),OR(K771=INDIRECT("'["&amp;G771&amp;"]"&amp;E771&amp;"'!"&amp;$Z$2))),INDIRECT("'["&amp;G771&amp;"]"&amp;E771&amp;"'!"&amp;$Z$3),0)</f>
        <v>#VALUE!</v>
      </c>
      <c r="O771" s="34" t="e" cm="1">
        <f t="array" aca="1" ref="O771" ca="1">IF(AND(G771=INDIRECT("'["&amp;G771&amp;"]"&amp;E771&amp;"'!"&amp;$AH$2),OR(L771=INDIRECT("'["&amp;G771&amp;"]"&amp;E771&amp;"'!"&amp;$AA$2))),INDIRECT("'["&amp;G771&amp;"]"&amp;E771&amp;"'!"&amp;$AA$3),0)</f>
        <v>#VALUE!</v>
      </c>
      <c r="P771" s="34" t="e" cm="1">
        <f t="array" aca="1" ref="P771" ca="1">IF(AND(G771=INDIRECT("'["&amp;G771&amp;"]"&amp;E771&amp;"'!"&amp;$AH$2),OR(VALUE(I771)=INDIRECT("'["&amp;G771&amp;"]"&amp;E771&amp;"'!"&amp;$AB$2))),INDIRECT("'["&amp;G771&amp;"]"&amp;E771&amp;"'!"&amp;$AB$3),0)</f>
        <v>#VALUE!</v>
      </c>
      <c r="Q771" s="34" t="e" cm="1">
        <f t="array" aca="1" ref="Q771" ca="1">IF(AND(G771=INDIRECT("'["&amp;G771&amp;"]"&amp;E771&amp;"'!"&amp;$AH$2),OR(VALUE(I771)=INDIRECT("'["&amp;G771&amp;"]"&amp;E771&amp;"'!"&amp;$AC$2))),INDIRECT("'["&amp;G771&amp;"]"&amp;E771&amp;"'!"&amp;$AC$3),0)</f>
        <v>#VALUE!</v>
      </c>
      <c r="R771" s="34" t="e" cm="1">
        <f t="array" aca="1" ref="R771" ca="1">IF(AND(G771=INDIRECT("'["&amp;G771&amp;"]"&amp;E771&amp;"'!"&amp;$AH$2),OR(I771=INDIRECT("'["&amp;G771&amp;"]"&amp;E771&amp;"'!"&amp;$AD$2))),INDIRECT("'["&amp;G771&amp;"]"&amp;E771&amp;"'!"&amp;$AD$3),0)</f>
        <v>#VALUE!</v>
      </c>
      <c r="S771" s="34" t="e" cm="1">
        <f t="array" aca="1" ref="S771" ca="1">IF(AND(G771=INDIRECT("'["&amp;G771&amp;"]"&amp;E771&amp;"'!"&amp;$AH$2),OR(I771=INDIRECT("'["&amp;G771&amp;"]"&amp;E771&amp;"'!"&amp;$AE$2))),INDIRECT("'["&amp;G771&amp;"]"&amp;E771&amp;"'!"&amp;$AE$3),0)</f>
        <v>#VALUE!</v>
      </c>
      <c r="T771" s="35" t="e" cm="1">
        <f t="array" aca="1" ref="T771" ca="1">IF(AND(G771=INDIRECT("'["&amp;G771&amp;"]"&amp;E771&amp;"'!"&amp;$AH$2),OR(I771=INDIRECT("'["&amp;G771&amp;"]"&amp;E771&amp;"'!"&amp;$AF$2))),INDIRECT("'["&amp;G771&amp;"]"&amp;E771&amp;"'!"&amp;$AF$3),0)</f>
        <v>#VALUE!</v>
      </c>
      <c r="U771" s="34" t="e" cm="1">
        <f t="array" aca="1" ref="U771" ca="1">IF(AND(G771=INDIRECT("'["&amp;G771&amp;"]"&amp;E771&amp;"'!"&amp;$AH$2),OR(I771=INDIRECT("'["&amp;G771&amp;"]"&amp;E771&amp;"'!"&amp;$AG$2))),INDIRECT("'["&amp;G771&amp;"]"&amp;E771&amp;"'!"&amp;$AG$3),0)</f>
        <v>#VALUE!</v>
      </c>
      <c r="V771" s="25" t="str">
        <f t="shared" si="212"/>
        <v/>
      </c>
      <c r="W771" s="36" t="e" cm="1">
        <f t="array" aca="1" ref="W771" ca="1">IF(AND(G771=INDIRECT("'["&amp;G771&amp;"]"&amp;E771&amp;"'!"&amp;$AH$2),OR(V771=INDIRECT("'["&amp;G771&amp;"]"&amp;E771&amp;"'!"&amp;$AI$2))),INDIRECT("'["&amp;G771&amp;"]"&amp;E771&amp;"'!"&amp;$AI$3),0)</f>
        <v>#VALUE!</v>
      </c>
      <c r="AJ771" s="25">
        <v>1</v>
      </c>
      <c r="AK771" s="38">
        <f t="shared" ca="1" si="213"/>
        <v>0</v>
      </c>
      <c r="AL771" s="38">
        <f t="shared" ca="1" si="214"/>
        <v>0</v>
      </c>
      <c r="AM771" s="54" t="str">
        <f t="shared" ca="1" si="215"/>
        <v/>
      </c>
      <c r="AN771" s="25" t="e">
        <f t="shared" ca="1" si="216"/>
        <v>#VALUE!</v>
      </c>
      <c r="AO771" s="25" t="e">
        <f t="shared" ca="1" si="217"/>
        <v>#VALUE!</v>
      </c>
      <c r="AQ771" s="46" t="str">
        <f ca="1">IF(AND(C771&lt;&gt;0, C772=0), SUM($C$2:C771)-SUM($AQ$1:AQ770), "")</f>
        <v/>
      </c>
      <c r="AR771" s="46" t="str">
        <f ca="1">IF(AND(AK771&lt;&gt;0, AK772=0), SUM($AK$2:AK771)-SUM($AR$1:AR770), "")</f>
        <v/>
      </c>
    </row>
    <row r="772" spans="2:44" ht="13.15" customHeight="1">
      <c r="B772" s="68" t="str">
        <f t="shared" si="203"/>
        <v/>
      </c>
      <c r="C772" s="55" cm="1">
        <f t="array" aca="1" ref="C772" ca="1">SUM(IF(ISNUMBER(M772:U772),M772:U772,""))</f>
        <v>0</v>
      </c>
      <c r="D772" s="25" t="str">
        <f t="shared" si="204"/>
        <v/>
      </c>
      <c r="E772" s="25" t="e">
        <f t="shared" si="205"/>
        <v>#VALUE!</v>
      </c>
      <c r="F772" s="25" t="str">
        <f t="shared" si="206"/>
        <v/>
      </c>
      <c r="G772" s="25" t="str">
        <f t="shared" si="207"/>
        <v>.xlsx</v>
      </c>
      <c r="H772" s="29" t="e" cm="1">
        <f t="array" aca="1" ref="H772" ca="1">IF(AND(VALUE(E772)=INDIRECT("'["&amp;G772&amp;"]"&amp;E772&amp;"'!"&amp;$X$2),G772=INDIRECT("'["&amp;G772&amp;"]"&amp;E772&amp;"'!"&amp;$X$3)),INDIRECT("'["&amp;G772&amp;"]"&amp;E772&amp;"'!"&amp;$X$1),0)</f>
        <v>#VALUE!</v>
      </c>
      <c r="I772" s="25" t="str">
        <f t="shared" si="208"/>
        <v/>
      </c>
      <c r="J772" s="32" t="str">
        <f t="shared" si="209"/>
        <v/>
      </c>
      <c r="K772" s="25" t="str">
        <f t="shared" si="210"/>
        <v/>
      </c>
      <c r="L772" s="25" t="str">
        <f t="shared" si="211"/>
        <v/>
      </c>
      <c r="M772" s="33" t="e" cm="1">
        <f t="array" aca="1" ref="M772" ca="1">IF(AND(J772=INDIRECT("'["&amp;G772&amp;"]"&amp;E772&amp;"'!"&amp;$Y$2),G772=INDIRECT("'["&amp;G772&amp;"]"&amp;E772&amp;"'!"&amp;$AH$2)),INDIRECT("'["&amp;G772&amp;"]"&amp;E772&amp;"'!"&amp;$Y$3),0)</f>
        <v>#VALUE!</v>
      </c>
      <c r="N772" s="34" t="e" cm="1">
        <f t="array" aca="1" ref="N772" ca="1">IF(AND(G772=INDIRECT("'["&amp;G772&amp;"]"&amp;E772&amp;"'!"&amp;$AH$2),OR(K772=INDIRECT("'["&amp;G772&amp;"]"&amp;E772&amp;"'!"&amp;$Z$2))),INDIRECT("'["&amp;G772&amp;"]"&amp;E772&amp;"'!"&amp;$Z$3),0)</f>
        <v>#VALUE!</v>
      </c>
      <c r="O772" s="34" t="e" cm="1">
        <f t="array" aca="1" ref="O772" ca="1">IF(AND(G772=INDIRECT("'["&amp;G772&amp;"]"&amp;E772&amp;"'!"&amp;$AH$2),OR(L772=INDIRECT("'["&amp;G772&amp;"]"&amp;E772&amp;"'!"&amp;$AA$2))),INDIRECT("'["&amp;G772&amp;"]"&amp;E772&amp;"'!"&amp;$AA$3),0)</f>
        <v>#VALUE!</v>
      </c>
      <c r="P772" s="34" t="e" cm="1">
        <f t="array" aca="1" ref="P772" ca="1">IF(AND(G772=INDIRECT("'["&amp;G772&amp;"]"&amp;E772&amp;"'!"&amp;$AH$2),OR(VALUE(I772)=INDIRECT("'["&amp;G772&amp;"]"&amp;E772&amp;"'!"&amp;$AB$2))),INDIRECT("'["&amp;G772&amp;"]"&amp;E772&amp;"'!"&amp;$AB$3),0)</f>
        <v>#VALUE!</v>
      </c>
      <c r="Q772" s="34" t="e" cm="1">
        <f t="array" aca="1" ref="Q772" ca="1">IF(AND(G772=INDIRECT("'["&amp;G772&amp;"]"&amp;E772&amp;"'!"&amp;$AH$2),OR(VALUE(I772)=INDIRECT("'["&amp;G772&amp;"]"&amp;E772&amp;"'!"&amp;$AC$2))),INDIRECT("'["&amp;G772&amp;"]"&amp;E772&amp;"'!"&amp;$AC$3),0)</f>
        <v>#VALUE!</v>
      </c>
      <c r="R772" s="34" t="e" cm="1">
        <f t="array" aca="1" ref="R772" ca="1">IF(AND(G772=INDIRECT("'["&amp;G772&amp;"]"&amp;E772&amp;"'!"&amp;$AH$2),OR(I772=INDIRECT("'["&amp;G772&amp;"]"&amp;E772&amp;"'!"&amp;$AD$2))),INDIRECT("'["&amp;G772&amp;"]"&amp;E772&amp;"'!"&amp;$AD$3),0)</f>
        <v>#VALUE!</v>
      </c>
      <c r="S772" s="34" t="e" cm="1">
        <f t="array" aca="1" ref="S772" ca="1">IF(AND(G772=INDIRECT("'["&amp;G772&amp;"]"&amp;E772&amp;"'!"&amp;$AH$2),OR(I772=INDIRECT("'["&amp;G772&amp;"]"&amp;E772&amp;"'!"&amp;$AE$2))),INDIRECT("'["&amp;G772&amp;"]"&amp;E772&amp;"'!"&amp;$AE$3),0)</f>
        <v>#VALUE!</v>
      </c>
      <c r="T772" s="35" t="e" cm="1">
        <f t="array" aca="1" ref="T772" ca="1">IF(AND(G772=INDIRECT("'["&amp;G772&amp;"]"&amp;E772&amp;"'!"&amp;$AH$2),OR(I772=INDIRECT("'["&amp;G772&amp;"]"&amp;E772&amp;"'!"&amp;$AF$2))),INDIRECT("'["&amp;G772&amp;"]"&amp;E772&amp;"'!"&amp;$AF$3),0)</f>
        <v>#VALUE!</v>
      </c>
      <c r="U772" s="34" t="e" cm="1">
        <f t="array" aca="1" ref="U772" ca="1">IF(AND(G772=INDIRECT("'["&amp;G772&amp;"]"&amp;E772&amp;"'!"&amp;$AH$2),OR(I772=INDIRECT("'["&amp;G772&amp;"]"&amp;E772&amp;"'!"&amp;$AG$2))),INDIRECT("'["&amp;G772&amp;"]"&amp;E772&amp;"'!"&amp;$AG$3),0)</f>
        <v>#VALUE!</v>
      </c>
      <c r="V772" s="25" t="str">
        <f t="shared" si="212"/>
        <v/>
      </c>
      <c r="W772" s="36" t="e" cm="1">
        <f t="array" aca="1" ref="W772" ca="1">IF(AND(G772=INDIRECT("'["&amp;G772&amp;"]"&amp;E772&amp;"'!"&amp;$AH$2),OR(V772=INDIRECT("'["&amp;G772&amp;"]"&amp;E772&amp;"'!"&amp;$AI$2))),INDIRECT("'["&amp;G772&amp;"]"&amp;E772&amp;"'!"&amp;$AI$3),0)</f>
        <v>#VALUE!</v>
      </c>
      <c r="AJ772" s="25">
        <v>1</v>
      </c>
      <c r="AK772" s="38">
        <f t="shared" ca="1" si="213"/>
        <v>0</v>
      </c>
      <c r="AL772" s="38">
        <f t="shared" ca="1" si="214"/>
        <v>0</v>
      </c>
      <c r="AM772" s="54" t="str">
        <f t="shared" ca="1" si="215"/>
        <v/>
      </c>
      <c r="AN772" s="25" t="e">
        <f t="shared" ca="1" si="216"/>
        <v>#VALUE!</v>
      </c>
      <c r="AO772" s="25" t="e">
        <f t="shared" ca="1" si="217"/>
        <v>#VALUE!</v>
      </c>
      <c r="AQ772" s="46" t="str">
        <f ca="1">IF(AND(C772&lt;&gt;0, C773=0), SUM($C$2:C772)-SUM($AQ$1:AQ771), "")</f>
        <v/>
      </c>
      <c r="AR772" s="46" t="str">
        <f ca="1">IF(AND(AK772&lt;&gt;0, AK773=0), SUM($AK$2:AK772)-SUM($AR$1:AR771), "")</f>
        <v/>
      </c>
    </row>
    <row r="773" spans="2:44" ht="13.15" customHeight="1">
      <c r="B773" s="68" t="str">
        <f t="shared" si="203"/>
        <v/>
      </c>
      <c r="C773" s="55" cm="1">
        <f t="array" aca="1" ref="C773" ca="1">SUM(IF(ISNUMBER(M773:U773),M773:U773,""))</f>
        <v>0</v>
      </c>
      <c r="D773" s="25" t="str">
        <f t="shared" si="204"/>
        <v/>
      </c>
      <c r="E773" s="25" t="e">
        <f t="shared" si="205"/>
        <v>#VALUE!</v>
      </c>
      <c r="F773" s="25" t="str">
        <f t="shared" si="206"/>
        <v/>
      </c>
      <c r="G773" s="25" t="str">
        <f t="shared" si="207"/>
        <v>.xlsx</v>
      </c>
      <c r="H773" s="29" t="e" cm="1">
        <f t="array" aca="1" ref="H773" ca="1">IF(AND(VALUE(E773)=INDIRECT("'["&amp;G773&amp;"]"&amp;E773&amp;"'!"&amp;$X$2),G773=INDIRECT("'["&amp;G773&amp;"]"&amp;E773&amp;"'!"&amp;$X$3)),INDIRECT("'["&amp;G773&amp;"]"&amp;E773&amp;"'!"&amp;$X$1),0)</f>
        <v>#VALUE!</v>
      </c>
      <c r="I773" s="25" t="str">
        <f t="shared" si="208"/>
        <v/>
      </c>
      <c r="J773" s="32" t="str">
        <f t="shared" si="209"/>
        <v/>
      </c>
      <c r="K773" s="25" t="str">
        <f t="shared" si="210"/>
        <v/>
      </c>
      <c r="L773" s="25" t="str">
        <f t="shared" si="211"/>
        <v/>
      </c>
      <c r="M773" s="33" t="e" cm="1">
        <f t="array" aca="1" ref="M773" ca="1">IF(AND(J773=INDIRECT("'["&amp;G773&amp;"]"&amp;E773&amp;"'!"&amp;$Y$2),G773=INDIRECT("'["&amp;G773&amp;"]"&amp;E773&amp;"'!"&amp;$AH$2)),INDIRECT("'["&amp;G773&amp;"]"&amp;E773&amp;"'!"&amp;$Y$3),0)</f>
        <v>#VALUE!</v>
      </c>
      <c r="N773" s="34" t="e" cm="1">
        <f t="array" aca="1" ref="N773" ca="1">IF(AND(G773=INDIRECT("'["&amp;G773&amp;"]"&amp;E773&amp;"'!"&amp;$AH$2),OR(K773=INDIRECT("'["&amp;G773&amp;"]"&amp;E773&amp;"'!"&amp;$Z$2))),INDIRECT("'["&amp;G773&amp;"]"&amp;E773&amp;"'!"&amp;$Z$3),0)</f>
        <v>#VALUE!</v>
      </c>
      <c r="O773" s="34" t="e" cm="1">
        <f t="array" aca="1" ref="O773" ca="1">IF(AND(G773=INDIRECT("'["&amp;G773&amp;"]"&amp;E773&amp;"'!"&amp;$AH$2),OR(L773=INDIRECT("'["&amp;G773&amp;"]"&amp;E773&amp;"'!"&amp;$AA$2))),INDIRECT("'["&amp;G773&amp;"]"&amp;E773&amp;"'!"&amp;$AA$3),0)</f>
        <v>#VALUE!</v>
      </c>
      <c r="P773" s="34" t="e" cm="1">
        <f t="array" aca="1" ref="P773" ca="1">IF(AND(G773=INDIRECT("'["&amp;G773&amp;"]"&amp;E773&amp;"'!"&amp;$AH$2),OR(VALUE(I773)=INDIRECT("'["&amp;G773&amp;"]"&amp;E773&amp;"'!"&amp;$AB$2))),INDIRECT("'["&amp;G773&amp;"]"&amp;E773&amp;"'!"&amp;$AB$3),0)</f>
        <v>#VALUE!</v>
      </c>
      <c r="Q773" s="34" t="e" cm="1">
        <f t="array" aca="1" ref="Q773" ca="1">IF(AND(G773=INDIRECT("'["&amp;G773&amp;"]"&amp;E773&amp;"'!"&amp;$AH$2),OR(VALUE(I773)=INDIRECT("'["&amp;G773&amp;"]"&amp;E773&amp;"'!"&amp;$AC$2))),INDIRECT("'["&amp;G773&amp;"]"&amp;E773&amp;"'!"&amp;$AC$3),0)</f>
        <v>#VALUE!</v>
      </c>
      <c r="R773" s="34" t="e" cm="1">
        <f t="array" aca="1" ref="R773" ca="1">IF(AND(G773=INDIRECT("'["&amp;G773&amp;"]"&amp;E773&amp;"'!"&amp;$AH$2),OR(I773=INDIRECT("'["&amp;G773&amp;"]"&amp;E773&amp;"'!"&amp;$AD$2))),INDIRECT("'["&amp;G773&amp;"]"&amp;E773&amp;"'!"&amp;$AD$3),0)</f>
        <v>#VALUE!</v>
      </c>
      <c r="S773" s="34" t="e" cm="1">
        <f t="array" aca="1" ref="S773" ca="1">IF(AND(G773=INDIRECT("'["&amp;G773&amp;"]"&amp;E773&amp;"'!"&amp;$AH$2),OR(I773=INDIRECT("'["&amp;G773&amp;"]"&amp;E773&amp;"'!"&amp;$AE$2))),INDIRECT("'["&amp;G773&amp;"]"&amp;E773&amp;"'!"&amp;$AE$3),0)</f>
        <v>#VALUE!</v>
      </c>
      <c r="T773" s="35" t="e" cm="1">
        <f t="array" aca="1" ref="T773" ca="1">IF(AND(G773=INDIRECT("'["&amp;G773&amp;"]"&amp;E773&amp;"'!"&amp;$AH$2),OR(I773=INDIRECT("'["&amp;G773&amp;"]"&amp;E773&amp;"'!"&amp;$AF$2))),INDIRECT("'["&amp;G773&amp;"]"&amp;E773&amp;"'!"&amp;$AF$3),0)</f>
        <v>#VALUE!</v>
      </c>
      <c r="U773" s="34" t="e" cm="1">
        <f t="array" aca="1" ref="U773" ca="1">IF(AND(G773=INDIRECT("'["&amp;G773&amp;"]"&amp;E773&amp;"'!"&amp;$AH$2),OR(I773=INDIRECT("'["&amp;G773&amp;"]"&amp;E773&amp;"'!"&amp;$AG$2))),INDIRECT("'["&amp;G773&amp;"]"&amp;E773&amp;"'!"&amp;$AG$3),0)</f>
        <v>#VALUE!</v>
      </c>
      <c r="V773" s="25" t="str">
        <f t="shared" si="212"/>
        <v/>
      </c>
      <c r="W773" s="36" t="e" cm="1">
        <f t="array" aca="1" ref="W773" ca="1">IF(AND(G773=INDIRECT("'["&amp;G773&amp;"]"&amp;E773&amp;"'!"&amp;$AH$2),OR(V773=INDIRECT("'["&amp;G773&amp;"]"&amp;E773&amp;"'!"&amp;$AI$2))),INDIRECT("'["&amp;G773&amp;"]"&amp;E773&amp;"'!"&amp;$AI$3),0)</f>
        <v>#VALUE!</v>
      </c>
      <c r="AJ773" s="25">
        <v>1</v>
      </c>
      <c r="AK773" s="38">
        <f t="shared" ca="1" si="213"/>
        <v>0</v>
      </c>
      <c r="AL773" s="38">
        <f t="shared" ca="1" si="214"/>
        <v>0</v>
      </c>
      <c r="AM773" s="54" t="str">
        <f t="shared" ca="1" si="215"/>
        <v/>
      </c>
      <c r="AN773" s="25" t="e">
        <f t="shared" ca="1" si="216"/>
        <v>#VALUE!</v>
      </c>
      <c r="AO773" s="25" t="e">
        <f t="shared" ca="1" si="217"/>
        <v>#VALUE!</v>
      </c>
      <c r="AQ773" s="46" t="str">
        <f ca="1">IF(AND(C773&lt;&gt;0, C774=0), SUM($C$2:C773)-SUM($AQ$1:AQ772), "")</f>
        <v/>
      </c>
      <c r="AR773" s="46" t="str">
        <f ca="1">IF(AND(AK773&lt;&gt;0, AK774=0), SUM($AK$2:AK773)-SUM($AR$1:AR772), "")</f>
        <v/>
      </c>
    </row>
    <row r="774" spans="2:44" ht="13.15" customHeight="1">
      <c r="B774" s="68" t="str">
        <f t="shared" si="203"/>
        <v/>
      </c>
      <c r="C774" s="55" cm="1">
        <f t="array" aca="1" ref="C774" ca="1">SUM(IF(ISNUMBER(M774:U774),M774:U774,""))</f>
        <v>0</v>
      </c>
      <c r="D774" s="25" t="str">
        <f t="shared" si="204"/>
        <v/>
      </c>
      <c r="E774" s="25" t="e">
        <f t="shared" si="205"/>
        <v>#VALUE!</v>
      </c>
      <c r="F774" s="25" t="str">
        <f t="shared" si="206"/>
        <v/>
      </c>
      <c r="G774" s="25" t="str">
        <f t="shared" si="207"/>
        <v>.xlsx</v>
      </c>
      <c r="H774" s="29" t="e" cm="1">
        <f t="array" aca="1" ref="H774" ca="1">IF(AND(VALUE(E774)=INDIRECT("'["&amp;G774&amp;"]"&amp;E774&amp;"'!"&amp;$X$2),G774=INDIRECT("'["&amp;G774&amp;"]"&amp;E774&amp;"'!"&amp;$X$3)),INDIRECT("'["&amp;G774&amp;"]"&amp;E774&amp;"'!"&amp;$X$1),0)</f>
        <v>#VALUE!</v>
      </c>
      <c r="I774" s="25" t="str">
        <f t="shared" si="208"/>
        <v/>
      </c>
      <c r="J774" s="32" t="str">
        <f t="shared" si="209"/>
        <v/>
      </c>
      <c r="K774" s="25" t="str">
        <f t="shared" si="210"/>
        <v/>
      </c>
      <c r="L774" s="25" t="str">
        <f t="shared" si="211"/>
        <v/>
      </c>
      <c r="M774" s="33" t="e" cm="1">
        <f t="array" aca="1" ref="M774" ca="1">IF(AND(J774=INDIRECT("'["&amp;G774&amp;"]"&amp;E774&amp;"'!"&amp;$Y$2),G774=INDIRECT("'["&amp;G774&amp;"]"&amp;E774&amp;"'!"&amp;$AH$2)),INDIRECT("'["&amp;G774&amp;"]"&amp;E774&amp;"'!"&amp;$Y$3),0)</f>
        <v>#VALUE!</v>
      </c>
      <c r="N774" s="34" t="e" cm="1">
        <f t="array" aca="1" ref="N774" ca="1">IF(AND(G774=INDIRECT("'["&amp;G774&amp;"]"&amp;E774&amp;"'!"&amp;$AH$2),OR(K774=INDIRECT("'["&amp;G774&amp;"]"&amp;E774&amp;"'!"&amp;$Z$2))),INDIRECT("'["&amp;G774&amp;"]"&amp;E774&amp;"'!"&amp;$Z$3),0)</f>
        <v>#VALUE!</v>
      </c>
      <c r="O774" s="34" t="e" cm="1">
        <f t="array" aca="1" ref="O774" ca="1">IF(AND(G774=INDIRECT("'["&amp;G774&amp;"]"&amp;E774&amp;"'!"&amp;$AH$2),OR(L774=INDIRECT("'["&amp;G774&amp;"]"&amp;E774&amp;"'!"&amp;$AA$2))),INDIRECT("'["&amp;G774&amp;"]"&amp;E774&amp;"'!"&amp;$AA$3),0)</f>
        <v>#VALUE!</v>
      </c>
      <c r="P774" s="34" t="e" cm="1">
        <f t="array" aca="1" ref="P774" ca="1">IF(AND(G774=INDIRECT("'["&amp;G774&amp;"]"&amp;E774&amp;"'!"&amp;$AH$2),OR(VALUE(I774)=INDIRECT("'["&amp;G774&amp;"]"&amp;E774&amp;"'!"&amp;$AB$2))),INDIRECT("'["&amp;G774&amp;"]"&amp;E774&amp;"'!"&amp;$AB$3),0)</f>
        <v>#VALUE!</v>
      </c>
      <c r="Q774" s="34" t="e" cm="1">
        <f t="array" aca="1" ref="Q774" ca="1">IF(AND(G774=INDIRECT("'["&amp;G774&amp;"]"&amp;E774&amp;"'!"&amp;$AH$2),OR(VALUE(I774)=INDIRECT("'["&amp;G774&amp;"]"&amp;E774&amp;"'!"&amp;$AC$2))),INDIRECT("'["&amp;G774&amp;"]"&amp;E774&amp;"'!"&amp;$AC$3),0)</f>
        <v>#VALUE!</v>
      </c>
      <c r="R774" s="34" t="e" cm="1">
        <f t="array" aca="1" ref="R774" ca="1">IF(AND(G774=INDIRECT("'["&amp;G774&amp;"]"&amp;E774&amp;"'!"&amp;$AH$2),OR(I774=INDIRECT("'["&amp;G774&amp;"]"&amp;E774&amp;"'!"&amp;$AD$2))),INDIRECT("'["&amp;G774&amp;"]"&amp;E774&amp;"'!"&amp;$AD$3),0)</f>
        <v>#VALUE!</v>
      </c>
      <c r="S774" s="34" t="e" cm="1">
        <f t="array" aca="1" ref="S774" ca="1">IF(AND(G774=INDIRECT("'["&amp;G774&amp;"]"&amp;E774&amp;"'!"&amp;$AH$2),OR(I774=INDIRECT("'["&amp;G774&amp;"]"&amp;E774&amp;"'!"&amp;$AE$2))),INDIRECT("'["&amp;G774&amp;"]"&amp;E774&amp;"'!"&amp;$AE$3),0)</f>
        <v>#VALUE!</v>
      </c>
      <c r="T774" s="35" t="e" cm="1">
        <f t="array" aca="1" ref="T774" ca="1">IF(AND(G774=INDIRECT("'["&amp;G774&amp;"]"&amp;E774&amp;"'!"&amp;$AH$2),OR(I774=INDIRECT("'["&amp;G774&amp;"]"&amp;E774&amp;"'!"&amp;$AF$2))),INDIRECT("'["&amp;G774&amp;"]"&amp;E774&amp;"'!"&amp;$AF$3),0)</f>
        <v>#VALUE!</v>
      </c>
      <c r="U774" s="34" t="e" cm="1">
        <f t="array" aca="1" ref="U774" ca="1">IF(AND(G774=INDIRECT("'["&amp;G774&amp;"]"&amp;E774&amp;"'!"&amp;$AH$2),OR(I774=INDIRECT("'["&amp;G774&amp;"]"&amp;E774&amp;"'!"&amp;$AG$2))),INDIRECT("'["&amp;G774&amp;"]"&amp;E774&amp;"'!"&amp;$AG$3),0)</f>
        <v>#VALUE!</v>
      </c>
      <c r="V774" s="25" t="str">
        <f t="shared" si="212"/>
        <v/>
      </c>
      <c r="W774" s="36" t="e" cm="1">
        <f t="array" aca="1" ref="W774" ca="1">IF(AND(G774=INDIRECT("'["&amp;G774&amp;"]"&amp;E774&amp;"'!"&amp;$AH$2),OR(V774=INDIRECT("'["&amp;G774&amp;"]"&amp;E774&amp;"'!"&amp;$AI$2))),INDIRECT("'["&amp;G774&amp;"]"&amp;E774&amp;"'!"&amp;$AI$3),0)</f>
        <v>#VALUE!</v>
      </c>
      <c r="AJ774" s="25">
        <v>1</v>
      </c>
      <c r="AK774" s="38">
        <f t="shared" ca="1" si="213"/>
        <v>0</v>
      </c>
      <c r="AL774" s="38">
        <f t="shared" ca="1" si="214"/>
        <v>0</v>
      </c>
      <c r="AM774" s="54" t="str">
        <f t="shared" ca="1" si="215"/>
        <v/>
      </c>
      <c r="AN774" s="25" t="e">
        <f t="shared" ca="1" si="216"/>
        <v>#VALUE!</v>
      </c>
      <c r="AO774" s="25" t="e">
        <f t="shared" ca="1" si="217"/>
        <v>#VALUE!</v>
      </c>
      <c r="AQ774" s="46" t="str">
        <f ca="1">IF(AND(C774&lt;&gt;0, C775=0), SUM($C$2:C774)-SUM($AQ$1:AQ773), "")</f>
        <v/>
      </c>
      <c r="AR774" s="46" t="str">
        <f ca="1">IF(AND(AK774&lt;&gt;0, AK775=0), SUM($AK$2:AK774)-SUM($AR$1:AR773), "")</f>
        <v/>
      </c>
    </row>
    <row r="775" spans="2:44" ht="13.15" customHeight="1">
      <c r="B775" s="68" t="str">
        <f t="shared" si="203"/>
        <v/>
      </c>
      <c r="C775" s="55" cm="1">
        <f t="array" aca="1" ref="C775" ca="1">SUM(IF(ISNUMBER(M775:U775),M775:U775,""))</f>
        <v>0</v>
      </c>
      <c r="D775" s="25" t="str">
        <f t="shared" si="204"/>
        <v/>
      </c>
      <c r="E775" s="25" t="e">
        <f t="shared" si="205"/>
        <v>#VALUE!</v>
      </c>
      <c r="F775" s="25" t="str">
        <f t="shared" si="206"/>
        <v/>
      </c>
      <c r="G775" s="25" t="str">
        <f t="shared" si="207"/>
        <v>.xlsx</v>
      </c>
      <c r="H775" s="29" t="e" cm="1">
        <f t="array" aca="1" ref="H775" ca="1">IF(AND(VALUE(E775)=INDIRECT("'["&amp;G775&amp;"]"&amp;E775&amp;"'!"&amp;$X$2),G775=INDIRECT("'["&amp;G775&amp;"]"&amp;E775&amp;"'!"&amp;$X$3)),INDIRECT("'["&amp;G775&amp;"]"&amp;E775&amp;"'!"&amp;$X$1),0)</f>
        <v>#VALUE!</v>
      </c>
      <c r="I775" s="25" t="str">
        <f t="shared" si="208"/>
        <v/>
      </c>
      <c r="J775" s="32" t="str">
        <f t="shared" si="209"/>
        <v/>
      </c>
      <c r="K775" s="25" t="str">
        <f t="shared" si="210"/>
        <v/>
      </c>
      <c r="L775" s="25" t="str">
        <f t="shared" si="211"/>
        <v/>
      </c>
      <c r="M775" s="33" t="e" cm="1">
        <f t="array" aca="1" ref="M775" ca="1">IF(AND(J775=INDIRECT("'["&amp;G775&amp;"]"&amp;E775&amp;"'!"&amp;$Y$2),G775=INDIRECT("'["&amp;G775&amp;"]"&amp;E775&amp;"'!"&amp;$AH$2)),INDIRECT("'["&amp;G775&amp;"]"&amp;E775&amp;"'!"&amp;$Y$3),0)</f>
        <v>#VALUE!</v>
      </c>
      <c r="N775" s="34" t="e" cm="1">
        <f t="array" aca="1" ref="N775" ca="1">IF(AND(G775=INDIRECT("'["&amp;G775&amp;"]"&amp;E775&amp;"'!"&amp;$AH$2),OR(K775=INDIRECT("'["&amp;G775&amp;"]"&amp;E775&amp;"'!"&amp;$Z$2))),INDIRECT("'["&amp;G775&amp;"]"&amp;E775&amp;"'!"&amp;$Z$3),0)</f>
        <v>#VALUE!</v>
      </c>
      <c r="O775" s="34" t="e" cm="1">
        <f t="array" aca="1" ref="O775" ca="1">IF(AND(G775=INDIRECT("'["&amp;G775&amp;"]"&amp;E775&amp;"'!"&amp;$AH$2),OR(L775=INDIRECT("'["&amp;G775&amp;"]"&amp;E775&amp;"'!"&amp;$AA$2))),INDIRECT("'["&amp;G775&amp;"]"&amp;E775&amp;"'!"&amp;$AA$3),0)</f>
        <v>#VALUE!</v>
      </c>
      <c r="P775" s="34" t="e" cm="1">
        <f t="array" aca="1" ref="P775" ca="1">IF(AND(G775=INDIRECT("'["&amp;G775&amp;"]"&amp;E775&amp;"'!"&amp;$AH$2),OR(VALUE(I775)=INDIRECT("'["&amp;G775&amp;"]"&amp;E775&amp;"'!"&amp;$AB$2))),INDIRECT("'["&amp;G775&amp;"]"&amp;E775&amp;"'!"&amp;$AB$3),0)</f>
        <v>#VALUE!</v>
      </c>
      <c r="Q775" s="34" t="e" cm="1">
        <f t="array" aca="1" ref="Q775" ca="1">IF(AND(G775=INDIRECT("'["&amp;G775&amp;"]"&amp;E775&amp;"'!"&amp;$AH$2),OR(VALUE(I775)=INDIRECT("'["&amp;G775&amp;"]"&amp;E775&amp;"'!"&amp;$AC$2))),INDIRECT("'["&amp;G775&amp;"]"&amp;E775&amp;"'!"&amp;$AC$3),0)</f>
        <v>#VALUE!</v>
      </c>
      <c r="R775" s="34" t="e" cm="1">
        <f t="array" aca="1" ref="R775" ca="1">IF(AND(G775=INDIRECT("'["&amp;G775&amp;"]"&amp;E775&amp;"'!"&amp;$AH$2),OR(I775=INDIRECT("'["&amp;G775&amp;"]"&amp;E775&amp;"'!"&amp;$AD$2))),INDIRECT("'["&amp;G775&amp;"]"&amp;E775&amp;"'!"&amp;$AD$3),0)</f>
        <v>#VALUE!</v>
      </c>
      <c r="S775" s="34" t="e" cm="1">
        <f t="array" aca="1" ref="S775" ca="1">IF(AND(G775=INDIRECT("'["&amp;G775&amp;"]"&amp;E775&amp;"'!"&amp;$AH$2),OR(I775=INDIRECT("'["&amp;G775&amp;"]"&amp;E775&amp;"'!"&amp;$AE$2))),INDIRECT("'["&amp;G775&amp;"]"&amp;E775&amp;"'!"&amp;$AE$3),0)</f>
        <v>#VALUE!</v>
      </c>
      <c r="T775" s="35" t="e" cm="1">
        <f t="array" aca="1" ref="T775" ca="1">IF(AND(G775=INDIRECT("'["&amp;G775&amp;"]"&amp;E775&amp;"'!"&amp;$AH$2),OR(I775=INDIRECT("'["&amp;G775&amp;"]"&amp;E775&amp;"'!"&amp;$AF$2))),INDIRECT("'["&amp;G775&amp;"]"&amp;E775&amp;"'!"&amp;$AF$3),0)</f>
        <v>#VALUE!</v>
      </c>
      <c r="U775" s="34" t="e" cm="1">
        <f t="array" aca="1" ref="U775" ca="1">IF(AND(G775=INDIRECT("'["&amp;G775&amp;"]"&amp;E775&amp;"'!"&amp;$AH$2),OR(I775=INDIRECT("'["&amp;G775&amp;"]"&amp;E775&amp;"'!"&amp;$AG$2))),INDIRECT("'["&amp;G775&amp;"]"&amp;E775&amp;"'!"&amp;$AG$3),0)</f>
        <v>#VALUE!</v>
      </c>
      <c r="V775" s="25" t="str">
        <f t="shared" si="212"/>
        <v/>
      </c>
      <c r="W775" s="36" t="e" cm="1">
        <f t="array" aca="1" ref="W775" ca="1">IF(AND(G775=INDIRECT("'["&amp;G775&amp;"]"&amp;E775&amp;"'!"&amp;$AH$2),OR(V775=INDIRECT("'["&amp;G775&amp;"]"&amp;E775&amp;"'!"&amp;$AI$2))),INDIRECT("'["&amp;G775&amp;"]"&amp;E775&amp;"'!"&amp;$AI$3),0)</f>
        <v>#VALUE!</v>
      </c>
      <c r="AJ775" s="25">
        <v>1</v>
      </c>
      <c r="AK775" s="38">
        <f t="shared" ca="1" si="213"/>
        <v>0</v>
      </c>
      <c r="AL775" s="38">
        <f t="shared" ca="1" si="214"/>
        <v>0</v>
      </c>
      <c r="AM775" s="54" t="str">
        <f t="shared" ca="1" si="215"/>
        <v/>
      </c>
      <c r="AN775" s="25" t="e">
        <f t="shared" ca="1" si="216"/>
        <v>#VALUE!</v>
      </c>
      <c r="AO775" s="25" t="e">
        <f t="shared" ca="1" si="217"/>
        <v>#VALUE!</v>
      </c>
      <c r="AQ775" s="46" t="str">
        <f ca="1">IF(AND(C775&lt;&gt;0, C776=0), SUM($C$2:C775)-SUM($AQ$1:AQ774), "")</f>
        <v/>
      </c>
      <c r="AR775" s="46" t="str">
        <f ca="1">IF(AND(AK775&lt;&gt;0, AK776=0), SUM($AK$2:AK775)-SUM($AR$1:AR774), "")</f>
        <v/>
      </c>
    </row>
    <row r="776" spans="2:44" ht="13.15" customHeight="1">
      <c r="B776" s="68" t="str">
        <f t="shared" si="203"/>
        <v/>
      </c>
      <c r="C776" s="55" cm="1">
        <f t="array" aca="1" ref="C776" ca="1">SUM(IF(ISNUMBER(M776:U776),M776:U776,""))</f>
        <v>0</v>
      </c>
      <c r="D776" s="25" t="str">
        <f t="shared" si="204"/>
        <v/>
      </c>
      <c r="E776" s="25" t="e">
        <f t="shared" si="205"/>
        <v>#VALUE!</v>
      </c>
      <c r="F776" s="25" t="str">
        <f t="shared" si="206"/>
        <v/>
      </c>
      <c r="G776" s="25" t="str">
        <f t="shared" si="207"/>
        <v>.xlsx</v>
      </c>
      <c r="H776" s="29" t="e" cm="1">
        <f t="array" aca="1" ref="H776" ca="1">IF(AND(VALUE(E776)=INDIRECT("'["&amp;G776&amp;"]"&amp;E776&amp;"'!"&amp;$X$2),G776=INDIRECT("'["&amp;G776&amp;"]"&amp;E776&amp;"'!"&amp;$X$3)),INDIRECT("'["&amp;G776&amp;"]"&amp;E776&amp;"'!"&amp;$X$1),0)</f>
        <v>#VALUE!</v>
      </c>
      <c r="I776" s="25" t="str">
        <f t="shared" si="208"/>
        <v/>
      </c>
      <c r="J776" s="32" t="str">
        <f t="shared" si="209"/>
        <v/>
      </c>
      <c r="K776" s="25" t="str">
        <f t="shared" si="210"/>
        <v/>
      </c>
      <c r="L776" s="25" t="str">
        <f t="shared" si="211"/>
        <v/>
      </c>
      <c r="M776" s="33" t="e" cm="1">
        <f t="array" aca="1" ref="M776" ca="1">IF(AND(J776=INDIRECT("'["&amp;G776&amp;"]"&amp;E776&amp;"'!"&amp;$Y$2),G776=INDIRECT("'["&amp;G776&amp;"]"&amp;E776&amp;"'!"&amp;$AH$2)),INDIRECT("'["&amp;G776&amp;"]"&amp;E776&amp;"'!"&amp;$Y$3),0)</f>
        <v>#VALUE!</v>
      </c>
      <c r="N776" s="34" t="e" cm="1">
        <f t="array" aca="1" ref="N776" ca="1">IF(AND(G776=INDIRECT("'["&amp;G776&amp;"]"&amp;E776&amp;"'!"&amp;$AH$2),OR(K776=INDIRECT("'["&amp;G776&amp;"]"&amp;E776&amp;"'!"&amp;$Z$2))),INDIRECT("'["&amp;G776&amp;"]"&amp;E776&amp;"'!"&amp;$Z$3),0)</f>
        <v>#VALUE!</v>
      </c>
      <c r="O776" s="34" t="e" cm="1">
        <f t="array" aca="1" ref="O776" ca="1">IF(AND(G776=INDIRECT("'["&amp;G776&amp;"]"&amp;E776&amp;"'!"&amp;$AH$2),OR(L776=INDIRECT("'["&amp;G776&amp;"]"&amp;E776&amp;"'!"&amp;$AA$2))),INDIRECT("'["&amp;G776&amp;"]"&amp;E776&amp;"'!"&amp;$AA$3),0)</f>
        <v>#VALUE!</v>
      </c>
      <c r="P776" s="34" t="e" cm="1">
        <f t="array" aca="1" ref="P776" ca="1">IF(AND(G776=INDIRECT("'["&amp;G776&amp;"]"&amp;E776&amp;"'!"&amp;$AH$2),OR(VALUE(I776)=INDIRECT("'["&amp;G776&amp;"]"&amp;E776&amp;"'!"&amp;$AB$2))),INDIRECT("'["&amp;G776&amp;"]"&amp;E776&amp;"'!"&amp;$AB$3),0)</f>
        <v>#VALUE!</v>
      </c>
      <c r="Q776" s="34" t="e" cm="1">
        <f t="array" aca="1" ref="Q776" ca="1">IF(AND(G776=INDIRECT("'["&amp;G776&amp;"]"&amp;E776&amp;"'!"&amp;$AH$2),OR(VALUE(I776)=INDIRECT("'["&amp;G776&amp;"]"&amp;E776&amp;"'!"&amp;$AC$2))),INDIRECT("'["&amp;G776&amp;"]"&amp;E776&amp;"'!"&amp;$AC$3),0)</f>
        <v>#VALUE!</v>
      </c>
      <c r="R776" s="34" t="e" cm="1">
        <f t="array" aca="1" ref="R776" ca="1">IF(AND(G776=INDIRECT("'["&amp;G776&amp;"]"&amp;E776&amp;"'!"&amp;$AH$2),OR(I776=INDIRECT("'["&amp;G776&amp;"]"&amp;E776&amp;"'!"&amp;$AD$2))),INDIRECT("'["&amp;G776&amp;"]"&amp;E776&amp;"'!"&amp;$AD$3),0)</f>
        <v>#VALUE!</v>
      </c>
      <c r="S776" s="34" t="e" cm="1">
        <f t="array" aca="1" ref="S776" ca="1">IF(AND(G776=INDIRECT("'["&amp;G776&amp;"]"&amp;E776&amp;"'!"&amp;$AH$2),OR(I776=INDIRECT("'["&amp;G776&amp;"]"&amp;E776&amp;"'!"&amp;$AE$2))),INDIRECT("'["&amp;G776&amp;"]"&amp;E776&amp;"'!"&amp;$AE$3),0)</f>
        <v>#VALUE!</v>
      </c>
      <c r="T776" s="35" t="e" cm="1">
        <f t="array" aca="1" ref="T776" ca="1">IF(AND(G776=INDIRECT("'["&amp;G776&amp;"]"&amp;E776&amp;"'!"&amp;$AH$2),OR(I776=INDIRECT("'["&amp;G776&amp;"]"&amp;E776&amp;"'!"&amp;$AF$2))),INDIRECT("'["&amp;G776&amp;"]"&amp;E776&amp;"'!"&amp;$AF$3),0)</f>
        <v>#VALUE!</v>
      </c>
      <c r="U776" s="34" t="e" cm="1">
        <f t="array" aca="1" ref="U776" ca="1">IF(AND(G776=INDIRECT("'["&amp;G776&amp;"]"&amp;E776&amp;"'!"&amp;$AH$2),OR(I776=INDIRECT("'["&amp;G776&amp;"]"&amp;E776&amp;"'!"&amp;$AG$2))),INDIRECT("'["&amp;G776&amp;"]"&amp;E776&amp;"'!"&amp;$AG$3),0)</f>
        <v>#VALUE!</v>
      </c>
      <c r="V776" s="25" t="str">
        <f t="shared" si="212"/>
        <v/>
      </c>
      <c r="W776" s="36" t="e" cm="1">
        <f t="array" aca="1" ref="W776" ca="1">IF(AND(G776=INDIRECT("'["&amp;G776&amp;"]"&amp;E776&amp;"'!"&amp;$AH$2),OR(V776=INDIRECT("'["&amp;G776&amp;"]"&amp;E776&amp;"'!"&amp;$AI$2))),INDIRECT("'["&amp;G776&amp;"]"&amp;E776&amp;"'!"&amp;$AI$3),0)</f>
        <v>#VALUE!</v>
      </c>
      <c r="AJ776" s="25">
        <v>1</v>
      </c>
      <c r="AK776" s="38">
        <f t="shared" ca="1" si="213"/>
        <v>0</v>
      </c>
      <c r="AL776" s="38">
        <f t="shared" ca="1" si="214"/>
        <v>0</v>
      </c>
      <c r="AM776" s="54" t="str">
        <f t="shared" ca="1" si="215"/>
        <v/>
      </c>
      <c r="AN776" s="25" t="e">
        <f t="shared" ca="1" si="216"/>
        <v>#VALUE!</v>
      </c>
      <c r="AO776" s="25" t="e">
        <f t="shared" ca="1" si="217"/>
        <v>#VALUE!</v>
      </c>
      <c r="AQ776" s="46" t="str">
        <f ca="1">IF(AND(C776&lt;&gt;0, C777=0), SUM($C$2:C776)-SUM($AQ$1:AQ775), "")</f>
        <v/>
      </c>
      <c r="AR776" s="46" t="str">
        <f ca="1">IF(AND(AK776&lt;&gt;0, AK777=0), SUM($AK$2:AK776)-SUM($AR$1:AR775), "")</f>
        <v/>
      </c>
    </row>
    <row r="777" spans="2:44" ht="13.15" customHeight="1">
      <c r="B777" s="68" t="str">
        <f t="shared" si="203"/>
        <v/>
      </c>
      <c r="C777" s="55" cm="1">
        <f t="array" aca="1" ref="C777" ca="1">SUM(IF(ISNUMBER(M777:U777),M777:U777,""))</f>
        <v>0</v>
      </c>
      <c r="D777" s="25" t="str">
        <f t="shared" si="204"/>
        <v/>
      </c>
      <c r="E777" s="25" t="e">
        <f t="shared" si="205"/>
        <v>#VALUE!</v>
      </c>
      <c r="F777" s="25" t="str">
        <f t="shared" si="206"/>
        <v/>
      </c>
      <c r="G777" s="25" t="str">
        <f t="shared" si="207"/>
        <v>.xlsx</v>
      </c>
      <c r="H777" s="29" t="e" cm="1">
        <f t="array" aca="1" ref="H777" ca="1">IF(AND(VALUE(E777)=INDIRECT("'["&amp;G777&amp;"]"&amp;E777&amp;"'!"&amp;$X$2),G777=INDIRECT("'["&amp;G777&amp;"]"&amp;E777&amp;"'!"&amp;$X$3)),INDIRECT("'["&amp;G777&amp;"]"&amp;E777&amp;"'!"&amp;$X$1),0)</f>
        <v>#VALUE!</v>
      </c>
      <c r="I777" s="25" t="str">
        <f t="shared" si="208"/>
        <v/>
      </c>
      <c r="J777" s="32" t="str">
        <f t="shared" si="209"/>
        <v/>
      </c>
      <c r="K777" s="25" t="str">
        <f t="shared" si="210"/>
        <v/>
      </c>
      <c r="L777" s="25" t="str">
        <f t="shared" si="211"/>
        <v/>
      </c>
      <c r="M777" s="33" t="e" cm="1">
        <f t="array" aca="1" ref="M777" ca="1">IF(AND(J777=INDIRECT("'["&amp;G777&amp;"]"&amp;E777&amp;"'!"&amp;$Y$2),G777=INDIRECT("'["&amp;G777&amp;"]"&amp;E777&amp;"'!"&amp;$AH$2)),INDIRECT("'["&amp;G777&amp;"]"&amp;E777&amp;"'!"&amp;$Y$3),0)</f>
        <v>#VALUE!</v>
      </c>
      <c r="N777" s="34" t="e" cm="1">
        <f t="array" aca="1" ref="N777" ca="1">IF(AND(G777=INDIRECT("'["&amp;G777&amp;"]"&amp;E777&amp;"'!"&amp;$AH$2),OR(K777=INDIRECT("'["&amp;G777&amp;"]"&amp;E777&amp;"'!"&amp;$Z$2))),INDIRECT("'["&amp;G777&amp;"]"&amp;E777&amp;"'!"&amp;$Z$3),0)</f>
        <v>#VALUE!</v>
      </c>
      <c r="O777" s="34" t="e" cm="1">
        <f t="array" aca="1" ref="O777" ca="1">IF(AND(G777=INDIRECT("'["&amp;G777&amp;"]"&amp;E777&amp;"'!"&amp;$AH$2),OR(L777=INDIRECT("'["&amp;G777&amp;"]"&amp;E777&amp;"'!"&amp;$AA$2))),INDIRECT("'["&amp;G777&amp;"]"&amp;E777&amp;"'!"&amp;$AA$3),0)</f>
        <v>#VALUE!</v>
      </c>
      <c r="P777" s="34" t="e" cm="1">
        <f t="array" aca="1" ref="P777" ca="1">IF(AND(G777=INDIRECT("'["&amp;G777&amp;"]"&amp;E777&amp;"'!"&amp;$AH$2),OR(VALUE(I777)=INDIRECT("'["&amp;G777&amp;"]"&amp;E777&amp;"'!"&amp;$AB$2))),INDIRECT("'["&amp;G777&amp;"]"&amp;E777&amp;"'!"&amp;$AB$3),0)</f>
        <v>#VALUE!</v>
      </c>
      <c r="Q777" s="34" t="e" cm="1">
        <f t="array" aca="1" ref="Q777" ca="1">IF(AND(G777=INDIRECT("'["&amp;G777&amp;"]"&amp;E777&amp;"'!"&amp;$AH$2),OR(VALUE(I777)=INDIRECT("'["&amp;G777&amp;"]"&amp;E777&amp;"'!"&amp;$AC$2))),INDIRECT("'["&amp;G777&amp;"]"&amp;E777&amp;"'!"&amp;$AC$3),0)</f>
        <v>#VALUE!</v>
      </c>
      <c r="R777" s="34" t="e" cm="1">
        <f t="array" aca="1" ref="R777" ca="1">IF(AND(G777=INDIRECT("'["&amp;G777&amp;"]"&amp;E777&amp;"'!"&amp;$AH$2),OR(I777=INDIRECT("'["&amp;G777&amp;"]"&amp;E777&amp;"'!"&amp;$AD$2))),INDIRECT("'["&amp;G777&amp;"]"&amp;E777&amp;"'!"&amp;$AD$3),0)</f>
        <v>#VALUE!</v>
      </c>
      <c r="S777" s="34" t="e" cm="1">
        <f t="array" aca="1" ref="S777" ca="1">IF(AND(G777=INDIRECT("'["&amp;G777&amp;"]"&amp;E777&amp;"'!"&amp;$AH$2),OR(I777=INDIRECT("'["&amp;G777&amp;"]"&amp;E777&amp;"'!"&amp;$AE$2))),INDIRECT("'["&amp;G777&amp;"]"&amp;E777&amp;"'!"&amp;$AE$3),0)</f>
        <v>#VALUE!</v>
      </c>
      <c r="T777" s="35" t="e" cm="1">
        <f t="array" aca="1" ref="T777" ca="1">IF(AND(G777=INDIRECT("'["&amp;G777&amp;"]"&amp;E777&amp;"'!"&amp;$AH$2),OR(I777=INDIRECT("'["&amp;G777&amp;"]"&amp;E777&amp;"'!"&amp;$AF$2))),INDIRECT("'["&amp;G777&amp;"]"&amp;E777&amp;"'!"&amp;$AF$3),0)</f>
        <v>#VALUE!</v>
      </c>
      <c r="U777" s="34" t="e" cm="1">
        <f t="array" aca="1" ref="U777" ca="1">IF(AND(G777=INDIRECT("'["&amp;G777&amp;"]"&amp;E777&amp;"'!"&amp;$AH$2),OR(I777=INDIRECT("'["&amp;G777&amp;"]"&amp;E777&amp;"'!"&amp;$AG$2))),INDIRECT("'["&amp;G777&amp;"]"&amp;E777&amp;"'!"&amp;$AG$3),0)</f>
        <v>#VALUE!</v>
      </c>
      <c r="V777" s="25" t="str">
        <f t="shared" si="212"/>
        <v/>
      </c>
      <c r="W777" s="36" t="e" cm="1">
        <f t="array" aca="1" ref="W777" ca="1">IF(AND(G777=INDIRECT("'["&amp;G777&amp;"]"&amp;E777&amp;"'!"&amp;$AH$2),OR(V777=INDIRECT("'["&amp;G777&amp;"]"&amp;E777&amp;"'!"&amp;$AI$2))),INDIRECT("'["&amp;G777&amp;"]"&amp;E777&amp;"'!"&amp;$AI$3),0)</f>
        <v>#VALUE!</v>
      </c>
      <c r="AJ777" s="25">
        <v>1</v>
      </c>
      <c r="AK777" s="38">
        <f t="shared" ca="1" si="213"/>
        <v>0</v>
      </c>
      <c r="AL777" s="38">
        <f t="shared" ca="1" si="214"/>
        <v>0</v>
      </c>
      <c r="AM777" s="54" t="str">
        <f t="shared" ca="1" si="215"/>
        <v/>
      </c>
      <c r="AN777" s="25" t="e">
        <f t="shared" ca="1" si="216"/>
        <v>#VALUE!</v>
      </c>
      <c r="AO777" s="25" t="e">
        <f t="shared" ca="1" si="217"/>
        <v>#VALUE!</v>
      </c>
      <c r="AQ777" s="46" t="str">
        <f ca="1">IF(AND(C777&lt;&gt;0, C778=0), SUM($C$2:C777)-SUM($AQ$1:AQ776), "")</f>
        <v/>
      </c>
      <c r="AR777" s="46" t="str">
        <f ca="1">IF(AND(AK777&lt;&gt;0, AK778=0), SUM($AK$2:AK777)-SUM($AR$1:AR776), "")</f>
        <v/>
      </c>
    </row>
    <row r="778" spans="2:44" ht="13.15" customHeight="1">
      <c r="B778" s="68" t="str">
        <f t="shared" si="203"/>
        <v/>
      </c>
      <c r="C778" s="55" cm="1">
        <f t="array" aca="1" ref="C778" ca="1">SUM(IF(ISNUMBER(M778:U778),M778:U778,""))</f>
        <v>0</v>
      </c>
      <c r="D778" s="25" t="str">
        <f t="shared" si="204"/>
        <v/>
      </c>
      <c r="E778" s="25" t="e">
        <f t="shared" si="205"/>
        <v>#VALUE!</v>
      </c>
      <c r="F778" s="25" t="str">
        <f t="shared" si="206"/>
        <v/>
      </c>
      <c r="G778" s="25" t="str">
        <f t="shared" si="207"/>
        <v>.xlsx</v>
      </c>
      <c r="H778" s="29" t="e" cm="1">
        <f t="array" aca="1" ref="H778" ca="1">IF(AND(VALUE(E778)=INDIRECT("'["&amp;G778&amp;"]"&amp;E778&amp;"'!"&amp;$X$2),G778=INDIRECT("'["&amp;G778&amp;"]"&amp;E778&amp;"'!"&amp;$X$3)),INDIRECT("'["&amp;G778&amp;"]"&amp;E778&amp;"'!"&amp;$X$1),0)</f>
        <v>#VALUE!</v>
      </c>
      <c r="I778" s="25" t="str">
        <f t="shared" si="208"/>
        <v/>
      </c>
      <c r="J778" s="32" t="str">
        <f t="shared" si="209"/>
        <v/>
      </c>
      <c r="K778" s="25" t="str">
        <f t="shared" si="210"/>
        <v/>
      </c>
      <c r="L778" s="25" t="str">
        <f t="shared" si="211"/>
        <v/>
      </c>
      <c r="M778" s="33" t="e" cm="1">
        <f t="array" aca="1" ref="M778" ca="1">IF(AND(J778=INDIRECT("'["&amp;G778&amp;"]"&amp;E778&amp;"'!"&amp;$Y$2),G778=INDIRECT("'["&amp;G778&amp;"]"&amp;E778&amp;"'!"&amp;$AH$2)),INDIRECT("'["&amp;G778&amp;"]"&amp;E778&amp;"'!"&amp;$Y$3),0)</f>
        <v>#VALUE!</v>
      </c>
      <c r="N778" s="34" t="e" cm="1">
        <f t="array" aca="1" ref="N778" ca="1">IF(AND(G778=INDIRECT("'["&amp;G778&amp;"]"&amp;E778&amp;"'!"&amp;$AH$2),OR(K778=INDIRECT("'["&amp;G778&amp;"]"&amp;E778&amp;"'!"&amp;$Z$2))),INDIRECT("'["&amp;G778&amp;"]"&amp;E778&amp;"'!"&amp;$Z$3),0)</f>
        <v>#VALUE!</v>
      </c>
      <c r="O778" s="34" t="e" cm="1">
        <f t="array" aca="1" ref="O778" ca="1">IF(AND(G778=INDIRECT("'["&amp;G778&amp;"]"&amp;E778&amp;"'!"&amp;$AH$2),OR(L778=INDIRECT("'["&amp;G778&amp;"]"&amp;E778&amp;"'!"&amp;$AA$2))),INDIRECT("'["&amp;G778&amp;"]"&amp;E778&amp;"'!"&amp;$AA$3),0)</f>
        <v>#VALUE!</v>
      </c>
      <c r="P778" s="34" t="e" cm="1">
        <f t="array" aca="1" ref="P778" ca="1">IF(AND(G778=INDIRECT("'["&amp;G778&amp;"]"&amp;E778&amp;"'!"&amp;$AH$2),OR(VALUE(I778)=INDIRECT("'["&amp;G778&amp;"]"&amp;E778&amp;"'!"&amp;$AB$2))),INDIRECT("'["&amp;G778&amp;"]"&amp;E778&amp;"'!"&amp;$AB$3),0)</f>
        <v>#VALUE!</v>
      </c>
      <c r="Q778" s="34" t="e" cm="1">
        <f t="array" aca="1" ref="Q778" ca="1">IF(AND(G778=INDIRECT("'["&amp;G778&amp;"]"&amp;E778&amp;"'!"&amp;$AH$2),OR(VALUE(I778)=INDIRECT("'["&amp;G778&amp;"]"&amp;E778&amp;"'!"&amp;$AC$2))),INDIRECT("'["&amp;G778&amp;"]"&amp;E778&amp;"'!"&amp;$AC$3),0)</f>
        <v>#VALUE!</v>
      </c>
      <c r="R778" s="34" t="e" cm="1">
        <f t="array" aca="1" ref="R778" ca="1">IF(AND(G778=INDIRECT("'["&amp;G778&amp;"]"&amp;E778&amp;"'!"&amp;$AH$2),OR(I778=INDIRECT("'["&amp;G778&amp;"]"&amp;E778&amp;"'!"&amp;$AD$2))),INDIRECT("'["&amp;G778&amp;"]"&amp;E778&amp;"'!"&amp;$AD$3),0)</f>
        <v>#VALUE!</v>
      </c>
      <c r="S778" s="34" t="e" cm="1">
        <f t="array" aca="1" ref="S778" ca="1">IF(AND(G778=INDIRECT("'["&amp;G778&amp;"]"&amp;E778&amp;"'!"&amp;$AH$2),OR(I778=INDIRECT("'["&amp;G778&amp;"]"&amp;E778&amp;"'!"&amp;$AE$2))),INDIRECT("'["&amp;G778&amp;"]"&amp;E778&amp;"'!"&amp;$AE$3),0)</f>
        <v>#VALUE!</v>
      </c>
      <c r="T778" s="35" t="e" cm="1">
        <f t="array" aca="1" ref="T778" ca="1">IF(AND(G778=INDIRECT("'["&amp;G778&amp;"]"&amp;E778&amp;"'!"&amp;$AH$2),OR(I778=INDIRECT("'["&amp;G778&amp;"]"&amp;E778&amp;"'!"&amp;$AF$2))),INDIRECT("'["&amp;G778&amp;"]"&amp;E778&amp;"'!"&amp;$AF$3),0)</f>
        <v>#VALUE!</v>
      </c>
      <c r="U778" s="34" t="e" cm="1">
        <f t="array" aca="1" ref="U778" ca="1">IF(AND(G778=INDIRECT("'["&amp;G778&amp;"]"&amp;E778&amp;"'!"&amp;$AH$2),OR(I778=INDIRECT("'["&amp;G778&amp;"]"&amp;E778&amp;"'!"&amp;$AG$2))),INDIRECT("'["&amp;G778&amp;"]"&amp;E778&amp;"'!"&amp;$AG$3),0)</f>
        <v>#VALUE!</v>
      </c>
      <c r="V778" s="25" t="str">
        <f t="shared" si="212"/>
        <v/>
      </c>
      <c r="W778" s="36" t="e" cm="1">
        <f t="array" aca="1" ref="W778" ca="1">IF(AND(G778=INDIRECT("'["&amp;G778&amp;"]"&amp;E778&amp;"'!"&amp;$AH$2),OR(V778=INDIRECT("'["&amp;G778&amp;"]"&amp;E778&amp;"'!"&amp;$AI$2))),INDIRECT("'["&amp;G778&amp;"]"&amp;E778&amp;"'!"&amp;$AI$3),0)</f>
        <v>#VALUE!</v>
      </c>
      <c r="AJ778" s="25">
        <v>1</v>
      </c>
      <c r="AK778" s="38">
        <f t="shared" ca="1" si="213"/>
        <v>0</v>
      </c>
      <c r="AL778" s="38">
        <f t="shared" ca="1" si="214"/>
        <v>0</v>
      </c>
      <c r="AM778" s="54" t="str">
        <f t="shared" ca="1" si="215"/>
        <v/>
      </c>
      <c r="AN778" s="25" t="e">
        <f t="shared" ca="1" si="216"/>
        <v>#VALUE!</v>
      </c>
      <c r="AO778" s="25" t="e">
        <f t="shared" ca="1" si="217"/>
        <v>#VALUE!</v>
      </c>
      <c r="AQ778" s="46" t="str">
        <f ca="1">IF(AND(C778&lt;&gt;0, C779=0), SUM($C$2:C778)-SUM($AQ$1:AQ777), "")</f>
        <v/>
      </c>
      <c r="AR778" s="46" t="str">
        <f ca="1">IF(AND(AK778&lt;&gt;0, AK779=0), SUM($AK$2:AK778)-SUM($AR$1:AR777), "")</f>
        <v/>
      </c>
    </row>
    <row r="779" spans="2:44" ht="13.15" customHeight="1">
      <c r="B779" s="68" t="str">
        <f t="shared" si="203"/>
        <v/>
      </c>
      <c r="C779" s="55" cm="1">
        <f t="array" aca="1" ref="C779" ca="1">SUM(IF(ISNUMBER(M779:U779),M779:U779,""))</f>
        <v>0</v>
      </c>
      <c r="D779" s="25" t="str">
        <f t="shared" si="204"/>
        <v/>
      </c>
      <c r="E779" s="25" t="e">
        <f t="shared" si="205"/>
        <v>#VALUE!</v>
      </c>
      <c r="F779" s="25" t="str">
        <f t="shared" si="206"/>
        <v/>
      </c>
      <c r="G779" s="25" t="str">
        <f t="shared" si="207"/>
        <v>.xlsx</v>
      </c>
      <c r="H779" s="29" t="e" cm="1">
        <f t="array" aca="1" ref="H779" ca="1">IF(AND(VALUE(E779)=INDIRECT("'["&amp;G779&amp;"]"&amp;E779&amp;"'!"&amp;$X$2),G779=INDIRECT("'["&amp;G779&amp;"]"&amp;E779&amp;"'!"&amp;$X$3)),INDIRECT("'["&amp;G779&amp;"]"&amp;E779&amp;"'!"&amp;$X$1),0)</f>
        <v>#VALUE!</v>
      </c>
      <c r="I779" s="25" t="str">
        <f t="shared" si="208"/>
        <v/>
      </c>
      <c r="J779" s="32" t="str">
        <f t="shared" si="209"/>
        <v/>
      </c>
      <c r="K779" s="25" t="str">
        <f t="shared" si="210"/>
        <v/>
      </c>
      <c r="L779" s="25" t="str">
        <f t="shared" si="211"/>
        <v/>
      </c>
      <c r="M779" s="33" t="e" cm="1">
        <f t="array" aca="1" ref="M779" ca="1">IF(AND(J779=INDIRECT("'["&amp;G779&amp;"]"&amp;E779&amp;"'!"&amp;$Y$2),G779=INDIRECT("'["&amp;G779&amp;"]"&amp;E779&amp;"'!"&amp;$AH$2)),INDIRECT("'["&amp;G779&amp;"]"&amp;E779&amp;"'!"&amp;$Y$3),0)</f>
        <v>#VALUE!</v>
      </c>
      <c r="N779" s="34" t="e" cm="1">
        <f t="array" aca="1" ref="N779" ca="1">IF(AND(G779=INDIRECT("'["&amp;G779&amp;"]"&amp;E779&amp;"'!"&amp;$AH$2),OR(K779=INDIRECT("'["&amp;G779&amp;"]"&amp;E779&amp;"'!"&amp;$Z$2))),INDIRECT("'["&amp;G779&amp;"]"&amp;E779&amp;"'!"&amp;$Z$3),0)</f>
        <v>#VALUE!</v>
      </c>
      <c r="O779" s="34" t="e" cm="1">
        <f t="array" aca="1" ref="O779" ca="1">IF(AND(G779=INDIRECT("'["&amp;G779&amp;"]"&amp;E779&amp;"'!"&amp;$AH$2),OR(L779=INDIRECT("'["&amp;G779&amp;"]"&amp;E779&amp;"'!"&amp;$AA$2))),INDIRECT("'["&amp;G779&amp;"]"&amp;E779&amp;"'!"&amp;$AA$3),0)</f>
        <v>#VALUE!</v>
      </c>
      <c r="P779" s="34" t="e" cm="1">
        <f t="array" aca="1" ref="P779" ca="1">IF(AND(G779=INDIRECT("'["&amp;G779&amp;"]"&amp;E779&amp;"'!"&amp;$AH$2),OR(VALUE(I779)=INDIRECT("'["&amp;G779&amp;"]"&amp;E779&amp;"'!"&amp;$AB$2))),INDIRECT("'["&amp;G779&amp;"]"&amp;E779&amp;"'!"&amp;$AB$3),0)</f>
        <v>#VALUE!</v>
      </c>
      <c r="Q779" s="34" t="e" cm="1">
        <f t="array" aca="1" ref="Q779" ca="1">IF(AND(G779=INDIRECT("'["&amp;G779&amp;"]"&amp;E779&amp;"'!"&amp;$AH$2),OR(VALUE(I779)=INDIRECT("'["&amp;G779&amp;"]"&amp;E779&amp;"'!"&amp;$AC$2))),INDIRECT("'["&amp;G779&amp;"]"&amp;E779&amp;"'!"&amp;$AC$3),0)</f>
        <v>#VALUE!</v>
      </c>
      <c r="R779" s="34" t="e" cm="1">
        <f t="array" aca="1" ref="R779" ca="1">IF(AND(G779=INDIRECT("'["&amp;G779&amp;"]"&amp;E779&amp;"'!"&amp;$AH$2),OR(I779=INDIRECT("'["&amp;G779&amp;"]"&amp;E779&amp;"'!"&amp;$AD$2))),INDIRECT("'["&amp;G779&amp;"]"&amp;E779&amp;"'!"&amp;$AD$3),0)</f>
        <v>#VALUE!</v>
      </c>
      <c r="S779" s="34" t="e" cm="1">
        <f t="array" aca="1" ref="S779" ca="1">IF(AND(G779=INDIRECT("'["&amp;G779&amp;"]"&amp;E779&amp;"'!"&amp;$AH$2),OR(I779=INDIRECT("'["&amp;G779&amp;"]"&amp;E779&amp;"'!"&amp;$AE$2))),INDIRECT("'["&amp;G779&amp;"]"&amp;E779&amp;"'!"&amp;$AE$3),0)</f>
        <v>#VALUE!</v>
      </c>
      <c r="T779" s="35" t="e" cm="1">
        <f t="array" aca="1" ref="T779" ca="1">IF(AND(G779=INDIRECT("'["&amp;G779&amp;"]"&amp;E779&amp;"'!"&amp;$AH$2),OR(I779=INDIRECT("'["&amp;G779&amp;"]"&amp;E779&amp;"'!"&amp;$AF$2))),INDIRECT("'["&amp;G779&amp;"]"&amp;E779&amp;"'!"&amp;$AF$3),0)</f>
        <v>#VALUE!</v>
      </c>
      <c r="U779" s="34" t="e" cm="1">
        <f t="array" aca="1" ref="U779" ca="1">IF(AND(G779=INDIRECT("'["&amp;G779&amp;"]"&amp;E779&amp;"'!"&amp;$AH$2),OR(I779=INDIRECT("'["&amp;G779&amp;"]"&amp;E779&amp;"'!"&amp;$AG$2))),INDIRECT("'["&amp;G779&amp;"]"&amp;E779&amp;"'!"&amp;$AG$3),0)</f>
        <v>#VALUE!</v>
      </c>
      <c r="V779" s="25" t="str">
        <f t="shared" si="212"/>
        <v/>
      </c>
      <c r="W779" s="36" t="e" cm="1">
        <f t="array" aca="1" ref="W779" ca="1">IF(AND(G779=INDIRECT("'["&amp;G779&amp;"]"&amp;E779&amp;"'!"&amp;$AH$2),OR(V779=INDIRECT("'["&amp;G779&amp;"]"&amp;E779&amp;"'!"&amp;$AI$2))),INDIRECT("'["&amp;G779&amp;"]"&amp;E779&amp;"'!"&amp;$AI$3),0)</f>
        <v>#VALUE!</v>
      </c>
      <c r="AJ779" s="25">
        <v>1</v>
      </c>
      <c r="AK779" s="38">
        <f t="shared" ca="1" si="213"/>
        <v>0</v>
      </c>
      <c r="AL779" s="38">
        <f t="shared" ca="1" si="214"/>
        <v>0</v>
      </c>
      <c r="AM779" s="54" t="str">
        <f t="shared" ca="1" si="215"/>
        <v/>
      </c>
      <c r="AN779" s="25" t="e">
        <f t="shared" ca="1" si="216"/>
        <v>#VALUE!</v>
      </c>
      <c r="AO779" s="25" t="e">
        <f t="shared" ca="1" si="217"/>
        <v>#VALUE!</v>
      </c>
      <c r="AQ779" s="46" t="str">
        <f ca="1">IF(AND(C779&lt;&gt;0, C780=0), SUM($C$2:C779)-SUM($AQ$1:AQ778), "")</f>
        <v/>
      </c>
      <c r="AR779" s="46" t="str">
        <f ca="1">IF(AND(AK779&lt;&gt;0, AK780=0), SUM($AK$2:AK779)-SUM($AR$1:AR778), "")</f>
        <v/>
      </c>
    </row>
    <row r="780" spans="2:44" ht="13.15" customHeight="1">
      <c r="B780" s="68" t="str">
        <f t="shared" si="203"/>
        <v/>
      </c>
      <c r="C780" s="55" cm="1">
        <f t="array" aca="1" ref="C780" ca="1">SUM(IF(ISNUMBER(M780:U780),M780:U780,""))</f>
        <v>0</v>
      </c>
      <c r="D780" s="25" t="str">
        <f t="shared" si="204"/>
        <v/>
      </c>
      <c r="E780" s="25" t="e">
        <f t="shared" si="205"/>
        <v>#VALUE!</v>
      </c>
      <c r="F780" s="25" t="str">
        <f t="shared" si="206"/>
        <v/>
      </c>
      <c r="G780" s="25" t="str">
        <f t="shared" si="207"/>
        <v>.xlsx</v>
      </c>
      <c r="H780" s="29" t="e" cm="1">
        <f t="array" aca="1" ref="H780" ca="1">IF(AND(VALUE(E780)=INDIRECT("'["&amp;G780&amp;"]"&amp;E780&amp;"'!"&amp;$X$2),G780=INDIRECT("'["&amp;G780&amp;"]"&amp;E780&amp;"'!"&amp;$X$3)),INDIRECT("'["&amp;G780&amp;"]"&amp;E780&amp;"'!"&amp;$X$1),0)</f>
        <v>#VALUE!</v>
      </c>
      <c r="I780" s="25" t="str">
        <f t="shared" si="208"/>
        <v/>
      </c>
      <c r="J780" s="32" t="str">
        <f t="shared" si="209"/>
        <v/>
      </c>
      <c r="K780" s="25" t="str">
        <f t="shared" si="210"/>
        <v/>
      </c>
      <c r="L780" s="25" t="str">
        <f t="shared" si="211"/>
        <v/>
      </c>
      <c r="M780" s="33" t="e" cm="1">
        <f t="array" aca="1" ref="M780" ca="1">IF(AND(J780=INDIRECT("'["&amp;G780&amp;"]"&amp;E780&amp;"'!"&amp;$Y$2),G780=INDIRECT("'["&amp;G780&amp;"]"&amp;E780&amp;"'!"&amp;$AH$2)),INDIRECT("'["&amp;G780&amp;"]"&amp;E780&amp;"'!"&amp;$Y$3),0)</f>
        <v>#VALUE!</v>
      </c>
      <c r="N780" s="34" t="e" cm="1">
        <f t="array" aca="1" ref="N780" ca="1">IF(AND(G780=INDIRECT("'["&amp;G780&amp;"]"&amp;E780&amp;"'!"&amp;$AH$2),OR(K780=INDIRECT("'["&amp;G780&amp;"]"&amp;E780&amp;"'!"&amp;$Z$2))),INDIRECT("'["&amp;G780&amp;"]"&amp;E780&amp;"'!"&amp;$Z$3),0)</f>
        <v>#VALUE!</v>
      </c>
      <c r="O780" s="34" t="e" cm="1">
        <f t="array" aca="1" ref="O780" ca="1">IF(AND(G780=INDIRECT("'["&amp;G780&amp;"]"&amp;E780&amp;"'!"&amp;$AH$2),OR(L780=INDIRECT("'["&amp;G780&amp;"]"&amp;E780&amp;"'!"&amp;$AA$2))),INDIRECT("'["&amp;G780&amp;"]"&amp;E780&amp;"'!"&amp;$AA$3),0)</f>
        <v>#VALUE!</v>
      </c>
      <c r="P780" s="34" t="e" cm="1">
        <f t="array" aca="1" ref="P780" ca="1">IF(AND(G780=INDIRECT("'["&amp;G780&amp;"]"&amp;E780&amp;"'!"&amp;$AH$2),OR(VALUE(I780)=INDIRECT("'["&amp;G780&amp;"]"&amp;E780&amp;"'!"&amp;$AB$2))),INDIRECT("'["&amp;G780&amp;"]"&amp;E780&amp;"'!"&amp;$AB$3),0)</f>
        <v>#VALUE!</v>
      </c>
      <c r="Q780" s="34" t="e" cm="1">
        <f t="array" aca="1" ref="Q780" ca="1">IF(AND(G780=INDIRECT("'["&amp;G780&amp;"]"&amp;E780&amp;"'!"&amp;$AH$2),OR(VALUE(I780)=INDIRECT("'["&amp;G780&amp;"]"&amp;E780&amp;"'!"&amp;$AC$2))),INDIRECT("'["&amp;G780&amp;"]"&amp;E780&amp;"'!"&amp;$AC$3),0)</f>
        <v>#VALUE!</v>
      </c>
      <c r="R780" s="34" t="e" cm="1">
        <f t="array" aca="1" ref="R780" ca="1">IF(AND(G780=INDIRECT("'["&amp;G780&amp;"]"&amp;E780&amp;"'!"&amp;$AH$2),OR(I780=INDIRECT("'["&amp;G780&amp;"]"&amp;E780&amp;"'!"&amp;$AD$2))),INDIRECT("'["&amp;G780&amp;"]"&amp;E780&amp;"'!"&amp;$AD$3),0)</f>
        <v>#VALUE!</v>
      </c>
      <c r="S780" s="34" t="e" cm="1">
        <f t="array" aca="1" ref="S780" ca="1">IF(AND(G780=INDIRECT("'["&amp;G780&amp;"]"&amp;E780&amp;"'!"&amp;$AH$2),OR(I780=INDIRECT("'["&amp;G780&amp;"]"&amp;E780&amp;"'!"&amp;$AE$2))),INDIRECT("'["&amp;G780&amp;"]"&amp;E780&amp;"'!"&amp;$AE$3),0)</f>
        <v>#VALUE!</v>
      </c>
      <c r="T780" s="35" t="e" cm="1">
        <f t="array" aca="1" ref="T780" ca="1">IF(AND(G780=INDIRECT("'["&amp;G780&amp;"]"&amp;E780&amp;"'!"&amp;$AH$2),OR(I780=INDIRECT("'["&amp;G780&amp;"]"&amp;E780&amp;"'!"&amp;$AF$2))),INDIRECT("'["&amp;G780&amp;"]"&amp;E780&amp;"'!"&amp;$AF$3),0)</f>
        <v>#VALUE!</v>
      </c>
      <c r="U780" s="34" t="e" cm="1">
        <f t="array" aca="1" ref="U780" ca="1">IF(AND(G780=INDIRECT("'["&amp;G780&amp;"]"&amp;E780&amp;"'!"&amp;$AH$2),OR(I780=INDIRECT("'["&amp;G780&amp;"]"&amp;E780&amp;"'!"&amp;$AG$2))),INDIRECT("'["&amp;G780&amp;"]"&amp;E780&amp;"'!"&amp;$AG$3),0)</f>
        <v>#VALUE!</v>
      </c>
      <c r="V780" s="25" t="str">
        <f t="shared" si="212"/>
        <v/>
      </c>
      <c r="W780" s="36" t="e" cm="1">
        <f t="array" aca="1" ref="W780" ca="1">IF(AND(G780=INDIRECT("'["&amp;G780&amp;"]"&amp;E780&amp;"'!"&amp;$AH$2),OR(V780=INDIRECT("'["&amp;G780&amp;"]"&amp;E780&amp;"'!"&amp;$AI$2))),INDIRECT("'["&amp;G780&amp;"]"&amp;E780&amp;"'!"&amp;$AI$3),0)</f>
        <v>#VALUE!</v>
      </c>
      <c r="AJ780" s="25">
        <v>1</v>
      </c>
      <c r="AK780" s="38">
        <f t="shared" ca="1" si="213"/>
        <v>0</v>
      </c>
      <c r="AL780" s="38">
        <f t="shared" ca="1" si="214"/>
        <v>0</v>
      </c>
      <c r="AM780" s="54" t="str">
        <f t="shared" ca="1" si="215"/>
        <v/>
      </c>
      <c r="AN780" s="25" t="e">
        <f t="shared" ca="1" si="216"/>
        <v>#VALUE!</v>
      </c>
      <c r="AO780" s="25" t="e">
        <f t="shared" ca="1" si="217"/>
        <v>#VALUE!</v>
      </c>
      <c r="AQ780" s="46" t="str">
        <f ca="1">IF(AND(C780&lt;&gt;0, C781=0), SUM($C$2:C780)-SUM($AQ$1:AQ779), "")</f>
        <v/>
      </c>
      <c r="AR780" s="46" t="str">
        <f ca="1">IF(AND(AK780&lt;&gt;0, AK781=0), SUM($AK$2:AK780)-SUM($AR$1:AR779), "")</f>
        <v/>
      </c>
    </row>
    <row r="781" spans="2:44" ht="13.15" customHeight="1">
      <c r="B781" s="68" t="str">
        <f t="shared" si="203"/>
        <v/>
      </c>
      <c r="C781" s="55" cm="1">
        <f t="array" aca="1" ref="C781" ca="1">SUM(IF(ISNUMBER(M781:U781),M781:U781,""))</f>
        <v>0</v>
      </c>
      <c r="D781" s="25" t="str">
        <f t="shared" si="204"/>
        <v/>
      </c>
      <c r="E781" s="25" t="e">
        <f t="shared" si="205"/>
        <v>#VALUE!</v>
      </c>
      <c r="F781" s="25" t="str">
        <f t="shared" si="206"/>
        <v/>
      </c>
      <c r="G781" s="25" t="str">
        <f t="shared" si="207"/>
        <v>.xlsx</v>
      </c>
      <c r="H781" s="29" t="e" cm="1">
        <f t="array" aca="1" ref="H781" ca="1">IF(AND(VALUE(E781)=INDIRECT("'["&amp;G781&amp;"]"&amp;E781&amp;"'!"&amp;$X$2),G781=INDIRECT("'["&amp;G781&amp;"]"&amp;E781&amp;"'!"&amp;$X$3)),INDIRECT("'["&amp;G781&amp;"]"&amp;E781&amp;"'!"&amp;$X$1),0)</f>
        <v>#VALUE!</v>
      </c>
      <c r="I781" s="25" t="str">
        <f t="shared" si="208"/>
        <v/>
      </c>
      <c r="J781" s="32" t="str">
        <f t="shared" si="209"/>
        <v/>
      </c>
      <c r="K781" s="25" t="str">
        <f t="shared" si="210"/>
        <v/>
      </c>
      <c r="L781" s="25" t="str">
        <f t="shared" si="211"/>
        <v/>
      </c>
      <c r="M781" s="33" t="e" cm="1">
        <f t="array" aca="1" ref="M781" ca="1">IF(AND(J781=INDIRECT("'["&amp;G781&amp;"]"&amp;E781&amp;"'!"&amp;$Y$2),G781=INDIRECT("'["&amp;G781&amp;"]"&amp;E781&amp;"'!"&amp;$AH$2)),INDIRECT("'["&amp;G781&amp;"]"&amp;E781&amp;"'!"&amp;$Y$3),0)</f>
        <v>#VALUE!</v>
      </c>
      <c r="N781" s="34" t="e" cm="1">
        <f t="array" aca="1" ref="N781" ca="1">IF(AND(G781=INDIRECT("'["&amp;G781&amp;"]"&amp;E781&amp;"'!"&amp;$AH$2),OR(K781=INDIRECT("'["&amp;G781&amp;"]"&amp;E781&amp;"'!"&amp;$Z$2))),INDIRECT("'["&amp;G781&amp;"]"&amp;E781&amp;"'!"&amp;$Z$3),0)</f>
        <v>#VALUE!</v>
      </c>
      <c r="O781" s="34" t="e" cm="1">
        <f t="array" aca="1" ref="O781" ca="1">IF(AND(G781=INDIRECT("'["&amp;G781&amp;"]"&amp;E781&amp;"'!"&amp;$AH$2),OR(L781=INDIRECT("'["&amp;G781&amp;"]"&amp;E781&amp;"'!"&amp;$AA$2))),INDIRECT("'["&amp;G781&amp;"]"&amp;E781&amp;"'!"&amp;$AA$3),0)</f>
        <v>#VALUE!</v>
      </c>
      <c r="P781" s="34" t="e" cm="1">
        <f t="array" aca="1" ref="P781" ca="1">IF(AND(G781=INDIRECT("'["&amp;G781&amp;"]"&amp;E781&amp;"'!"&amp;$AH$2),OR(VALUE(I781)=INDIRECT("'["&amp;G781&amp;"]"&amp;E781&amp;"'!"&amp;$AB$2))),INDIRECT("'["&amp;G781&amp;"]"&amp;E781&amp;"'!"&amp;$AB$3),0)</f>
        <v>#VALUE!</v>
      </c>
      <c r="Q781" s="34" t="e" cm="1">
        <f t="array" aca="1" ref="Q781" ca="1">IF(AND(G781=INDIRECT("'["&amp;G781&amp;"]"&amp;E781&amp;"'!"&amp;$AH$2),OR(VALUE(I781)=INDIRECT("'["&amp;G781&amp;"]"&amp;E781&amp;"'!"&amp;$AC$2))),INDIRECT("'["&amp;G781&amp;"]"&amp;E781&amp;"'!"&amp;$AC$3),0)</f>
        <v>#VALUE!</v>
      </c>
      <c r="R781" s="34" t="e" cm="1">
        <f t="array" aca="1" ref="R781" ca="1">IF(AND(G781=INDIRECT("'["&amp;G781&amp;"]"&amp;E781&amp;"'!"&amp;$AH$2),OR(I781=INDIRECT("'["&amp;G781&amp;"]"&amp;E781&amp;"'!"&amp;$AD$2))),INDIRECT("'["&amp;G781&amp;"]"&amp;E781&amp;"'!"&amp;$AD$3),0)</f>
        <v>#VALUE!</v>
      </c>
      <c r="S781" s="34" t="e" cm="1">
        <f t="array" aca="1" ref="S781" ca="1">IF(AND(G781=INDIRECT("'["&amp;G781&amp;"]"&amp;E781&amp;"'!"&amp;$AH$2),OR(I781=INDIRECT("'["&amp;G781&amp;"]"&amp;E781&amp;"'!"&amp;$AE$2))),INDIRECT("'["&amp;G781&amp;"]"&amp;E781&amp;"'!"&amp;$AE$3),0)</f>
        <v>#VALUE!</v>
      </c>
      <c r="T781" s="35" t="e" cm="1">
        <f t="array" aca="1" ref="T781" ca="1">IF(AND(G781=INDIRECT("'["&amp;G781&amp;"]"&amp;E781&amp;"'!"&amp;$AH$2),OR(I781=INDIRECT("'["&amp;G781&amp;"]"&amp;E781&amp;"'!"&amp;$AF$2))),INDIRECT("'["&amp;G781&amp;"]"&amp;E781&amp;"'!"&amp;$AF$3),0)</f>
        <v>#VALUE!</v>
      </c>
      <c r="U781" s="34" t="e" cm="1">
        <f t="array" aca="1" ref="U781" ca="1">IF(AND(G781=INDIRECT("'["&amp;G781&amp;"]"&amp;E781&amp;"'!"&amp;$AH$2),OR(I781=INDIRECT("'["&amp;G781&amp;"]"&amp;E781&amp;"'!"&amp;$AG$2))),INDIRECT("'["&amp;G781&amp;"]"&amp;E781&amp;"'!"&amp;$AG$3),0)</f>
        <v>#VALUE!</v>
      </c>
      <c r="V781" s="25" t="str">
        <f t="shared" si="212"/>
        <v/>
      </c>
      <c r="W781" s="36" t="e" cm="1">
        <f t="array" aca="1" ref="W781" ca="1">IF(AND(G781=INDIRECT("'["&amp;G781&amp;"]"&amp;E781&amp;"'!"&amp;$AH$2),OR(V781=INDIRECT("'["&amp;G781&amp;"]"&amp;E781&amp;"'!"&amp;$AI$2))),INDIRECT("'["&amp;G781&amp;"]"&amp;E781&amp;"'!"&amp;$AI$3),0)</f>
        <v>#VALUE!</v>
      </c>
      <c r="AJ781" s="25">
        <v>1</v>
      </c>
      <c r="AK781" s="38">
        <f t="shared" ca="1" si="213"/>
        <v>0</v>
      </c>
      <c r="AL781" s="38">
        <f t="shared" ca="1" si="214"/>
        <v>0</v>
      </c>
      <c r="AM781" s="54" t="str">
        <f t="shared" ca="1" si="215"/>
        <v/>
      </c>
      <c r="AN781" s="25" t="e">
        <f t="shared" ca="1" si="216"/>
        <v>#VALUE!</v>
      </c>
      <c r="AO781" s="25" t="e">
        <f t="shared" ca="1" si="217"/>
        <v>#VALUE!</v>
      </c>
      <c r="AQ781" s="46" t="str">
        <f ca="1">IF(AND(C781&lt;&gt;0, C782=0), SUM($C$2:C781)-SUM($AQ$1:AQ780), "")</f>
        <v/>
      </c>
      <c r="AR781" s="46" t="str">
        <f ca="1">IF(AND(AK781&lt;&gt;0, AK782=0), SUM($AK$2:AK781)-SUM($AR$1:AR780), "")</f>
        <v/>
      </c>
    </row>
    <row r="782" spans="2:44" ht="13.15" customHeight="1">
      <c r="B782" s="68" t="str">
        <f t="shared" si="203"/>
        <v/>
      </c>
      <c r="C782" s="55" cm="1">
        <f t="array" aca="1" ref="C782" ca="1">SUM(IF(ISNUMBER(M782:U782),M782:U782,""))</f>
        <v>0</v>
      </c>
      <c r="D782" s="25" t="str">
        <f t="shared" si="204"/>
        <v/>
      </c>
      <c r="E782" s="25" t="e">
        <f t="shared" si="205"/>
        <v>#VALUE!</v>
      </c>
      <c r="F782" s="25" t="str">
        <f t="shared" si="206"/>
        <v/>
      </c>
      <c r="G782" s="25" t="str">
        <f t="shared" si="207"/>
        <v>.xlsx</v>
      </c>
      <c r="H782" s="29" t="e" cm="1">
        <f t="array" aca="1" ref="H782" ca="1">IF(AND(VALUE(E782)=INDIRECT("'["&amp;G782&amp;"]"&amp;E782&amp;"'!"&amp;$X$2),G782=INDIRECT("'["&amp;G782&amp;"]"&amp;E782&amp;"'!"&amp;$X$3)),INDIRECT("'["&amp;G782&amp;"]"&amp;E782&amp;"'!"&amp;$X$1),0)</f>
        <v>#VALUE!</v>
      </c>
      <c r="I782" s="25" t="str">
        <f t="shared" si="208"/>
        <v/>
      </c>
      <c r="J782" s="32" t="str">
        <f t="shared" si="209"/>
        <v/>
      </c>
      <c r="K782" s="25" t="str">
        <f t="shared" si="210"/>
        <v/>
      </c>
      <c r="L782" s="25" t="str">
        <f t="shared" si="211"/>
        <v/>
      </c>
      <c r="M782" s="33" t="e" cm="1">
        <f t="array" aca="1" ref="M782" ca="1">IF(AND(J782=INDIRECT("'["&amp;G782&amp;"]"&amp;E782&amp;"'!"&amp;$Y$2),G782=INDIRECT("'["&amp;G782&amp;"]"&amp;E782&amp;"'!"&amp;$AH$2)),INDIRECT("'["&amp;G782&amp;"]"&amp;E782&amp;"'!"&amp;$Y$3),0)</f>
        <v>#VALUE!</v>
      </c>
      <c r="N782" s="34" t="e" cm="1">
        <f t="array" aca="1" ref="N782" ca="1">IF(AND(G782=INDIRECT("'["&amp;G782&amp;"]"&amp;E782&amp;"'!"&amp;$AH$2),OR(K782=INDIRECT("'["&amp;G782&amp;"]"&amp;E782&amp;"'!"&amp;$Z$2))),INDIRECT("'["&amp;G782&amp;"]"&amp;E782&amp;"'!"&amp;$Z$3),0)</f>
        <v>#VALUE!</v>
      </c>
      <c r="O782" s="34" t="e" cm="1">
        <f t="array" aca="1" ref="O782" ca="1">IF(AND(G782=INDIRECT("'["&amp;G782&amp;"]"&amp;E782&amp;"'!"&amp;$AH$2),OR(L782=INDIRECT("'["&amp;G782&amp;"]"&amp;E782&amp;"'!"&amp;$AA$2))),INDIRECT("'["&amp;G782&amp;"]"&amp;E782&amp;"'!"&amp;$AA$3),0)</f>
        <v>#VALUE!</v>
      </c>
      <c r="P782" s="34" t="e" cm="1">
        <f t="array" aca="1" ref="P782" ca="1">IF(AND(G782=INDIRECT("'["&amp;G782&amp;"]"&amp;E782&amp;"'!"&amp;$AH$2),OR(VALUE(I782)=INDIRECT("'["&amp;G782&amp;"]"&amp;E782&amp;"'!"&amp;$AB$2))),INDIRECT("'["&amp;G782&amp;"]"&amp;E782&amp;"'!"&amp;$AB$3),0)</f>
        <v>#VALUE!</v>
      </c>
      <c r="Q782" s="34" t="e" cm="1">
        <f t="array" aca="1" ref="Q782" ca="1">IF(AND(G782=INDIRECT("'["&amp;G782&amp;"]"&amp;E782&amp;"'!"&amp;$AH$2),OR(VALUE(I782)=INDIRECT("'["&amp;G782&amp;"]"&amp;E782&amp;"'!"&amp;$AC$2))),INDIRECT("'["&amp;G782&amp;"]"&amp;E782&amp;"'!"&amp;$AC$3),0)</f>
        <v>#VALUE!</v>
      </c>
      <c r="R782" s="34" t="e" cm="1">
        <f t="array" aca="1" ref="R782" ca="1">IF(AND(G782=INDIRECT("'["&amp;G782&amp;"]"&amp;E782&amp;"'!"&amp;$AH$2),OR(I782=INDIRECT("'["&amp;G782&amp;"]"&amp;E782&amp;"'!"&amp;$AD$2))),INDIRECT("'["&amp;G782&amp;"]"&amp;E782&amp;"'!"&amp;$AD$3),0)</f>
        <v>#VALUE!</v>
      </c>
      <c r="S782" s="34" t="e" cm="1">
        <f t="array" aca="1" ref="S782" ca="1">IF(AND(G782=INDIRECT("'["&amp;G782&amp;"]"&amp;E782&amp;"'!"&amp;$AH$2),OR(I782=INDIRECT("'["&amp;G782&amp;"]"&amp;E782&amp;"'!"&amp;$AE$2))),INDIRECT("'["&amp;G782&amp;"]"&amp;E782&amp;"'!"&amp;$AE$3),0)</f>
        <v>#VALUE!</v>
      </c>
      <c r="T782" s="35" t="e" cm="1">
        <f t="array" aca="1" ref="T782" ca="1">IF(AND(G782=INDIRECT("'["&amp;G782&amp;"]"&amp;E782&amp;"'!"&amp;$AH$2),OR(I782=INDIRECT("'["&amp;G782&amp;"]"&amp;E782&amp;"'!"&amp;$AF$2))),INDIRECT("'["&amp;G782&amp;"]"&amp;E782&amp;"'!"&amp;$AF$3),0)</f>
        <v>#VALUE!</v>
      </c>
      <c r="U782" s="34" t="e" cm="1">
        <f t="array" aca="1" ref="U782" ca="1">IF(AND(G782=INDIRECT("'["&amp;G782&amp;"]"&amp;E782&amp;"'!"&amp;$AH$2),OR(I782=INDIRECT("'["&amp;G782&amp;"]"&amp;E782&amp;"'!"&amp;$AG$2))),INDIRECT("'["&amp;G782&amp;"]"&amp;E782&amp;"'!"&amp;$AG$3),0)</f>
        <v>#VALUE!</v>
      </c>
      <c r="V782" s="25" t="str">
        <f t="shared" si="212"/>
        <v/>
      </c>
      <c r="W782" s="36" t="e" cm="1">
        <f t="array" aca="1" ref="W782" ca="1">IF(AND(G782=INDIRECT("'["&amp;G782&amp;"]"&amp;E782&amp;"'!"&amp;$AH$2),OR(V782=INDIRECT("'["&amp;G782&amp;"]"&amp;E782&amp;"'!"&amp;$AI$2))),INDIRECT("'["&amp;G782&amp;"]"&amp;E782&amp;"'!"&amp;$AI$3),0)</f>
        <v>#VALUE!</v>
      </c>
      <c r="AJ782" s="25">
        <v>1</v>
      </c>
      <c r="AK782" s="38">
        <f t="shared" ca="1" si="213"/>
        <v>0</v>
      </c>
      <c r="AL782" s="38">
        <f t="shared" ca="1" si="214"/>
        <v>0</v>
      </c>
      <c r="AM782" s="54" t="str">
        <f t="shared" ca="1" si="215"/>
        <v/>
      </c>
      <c r="AN782" s="25" t="e">
        <f t="shared" ca="1" si="216"/>
        <v>#VALUE!</v>
      </c>
      <c r="AO782" s="25" t="e">
        <f t="shared" ca="1" si="217"/>
        <v>#VALUE!</v>
      </c>
      <c r="AQ782" s="46" t="str">
        <f ca="1">IF(AND(C782&lt;&gt;0, C783=0), SUM($C$2:C782)-SUM($AQ$1:AQ781), "")</f>
        <v/>
      </c>
      <c r="AR782" s="46" t="str">
        <f ca="1">IF(AND(AK782&lt;&gt;0, AK783=0), SUM($AK$2:AK782)-SUM($AR$1:AR781), "")</f>
        <v/>
      </c>
    </row>
    <row r="783" spans="2:44" ht="13.15" customHeight="1">
      <c r="B783" s="68" t="str">
        <f t="shared" si="203"/>
        <v/>
      </c>
      <c r="C783" s="55" cm="1">
        <f t="array" aca="1" ref="C783" ca="1">SUM(IF(ISNUMBER(M783:U783),M783:U783,""))</f>
        <v>0</v>
      </c>
      <c r="D783" s="25" t="str">
        <f t="shared" si="204"/>
        <v/>
      </c>
      <c r="E783" s="25" t="e">
        <f t="shared" si="205"/>
        <v>#VALUE!</v>
      </c>
      <c r="F783" s="25" t="str">
        <f t="shared" si="206"/>
        <v/>
      </c>
      <c r="G783" s="25" t="str">
        <f t="shared" si="207"/>
        <v>.xlsx</v>
      </c>
      <c r="H783" s="29" t="e" cm="1">
        <f t="array" aca="1" ref="H783" ca="1">IF(AND(VALUE(E783)=INDIRECT("'["&amp;G783&amp;"]"&amp;E783&amp;"'!"&amp;$X$2),G783=INDIRECT("'["&amp;G783&amp;"]"&amp;E783&amp;"'!"&amp;$X$3)),INDIRECT("'["&amp;G783&amp;"]"&amp;E783&amp;"'!"&amp;$X$1),0)</f>
        <v>#VALUE!</v>
      </c>
      <c r="I783" s="25" t="str">
        <f t="shared" si="208"/>
        <v/>
      </c>
      <c r="J783" s="32" t="str">
        <f t="shared" si="209"/>
        <v/>
      </c>
      <c r="K783" s="25" t="str">
        <f t="shared" si="210"/>
        <v/>
      </c>
      <c r="L783" s="25" t="str">
        <f t="shared" si="211"/>
        <v/>
      </c>
      <c r="M783" s="33" t="e" cm="1">
        <f t="array" aca="1" ref="M783" ca="1">IF(AND(J783=INDIRECT("'["&amp;G783&amp;"]"&amp;E783&amp;"'!"&amp;$Y$2),G783=INDIRECT("'["&amp;G783&amp;"]"&amp;E783&amp;"'!"&amp;$AH$2)),INDIRECT("'["&amp;G783&amp;"]"&amp;E783&amp;"'!"&amp;$Y$3),0)</f>
        <v>#VALUE!</v>
      </c>
      <c r="N783" s="34" t="e" cm="1">
        <f t="array" aca="1" ref="N783" ca="1">IF(AND(G783=INDIRECT("'["&amp;G783&amp;"]"&amp;E783&amp;"'!"&amp;$AH$2),OR(K783=INDIRECT("'["&amp;G783&amp;"]"&amp;E783&amp;"'!"&amp;$Z$2))),INDIRECT("'["&amp;G783&amp;"]"&amp;E783&amp;"'!"&amp;$Z$3),0)</f>
        <v>#VALUE!</v>
      </c>
      <c r="O783" s="34" t="e" cm="1">
        <f t="array" aca="1" ref="O783" ca="1">IF(AND(G783=INDIRECT("'["&amp;G783&amp;"]"&amp;E783&amp;"'!"&amp;$AH$2),OR(L783=INDIRECT("'["&amp;G783&amp;"]"&amp;E783&amp;"'!"&amp;$AA$2))),INDIRECT("'["&amp;G783&amp;"]"&amp;E783&amp;"'!"&amp;$AA$3),0)</f>
        <v>#VALUE!</v>
      </c>
      <c r="P783" s="34" t="e" cm="1">
        <f t="array" aca="1" ref="P783" ca="1">IF(AND(G783=INDIRECT("'["&amp;G783&amp;"]"&amp;E783&amp;"'!"&amp;$AH$2),OR(VALUE(I783)=INDIRECT("'["&amp;G783&amp;"]"&amp;E783&amp;"'!"&amp;$AB$2))),INDIRECT("'["&amp;G783&amp;"]"&amp;E783&amp;"'!"&amp;$AB$3),0)</f>
        <v>#VALUE!</v>
      </c>
      <c r="Q783" s="34" t="e" cm="1">
        <f t="array" aca="1" ref="Q783" ca="1">IF(AND(G783=INDIRECT("'["&amp;G783&amp;"]"&amp;E783&amp;"'!"&amp;$AH$2),OR(VALUE(I783)=INDIRECT("'["&amp;G783&amp;"]"&amp;E783&amp;"'!"&amp;$AC$2))),INDIRECT("'["&amp;G783&amp;"]"&amp;E783&amp;"'!"&amp;$AC$3),0)</f>
        <v>#VALUE!</v>
      </c>
      <c r="R783" s="34" t="e" cm="1">
        <f t="array" aca="1" ref="R783" ca="1">IF(AND(G783=INDIRECT("'["&amp;G783&amp;"]"&amp;E783&amp;"'!"&amp;$AH$2),OR(I783=INDIRECT("'["&amp;G783&amp;"]"&amp;E783&amp;"'!"&amp;$AD$2))),INDIRECT("'["&amp;G783&amp;"]"&amp;E783&amp;"'!"&amp;$AD$3),0)</f>
        <v>#VALUE!</v>
      </c>
      <c r="S783" s="34" t="e" cm="1">
        <f t="array" aca="1" ref="S783" ca="1">IF(AND(G783=INDIRECT("'["&amp;G783&amp;"]"&amp;E783&amp;"'!"&amp;$AH$2),OR(I783=INDIRECT("'["&amp;G783&amp;"]"&amp;E783&amp;"'!"&amp;$AE$2))),INDIRECT("'["&amp;G783&amp;"]"&amp;E783&amp;"'!"&amp;$AE$3),0)</f>
        <v>#VALUE!</v>
      </c>
      <c r="T783" s="35" t="e" cm="1">
        <f t="array" aca="1" ref="T783" ca="1">IF(AND(G783=INDIRECT("'["&amp;G783&amp;"]"&amp;E783&amp;"'!"&amp;$AH$2),OR(I783=INDIRECT("'["&amp;G783&amp;"]"&amp;E783&amp;"'!"&amp;$AF$2))),INDIRECT("'["&amp;G783&amp;"]"&amp;E783&amp;"'!"&amp;$AF$3),0)</f>
        <v>#VALUE!</v>
      </c>
      <c r="U783" s="34" t="e" cm="1">
        <f t="array" aca="1" ref="U783" ca="1">IF(AND(G783=INDIRECT("'["&amp;G783&amp;"]"&amp;E783&amp;"'!"&amp;$AH$2),OR(I783=INDIRECT("'["&amp;G783&amp;"]"&amp;E783&amp;"'!"&amp;$AG$2))),INDIRECT("'["&amp;G783&amp;"]"&amp;E783&amp;"'!"&amp;$AG$3),0)</f>
        <v>#VALUE!</v>
      </c>
      <c r="V783" s="25" t="str">
        <f t="shared" si="212"/>
        <v/>
      </c>
      <c r="W783" s="36" t="e" cm="1">
        <f t="array" aca="1" ref="W783" ca="1">IF(AND(G783=INDIRECT("'["&amp;G783&amp;"]"&amp;E783&amp;"'!"&amp;$AH$2),OR(V783=INDIRECT("'["&amp;G783&amp;"]"&amp;E783&amp;"'!"&amp;$AI$2))),INDIRECT("'["&amp;G783&amp;"]"&amp;E783&amp;"'!"&amp;$AI$3),0)</f>
        <v>#VALUE!</v>
      </c>
      <c r="AJ783" s="25">
        <v>1</v>
      </c>
      <c r="AK783" s="38">
        <f t="shared" ca="1" si="213"/>
        <v>0</v>
      </c>
      <c r="AL783" s="38">
        <f t="shared" ca="1" si="214"/>
        <v>0</v>
      </c>
      <c r="AM783" s="54" t="str">
        <f t="shared" ca="1" si="215"/>
        <v/>
      </c>
      <c r="AN783" s="25" t="e">
        <f t="shared" ca="1" si="216"/>
        <v>#VALUE!</v>
      </c>
      <c r="AO783" s="25" t="e">
        <f t="shared" ca="1" si="217"/>
        <v>#VALUE!</v>
      </c>
      <c r="AQ783" s="46" t="str">
        <f ca="1">IF(AND(C783&lt;&gt;0, C784=0), SUM($C$2:C783)-SUM($AQ$1:AQ782), "")</f>
        <v/>
      </c>
      <c r="AR783" s="46" t="str">
        <f ca="1">IF(AND(AK783&lt;&gt;0, AK784=0), SUM($AK$2:AK783)-SUM($AR$1:AR782), "")</f>
        <v/>
      </c>
    </row>
    <row r="784" spans="2:44" ht="13.15" customHeight="1">
      <c r="B784" s="68" t="str">
        <f t="shared" si="203"/>
        <v/>
      </c>
      <c r="C784" s="55" cm="1">
        <f t="array" aca="1" ref="C784" ca="1">SUM(IF(ISNUMBER(M784:U784),M784:U784,""))</f>
        <v>0</v>
      </c>
      <c r="D784" s="25" t="str">
        <f t="shared" si="204"/>
        <v/>
      </c>
      <c r="E784" s="25" t="e">
        <f t="shared" si="205"/>
        <v>#VALUE!</v>
      </c>
      <c r="F784" s="25" t="str">
        <f t="shared" si="206"/>
        <v/>
      </c>
      <c r="G784" s="25" t="str">
        <f t="shared" si="207"/>
        <v>.xlsx</v>
      </c>
      <c r="H784" s="29" t="e" cm="1">
        <f t="array" aca="1" ref="H784" ca="1">IF(AND(VALUE(E784)=INDIRECT("'["&amp;G784&amp;"]"&amp;E784&amp;"'!"&amp;$X$2),G784=INDIRECT("'["&amp;G784&amp;"]"&amp;E784&amp;"'!"&amp;$X$3)),INDIRECT("'["&amp;G784&amp;"]"&amp;E784&amp;"'!"&amp;$X$1),0)</f>
        <v>#VALUE!</v>
      </c>
      <c r="I784" s="25" t="str">
        <f t="shared" si="208"/>
        <v/>
      </c>
      <c r="J784" s="32" t="str">
        <f t="shared" si="209"/>
        <v/>
      </c>
      <c r="K784" s="25" t="str">
        <f t="shared" si="210"/>
        <v/>
      </c>
      <c r="L784" s="25" t="str">
        <f t="shared" si="211"/>
        <v/>
      </c>
      <c r="M784" s="33" t="e" cm="1">
        <f t="array" aca="1" ref="M784" ca="1">IF(AND(J784=INDIRECT("'["&amp;G784&amp;"]"&amp;E784&amp;"'!"&amp;$Y$2),G784=INDIRECT("'["&amp;G784&amp;"]"&amp;E784&amp;"'!"&amp;$AH$2)),INDIRECT("'["&amp;G784&amp;"]"&amp;E784&amp;"'!"&amp;$Y$3),0)</f>
        <v>#VALUE!</v>
      </c>
      <c r="N784" s="34" t="e" cm="1">
        <f t="array" aca="1" ref="N784" ca="1">IF(AND(G784=INDIRECT("'["&amp;G784&amp;"]"&amp;E784&amp;"'!"&amp;$AH$2),OR(K784=INDIRECT("'["&amp;G784&amp;"]"&amp;E784&amp;"'!"&amp;$Z$2))),INDIRECT("'["&amp;G784&amp;"]"&amp;E784&amp;"'!"&amp;$Z$3),0)</f>
        <v>#VALUE!</v>
      </c>
      <c r="O784" s="34" t="e" cm="1">
        <f t="array" aca="1" ref="O784" ca="1">IF(AND(G784=INDIRECT("'["&amp;G784&amp;"]"&amp;E784&amp;"'!"&amp;$AH$2),OR(L784=INDIRECT("'["&amp;G784&amp;"]"&amp;E784&amp;"'!"&amp;$AA$2))),INDIRECT("'["&amp;G784&amp;"]"&amp;E784&amp;"'!"&amp;$AA$3),0)</f>
        <v>#VALUE!</v>
      </c>
      <c r="P784" s="34" t="e" cm="1">
        <f t="array" aca="1" ref="P784" ca="1">IF(AND(G784=INDIRECT("'["&amp;G784&amp;"]"&amp;E784&amp;"'!"&amp;$AH$2),OR(VALUE(I784)=INDIRECT("'["&amp;G784&amp;"]"&amp;E784&amp;"'!"&amp;$AB$2))),INDIRECT("'["&amp;G784&amp;"]"&amp;E784&amp;"'!"&amp;$AB$3),0)</f>
        <v>#VALUE!</v>
      </c>
      <c r="Q784" s="34" t="e" cm="1">
        <f t="array" aca="1" ref="Q784" ca="1">IF(AND(G784=INDIRECT("'["&amp;G784&amp;"]"&amp;E784&amp;"'!"&amp;$AH$2),OR(VALUE(I784)=INDIRECT("'["&amp;G784&amp;"]"&amp;E784&amp;"'!"&amp;$AC$2))),INDIRECT("'["&amp;G784&amp;"]"&amp;E784&amp;"'!"&amp;$AC$3),0)</f>
        <v>#VALUE!</v>
      </c>
      <c r="R784" s="34" t="e" cm="1">
        <f t="array" aca="1" ref="R784" ca="1">IF(AND(G784=INDIRECT("'["&amp;G784&amp;"]"&amp;E784&amp;"'!"&amp;$AH$2),OR(I784=INDIRECT("'["&amp;G784&amp;"]"&amp;E784&amp;"'!"&amp;$AD$2))),INDIRECT("'["&amp;G784&amp;"]"&amp;E784&amp;"'!"&amp;$AD$3),0)</f>
        <v>#VALUE!</v>
      </c>
      <c r="S784" s="34" t="e" cm="1">
        <f t="array" aca="1" ref="S784" ca="1">IF(AND(G784=INDIRECT("'["&amp;G784&amp;"]"&amp;E784&amp;"'!"&amp;$AH$2),OR(I784=INDIRECT("'["&amp;G784&amp;"]"&amp;E784&amp;"'!"&amp;$AE$2))),INDIRECT("'["&amp;G784&amp;"]"&amp;E784&amp;"'!"&amp;$AE$3),0)</f>
        <v>#VALUE!</v>
      </c>
      <c r="T784" s="35" t="e" cm="1">
        <f t="array" aca="1" ref="T784" ca="1">IF(AND(G784=INDIRECT("'["&amp;G784&amp;"]"&amp;E784&amp;"'!"&amp;$AH$2),OR(I784=INDIRECT("'["&amp;G784&amp;"]"&amp;E784&amp;"'!"&amp;$AF$2))),INDIRECT("'["&amp;G784&amp;"]"&amp;E784&amp;"'!"&amp;$AF$3),0)</f>
        <v>#VALUE!</v>
      </c>
      <c r="U784" s="34" t="e" cm="1">
        <f t="array" aca="1" ref="U784" ca="1">IF(AND(G784=INDIRECT("'["&amp;G784&amp;"]"&amp;E784&amp;"'!"&amp;$AH$2),OR(I784=INDIRECT("'["&amp;G784&amp;"]"&amp;E784&amp;"'!"&amp;$AG$2))),INDIRECT("'["&amp;G784&amp;"]"&amp;E784&amp;"'!"&amp;$AG$3),0)</f>
        <v>#VALUE!</v>
      </c>
      <c r="V784" s="25" t="str">
        <f t="shared" si="212"/>
        <v/>
      </c>
      <c r="W784" s="36" t="e" cm="1">
        <f t="array" aca="1" ref="W784" ca="1">IF(AND(G784=INDIRECT("'["&amp;G784&amp;"]"&amp;E784&amp;"'!"&amp;$AH$2),OR(V784=INDIRECT("'["&amp;G784&amp;"]"&amp;E784&amp;"'!"&amp;$AI$2))),INDIRECT("'["&amp;G784&amp;"]"&amp;E784&amp;"'!"&amp;$AI$3),0)</f>
        <v>#VALUE!</v>
      </c>
      <c r="AJ784" s="25">
        <v>1</v>
      </c>
      <c r="AK784" s="38">
        <f t="shared" ca="1" si="213"/>
        <v>0</v>
      </c>
      <c r="AL784" s="38">
        <f t="shared" ca="1" si="214"/>
        <v>0</v>
      </c>
      <c r="AM784" s="54" t="str">
        <f t="shared" ca="1" si="215"/>
        <v/>
      </c>
      <c r="AN784" s="25" t="e">
        <f t="shared" ca="1" si="216"/>
        <v>#VALUE!</v>
      </c>
      <c r="AO784" s="25" t="e">
        <f t="shared" ca="1" si="217"/>
        <v>#VALUE!</v>
      </c>
      <c r="AQ784" s="46" t="str">
        <f ca="1">IF(AND(C784&lt;&gt;0, C785=0), SUM($C$2:C784)-SUM($AQ$1:AQ783), "")</f>
        <v/>
      </c>
      <c r="AR784" s="46" t="str">
        <f ca="1">IF(AND(AK784&lt;&gt;0, AK785=0), SUM($AK$2:AK784)-SUM($AR$1:AR783), "")</f>
        <v/>
      </c>
    </row>
    <row r="785" spans="2:44" ht="13.15" customHeight="1">
      <c r="B785" s="68" t="str">
        <f t="shared" si="203"/>
        <v/>
      </c>
      <c r="C785" s="55" cm="1">
        <f t="array" aca="1" ref="C785" ca="1">SUM(IF(ISNUMBER(M785:U785),M785:U785,""))</f>
        <v>0</v>
      </c>
      <c r="D785" s="25" t="str">
        <f t="shared" si="204"/>
        <v/>
      </c>
      <c r="E785" s="25" t="e">
        <f t="shared" si="205"/>
        <v>#VALUE!</v>
      </c>
      <c r="F785" s="25" t="str">
        <f t="shared" si="206"/>
        <v/>
      </c>
      <c r="G785" s="25" t="str">
        <f t="shared" si="207"/>
        <v>.xlsx</v>
      </c>
      <c r="H785" s="29" t="e" cm="1">
        <f t="array" aca="1" ref="H785" ca="1">IF(AND(VALUE(E785)=INDIRECT("'["&amp;G785&amp;"]"&amp;E785&amp;"'!"&amp;$X$2),G785=INDIRECT("'["&amp;G785&amp;"]"&amp;E785&amp;"'!"&amp;$X$3)),INDIRECT("'["&amp;G785&amp;"]"&amp;E785&amp;"'!"&amp;$X$1),0)</f>
        <v>#VALUE!</v>
      </c>
      <c r="I785" s="25" t="str">
        <f t="shared" si="208"/>
        <v/>
      </c>
      <c r="J785" s="32" t="str">
        <f t="shared" si="209"/>
        <v/>
      </c>
      <c r="K785" s="25" t="str">
        <f t="shared" si="210"/>
        <v/>
      </c>
      <c r="L785" s="25" t="str">
        <f t="shared" si="211"/>
        <v/>
      </c>
      <c r="M785" s="33" t="e" cm="1">
        <f t="array" aca="1" ref="M785" ca="1">IF(AND(J785=INDIRECT("'["&amp;G785&amp;"]"&amp;E785&amp;"'!"&amp;$Y$2),G785=INDIRECT("'["&amp;G785&amp;"]"&amp;E785&amp;"'!"&amp;$AH$2)),INDIRECT("'["&amp;G785&amp;"]"&amp;E785&amp;"'!"&amp;$Y$3),0)</f>
        <v>#VALUE!</v>
      </c>
      <c r="N785" s="34" t="e" cm="1">
        <f t="array" aca="1" ref="N785" ca="1">IF(AND(G785=INDIRECT("'["&amp;G785&amp;"]"&amp;E785&amp;"'!"&amp;$AH$2),OR(K785=INDIRECT("'["&amp;G785&amp;"]"&amp;E785&amp;"'!"&amp;$Z$2))),INDIRECT("'["&amp;G785&amp;"]"&amp;E785&amp;"'!"&amp;$Z$3),0)</f>
        <v>#VALUE!</v>
      </c>
      <c r="O785" s="34" t="e" cm="1">
        <f t="array" aca="1" ref="O785" ca="1">IF(AND(G785=INDIRECT("'["&amp;G785&amp;"]"&amp;E785&amp;"'!"&amp;$AH$2),OR(L785=INDIRECT("'["&amp;G785&amp;"]"&amp;E785&amp;"'!"&amp;$AA$2))),INDIRECT("'["&amp;G785&amp;"]"&amp;E785&amp;"'!"&amp;$AA$3),0)</f>
        <v>#VALUE!</v>
      </c>
      <c r="P785" s="34" t="e" cm="1">
        <f t="array" aca="1" ref="P785" ca="1">IF(AND(G785=INDIRECT("'["&amp;G785&amp;"]"&amp;E785&amp;"'!"&amp;$AH$2),OR(VALUE(I785)=INDIRECT("'["&amp;G785&amp;"]"&amp;E785&amp;"'!"&amp;$AB$2))),INDIRECT("'["&amp;G785&amp;"]"&amp;E785&amp;"'!"&amp;$AB$3),0)</f>
        <v>#VALUE!</v>
      </c>
      <c r="Q785" s="34" t="e" cm="1">
        <f t="array" aca="1" ref="Q785" ca="1">IF(AND(G785=INDIRECT("'["&amp;G785&amp;"]"&amp;E785&amp;"'!"&amp;$AH$2),OR(VALUE(I785)=INDIRECT("'["&amp;G785&amp;"]"&amp;E785&amp;"'!"&amp;$AC$2))),INDIRECT("'["&amp;G785&amp;"]"&amp;E785&amp;"'!"&amp;$AC$3),0)</f>
        <v>#VALUE!</v>
      </c>
      <c r="R785" s="34" t="e" cm="1">
        <f t="array" aca="1" ref="R785" ca="1">IF(AND(G785=INDIRECT("'["&amp;G785&amp;"]"&amp;E785&amp;"'!"&amp;$AH$2),OR(I785=INDIRECT("'["&amp;G785&amp;"]"&amp;E785&amp;"'!"&amp;$AD$2))),INDIRECT("'["&amp;G785&amp;"]"&amp;E785&amp;"'!"&amp;$AD$3),0)</f>
        <v>#VALUE!</v>
      </c>
      <c r="S785" s="34" t="e" cm="1">
        <f t="array" aca="1" ref="S785" ca="1">IF(AND(G785=INDIRECT("'["&amp;G785&amp;"]"&amp;E785&amp;"'!"&amp;$AH$2),OR(I785=INDIRECT("'["&amp;G785&amp;"]"&amp;E785&amp;"'!"&amp;$AE$2))),INDIRECT("'["&amp;G785&amp;"]"&amp;E785&amp;"'!"&amp;$AE$3),0)</f>
        <v>#VALUE!</v>
      </c>
      <c r="T785" s="35" t="e" cm="1">
        <f t="array" aca="1" ref="T785" ca="1">IF(AND(G785=INDIRECT("'["&amp;G785&amp;"]"&amp;E785&amp;"'!"&amp;$AH$2),OR(I785=INDIRECT("'["&amp;G785&amp;"]"&amp;E785&amp;"'!"&amp;$AF$2))),INDIRECT("'["&amp;G785&amp;"]"&amp;E785&amp;"'!"&amp;$AF$3),0)</f>
        <v>#VALUE!</v>
      </c>
      <c r="U785" s="34" t="e" cm="1">
        <f t="array" aca="1" ref="U785" ca="1">IF(AND(G785=INDIRECT("'["&amp;G785&amp;"]"&amp;E785&amp;"'!"&amp;$AH$2),OR(I785=INDIRECT("'["&amp;G785&amp;"]"&amp;E785&amp;"'!"&amp;$AG$2))),INDIRECT("'["&amp;G785&amp;"]"&amp;E785&amp;"'!"&amp;$AG$3),0)</f>
        <v>#VALUE!</v>
      </c>
      <c r="V785" s="25" t="str">
        <f t="shared" si="212"/>
        <v/>
      </c>
      <c r="W785" s="36" t="e" cm="1">
        <f t="array" aca="1" ref="W785" ca="1">IF(AND(G785=INDIRECT("'["&amp;G785&amp;"]"&amp;E785&amp;"'!"&amp;$AH$2),OR(V785=INDIRECT("'["&amp;G785&amp;"]"&amp;E785&amp;"'!"&amp;$AI$2))),INDIRECT("'["&amp;G785&amp;"]"&amp;E785&amp;"'!"&amp;$AI$3),0)</f>
        <v>#VALUE!</v>
      </c>
      <c r="AJ785" s="25">
        <v>1</v>
      </c>
      <c r="AK785" s="38">
        <f t="shared" ca="1" si="213"/>
        <v>0</v>
      </c>
      <c r="AL785" s="38">
        <f t="shared" ca="1" si="214"/>
        <v>0</v>
      </c>
      <c r="AM785" s="54" t="str">
        <f t="shared" ca="1" si="215"/>
        <v/>
      </c>
      <c r="AN785" s="25" t="e">
        <f t="shared" ca="1" si="216"/>
        <v>#VALUE!</v>
      </c>
      <c r="AO785" s="25" t="e">
        <f t="shared" ca="1" si="217"/>
        <v>#VALUE!</v>
      </c>
      <c r="AQ785" s="46" t="str">
        <f ca="1">IF(AND(C785&lt;&gt;0, C786=0), SUM($C$2:C785)-SUM($AQ$1:AQ784), "")</f>
        <v/>
      </c>
      <c r="AR785" s="46" t="str">
        <f ca="1">IF(AND(AK785&lt;&gt;0, AK786=0), SUM($AK$2:AK785)-SUM($AR$1:AR784), "")</f>
        <v/>
      </c>
    </row>
    <row r="786" spans="2:44" ht="13.15" customHeight="1">
      <c r="B786" s="68" t="str">
        <f t="shared" si="203"/>
        <v/>
      </c>
      <c r="C786" s="55" cm="1">
        <f t="array" aca="1" ref="C786" ca="1">SUM(IF(ISNUMBER(M786:U786),M786:U786,""))</f>
        <v>0</v>
      </c>
      <c r="D786" s="25" t="str">
        <f t="shared" si="204"/>
        <v/>
      </c>
      <c r="E786" s="25" t="e">
        <f t="shared" si="205"/>
        <v>#VALUE!</v>
      </c>
      <c r="F786" s="25" t="str">
        <f t="shared" si="206"/>
        <v/>
      </c>
      <c r="G786" s="25" t="str">
        <f t="shared" si="207"/>
        <v>.xlsx</v>
      </c>
      <c r="H786" s="29" t="e" cm="1">
        <f t="array" aca="1" ref="H786" ca="1">IF(AND(VALUE(E786)=INDIRECT("'["&amp;G786&amp;"]"&amp;E786&amp;"'!"&amp;$X$2),G786=INDIRECT("'["&amp;G786&amp;"]"&amp;E786&amp;"'!"&amp;$X$3)),INDIRECT("'["&amp;G786&amp;"]"&amp;E786&amp;"'!"&amp;$X$1),0)</f>
        <v>#VALUE!</v>
      </c>
      <c r="I786" s="25" t="str">
        <f t="shared" si="208"/>
        <v/>
      </c>
      <c r="J786" s="32" t="str">
        <f t="shared" si="209"/>
        <v/>
      </c>
      <c r="K786" s="25" t="str">
        <f t="shared" si="210"/>
        <v/>
      </c>
      <c r="L786" s="25" t="str">
        <f t="shared" si="211"/>
        <v/>
      </c>
      <c r="M786" s="33" t="e" cm="1">
        <f t="array" aca="1" ref="M786" ca="1">IF(AND(J786=INDIRECT("'["&amp;G786&amp;"]"&amp;E786&amp;"'!"&amp;$Y$2),G786=INDIRECT("'["&amp;G786&amp;"]"&amp;E786&amp;"'!"&amp;$AH$2)),INDIRECT("'["&amp;G786&amp;"]"&amp;E786&amp;"'!"&amp;$Y$3),0)</f>
        <v>#VALUE!</v>
      </c>
      <c r="N786" s="34" t="e" cm="1">
        <f t="array" aca="1" ref="N786" ca="1">IF(AND(G786=INDIRECT("'["&amp;G786&amp;"]"&amp;E786&amp;"'!"&amp;$AH$2),OR(K786=INDIRECT("'["&amp;G786&amp;"]"&amp;E786&amp;"'!"&amp;$Z$2))),INDIRECT("'["&amp;G786&amp;"]"&amp;E786&amp;"'!"&amp;$Z$3),0)</f>
        <v>#VALUE!</v>
      </c>
      <c r="O786" s="34" t="e" cm="1">
        <f t="array" aca="1" ref="O786" ca="1">IF(AND(G786=INDIRECT("'["&amp;G786&amp;"]"&amp;E786&amp;"'!"&amp;$AH$2),OR(L786=INDIRECT("'["&amp;G786&amp;"]"&amp;E786&amp;"'!"&amp;$AA$2))),INDIRECT("'["&amp;G786&amp;"]"&amp;E786&amp;"'!"&amp;$AA$3),0)</f>
        <v>#VALUE!</v>
      </c>
      <c r="P786" s="34" t="e" cm="1">
        <f t="array" aca="1" ref="P786" ca="1">IF(AND(G786=INDIRECT("'["&amp;G786&amp;"]"&amp;E786&amp;"'!"&amp;$AH$2),OR(VALUE(I786)=INDIRECT("'["&amp;G786&amp;"]"&amp;E786&amp;"'!"&amp;$AB$2))),INDIRECT("'["&amp;G786&amp;"]"&amp;E786&amp;"'!"&amp;$AB$3),0)</f>
        <v>#VALUE!</v>
      </c>
      <c r="Q786" s="34" t="e" cm="1">
        <f t="array" aca="1" ref="Q786" ca="1">IF(AND(G786=INDIRECT("'["&amp;G786&amp;"]"&amp;E786&amp;"'!"&amp;$AH$2),OR(VALUE(I786)=INDIRECT("'["&amp;G786&amp;"]"&amp;E786&amp;"'!"&amp;$AC$2))),INDIRECT("'["&amp;G786&amp;"]"&amp;E786&amp;"'!"&amp;$AC$3),0)</f>
        <v>#VALUE!</v>
      </c>
      <c r="R786" s="34" t="e" cm="1">
        <f t="array" aca="1" ref="R786" ca="1">IF(AND(G786=INDIRECT("'["&amp;G786&amp;"]"&amp;E786&amp;"'!"&amp;$AH$2),OR(I786=INDIRECT("'["&amp;G786&amp;"]"&amp;E786&amp;"'!"&amp;$AD$2))),INDIRECT("'["&amp;G786&amp;"]"&amp;E786&amp;"'!"&amp;$AD$3),0)</f>
        <v>#VALUE!</v>
      </c>
      <c r="S786" s="34" t="e" cm="1">
        <f t="array" aca="1" ref="S786" ca="1">IF(AND(G786=INDIRECT("'["&amp;G786&amp;"]"&amp;E786&amp;"'!"&amp;$AH$2),OR(I786=INDIRECT("'["&amp;G786&amp;"]"&amp;E786&amp;"'!"&amp;$AE$2))),INDIRECT("'["&amp;G786&amp;"]"&amp;E786&amp;"'!"&amp;$AE$3),0)</f>
        <v>#VALUE!</v>
      </c>
      <c r="T786" s="35" t="e" cm="1">
        <f t="array" aca="1" ref="T786" ca="1">IF(AND(G786=INDIRECT("'["&amp;G786&amp;"]"&amp;E786&amp;"'!"&amp;$AH$2),OR(I786=INDIRECT("'["&amp;G786&amp;"]"&amp;E786&amp;"'!"&amp;$AF$2))),INDIRECT("'["&amp;G786&amp;"]"&amp;E786&amp;"'!"&amp;$AF$3),0)</f>
        <v>#VALUE!</v>
      </c>
      <c r="U786" s="34" t="e" cm="1">
        <f t="array" aca="1" ref="U786" ca="1">IF(AND(G786=INDIRECT("'["&amp;G786&amp;"]"&amp;E786&amp;"'!"&amp;$AH$2),OR(I786=INDIRECT("'["&amp;G786&amp;"]"&amp;E786&amp;"'!"&amp;$AG$2))),INDIRECT("'["&amp;G786&amp;"]"&amp;E786&amp;"'!"&amp;$AG$3),0)</f>
        <v>#VALUE!</v>
      </c>
      <c r="V786" s="25" t="str">
        <f t="shared" si="212"/>
        <v/>
      </c>
      <c r="W786" s="36" t="e" cm="1">
        <f t="array" aca="1" ref="W786" ca="1">IF(AND(G786=INDIRECT("'["&amp;G786&amp;"]"&amp;E786&amp;"'!"&amp;$AH$2),OR(V786=INDIRECT("'["&amp;G786&amp;"]"&amp;E786&amp;"'!"&amp;$AI$2))),INDIRECT("'["&amp;G786&amp;"]"&amp;E786&amp;"'!"&amp;$AI$3),0)</f>
        <v>#VALUE!</v>
      </c>
      <c r="AJ786" s="25">
        <v>1</v>
      </c>
      <c r="AK786" s="38">
        <f t="shared" ca="1" si="213"/>
        <v>0</v>
      </c>
      <c r="AL786" s="38">
        <f t="shared" ca="1" si="214"/>
        <v>0</v>
      </c>
      <c r="AM786" s="54" t="str">
        <f t="shared" ca="1" si="215"/>
        <v/>
      </c>
      <c r="AN786" s="25" t="e">
        <f t="shared" ca="1" si="216"/>
        <v>#VALUE!</v>
      </c>
      <c r="AO786" s="25" t="e">
        <f t="shared" ca="1" si="217"/>
        <v>#VALUE!</v>
      </c>
      <c r="AQ786" s="46" t="str">
        <f ca="1">IF(AND(C786&lt;&gt;0, C787=0), SUM($C$2:C786)-SUM($AQ$1:AQ785), "")</f>
        <v/>
      </c>
      <c r="AR786" s="46" t="str">
        <f ca="1">IF(AND(AK786&lt;&gt;0, AK787=0), SUM($AK$2:AK786)-SUM($AR$1:AR785), "")</f>
        <v/>
      </c>
    </row>
    <row r="787" spans="2:44" ht="13.15" customHeight="1">
      <c r="B787" s="68" t="str">
        <f t="shared" si="203"/>
        <v/>
      </c>
      <c r="C787" s="55" cm="1">
        <f t="array" aca="1" ref="C787" ca="1">SUM(IF(ISNUMBER(M787:U787),M787:U787,""))</f>
        <v>0</v>
      </c>
      <c r="D787" s="25" t="str">
        <f t="shared" si="204"/>
        <v/>
      </c>
      <c r="E787" s="25" t="e">
        <f t="shared" si="205"/>
        <v>#VALUE!</v>
      </c>
      <c r="F787" s="25" t="str">
        <f t="shared" si="206"/>
        <v/>
      </c>
      <c r="G787" s="25" t="str">
        <f t="shared" si="207"/>
        <v>.xlsx</v>
      </c>
      <c r="H787" s="29" t="e" cm="1">
        <f t="array" aca="1" ref="H787" ca="1">IF(AND(VALUE(E787)=INDIRECT("'["&amp;G787&amp;"]"&amp;E787&amp;"'!"&amp;$X$2),G787=INDIRECT("'["&amp;G787&amp;"]"&amp;E787&amp;"'!"&amp;$X$3)),INDIRECT("'["&amp;G787&amp;"]"&amp;E787&amp;"'!"&amp;$X$1),0)</f>
        <v>#VALUE!</v>
      </c>
      <c r="I787" s="25" t="str">
        <f t="shared" si="208"/>
        <v/>
      </c>
      <c r="J787" s="32" t="str">
        <f t="shared" si="209"/>
        <v/>
      </c>
      <c r="K787" s="25" t="str">
        <f t="shared" si="210"/>
        <v/>
      </c>
      <c r="L787" s="25" t="str">
        <f t="shared" si="211"/>
        <v/>
      </c>
      <c r="M787" s="33" t="e" cm="1">
        <f t="array" aca="1" ref="M787" ca="1">IF(AND(J787=INDIRECT("'["&amp;G787&amp;"]"&amp;E787&amp;"'!"&amp;$Y$2),G787=INDIRECT("'["&amp;G787&amp;"]"&amp;E787&amp;"'!"&amp;$AH$2)),INDIRECT("'["&amp;G787&amp;"]"&amp;E787&amp;"'!"&amp;$Y$3),0)</f>
        <v>#VALUE!</v>
      </c>
      <c r="N787" s="34" t="e" cm="1">
        <f t="array" aca="1" ref="N787" ca="1">IF(AND(G787=INDIRECT("'["&amp;G787&amp;"]"&amp;E787&amp;"'!"&amp;$AH$2),OR(K787=INDIRECT("'["&amp;G787&amp;"]"&amp;E787&amp;"'!"&amp;$Z$2))),INDIRECT("'["&amp;G787&amp;"]"&amp;E787&amp;"'!"&amp;$Z$3),0)</f>
        <v>#VALUE!</v>
      </c>
      <c r="O787" s="34" t="e" cm="1">
        <f t="array" aca="1" ref="O787" ca="1">IF(AND(G787=INDIRECT("'["&amp;G787&amp;"]"&amp;E787&amp;"'!"&amp;$AH$2),OR(L787=INDIRECT("'["&amp;G787&amp;"]"&amp;E787&amp;"'!"&amp;$AA$2))),INDIRECT("'["&amp;G787&amp;"]"&amp;E787&amp;"'!"&amp;$AA$3),0)</f>
        <v>#VALUE!</v>
      </c>
      <c r="P787" s="34" t="e" cm="1">
        <f t="array" aca="1" ref="P787" ca="1">IF(AND(G787=INDIRECT("'["&amp;G787&amp;"]"&amp;E787&amp;"'!"&amp;$AH$2),OR(VALUE(I787)=INDIRECT("'["&amp;G787&amp;"]"&amp;E787&amp;"'!"&amp;$AB$2))),INDIRECT("'["&amp;G787&amp;"]"&amp;E787&amp;"'!"&amp;$AB$3),0)</f>
        <v>#VALUE!</v>
      </c>
      <c r="Q787" s="34" t="e" cm="1">
        <f t="array" aca="1" ref="Q787" ca="1">IF(AND(G787=INDIRECT("'["&amp;G787&amp;"]"&amp;E787&amp;"'!"&amp;$AH$2),OR(VALUE(I787)=INDIRECT("'["&amp;G787&amp;"]"&amp;E787&amp;"'!"&amp;$AC$2))),INDIRECT("'["&amp;G787&amp;"]"&amp;E787&amp;"'!"&amp;$AC$3),0)</f>
        <v>#VALUE!</v>
      </c>
      <c r="R787" s="34" t="e" cm="1">
        <f t="array" aca="1" ref="R787" ca="1">IF(AND(G787=INDIRECT("'["&amp;G787&amp;"]"&amp;E787&amp;"'!"&amp;$AH$2),OR(I787=INDIRECT("'["&amp;G787&amp;"]"&amp;E787&amp;"'!"&amp;$AD$2))),INDIRECT("'["&amp;G787&amp;"]"&amp;E787&amp;"'!"&amp;$AD$3),0)</f>
        <v>#VALUE!</v>
      </c>
      <c r="S787" s="34" t="e" cm="1">
        <f t="array" aca="1" ref="S787" ca="1">IF(AND(G787=INDIRECT("'["&amp;G787&amp;"]"&amp;E787&amp;"'!"&amp;$AH$2),OR(I787=INDIRECT("'["&amp;G787&amp;"]"&amp;E787&amp;"'!"&amp;$AE$2))),INDIRECT("'["&amp;G787&amp;"]"&amp;E787&amp;"'!"&amp;$AE$3),0)</f>
        <v>#VALUE!</v>
      </c>
      <c r="T787" s="35" t="e" cm="1">
        <f t="array" aca="1" ref="T787" ca="1">IF(AND(G787=INDIRECT("'["&amp;G787&amp;"]"&amp;E787&amp;"'!"&amp;$AH$2),OR(I787=INDIRECT("'["&amp;G787&amp;"]"&amp;E787&amp;"'!"&amp;$AF$2))),INDIRECT("'["&amp;G787&amp;"]"&amp;E787&amp;"'!"&amp;$AF$3),0)</f>
        <v>#VALUE!</v>
      </c>
      <c r="U787" s="34" t="e" cm="1">
        <f t="array" aca="1" ref="U787" ca="1">IF(AND(G787=INDIRECT("'["&amp;G787&amp;"]"&amp;E787&amp;"'!"&amp;$AH$2),OR(I787=INDIRECT("'["&amp;G787&amp;"]"&amp;E787&amp;"'!"&amp;$AG$2))),INDIRECT("'["&amp;G787&amp;"]"&amp;E787&amp;"'!"&amp;$AG$3),0)</f>
        <v>#VALUE!</v>
      </c>
      <c r="V787" s="25" t="str">
        <f t="shared" si="212"/>
        <v/>
      </c>
      <c r="W787" s="36" t="e" cm="1">
        <f t="array" aca="1" ref="W787" ca="1">IF(AND(G787=INDIRECT("'["&amp;G787&amp;"]"&amp;E787&amp;"'!"&amp;$AH$2),OR(V787=INDIRECT("'["&amp;G787&amp;"]"&amp;E787&amp;"'!"&amp;$AI$2))),INDIRECT("'["&amp;G787&amp;"]"&amp;E787&amp;"'!"&amp;$AI$3),0)</f>
        <v>#VALUE!</v>
      </c>
      <c r="AJ787" s="25">
        <v>1</v>
      </c>
      <c r="AK787" s="38">
        <f t="shared" ca="1" si="213"/>
        <v>0</v>
      </c>
      <c r="AL787" s="38">
        <f t="shared" ca="1" si="214"/>
        <v>0</v>
      </c>
      <c r="AM787" s="54" t="str">
        <f t="shared" ca="1" si="215"/>
        <v/>
      </c>
      <c r="AN787" s="25" t="e">
        <f t="shared" ca="1" si="216"/>
        <v>#VALUE!</v>
      </c>
      <c r="AO787" s="25" t="e">
        <f t="shared" ca="1" si="217"/>
        <v>#VALUE!</v>
      </c>
      <c r="AQ787" s="46" t="str">
        <f ca="1">IF(AND(C787&lt;&gt;0, C788=0), SUM($C$2:C787)-SUM($AQ$1:AQ786), "")</f>
        <v/>
      </c>
      <c r="AR787" s="46" t="str">
        <f ca="1">IF(AND(AK787&lt;&gt;0, AK788=0), SUM($AK$2:AK787)-SUM($AR$1:AR786), "")</f>
        <v/>
      </c>
    </row>
    <row r="788" spans="2:44" ht="13.15" customHeight="1">
      <c r="B788" s="68" t="str">
        <f t="shared" si="203"/>
        <v/>
      </c>
      <c r="C788" s="55" cm="1">
        <f t="array" aca="1" ref="C788" ca="1">SUM(IF(ISNUMBER(M788:U788),M788:U788,""))</f>
        <v>0</v>
      </c>
      <c r="D788" s="25" t="str">
        <f t="shared" si="204"/>
        <v/>
      </c>
      <c r="E788" s="25" t="e">
        <f t="shared" si="205"/>
        <v>#VALUE!</v>
      </c>
      <c r="F788" s="25" t="str">
        <f t="shared" si="206"/>
        <v/>
      </c>
      <c r="G788" s="25" t="str">
        <f t="shared" si="207"/>
        <v>.xlsx</v>
      </c>
      <c r="H788" s="29" t="e" cm="1">
        <f t="array" aca="1" ref="H788" ca="1">IF(AND(VALUE(E788)=INDIRECT("'["&amp;G788&amp;"]"&amp;E788&amp;"'!"&amp;$X$2),G788=INDIRECT("'["&amp;G788&amp;"]"&amp;E788&amp;"'!"&amp;$X$3)),INDIRECT("'["&amp;G788&amp;"]"&amp;E788&amp;"'!"&amp;$X$1),0)</f>
        <v>#VALUE!</v>
      </c>
      <c r="I788" s="25" t="str">
        <f t="shared" si="208"/>
        <v/>
      </c>
      <c r="J788" s="32" t="str">
        <f t="shared" si="209"/>
        <v/>
      </c>
      <c r="K788" s="25" t="str">
        <f t="shared" si="210"/>
        <v/>
      </c>
      <c r="L788" s="25" t="str">
        <f t="shared" si="211"/>
        <v/>
      </c>
      <c r="M788" s="33" t="e" cm="1">
        <f t="array" aca="1" ref="M788" ca="1">IF(AND(J788=INDIRECT("'["&amp;G788&amp;"]"&amp;E788&amp;"'!"&amp;$Y$2),G788=INDIRECT("'["&amp;G788&amp;"]"&amp;E788&amp;"'!"&amp;$AH$2)),INDIRECT("'["&amp;G788&amp;"]"&amp;E788&amp;"'!"&amp;$Y$3),0)</f>
        <v>#VALUE!</v>
      </c>
      <c r="N788" s="34" t="e" cm="1">
        <f t="array" aca="1" ref="N788" ca="1">IF(AND(G788=INDIRECT("'["&amp;G788&amp;"]"&amp;E788&amp;"'!"&amp;$AH$2),OR(K788=INDIRECT("'["&amp;G788&amp;"]"&amp;E788&amp;"'!"&amp;$Z$2))),INDIRECT("'["&amp;G788&amp;"]"&amp;E788&amp;"'!"&amp;$Z$3),0)</f>
        <v>#VALUE!</v>
      </c>
      <c r="O788" s="34" t="e" cm="1">
        <f t="array" aca="1" ref="O788" ca="1">IF(AND(G788=INDIRECT("'["&amp;G788&amp;"]"&amp;E788&amp;"'!"&amp;$AH$2),OR(L788=INDIRECT("'["&amp;G788&amp;"]"&amp;E788&amp;"'!"&amp;$AA$2))),INDIRECT("'["&amp;G788&amp;"]"&amp;E788&amp;"'!"&amp;$AA$3),0)</f>
        <v>#VALUE!</v>
      </c>
      <c r="P788" s="34" t="e" cm="1">
        <f t="array" aca="1" ref="P788" ca="1">IF(AND(G788=INDIRECT("'["&amp;G788&amp;"]"&amp;E788&amp;"'!"&amp;$AH$2),OR(VALUE(I788)=INDIRECT("'["&amp;G788&amp;"]"&amp;E788&amp;"'!"&amp;$AB$2))),INDIRECT("'["&amp;G788&amp;"]"&amp;E788&amp;"'!"&amp;$AB$3),0)</f>
        <v>#VALUE!</v>
      </c>
      <c r="Q788" s="34" t="e" cm="1">
        <f t="array" aca="1" ref="Q788" ca="1">IF(AND(G788=INDIRECT("'["&amp;G788&amp;"]"&amp;E788&amp;"'!"&amp;$AH$2),OR(VALUE(I788)=INDIRECT("'["&amp;G788&amp;"]"&amp;E788&amp;"'!"&amp;$AC$2))),INDIRECT("'["&amp;G788&amp;"]"&amp;E788&amp;"'!"&amp;$AC$3),0)</f>
        <v>#VALUE!</v>
      </c>
      <c r="R788" s="34" t="e" cm="1">
        <f t="array" aca="1" ref="R788" ca="1">IF(AND(G788=INDIRECT("'["&amp;G788&amp;"]"&amp;E788&amp;"'!"&amp;$AH$2),OR(I788=INDIRECT("'["&amp;G788&amp;"]"&amp;E788&amp;"'!"&amp;$AD$2))),INDIRECT("'["&amp;G788&amp;"]"&amp;E788&amp;"'!"&amp;$AD$3),0)</f>
        <v>#VALUE!</v>
      </c>
      <c r="S788" s="34" t="e" cm="1">
        <f t="array" aca="1" ref="S788" ca="1">IF(AND(G788=INDIRECT("'["&amp;G788&amp;"]"&amp;E788&amp;"'!"&amp;$AH$2),OR(I788=INDIRECT("'["&amp;G788&amp;"]"&amp;E788&amp;"'!"&amp;$AE$2))),INDIRECT("'["&amp;G788&amp;"]"&amp;E788&amp;"'!"&amp;$AE$3),0)</f>
        <v>#VALUE!</v>
      </c>
      <c r="T788" s="35" t="e" cm="1">
        <f t="array" aca="1" ref="T788" ca="1">IF(AND(G788=INDIRECT("'["&amp;G788&amp;"]"&amp;E788&amp;"'!"&amp;$AH$2),OR(I788=INDIRECT("'["&amp;G788&amp;"]"&amp;E788&amp;"'!"&amp;$AF$2))),INDIRECT("'["&amp;G788&amp;"]"&amp;E788&amp;"'!"&amp;$AF$3),0)</f>
        <v>#VALUE!</v>
      </c>
      <c r="U788" s="34" t="e" cm="1">
        <f t="array" aca="1" ref="U788" ca="1">IF(AND(G788=INDIRECT("'["&amp;G788&amp;"]"&amp;E788&amp;"'!"&amp;$AH$2),OR(I788=INDIRECT("'["&amp;G788&amp;"]"&amp;E788&amp;"'!"&amp;$AG$2))),INDIRECT("'["&amp;G788&amp;"]"&amp;E788&amp;"'!"&amp;$AG$3),0)</f>
        <v>#VALUE!</v>
      </c>
      <c r="V788" s="25" t="str">
        <f t="shared" si="212"/>
        <v/>
      </c>
      <c r="W788" s="36" t="e" cm="1">
        <f t="array" aca="1" ref="W788" ca="1">IF(AND(G788=INDIRECT("'["&amp;G788&amp;"]"&amp;E788&amp;"'!"&amp;$AH$2),OR(V788=INDIRECT("'["&amp;G788&amp;"]"&amp;E788&amp;"'!"&amp;$AI$2))),INDIRECT("'["&amp;G788&amp;"]"&amp;E788&amp;"'!"&amp;$AI$3),0)</f>
        <v>#VALUE!</v>
      </c>
      <c r="AJ788" s="25">
        <v>1</v>
      </c>
      <c r="AK788" s="38">
        <f t="shared" ca="1" si="213"/>
        <v>0</v>
      </c>
      <c r="AL788" s="38">
        <f t="shared" ca="1" si="214"/>
        <v>0</v>
      </c>
      <c r="AM788" s="54" t="str">
        <f t="shared" ca="1" si="215"/>
        <v/>
      </c>
      <c r="AN788" s="25" t="e">
        <f t="shared" ca="1" si="216"/>
        <v>#VALUE!</v>
      </c>
      <c r="AO788" s="25" t="e">
        <f t="shared" ca="1" si="217"/>
        <v>#VALUE!</v>
      </c>
      <c r="AQ788" s="46" t="str">
        <f ca="1">IF(AND(C788&lt;&gt;0, C789=0), SUM($C$2:C788)-SUM($AQ$1:AQ787), "")</f>
        <v/>
      </c>
      <c r="AR788" s="46" t="str">
        <f ca="1">IF(AND(AK788&lt;&gt;0, AK789=0), SUM($AK$2:AK788)-SUM($AR$1:AR787), "")</f>
        <v/>
      </c>
    </row>
    <row r="789" spans="2:44" ht="13.15" customHeight="1">
      <c r="B789" s="68" t="str">
        <f t="shared" si="203"/>
        <v/>
      </c>
      <c r="C789" s="55" cm="1">
        <f t="array" aca="1" ref="C789" ca="1">SUM(IF(ISNUMBER(M789:U789),M789:U789,""))</f>
        <v>0</v>
      </c>
      <c r="D789" s="25" t="str">
        <f t="shared" si="204"/>
        <v/>
      </c>
      <c r="E789" s="25" t="e">
        <f t="shared" si="205"/>
        <v>#VALUE!</v>
      </c>
      <c r="F789" s="25" t="str">
        <f t="shared" si="206"/>
        <v/>
      </c>
      <c r="G789" s="25" t="str">
        <f t="shared" si="207"/>
        <v>.xlsx</v>
      </c>
      <c r="H789" s="29" t="e" cm="1">
        <f t="array" aca="1" ref="H789" ca="1">IF(AND(VALUE(E789)=INDIRECT("'["&amp;G789&amp;"]"&amp;E789&amp;"'!"&amp;$X$2),G789=INDIRECT("'["&amp;G789&amp;"]"&amp;E789&amp;"'!"&amp;$X$3)),INDIRECT("'["&amp;G789&amp;"]"&amp;E789&amp;"'!"&amp;$X$1),0)</f>
        <v>#VALUE!</v>
      </c>
      <c r="I789" s="25" t="str">
        <f t="shared" si="208"/>
        <v/>
      </c>
      <c r="J789" s="32" t="str">
        <f t="shared" si="209"/>
        <v/>
      </c>
      <c r="K789" s="25" t="str">
        <f t="shared" si="210"/>
        <v/>
      </c>
      <c r="L789" s="25" t="str">
        <f t="shared" si="211"/>
        <v/>
      </c>
      <c r="M789" s="33" t="e" cm="1">
        <f t="array" aca="1" ref="M789" ca="1">IF(AND(J789=INDIRECT("'["&amp;G789&amp;"]"&amp;E789&amp;"'!"&amp;$Y$2),G789=INDIRECT("'["&amp;G789&amp;"]"&amp;E789&amp;"'!"&amp;$AH$2)),INDIRECT("'["&amp;G789&amp;"]"&amp;E789&amp;"'!"&amp;$Y$3),0)</f>
        <v>#VALUE!</v>
      </c>
      <c r="N789" s="34" t="e" cm="1">
        <f t="array" aca="1" ref="N789" ca="1">IF(AND(G789=INDIRECT("'["&amp;G789&amp;"]"&amp;E789&amp;"'!"&amp;$AH$2),OR(K789=INDIRECT("'["&amp;G789&amp;"]"&amp;E789&amp;"'!"&amp;$Z$2))),INDIRECT("'["&amp;G789&amp;"]"&amp;E789&amp;"'!"&amp;$Z$3),0)</f>
        <v>#VALUE!</v>
      </c>
      <c r="O789" s="34" t="e" cm="1">
        <f t="array" aca="1" ref="O789" ca="1">IF(AND(G789=INDIRECT("'["&amp;G789&amp;"]"&amp;E789&amp;"'!"&amp;$AH$2),OR(L789=INDIRECT("'["&amp;G789&amp;"]"&amp;E789&amp;"'!"&amp;$AA$2))),INDIRECT("'["&amp;G789&amp;"]"&amp;E789&amp;"'!"&amp;$AA$3),0)</f>
        <v>#VALUE!</v>
      </c>
      <c r="P789" s="34" t="e" cm="1">
        <f t="array" aca="1" ref="P789" ca="1">IF(AND(G789=INDIRECT("'["&amp;G789&amp;"]"&amp;E789&amp;"'!"&amp;$AH$2),OR(VALUE(I789)=INDIRECT("'["&amp;G789&amp;"]"&amp;E789&amp;"'!"&amp;$AB$2))),INDIRECT("'["&amp;G789&amp;"]"&amp;E789&amp;"'!"&amp;$AB$3),0)</f>
        <v>#VALUE!</v>
      </c>
      <c r="Q789" s="34" t="e" cm="1">
        <f t="array" aca="1" ref="Q789" ca="1">IF(AND(G789=INDIRECT("'["&amp;G789&amp;"]"&amp;E789&amp;"'!"&amp;$AH$2),OR(VALUE(I789)=INDIRECT("'["&amp;G789&amp;"]"&amp;E789&amp;"'!"&amp;$AC$2))),INDIRECT("'["&amp;G789&amp;"]"&amp;E789&amp;"'!"&amp;$AC$3),0)</f>
        <v>#VALUE!</v>
      </c>
      <c r="R789" s="34" t="e" cm="1">
        <f t="array" aca="1" ref="R789" ca="1">IF(AND(G789=INDIRECT("'["&amp;G789&amp;"]"&amp;E789&amp;"'!"&amp;$AH$2),OR(I789=INDIRECT("'["&amp;G789&amp;"]"&amp;E789&amp;"'!"&amp;$AD$2))),INDIRECT("'["&amp;G789&amp;"]"&amp;E789&amp;"'!"&amp;$AD$3),0)</f>
        <v>#VALUE!</v>
      </c>
      <c r="S789" s="34" t="e" cm="1">
        <f t="array" aca="1" ref="S789" ca="1">IF(AND(G789=INDIRECT("'["&amp;G789&amp;"]"&amp;E789&amp;"'!"&amp;$AH$2),OR(I789=INDIRECT("'["&amp;G789&amp;"]"&amp;E789&amp;"'!"&amp;$AE$2))),INDIRECT("'["&amp;G789&amp;"]"&amp;E789&amp;"'!"&amp;$AE$3),0)</f>
        <v>#VALUE!</v>
      </c>
      <c r="T789" s="35" t="e" cm="1">
        <f t="array" aca="1" ref="T789" ca="1">IF(AND(G789=INDIRECT("'["&amp;G789&amp;"]"&amp;E789&amp;"'!"&amp;$AH$2),OR(I789=INDIRECT("'["&amp;G789&amp;"]"&amp;E789&amp;"'!"&amp;$AF$2))),INDIRECT("'["&amp;G789&amp;"]"&amp;E789&amp;"'!"&amp;$AF$3),0)</f>
        <v>#VALUE!</v>
      </c>
      <c r="U789" s="34" t="e" cm="1">
        <f t="array" aca="1" ref="U789" ca="1">IF(AND(G789=INDIRECT("'["&amp;G789&amp;"]"&amp;E789&amp;"'!"&amp;$AH$2),OR(I789=INDIRECT("'["&amp;G789&amp;"]"&amp;E789&amp;"'!"&amp;$AG$2))),INDIRECT("'["&amp;G789&amp;"]"&amp;E789&amp;"'!"&amp;$AG$3),0)</f>
        <v>#VALUE!</v>
      </c>
      <c r="V789" s="25" t="str">
        <f t="shared" si="212"/>
        <v/>
      </c>
      <c r="W789" s="36" t="e" cm="1">
        <f t="array" aca="1" ref="W789" ca="1">IF(AND(G789=INDIRECT("'["&amp;G789&amp;"]"&amp;E789&amp;"'!"&amp;$AH$2),OR(V789=INDIRECT("'["&amp;G789&amp;"]"&amp;E789&amp;"'!"&amp;$AI$2))),INDIRECT("'["&amp;G789&amp;"]"&amp;E789&amp;"'!"&amp;$AI$3),0)</f>
        <v>#VALUE!</v>
      </c>
      <c r="AJ789" s="25">
        <v>1</v>
      </c>
      <c r="AK789" s="38">
        <f t="shared" ca="1" si="213"/>
        <v>0</v>
      </c>
      <c r="AL789" s="38">
        <f t="shared" ca="1" si="214"/>
        <v>0</v>
      </c>
      <c r="AM789" s="54" t="str">
        <f t="shared" ca="1" si="215"/>
        <v/>
      </c>
      <c r="AN789" s="25" t="e">
        <f t="shared" ca="1" si="216"/>
        <v>#VALUE!</v>
      </c>
      <c r="AO789" s="25" t="e">
        <f t="shared" ca="1" si="217"/>
        <v>#VALUE!</v>
      </c>
      <c r="AQ789" s="46" t="str">
        <f ca="1">IF(AND(C789&lt;&gt;0, C790=0), SUM($C$2:C789)-SUM($AQ$1:AQ788), "")</f>
        <v/>
      </c>
      <c r="AR789" s="46" t="str">
        <f ca="1">IF(AND(AK789&lt;&gt;0, AK790=0), SUM($AK$2:AK789)-SUM($AR$1:AR788), "")</f>
        <v/>
      </c>
    </row>
    <row r="790" spans="2:44" ht="13.15" customHeight="1">
      <c r="B790" s="68" t="str">
        <f t="shared" si="203"/>
        <v/>
      </c>
      <c r="C790" s="55" cm="1">
        <f t="array" aca="1" ref="C790" ca="1">SUM(IF(ISNUMBER(M790:U790),M790:U790,""))</f>
        <v>0</v>
      </c>
      <c r="D790" s="25" t="str">
        <f t="shared" si="204"/>
        <v/>
      </c>
      <c r="E790" s="25" t="e">
        <f t="shared" si="205"/>
        <v>#VALUE!</v>
      </c>
      <c r="F790" s="25" t="str">
        <f t="shared" si="206"/>
        <v/>
      </c>
      <c r="G790" s="25" t="str">
        <f t="shared" si="207"/>
        <v>.xlsx</v>
      </c>
      <c r="H790" s="29" t="e" cm="1">
        <f t="array" aca="1" ref="H790" ca="1">IF(AND(VALUE(E790)=INDIRECT("'["&amp;G790&amp;"]"&amp;E790&amp;"'!"&amp;$X$2),G790=INDIRECT("'["&amp;G790&amp;"]"&amp;E790&amp;"'!"&amp;$X$3)),INDIRECT("'["&amp;G790&amp;"]"&amp;E790&amp;"'!"&amp;$X$1),0)</f>
        <v>#VALUE!</v>
      </c>
      <c r="I790" s="25" t="str">
        <f t="shared" si="208"/>
        <v/>
      </c>
      <c r="J790" s="32" t="str">
        <f t="shared" si="209"/>
        <v/>
      </c>
      <c r="K790" s="25" t="str">
        <f t="shared" si="210"/>
        <v/>
      </c>
      <c r="L790" s="25" t="str">
        <f t="shared" si="211"/>
        <v/>
      </c>
      <c r="M790" s="33" t="e" cm="1">
        <f t="array" aca="1" ref="M790" ca="1">IF(AND(J790=INDIRECT("'["&amp;G790&amp;"]"&amp;E790&amp;"'!"&amp;$Y$2),G790=INDIRECT("'["&amp;G790&amp;"]"&amp;E790&amp;"'!"&amp;$AH$2)),INDIRECT("'["&amp;G790&amp;"]"&amp;E790&amp;"'!"&amp;$Y$3),0)</f>
        <v>#VALUE!</v>
      </c>
      <c r="N790" s="34" t="e" cm="1">
        <f t="array" aca="1" ref="N790" ca="1">IF(AND(G790=INDIRECT("'["&amp;G790&amp;"]"&amp;E790&amp;"'!"&amp;$AH$2),OR(K790=INDIRECT("'["&amp;G790&amp;"]"&amp;E790&amp;"'!"&amp;$Z$2))),INDIRECT("'["&amp;G790&amp;"]"&amp;E790&amp;"'!"&amp;$Z$3),0)</f>
        <v>#VALUE!</v>
      </c>
      <c r="O790" s="34" t="e" cm="1">
        <f t="array" aca="1" ref="O790" ca="1">IF(AND(G790=INDIRECT("'["&amp;G790&amp;"]"&amp;E790&amp;"'!"&amp;$AH$2),OR(L790=INDIRECT("'["&amp;G790&amp;"]"&amp;E790&amp;"'!"&amp;$AA$2))),INDIRECT("'["&amp;G790&amp;"]"&amp;E790&amp;"'!"&amp;$AA$3),0)</f>
        <v>#VALUE!</v>
      </c>
      <c r="P790" s="34" t="e" cm="1">
        <f t="array" aca="1" ref="P790" ca="1">IF(AND(G790=INDIRECT("'["&amp;G790&amp;"]"&amp;E790&amp;"'!"&amp;$AH$2),OR(VALUE(I790)=INDIRECT("'["&amp;G790&amp;"]"&amp;E790&amp;"'!"&amp;$AB$2))),INDIRECT("'["&amp;G790&amp;"]"&amp;E790&amp;"'!"&amp;$AB$3),0)</f>
        <v>#VALUE!</v>
      </c>
      <c r="Q790" s="34" t="e" cm="1">
        <f t="array" aca="1" ref="Q790" ca="1">IF(AND(G790=INDIRECT("'["&amp;G790&amp;"]"&amp;E790&amp;"'!"&amp;$AH$2),OR(VALUE(I790)=INDIRECT("'["&amp;G790&amp;"]"&amp;E790&amp;"'!"&amp;$AC$2))),INDIRECT("'["&amp;G790&amp;"]"&amp;E790&amp;"'!"&amp;$AC$3),0)</f>
        <v>#VALUE!</v>
      </c>
      <c r="R790" s="34" t="e" cm="1">
        <f t="array" aca="1" ref="R790" ca="1">IF(AND(G790=INDIRECT("'["&amp;G790&amp;"]"&amp;E790&amp;"'!"&amp;$AH$2),OR(I790=INDIRECT("'["&amp;G790&amp;"]"&amp;E790&amp;"'!"&amp;$AD$2))),INDIRECT("'["&amp;G790&amp;"]"&amp;E790&amp;"'!"&amp;$AD$3),0)</f>
        <v>#VALUE!</v>
      </c>
      <c r="S790" s="34" t="e" cm="1">
        <f t="array" aca="1" ref="S790" ca="1">IF(AND(G790=INDIRECT("'["&amp;G790&amp;"]"&amp;E790&amp;"'!"&amp;$AH$2),OR(I790=INDIRECT("'["&amp;G790&amp;"]"&amp;E790&amp;"'!"&amp;$AE$2))),INDIRECT("'["&amp;G790&amp;"]"&amp;E790&amp;"'!"&amp;$AE$3),0)</f>
        <v>#VALUE!</v>
      </c>
      <c r="T790" s="35" t="e" cm="1">
        <f t="array" aca="1" ref="T790" ca="1">IF(AND(G790=INDIRECT("'["&amp;G790&amp;"]"&amp;E790&amp;"'!"&amp;$AH$2),OR(I790=INDIRECT("'["&amp;G790&amp;"]"&amp;E790&amp;"'!"&amp;$AF$2))),INDIRECT("'["&amp;G790&amp;"]"&amp;E790&amp;"'!"&amp;$AF$3),0)</f>
        <v>#VALUE!</v>
      </c>
      <c r="U790" s="34" t="e" cm="1">
        <f t="array" aca="1" ref="U790" ca="1">IF(AND(G790=INDIRECT("'["&amp;G790&amp;"]"&amp;E790&amp;"'!"&amp;$AH$2),OR(I790=INDIRECT("'["&amp;G790&amp;"]"&amp;E790&amp;"'!"&amp;$AG$2))),INDIRECT("'["&amp;G790&amp;"]"&amp;E790&amp;"'!"&amp;$AG$3),0)</f>
        <v>#VALUE!</v>
      </c>
      <c r="V790" s="25" t="str">
        <f t="shared" si="212"/>
        <v/>
      </c>
      <c r="W790" s="36" t="e" cm="1">
        <f t="array" aca="1" ref="W790" ca="1">IF(AND(G790=INDIRECT("'["&amp;G790&amp;"]"&amp;E790&amp;"'!"&amp;$AH$2),OR(V790=INDIRECT("'["&amp;G790&amp;"]"&amp;E790&amp;"'!"&amp;$AI$2))),INDIRECT("'["&amp;G790&amp;"]"&amp;E790&amp;"'!"&amp;$AI$3),0)</f>
        <v>#VALUE!</v>
      </c>
      <c r="AJ790" s="25">
        <v>1</v>
      </c>
      <c r="AK790" s="38">
        <f t="shared" ca="1" si="213"/>
        <v>0</v>
      </c>
      <c r="AL790" s="38">
        <f t="shared" ca="1" si="214"/>
        <v>0</v>
      </c>
      <c r="AM790" s="54" t="str">
        <f t="shared" ca="1" si="215"/>
        <v/>
      </c>
      <c r="AN790" s="25" t="e">
        <f t="shared" ca="1" si="216"/>
        <v>#VALUE!</v>
      </c>
      <c r="AO790" s="25" t="e">
        <f t="shared" ca="1" si="217"/>
        <v>#VALUE!</v>
      </c>
      <c r="AQ790" s="46" t="str">
        <f ca="1">IF(AND(C790&lt;&gt;0, C791=0), SUM($C$2:C790)-SUM($AQ$1:AQ789), "")</f>
        <v/>
      </c>
      <c r="AR790" s="46" t="str">
        <f ca="1">IF(AND(AK790&lt;&gt;0, AK791=0), SUM($AK$2:AK790)-SUM($AR$1:AR789), "")</f>
        <v/>
      </c>
    </row>
    <row r="791" spans="2:44" ht="13.15" customHeight="1">
      <c r="B791" s="68" t="str">
        <f t="shared" si="203"/>
        <v/>
      </c>
      <c r="C791" s="55" cm="1">
        <f t="array" aca="1" ref="C791" ca="1">SUM(IF(ISNUMBER(M791:U791),M791:U791,""))</f>
        <v>0</v>
      </c>
      <c r="D791" s="25" t="str">
        <f t="shared" si="204"/>
        <v/>
      </c>
      <c r="E791" s="25" t="e">
        <f t="shared" si="205"/>
        <v>#VALUE!</v>
      </c>
      <c r="F791" s="25" t="str">
        <f t="shared" si="206"/>
        <v/>
      </c>
      <c r="G791" s="25" t="str">
        <f t="shared" si="207"/>
        <v>.xlsx</v>
      </c>
      <c r="H791" s="29" t="e" cm="1">
        <f t="array" aca="1" ref="H791" ca="1">IF(AND(VALUE(E791)=INDIRECT("'["&amp;G791&amp;"]"&amp;E791&amp;"'!"&amp;$X$2),G791=INDIRECT("'["&amp;G791&amp;"]"&amp;E791&amp;"'!"&amp;$X$3)),INDIRECT("'["&amp;G791&amp;"]"&amp;E791&amp;"'!"&amp;$X$1),0)</f>
        <v>#VALUE!</v>
      </c>
      <c r="I791" s="25" t="str">
        <f t="shared" si="208"/>
        <v/>
      </c>
      <c r="J791" s="32" t="str">
        <f t="shared" si="209"/>
        <v/>
      </c>
      <c r="K791" s="25" t="str">
        <f t="shared" si="210"/>
        <v/>
      </c>
      <c r="L791" s="25" t="str">
        <f t="shared" si="211"/>
        <v/>
      </c>
      <c r="M791" s="33" t="e" cm="1">
        <f t="array" aca="1" ref="M791" ca="1">IF(AND(J791=INDIRECT("'["&amp;G791&amp;"]"&amp;E791&amp;"'!"&amp;$Y$2),G791=INDIRECT("'["&amp;G791&amp;"]"&amp;E791&amp;"'!"&amp;$AH$2)),INDIRECT("'["&amp;G791&amp;"]"&amp;E791&amp;"'!"&amp;$Y$3),0)</f>
        <v>#VALUE!</v>
      </c>
      <c r="N791" s="34" t="e" cm="1">
        <f t="array" aca="1" ref="N791" ca="1">IF(AND(G791=INDIRECT("'["&amp;G791&amp;"]"&amp;E791&amp;"'!"&amp;$AH$2),OR(K791=INDIRECT("'["&amp;G791&amp;"]"&amp;E791&amp;"'!"&amp;$Z$2))),INDIRECT("'["&amp;G791&amp;"]"&amp;E791&amp;"'!"&amp;$Z$3),0)</f>
        <v>#VALUE!</v>
      </c>
      <c r="O791" s="34" t="e" cm="1">
        <f t="array" aca="1" ref="O791" ca="1">IF(AND(G791=INDIRECT("'["&amp;G791&amp;"]"&amp;E791&amp;"'!"&amp;$AH$2),OR(L791=INDIRECT("'["&amp;G791&amp;"]"&amp;E791&amp;"'!"&amp;$AA$2))),INDIRECT("'["&amp;G791&amp;"]"&amp;E791&amp;"'!"&amp;$AA$3),0)</f>
        <v>#VALUE!</v>
      </c>
      <c r="P791" s="34" t="e" cm="1">
        <f t="array" aca="1" ref="P791" ca="1">IF(AND(G791=INDIRECT("'["&amp;G791&amp;"]"&amp;E791&amp;"'!"&amp;$AH$2),OR(VALUE(I791)=INDIRECT("'["&amp;G791&amp;"]"&amp;E791&amp;"'!"&amp;$AB$2))),INDIRECT("'["&amp;G791&amp;"]"&amp;E791&amp;"'!"&amp;$AB$3),0)</f>
        <v>#VALUE!</v>
      </c>
      <c r="Q791" s="34" t="e" cm="1">
        <f t="array" aca="1" ref="Q791" ca="1">IF(AND(G791=INDIRECT("'["&amp;G791&amp;"]"&amp;E791&amp;"'!"&amp;$AH$2),OR(VALUE(I791)=INDIRECT("'["&amp;G791&amp;"]"&amp;E791&amp;"'!"&amp;$AC$2))),INDIRECT("'["&amp;G791&amp;"]"&amp;E791&amp;"'!"&amp;$AC$3),0)</f>
        <v>#VALUE!</v>
      </c>
      <c r="R791" s="34" t="e" cm="1">
        <f t="array" aca="1" ref="R791" ca="1">IF(AND(G791=INDIRECT("'["&amp;G791&amp;"]"&amp;E791&amp;"'!"&amp;$AH$2),OR(I791=INDIRECT("'["&amp;G791&amp;"]"&amp;E791&amp;"'!"&amp;$AD$2))),INDIRECT("'["&amp;G791&amp;"]"&amp;E791&amp;"'!"&amp;$AD$3),0)</f>
        <v>#VALUE!</v>
      </c>
      <c r="S791" s="34" t="e" cm="1">
        <f t="array" aca="1" ref="S791" ca="1">IF(AND(G791=INDIRECT("'["&amp;G791&amp;"]"&amp;E791&amp;"'!"&amp;$AH$2),OR(I791=INDIRECT("'["&amp;G791&amp;"]"&amp;E791&amp;"'!"&amp;$AE$2))),INDIRECT("'["&amp;G791&amp;"]"&amp;E791&amp;"'!"&amp;$AE$3),0)</f>
        <v>#VALUE!</v>
      </c>
      <c r="T791" s="35" t="e" cm="1">
        <f t="array" aca="1" ref="T791" ca="1">IF(AND(G791=INDIRECT("'["&amp;G791&amp;"]"&amp;E791&amp;"'!"&amp;$AH$2),OR(I791=INDIRECT("'["&amp;G791&amp;"]"&amp;E791&amp;"'!"&amp;$AF$2))),INDIRECT("'["&amp;G791&amp;"]"&amp;E791&amp;"'!"&amp;$AF$3),0)</f>
        <v>#VALUE!</v>
      </c>
      <c r="U791" s="34" t="e" cm="1">
        <f t="array" aca="1" ref="U791" ca="1">IF(AND(G791=INDIRECT("'["&amp;G791&amp;"]"&amp;E791&amp;"'!"&amp;$AH$2),OR(I791=INDIRECT("'["&amp;G791&amp;"]"&amp;E791&amp;"'!"&amp;$AG$2))),INDIRECT("'["&amp;G791&amp;"]"&amp;E791&amp;"'!"&amp;$AG$3),0)</f>
        <v>#VALUE!</v>
      </c>
      <c r="V791" s="25" t="str">
        <f t="shared" si="212"/>
        <v/>
      </c>
      <c r="W791" s="36" t="e" cm="1">
        <f t="array" aca="1" ref="W791" ca="1">IF(AND(G791=INDIRECT("'["&amp;G791&amp;"]"&amp;E791&amp;"'!"&amp;$AH$2),OR(V791=INDIRECT("'["&amp;G791&amp;"]"&amp;E791&amp;"'!"&amp;$AI$2))),INDIRECT("'["&amp;G791&amp;"]"&amp;E791&amp;"'!"&amp;$AI$3),0)</f>
        <v>#VALUE!</v>
      </c>
      <c r="AJ791" s="25">
        <v>1</v>
      </c>
      <c r="AK791" s="38">
        <f t="shared" ca="1" si="213"/>
        <v>0</v>
      </c>
      <c r="AL791" s="38">
        <f t="shared" ca="1" si="214"/>
        <v>0</v>
      </c>
      <c r="AM791" s="54" t="str">
        <f t="shared" ca="1" si="215"/>
        <v/>
      </c>
      <c r="AN791" s="25" t="e">
        <f t="shared" ca="1" si="216"/>
        <v>#VALUE!</v>
      </c>
      <c r="AO791" s="25" t="e">
        <f t="shared" ca="1" si="217"/>
        <v>#VALUE!</v>
      </c>
      <c r="AQ791" s="46" t="str">
        <f ca="1">IF(AND(C791&lt;&gt;0, C792=0), SUM($C$2:C791)-SUM($AQ$1:AQ790), "")</f>
        <v/>
      </c>
      <c r="AR791" s="46" t="str">
        <f ca="1">IF(AND(AK791&lt;&gt;0, AK792=0), SUM($AK$2:AK791)-SUM($AR$1:AR790), "")</f>
        <v/>
      </c>
    </row>
    <row r="792" spans="2:44" ht="13.15" customHeight="1">
      <c r="B792" s="68" t="str">
        <f t="shared" si="203"/>
        <v/>
      </c>
      <c r="C792" s="55" cm="1">
        <f t="array" aca="1" ref="C792" ca="1">SUM(IF(ISNUMBER(M792:U792),M792:U792,""))</f>
        <v>0</v>
      </c>
      <c r="D792" s="25" t="str">
        <f t="shared" si="204"/>
        <v/>
      </c>
      <c r="E792" s="25" t="e">
        <f t="shared" si="205"/>
        <v>#VALUE!</v>
      </c>
      <c r="F792" s="25" t="str">
        <f t="shared" si="206"/>
        <v/>
      </c>
      <c r="G792" s="25" t="str">
        <f t="shared" si="207"/>
        <v>.xlsx</v>
      </c>
      <c r="H792" s="29" t="e" cm="1">
        <f t="array" aca="1" ref="H792" ca="1">IF(AND(VALUE(E792)=INDIRECT("'["&amp;G792&amp;"]"&amp;E792&amp;"'!"&amp;$X$2),G792=INDIRECT("'["&amp;G792&amp;"]"&amp;E792&amp;"'!"&amp;$X$3)),INDIRECT("'["&amp;G792&amp;"]"&amp;E792&amp;"'!"&amp;$X$1),0)</f>
        <v>#VALUE!</v>
      </c>
      <c r="I792" s="25" t="str">
        <f t="shared" si="208"/>
        <v/>
      </c>
      <c r="J792" s="32" t="str">
        <f t="shared" si="209"/>
        <v/>
      </c>
      <c r="K792" s="25" t="str">
        <f t="shared" si="210"/>
        <v/>
      </c>
      <c r="L792" s="25" t="str">
        <f t="shared" si="211"/>
        <v/>
      </c>
      <c r="M792" s="33" t="e" cm="1">
        <f t="array" aca="1" ref="M792" ca="1">IF(AND(J792=INDIRECT("'["&amp;G792&amp;"]"&amp;E792&amp;"'!"&amp;$Y$2),G792=INDIRECT("'["&amp;G792&amp;"]"&amp;E792&amp;"'!"&amp;$AH$2)),INDIRECT("'["&amp;G792&amp;"]"&amp;E792&amp;"'!"&amp;$Y$3),0)</f>
        <v>#VALUE!</v>
      </c>
      <c r="N792" s="34" t="e" cm="1">
        <f t="array" aca="1" ref="N792" ca="1">IF(AND(G792=INDIRECT("'["&amp;G792&amp;"]"&amp;E792&amp;"'!"&amp;$AH$2),OR(K792=INDIRECT("'["&amp;G792&amp;"]"&amp;E792&amp;"'!"&amp;$Z$2))),INDIRECT("'["&amp;G792&amp;"]"&amp;E792&amp;"'!"&amp;$Z$3),0)</f>
        <v>#VALUE!</v>
      </c>
      <c r="O792" s="34" t="e" cm="1">
        <f t="array" aca="1" ref="O792" ca="1">IF(AND(G792=INDIRECT("'["&amp;G792&amp;"]"&amp;E792&amp;"'!"&amp;$AH$2),OR(L792=INDIRECT("'["&amp;G792&amp;"]"&amp;E792&amp;"'!"&amp;$AA$2))),INDIRECT("'["&amp;G792&amp;"]"&amp;E792&amp;"'!"&amp;$AA$3),0)</f>
        <v>#VALUE!</v>
      </c>
      <c r="P792" s="34" t="e" cm="1">
        <f t="array" aca="1" ref="P792" ca="1">IF(AND(G792=INDIRECT("'["&amp;G792&amp;"]"&amp;E792&amp;"'!"&amp;$AH$2),OR(VALUE(I792)=INDIRECT("'["&amp;G792&amp;"]"&amp;E792&amp;"'!"&amp;$AB$2))),INDIRECT("'["&amp;G792&amp;"]"&amp;E792&amp;"'!"&amp;$AB$3),0)</f>
        <v>#VALUE!</v>
      </c>
      <c r="Q792" s="34" t="e" cm="1">
        <f t="array" aca="1" ref="Q792" ca="1">IF(AND(G792=INDIRECT("'["&amp;G792&amp;"]"&amp;E792&amp;"'!"&amp;$AH$2),OR(VALUE(I792)=INDIRECT("'["&amp;G792&amp;"]"&amp;E792&amp;"'!"&amp;$AC$2))),INDIRECT("'["&amp;G792&amp;"]"&amp;E792&amp;"'!"&amp;$AC$3),0)</f>
        <v>#VALUE!</v>
      </c>
      <c r="R792" s="34" t="e" cm="1">
        <f t="array" aca="1" ref="R792" ca="1">IF(AND(G792=INDIRECT("'["&amp;G792&amp;"]"&amp;E792&amp;"'!"&amp;$AH$2),OR(I792=INDIRECT("'["&amp;G792&amp;"]"&amp;E792&amp;"'!"&amp;$AD$2))),INDIRECT("'["&amp;G792&amp;"]"&amp;E792&amp;"'!"&amp;$AD$3),0)</f>
        <v>#VALUE!</v>
      </c>
      <c r="S792" s="34" t="e" cm="1">
        <f t="array" aca="1" ref="S792" ca="1">IF(AND(G792=INDIRECT("'["&amp;G792&amp;"]"&amp;E792&amp;"'!"&amp;$AH$2),OR(I792=INDIRECT("'["&amp;G792&amp;"]"&amp;E792&amp;"'!"&amp;$AE$2))),INDIRECT("'["&amp;G792&amp;"]"&amp;E792&amp;"'!"&amp;$AE$3),0)</f>
        <v>#VALUE!</v>
      </c>
      <c r="T792" s="35" t="e" cm="1">
        <f t="array" aca="1" ref="T792" ca="1">IF(AND(G792=INDIRECT("'["&amp;G792&amp;"]"&amp;E792&amp;"'!"&amp;$AH$2),OR(I792=INDIRECT("'["&amp;G792&amp;"]"&amp;E792&amp;"'!"&amp;$AF$2))),INDIRECT("'["&amp;G792&amp;"]"&amp;E792&amp;"'!"&amp;$AF$3),0)</f>
        <v>#VALUE!</v>
      </c>
      <c r="U792" s="34" t="e" cm="1">
        <f t="array" aca="1" ref="U792" ca="1">IF(AND(G792=INDIRECT("'["&amp;G792&amp;"]"&amp;E792&amp;"'!"&amp;$AH$2),OR(I792=INDIRECT("'["&amp;G792&amp;"]"&amp;E792&amp;"'!"&amp;$AG$2))),INDIRECT("'["&amp;G792&amp;"]"&amp;E792&amp;"'!"&amp;$AG$3),0)</f>
        <v>#VALUE!</v>
      </c>
      <c r="V792" s="25" t="str">
        <f t="shared" si="212"/>
        <v/>
      </c>
      <c r="W792" s="36" t="e" cm="1">
        <f t="array" aca="1" ref="W792" ca="1">IF(AND(G792=INDIRECT("'["&amp;G792&amp;"]"&amp;E792&amp;"'!"&amp;$AH$2),OR(V792=INDIRECT("'["&amp;G792&amp;"]"&amp;E792&amp;"'!"&amp;$AI$2))),INDIRECT("'["&amp;G792&amp;"]"&amp;E792&amp;"'!"&amp;$AI$3),0)</f>
        <v>#VALUE!</v>
      </c>
      <c r="AJ792" s="25">
        <v>1</v>
      </c>
      <c r="AK792" s="38">
        <f t="shared" ca="1" si="213"/>
        <v>0</v>
      </c>
      <c r="AL792" s="38">
        <f t="shared" ca="1" si="214"/>
        <v>0</v>
      </c>
      <c r="AM792" s="54" t="str">
        <f t="shared" ca="1" si="215"/>
        <v/>
      </c>
      <c r="AN792" s="25" t="e">
        <f t="shared" ca="1" si="216"/>
        <v>#VALUE!</v>
      </c>
      <c r="AO792" s="25" t="e">
        <f t="shared" ca="1" si="217"/>
        <v>#VALUE!</v>
      </c>
      <c r="AQ792" s="46" t="str">
        <f ca="1">IF(AND(C792&lt;&gt;0, C793=0), SUM($C$2:C792)-SUM($AQ$1:AQ791), "")</f>
        <v/>
      </c>
      <c r="AR792" s="46" t="str">
        <f ca="1">IF(AND(AK792&lt;&gt;0, AK793=0), SUM($AK$2:AK792)-SUM($AR$1:AR791), "")</f>
        <v/>
      </c>
    </row>
    <row r="793" spans="2:44" ht="13.15" customHeight="1">
      <c r="B793" s="68" t="str">
        <f t="shared" si="203"/>
        <v/>
      </c>
      <c r="C793" s="55" cm="1">
        <f t="array" aca="1" ref="C793" ca="1">SUM(IF(ISNUMBER(M793:U793),M793:U793,""))</f>
        <v>0</v>
      </c>
      <c r="D793" s="25" t="str">
        <f t="shared" si="204"/>
        <v/>
      </c>
      <c r="E793" s="25" t="e">
        <f t="shared" si="205"/>
        <v>#VALUE!</v>
      </c>
      <c r="F793" s="25" t="str">
        <f t="shared" si="206"/>
        <v/>
      </c>
      <c r="G793" s="25" t="str">
        <f t="shared" si="207"/>
        <v>.xlsx</v>
      </c>
      <c r="H793" s="29" t="e" cm="1">
        <f t="array" aca="1" ref="H793" ca="1">IF(AND(VALUE(E793)=INDIRECT("'["&amp;G793&amp;"]"&amp;E793&amp;"'!"&amp;$X$2),G793=INDIRECT("'["&amp;G793&amp;"]"&amp;E793&amp;"'!"&amp;$X$3)),INDIRECT("'["&amp;G793&amp;"]"&amp;E793&amp;"'!"&amp;$X$1),0)</f>
        <v>#VALUE!</v>
      </c>
      <c r="I793" s="25" t="str">
        <f t="shared" si="208"/>
        <v/>
      </c>
      <c r="J793" s="32" t="str">
        <f t="shared" si="209"/>
        <v/>
      </c>
      <c r="K793" s="25" t="str">
        <f t="shared" si="210"/>
        <v/>
      </c>
      <c r="L793" s="25" t="str">
        <f t="shared" si="211"/>
        <v/>
      </c>
      <c r="M793" s="33" t="e" cm="1">
        <f t="array" aca="1" ref="M793" ca="1">IF(AND(J793=INDIRECT("'["&amp;G793&amp;"]"&amp;E793&amp;"'!"&amp;$Y$2),G793=INDIRECT("'["&amp;G793&amp;"]"&amp;E793&amp;"'!"&amp;$AH$2)),INDIRECT("'["&amp;G793&amp;"]"&amp;E793&amp;"'!"&amp;$Y$3),0)</f>
        <v>#VALUE!</v>
      </c>
      <c r="N793" s="34" t="e" cm="1">
        <f t="array" aca="1" ref="N793" ca="1">IF(AND(G793=INDIRECT("'["&amp;G793&amp;"]"&amp;E793&amp;"'!"&amp;$AH$2),OR(K793=INDIRECT("'["&amp;G793&amp;"]"&amp;E793&amp;"'!"&amp;$Z$2))),INDIRECT("'["&amp;G793&amp;"]"&amp;E793&amp;"'!"&amp;$Z$3),0)</f>
        <v>#VALUE!</v>
      </c>
      <c r="O793" s="34" t="e" cm="1">
        <f t="array" aca="1" ref="O793" ca="1">IF(AND(G793=INDIRECT("'["&amp;G793&amp;"]"&amp;E793&amp;"'!"&amp;$AH$2),OR(L793=INDIRECT("'["&amp;G793&amp;"]"&amp;E793&amp;"'!"&amp;$AA$2))),INDIRECT("'["&amp;G793&amp;"]"&amp;E793&amp;"'!"&amp;$AA$3),0)</f>
        <v>#VALUE!</v>
      </c>
      <c r="P793" s="34" t="e" cm="1">
        <f t="array" aca="1" ref="P793" ca="1">IF(AND(G793=INDIRECT("'["&amp;G793&amp;"]"&amp;E793&amp;"'!"&amp;$AH$2),OR(VALUE(I793)=INDIRECT("'["&amp;G793&amp;"]"&amp;E793&amp;"'!"&amp;$AB$2))),INDIRECT("'["&amp;G793&amp;"]"&amp;E793&amp;"'!"&amp;$AB$3),0)</f>
        <v>#VALUE!</v>
      </c>
      <c r="Q793" s="34" t="e" cm="1">
        <f t="array" aca="1" ref="Q793" ca="1">IF(AND(G793=INDIRECT("'["&amp;G793&amp;"]"&amp;E793&amp;"'!"&amp;$AH$2),OR(VALUE(I793)=INDIRECT("'["&amp;G793&amp;"]"&amp;E793&amp;"'!"&amp;$AC$2))),INDIRECT("'["&amp;G793&amp;"]"&amp;E793&amp;"'!"&amp;$AC$3),0)</f>
        <v>#VALUE!</v>
      </c>
      <c r="R793" s="34" t="e" cm="1">
        <f t="array" aca="1" ref="R793" ca="1">IF(AND(G793=INDIRECT("'["&amp;G793&amp;"]"&amp;E793&amp;"'!"&amp;$AH$2),OR(I793=INDIRECT("'["&amp;G793&amp;"]"&amp;E793&amp;"'!"&amp;$AD$2))),INDIRECT("'["&amp;G793&amp;"]"&amp;E793&amp;"'!"&amp;$AD$3),0)</f>
        <v>#VALUE!</v>
      </c>
      <c r="S793" s="34" t="e" cm="1">
        <f t="array" aca="1" ref="S793" ca="1">IF(AND(G793=INDIRECT("'["&amp;G793&amp;"]"&amp;E793&amp;"'!"&amp;$AH$2),OR(I793=INDIRECT("'["&amp;G793&amp;"]"&amp;E793&amp;"'!"&amp;$AE$2))),INDIRECT("'["&amp;G793&amp;"]"&amp;E793&amp;"'!"&amp;$AE$3),0)</f>
        <v>#VALUE!</v>
      </c>
      <c r="T793" s="35" t="e" cm="1">
        <f t="array" aca="1" ref="T793" ca="1">IF(AND(G793=INDIRECT("'["&amp;G793&amp;"]"&amp;E793&amp;"'!"&amp;$AH$2),OR(I793=INDIRECT("'["&amp;G793&amp;"]"&amp;E793&amp;"'!"&amp;$AF$2))),INDIRECT("'["&amp;G793&amp;"]"&amp;E793&amp;"'!"&amp;$AF$3),0)</f>
        <v>#VALUE!</v>
      </c>
      <c r="U793" s="34" t="e" cm="1">
        <f t="array" aca="1" ref="U793" ca="1">IF(AND(G793=INDIRECT("'["&amp;G793&amp;"]"&amp;E793&amp;"'!"&amp;$AH$2),OR(I793=INDIRECT("'["&amp;G793&amp;"]"&amp;E793&amp;"'!"&amp;$AG$2))),INDIRECT("'["&amp;G793&amp;"]"&amp;E793&amp;"'!"&amp;$AG$3),0)</f>
        <v>#VALUE!</v>
      </c>
      <c r="V793" s="25" t="str">
        <f t="shared" si="212"/>
        <v/>
      </c>
      <c r="W793" s="36" t="e" cm="1">
        <f t="array" aca="1" ref="W793" ca="1">IF(AND(G793=INDIRECT("'["&amp;G793&amp;"]"&amp;E793&amp;"'!"&amp;$AH$2),OR(V793=INDIRECT("'["&amp;G793&amp;"]"&amp;E793&amp;"'!"&amp;$AI$2))),INDIRECT("'["&amp;G793&amp;"]"&amp;E793&amp;"'!"&amp;$AI$3),0)</f>
        <v>#VALUE!</v>
      </c>
      <c r="AJ793" s="25">
        <v>1</v>
      </c>
      <c r="AK793" s="38">
        <f t="shared" ca="1" si="213"/>
        <v>0</v>
      </c>
      <c r="AL793" s="38">
        <f t="shared" ca="1" si="214"/>
        <v>0</v>
      </c>
      <c r="AM793" s="54" t="str">
        <f t="shared" ca="1" si="215"/>
        <v/>
      </c>
      <c r="AN793" s="25" t="e">
        <f t="shared" ca="1" si="216"/>
        <v>#VALUE!</v>
      </c>
      <c r="AO793" s="25" t="e">
        <f t="shared" ca="1" si="217"/>
        <v>#VALUE!</v>
      </c>
      <c r="AQ793" s="46" t="str">
        <f ca="1">IF(AND(C793&lt;&gt;0, C794=0), SUM($C$2:C793)-SUM($AQ$1:AQ792), "")</f>
        <v/>
      </c>
      <c r="AR793" s="46" t="str">
        <f ca="1">IF(AND(AK793&lt;&gt;0, AK794=0), SUM($AK$2:AK793)-SUM($AR$1:AR792), "")</f>
        <v/>
      </c>
    </row>
    <row r="794" spans="2:44" ht="13.15" customHeight="1">
      <c r="B794" s="68" t="str">
        <f t="shared" si="203"/>
        <v/>
      </c>
      <c r="C794" s="55" cm="1">
        <f t="array" aca="1" ref="C794" ca="1">SUM(IF(ISNUMBER(M794:U794),M794:U794,""))</f>
        <v>0</v>
      </c>
      <c r="D794" s="25" t="str">
        <f t="shared" si="204"/>
        <v/>
      </c>
      <c r="E794" s="25" t="e">
        <f t="shared" si="205"/>
        <v>#VALUE!</v>
      </c>
      <c r="F794" s="25" t="str">
        <f t="shared" si="206"/>
        <v/>
      </c>
      <c r="G794" s="25" t="str">
        <f t="shared" si="207"/>
        <v>.xlsx</v>
      </c>
      <c r="H794" s="29" t="e" cm="1">
        <f t="array" aca="1" ref="H794" ca="1">IF(AND(VALUE(E794)=INDIRECT("'["&amp;G794&amp;"]"&amp;E794&amp;"'!"&amp;$X$2),G794=INDIRECT("'["&amp;G794&amp;"]"&amp;E794&amp;"'!"&amp;$X$3)),INDIRECT("'["&amp;G794&amp;"]"&amp;E794&amp;"'!"&amp;$X$1),0)</f>
        <v>#VALUE!</v>
      </c>
      <c r="I794" s="25" t="str">
        <f t="shared" si="208"/>
        <v/>
      </c>
      <c r="J794" s="32" t="str">
        <f t="shared" si="209"/>
        <v/>
      </c>
      <c r="K794" s="25" t="str">
        <f t="shared" si="210"/>
        <v/>
      </c>
      <c r="L794" s="25" t="str">
        <f t="shared" si="211"/>
        <v/>
      </c>
      <c r="M794" s="33" t="e" cm="1">
        <f t="array" aca="1" ref="M794" ca="1">IF(AND(J794=INDIRECT("'["&amp;G794&amp;"]"&amp;E794&amp;"'!"&amp;$Y$2),G794=INDIRECT("'["&amp;G794&amp;"]"&amp;E794&amp;"'!"&amp;$AH$2)),INDIRECT("'["&amp;G794&amp;"]"&amp;E794&amp;"'!"&amp;$Y$3),0)</f>
        <v>#VALUE!</v>
      </c>
      <c r="N794" s="34" t="e" cm="1">
        <f t="array" aca="1" ref="N794" ca="1">IF(AND(G794=INDIRECT("'["&amp;G794&amp;"]"&amp;E794&amp;"'!"&amp;$AH$2),OR(K794=INDIRECT("'["&amp;G794&amp;"]"&amp;E794&amp;"'!"&amp;$Z$2))),INDIRECT("'["&amp;G794&amp;"]"&amp;E794&amp;"'!"&amp;$Z$3),0)</f>
        <v>#VALUE!</v>
      </c>
      <c r="O794" s="34" t="e" cm="1">
        <f t="array" aca="1" ref="O794" ca="1">IF(AND(G794=INDIRECT("'["&amp;G794&amp;"]"&amp;E794&amp;"'!"&amp;$AH$2),OR(L794=INDIRECT("'["&amp;G794&amp;"]"&amp;E794&amp;"'!"&amp;$AA$2))),INDIRECT("'["&amp;G794&amp;"]"&amp;E794&amp;"'!"&amp;$AA$3),0)</f>
        <v>#VALUE!</v>
      </c>
      <c r="P794" s="34" t="e" cm="1">
        <f t="array" aca="1" ref="P794" ca="1">IF(AND(G794=INDIRECT("'["&amp;G794&amp;"]"&amp;E794&amp;"'!"&amp;$AH$2),OR(VALUE(I794)=INDIRECT("'["&amp;G794&amp;"]"&amp;E794&amp;"'!"&amp;$AB$2))),INDIRECT("'["&amp;G794&amp;"]"&amp;E794&amp;"'!"&amp;$AB$3),0)</f>
        <v>#VALUE!</v>
      </c>
      <c r="Q794" s="34" t="e" cm="1">
        <f t="array" aca="1" ref="Q794" ca="1">IF(AND(G794=INDIRECT("'["&amp;G794&amp;"]"&amp;E794&amp;"'!"&amp;$AH$2),OR(VALUE(I794)=INDIRECT("'["&amp;G794&amp;"]"&amp;E794&amp;"'!"&amp;$AC$2))),INDIRECT("'["&amp;G794&amp;"]"&amp;E794&amp;"'!"&amp;$AC$3),0)</f>
        <v>#VALUE!</v>
      </c>
      <c r="R794" s="34" t="e" cm="1">
        <f t="array" aca="1" ref="R794" ca="1">IF(AND(G794=INDIRECT("'["&amp;G794&amp;"]"&amp;E794&amp;"'!"&amp;$AH$2),OR(I794=INDIRECT("'["&amp;G794&amp;"]"&amp;E794&amp;"'!"&amp;$AD$2))),INDIRECT("'["&amp;G794&amp;"]"&amp;E794&amp;"'!"&amp;$AD$3),0)</f>
        <v>#VALUE!</v>
      </c>
      <c r="S794" s="34" t="e" cm="1">
        <f t="array" aca="1" ref="S794" ca="1">IF(AND(G794=INDIRECT("'["&amp;G794&amp;"]"&amp;E794&amp;"'!"&amp;$AH$2),OR(I794=INDIRECT("'["&amp;G794&amp;"]"&amp;E794&amp;"'!"&amp;$AE$2))),INDIRECT("'["&amp;G794&amp;"]"&amp;E794&amp;"'!"&amp;$AE$3),0)</f>
        <v>#VALUE!</v>
      </c>
      <c r="T794" s="35" t="e" cm="1">
        <f t="array" aca="1" ref="T794" ca="1">IF(AND(G794=INDIRECT("'["&amp;G794&amp;"]"&amp;E794&amp;"'!"&amp;$AH$2),OR(I794=INDIRECT("'["&amp;G794&amp;"]"&amp;E794&amp;"'!"&amp;$AF$2))),INDIRECT("'["&amp;G794&amp;"]"&amp;E794&amp;"'!"&amp;$AF$3),0)</f>
        <v>#VALUE!</v>
      </c>
      <c r="U794" s="34" t="e" cm="1">
        <f t="array" aca="1" ref="U794" ca="1">IF(AND(G794=INDIRECT("'["&amp;G794&amp;"]"&amp;E794&amp;"'!"&amp;$AH$2),OR(I794=INDIRECT("'["&amp;G794&amp;"]"&amp;E794&amp;"'!"&amp;$AG$2))),INDIRECT("'["&amp;G794&amp;"]"&amp;E794&amp;"'!"&amp;$AG$3),0)</f>
        <v>#VALUE!</v>
      </c>
      <c r="V794" s="25" t="str">
        <f t="shared" si="212"/>
        <v/>
      </c>
      <c r="W794" s="36" t="e" cm="1">
        <f t="array" aca="1" ref="W794" ca="1">IF(AND(G794=INDIRECT("'["&amp;G794&amp;"]"&amp;E794&amp;"'!"&amp;$AH$2),OR(V794=INDIRECT("'["&amp;G794&amp;"]"&amp;E794&amp;"'!"&amp;$AI$2))),INDIRECT("'["&amp;G794&amp;"]"&amp;E794&amp;"'!"&amp;$AI$3),0)</f>
        <v>#VALUE!</v>
      </c>
      <c r="AJ794" s="25">
        <v>1</v>
      </c>
      <c r="AK794" s="38">
        <f t="shared" ca="1" si="213"/>
        <v>0</v>
      </c>
      <c r="AL794" s="38">
        <f t="shared" ca="1" si="214"/>
        <v>0</v>
      </c>
      <c r="AM794" s="54" t="str">
        <f t="shared" ca="1" si="215"/>
        <v/>
      </c>
      <c r="AN794" s="25" t="e">
        <f t="shared" ca="1" si="216"/>
        <v>#VALUE!</v>
      </c>
      <c r="AO794" s="25" t="e">
        <f t="shared" ca="1" si="217"/>
        <v>#VALUE!</v>
      </c>
      <c r="AQ794" s="46" t="str">
        <f ca="1">IF(AND(C794&lt;&gt;0, C795=0), SUM($C$2:C794)-SUM($AQ$1:AQ793), "")</f>
        <v/>
      </c>
      <c r="AR794" s="46" t="str">
        <f ca="1">IF(AND(AK794&lt;&gt;0, AK795=0), SUM($AK$2:AK794)-SUM($AR$1:AR793), "")</f>
        <v/>
      </c>
    </row>
    <row r="795" spans="2:44" ht="13.15" customHeight="1">
      <c r="B795" s="68" t="str">
        <f t="shared" si="203"/>
        <v/>
      </c>
      <c r="C795" s="55" cm="1">
        <f t="array" aca="1" ref="C795" ca="1">SUM(IF(ISNUMBER(M795:U795),M795:U795,""))</f>
        <v>0</v>
      </c>
      <c r="D795" s="25" t="str">
        <f t="shared" si="204"/>
        <v/>
      </c>
      <c r="E795" s="25" t="e">
        <f t="shared" si="205"/>
        <v>#VALUE!</v>
      </c>
      <c r="F795" s="25" t="str">
        <f t="shared" si="206"/>
        <v/>
      </c>
      <c r="G795" s="25" t="str">
        <f t="shared" si="207"/>
        <v>.xlsx</v>
      </c>
      <c r="H795" s="29" t="e" cm="1">
        <f t="array" aca="1" ref="H795" ca="1">IF(AND(VALUE(E795)=INDIRECT("'["&amp;G795&amp;"]"&amp;E795&amp;"'!"&amp;$X$2),G795=INDIRECT("'["&amp;G795&amp;"]"&amp;E795&amp;"'!"&amp;$X$3)),INDIRECT("'["&amp;G795&amp;"]"&amp;E795&amp;"'!"&amp;$X$1),0)</f>
        <v>#VALUE!</v>
      </c>
      <c r="I795" s="25" t="str">
        <f t="shared" si="208"/>
        <v/>
      </c>
      <c r="J795" s="32" t="str">
        <f t="shared" si="209"/>
        <v/>
      </c>
      <c r="K795" s="25" t="str">
        <f t="shared" si="210"/>
        <v/>
      </c>
      <c r="L795" s="25" t="str">
        <f t="shared" si="211"/>
        <v/>
      </c>
      <c r="M795" s="33" t="e" cm="1">
        <f t="array" aca="1" ref="M795" ca="1">IF(AND(J795=INDIRECT("'["&amp;G795&amp;"]"&amp;E795&amp;"'!"&amp;$Y$2),G795=INDIRECT("'["&amp;G795&amp;"]"&amp;E795&amp;"'!"&amp;$AH$2)),INDIRECT("'["&amp;G795&amp;"]"&amp;E795&amp;"'!"&amp;$Y$3),0)</f>
        <v>#VALUE!</v>
      </c>
      <c r="N795" s="34" t="e" cm="1">
        <f t="array" aca="1" ref="N795" ca="1">IF(AND(G795=INDIRECT("'["&amp;G795&amp;"]"&amp;E795&amp;"'!"&amp;$AH$2),OR(K795=INDIRECT("'["&amp;G795&amp;"]"&amp;E795&amp;"'!"&amp;$Z$2))),INDIRECT("'["&amp;G795&amp;"]"&amp;E795&amp;"'!"&amp;$Z$3),0)</f>
        <v>#VALUE!</v>
      </c>
      <c r="O795" s="34" t="e" cm="1">
        <f t="array" aca="1" ref="O795" ca="1">IF(AND(G795=INDIRECT("'["&amp;G795&amp;"]"&amp;E795&amp;"'!"&amp;$AH$2),OR(L795=INDIRECT("'["&amp;G795&amp;"]"&amp;E795&amp;"'!"&amp;$AA$2))),INDIRECT("'["&amp;G795&amp;"]"&amp;E795&amp;"'!"&amp;$AA$3),0)</f>
        <v>#VALUE!</v>
      </c>
      <c r="P795" s="34" t="e" cm="1">
        <f t="array" aca="1" ref="P795" ca="1">IF(AND(G795=INDIRECT("'["&amp;G795&amp;"]"&amp;E795&amp;"'!"&amp;$AH$2),OR(VALUE(I795)=INDIRECT("'["&amp;G795&amp;"]"&amp;E795&amp;"'!"&amp;$AB$2))),INDIRECT("'["&amp;G795&amp;"]"&amp;E795&amp;"'!"&amp;$AB$3),0)</f>
        <v>#VALUE!</v>
      </c>
      <c r="Q795" s="34" t="e" cm="1">
        <f t="array" aca="1" ref="Q795" ca="1">IF(AND(G795=INDIRECT("'["&amp;G795&amp;"]"&amp;E795&amp;"'!"&amp;$AH$2),OR(VALUE(I795)=INDIRECT("'["&amp;G795&amp;"]"&amp;E795&amp;"'!"&amp;$AC$2))),INDIRECT("'["&amp;G795&amp;"]"&amp;E795&amp;"'!"&amp;$AC$3),0)</f>
        <v>#VALUE!</v>
      </c>
      <c r="R795" s="34" t="e" cm="1">
        <f t="array" aca="1" ref="R795" ca="1">IF(AND(G795=INDIRECT("'["&amp;G795&amp;"]"&amp;E795&amp;"'!"&amp;$AH$2),OR(I795=INDIRECT("'["&amp;G795&amp;"]"&amp;E795&amp;"'!"&amp;$AD$2))),INDIRECT("'["&amp;G795&amp;"]"&amp;E795&amp;"'!"&amp;$AD$3),0)</f>
        <v>#VALUE!</v>
      </c>
      <c r="S795" s="34" t="e" cm="1">
        <f t="array" aca="1" ref="S795" ca="1">IF(AND(G795=INDIRECT("'["&amp;G795&amp;"]"&amp;E795&amp;"'!"&amp;$AH$2),OR(I795=INDIRECT("'["&amp;G795&amp;"]"&amp;E795&amp;"'!"&amp;$AE$2))),INDIRECT("'["&amp;G795&amp;"]"&amp;E795&amp;"'!"&amp;$AE$3),0)</f>
        <v>#VALUE!</v>
      </c>
      <c r="T795" s="35" t="e" cm="1">
        <f t="array" aca="1" ref="T795" ca="1">IF(AND(G795=INDIRECT("'["&amp;G795&amp;"]"&amp;E795&amp;"'!"&amp;$AH$2),OR(I795=INDIRECT("'["&amp;G795&amp;"]"&amp;E795&amp;"'!"&amp;$AF$2))),INDIRECT("'["&amp;G795&amp;"]"&amp;E795&amp;"'!"&amp;$AF$3),0)</f>
        <v>#VALUE!</v>
      </c>
      <c r="U795" s="34" t="e" cm="1">
        <f t="array" aca="1" ref="U795" ca="1">IF(AND(G795=INDIRECT("'["&amp;G795&amp;"]"&amp;E795&amp;"'!"&amp;$AH$2),OR(I795=INDIRECT("'["&amp;G795&amp;"]"&amp;E795&amp;"'!"&amp;$AG$2))),INDIRECT("'["&amp;G795&amp;"]"&amp;E795&amp;"'!"&amp;$AG$3),0)</f>
        <v>#VALUE!</v>
      </c>
      <c r="V795" s="25" t="str">
        <f t="shared" si="212"/>
        <v/>
      </c>
      <c r="W795" s="36" t="e" cm="1">
        <f t="array" aca="1" ref="W795" ca="1">IF(AND(G795=INDIRECT("'["&amp;G795&amp;"]"&amp;E795&amp;"'!"&amp;$AH$2),OR(V795=INDIRECT("'["&amp;G795&amp;"]"&amp;E795&amp;"'!"&amp;$AI$2))),INDIRECT("'["&amp;G795&amp;"]"&amp;E795&amp;"'!"&amp;$AI$3),0)</f>
        <v>#VALUE!</v>
      </c>
      <c r="AJ795" s="25">
        <v>1</v>
      </c>
      <c r="AK795" s="38">
        <f t="shared" ca="1" si="213"/>
        <v>0</v>
      </c>
      <c r="AL795" s="38">
        <f t="shared" ca="1" si="214"/>
        <v>0</v>
      </c>
      <c r="AM795" s="54" t="str">
        <f t="shared" ca="1" si="215"/>
        <v/>
      </c>
      <c r="AN795" s="25" t="e">
        <f t="shared" ca="1" si="216"/>
        <v>#VALUE!</v>
      </c>
      <c r="AO795" s="25" t="e">
        <f t="shared" ca="1" si="217"/>
        <v>#VALUE!</v>
      </c>
      <c r="AQ795" s="46" t="str">
        <f ca="1">IF(AND(C795&lt;&gt;0, C796=0), SUM($C$2:C795)-SUM($AQ$1:AQ794), "")</f>
        <v/>
      </c>
      <c r="AR795" s="46" t="str">
        <f ca="1">IF(AND(AK795&lt;&gt;0, AK796=0), SUM($AK$2:AK795)-SUM($AR$1:AR794), "")</f>
        <v/>
      </c>
    </row>
    <row r="796" spans="2:44" ht="13.15" customHeight="1">
      <c r="B796" s="68" t="str">
        <f t="shared" si="203"/>
        <v/>
      </c>
      <c r="C796" s="55" cm="1">
        <f t="array" aca="1" ref="C796" ca="1">SUM(IF(ISNUMBER(M796:U796),M796:U796,""))</f>
        <v>0</v>
      </c>
      <c r="D796" s="25" t="str">
        <f t="shared" si="204"/>
        <v/>
      </c>
      <c r="E796" s="25" t="e">
        <f t="shared" si="205"/>
        <v>#VALUE!</v>
      </c>
      <c r="F796" s="25" t="str">
        <f t="shared" si="206"/>
        <v/>
      </c>
      <c r="G796" s="25" t="str">
        <f t="shared" si="207"/>
        <v>.xlsx</v>
      </c>
      <c r="H796" s="29" t="e" cm="1">
        <f t="array" aca="1" ref="H796" ca="1">IF(AND(VALUE(E796)=INDIRECT("'["&amp;G796&amp;"]"&amp;E796&amp;"'!"&amp;$X$2),G796=INDIRECT("'["&amp;G796&amp;"]"&amp;E796&amp;"'!"&amp;$X$3)),INDIRECT("'["&amp;G796&amp;"]"&amp;E796&amp;"'!"&amp;$X$1),0)</f>
        <v>#VALUE!</v>
      </c>
      <c r="I796" s="25" t="str">
        <f t="shared" si="208"/>
        <v/>
      </c>
      <c r="J796" s="32" t="str">
        <f t="shared" si="209"/>
        <v/>
      </c>
      <c r="K796" s="25" t="str">
        <f t="shared" si="210"/>
        <v/>
      </c>
      <c r="L796" s="25" t="str">
        <f t="shared" si="211"/>
        <v/>
      </c>
      <c r="M796" s="33" t="e" cm="1">
        <f t="array" aca="1" ref="M796" ca="1">IF(AND(J796=INDIRECT("'["&amp;G796&amp;"]"&amp;E796&amp;"'!"&amp;$Y$2),G796=INDIRECT("'["&amp;G796&amp;"]"&amp;E796&amp;"'!"&amp;$AH$2)),INDIRECT("'["&amp;G796&amp;"]"&amp;E796&amp;"'!"&amp;$Y$3),0)</f>
        <v>#VALUE!</v>
      </c>
      <c r="N796" s="34" t="e" cm="1">
        <f t="array" aca="1" ref="N796" ca="1">IF(AND(G796=INDIRECT("'["&amp;G796&amp;"]"&amp;E796&amp;"'!"&amp;$AH$2),OR(K796=INDIRECT("'["&amp;G796&amp;"]"&amp;E796&amp;"'!"&amp;$Z$2))),INDIRECT("'["&amp;G796&amp;"]"&amp;E796&amp;"'!"&amp;$Z$3),0)</f>
        <v>#VALUE!</v>
      </c>
      <c r="O796" s="34" t="e" cm="1">
        <f t="array" aca="1" ref="O796" ca="1">IF(AND(G796=INDIRECT("'["&amp;G796&amp;"]"&amp;E796&amp;"'!"&amp;$AH$2),OR(L796=INDIRECT("'["&amp;G796&amp;"]"&amp;E796&amp;"'!"&amp;$AA$2))),INDIRECT("'["&amp;G796&amp;"]"&amp;E796&amp;"'!"&amp;$AA$3),0)</f>
        <v>#VALUE!</v>
      </c>
      <c r="P796" s="34" t="e" cm="1">
        <f t="array" aca="1" ref="P796" ca="1">IF(AND(G796=INDIRECT("'["&amp;G796&amp;"]"&amp;E796&amp;"'!"&amp;$AH$2),OR(VALUE(I796)=INDIRECT("'["&amp;G796&amp;"]"&amp;E796&amp;"'!"&amp;$AB$2))),INDIRECT("'["&amp;G796&amp;"]"&amp;E796&amp;"'!"&amp;$AB$3),0)</f>
        <v>#VALUE!</v>
      </c>
      <c r="Q796" s="34" t="e" cm="1">
        <f t="array" aca="1" ref="Q796" ca="1">IF(AND(G796=INDIRECT("'["&amp;G796&amp;"]"&amp;E796&amp;"'!"&amp;$AH$2),OR(VALUE(I796)=INDIRECT("'["&amp;G796&amp;"]"&amp;E796&amp;"'!"&amp;$AC$2))),INDIRECT("'["&amp;G796&amp;"]"&amp;E796&amp;"'!"&amp;$AC$3),0)</f>
        <v>#VALUE!</v>
      </c>
      <c r="R796" s="34" t="e" cm="1">
        <f t="array" aca="1" ref="R796" ca="1">IF(AND(G796=INDIRECT("'["&amp;G796&amp;"]"&amp;E796&amp;"'!"&amp;$AH$2),OR(I796=INDIRECT("'["&amp;G796&amp;"]"&amp;E796&amp;"'!"&amp;$AD$2))),INDIRECT("'["&amp;G796&amp;"]"&amp;E796&amp;"'!"&amp;$AD$3),0)</f>
        <v>#VALUE!</v>
      </c>
      <c r="S796" s="34" t="e" cm="1">
        <f t="array" aca="1" ref="S796" ca="1">IF(AND(G796=INDIRECT("'["&amp;G796&amp;"]"&amp;E796&amp;"'!"&amp;$AH$2),OR(I796=INDIRECT("'["&amp;G796&amp;"]"&amp;E796&amp;"'!"&amp;$AE$2))),INDIRECT("'["&amp;G796&amp;"]"&amp;E796&amp;"'!"&amp;$AE$3),0)</f>
        <v>#VALUE!</v>
      </c>
      <c r="T796" s="35" t="e" cm="1">
        <f t="array" aca="1" ref="T796" ca="1">IF(AND(G796=INDIRECT("'["&amp;G796&amp;"]"&amp;E796&amp;"'!"&amp;$AH$2),OR(I796=INDIRECT("'["&amp;G796&amp;"]"&amp;E796&amp;"'!"&amp;$AF$2))),INDIRECT("'["&amp;G796&amp;"]"&amp;E796&amp;"'!"&amp;$AF$3),0)</f>
        <v>#VALUE!</v>
      </c>
      <c r="U796" s="34" t="e" cm="1">
        <f t="array" aca="1" ref="U796" ca="1">IF(AND(G796=INDIRECT("'["&amp;G796&amp;"]"&amp;E796&amp;"'!"&amp;$AH$2),OR(I796=INDIRECT("'["&amp;G796&amp;"]"&amp;E796&amp;"'!"&amp;$AG$2))),INDIRECT("'["&amp;G796&amp;"]"&amp;E796&amp;"'!"&amp;$AG$3),0)</f>
        <v>#VALUE!</v>
      </c>
      <c r="V796" s="25" t="str">
        <f t="shared" si="212"/>
        <v/>
      </c>
      <c r="W796" s="36" t="e" cm="1">
        <f t="array" aca="1" ref="W796" ca="1">IF(AND(G796=INDIRECT("'["&amp;G796&amp;"]"&amp;E796&amp;"'!"&amp;$AH$2),OR(V796=INDIRECT("'["&amp;G796&amp;"]"&amp;E796&amp;"'!"&amp;$AI$2))),INDIRECT("'["&amp;G796&amp;"]"&amp;E796&amp;"'!"&amp;$AI$3),0)</f>
        <v>#VALUE!</v>
      </c>
      <c r="AJ796" s="25">
        <v>1</v>
      </c>
      <c r="AK796" s="38">
        <f t="shared" ca="1" si="213"/>
        <v>0</v>
      </c>
      <c r="AL796" s="38">
        <f t="shared" ca="1" si="214"/>
        <v>0</v>
      </c>
      <c r="AM796" s="54" t="str">
        <f t="shared" ca="1" si="215"/>
        <v/>
      </c>
      <c r="AN796" s="25" t="e">
        <f t="shared" ca="1" si="216"/>
        <v>#VALUE!</v>
      </c>
      <c r="AO796" s="25" t="e">
        <f t="shared" ca="1" si="217"/>
        <v>#VALUE!</v>
      </c>
      <c r="AQ796" s="46" t="str">
        <f ca="1">IF(AND(C796&lt;&gt;0, C797=0), SUM($C$2:C796)-SUM($AQ$1:AQ795), "")</f>
        <v/>
      </c>
      <c r="AR796" s="46" t="str">
        <f ca="1">IF(AND(AK796&lt;&gt;0, AK797=0), SUM($AK$2:AK796)-SUM($AR$1:AR795), "")</f>
        <v/>
      </c>
    </row>
    <row r="797" spans="2:44" ht="13.15" customHeight="1">
      <c r="B797" s="68" t="str">
        <f t="shared" si="203"/>
        <v/>
      </c>
      <c r="C797" s="55" cm="1">
        <f t="array" aca="1" ref="C797" ca="1">SUM(IF(ISNUMBER(M797:U797),M797:U797,""))</f>
        <v>0</v>
      </c>
      <c r="D797" s="25" t="str">
        <f t="shared" si="204"/>
        <v/>
      </c>
      <c r="E797" s="25" t="e">
        <f t="shared" si="205"/>
        <v>#VALUE!</v>
      </c>
      <c r="F797" s="25" t="str">
        <f t="shared" si="206"/>
        <v/>
      </c>
      <c r="G797" s="25" t="str">
        <f t="shared" si="207"/>
        <v>.xlsx</v>
      </c>
      <c r="H797" s="29" t="e" cm="1">
        <f t="array" aca="1" ref="H797" ca="1">IF(AND(VALUE(E797)=INDIRECT("'["&amp;G797&amp;"]"&amp;E797&amp;"'!"&amp;$X$2),G797=INDIRECT("'["&amp;G797&amp;"]"&amp;E797&amp;"'!"&amp;$X$3)),INDIRECT("'["&amp;G797&amp;"]"&amp;E797&amp;"'!"&amp;$X$1),0)</f>
        <v>#VALUE!</v>
      </c>
      <c r="I797" s="25" t="str">
        <f t="shared" si="208"/>
        <v/>
      </c>
      <c r="J797" s="32" t="str">
        <f t="shared" si="209"/>
        <v/>
      </c>
      <c r="K797" s="25" t="str">
        <f t="shared" si="210"/>
        <v/>
      </c>
      <c r="L797" s="25" t="str">
        <f t="shared" si="211"/>
        <v/>
      </c>
      <c r="M797" s="33" t="e" cm="1">
        <f t="array" aca="1" ref="M797" ca="1">IF(AND(J797=INDIRECT("'["&amp;G797&amp;"]"&amp;E797&amp;"'!"&amp;$Y$2),G797=INDIRECT("'["&amp;G797&amp;"]"&amp;E797&amp;"'!"&amp;$AH$2)),INDIRECT("'["&amp;G797&amp;"]"&amp;E797&amp;"'!"&amp;$Y$3),0)</f>
        <v>#VALUE!</v>
      </c>
      <c r="N797" s="34" t="e" cm="1">
        <f t="array" aca="1" ref="N797" ca="1">IF(AND(G797=INDIRECT("'["&amp;G797&amp;"]"&amp;E797&amp;"'!"&amp;$AH$2),OR(K797=INDIRECT("'["&amp;G797&amp;"]"&amp;E797&amp;"'!"&amp;$Z$2))),INDIRECT("'["&amp;G797&amp;"]"&amp;E797&amp;"'!"&amp;$Z$3),0)</f>
        <v>#VALUE!</v>
      </c>
      <c r="O797" s="34" t="e" cm="1">
        <f t="array" aca="1" ref="O797" ca="1">IF(AND(G797=INDIRECT("'["&amp;G797&amp;"]"&amp;E797&amp;"'!"&amp;$AH$2),OR(L797=INDIRECT("'["&amp;G797&amp;"]"&amp;E797&amp;"'!"&amp;$AA$2))),INDIRECT("'["&amp;G797&amp;"]"&amp;E797&amp;"'!"&amp;$AA$3),0)</f>
        <v>#VALUE!</v>
      </c>
      <c r="P797" s="34" t="e" cm="1">
        <f t="array" aca="1" ref="P797" ca="1">IF(AND(G797=INDIRECT("'["&amp;G797&amp;"]"&amp;E797&amp;"'!"&amp;$AH$2),OR(VALUE(I797)=INDIRECT("'["&amp;G797&amp;"]"&amp;E797&amp;"'!"&amp;$AB$2))),INDIRECT("'["&amp;G797&amp;"]"&amp;E797&amp;"'!"&amp;$AB$3),0)</f>
        <v>#VALUE!</v>
      </c>
      <c r="Q797" s="34" t="e" cm="1">
        <f t="array" aca="1" ref="Q797" ca="1">IF(AND(G797=INDIRECT("'["&amp;G797&amp;"]"&amp;E797&amp;"'!"&amp;$AH$2),OR(VALUE(I797)=INDIRECT("'["&amp;G797&amp;"]"&amp;E797&amp;"'!"&amp;$AC$2))),INDIRECT("'["&amp;G797&amp;"]"&amp;E797&amp;"'!"&amp;$AC$3),0)</f>
        <v>#VALUE!</v>
      </c>
      <c r="R797" s="34" t="e" cm="1">
        <f t="array" aca="1" ref="R797" ca="1">IF(AND(G797=INDIRECT("'["&amp;G797&amp;"]"&amp;E797&amp;"'!"&amp;$AH$2),OR(I797=INDIRECT("'["&amp;G797&amp;"]"&amp;E797&amp;"'!"&amp;$AD$2))),INDIRECT("'["&amp;G797&amp;"]"&amp;E797&amp;"'!"&amp;$AD$3),0)</f>
        <v>#VALUE!</v>
      </c>
      <c r="S797" s="34" t="e" cm="1">
        <f t="array" aca="1" ref="S797" ca="1">IF(AND(G797=INDIRECT("'["&amp;G797&amp;"]"&amp;E797&amp;"'!"&amp;$AH$2),OR(I797=INDIRECT("'["&amp;G797&amp;"]"&amp;E797&amp;"'!"&amp;$AE$2))),INDIRECT("'["&amp;G797&amp;"]"&amp;E797&amp;"'!"&amp;$AE$3),0)</f>
        <v>#VALUE!</v>
      </c>
      <c r="T797" s="35" t="e" cm="1">
        <f t="array" aca="1" ref="T797" ca="1">IF(AND(G797=INDIRECT("'["&amp;G797&amp;"]"&amp;E797&amp;"'!"&amp;$AH$2),OR(I797=INDIRECT("'["&amp;G797&amp;"]"&amp;E797&amp;"'!"&amp;$AF$2))),INDIRECT("'["&amp;G797&amp;"]"&amp;E797&amp;"'!"&amp;$AF$3),0)</f>
        <v>#VALUE!</v>
      </c>
      <c r="U797" s="34" t="e" cm="1">
        <f t="array" aca="1" ref="U797" ca="1">IF(AND(G797=INDIRECT("'["&amp;G797&amp;"]"&amp;E797&amp;"'!"&amp;$AH$2),OR(I797=INDIRECT("'["&amp;G797&amp;"]"&amp;E797&amp;"'!"&amp;$AG$2))),INDIRECT("'["&amp;G797&amp;"]"&amp;E797&amp;"'!"&amp;$AG$3),0)</f>
        <v>#VALUE!</v>
      </c>
      <c r="V797" s="25" t="str">
        <f t="shared" si="212"/>
        <v/>
      </c>
      <c r="W797" s="36" t="e" cm="1">
        <f t="array" aca="1" ref="W797" ca="1">IF(AND(G797=INDIRECT("'["&amp;G797&amp;"]"&amp;E797&amp;"'!"&amp;$AH$2),OR(V797=INDIRECT("'["&amp;G797&amp;"]"&amp;E797&amp;"'!"&amp;$AI$2))),INDIRECT("'["&amp;G797&amp;"]"&amp;E797&amp;"'!"&amp;$AI$3),0)</f>
        <v>#VALUE!</v>
      </c>
      <c r="AJ797" s="25">
        <v>1</v>
      </c>
      <c r="AK797" s="38">
        <f t="shared" ca="1" si="213"/>
        <v>0</v>
      </c>
      <c r="AL797" s="38">
        <f t="shared" ca="1" si="214"/>
        <v>0</v>
      </c>
      <c r="AM797" s="54" t="str">
        <f t="shared" ca="1" si="215"/>
        <v/>
      </c>
      <c r="AN797" s="25" t="e">
        <f t="shared" ca="1" si="216"/>
        <v>#VALUE!</v>
      </c>
      <c r="AO797" s="25" t="e">
        <f t="shared" ca="1" si="217"/>
        <v>#VALUE!</v>
      </c>
      <c r="AQ797" s="46" t="str">
        <f ca="1">IF(AND(C797&lt;&gt;0, C798=0), SUM($C$2:C797)-SUM($AQ$1:AQ796), "")</f>
        <v/>
      </c>
      <c r="AR797" s="46" t="str">
        <f ca="1">IF(AND(AK797&lt;&gt;0, AK798=0), SUM($AK$2:AK797)-SUM($AR$1:AR796), "")</f>
        <v/>
      </c>
    </row>
    <row r="798" spans="2:44" ht="13.15" customHeight="1">
      <c r="B798" s="68" t="str">
        <f t="shared" si="203"/>
        <v/>
      </c>
      <c r="C798" s="55" cm="1">
        <f t="array" aca="1" ref="C798" ca="1">SUM(IF(ISNUMBER(M798:U798),M798:U798,""))</f>
        <v>0</v>
      </c>
      <c r="D798" s="25" t="str">
        <f t="shared" si="204"/>
        <v/>
      </c>
      <c r="E798" s="25" t="e">
        <f t="shared" si="205"/>
        <v>#VALUE!</v>
      </c>
      <c r="F798" s="25" t="str">
        <f t="shared" si="206"/>
        <v/>
      </c>
      <c r="G798" s="25" t="str">
        <f t="shared" si="207"/>
        <v>.xlsx</v>
      </c>
      <c r="H798" s="29" t="e" cm="1">
        <f t="array" aca="1" ref="H798" ca="1">IF(AND(VALUE(E798)=INDIRECT("'["&amp;G798&amp;"]"&amp;E798&amp;"'!"&amp;$X$2),G798=INDIRECT("'["&amp;G798&amp;"]"&amp;E798&amp;"'!"&amp;$X$3)),INDIRECT("'["&amp;G798&amp;"]"&amp;E798&amp;"'!"&amp;$X$1),0)</f>
        <v>#VALUE!</v>
      </c>
      <c r="I798" s="25" t="str">
        <f t="shared" si="208"/>
        <v/>
      </c>
      <c r="J798" s="32" t="str">
        <f t="shared" si="209"/>
        <v/>
      </c>
      <c r="K798" s="25" t="str">
        <f t="shared" si="210"/>
        <v/>
      </c>
      <c r="L798" s="25" t="str">
        <f t="shared" si="211"/>
        <v/>
      </c>
      <c r="M798" s="33" t="e" cm="1">
        <f t="array" aca="1" ref="M798" ca="1">IF(AND(J798=INDIRECT("'["&amp;G798&amp;"]"&amp;E798&amp;"'!"&amp;$Y$2),G798=INDIRECT("'["&amp;G798&amp;"]"&amp;E798&amp;"'!"&amp;$AH$2)),INDIRECT("'["&amp;G798&amp;"]"&amp;E798&amp;"'!"&amp;$Y$3),0)</f>
        <v>#VALUE!</v>
      </c>
      <c r="N798" s="34" t="e" cm="1">
        <f t="array" aca="1" ref="N798" ca="1">IF(AND(G798=INDIRECT("'["&amp;G798&amp;"]"&amp;E798&amp;"'!"&amp;$AH$2),OR(K798=INDIRECT("'["&amp;G798&amp;"]"&amp;E798&amp;"'!"&amp;$Z$2))),INDIRECT("'["&amp;G798&amp;"]"&amp;E798&amp;"'!"&amp;$Z$3),0)</f>
        <v>#VALUE!</v>
      </c>
      <c r="O798" s="34" t="e" cm="1">
        <f t="array" aca="1" ref="O798" ca="1">IF(AND(G798=INDIRECT("'["&amp;G798&amp;"]"&amp;E798&amp;"'!"&amp;$AH$2),OR(L798=INDIRECT("'["&amp;G798&amp;"]"&amp;E798&amp;"'!"&amp;$AA$2))),INDIRECT("'["&amp;G798&amp;"]"&amp;E798&amp;"'!"&amp;$AA$3),0)</f>
        <v>#VALUE!</v>
      </c>
      <c r="P798" s="34" t="e" cm="1">
        <f t="array" aca="1" ref="P798" ca="1">IF(AND(G798=INDIRECT("'["&amp;G798&amp;"]"&amp;E798&amp;"'!"&amp;$AH$2),OR(VALUE(I798)=INDIRECT("'["&amp;G798&amp;"]"&amp;E798&amp;"'!"&amp;$AB$2))),INDIRECT("'["&amp;G798&amp;"]"&amp;E798&amp;"'!"&amp;$AB$3),0)</f>
        <v>#VALUE!</v>
      </c>
      <c r="Q798" s="34" t="e" cm="1">
        <f t="array" aca="1" ref="Q798" ca="1">IF(AND(G798=INDIRECT("'["&amp;G798&amp;"]"&amp;E798&amp;"'!"&amp;$AH$2),OR(VALUE(I798)=INDIRECT("'["&amp;G798&amp;"]"&amp;E798&amp;"'!"&amp;$AC$2))),INDIRECT("'["&amp;G798&amp;"]"&amp;E798&amp;"'!"&amp;$AC$3),0)</f>
        <v>#VALUE!</v>
      </c>
      <c r="R798" s="34" t="e" cm="1">
        <f t="array" aca="1" ref="R798" ca="1">IF(AND(G798=INDIRECT("'["&amp;G798&amp;"]"&amp;E798&amp;"'!"&amp;$AH$2),OR(I798=INDIRECT("'["&amp;G798&amp;"]"&amp;E798&amp;"'!"&amp;$AD$2))),INDIRECT("'["&amp;G798&amp;"]"&amp;E798&amp;"'!"&amp;$AD$3),0)</f>
        <v>#VALUE!</v>
      </c>
      <c r="S798" s="34" t="e" cm="1">
        <f t="array" aca="1" ref="S798" ca="1">IF(AND(G798=INDIRECT("'["&amp;G798&amp;"]"&amp;E798&amp;"'!"&amp;$AH$2),OR(I798=INDIRECT("'["&amp;G798&amp;"]"&amp;E798&amp;"'!"&amp;$AE$2))),INDIRECT("'["&amp;G798&amp;"]"&amp;E798&amp;"'!"&amp;$AE$3),0)</f>
        <v>#VALUE!</v>
      </c>
      <c r="T798" s="35" t="e" cm="1">
        <f t="array" aca="1" ref="T798" ca="1">IF(AND(G798=INDIRECT("'["&amp;G798&amp;"]"&amp;E798&amp;"'!"&amp;$AH$2),OR(I798=INDIRECT("'["&amp;G798&amp;"]"&amp;E798&amp;"'!"&amp;$AF$2))),INDIRECT("'["&amp;G798&amp;"]"&amp;E798&amp;"'!"&amp;$AF$3),0)</f>
        <v>#VALUE!</v>
      </c>
      <c r="U798" s="34" t="e" cm="1">
        <f t="array" aca="1" ref="U798" ca="1">IF(AND(G798=INDIRECT("'["&amp;G798&amp;"]"&amp;E798&amp;"'!"&amp;$AH$2),OR(I798=INDIRECT("'["&amp;G798&amp;"]"&amp;E798&amp;"'!"&amp;$AG$2))),INDIRECT("'["&amp;G798&amp;"]"&amp;E798&amp;"'!"&amp;$AG$3),0)</f>
        <v>#VALUE!</v>
      </c>
      <c r="V798" s="25" t="str">
        <f t="shared" si="212"/>
        <v/>
      </c>
      <c r="W798" s="36" t="e" cm="1">
        <f t="array" aca="1" ref="W798" ca="1">IF(AND(G798=INDIRECT("'["&amp;G798&amp;"]"&amp;E798&amp;"'!"&amp;$AH$2),OR(V798=INDIRECT("'["&amp;G798&amp;"]"&amp;E798&amp;"'!"&amp;$AI$2))),INDIRECT("'["&amp;G798&amp;"]"&amp;E798&amp;"'!"&amp;$AI$3),0)</f>
        <v>#VALUE!</v>
      </c>
      <c r="AJ798" s="25">
        <v>1</v>
      </c>
      <c r="AK798" s="38">
        <f t="shared" ca="1" si="213"/>
        <v>0</v>
      </c>
      <c r="AL798" s="38">
        <f t="shared" ca="1" si="214"/>
        <v>0</v>
      </c>
      <c r="AM798" s="54" t="str">
        <f t="shared" ca="1" si="215"/>
        <v/>
      </c>
      <c r="AN798" s="25" t="e">
        <f t="shared" ca="1" si="216"/>
        <v>#VALUE!</v>
      </c>
      <c r="AO798" s="25" t="e">
        <f t="shared" ca="1" si="217"/>
        <v>#VALUE!</v>
      </c>
      <c r="AQ798" s="46" t="str">
        <f ca="1">IF(AND(C798&lt;&gt;0, C799=0), SUM($C$2:C798)-SUM($AQ$1:AQ797), "")</f>
        <v/>
      </c>
      <c r="AR798" s="46" t="str">
        <f ca="1">IF(AND(AK798&lt;&gt;0, AK799=0), SUM($AK$2:AK798)-SUM($AR$1:AR797), "")</f>
        <v/>
      </c>
    </row>
    <row r="799" spans="2:44" ht="13.15" customHeight="1">
      <c r="B799" s="68" t="str">
        <f t="shared" si="203"/>
        <v/>
      </c>
      <c r="C799" s="55" cm="1">
        <f t="array" aca="1" ref="C799" ca="1">SUM(IF(ISNUMBER(M799:U799),M799:U799,""))</f>
        <v>0</v>
      </c>
      <c r="D799" s="25" t="str">
        <f t="shared" si="204"/>
        <v/>
      </c>
      <c r="E799" s="25" t="e">
        <f t="shared" si="205"/>
        <v>#VALUE!</v>
      </c>
      <c r="F799" s="25" t="str">
        <f t="shared" si="206"/>
        <v/>
      </c>
      <c r="G799" s="25" t="str">
        <f t="shared" si="207"/>
        <v>.xlsx</v>
      </c>
      <c r="H799" s="29" t="e" cm="1">
        <f t="array" aca="1" ref="H799" ca="1">IF(AND(VALUE(E799)=INDIRECT("'["&amp;G799&amp;"]"&amp;E799&amp;"'!"&amp;$X$2),G799=INDIRECT("'["&amp;G799&amp;"]"&amp;E799&amp;"'!"&amp;$X$3)),INDIRECT("'["&amp;G799&amp;"]"&amp;E799&amp;"'!"&amp;$X$1),0)</f>
        <v>#VALUE!</v>
      </c>
      <c r="I799" s="25" t="str">
        <f t="shared" si="208"/>
        <v/>
      </c>
      <c r="J799" s="32" t="str">
        <f t="shared" si="209"/>
        <v/>
      </c>
      <c r="K799" s="25" t="str">
        <f t="shared" si="210"/>
        <v/>
      </c>
      <c r="L799" s="25" t="str">
        <f t="shared" si="211"/>
        <v/>
      </c>
      <c r="M799" s="33" t="e" cm="1">
        <f t="array" aca="1" ref="M799" ca="1">IF(AND(J799=INDIRECT("'["&amp;G799&amp;"]"&amp;E799&amp;"'!"&amp;$Y$2),G799=INDIRECT("'["&amp;G799&amp;"]"&amp;E799&amp;"'!"&amp;$AH$2)),INDIRECT("'["&amp;G799&amp;"]"&amp;E799&amp;"'!"&amp;$Y$3),0)</f>
        <v>#VALUE!</v>
      </c>
      <c r="N799" s="34" t="e" cm="1">
        <f t="array" aca="1" ref="N799" ca="1">IF(AND(G799=INDIRECT("'["&amp;G799&amp;"]"&amp;E799&amp;"'!"&amp;$AH$2),OR(K799=INDIRECT("'["&amp;G799&amp;"]"&amp;E799&amp;"'!"&amp;$Z$2))),INDIRECT("'["&amp;G799&amp;"]"&amp;E799&amp;"'!"&amp;$Z$3),0)</f>
        <v>#VALUE!</v>
      </c>
      <c r="O799" s="34" t="e" cm="1">
        <f t="array" aca="1" ref="O799" ca="1">IF(AND(G799=INDIRECT("'["&amp;G799&amp;"]"&amp;E799&amp;"'!"&amp;$AH$2),OR(L799=INDIRECT("'["&amp;G799&amp;"]"&amp;E799&amp;"'!"&amp;$AA$2))),INDIRECT("'["&amp;G799&amp;"]"&amp;E799&amp;"'!"&amp;$AA$3),0)</f>
        <v>#VALUE!</v>
      </c>
      <c r="P799" s="34" t="e" cm="1">
        <f t="array" aca="1" ref="P799" ca="1">IF(AND(G799=INDIRECT("'["&amp;G799&amp;"]"&amp;E799&amp;"'!"&amp;$AH$2),OR(VALUE(I799)=INDIRECT("'["&amp;G799&amp;"]"&amp;E799&amp;"'!"&amp;$AB$2))),INDIRECT("'["&amp;G799&amp;"]"&amp;E799&amp;"'!"&amp;$AB$3),0)</f>
        <v>#VALUE!</v>
      </c>
      <c r="Q799" s="34" t="e" cm="1">
        <f t="array" aca="1" ref="Q799" ca="1">IF(AND(G799=INDIRECT("'["&amp;G799&amp;"]"&amp;E799&amp;"'!"&amp;$AH$2),OR(VALUE(I799)=INDIRECT("'["&amp;G799&amp;"]"&amp;E799&amp;"'!"&amp;$AC$2))),INDIRECT("'["&amp;G799&amp;"]"&amp;E799&amp;"'!"&amp;$AC$3),0)</f>
        <v>#VALUE!</v>
      </c>
      <c r="R799" s="34" t="e" cm="1">
        <f t="array" aca="1" ref="R799" ca="1">IF(AND(G799=INDIRECT("'["&amp;G799&amp;"]"&amp;E799&amp;"'!"&amp;$AH$2),OR(I799=INDIRECT("'["&amp;G799&amp;"]"&amp;E799&amp;"'!"&amp;$AD$2))),INDIRECT("'["&amp;G799&amp;"]"&amp;E799&amp;"'!"&amp;$AD$3),0)</f>
        <v>#VALUE!</v>
      </c>
      <c r="S799" s="34" t="e" cm="1">
        <f t="array" aca="1" ref="S799" ca="1">IF(AND(G799=INDIRECT("'["&amp;G799&amp;"]"&amp;E799&amp;"'!"&amp;$AH$2),OR(I799=INDIRECT("'["&amp;G799&amp;"]"&amp;E799&amp;"'!"&amp;$AE$2))),INDIRECT("'["&amp;G799&amp;"]"&amp;E799&amp;"'!"&amp;$AE$3),0)</f>
        <v>#VALUE!</v>
      </c>
      <c r="T799" s="35" t="e" cm="1">
        <f t="array" aca="1" ref="T799" ca="1">IF(AND(G799=INDIRECT("'["&amp;G799&amp;"]"&amp;E799&amp;"'!"&amp;$AH$2),OR(I799=INDIRECT("'["&amp;G799&amp;"]"&amp;E799&amp;"'!"&amp;$AF$2))),INDIRECT("'["&amp;G799&amp;"]"&amp;E799&amp;"'!"&amp;$AF$3),0)</f>
        <v>#VALUE!</v>
      </c>
      <c r="U799" s="34" t="e" cm="1">
        <f t="array" aca="1" ref="U799" ca="1">IF(AND(G799=INDIRECT("'["&amp;G799&amp;"]"&amp;E799&amp;"'!"&amp;$AH$2),OR(I799=INDIRECT("'["&amp;G799&amp;"]"&amp;E799&amp;"'!"&amp;$AG$2))),INDIRECT("'["&amp;G799&amp;"]"&amp;E799&amp;"'!"&amp;$AG$3),0)</f>
        <v>#VALUE!</v>
      </c>
      <c r="V799" s="25" t="str">
        <f t="shared" si="212"/>
        <v/>
      </c>
      <c r="W799" s="36" t="e" cm="1">
        <f t="array" aca="1" ref="W799" ca="1">IF(AND(G799=INDIRECT("'["&amp;G799&amp;"]"&amp;E799&amp;"'!"&amp;$AH$2),OR(V799=INDIRECT("'["&amp;G799&amp;"]"&amp;E799&amp;"'!"&amp;$AI$2))),INDIRECT("'["&amp;G799&amp;"]"&amp;E799&amp;"'!"&amp;$AI$3),0)</f>
        <v>#VALUE!</v>
      </c>
      <c r="AJ799" s="25">
        <v>1</v>
      </c>
      <c r="AK799" s="38">
        <f t="shared" ca="1" si="213"/>
        <v>0</v>
      </c>
      <c r="AL799" s="38">
        <f t="shared" ca="1" si="214"/>
        <v>0</v>
      </c>
      <c r="AM799" s="54" t="str">
        <f t="shared" ca="1" si="215"/>
        <v/>
      </c>
      <c r="AN799" s="25" t="e">
        <f t="shared" ca="1" si="216"/>
        <v>#VALUE!</v>
      </c>
      <c r="AO799" s="25" t="e">
        <f t="shared" ca="1" si="217"/>
        <v>#VALUE!</v>
      </c>
      <c r="AQ799" s="46" t="str">
        <f ca="1">IF(AND(C799&lt;&gt;0, C800=0), SUM($C$2:C799)-SUM($AQ$1:AQ798), "")</f>
        <v/>
      </c>
      <c r="AR799" s="46" t="str">
        <f ca="1">IF(AND(AK799&lt;&gt;0, AK800=0), SUM($AK$2:AK799)-SUM($AR$1:AR798), "")</f>
        <v/>
      </c>
    </row>
    <row r="800" spans="2:44" ht="13.15" customHeight="1">
      <c r="B800" s="68" t="str">
        <f t="shared" si="203"/>
        <v/>
      </c>
      <c r="C800" s="55" cm="1">
        <f t="array" aca="1" ref="C800" ca="1">SUM(IF(ISNUMBER(M800:U800),M800:U800,""))</f>
        <v>0</v>
      </c>
      <c r="D800" s="25" t="str">
        <f t="shared" si="204"/>
        <v/>
      </c>
      <c r="E800" s="25" t="e">
        <f t="shared" si="205"/>
        <v>#VALUE!</v>
      </c>
      <c r="F800" s="25" t="str">
        <f t="shared" si="206"/>
        <v/>
      </c>
      <c r="G800" s="25" t="str">
        <f t="shared" si="207"/>
        <v>.xlsx</v>
      </c>
      <c r="H800" s="29" t="e" cm="1">
        <f t="array" aca="1" ref="H800" ca="1">IF(AND(VALUE(E800)=INDIRECT("'["&amp;G800&amp;"]"&amp;E800&amp;"'!"&amp;$X$2),G800=INDIRECT("'["&amp;G800&amp;"]"&amp;E800&amp;"'!"&amp;$X$3)),INDIRECT("'["&amp;G800&amp;"]"&amp;E800&amp;"'!"&amp;$X$1),0)</f>
        <v>#VALUE!</v>
      </c>
      <c r="I800" s="25" t="str">
        <f t="shared" si="208"/>
        <v/>
      </c>
      <c r="J800" s="32" t="str">
        <f t="shared" si="209"/>
        <v/>
      </c>
      <c r="K800" s="25" t="str">
        <f t="shared" si="210"/>
        <v/>
      </c>
      <c r="L800" s="25" t="str">
        <f t="shared" si="211"/>
        <v/>
      </c>
      <c r="M800" s="33" t="e" cm="1">
        <f t="array" aca="1" ref="M800" ca="1">IF(AND(J800=INDIRECT("'["&amp;G800&amp;"]"&amp;E800&amp;"'!"&amp;$Y$2),G800=INDIRECT("'["&amp;G800&amp;"]"&amp;E800&amp;"'!"&amp;$AH$2)),INDIRECT("'["&amp;G800&amp;"]"&amp;E800&amp;"'!"&amp;$Y$3),0)</f>
        <v>#VALUE!</v>
      </c>
      <c r="N800" s="34" t="e" cm="1">
        <f t="array" aca="1" ref="N800" ca="1">IF(AND(G800=INDIRECT("'["&amp;G800&amp;"]"&amp;E800&amp;"'!"&amp;$AH$2),OR(K800=INDIRECT("'["&amp;G800&amp;"]"&amp;E800&amp;"'!"&amp;$Z$2))),INDIRECT("'["&amp;G800&amp;"]"&amp;E800&amp;"'!"&amp;$Z$3),0)</f>
        <v>#VALUE!</v>
      </c>
      <c r="O800" s="34" t="e" cm="1">
        <f t="array" aca="1" ref="O800" ca="1">IF(AND(G800=INDIRECT("'["&amp;G800&amp;"]"&amp;E800&amp;"'!"&amp;$AH$2),OR(L800=INDIRECT("'["&amp;G800&amp;"]"&amp;E800&amp;"'!"&amp;$AA$2))),INDIRECT("'["&amp;G800&amp;"]"&amp;E800&amp;"'!"&amp;$AA$3),0)</f>
        <v>#VALUE!</v>
      </c>
      <c r="P800" s="34" t="e" cm="1">
        <f t="array" aca="1" ref="P800" ca="1">IF(AND(G800=INDIRECT("'["&amp;G800&amp;"]"&amp;E800&amp;"'!"&amp;$AH$2),OR(VALUE(I800)=INDIRECT("'["&amp;G800&amp;"]"&amp;E800&amp;"'!"&amp;$AB$2))),INDIRECT("'["&amp;G800&amp;"]"&amp;E800&amp;"'!"&amp;$AB$3),0)</f>
        <v>#VALUE!</v>
      </c>
      <c r="Q800" s="34" t="e" cm="1">
        <f t="array" aca="1" ref="Q800" ca="1">IF(AND(G800=INDIRECT("'["&amp;G800&amp;"]"&amp;E800&amp;"'!"&amp;$AH$2),OR(VALUE(I800)=INDIRECT("'["&amp;G800&amp;"]"&amp;E800&amp;"'!"&amp;$AC$2))),INDIRECT("'["&amp;G800&amp;"]"&amp;E800&amp;"'!"&amp;$AC$3),0)</f>
        <v>#VALUE!</v>
      </c>
      <c r="R800" s="34" t="e" cm="1">
        <f t="array" aca="1" ref="R800" ca="1">IF(AND(G800=INDIRECT("'["&amp;G800&amp;"]"&amp;E800&amp;"'!"&amp;$AH$2),OR(I800=INDIRECT("'["&amp;G800&amp;"]"&amp;E800&amp;"'!"&amp;$AD$2))),INDIRECT("'["&amp;G800&amp;"]"&amp;E800&amp;"'!"&amp;$AD$3),0)</f>
        <v>#VALUE!</v>
      </c>
      <c r="S800" s="34" t="e" cm="1">
        <f t="array" aca="1" ref="S800" ca="1">IF(AND(G800=INDIRECT("'["&amp;G800&amp;"]"&amp;E800&amp;"'!"&amp;$AH$2),OR(I800=INDIRECT("'["&amp;G800&amp;"]"&amp;E800&amp;"'!"&amp;$AE$2))),INDIRECT("'["&amp;G800&amp;"]"&amp;E800&amp;"'!"&amp;$AE$3),0)</f>
        <v>#VALUE!</v>
      </c>
      <c r="T800" s="35" t="e" cm="1">
        <f t="array" aca="1" ref="T800" ca="1">IF(AND(G800=INDIRECT("'["&amp;G800&amp;"]"&amp;E800&amp;"'!"&amp;$AH$2),OR(I800=INDIRECT("'["&amp;G800&amp;"]"&amp;E800&amp;"'!"&amp;$AF$2))),INDIRECT("'["&amp;G800&amp;"]"&amp;E800&amp;"'!"&amp;$AF$3),0)</f>
        <v>#VALUE!</v>
      </c>
      <c r="U800" s="34" t="e" cm="1">
        <f t="array" aca="1" ref="U800" ca="1">IF(AND(G800=INDIRECT("'["&amp;G800&amp;"]"&amp;E800&amp;"'!"&amp;$AH$2),OR(I800=INDIRECT("'["&amp;G800&amp;"]"&amp;E800&amp;"'!"&amp;$AG$2))),INDIRECT("'["&amp;G800&amp;"]"&amp;E800&amp;"'!"&amp;$AG$3),0)</f>
        <v>#VALUE!</v>
      </c>
      <c r="V800" s="25" t="str">
        <f t="shared" si="212"/>
        <v/>
      </c>
      <c r="W800" s="36" t="e" cm="1">
        <f t="array" aca="1" ref="W800" ca="1">IF(AND(G800=INDIRECT("'["&amp;G800&amp;"]"&amp;E800&amp;"'!"&amp;$AH$2),OR(V800=INDIRECT("'["&amp;G800&amp;"]"&amp;E800&amp;"'!"&amp;$AI$2))),INDIRECT("'["&amp;G800&amp;"]"&amp;E800&amp;"'!"&amp;$AI$3),0)</f>
        <v>#VALUE!</v>
      </c>
      <c r="AJ800" s="25">
        <v>1</v>
      </c>
      <c r="AK800" s="38">
        <f t="shared" ca="1" si="213"/>
        <v>0</v>
      </c>
      <c r="AL800" s="38">
        <f t="shared" ca="1" si="214"/>
        <v>0</v>
      </c>
      <c r="AM800" s="54" t="str">
        <f t="shared" ca="1" si="215"/>
        <v/>
      </c>
      <c r="AN800" s="25" t="e">
        <f t="shared" ca="1" si="216"/>
        <v>#VALUE!</v>
      </c>
      <c r="AO800" s="25" t="e">
        <f t="shared" ca="1" si="217"/>
        <v>#VALUE!</v>
      </c>
      <c r="AQ800" s="46" t="str">
        <f ca="1">IF(AND(C800&lt;&gt;0, C801=0), SUM($C$2:C800)-SUM($AQ$1:AQ799), "")</f>
        <v/>
      </c>
      <c r="AR800" s="46" t="str">
        <f ca="1">IF(AND(AK800&lt;&gt;0, AK801=0), SUM($AK$2:AK800)-SUM($AR$1:AR799), "")</f>
        <v/>
      </c>
    </row>
    <row r="801" spans="2:44" ht="13.15" customHeight="1">
      <c r="B801" s="68" t="str">
        <f t="shared" si="203"/>
        <v/>
      </c>
      <c r="C801" s="55" cm="1">
        <f t="array" aca="1" ref="C801" ca="1">SUM(IF(ISNUMBER(M801:U801),M801:U801,""))</f>
        <v>0</v>
      </c>
      <c r="D801" s="25" t="str">
        <f t="shared" si="204"/>
        <v/>
      </c>
      <c r="E801" s="25" t="e">
        <f t="shared" si="205"/>
        <v>#VALUE!</v>
      </c>
      <c r="F801" s="25" t="str">
        <f t="shared" si="206"/>
        <v/>
      </c>
      <c r="G801" s="25" t="str">
        <f t="shared" si="207"/>
        <v>.xlsx</v>
      </c>
      <c r="H801" s="29" t="e" cm="1">
        <f t="array" aca="1" ref="H801" ca="1">IF(AND(VALUE(E801)=INDIRECT("'["&amp;G801&amp;"]"&amp;E801&amp;"'!"&amp;$X$2),G801=INDIRECT("'["&amp;G801&amp;"]"&amp;E801&amp;"'!"&amp;$X$3)),INDIRECT("'["&amp;G801&amp;"]"&amp;E801&amp;"'!"&amp;$X$1),0)</f>
        <v>#VALUE!</v>
      </c>
      <c r="I801" s="25" t="str">
        <f t="shared" si="208"/>
        <v/>
      </c>
      <c r="J801" s="32" t="str">
        <f t="shared" si="209"/>
        <v/>
      </c>
      <c r="K801" s="25" t="str">
        <f t="shared" si="210"/>
        <v/>
      </c>
      <c r="L801" s="25" t="str">
        <f t="shared" si="211"/>
        <v/>
      </c>
      <c r="M801" s="33" t="e" cm="1">
        <f t="array" aca="1" ref="M801" ca="1">IF(AND(J801=INDIRECT("'["&amp;G801&amp;"]"&amp;E801&amp;"'!"&amp;$Y$2),G801=INDIRECT("'["&amp;G801&amp;"]"&amp;E801&amp;"'!"&amp;$AH$2)),INDIRECT("'["&amp;G801&amp;"]"&amp;E801&amp;"'!"&amp;$Y$3),0)</f>
        <v>#VALUE!</v>
      </c>
      <c r="N801" s="34" t="e" cm="1">
        <f t="array" aca="1" ref="N801" ca="1">IF(AND(G801=INDIRECT("'["&amp;G801&amp;"]"&amp;E801&amp;"'!"&amp;$AH$2),OR(K801=INDIRECT("'["&amp;G801&amp;"]"&amp;E801&amp;"'!"&amp;$Z$2))),INDIRECT("'["&amp;G801&amp;"]"&amp;E801&amp;"'!"&amp;$Z$3),0)</f>
        <v>#VALUE!</v>
      </c>
      <c r="O801" s="34" t="e" cm="1">
        <f t="array" aca="1" ref="O801" ca="1">IF(AND(G801=INDIRECT("'["&amp;G801&amp;"]"&amp;E801&amp;"'!"&amp;$AH$2),OR(L801=INDIRECT("'["&amp;G801&amp;"]"&amp;E801&amp;"'!"&amp;$AA$2))),INDIRECT("'["&amp;G801&amp;"]"&amp;E801&amp;"'!"&amp;$AA$3),0)</f>
        <v>#VALUE!</v>
      </c>
      <c r="P801" s="34" t="e" cm="1">
        <f t="array" aca="1" ref="P801" ca="1">IF(AND(G801=INDIRECT("'["&amp;G801&amp;"]"&amp;E801&amp;"'!"&amp;$AH$2),OR(VALUE(I801)=INDIRECT("'["&amp;G801&amp;"]"&amp;E801&amp;"'!"&amp;$AB$2))),INDIRECT("'["&amp;G801&amp;"]"&amp;E801&amp;"'!"&amp;$AB$3),0)</f>
        <v>#VALUE!</v>
      </c>
      <c r="Q801" s="34" t="e" cm="1">
        <f t="array" aca="1" ref="Q801" ca="1">IF(AND(G801=INDIRECT("'["&amp;G801&amp;"]"&amp;E801&amp;"'!"&amp;$AH$2),OR(VALUE(I801)=INDIRECT("'["&amp;G801&amp;"]"&amp;E801&amp;"'!"&amp;$AC$2))),INDIRECT("'["&amp;G801&amp;"]"&amp;E801&amp;"'!"&amp;$AC$3),0)</f>
        <v>#VALUE!</v>
      </c>
      <c r="R801" s="34" t="e" cm="1">
        <f t="array" aca="1" ref="R801" ca="1">IF(AND(G801=INDIRECT("'["&amp;G801&amp;"]"&amp;E801&amp;"'!"&amp;$AH$2),OR(I801=INDIRECT("'["&amp;G801&amp;"]"&amp;E801&amp;"'!"&amp;$AD$2))),INDIRECT("'["&amp;G801&amp;"]"&amp;E801&amp;"'!"&amp;$AD$3),0)</f>
        <v>#VALUE!</v>
      </c>
      <c r="S801" s="34" t="e" cm="1">
        <f t="array" aca="1" ref="S801" ca="1">IF(AND(G801=INDIRECT("'["&amp;G801&amp;"]"&amp;E801&amp;"'!"&amp;$AH$2),OR(I801=INDIRECT("'["&amp;G801&amp;"]"&amp;E801&amp;"'!"&amp;$AE$2))),INDIRECT("'["&amp;G801&amp;"]"&amp;E801&amp;"'!"&amp;$AE$3),0)</f>
        <v>#VALUE!</v>
      </c>
      <c r="T801" s="35" t="e" cm="1">
        <f t="array" aca="1" ref="T801" ca="1">IF(AND(G801=INDIRECT("'["&amp;G801&amp;"]"&amp;E801&amp;"'!"&amp;$AH$2),OR(I801=INDIRECT("'["&amp;G801&amp;"]"&amp;E801&amp;"'!"&amp;$AF$2))),INDIRECT("'["&amp;G801&amp;"]"&amp;E801&amp;"'!"&amp;$AF$3),0)</f>
        <v>#VALUE!</v>
      </c>
      <c r="U801" s="34" t="e" cm="1">
        <f t="array" aca="1" ref="U801" ca="1">IF(AND(G801=INDIRECT("'["&amp;G801&amp;"]"&amp;E801&amp;"'!"&amp;$AH$2),OR(I801=INDIRECT("'["&amp;G801&amp;"]"&amp;E801&amp;"'!"&amp;$AG$2))),INDIRECT("'["&amp;G801&amp;"]"&amp;E801&amp;"'!"&amp;$AG$3),0)</f>
        <v>#VALUE!</v>
      </c>
      <c r="V801" s="25" t="str">
        <f t="shared" si="212"/>
        <v/>
      </c>
      <c r="W801" s="36" t="e" cm="1">
        <f t="array" aca="1" ref="W801" ca="1">IF(AND(G801=INDIRECT("'["&amp;G801&amp;"]"&amp;E801&amp;"'!"&amp;$AH$2),OR(V801=INDIRECT("'["&amp;G801&amp;"]"&amp;E801&amp;"'!"&amp;$AI$2))),INDIRECT("'["&amp;G801&amp;"]"&amp;E801&amp;"'!"&amp;$AI$3),0)</f>
        <v>#VALUE!</v>
      </c>
      <c r="AJ801" s="25">
        <v>1</v>
      </c>
      <c r="AK801" s="38">
        <f t="shared" ca="1" si="213"/>
        <v>0</v>
      </c>
      <c r="AL801" s="38">
        <f t="shared" ca="1" si="214"/>
        <v>0</v>
      </c>
      <c r="AM801" s="54" t="str">
        <f t="shared" ca="1" si="215"/>
        <v/>
      </c>
      <c r="AN801" s="25" t="e">
        <f t="shared" ca="1" si="216"/>
        <v>#VALUE!</v>
      </c>
      <c r="AO801" s="25" t="e">
        <f t="shared" ca="1" si="217"/>
        <v>#VALUE!</v>
      </c>
      <c r="AQ801" s="46" t="str">
        <f ca="1">IF(AND(C801&lt;&gt;0, C802=0), SUM($C$2:C801)-SUM($AQ$1:AQ800), "")</f>
        <v/>
      </c>
      <c r="AR801" s="46" t="str">
        <f ca="1">IF(AND(AK801&lt;&gt;0, AK802=0), SUM($AK$2:AK801)-SUM($AR$1:AR800), "")</f>
        <v/>
      </c>
    </row>
    <row r="802" spans="2:44" ht="13.15" customHeight="1">
      <c r="B802" s="68" t="str">
        <f t="shared" si="203"/>
        <v/>
      </c>
      <c r="C802" s="55" cm="1">
        <f t="array" aca="1" ref="C802" ca="1">SUM(IF(ISNUMBER(M802:U802),M802:U802,""))</f>
        <v>0</v>
      </c>
      <c r="D802" s="25" t="str">
        <f t="shared" si="204"/>
        <v/>
      </c>
      <c r="E802" s="25" t="e">
        <f t="shared" si="205"/>
        <v>#VALUE!</v>
      </c>
      <c r="F802" s="25" t="str">
        <f t="shared" si="206"/>
        <v/>
      </c>
      <c r="G802" s="25" t="str">
        <f t="shared" si="207"/>
        <v>.xlsx</v>
      </c>
      <c r="H802" s="29" t="e" cm="1">
        <f t="array" aca="1" ref="H802" ca="1">IF(AND(VALUE(E802)=INDIRECT("'["&amp;G802&amp;"]"&amp;E802&amp;"'!"&amp;$X$2),G802=INDIRECT("'["&amp;G802&amp;"]"&amp;E802&amp;"'!"&amp;$X$3)),INDIRECT("'["&amp;G802&amp;"]"&amp;E802&amp;"'!"&amp;$X$1),0)</f>
        <v>#VALUE!</v>
      </c>
      <c r="I802" s="25" t="str">
        <f t="shared" si="208"/>
        <v/>
      </c>
      <c r="J802" s="32" t="str">
        <f t="shared" si="209"/>
        <v/>
      </c>
      <c r="K802" s="25" t="str">
        <f t="shared" si="210"/>
        <v/>
      </c>
      <c r="L802" s="25" t="str">
        <f t="shared" si="211"/>
        <v/>
      </c>
      <c r="M802" s="33" t="e" cm="1">
        <f t="array" aca="1" ref="M802" ca="1">IF(AND(J802=INDIRECT("'["&amp;G802&amp;"]"&amp;E802&amp;"'!"&amp;$Y$2),G802=INDIRECT("'["&amp;G802&amp;"]"&amp;E802&amp;"'!"&amp;$AH$2)),INDIRECT("'["&amp;G802&amp;"]"&amp;E802&amp;"'!"&amp;$Y$3),0)</f>
        <v>#VALUE!</v>
      </c>
      <c r="N802" s="34" t="e" cm="1">
        <f t="array" aca="1" ref="N802" ca="1">IF(AND(G802=INDIRECT("'["&amp;G802&amp;"]"&amp;E802&amp;"'!"&amp;$AH$2),OR(K802=INDIRECT("'["&amp;G802&amp;"]"&amp;E802&amp;"'!"&amp;$Z$2))),INDIRECT("'["&amp;G802&amp;"]"&amp;E802&amp;"'!"&amp;$Z$3),0)</f>
        <v>#VALUE!</v>
      </c>
      <c r="O802" s="34" t="e" cm="1">
        <f t="array" aca="1" ref="O802" ca="1">IF(AND(G802=INDIRECT("'["&amp;G802&amp;"]"&amp;E802&amp;"'!"&amp;$AH$2),OR(L802=INDIRECT("'["&amp;G802&amp;"]"&amp;E802&amp;"'!"&amp;$AA$2))),INDIRECT("'["&amp;G802&amp;"]"&amp;E802&amp;"'!"&amp;$AA$3),0)</f>
        <v>#VALUE!</v>
      </c>
      <c r="P802" s="34" t="e" cm="1">
        <f t="array" aca="1" ref="P802" ca="1">IF(AND(G802=INDIRECT("'["&amp;G802&amp;"]"&amp;E802&amp;"'!"&amp;$AH$2),OR(VALUE(I802)=INDIRECT("'["&amp;G802&amp;"]"&amp;E802&amp;"'!"&amp;$AB$2))),INDIRECT("'["&amp;G802&amp;"]"&amp;E802&amp;"'!"&amp;$AB$3),0)</f>
        <v>#VALUE!</v>
      </c>
      <c r="Q802" s="34" t="e" cm="1">
        <f t="array" aca="1" ref="Q802" ca="1">IF(AND(G802=INDIRECT("'["&amp;G802&amp;"]"&amp;E802&amp;"'!"&amp;$AH$2),OR(VALUE(I802)=INDIRECT("'["&amp;G802&amp;"]"&amp;E802&amp;"'!"&amp;$AC$2))),INDIRECT("'["&amp;G802&amp;"]"&amp;E802&amp;"'!"&amp;$AC$3),0)</f>
        <v>#VALUE!</v>
      </c>
      <c r="R802" s="34" t="e" cm="1">
        <f t="array" aca="1" ref="R802" ca="1">IF(AND(G802=INDIRECT("'["&amp;G802&amp;"]"&amp;E802&amp;"'!"&amp;$AH$2),OR(I802=INDIRECT("'["&amp;G802&amp;"]"&amp;E802&amp;"'!"&amp;$AD$2))),INDIRECT("'["&amp;G802&amp;"]"&amp;E802&amp;"'!"&amp;$AD$3),0)</f>
        <v>#VALUE!</v>
      </c>
      <c r="S802" s="34" t="e" cm="1">
        <f t="array" aca="1" ref="S802" ca="1">IF(AND(G802=INDIRECT("'["&amp;G802&amp;"]"&amp;E802&amp;"'!"&amp;$AH$2),OR(I802=INDIRECT("'["&amp;G802&amp;"]"&amp;E802&amp;"'!"&amp;$AE$2))),INDIRECT("'["&amp;G802&amp;"]"&amp;E802&amp;"'!"&amp;$AE$3),0)</f>
        <v>#VALUE!</v>
      </c>
      <c r="T802" s="35" t="e" cm="1">
        <f t="array" aca="1" ref="T802" ca="1">IF(AND(G802=INDIRECT("'["&amp;G802&amp;"]"&amp;E802&amp;"'!"&amp;$AH$2),OR(I802=INDIRECT("'["&amp;G802&amp;"]"&amp;E802&amp;"'!"&amp;$AF$2))),INDIRECT("'["&amp;G802&amp;"]"&amp;E802&amp;"'!"&amp;$AF$3),0)</f>
        <v>#VALUE!</v>
      </c>
      <c r="U802" s="34" t="e" cm="1">
        <f t="array" aca="1" ref="U802" ca="1">IF(AND(G802=INDIRECT("'["&amp;G802&amp;"]"&amp;E802&amp;"'!"&amp;$AH$2),OR(I802=INDIRECT("'["&amp;G802&amp;"]"&amp;E802&amp;"'!"&amp;$AG$2))),INDIRECT("'["&amp;G802&amp;"]"&amp;E802&amp;"'!"&amp;$AG$3),0)</f>
        <v>#VALUE!</v>
      </c>
      <c r="V802" s="25" t="str">
        <f t="shared" si="212"/>
        <v/>
      </c>
      <c r="W802" s="36" t="e" cm="1">
        <f t="array" aca="1" ref="W802" ca="1">IF(AND(G802=INDIRECT("'["&amp;G802&amp;"]"&amp;E802&amp;"'!"&amp;$AH$2),OR(V802=INDIRECT("'["&amp;G802&amp;"]"&amp;E802&amp;"'!"&amp;$AI$2))),INDIRECT("'["&amp;G802&amp;"]"&amp;E802&amp;"'!"&amp;$AI$3),0)</f>
        <v>#VALUE!</v>
      </c>
      <c r="AJ802" s="25">
        <v>1</v>
      </c>
      <c r="AK802" s="38">
        <f t="shared" ca="1" si="213"/>
        <v>0</v>
      </c>
      <c r="AL802" s="38">
        <f t="shared" ca="1" si="214"/>
        <v>0</v>
      </c>
      <c r="AM802" s="54" t="str">
        <f t="shared" ca="1" si="215"/>
        <v/>
      </c>
      <c r="AN802" s="25" t="e">
        <f t="shared" ca="1" si="216"/>
        <v>#VALUE!</v>
      </c>
      <c r="AO802" s="25" t="e">
        <f t="shared" ca="1" si="217"/>
        <v>#VALUE!</v>
      </c>
      <c r="AQ802" s="46" t="str">
        <f ca="1">IF(AND(C802&lt;&gt;0, C803=0), SUM($C$2:C802)-SUM($AQ$1:AQ801), "")</f>
        <v/>
      </c>
      <c r="AR802" s="46" t="str">
        <f ca="1">IF(AND(AK802&lt;&gt;0, AK803=0), SUM($AK$2:AK802)-SUM($AR$1:AR801), "")</f>
        <v/>
      </c>
    </row>
    <row r="803" spans="2:44" ht="13.15" customHeight="1">
      <c r="B803" s="68" t="str">
        <f t="shared" si="203"/>
        <v/>
      </c>
      <c r="C803" s="55" cm="1">
        <f t="array" aca="1" ref="C803" ca="1">SUM(IF(ISNUMBER(M803:U803),M803:U803,""))</f>
        <v>0</v>
      </c>
      <c r="D803" s="25" t="str">
        <f t="shared" si="204"/>
        <v/>
      </c>
      <c r="E803" s="25" t="e">
        <f t="shared" si="205"/>
        <v>#VALUE!</v>
      </c>
      <c r="F803" s="25" t="str">
        <f t="shared" si="206"/>
        <v/>
      </c>
      <c r="G803" s="25" t="str">
        <f t="shared" si="207"/>
        <v>.xlsx</v>
      </c>
      <c r="H803" s="29" t="e" cm="1">
        <f t="array" aca="1" ref="H803" ca="1">IF(AND(VALUE(E803)=INDIRECT("'["&amp;G803&amp;"]"&amp;E803&amp;"'!"&amp;$X$2),G803=INDIRECT("'["&amp;G803&amp;"]"&amp;E803&amp;"'!"&amp;$X$3)),INDIRECT("'["&amp;G803&amp;"]"&amp;E803&amp;"'!"&amp;$X$1),0)</f>
        <v>#VALUE!</v>
      </c>
      <c r="I803" s="25" t="str">
        <f t="shared" si="208"/>
        <v/>
      </c>
      <c r="J803" s="32" t="str">
        <f t="shared" si="209"/>
        <v/>
      </c>
      <c r="K803" s="25" t="str">
        <f t="shared" si="210"/>
        <v/>
      </c>
      <c r="L803" s="25" t="str">
        <f t="shared" si="211"/>
        <v/>
      </c>
      <c r="M803" s="33" t="e" cm="1">
        <f t="array" aca="1" ref="M803" ca="1">IF(AND(J803=INDIRECT("'["&amp;G803&amp;"]"&amp;E803&amp;"'!"&amp;$Y$2),G803=INDIRECT("'["&amp;G803&amp;"]"&amp;E803&amp;"'!"&amp;$AH$2)),INDIRECT("'["&amp;G803&amp;"]"&amp;E803&amp;"'!"&amp;$Y$3),0)</f>
        <v>#VALUE!</v>
      </c>
      <c r="N803" s="34" t="e" cm="1">
        <f t="array" aca="1" ref="N803" ca="1">IF(AND(G803=INDIRECT("'["&amp;G803&amp;"]"&amp;E803&amp;"'!"&amp;$AH$2),OR(K803=INDIRECT("'["&amp;G803&amp;"]"&amp;E803&amp;"'!"&amp;$Z$2))),INDIRECT("'["&amp;G803&amp;"]"&amp;E803&amp;"'!"&amp;$Z$3),0)</f>
        <v>#VALUE!</v>
      </c>
      <c r="O803" s="34" t="e" cm="1">
        <f t="array" aca="1" ref="O803" ca="1">IF(AND(G803=INDIRECT("'["&amp;G803&amp;"]"&amp;E803&amp;"'!"&amp;$AH$2),OR(L803=INDIRECT("'["&amp;G803&amp;"]"&amp;E803&amp;"'!"&amp;$AA$2))),INDIRECT("'["&amp;G803&amp;"]"&amp;E803&amp;"'!"&amp;$AA$3),0)</f>
        <v>#VALUE!</v>
      </c>
      <c r="P803" s="34" t="e" cm="1">
        <f t="array" aca="1" ref="P803" ca="1">IF(AND(G803=INDIRECT("'["&amp;G803&amp;"]"&amp;E803&amp;"'!"&amp;$AH$2),OR(VALUE(I803)=INDIRECT("'["&amp;G803&amp;"]"&amp;E803&amp;"'!"&amp;$AB$2))),INDIRECT("'["&amp;G803&amp;"]"&amp;E803&amp;"'!"&amp;$AB$3),0)</f>
        <v>#VALUE!</v>
      </c>
      <c r="Q803" s="34" t="e" cm="1">
        <f t="array" aca="1" ref="Q803" ca="1">IF(AND(G803=INDIRECT("'["&amp;G803&amp;"]"&amp;E803&amp;"'!"&amp;$AH$2),OR(VALUE(I803)=INDIRECT("'["&amp;G803&amp;"]"&amp;E803&amp;"'!"&amp;$AC$2))),INDIRECT("'["&amp;G803&amp;"]"&amp;E803&amp;"'!"&amp;$AC$3),0)</f>
        <v>#VALUE!</v>
      </c>
      <c r="R803" s="34" t="e" cm="1">
        <f t="array" aca="1" ref="R803" ca="1">IF(AND(G803=INDIRECT("'["&amp;G803&amp;"]"&amp;E803&amp;"'!"&amp;$AH$2),OR(I803=INDIRECT("'["&amp;G803&amp;"]"&amp;E803&amp;"'!"&amp;$AD$2))),INDIRECT("'["&amp;G803&amp;"]"&amp;E803&amp;"'!"&amp;$AD$3),0)</f>
        <v>#VALUE!</v>
      </c>
      <c r="S803" s="34" t="e" cm="1">
        <f t="array" aca="1" ref="S803" ca="1">IF(AND(G803=INDIRECT("'["&amp;G803&amp;"]"&amp;E803&amp;"'!"&amp;$AH$2),OR(I803=INDIRECT("'["&amp;G803&amp;"]"&amp;E803&amp;"'!"&amp;$AE$2))),INDIRECT("'["&amp;G803&amp;"]"&amp;E803&amp;"'!"&amp;$AE$3),0)</f>
        <v>#VALUE!</v>
      </c>
      <c r="T803" s="35" t="e" cm="1">
        <f t="array" aca="1" ref="T803" ca="1">IF(AND(G803=INDIRECT("'["&amp;G803&amp;"]"&amp;E803&amp;"'!"&amp;$AH$2),OR(I803=INDIRECT("'["&amp;G803&amp;"]"&amp;E803&amp;"'!"&amp;$AF$2))),INDIRECT("'["&amp;G803&amp;"]"&amp;E803&amp;"'!"&amp;$AF$3),0)</f>
        <v>#VALUE!</v>
      </c>
      <c r="U803" s="34" t="e" cm="1">
        <f t="array" aca="1" ref="U803" ca="1">IF(AND(G803=INDIRECT("'["&amp;G803&amp;"]"&amp;E803&amp;"'!"&amp;$AH$2),OR(I803=INDIRECT("'["&amp;G803&amp;"]"&amp;E803&amp;"'!"&amp;$AG$2))),INDIRECT("'["&amp;G803&amp;"]"&amp;E803&amp;"'!"&amp;$AG$3),0)</f>
        <v>#VALUE!</v>
      </c>
      <c r="V803" s="25" t="str">
        <f t="shared" si="212"/>
        <v/>
      </c>
      <c r="W803" s="36" t="e" cm="1">
        <f t="array" aca="1" ref="W803" ca="1">IF(AND(G803=INDIRECT("'["&amp;G803&amp;"]"&amp;E803&amp;"'!"&amp;$AH$2),OR(V803=INDIRECT("'["&amp;G803&amp;"]"&amp;E803&amp;"'!"&amp;$AI$2))),INDIRECT("'["&amp;G803&amp;"]"&amp;E803&amp;"'!"&amp;$AI$3),0)</f>
        <v>#VALUE!</v>
      </c>
      <c r="AJ803" s="25">
        <v>1</v>
      </c>
      <c r="AK803" s="38">
        <f t="shared" ca="1" si="213"/>
        <v>0</v>
      </c>
      <c r="AL803" s="38">
        <f t="shared" ca="1" si="214"/>
        <v>0</v>
      </c>
      <c r="AM803" s="54" t="str">
        <f t="shared" ca="1" si="215"/>
        <v/>
      </c>
      <c r="AN803" s="25" t="e">
        <f t="shared" ca="1" si="216"/>
        <v>#VALUE!</v>
      </c>
      <c r="AO803" s="25" t="e">
        <f t="shared" ca="1" si="217"/>
        <v>#VALUE!</v>
      </c>
      <c r="AQ803" s="46" t="str">
        <f ca="1">IF(AND(C803&lt;&gt;0, C804=0), SUM($C$2:C803)-SUM($AQ$1:AQ802), "")</f>
        <v/>
      </c>
      <c r="AR803" s="46" t="str">
        <f ca="1">IF(AND(AK803&lt;&gt;0, AK804=0), SUM($AK$2:AK803)-SUM($AR$1:AR802), "")</f>
        <v/>
      </c>
    </row>
    <row r="804" spans="2:44" ht="13.15" customHeight="1">
      <c r="B804" s="68" t="str">
        <f t="shared" si="203"/>
        <v/>
      </c>
      <c r="C804" s="55" cm="1">
        <f t="array" aca="1" ref="C804" ca="1">SUM(IF(ISNUMBER(M804:U804),M804:U804,""))</f>
        <v>0</v>
      </c>
      <c r="D804" s="25" t="str">
        <f t="shared" si="204"/>
        <v/>
      </c>
      <c r="E804" s="25" t="e">
        <f t="shared" si="205"/>
        <v>#VALUE!</v>
      </c>
      <c r="F804" s="25" t="str">
        <f t="shared" si="206"/>
        <v/>
      </c>
      <c r="G804" s="25" t="str">
        <f t="shared" si="207"/>
        <v>.xlsx</v>
      </c>
      <c r="H804" s="29" t="e" cm="1">
        <f t="array" aca="1" ref="H804" ca="1">IF(AND(VALUE(E804)=INDIRECT("'["&amp;G804&amp;"]"&amp;E804&amp;"'!"&amp;$X$2),G804=INDIRECT("'["&amp;G804&amp;"]"&amp;E804&amp;"'!"&amp;$X$3)),INDIRECT("'["&amp;G804&amp;"]"&amp;E804&amp;"'!"&amp;$X$1),0)</f>
        <v>#VALUE!</v>
      </c>
      <c r="I804" s="25" t="str">
        <f t="shared" si="208"/>
        <v/>
      </c>
      <c r="J804" s="32" t="str">
        <f t="shared" si="209"/>
        <v/>
      </c>
      <c r="K804" s="25" t="str">
        <f t="shared" si="210"/>
        <v/>
      </c>
      <c r="L804" s="25" t="str">
        <f t="shared" si="211"/>
        <v/>
      </c>
      <c r="M804" s="33" t="e" cm="1">
        <f t="array" aca="1" ref="M804" ca="1">IF(AND(J804=INDIRECT("'["&amp;G804&amp;"]"&amp;E804&amp;"'!"&amp;$Y$2),G804=INDIRECT("'["&amp;G804&amp;"]"&amp;E804&amp;"'!"&amp;$AH$2)),INDIRECT("'["&amp;G804&amp;"]"&amp;E804&amp;"'!"&amp;$Y$3),0)</f>
        <v>#VALUE!</v>
      </c>
      <c r="N804" s="34" t="e" cm="1">
        <f t="array" aca="1" ref="N804" ca="1">IF(AND(G804=INDIRECT("'["&amp;G804&amp;"]"&amp;E804&amp;"'!"&amp;$AH$2),OR(K804=INDIRECT("'["&amp;G804&amp;"]"&amp;E804&amp;"'!"&amp;$Z$2))),INDIRECT("'["&amp;G804&amp;"]"&amp;E804&amp;"'!"&amp;$Z$3),0)</f>
        <v>#VALUE!</v>
      </c>
      <c r="O804" s="34" t="e" cm="1">
        <f t="array" aca="1" ref="O804" ca="1">IF(AND(G804=INDIRECT("'["&amp;G804&amp;"]"&amp;E804&amp;"'!"&amp;$AH$2),OR(L804=INDIRECT("'["&amp;G804&amp;"]"&amp;E804&amp;"'!"&amp;$AA$2))),INDIRECT("'["&amp;G804&amp;"]"&amp;E804&amp;"'!"&amp;$AA$3),0)</f>
        <v>#VALUE!</v>
      </c>
      <c r="P804" s="34" t="e" cm="1">
        <f t="array" aca="1" ref="P804" ca="1">IF(AND(G804=INDIRECT("'["&amp;G804&amp;"]"&amp;E804&amp;"'!"&amp;$AH$2),OR(VALUE(I804)=INDIRECT("'["&amp;G804&amp;"]"&amp;E804&amp;"'!"&amp;$AB$2))),INDIRECT("'["&amp;G804&amp;"]"&amp;E804&amp;"'!"&amp;$AB$3),0)</f>
        <v>#VALUE!</v>
      </c>
      <c r="Q804" s="34" t="e" cm="1">
        <f t="array" aca="1" ref="Q804" ca="1">IF(AND(G804=INDIRECT("'["&amp;G804&amp;"]"&amp;E804&amp;"'!"&amp;$AH$2),OR(VALUE(I804)=INDIRECT("'["&amp;G804&amp;"]"&amp;E804&amp;"'!"&amp;$AC$2))),INDIRECT("'["&amp;G804&amp;"]"&amp;E804&amp;"'!"&amp;$AC$3),0)</f>
        <v>#VALUE!</v>
      </c>
      <c r="R804" s="34" t="e" cm="1">
        <f t="array" aca="1" ref="R804" ca="1">IF(AND(G804=INDIRECT("'["&amp;G804&amp;"]"&amp;E804&amp;"'!"&amp;$AH$2),OR(I804=INDIRECT("'["&amp;G804&amp;"]"&amp;E804&amp;"'!"&amp;$AD$2))),INDIRECT("'["&amp;G804&amp;"]"&amp;E804&amp;"'!"&amp;$AD$3),0)</f>
        <v>#VALUE!</v>
      </c>
      <c r="S804" s="34" t="e" cm="1">
        <f t="array" aca="1" ref="S804" ca="1">IF(AND(G804=INDIRECT("'["&amp;G804&amp;"]"&amp;E804&amp;"'!"&amp;$AH$2),OR(I804=INDIRECT("'["&amp;G804&amp;"]"&amp;E804&amp;"'!"&amp;$AE$2))),INDIRECT("'["&amp;G804&amp;"]"&amp;E804&amp;"'!"&amp;$AE$3),0)</f>
        <v>#VALUE!</v>
      </c>
      <c r="T804" s="35" t="e" cm="1">
        <f t="array" aca="1" ref="T804" ca="1">IF(AND(G804=INDIRECT("'["&amp;G804&amp;"]"&amp;E804&amp;"'!"&amp;$AH$2),OR(I804=INDIRECT("'["&amp;G804&amp;"]"&amp;E804&amp;"'!"&amp;$AF$2))),INDIRECT("'["&amp;G804&amp;"]"&amp;E804&amp;"'!"&amp;$AF$3),0)</f>
        <v>#VALUE!</v>
      </c>
      <c r="U804" s="34" t="e" cm="1">
        <f t="array" aca="1" ref="U804" ca="1">IF(AND(G804=INDIRECT("'["&amp;G804&amp;"]"&amp;E804&amp;"'!"&amp;$AH$2),OR(I804=INDIRECT("'["&amp;G804&amp;"]"&amp;E804&amp;"'!"&amp;$AG$2))),INDIRECT("'["&amp;G804&amp;"]"&amp;E804&amp;"'!"&amp;$AG$3),0)</f>
        <v>#VALUE!</v>
      </c>
      <c r="V804" s="25" t="str">
        <f t="shared" si="212"/>
        <v/>
      </c>
      <c r="W804" s="36" t="e" cm="1">
        <f t="array" aca="1" ref="W804" ca="1">IF(AND(G804=INDIRECT("'["&amp;G804&amp;"]"&amp;E804&amp;"'!"&amp;$AH$2),OR(V804=INDIRECT("'["&amp;G804&amp;"]"&amp;E804&amp;"'!"&amp;$AI$2))),INDIRECT("'["&amp;G804&amp;"]"&amp;E804&amp;"'!"&amp;$AI$3),0)</f>
        <v>#VALUE!</v>
      </c>
      <c r="AJ804" s="25">
        <v>1</v>
      </c>
      <c r="AK804" s="38">
        <f t="shared" ca="1" si="213"/>
        <v>0</v>
      </c>
      <c r="AL804" s="38">
        <f t="shared" ca="1" si="214"/>
        <v>0</v>
      </c>
      <c r="AM804" s="54" t="str">
        <f t="shared" ca="1" si="215"/>
        <v/>
      </c>
      <c r="AN804" s="25" t="e">
        <f t="shared" ca="1" si="216"/>
        <v>#VALUE!</v>
      </c>
      <c r="AO804" s="25" t="e">
        <f t="shared" ca="1" si="217"/>
        <v>#VALUE!</v>
      </c>
      <c r="AQ804" s="46" t="str">
        <f ca="1">IF(AND(C804&lt;&gt;0, C805=0), SUM($C$2:C804)-SUM($AQ$1:AQ803), "")</f>
        <v/>
      </c>
      <c r="AR804" s="46" t="str">
        <f ca="1">IF(AND(AK804&lt;&gt;0, AK805=0), SUM($AK$2:AK804)-SUM($AR$1:AR803), "")</f>
        <v/>
      </c>
    </row>
    <row r="805" spans="2:44" ht="13.15" customHeight="1">
      <c r="B805" s="68" t="str">
        <f t="shared" si="203"/>
        <v/>
      </c>
      <c r="C805" s="55" cm="1">
        <f t="array" aca="1" ref="C805" ca="1">SUM(IF(ISNUMBER(M805:U805),M805:U805,""))</f>
        <v>0</v>
      </c>
      <c r="D805" s="25" t="str">
        <f t="shared" si="204"/>
        <v/>
      </c>
      <c r="E805" s="25" t="e">
        <f t="shared" si="205"/>
        <v>#VALUE!</v>
      </c>
      <c r="F805" s="25" t="str">
        <f t="shared" si="206"/>
        <v/>
      </c>
      <c r="G805" s="25" t="str">
        <f t="shared" si="207"/>
        <v>.xlsx</v>
      </c>
      <c r="H805" s="29" t="e" cm="1">
        <f t="array" aca="1" ref="H805" ca="1">IF(AND(VALUE(E805)=INDIRECT("'["&amp;G805&amp;"]"&amp;E805&amp;"'!"&amp;$X$2),G805=INDIRECT("'["&amp;G805&amp;"]"&amp;E805&amp;"'!"&amp;$X$3)),INDIRECT("'["&amp;G805&amp;"]"&amp;E805&amp;"'!"&amp;$X$1),0)</f>
        <v>#VALUE!</v>
      </c>
      <c r="I805" s="25" t="str">
        <f t="shared" si="208"/>
        <v/>
      </c>
      <c r="J805" s="32" t="str">
        <f t="shared" si="209"/>
        <v/>
      </c>
      <c r="K805" s="25" t="str">
        <f t="shared" si="210"/>
        <v/>
      </c>
      <c r="L805" s="25" t="str">
        <f t="shared" si="211"/>
        <v/>
      </c>
      <c r="M805" s="33" t="e" cm="1">
        <f t="array" aca="1" ref="M805" ca="1">IF(AND(J805=INDIRECT("'["&amp;G805&amp;"]"&amp;E805&amp;"'!"&amp;$Y$2),G805=INDIRECT("'["&amp;G805&amp;"]"&amp;E805&amp;"'!"&amp;$AH$2)),INDIRECT("'["&amp;G805&amp;"]"&amp;E805&amp;"'!"&amp;$Y$3),0)</f>
        <v>#VALUE!</v>
      </c>
      <c r="N805" s="34" t="e" cm="1">
        <f t="array" aca="1" ref="N805" ca="1">IF(AND(G805=INDIRECT("'["&amp;G805&amp;"]"&amp;E805&amp;"'!"&amp;$AH$2),OR(K805=INDIRECT("'["&amp;G805&amp;"]"&amp;E805&amp;"'!"&amp;$Z$2))),INDIRECT("'["&amp;G805&amp;"]"&amp;E805&amp;"'!"&amp;$Z$3),0)</f>
        <v>#VALUE!</v>
      </c>
      <c r="O805" s="34" t="e" cm="1">
        <f t="array" aca="1" ref="O805" ca="1">IF(AND(G805=INDIRECT("'["&amp;G805&amp;"]"&amp;E805&amp;"'!"&amp;$AH$2),OR(L805=INDIRECT("'["&amp;G805&amp;"]"&amp;E805&amp;"'!"&amp;$AA$2))),INDIRECT("'["&amp;G805&amp;"]"&amp;E805&amp;"'!"&amp;$AA$3),0)</f>
        <v>#VALUE!</v>
      </c>
      <c r="P805" s="34" t="e" cm="1">
        <f t="array" aca="1" ref="P805" ca="1">IF(AND(G805=INDIRECT("'["&amp;G805&amp;"]"&amp;E805&amp;"'!"&amp;$AH$2),OR(VALUE(I805)=INDIRECT("'["&amp;G805&amp;"]"&amp;E805&amp;"'!"&amp;$AB$2))),INDIRECT("'["&amp;G805&amp;"]"&amp;E805&amp;"'!"&amp;$AB$3),0)</f>
        <v>#VALUE!</v>
      </c>
      <c r="Q805" s="34" t="e" cm="1">
        <f t="array" aca="1" ref="Q805" ca="1">IF(AND(G805=INDIRECT("'["&amp;G805&amp;"]"&amp;E805&amp;"'!"&amp;$AH$2),OR(VALUE(I805)=INDIRECT("'["&amp;G805&amp;"]"&amp;E805&amp;"'!"&amp;$AC$2))),INDIRECT("'["&amp;G805&amp;"]"&amp;E805&amp;"'!"&amp;$AC$3),0)</f>
        <v>#VALUE!</v>
      </c>
      <c r="R805" s="34" t="e" cm="1">
        <f t="array" aca="1" ref="R805" ca="1">IF(AND(G805=INDIRECT("'["&amp;G805&amp;"]"&amp;E805&amp;"'!"&amp;$AH$2),OR(I805=INDIRECT("'["&amp;G805&amp;"]"&amp;E805&amp;"'!"&amp;$AD$2))),INDIRECT("'["&amp;G805&amp;"]"&amp;E805&amp;"'!"&amp;$AD$3),0)</f>
        <v>#VALUE!</v>
      </c>
      <c r="S805" s="34" t="e" cm="1">
        <f t="array" aca="1" ref="S805" ca="1">IF(AND(G805=INDIRECT("'["&amp;G805&amp;"]"&amp;E805&amp;"'!"&amp;$AH$2),OR(I805=INDIRECT("'["&amp;G805&amp;"]"&amp;E805&amp;"'!"&amp;$AE$2))),INDIRECT("'["&amp;G805&amp;"]"&amp;E805&amp;"'!"&amp;$AE$3),0)</f>
        <v>#VALUE!</v>
      </c>
      <c r="T805" s="35" t="e" cm="1">
        <f t="array" aca="1" ref="T805" ca="1">IF(AND(G805=INDIRECT("'["&amp;G805&amp;"]"&amp;E805&amp;"'!"&amp;$AH$2),OR(I805=INDIRECT("'["&amp;G805&amp;"]"&amp;E805&amp;"'!"&amp;$AF$2))),INDIRECT("'["&amp;G805&amp;"]"&amp;E805&amp;"'!"&amp;$AF$3),0)</f>
        <v>#VALUE!</v>
      </c>
      <c r="U805" s="34" t="e" cm="1">
        <f t="array" aca="1" ref="U805" ca="1">IF(AND(G805=INDIRECT("'["&amp;G805&amp;"]"&amp;E805&amp;"'!"&amp;$AH$2),OR(I805=INDIRECT("'["&amp;G805&amp;"]"&amp;E805&amp;"'!"&amp;$AG$2))),INDIRECT("'["&amp;G805&amp;"]"&amp;E805&amp;"'!"&amp;$AG$3),0)</f>
        <v>#VALUE!</v>
      </c>
      <c r="V805" s="25" t="str">
        <f t="shared" si="212"/>
        <v/>
      </c>
      <c r="W805" s="36" t="e" cm="1">
        <f t="array" aca="1" ref="W805" ca="1">IF(AND(G805=INDIRECT("'["&amp;G805&amp;"]"&amp;E805&amp;"'!"&amp;$AH$2),OR(V805=INDIRECT("'["&amp;G805&amp;"]"&amp;E805&amp;"'!"&amp;$AI$2))),INDIRECT("'["&amp;G805&amp;"]"&amp;E805&amp;"'!"&amp;$AI$3),0)</f>
        <v>#VALUE!</v>
      </c>
      <c r="AJ805" s="25">
        <v>1</v>
      </c>
      <c r="AK805" s="38">
        <f t="shared" ca="1" si="213"/>
        <v>0</v>
      </c>
      <c r="AL805" s="38">
        <f t="shared" ca="1" si="214"/>
        <v>0</v>
      </c>
      <c r="AM805" s="54" t="str">
        <f t="shared" ca="1" si="215"/>
        <v/>
      </c>
      <c r="AN805" s="25" t="e">
        <f t="shared" ca="1" si="216"/>
        <v>#VALUE!</v>
      </c>
      <c r="AO805" s="25" t="e">
        <f t="shared" ca="1" si="217"/>
        <v>#VALUE!</v>
      </c>
      <c r="AQ805" s="46" t="str">
        <f ca="1">IF(AND(C805&lt;&gt;0, C806=0), SUM($C$2:C805)-SUM($AQ$1:AQ804), "")</f>
        <v/>
      </c>
      <c r="AR805" s="46" t="str">
        <f ca="1">IF(AND(AK805&lt;&gt;0, AK806=0), SUM($AK$2:AK805)-SUM($AR$1:AR804), "")</f>
        <v/>
      </c>
    </row>
    <row r="806" spans="2:44" ht="13.15" customHeight="1">
      <c r="B806" s="68" t="str">
        <f t="shared" si="203"/>
        <v/>
      </c>
      <c r="C806" s="55" cm="1">
        <f t="array" aca="1" ref="C806" ca="1">SUM(IF(ISNUMBER(M806:U806),M806:U806,""))</f>
        <v>0</v>
      </c>
      <c r="D806" s="25" t="str">
        <f t="shared" si="204"/>
        <v/>
      </c>
      <c r="E806" s="25" t="e">
        <f t="shared" si="205"/>
        <v>#VALUE!</v>
      </c>
      <c r="F806" s="25" t="str">
        <f t="shared" si="206"/>
        <v/>
      </c>
      <c r="G806" s="25" t="str">
        <f t="shared" si="207"/>
        <v>.xlsx</v>
      </c>
      <c r="H806" s="29" t="e" cm="1">
        <f t="array" aca="1" ref="H806" ca="1">IF(AND(VALUE(E806)=INDIRECT("'["&amp;G806&amp;"]"&amp;E806&amp;"'!"&amp;$X$2),G806=INDIRECT("'["&amp;G806&amp;"]"&amp;E806&amp;"'!"&amp;$X$3)),INDIRECT("'["&amp;G806&amp;"]"&amp;E806&amp;"'!"&amp;$X$1),0)</f>
        <v>#VALUE!</v>
      </c>
      <c r="I806" s="25" t="str">
        <f t="shared" si="208"/>
        <v/>
      </c>
      <c r="J806" s="32" t="str">
        <f t="shared" si="209"/>
        <v/>
      </c>
      <c r="K806" s="25" t="str">
        <f t="shared" si="210"/>
        <v/>
      </c>
      <c r="L806" s="25" t="str">
        <f t="shared" si="211"/>
        <v/>
      </c>
      <c r="M806" s="33" t="e" cm="1">
        <f t="array" aca="1" ref="M806" ca="1">IF(AND(J806=INDIRECT("'["&amp;G806&amp;"]"&amp;E806&amp;"'!"&amp;$Y$2),G806=INDIRECT("'["&amp;G806&amp;"]"&amp;E806&amp;"'!"&amp;$AH$2)),INDIRECT("'["&amp;G806&amp;"]"&amp;E806&amp;"'!"&amp;$Y$3),0)</f>
        <v>#VALUE!</v>
      </c>
      <c r="N806" s="34" t="e" cm="1">
        <f t="array" aca="1" ref="N806" ca="1">IF(AND(G806=INDIRECT("'["&amp;G806&amp;"]"&amp;E806&amp;"'!"&amp;$AH$2),OR(K806=INDIRECT("'["&amp;G806&amp;"]"&amp;E806&amp;"'!"&amp;$Z$2))),INDIRECT("'["&amp;G806&amp;"]"&amp;E806&amp;"'!"&amp;$Z$3),0)</f>
        <v>#VALUE!</v>
      </c>
      <c r="O806" s="34" t="e" cm="1">
        <f t="array" aca="1" ref="O806" ca="1">IF(AND(G806=INDIRECT("'["&amp;G806&amp;"]"&amp;E806&amp;"'!"&amp;$AH$2),OR(L806=INDIRECT("'["&amp;G806&amp;"]"&amp;E806&amp;"'!"&amp;$AA$2))),INDIRECT("'["&amp;G806&amp;"]"&amp;E806&amp;"'!"&amp;$AA$3),0)</f>
        <v>#VALUE!</v>
      </c>
      <c r="P806" s="34" t="e" cm="1">
        <f t="array" aca="1" ref="P806" ca="1">IF(AND(G806=INDIRECT("'["&amp;G806&amp;"]"&amp;E806&amp;"'!"&amp;$AH$2),OR(VALUE(I806)=INDIRECT("'["&amp;G806&amp;"]"&amp;E806&amp;"'!"&amp;$AB$2))),INDIRECT("'["&amp;G806&amp;"]"&amp;E806&amp;"'!"&amp;$AB$3),0)</f>
        <v>#VALUE!</v>
      </c>
      <c r="Q806" s="34" t="e" cm="1">
        <f t="array" aca="1" ref="Q806" ca="1">IF(AND(G806=INDIRECT("'["&amp;G806&amp;"]"&amp;E806&amp;"'!"&amp;$AH$2),OR(VALUE(I806)=INDIRECT("'["&amp;G806&amp;"]"&amp;E806&amp;"'!"&amp;$AC$2))),INDIRECT("'["&amp;G806&amp;"]"&amp;E806&amp;"'!"&amp;$AC$3),0)</f>
        <v>#VALUE!</v>
      </c>
      <c r="R806" s="34" t="e" cm="1">
        <f t="array" aca="1" ref="R806" ca="1">IF(AND(G806=INDIRECT("'["&amp;G806&amp;"]"&amp;E806&amp;"'!"&amp;$AH$2),OR(I806=INDIRECT("'["&amp;G806&amp;"]"&amp;E806&amp;"'!"&amp;$AD$2))),INDIRECT("'["&amp;G806&amp;"]"&amp;E806&amp;"'!"&amp;$AD$3),0)</f>
        <v>#VALUE!</v>
      </c>
      <c r="S806" s="34" t="e" cm="1">
        <f t="array" aca="1" ref="S806" ca="1">IF(AND(G806=INDIRECT("'["&amp;G806&amp;"]"&amp;E806&amp;"'!"&amp;$AH$2),OR(I806=INDIRECT("'["&amp;G806&amp;"]"&amp;E806&amp;"'!"&amp;$AE$2))),INDIRECT("'["&amp;G806&amp;"]"&amp;E806&amp;"'!"&amp;$AE$3),0)</f>
        <v>#VALUE!</v>
      </c>
      <c r="T806" s="35" t="e" cm="1">
        <f t="array" aca="1" ref="T806" ca="1">IF(AND(G806=INDIRECT("'["&amp;G806&amp;"]"&amp;E806&amp;"'!"&amp;$AH$2),OR(I806=INDIRECT("'["&amp;G806&amp;"]"&amp;E806&amp;"'!"&amp;$AF$2))),INDIRECT("'["&amp;G806&amp;"]"&amp;E806&amp;"'!"&amp;$AF$3),0)</f>
        <v>#VALUE!</v>
      </c>
      <c r="U806" s="34" t="e" cm="1">
        <f t="array" aca="1" ref="U806" ca="1">IF(AND(G806=INDIRECT("'["&amp;G806&amp;"]"&amp;E806&amp;"'!"&amp;$AH$2),OR(I806=INDIRECT("'["&amp;G806&amp;"]"&amp;E806&amp;"'!"&amp;$AG$2))),INDIRECT("'["&amp;G806&amp;"]"&amp;E806&amp;"'!"&amp;$AG$3),0)</f>
        <v>#VALUE!</v>
      </c>
      <c r="V806" s="25" t="str">
        <f t="shared" si="212"/>
        <v/>
      </c>
      <c r="W806" s="36" t="e" cm="1">
        <f t="array" aca="1" ref="W806" ca="1">IF(AND(G806=INDIRECT("'["&amp;G806&amp;"]"&amp;E806&amp;"'!"&amp;$AH$2),OR(V806=INDIRECT("'["&amp;G806&amp;"]"&amp;E806&amp;"'!"&amp;$AI$2))),INDIRECT("'["&amp;G806&amp;"]"&amp;E806&amp;"'!"&amp;$AI$3),0)</f>
        <v>#VALUE!</v>
      </c>
      <c r="AJ806" s="25">
        <v>1</v>
      </c>
      <c r="AK806" s="38">
        <f t="shared" ca="1" si="213"/>
        <v>0</v>
      </c>
      <c r="AL806" s="38">
        <f t="shared" ca="1" si="214"/>
        <v>0</v>
      </c>
      <c r="AM806" s="54" t="str">
        <f t="shared" ca="1" si="215"/>
        <v/>
      </c>
      <c r="AN806" s="25" t="e">
        <f t="shared" ca="1" si="216"/>
        <v>#VALUE!</v>
      </c>
      <c r="AO806" s="25" t="e">
        <f t="shared" ca="1" si="217"/>
        <v>#VALUE!</v>
      </c>
      <c r="AQ806" s="46" t="str">
        <f ca="1">IF(AND(C806&lt;&gt;0, C807=0), SUM($C$2:C806)-SUM($AQ$1:AQ805), "")</f>
        <v/>
      </c>
      <c r="AR806" s="46" t="str">
        <f ca="1">IF(AND(AK806&lt;&gt;0, AK807=0), SUM($AK$2:AK806)-SUM($AR$1:AR805), "")</f>
        <v/>
      </c>
    </row>
    <row r="807" spans="2:44" ht="13.15" customHeight="1">
      <c r="B807" s="68" t="str">
        <f t="shared" si="203"/>
        <v/>
      </c>
      <c r="C807" s="55" cm="1">
        <f t="array" aca="1" ref="C807" ca="1">SUM(IF(ISNUMBER(M807:U807),M807:U807,""))</f>
        <v>0</v>
      </c>
      <c r="D807" s="25" t="str">
        <f t="shared" si="204"/>
        <v/>
      </c>
      <c r="E807" s="25" t="e">
        <f t="shared" si="205"/>
        <v>#VALUE!</v>
      </c>
      <c r="F807" s="25" t="str">
        <f t="shared" si="206"/>
        <v/>
      </c>
      <c r="G807" s="25" t="str">
        <f t="shared" si="207"/>
        <v>.xlsx</v>
      </c>
      <c r="H807" s="29" t="e" cm="1">
        <f t="array" aca="1" ref="H807" ca="1">IF(AND(VALUE(E807)=INDIRECT("'["&amp;G807&amp;"]"&amp;E807&amp;"'!"&amp;$X$2),G807=INDIRECT("'["&amp;G807&amp;"]"&amp;E807&amp;"'!"&amp;$X$3)),INDIRECT("'["&amp;G807&amp;"]"&amp;E807&amp;"'!"&amp;$X$1),0)</f>
        <v>#VALUE!</v>
      </c>
      <c r="I807" s="25" t="str">
        <f t="shared" si="208"/>
        <v/>
      </c>
      <c r="J807" s="32" t="str">
        <f t="shared" si="209"/>
        <v/>
      </c>
      <c r="K807" s="25" t="str">
        <f t="shared" si="210"/>
        <v/>
      </c>
      <c r="L807" s="25" t="str">
        <f t="shared" si="211"/>
        <v/>
      </c>
      <c r="M807" s="33" t="e" cm="1">
        <f t="array" aca="1" ref="M807" ca="1">IF(AND(J807=INDIRECT("'["&amp;G807&amp;"]"&amp;E807&amp;"'!"&amp;$Y$2),G807=INDIRECT("'["&amp;G807&amp;"]"&amp;E807&amp;"'!"&amp;$AH$2)),INDIRECT("'["&amp;G807&amp;"]"&amp;E807&amp;"'!"&amp;$Y$3),0)</f>
        <v>#VALUE!</v>
      </c>
      <c r="N807" s="34" t="e" cm="1">
        <f t="array" aca="1" ref="N807" ca="1">IF(AND(G807=INDIRECT("'["&amp;G807&amp;"]"&amp;E807&amp;"'!"&amp;$AH$2),OR(K807=INDIRECT("'["&amp;G807&amp;"]"&amp;E807&amp;"'!"&amp;$Z$2))),INDIRECT("'["&amp;G807&amp;"]"&amp;E807&amp;"'!"&amp;$Z$3),0)</f>
        <v>#VALUE!</v>
      </c>
      <c r="O807" s="34" t="e" cm="1">
        <f t="array" aca="1" ref="O807" ca="1">IF(AND(G807=INDIRECT("'["&amp;G807&amp;"]"&amp;E807&amp;"'!"&amp;$AH$2),OR(L807=INDIRECT("'["&amp;G807&amp;"]"&amp;E807&amp;"'!"&amp;$AA$2))),INDIRECT("'["&amp;G807&amp;"]"&amp;E807&amp;"'!"&amp;$AA$3),0)</f>
        <v>#VALUE!</v>
      </c>
      <c r="P807" s="34" t="e" cm="1">
        <f t="array" aca="1" ref="P807" ca="1">IF(AND(G807=INDIRECT("'["&amp;G807&amp;"]"&amp;E807&amp;"'!"&amp;$AH$2),OR(VALUE(I807)=INDIRECT("'["&amp;G807&amp;"]"&amp;E807&amp;"'!"&amp;$AB$2))),INDIRECT("'["&amp;G807&amp;"]"&amp;E807&amp;"'!"&amp;$AB$3),0)</f>
        <v>#VALUE!</v>
      </c>
      <c r="Q807" s="34" t="e" cm="1">
        <f t="array" aca="1" ref="Q807" ca="1">IF(AND(G807=INDIRECT("'["&amp;G807&amp;"]"&amp;E807&amp;"'!"&amp;$AH$2),OR(VALUE(I807)=INDIRECT("'["&amp;G807&amp;"]"&amp;E807&amp;"'!"&amp;$AC$2))),INDIRECT("'["&amp;G807&amp;"]"&amp;E807&amp;"'!"&amp;$AC$3),0)</f>
        <v>#VALUE!</v>
      </c>
      <c r="R807" s="34" t="e" cm="1">
        <f t="array" aca="1" ref="R807" ca="1">IF(AND(G807=INDIRECT("'["&amp;G807&amp;"]"&amp;E807&amp;"'!"&amp;$AH$2),OR(I807=INDIRECT("'["&amp;G807&amp;"]"&amp;E807&amp;"'!"&amp;$AD$2))),INDIRECT("'["&amp;G807&amp;"]"&amp;E807&amp;"'!"&amp;$AD$3),0)</f>
        <v>#VALUE!</v>
      </c>
      <c r="S807" s="34" t="e" cm="1">
        <f t="array" aca="1" ref="S807" ca="1">IF(AND(G807=INDIRECT("'["&amp;G807&amp;"]"&amp;E807&amp;"'!"&amp;$AH$2),OR(I807=INDIRECT("'["&amp;G807&amp;"]"&amp;E807&amp;"'!"&amp;$AE$2))),INDIRECT("'["&amp;G807&amp;"]"&amp;E807&amp;"'!"&amp;$AE$3),0)</f>
        <v>#VALUE!</v>
      </c>
      <c r="T807" s="35" t="e" cm="1">
        <f t="array" aca="1" ref="T807" ca="1">IF(AND(G807=INDIRECT("'["&amp;G807&amp;"]"&amp;E807&amp;"'!"&amp;$AH$2),OR(I807=INDIRECT("'["&amp;G807&amp;"]"&amp;E807&amp;"'!"&amp;$AF$2))),INDIRECT("'["&amp;G807&amp;"]"&amp;E807&amp;"'!"&amp;$AF$3),0)</f>
        <v>#VALUE!</v>
      </c>
      <c r="U807" s="34" t="e" cm="1">
        <f t="array" aca="1" ref="U807" ca="1">IF(AND(G807=INDIRECT("'["&amp;G807&amp;"]"&amp;E807&amp;"'!"&amp;$AH$2),OR(I807=INDIRECT("'["&amp;G807&amp;"]"&amp;E807&amp;"'!"&amp;$AG$2))),INDIRECT("'["&amp;G807&amp;"]"&amp;E807&amp;"'!"&amp;$AG$3),0)</f>
        <v>#VALUE!</v>
      </c>
      <c r="V807" s="25" t="str">
        <f t="shared" si="212"/>
        <v/>
      </c>
      <c r="W807" s="36" t="e" cm="1">
        <f t="array" aca="1" ref="W807" ca="1">IF(AND(G807=INDIRECT("'["&amp;G807&amp;"]"&amp;E807&amp;"'!"&amp;$AH$2),OR(V807=INDIRECT("'["&amp;G807&amp;"]"&amp;E807&amp;"'!"&amp;$AI$2))),INDIRECT("'["&amp;G807&amp;"]"&amp;E807&amp;"'!"&amp;$AI$3),0)</f>
        <v>#VALUE!</v>
      </c>
      <c r="AJ807" s="25">
        <v>1</v>
      </c>
      <c r="AK807" s="38">
        <f t="shared" ca="1" si="213"/>
        <v>0</v>
      </c>
      <c r="AL807" s="38">
        <f t="shared" ca="1" si="214"/>
        <v>0</v>
      </c>
      <c r="AM807" s="54" t="str">
        <f t="shared" ca="1" si="215"/>
        <v/>
      </c>
      <c r="AN807" s="25" t="e">
        <f t="shared" ca="1" si="216"/>
        <v>#VALUE!</v>
      </c>
      <c r="AO807" s="25" t="e">
        <f t="shared" ca="1" si="217"/>
        <v>#VALUE!</v>
      </c>
      <c r="AQ807" s="46" t="str">
        <f ca="1">IF(AND(C807&lt;&gt;0, C808=0), SUM($C$2:C807)-SUM($AQ$1:AQ806), "")</f>
        <v/>
      </c>
      <c r="AR807" s="46" t="str">
        <f ca="1">IF(AND(AK807&lt;&gt;0, AK808=0), SUM($AK$2:AK807)-SUM($AR$1:AR806), "")</f>
        <v/>
      </c>
    </row>
    <row r="808" spans="2:44" ht="13.15" customHeight="1">
      <c r="B808" s="68" t="str">
        <f t="shared" si="203"/>
        <v/>
      </c>
      <c r="C808" s="55" cm="1">
        <f t="array" aca="1" ref="C808" ca="1">SUM(IF(ISNUMBER(M808:U808),M808:U808,""))</f>
        <v>0</v>
      </c>
      <c r="D808" s="25" t="str">
        <f t="shared" si="204"/>
        <v/>
      </c>
      <c r="E808" s="25" t="e">
        <f t="shared" si="205"/>
        <v>#VALUE!</v>
      </c>
      <c r="F808" s="25" t="str">
        <f t="shared" si="206"/>
        <v/>
      </c>
      <c r="G808" s="25" t="str">
        <f t="shared" si="207"/>
        <v>.xlsx</v>
      </c>
      <c r="H808" s="29" t="e" cm="1">
        <f t="array" aca="1" ref="H808" ca="1">IF(AND(VALUE(E808)=INDIRECT("'["&amp;G808&amp;"]"&amp;E808&amp;"'!"&amp;$X$2),G808=INDIRECT("'["&amp;G808&amp;"]"&amp;E808&amp;"'!"&amp;$X$3)),INDIRECT("'["&amp;G808&amp;"]"&amp;E808&amp;"'!"&amp;$X$1),0)</f>
        <v>#VALUE!</v>
      </c>
      <c r="I808" s="25" t="str">
        <f t="shared" si="208"/>
        <v/>
      </c>
      <c r="J808" s="32" t="str">
        <f t="shared" si="209"/>
        <v/>
      </c>
      <c r="K808" s="25" t="str">
        <f t="shared" si="210"/>
        <v/>
      </c>
      <c r="L808" s="25" t="str">
        <f t="shared" si="211"/>
        <v/>
      </c>
      <c r="M808" s="33" t="e" cm="1">
        <f t="array" aca="1" ref="M808" ca="1">IF(AND(J808=INDIRECT("'["&amp;G808&amp;"]"&amp;E808&amp;"'!"&amp;$Y$2),G808=INDIRECT("'["&amp;G808&amp;"]"&amp;E808&amp;"'!"&amp;$AH$2)),INDIRECT("'["&amp;G808&amp;"]"&amp;E808&amp;"'!"&amp;$Y$3),0)</f>
        <v>#VALUE!</v>
      </c>
      <c r="N808" s="34" t="e" cm="1">
        <f t="array" aca="1" ref="N808" ca="1">IF(AND(G808=INDIRECT("'["&amp;G808&amp;"]"&amp;E808&amp;"'!"&amp;$AH$2),OR(K808=INDIRECT("'["&amp;G808&amp;"]"&amp;E808&amp;"'!"&amp;$Z$2))),INDIRECT("'["&amp;G808&amp;"]"&amp;E808&amp;"'!"&amp;$Z$3),0)</f>
        <v>#VALUE!</v>
      </c>
      <c r="O808" s="34" t="e" cm="1">
        <f t="array" aca="1" ref="O808" ca="1">IF(AND(G808=INDIRECT("'["&amp;G808&amp;"]"&amp;E808&amp;"'!"&amp;$AH$2),OR(L808=INDIRECT("'["&amp;G808&amp;"]"&amp;E808&amp;"'!"&amp;$AA$2))),INDIRECT("'["&amp;G808&amp;"]"&amp;E808&amp;"'!"&amp;$AA$3),0)</f>
        <v>#VALUE!</v>
      </c>
      <c r="P808" s="34" t="e" cm="1">
        <f t="array" aca="1" ref="P808" ca="1">IF(AND(G808=INDIRECT("'["&amp;G808&amp;"]"&amp;E808&amp;"'!"&amp;$AH$2),OR(VALUE(I808)=INDIRECT("'["&amp;G808&amp;"]"&amp;E808&amp;"'!"&amp;$AB$2))),INDIRECT("'["&amp;G808&amp;"]"&amp;E808&amp;"'!"&amp;$AB$3),0)</f>
        <v>#VALUE!</v>
      </c>
      <c r="Q808" s="34" t="e" cm="1">
        <f t="array" aca="1" ref="Q808" ca="1">IF(AND(G808=INDIRECT("'["&amp;G808&amp;"]"&amp;E808&amp;"'!"&amp;$AH$2),OR(VALUE(I808)=INDIRECT("'["&amp;G808&amp;"]"&amp;E808&amp;"'!"&amp;$AC$2))),INDIRECT("'["&amp;G808&amp;"]"&amp;E808&amp;"'!"&amp;$AC$3),0)</f>
        <v>#VALUE!</v>
      </c>
      <c r="R808" s="34" t="e" cm="1">
        <f t="array" aca="1" ref="R808" ca="1">IF(AND(G808=INDIRECT("'["&amp;G808&amp;"]"&amp;E808&amp;"'!"&amp;$AH$2),OR(I808=INDIRECT("'["&amp;G808&amp;"]"&amp;E808&amp;"'!"&amp;$AD$2))),INDIRECT("'["&amp;G808&amp;"]"&amp;E808&amp;"'!"&amp;$AD$3),0)</f>
        <v>#VALUE!</v>
      </c>
      <c r="S808" s="34" t="e" cm="1">
        <f t="array" aca="1" ref="S808" ca="1">IF(AND(G808=INDIRECT("'["&amp;G808&amp;"]"&amp;E808&amp;"'!"&amp;$AH$2),OR(I808=INDIRECT("'["&amp;G808&amp;"]"&amp;E808&amp;"'!"&amp;$AE$2))),INDIRECT("'["&amp;G808&amp;"]"&amp;E808&amp;"'!"&amp;$AE$3),0)</f>
        <v>#VALUE!</v>
      </c>
      <c r="T808" s="35" t="e" cm="1">
        <f t="array" aca="1" ref="T808" ca="1">IF(AND(G808=INDIRECT("'["&amp;G808&amp;"]"&amp;E808&amp;"'!"&amp;$AH$2),OR(I808=INDIRECT("'["&amp;G808&amp;"]"&amp;E808&amp;"'!"&amp;$AF$2))),INDIRECT("'["&amp;G808&amp;"]"&amp;E808&amp;"'!"&amp;$AF$3),0)</f>
        <v>#VALUE!</v>
      </c>
      <c r="U808" s="34" t="e" cm="1">
        <f t="array" aca="1" ref="U808" ca="1">IF(AND(G808=INDIRECT("'["&amp;G808&amp;"]"&amp;E808&amp;"'!"&amp;$AH$2),OR(I808=INDIRECT("'["&amp;G808&amp;"]"&amp;E808&amp;"'!"&amp;$AG$2))),INDIRECT("'["&amp;G808&amp;"]"&amp;E808&amp;"'!"&amp;$AG$3),0)</f>
        <v>#VALUE!</v>
      </c>
      <c r="V808" s="25" t="str">
        <f t="shared" si="212"/>
        <v/>
      </c>
      <c r="W808" s="36" t="e" cm="1">
        <f t="array" aca="1" ref="W808" ca="1">IF(AND(G808=INDIRECT("'["&amp;G808&amp;"]"&amp;E808&amp;"'!"&amp;$AH$2),OR(V808=INDIRECT("'["&amp;G808&amp;"]"&amp;E808&amp;"'!"&amp;$AI$2))),INDIRECT("'["&amp;G808&amp;"]"&amp;E808&amp;"'!"&amp;$AI$3),0)</f>
        <v>#VALUE!</v>
      </c>
      <c r="AJ808" s="25">
        <v>1</v>
      </c>
      <c r="AK808" s="38">
        <f t="shared" ca="1" si="213"/>
        <v>0</v>
      </c>
      <c r="AL808" s="38">
        <f t="shared" ca="1" si="214"/>
        <v>0</v>
      </c>
      <c r="AM808" s="54" t="str">
        <f t="shared" ca="1" si="215"/>
        <v/>
      </c>
      <c r="AN808" s="25" t="e">
        <f t="shared" ca="1" si="216"/>
        <v>#VALUE!</v>
      </c>
      <c r="AO808" s="25" t="e">
        <f t="shared" ca="1" si="217"/>
        <v>#VALUE!</v>
      </c>
      <c r="AQ808" s="46" t="str">
        <f ca="1">IF(AND(C808&lt;&gt;0, C809=0), SUM($C$2:C808)-SUM($AQ$1:AQ807), "")</f>
        <v/>
      </c>
      <c r="AR808" s="46" t="str">
        <f ca="1">IF(AND(AK808&lt;&gt;0, AK809=0), SUM($AK$2:AK808)-SUM($AR$1:AR807), "")</f>
        <v/>
      </c>
    </row>
    <row r="809" spans="2:44" ht="13.15" customHeight="1">
      <c r="B809" s="68" t="str">
        <f t="shared" si="203"/>
        <v/>
      </c>
      <c r="C809" s="55" cm="1">
        <f t="array" aca="1" ref="C809" ca="1">SUM(IF(ISNUMBER(M809:U809),M809:U809,""))</f>
        <v>0</v>
      </c>
      <c r="D809" s="25" t="str">
        <f t="shared" si="204"/>
        <v/>
      </c>
      <c r="E809" s="25" t="e">
        <f t="shared" si="205"/>
        <v>#VALUE!</v>
      </c>
      <c r="F809" s="25" t="str">
        <f t="shared" si="206"/>
        <v/>
      </c>
      <c r="G809" s="25" t="str">
        <f t="shared" si="207"/>
        <v>.xlsx</v>
      </c>
      <c r="H809" s="29" t="e" cm="1">
        <f t="array" aca="1" ref="H809" ca="1">IF(AND(VALUE(E809)=INDIRECT("'["&amp;G809&amp;"]"&amp;E809&amp;"'!"&amp;$X$2),G809=INDIRECT("'["&amp;G809&amp;"]"&amp;E809&amp;"'!"&amp;$X$3)),INDIRECT("'["&amp;G809&amp;"]"&amp;E809&amp;"'!"&amp;$X$1),0)</f>
        <v>#VALUE!</v>
      </c>
      <c r="I809" s="25" t="str">
        <f t="shared" si="208"/>
        <v/>
      </c>
      <c r="J809" s="32" t="str">
        <f t="shared" si="209"/>
        <v/>
      </c>
      <c r="K809" s="25" t="str">
        <f t="shared" si="210"/>
        <v/>
      </c>
      <c r="L809" s="25" t="str">
        <f t="shared" si="211"/>
        <v/>
      </c>
      <c r="M809" s="33" t="e" cm="1">
        <f t="array" aca="1" ref="M809" ca="1">IF(AND(J809=INDIRECT("'["&amp;G809&amp;"]"&amp;E809&amp;"'!"&amp;$Y$2),G809=INDIRECT("'["&amp;G809&amp;"]"&amp;E809&amp;"'!"&amp;$AH$2)),INDIRECT("'["&amp;G809&amp;"]"&amp;E809&amp;"'!"&amp;$Y$3),0)</f>
        <v>#VALUE!</v>
      </c>
      <c r="N809" s="34" t="e" cm="1">
        <f t="array" aca="1" ref="N809" ca="1">IF(AND(G809=INDIRECT("'["&amp;G809&amp;"]"&amp;E809&amp;"'!"&amp;$AH$2),OR(K809=INDIRECT("'["&amp;G809&amp;"]"&amp;E809&amp;"'!"&amp;$Z$2))),INDIRECT("'["&amp;G809&amp;"]"&amp;E809&amp;"'!"&amp;$Z$3),0)</f>
        <v>#VALUE!</v>
      </c>
      <c r="O809" s="34" t="e" cm="1">
        <f t="array" aca="1" ref="O809" ca="1">IF(AND(G809=INDIRECT("'["&amp;G809&amp;"]"&amp;E809&amp;"'!"&amp;$AH$2),OR(L809=INDIRECT("'["&amp;G809&amp;"]"&amp;E809&amp;"'!"&amp;$AA$2))),INDIRECT("'["&amp;G809&amp;"]"&amp;E809&amp;"'!"&amp;$AA$3),0)</f>
        <v>#VALUE!</v>
      </c>
      <c r="P809" s="34" t="e" cm="1">
        <f t="array" aca="1" ref="P809" ca="1">IF(AND(G809=INDIRECT("'["&amp;G809&amp;"]"&amp;E809&amp;"'!"&amp;$AH$2),OR(VALUE(I809)=INDIRECT("'["&amp;G809&amp;"]"&amp;E809&amp;"'!"&amp;$AB$2))),INDIRECT("'["&amp;G809&amp;"]"&amp;E809&amp;"'!"&amp;$AB$3),0)</f>
        <v>#VALUE!</v>
      </c>
      <c r="Q809" s="34" t="e" cm="1">
        <f t="array" aca="1" ref="Q809" ca="1">IF(AND(G809=INDIRECT("'["&amp;G809&amp;"]"&amp;E809&amp;"'!"&amp;$AH$2),OR(VALUE(I809)=INDIRECT("'["&amp;G809&amp;"]"&amp;E809&amp;"'!"&amp;$AC$2))),INDIRECT("'["&amp;G809&amp;"]"&amp;E809&amp;"'!"&amp;$AC$3),0)</f>
        <v>#VALUE!</v>
      </c>
      <c r="R809" s="34" t="e" cm="1">
        <f t="array" aca="1" ref="R809" ca="1">IF(AND(G809=INDIRECT("'["&amp;G809&amp;"]"&amp;E809&amp;"'!"&amp;$AH$2),OR(I809=INDIRECT("'["&amp;G809&amp;"]"&amp;E809&amp;"'!"&amp;$AD$2))),INDIRECT("'["&amp;G809&amp;"]"&amp;E809&amp;"'!"&amp;$AD$3),0)</f>
        <v>#VALUE!</v>
      </c>
      <c r="S809" s="34" t="e" cm="1">
        <f t="array" aca="1" ref="S809" ca="1">IF(AND(G809=INDIRECT("'["&amp;G809&amp;"]"&amp;E809&amp;"'!"&amp;$AH$2),OR(I809=INDIRECT("'["&amp;G809&amp;"]"&amp;E809&amp;"'!"&amp;$AE$2))),INDIRECT("'["&amp;G809&amp;"]"&amp;E809&amp;"'!"&amp;$AE$3),0)</f>
        <v>#VALUE!</v>
      </c>
      <c r="T809" s="35" t="e" cm="1">
        <f t="array" aca="1" ref="T809" ca="1">IF(AND(G809=INDIRECT("'["&amp;G809&amp;"]"&amp;E809&amp;"'!"&amp;$AH$2),OR(I809=INDIRECT("'["&amp;G809&amp;"]"&amp;E809&amp;"'!"&amp;$AF$2))),INDIRECT("'["&amp;G809&amp;"]"&amp;E809&amp;"'!"&amp;$AF$3),0)</f>
        <v>#VALUE!</v>
      </c>
      <c r="U809" s="34" t="e" cm="1">
        <f t="array" aca="1" ref="U809" ca="1">IF(AND(G809=INDIRECT("'["&amp;G809&amp;"]"&amp;E809&amp;"'!"&amp;$AH$2),OR(I809=INDIRECT("'["&amp;G809&amp;"]"&amp;E809&amp;"'!"&amp;$AG$2))),INDIRECT("'["&amp;G809&amp;"]"&amp;E809&amp;"'!"&amp;$AG$3),0)</f>
        <v>#VALUE!</v>
      </c>
      <c r="V809" s="25" t="str">
        <f t="shared" si="212"/>
        <v/>
      </c>
      <c r="W809" s="36" t="e" cm="1">
        <f t="array" aca="1" ref="W809" ca="1">IF(AND(G809=INDIRECT("'["&amp;G809&amp;"]"&amp;E809&amp;"'!"&amp;$AH$2),OR(V809=INDIRECT("'["&amp;G809&amp;"]"&amp;E809&amp;"'!"&amp;$AI$2))),INDIRECT("'["&amp;G809&amp;"]"&amp;E809&amp;"'!"&amp;$AI$3),0)</f>
        <v>#VALUE!</v>
      </c>
      <c r="AJ809" s="25">
        <v>1</v>
      </c>
      <c r="AK809" s="38">
        <f t="shared" ca="1" si="213"/>
        <v>0</v>
      </c>
      <c r="AL809" s="38">
        <f t="shared" ca="1" si="214"/>
        <v>0</v>
      </c>
      <c r="AM809" s="54" t="str">
        <f t="shared" ca="1" si="215"/>
        <v/>
      </c>
      <c r="AN809" s="25" t="e">
        <f t="shared" ca="1" si="216"/>
        <v>#VALUE!</v>
      </c>
      <c r="AO809" s="25" t="e">
        <f t="shared" ca="1" si="217"/>
        <v>#VALUE!</v>
      </c>
      <c r="AQ809" s="46" t="str">
        <f ca="1">IF(AND(C809&lt;&gt;0, C810=0), SUM($C$2:C809)-SUM($AQ$1:AQ808), "")</f>
        <v/>
      </c>
      <c r="AR809" s="46" t="str">
        <f ca="1">IF(AND(AK809&lt;&gt;0, AK810=0), SUM($AK$2:AK809)-SUM($AR$1:AR808), "")</f>
        <v/>
      </c>
    </row>
    <row r="810" spans="2:44" ht="13.15" customHeight="1">
      <c r="B810" s="68" t="str">
        <f t="shared" si="203"/>
        <v/>
      </c>
      <c r="C810" s="55" cm="1">
        <f t="array" aca="1" ref="C810" ca="1">SUM(IF(ISNUMBER(M810:U810),M810:U810,""))</f>
        <v>0</v>
      </c>
      <c r="D810" s="25" t="str">
        <f t="shared" si="204"/>
        <v/>
      </c>
      <c r="E810" s="25" t="e">
        <f t="shared" si="205"/>
        <v>#VALUE!</v>
      </c>
      <c r="F810" s="25" t="str">
        <f t="shared" si="206"/>
        <v/>
      </c>
      <c r="G810" s="25" t="str">
        <f t="shared" si="207"/>
        <v>.xlsx</v>
      </c>
      <c r="H810" s="29" t="e" cm="1">
        <f t="array" aca="1" ref="H810" ca="1">IF(AND(VALUE(E810)=INDIRECT("'["&amp;G810&amp;"]"&amp;E810&amp;"'!"&amp;$X$2),G810=INDIRECT("'["&amp;G810&amp;"]"&amp;E810&amp;"'!"&amp;$X$3)),INDIRECT("'["&amp;G810&amp;"]"&amp;E810&amp;"'!"&amp;$X$1),0)</f>
        <v>#VALUE!</v>
      </c>
      <c r="I810" s="25" t="str">
        <f t="shared" si="208"/>
        <v/>
      </c>
      <c r="J810" s="32" t="str">
        <f t="shared" si="209"/>
        <v/>
      </c>
      <c r="K810" s="25" t="str">
        <f t="shared" si="210"/>
        <v/>
      </c>
      <c r="L810" s="25" t="str">
        <f t="shared" si="211"/>
        <v/>
      </c>
      <c r="M810" s="33" t="e" cm="1">
        <f t="array" aca="1" ref="M810" ca="1">IF(AND(J810=INDIRECT("'["&amp;G810&amp;"]"&amp;E810&amp;"'!"&amp;$Y$2),G810=INDIRECT("'["&amp;G810&amp;"]"&amp;E810&amp;"'!"&amp;$AH$2)),INDIRECT("'["&amp;G810&amp;"]"&amp;E810&amp;"'!"&amp;$Y$3),0)</f>
        <v>#VALUE!</v>
      </c>
      <c r="N810" s="34" t="e" cm="1">
        <f t="array" aca="1" ref="N810" ca="1">IF(AND(G810=INDIRECT("'["&amp;G810&amp;"]"&amp;E810&amp;"'!"&amp;$AH$2),OR(K810=INDIRECT("'["&amp;G810&amp;"]"&amp;E810&amp;"'!"&amp;$Z$2))),INDIRECT("'["&amp;G810&amp;"]"&amp;E810&amp;"'!"&amp;$Z$3),0)</f>
        <v>#VALUE!</v>
      </c>
      <c r="O810" s="34" t="e" cm="1">
        <f t="array" aca="1" ref="O810" ca="1">IF(AND(G810=INDIRECT("'["&amp;G810&amp;"]"&amp;E810&amp;"'!"&amp;$AH$2),OR(L810=INDIRECT("'["&amp;G810&amp;"]"&amp;E810&amp;"'!"&amp;$AA$2))),INDIRECT("'["&amp;G810&amp;"]"&amp;E810&amp;"'!"&amp;$AA$3),0)</f>
        <v>#VALUE!</v>
      </c>
      <c r="P810" s="34" t="e" cm="1">
        <f t="array" aca="1" ref="P810" ca="1">IF(AND(G810=INDIRECT("'["&amp;G810&amp;"]"&amp;E810&amp;"'!"&amp;$AH$2),OR(VALUE(I810)=INDIRECT("'["&amp;G810&amp;"]"&amp;E810&amp;"'!"&amp;$AB$2))),INDIRECT("'["&amp;G810&amp;"]"&amp;E810&amp;"'!"&amp;$AB$3),0)</f>
        <v>#VALUE!</v>
      </c>
      <c r="Q810" s="34" t="e" cm="1">
        <f t="array" aca="1" ref="Q810" ca="1">IF(AND(G810=INDIRECT("'["&amp;G810&amp;"]"&amp;E810&amp;"'!"&amp;$AH$2),OR(VALUE(I810)=INDIRECT("'["&amp;G810&amp;"]"&amp;E810&amp;"'!"&amp;$AC$2))),INDIRECT("'["&amp;G810&amp;"]"&amp;E810&amp;"'!"&amp;$AC$3),0)</f>
        <v>#VALUE!</v>
      </c>
      <c r="R810" s="34" t="e" cm="1">
        <f t="array" aca="1" ref="R810" ca="1">IF(AND(G810=INDIRECT("'["&amp;G810&amp;"]"&amp;E810&amp;"'!"&amp;$AH$2),OR(I810=INDIRECT("'["&amp;G810&amp;"]"&amp;E810&amp;"'!"&amp;$AD$2))),INDIRECT("'["&amp;G810&amp;"]"&amp;E810&amp;"'!"&amp;$AD$3),0)</f>
        <v>#VALUE!</v>
      </c>
      <c r="S810" s="34" t="e" cm="1">
        <f t="array" aca="1" ref="S810" ca="1">IF(AND(G810=INDIRECT("'["&amp;G810&amp;"]"&amp;E810&amp;"'!"&amp;$AH$2),OR(I810=INDIRECT("'["&amp;G810&amp;"]"&amp;E810&amp;"'!"&amp;$AE$2))),INDIRECT("'["&amp;G810&amp;"]"&amp;E810&amp;"'!"&amp;$AE$3),0)</f>
        <v>#VALUE!</v>
      </c>
      <c r="T810" s="35" t="e" cm="1">
        <f t="array" aca="1" ref="T810" ca="1">IF(AND(G810=INDIRECT("'["&amp;G810&amp;"]"&amp;E810&amp;"'!"&amp;$AH$2),OR(I810=INDIRECT("'["&amp;G810&amp;"]"&amp;E810&amp;"'!"&amp;$AF$2))),INDIRECT("'["&amp;G810&amp;"]"&amp;E810&amp;"'!"&amp;$AF$3),0)</f>
        <v>#VALUE!</v>
      </c>
      <c r="U810" s="34" t="e" cm="1">
        <f t="array" aca="1" ref="U810" ca="1">IF(AND(G810=INDIRECT("'["&amp;G810&amp;"]"&amp;E810&amp;"'!"&amp;$AH$2),OR(I810=INDIRECT("'["&amp;G810&amp;"]"&amp;E810&amp;"'!"&amp;$AG$2))),INDIRECT("'["&amp;G810&amp;"]"&amp;E810&amp;"'!"&amp;$AG$3),0)</f>
        <v>#VALUE!</v>
      </c>
      <c r="V810" s="25" t="str">
        <f t="shared" si="212"/>
        <v/>
      </c>
      <c r="W810" s="36" t="e" cm="1">
        <f t="array" aca="1" ref="W810" ca="1">IF(AND(G810=INDIRECT("'["&amp;G810&amp;"]"&amp;E810&amp;"'!"&amp;$AH$2),OR(V810=INDIRECT("'["&amp;G810&amp;"]"&amp;E810&amp;"'!"&amp;$AI$2))),INDIRECT("'["&amp;G810&amp;"]"&amp;E810&amp;"'!"&amp;$AI$3),0)</f>
        <v>#VALUE!</v>
      </c>
      <c r="AJ810" s="25">
        <v>1</v>
      </c>
      <c r="AK810" s="38">
        <f t="shared" ca="1" si="213"/>
        <v>0</v>
      </c>
      <c r="AL810" s="38">
        <f t="shared" ca="1" si="214"/>
        <v>0</v>
      </c>
      <c r="AM810" s="54" t="str">
        <f t="shared" ca="1" si="215"/>
        <v/>
      </c>
      <c r="AN810" s="25" t="e">
        <f t="shared" ca="1" si="216"/>
        <v>#VALUE!</v>
      </c>
      <c r="AO810" s="25" t="e">
        <f t="shared" ca="1" si="217"/>
        <v>#VALUE!</v>
      </c>
      <c r="AQ810" s="46" t="str">
        <f ca="1">IF(AND(C810&lt;&gt;0, C811=0), SUM($C$2:C810)-SUM($AQ$1:AQ809), "")</f>
        <v/>
      </c>
      <c r="AR810" s="46" t="str">
        <f ca="1">IF(AND(AK810&lt;&gt;0, AK811=0), SUM($AK$2:AK810)-SUM($AR$1:AR809), "")</f>
        <v/>
      </c>
    </row>
    <row r="811" spans="2:44" ht="13.15" customHeight="1">
      <c r="B811" s="68" t="str">
        <f t="shared" si="203"/>
        <v/>
      </c>
      <c r="C811" s="55" cm="1">
        <f t="array" aca="1" ref="C811" ca="1">SUM(IF(ISNUMBER(M811:U811),M811:U811,""))</f>
        <v>0</v>
      </c>
      <c r="D811" s="25" t="str">
        <f t="shared" si="204"/>
        <v/>
      </c>
      <c r="E811" s="25" t="e">
        <f t="shared" si="205"/>
        <v>#VALUE!</v>
      </c>
      <c r="F811" s="25" t="str">
        <f t="shared" si="206"/>
        <v/>
      </c>
      <c r="G811" s="25" t="str">
        <f t="shared" si="207"/>
        <v>.xlsx</v>
      </c>
      <c r="H811" s="29" t="e" cm="1">
        <f t="array" aca="1" ref="H811" ca="1">IF(AND(VALUE(E811)=INDIRECT("'["&amp;G811&amp;"]"&amp;E811&amp;"'!"&amp;$X$2),G811=INDIRECT("'["&amp;G811&amp;"]"&amp;E811&amp;"'!"&amp;$X$3)),INDIRECT("'["&amp;G811&amp;"]"&amp;E811&amp;"'!"&amp;$X$1),0)</f>
        <v>#VALUE!</v>
      </c>
      <c r="I811" s="25" t="str">
        <f t="shared" si="208"/>
        <v/>
      </c>
      <c r="J811" s="32" t="str">
        <f t="shared" si="209"/>
        <v/>
      </c>
      <c r="K811" s="25" t="str">
        <f t="shared" si="210"/>
        <v/>
      </c>
      <c r="L811" s="25" t="str">
        <f t="shared" si="211"/>
        <v/>
      </c>
      <c r="M811" s="33" t="e" cm="1">
        <f t="array" aca="1" ref="M811" ca="1">IF(AND(J811=INDIRECT("'["&amp;G811&amp;"]"&amp;E811&amp;"'!"&amp;$Y$2),G811=INDIRECT("'["&amp;G811&amp;"]"&amp;E811&amp;"'!"&amp;$AH$2)),INDIRECT("'["&amp;G811&amp;"]"&amp;E811&amp;"'!"&amp;$Y$3),0)</f>
        <v>#VALUE!</v>
      </c>
      <c r="N811" s="34" t="e" cm="1">
        <f t="array" aca="1" ref="N811" ca="1">IF(AND(G811=INDIRECT("'["&amp;G811&amp;"]"&amp;E811&amp;"'!"&amp;$AH$2),OR(K811=INDIRECT("'["&amp;G811&amp;"]"&amp;E811&amp;"'!"&amp;$Z$2))),INDIRECT("'["&amp;G811&amp;"]"&amp;E811&amp;"'!"&amp;$Z$3),0)</f>
        <v>#VALUE!</v>
      </c>
      <c r="O811" s="34" t="e" cm="1">
        <f t="array" aca="1" ref="O811" ca="1">IF(AND(G811=INDIRECT("'["&amp;G811&amp;"]"&amp;E811&amp;"'!"&amp;$AH$2),OR(L811=INDIRECT("'["&amp;G811&amp;"]"&amp;E811&amp;"'!"&amp;$AA$2))),INDIRECT("'["&amp;G811&amp;"]"&amp;E811&amp;"'!"&amp;$AA$3),0)</f>
        <v>#VALUE!</v>
      </c>
      <c r="P811" s="34" t="e" cm="1">
        <f t="array" aca="1" ref="P811" ca="1">IF(AND(G811=INDIRECT("'["&amp;G811&amp;"]"&amp;E811&amp;"'!"&amp;$AH$2),OR(VALUE(I811)=INDIRECT("'["&amp;G811&amp;"]"&amp;E811&amp;"'!"&amp;$AB$2))),INDIRECT("'["&amp;G811&amp;"]"&amp;E811&amp;"'!"&amp;$AB$3),0)</f>
        <v>#VALUE!</v>
      </c>
      <c r="Q811" s="34" t="e" cm="1">
        <f t="array" aca="1" ref="Q811" ca="1">IF(AND(G811=INDIRECT("'["&amp;G811&amp;"]"&amp;E811&amp;"'!"&amp;$AH$2),OR(VALUE(I811)=INDIRECT("'["&amp;G811&amp;"]"&amp;E811&amp;"'!"&amp;$AC$2))),INDIRECT("'["&amp;G811&amp;"]"&amp;E811&amp;"'!"&amp;$AC$3),0)</f>
        <v>#VALUE!</v>
      </c>
      <c r="R811" s="34" t="e" cm="1">
        <f t="array" aca="1" ref="R811" ca="1">IF(AND(G811=INDIRECT("'["&amp;G811&amp;"]"&amp;E811&amp;"'!"&amp;$AH$2),OR(I811=INDIRECT("'["&amp;G811&amp;"]"&amp;E811&amp;"'!"&amp;$AD$2))),INDIRECT("'["&amp;G811&amp;"]"&amp;E811&amp;"'!"&amp;$AD$3),0)</f>
        <v>#VALUE!</v>
      </c>
      <c r="S811" s="34" t="e" cm="1">
        <f t="array" aca="1" ref="S811" ca="1">IF(AND(G811=INDIRECT("'["&amp;G811&amp;"]"&amp;E811&amp;"'!"&amp;$AH$2),OR(I811=INDIRECT("'["&amp;G811&amp;"]"&amp;E811&amp;"'!"&amp;$AE$2))),INDIRECT("'["&amp;G811&amp;"]"&amp;E811&amp;"'!"&amp;$AE$3),0)</f>
        <v>#VALUE!</v>
      </c>
      <c r="T811" s="35" t="e" cm="1">
        <f t="array" aca="1" ref="T811" ca="1">IF(AND(G811=INDIRECT("'["&amp;G811&amp;"]"&amp;E811&amp;"'!"&amp;$AH$2),OR(I811=INDIRECT("'["&amp;G811&amp;"]"&amp;E811&amp;"'!"&amp;$AF$2))),INDIRECT("'["&amp;G811&amp;"]"&amp;E811&amp;"'!"&amp;$AF$3),0)</f>
        <v>#VALUE!</v>
      </c>
      <c r="U811" s="34" t="e" cm="1">
        <f t="array" aca="1" ref="U811" ca="1">IF(AND(G811=INDIRECT("'["&amp;G811&amp;"]"&amp;E811&amp;"'!"&amp;$AH$2),OR(I811=INDIRECT("'["&amp;G811&amp;"]"&amp;E811&amp;"'!"&amp;$AG$2))),INDIRECT("'["&amp;G811&amp;"]"&amp;E811&amp;"'!"&amp;$AG$3),0)</f>
        <v>#VALUE!</v>
      </c>
      <c r="V811" s="25" t="str">
        <f t="shared" si="212"/>
        <v/>
      </c>
      <c r="W811" s="36" t="e" cm="1">
        <f t="array" aca="1" ref="W811" ca="1">IF(AND(G811=INDIRECT("'["&amp;G811&amp;"]"&amp;E811&amp;"'!"&amp;$AH$2),OR(V811=INDIRECT("'["&amp;G811&amp;"]"&amp;E811&amp;"'!"&amp;$AI$2))),INDIRECT("'["&amp;G811&amp;"]"&amp;E811&amp;"'!"&amp;$AI$3),0)</f>
        <v>#VALUE!</v>
      </c>
      <c r="AJ811" s="25">
        <v>1</v>
      </c>
      <c r="AK811" s="38">
        <f t="shared" ca="1" si="213"/>
        <v>0</v>
      </c>
      <c r="AL811" s="38">
        <f t="shared" ca="1" si="214"/>
        <v>0</v>
      </c>
      <c r="AM811" s="54" t="str">
        <f t="shared" ca="1" si="215"/>
        <v/>
      </c>
      <c r="AN811" s="25" t="e">
        <f t="shared" ca="1" si="216"/>
        <v>#VALUE!</v>
      </c>
      <c r="AO811" s="25" t="e">
        <f t="shared" ca="1" si="217"/>
        <v>#VALUE!</v>
      </c>
      <c r="AQ811" s="46" t="str">
        <f ca="1">IF(AND(C811&lt;&gt;0, C812=0), SUM($C$2:C811)-SUM($AQ$1:AQ810), "")</f>
        <v/>
      </c>
      <c r="AR811" s="46" t="str">
        <f ca="1">IF(AND(AK811&lt;&gt;0, AK812=0), SUM($AK$2:AK811)-SUM($AR$1:AR810), "")</f>
        <v/>
      </c>
    </row>
    <row r="812" spans="2:44" ht="13.15" customHeight="1">
      <c r="B812" s="68" t="str">
        <f t="shared" si="203"/>
        <v/>
      </c>
      <c r="C812" s="55" cm="1">
        <f t="array" aca="1" ref="C812" ca="1">SUM(IF(ISNUMBER(M812:U812),M812:U812,""))</f>
        <v>0</v>
      </c>
      <c r="D812" s="25" t="str">
        <f t="shared" si="204"/>
        <v/>
      </c>
      <c r="E812" s="25" t="e">
        <f t="shared" si="205"/>
        <v>#VALUE!</v>
      </c>
      <c r="F812" s="25" t="str">
        <f t="shared" si="206"/>
        <v/>
      </c>
      <c r="G812" s="25" t="str">
        <f t="shared" si="207"/>
        <v>.xlsx</v>
      </c>
      <c r="H812" s="29" t="e" cm="1">
        <f t="array" aca="1" ref="H812" ca="1">IF(AND(VALUE(E812)=INDIRECT("'["&amp;G812&amp;"]"&amp;E812&amp;"'!"&amp;$X$2),G812=INDIRECT("'["&amp;G812&amp;"]"&amp;E812&amp;"'!"&amp;$X$3)),INDIRECT("'["&amp;G812&amp;"]"&amp;E812&amp;"'!"&amp;$X$1),0)</f>
        <v>#VALUE!</v>
      </c>
      <c r="I812" s="25" t="str">
        <f t="shared" si="208"/>
        <v/>
      </c>
      <c r="J812" s="32" t="str">
        <f t="shared" si="209"/>
        <v/>
      </c>
      <c r="K812" s="25" t="str">
        <f t="shared" si="210"/>
        <v/>
      </c>
      <c r="L812" s="25" t="str">
        <f t="shared" si="211"/>
        <v/>
      </c>
      <c r="M812" s="33" t="e" cm="1">
        <f t="array" aca="1" ref="M812" ca="1">IF(AND(J812=INDIRECT("'["&amp;G812&amp;"]"&amp;E812&amp;"'!"&amp;$Y$2),G812=INDIRECT("'["&amp;G812&amp;"]"&amp;E812&amp;"'!"&amp;$AH$2)),INDIRECT("'["&amp;G812&amp;"]"&amp;E812&amp;"'!"&amp;$Y$3),0)</f>
        <v>#VALUE!</v>
      </c>
      <c r="N812" s="34" t="e" cm="1">
        <f t="array" aca="1" ref="N812" ca="1">IF(AND(G812=INDIRECT("'["&amp;G812&amp;"]"&amp;E812&amp;"'!"&amp;$AH$2),OR(K812=INDIRECT("'["&amp;G812&amp;"]"&amp;E812&amp;"'!"&amp;$Z$2))),INDIRECT("'["&amp;G812&amp;"]"&amp;E812&amp;"'!"&amp;$Z$3),0)</f>
        <v>#VALUE!</v>
      </c>
      <c r="O812" s="34" t="e" cm="1">
        <f t="array" aca="1" ref="O812" ca="1">IF(AND(G812=INDIRECT("'["&amp;G812&amp;"]"&amp;E812&amp;"'!"&amp;$AH$2),OR(L812=INDIRECT("'["&amp;G812&amp;"]"&amp;E812&amp;"'!"&amp;$AA$2))),INDIRECT("'["&amp;G812&amp;"]"&amp;E812&amp;"'!"&amp;$AA$3),0)</f>
        <v>#VALUE!</v>
      </c>
      <c r="P812" s="34" t="e" cm="1">
        <f t="array" aca="1" ref="P812" ca="1">IF(AND(G812=INDIRECT("'["&amp;G812&amp;"]"&amp;E812&amp;"'!"&amp;$AH$2),OR(VALUE(I812)=INDIRECT("'["&amp;G812&amp;"]"&amp;E812&amp;"'!"&amp;$AB$2))),INDIRECT("'["&amp;G812&amp;"]"&amp;E812&amp;"'!"&amp;$AB$3),0)</f>
        <v>#VALUE!</v>
      </c>
      <c r="Q812" s="34" t="e" cm="1">
        <f t="array" aca="1" ref="Q812" ca="1">IF(AND(G812=INDIRECT("'["&amp;G812&amp;"]"&amp;E812&amp;"'!"&amp;$AH$2),OR(VALUE(I812)=INDIRECT("'["&amp;G812&amp;"]"&amp;E812&amp;"'!"&amp;$AC$2))),INDIRECT("'["&amp;G812&amp;"]"&amp;E812&amp;"'!"&amp;$AC$3),0)</f>
        <v>#VALUE!</v>
      </c>
      <c r="R812" s="34" t="e" cm="1">
        <f t="array" aca="1" ref="R812" ca="1">IF(AND(G812=INDIRECT("'["&amp;G812&amp;"]"&amp;E812&amp;"'!"&amp;$AH$2),OR(I812=INDIRECT("'["&amp;G812&amp;"]"&amp;E812&amp;"'!"&amp;$AD$2))),INDIRECT("'["&amp;G812&amp;"]"&amp;E812&amp;"'!"&amp;$AD$3),0)</f>
        <v>#VALUE!</v>
      </c>
      <c r="S812" s="34" t="e" cm="1">
        <f t="array" aca="1" ref="S812" ca="1">IF(AND(G812=INDIRECT("'["&amp;G812&amp;"]"&amp;E812&amp;"'!"&amp;$AH$2),OR(I812=INDIRECT("'["&amp;G812&amp;"]"&amp;E812&amp;"'!"&amp;$AE$2))),INDIRECT("'["&amp;G812&amp;"]"&amp;E812&amp;"'!"&amp;$AE$3),0)</f>
        <v>#VALUE!</v>
      </c>
      <c r="T812" s="35" t="e" cm="1">
        <f t="array" aca="1" ref="T812" ca="1">IF(AND(G812=INDIRECT("'["&amp;G812&amp;"]"&amp;E812&amp;"'!"&amp;$AH$2),OR(I812=INDIRECT("'["&amp;G812&amp;"]"&amp;E812&amp;"'!"&amp;$AF$2))),INDIRECT("'["&amp;G812&amp;"]"&amp;E812&amp;"'!"&amp;$AF$3),0)</f>
        <v>#VALUE!</v>
      </c>
      <c r="U812" s="34" t="e" cm="1">
        <f t="array" aca="1" ref="U812" ca="1">IF(AND(G812=INDIRECT("'["&amp;G812&amp;"]"&amp;E812&amp;"'!"&amp;$AH$2),OR(I812=INDIRECT("'["&amp;G812&amp;"]"&amp;E812&amp;"'!"&amp;$AG$2))),INDIRECT("'["&amp;G812&amp;"]"&amp;E812&amp;"'!"&amp;$AG$3),0)</f>
        <v>#VALUE!</v>
      </c>
      <c r="V812" s="25" t="str">
        <f t="shared" si="212"/>
        <v/>
      </c>
      <c r="W812" s="36" t="e" cm="1">
        <f t="array" aca="1" ref="W812" ca="1">IF(AND(G812=INDIRECT("'["&amp;G812&amp;"]"&amp;E812&amp;"'!"&amp;$AH$2),OR(V812=INDIRECT("'["&amp;G812&amp;"]"&amp;E812&amp;"'!"&amp;$AI$2))),INDIRECT("'["&amp;G812&amp;"]"&amp;E812&amp;"'!"&amp;$AI$3),0)</f>
        <v>#VALUE!</v>
      </c>
      <c r="AJ812" s="25">
        <v>1</v>
      </c>
      <c r="AK812" s="38">
        <f t="shared" ca="1" si="213"/>
        <v>0</v>
      </c>
      <c r="AL812" s="38">
        <f t="shared" ca="1" si="214"/>
        <v>0</v>
      </c>
      <c r="AM812" s="54" t="str">
        <f t="shared" ca="1" si="215"/>
        <v/>
      </c>
      <c r="AN812" s="25" t="e">
        <f t="shared" ca="1" si="216"/>
        <v>#VALUE!</v>
      </c>
      <c r="AO812" s="25" t="e">
        <f t="shared" ca="1" si="217"/>
        <v>#VALUE!</v>
      </c>
      <c r="AQ812" s="46" t="str">
        <f ca="1">IF(AND(C812&lt;&gt;0, C813=0), SUM($C$2:C812)-SUM($AQ$1:AQ811), "")</f>
        <v/>
      </c>
      <c r="AR812" s="46" t="str">
        <f ca="1">IF(AND(AK812&lt;&gt;0, AK813=0), SUM($AK$2:AK812)-SUM($AR$1:AR811), "")</f>
        <v/>
      </c>
    </row>
    <row r="813" spans="2:44" ht="13.15" customHeight="1">
      <c r="B813" s="68" t="str">
        <f t="shared" si="203"/>
        <v/>
      </c>
      <c r="C813" s="55" cm="1">
        <f t="array" aca="1" ref="C813" ca="1">SUM(IF(ISNUMBER(M813:U813),M813:U813,""))</f>
        <v>0</v>
      </c>
      <c r="D813" s="25" t="str">
        <f t="shared" si="204"/>
        <v/>
      </c>
      <c r="E813" s="25" t="e">
        <f t="shared" si="205"/>
        <v>#VALUE!</v>
      </c>
      <c r="F813" s="25" t="str">
        <f t="shared" si="206"/>
        <v/>
      </c>
      <c r="G813" s="25" t="str">
        <f t="shared" si="207"/>
        <v>.xlsx</v>
      </c>
      <c r="H813" s="29" t="e" cm="1">
        <f t="array" aca="1" ref="H813" ca="1">IF(AND(VALUE(E813)=INDIRECT("'["&amp;G813&amp;"]"&amp;E813&amp;"'!"&amp;$X$2),G813=INDIRECT("'["&amp;G813&amp;"]"&amp;E813&amp;"'!"&amp;$X$3)),INDIRECT("'["&amp;G813&amp;"]"&amp;E813&amp;"'!"&amp;$X$1),0)</f>
        <v>#VALUE!</v>
      </c>
      <c r="I813" s="25" t="str">
        <f t="shared" si="208"/>
        <v/>
      </c>
      <c r="J813" s="32" t="str">
        <f t="shared" si="209"/>
        <v/>
      </c>
      <c r="K813" s="25" t="str">
        <f t="shared" si="210"/>
        <v/>
      </c>
      <c r="L813" s="25" t="str">
        <f t="shared" si="211"/>
        <v/>
      </c>
      <c r="M813" s="33" t="e" cm="1">
        <f t="array" aca="1" ref="M813" ca="1">IF(AND(J813=INDIRECT("'["&amp;G813&amp;"]"&amp;E813&amp;"'!"&amp;$Y$2),G813=INDIRECT("'["&amp;G813&amp;"]"&amp;E813&amp;"'!"&amp;$AH$2)),INDIRECT("'["&amp;G813&amp;"]"&amp;E813&amp;"'!"&amp;$Y$3),0)</f>
        <v>#VALUE!</v>
      </c>
      <c r="N813" s="34" t="e" cm="1">
        <f t="array" aca="1" ref="N813" ca="1">IF(AND(G813=INDIRECT("'["&amp;G813&amp;"]"&amp;E813&amp;"'!"&amp;$AH$2),OR(K813=INDIRECT("'["&amp;G813&amp;"]"&amp;E813&amp;"'!"&amp;$Z$2))),INDIRECT("'["&amp;G813&amp;"]"&amp;E813&amp;"'!"&amp;$Z$3),0)</f>
        <v>#VALUE!</v>
      </c>
      <c r="O813" s="34" t="e" cm="1">
        <f t="array" aca="1" ref="O813" ca="1">IF(AND(G813=INDIRECT("'["&amp;G813&amp;"]"&amp;E813&amp;"'!"&amp;$AH$2),OR(L813=INDIRECT("'["&amp;G813&amp;"]"&amp;E813&amp;"'!"&amp;$AA$2))),INDIRECT("'["&amp;G813&amp;"]"&amp;E813&amp;"'!"&amp;$AA$3),0)</f>
        <v>#VALUE!</v>
      </c>
      <c r="P813" s="34" t="e" cm="1">
        <f t="array" aca="1" ref="P813" ca="1">IF(AND(G813=INDIRECT("'["&amp;G813&amp;"]"&amp;E813&amp;"'!"&amp;$AH$2),OR(VALUE(I813)=INDIRECT("'["&amp;G813&amp;"]"&amp;E813&amp;"'!"&amp;$AB$2))),INDIRECT("'["&amp;G813&amp;"]"&amp;E813&amp;"'!"&amp;$AB$3),0)</f>
        <v>#VALUE!</v>
      </c>
      <c r="Q813" s="34" t="e" cm="1">
        <f t="array" aca="1" ref="Q813" ca="1">IF(AND(G813=INDIRECT("'["&amp;G813&amp;"]"&amp;E813&amp;"'!"&amp;$AH$2),OR(VALUE(I813)=INDIRECT("'["&amp;G813&amp;"]"&amp;E813&amp;"'!"&amp;$AC$2))),INDIRECT("'["&amp;G813&amp;"]"&amp;E813&amp;"'!"&amp;$AC$3),0)</f>
        <v>#VALUE!</v>
      </c>
      <c r="R813" s="34" t="e" cm="1">
        <f t="array" aca="1" ref="R813" ca="1">IF(AND(G813=INDIRECT("'["&amp;G813&amp;"]"&amp;E813&amp;"'!"&amp;$AH$2),OR(I813=INDIRECT("'["&amp;G813&amp;"]"&amp;E813&amp;"'!"&amp;$AD$2))),INDIRECT("'["&amp;G813&amp;"]"&amp;E813&amp;"'!"&amp;$AD$3),0)</f>
        <v>#VALUE!</v>
      </c>
      <c r="S813" s="34" t="e" cm="1">
        <f t="array" aca="1" ref="S813" ca="1">IF(AND(G813=INDIRECT("'["&amp;G813&amp;"]"&amp;E813&amp;"'!"&amp;$AH$2),OR(I813=INDIRECT("'["&amp;G813&amp;"]"&amp;E813&amp;"'!"&amp;$AE$2))),INDIRECT("'["&amp;G813&amp;"]"&amp;E813&amp;"'!"&amp;$AE$3),0)</f>
        <v>#VALUE!</v>
      </c>
      <c r="T813" s="35" t="e" cm="1">
        <f t="array" aca="1" ref="T813" ca="1">IF(AND(G813=INDIRECT("'["&amp;G813&amp;"]"&amp;E813&amp;"'!"&amp;$AH$2),OR(I813=INDIRECT("'["&amp;G813&amp;"]"&amp;E813&amp;"'!"&amp;$AF$2))),INDIRECT("'["&amp;G813&amp;"]"&amp;E813&amp;"'!"&amp;$AF$3),0)</f>
        <v>#VALUE!</v>
      </c>
      <c r="U813" s="34" t="e" cm="1">
        <f t="array" aca="1" ref="U813" ca="1">IF(AND(G813=INDIRECT("'["&amp;G813&amp;"]"&amp;E813&amp;"'!"&amp;$AH$2),OR(I813=INDIRECT("'["&amp;G813&amp;"]"&amp;E813&amp;"'!"&amp;$AG$2))),INDIRECT("'["&amp;G813&amp;"]"&amp;E813&amp;"'!"&amp;$AG$3),0)</f>
        <v>#VALUE!</v>
      </c>
      <c r="V813" s="25" t="str">
        <f t="shared" si="212"/>
        <v/>
      </c>
      <c r="W813" s="36" t="e" cm="1">
        <f t="array" aca="1" ref="W813" ca="1">IF(AND(G813=INDIRECT("'["&amp;G813&amp;"]"&amp;E813&amp;"'!"&amp;$AH$2),OR(V813=INDIRECT("'["&amp;G813&amp;"]"&amp;E813&amp;"'!"&amp;$AI$2))),INDIRECT("'["&amp;G813&amp;"]"&amp;E813&amp;"'!"&amp;$AI$3),0)</f>
        <v>#VALUE!</v>
      </c>
      <c r="AJ813" s="25">
        <v>1</v>
      </c>
      <c r="AK813" s="38">
        <f t="shared" ca="1" si="213"/>
        <v>0</v>
      </c>
      <c r="AL813" s="38">
        <f t="shared" ca="1" si="214"/>
        <v>0</v>
      </c>
      <c r="AM813" s="54" t="str">
        <f t="shared" ca="1" si="215"/>
        <v/>
      </c>
      <c r="AN813" s="25" t="e">
        <f t="shared" ca="1" si="216"/>
        <v>#VALUE!</v>
      </c>
      <c r="AO813" s="25" t="e">
        <f t="shared" ca="1" si="217"/>
        <v>#VALUE!</v>
      </c>
      <c r="AQ813" s="46" t="str">
        <f ca="1">IF(AND(C813&lt;&gt;0, C814=0), SUM($C$2:C813)-SUM($AQ$1:AQ812), "")</f>
        <v/>
      </c>
      <c r="AR813" s="46" t="str">
        <f ca="1">IF(AND(AK813&lt;&gt;0, AK814=0), SUM($AK$2:AK813)-SUM($AR$1:AR812), "")</f>
        <v/>
      </c>
    </row>
    <row r="814" spans="2:44" ht="13.15" customHeight="1">
      <c r="B814" s="68" t="str">
        <f t="shared" si="203"/>
        <v/>
      </c>
      <c r="C814" s="55" cm="1">
        <f t="array" aca="1" ref="C814" ca="1">SUM(IF(ISNUMBER(M814:U814),M814:U814,""))</f>
        <v>0</v>
      </c>
      <c r="D814" s="25" t="str">
        <f t="shared" si="204"/>
        <v/>
      </c>
      <c r="E814" s="25" t="e">
        <f t="shared" si="205"/>
        <v>#VALUE!</v>
      </c>
      <c r="F814" s="25" t="str">
        <f t="shared" si="206"/>
        <v/>
      </c>
      <c r="G814" s="25" t="str">
        <f t="shared" si="207"/>
        <v>.xlsx</v>
      </c>
      <c r="H814" s="29" t="e" cm="1">
        <f t="array" aca="1" ref="H814" ca="1">IF(AND(VALUE(E814)=INDIRECT("'["&amp;G814&amp;"]"&amp;E814&amp;"'!"&amp;$X$2),G814=INDIRECT("'["&amp;G814&amp;"]"&amp;E814&amp;"'!"&amp;$X$3)),INDIRECT("'["&amp;G814&amp;"]"&amp;E814&amp;"'!"&amp;$X$1),0)</f>
        <v>#VALUE!</v>
      </c>
      <c r="I814" s="25" t="str">
        <f t="shared" si="208"/>
        <v/>
      </c>
      <c r="J814" s="32" t="str">
        <f t="shared" si="209"/>
        <v/>
      </c>
      <c r="K814" s="25" t="str">
        <f t="shared" si="210"/>
        <v/>
      </c>
      <c r="L814" s="25" t="str">
        <f t="shared" si="211"/>
        <v/>
      </c>
      <c r="M814" s="33" t="e" cm="1">
        <f t="array" aca="1" ref="M814" ca="1">IF(AND(J814=INDIRECT("'["&amp;G814&amp;"]"&amp;E814&amp;"'!"&amp;$Y$2),G814=INDIRECT("'["&amp;G814&amp;"]"&amp;E814&amp;"'!"&amp;$AH$2)),INDIRECT("'["&amp;G814&amp;"]"&amp;E814&amp;"'!"&amp;$Y$3),0)</f>
        <v>#VALUE!</v>
      </c>
      <c r="N814" s="34" t="e" cm="1">
        <f t="array" aca="1" ref="N814" ca="1">IF(AND(G814=INDIRECT("'["&amp;G814&amp;"]"&amp;E814&amp;"'!"&amp;$AH$2),OR(K814=INDIRECT("'["&amp;G814&amp;"]"&amp;E814&amp;"'!"&amp;$Z$2))),INDIRECT("'["&amp;G814&amp;"]"&amp;E814&amp;"'!"&amp;$Z$3),0)</f>
        <v>#VALUE!</v>
      </c>
      <c r="O814" s="34" t="e" cm="1">
        <f t="array" aca="1" ref="O814" ca="1">IF(AND(G814=INDIRECT("'["&amp;G814&amp;"]"&amp;E814&amp;"'!"&amp;$AH$2),OR(L814=INDIRECT("'["&amp;G814&amp;"]"&amp;E814&amp;"'!"&amp;$AA$2))),INDIRECT("'["&amp;G814&amp;"]"&amp;E814&amp;"'!"&amp;$AA$3),0)</f>
        <v>#VALUE!</v>
      </c>
      <c r="P814" s="34" t="e" cm="1">
        <f t="array" aca="1" ref="P814" ca="1">IF(AND(G814=INDIRECT("'["&amp;G814&amp;"]"&amp;E814&amp;"'!"&amp;$AH$2),OR(VALUE(I814)=INDIRECT("'["&amp;G814&amp;"]"&amp;E814&amp;"'!"&amp;$AB$2))),INDIRECT("'["&amp;G814&amp;"]"&amp;E814&amp;"'!"&amp;$AB$3),0)</f>
        <v>#VALUE!</v>
      </c>
      <c r="Q814" s="34" t="e" cm="1">
        <f t="array" aca="1" ref="Q814" ca="1">IF(AND(G814=INDIRECT("'["&amp;G814&amp;"]"&amp;E814&amp;"'!"&amp;$AH$2),OR(VALUE(I814)=INDIRECT("'["&amp;G814&amp;"]"&amp;E814&amp;"'!"&amp;$AC$2))),INDIRECT("'["&amp;G814&amp;"]"&amp;E814&amp;"'!"&amp;$AC$3),0)</f>
        <v>#VALUE!</v>
      </c>
      <c r="R814" s="34" t="e" cm="1">
        <f t="array" aca="1" ref="R814" ca="1">IF(AND(G814=INDIRECT("'["&amp;G814&amp;"]"&amp;E814&amp;"'!"&amp;$AH$2),OR(I814=INDIRECT("'["&amp;G814&amp;"]"&amp;E814&amp;"'!"&amp;$AD$2))),INDIRECT("'["&amp;G814&amp;"]"&amp;E814&amp;"'!"&amp;$AD$3),0)</f>
        <v>#VALUE!</v>
      </c>
      <c r="S814" s="34" t="e" cm="1">
        <f t="array" aca="1" ref="S814" ca="1">IF(AND(G814=INDIRECT("'["&amp;G814&amp;"]"&amp;E814&amp;"'!"&amp;$AH$2),OR(I814=INDIRECT("'["&amp;G814&amp;"]"&amp;E814&amp;"'!"&amp;$AE$2))),INDIRECT("'["&amp;G814&amp;"]"&amp;E814&amp;"'!"&amp;$AE$3),0)</f>
        <v>#VALUE!</v>
      </c>
      <c r="T814" s="35" t="e" cm="1">
        <f t="array" aca="1" ref="T814" ca="1">IF(AND(G814=INDIRECT("'["&amp;G814&amp;"]"&amp;E814&amp;"'!"&amp;$AH$2),OR(I814=INDIRECT("'["&amp;G814&amp;"]"&amp;E814&amp;"'!"&amp;$AF$2))),INDIRECT("'["&amp;G814&amp;"]"&amp;E814&amp;"'!"&amp;$AF$3),0)</f>
        <v>#VALUE!</v>
      </c>
      <c r="U814" s="34" t="e" cm="1">
        <f t="array" aca="1" ref="U814" ca="1">IF(AND(G814=INDIRECT("'["&amp;G814&amp;"]"&amp;E814&amp;"'!"&amp;$AH$2),OR(I814=INDIRECT("'["&amp;G814&amp;"]"&amp;E814&amp;"'!"&amp;$AG$2))),INDIRECT("'["&amp;G814&amp;"]"&amp;E814&amp;"'!"&amp;$AG$3),0)</f>
        <v>#VALUE!</v>
      </c>
      <c r="V814" s="25" t="str">
        <f t="shared" si="212"/>
        <v/>
      </c>
      <c r="W814" s="36" t="e" cm="1">
        <f t="array" aca="1" ref="W814" ca="1">IF(AND(G814=INDIRECT("'["&amp;G814&amp;"]"&amp;E814&amp;"'!"&amp;$AH$2),OR(V814=INDIRECT("'["&amp;G814&amp;"]"&amp;E814&amp;"'!"&amp;$AI$2))),INDIRECT("'["&amp;G814&amp;"]"&amp;E814&amp;"'!"&amp;$AI$3),0)</f>
        <v>#VALUE!</v>
      </c>
      <c r="AJ814" s="25">
        <v>1</v>
      </c>
      <c r="AK814" s="38">
        <f t="shared" ca="1" si="213"/>
        <v>0</v>
      </c>
      <c r="AL814" s="38">
        <f t="shared" ca="1" si="214"/>
        <v>0</v>
      </c>
      <c r="AM814" s="54" t="str">
        <f t="shared" ca="1" si="215"/>
        <v/>
      </c>
      <c r="AN814" s="25" t="e">
        <f t="shared" ca="1" si="216"/>
        <v>#VALUE!</v>
      </c>
      <c r="AO814" s="25" t="e">
        <f t="shared" ca="1" si="217"/>
        <v>#VALUE!</v>
      </c>
      <c r="AQ814" s="46" t="str">
        <f ca="1">IF(AND(C814&lt;&gt;0, C815=0), SUM($C$2:C814)-SUM($AQ$1:AQ813), "")</f>
        <v/>
      </c>
      <c r="AR814" s="46" t="str">
        <f ca="1">IF(AND(AK814&lt;&gt;0, AK815=0), SUM($AK$2:AK814)-SUM($AR$1:AR813), "")</f>
        <v/>
      </c>
    </row>
    <row r="815" spans="2:44" ht="13.15" customHeight="1">
      <c r="B815" s="68" t="str">
        <f t="shared" si="203"/>
        <v/>
      </c>
      <c r="C815" s="55" cm="1">
        <f t="array" aca="1" ref="C815" ca="1">SUM(IF(ISNUMBER(M815:U815),M815:U815,""))</f>
        <v>0</v>
      </c>
      <c r="D815" s="25" t="str">
        <f t="shared" si="204"/>
        <v/>
      </c>
      <c r="E815" s="25" t="e">
        <f t="shared" si="205"/>
        <v>#VALUE!</v>
      </c>
      <c r="F815" s="25" t="str">
        <f t="shared" si="206"/>
        <v/>
      </c>
      <c r="G815" s="25" t="str">
        <f t="shared" si="207"/>
        <v>.xlsx</v>
      </c>
      <c r="H815" s="29" t="e" cm="1">
        <f t="array" aca="1" ref="H815" ca="1">IF(AND(VALUE(E815)=INDIRECT("'["&amp;G815&amp;"]"&amp;E815&amp;"'!"&amp;$X$2),G815=INDIRECT("'["&amp;G815&amp;"]"&amp;E815&amp;"'!"&amp;$X$3)),INDIRECT("'["&amp;G815&amp;"]"&amp;E815&amp;"'!"&amp;$X$1),0)</f>
        <v>#VALUE!</v>
      </c>
      <c r="I815" s="25" t="str">
        <f t="shared" si="208"/>
        <v/>
      </c>
      <c r="J815" s="32" t="str">
        <f t="shared" si="209"/>
        <v/>
      </c>
      <c r="K815" s="25" t="str">
        <f t="shared" si="210"/>
        <v/>
      </c>
      <c r="L815" s="25" t="str">
        <f t="shared" si="211"/>
        <v/>
      </c>
      <c r="M815" s="33" t="e" cm="1">
        <f t="array" aca="1" ref="M815" ca="1">IF(AND(J815=INDIRECT("'["&amp;G815&amp;"]"&amp;E815&amp;"'!"&amp;$Y$2),G815=INDIRECT("'["&amp;G815&amp;"]"&amp;E815&amp;"'!"&amp;$AH$2)),INDIRECT("'["&amp;G815&amp;"]"&amp;E815&amp;"'!"&amp;$Y$3),0)</f>
        <v>#VALUE!</v>
      </c>
      <c r="N815" s="34" t="e" cm="1">
        <f t="array" aca="1" ref="N815" ca="1">IF(AND(G815=INDIRECT("'["&amp;G815&amp;"]"&amp;E815&amp;"'!"&amp;$AH$2),OR(K815=INDIRECT("'["&amp;G815&amp;"]"&amp;E815&amp;"'!"&amp;$Z$2))),INDIRECT("'["&amp;G815&amp;"]"&amp;E815&amp;"'!"&amp;$Z$3),0)</f>
        <v>#VALUE!</v>
      </c>
      <c r="O815" s="34" t="e" cm="1">
        <f t="array" aca="1" ref="O815" ca="1">IF(AND(G815=INDIRECT("'["&amp;G815&amp;"]"&amp;E815&amp;"'!"&amp;$AH$2),OR(L815=INDIRECT("'["&amp;G815&amp;"]"&amp;E815&amp;"'!"&amp;$AA$2))),INDIRECT("'["&amp;G815&amp;"]"&amp;E815&amp;"'!"&amp;$AA$3),0)</f>
        <v>#VALUE!</v>
      </c>
      <c r="P815" s="34" t="e" cm="1">
        <f t="array" aca="1" ref="P815" ca="1">IF(AND(G815=INDIRECT("'["&amp;G815&amp;"]"&amp;E815&amp;"'!"&amp;$AH$2),OR(VALUE(I815)=INDIRECT("'["&amp;G815&amp;"]"&amp;E815&amp;"'!"&amp;$AB$2))),INDIRECT("'["&amp;G815&amp;"]"&amp;E815&amp;"'!"&amp;$AB$3),0)</f>
        <v>#VALUE!</v>
      </c>
      <c r="Q815" s="34" t="e" cm="1">
        <f t="array" aca="1" ref="Q815" ca="1">IF(AND(G815=INDIRECT("'["&amp;G815&amp;"]"&amp;E815&amp;"'!"&amp;$AH$2),OR(VALUE(I815)=INDIRECT("'["&amp;G815&amp;"]"&amp;E815&amp;"'!"&amp;$AC$2))),INDIRECT("'["&amp;G815&amp;"]"&amp;E815&amp;"'!"&amp;$AC$3),0)</f>
        <v>#VALUE!</v>
      </c>
      <c r="R815" s="34" t="e" cm="1">
        <f t="array" aca="1" ref="R815" ca="1">IF(AND(G815=INDIRECT("'["&amp;G815&amp;"]"&amp;E815&amp;"'!"&amp;$AH$2),OR(I815=INDIRECT("'["&amp;G815&amp;"]"&amp;E815&amp;"'!"&amp;$AD$2))),INDIRECT("'["&amp;G815&amp;"]"&amp;E815&amp;"'!"&amp;$AD$3),0)</f>
        <v>#VALUE!</v>
      </c>
      <c r="S815" s="34" t="e" cm="1">
        <f t="array" aca="1" ref="S815" ca="1">IF(AND(G815=INDIRECT("'["&amp;G815&amp;"]"&amp;E815&amp;"'!"&amp;$AH$2),OR(I815=INDIRECT("'["&amp;G815&amp;"]"&amp;E815&amp;"'!"&amp;$AE$2))),INDIRECT("'["&amp;G815&amp;"]"&amp;E815&amp;"'!"&amp;$AE$3),0)</f>
        <v>#VALUE!</v>
      </c>
      <c r="T815" s="35" t="e" cm="1">
        <f t="array" aca="1" ref="T815" ca="1">IF(AND(G815=INDIRECT("'["&amp;G815&amp;"]"&amp;E815&amp;"'!"&amp;$AH$2),OR(I815=INDIRECT("'["&amp;G815&amp;"]"&amp;E815&amp;"'!"&amp;$AF$2))),INDIRECT("'["&amp;G815&amp;"]"&amp;E815&amp;"'!"&amp;$AF$3),0)</f>
        <v>#VALUE!</v>
      </c>
      <c r="U815" s="34" t="e" cm="1">
        <f t="array" aca="1" ref="U815" ca="1">IF(AND(G815=INDIRECT("'["&amp;G815&amp;"]"&amp;E815&amp;"'!"&amp;$AH$2),OR(I815=INDIRECT("'["&amp;G815&amp;"]"&amp;E815&amp;"'!"&amp;$AG$2))),INDIRECT("'["&amp;G815&amp;"]"&amp;E815&amp;"'!"&amp;$AG$3),0)</f>
        <v>#VALUE!</v>
      </c>
      <c r="V815" s="25" t="str">
        <f t="shared" si="212"/>
        <v/>
      </c>
      <c r="W815" s="36" t="e" cm="1">
        <f t="array" aca="1" ref="W815" ca="1">IF(AND(G815=INDIRECT("'["&amp;G815&amp;"]"&amp;E815&amp;"'!"&amp;$AH$2),OR(V815=INDIRECT("'["&amp;G815&amp;"]"&amp;E815&amp;"'!"&amp;$AI$2))),INDIRECT("'["&amp;G815&amp;"]"&amp;E815&amp;"'!"&amp;$AI$3),0)</f>
        <v>#VALUE!</v>
      </c>
      <c r="AJ815" s="25">
        <v>1</v>
      </c>
      <c r="AK815" s="38">
        <f t="shared" ca="1" si="213"/>
        <v>0</v>
      </c>
      <c r="AL815" s="38">
        <f t="shared" ca="1" si="214"/>
        <v>0</v>
      </c>
      <c r="AM815" s="54" t="str">
        <f t="shared" ca="1" si="215"/>
        <v/>
      </c>
      <c r="AN815" s="25" t="e">
        <f t="shared" ca="1" si="216"/>
        <v>#VALUE!</v>
      </c>
      <c r="AO815" s="25" t="e">
        <f t="shared" ca="1" si="217"/>
        <v>#VALUE!</v>
      </c>
      <c r="AQ815" s="46" t="str">
        <f ca="1">IF(AND(C815&lt;&gt;0, C816=0), SUM($C$2:C815)-SUM($AQ$1:AQ814), "")</f>
        <v/>
      </c>
      <c r="AR815" s="46" t="str">
        <f ca="1">IF(AND(AK815&lt;&gt;0, AK816=0), SUM($AK$2:AK815)-SUM($AR$1:AR814), "")</f>
        <v/>
      </c>
    </row>
    <row r="816" spans="2:44" ht="13.15" customHeight="1">
      <c r="B816" s="68" t="str">
        <f t="shared" si="203"/>
        <v/>
      </c>
      <c r="C816" s="55" cm="1">
        <f t="array" aca="1" ref="C816" ca="1">SUM(IF(ISNUMBER(M816:U816),M816:U816,""))</f>
        <v>0</v>
      </c>
      <c r="D816" s="25" t="str">
        <f t="shared" si="204"/>
        <v/>
      </c>
      <c r="E816" s="25" t="e">
        <f t="shared" si="205"/>
        <v>#VALUE!</v>
      </c>
      <c r="F816" s="25" t="str">
        <f t="shared" si="206"/>
        <v/>
      </c>
      <c r="G816" s="25" t="str">
        <f t="shared" si="207"/>
        <v>.xlsx</v>
      </c>
      <c r="H816" s="29" t="e" cm="1">
        <f t="array" aca="1" ref="H816" ca="1">IF(AND(VALUE(E816)=INDIRECT("'["&amp;G816&amp;"]"&amp;E816&amp;"'!"&amp;$X$2),G816=INDIRECT("'["&amp;G816&amp;"]"&amp;E816&amp;"'!"&amp;$X$3)),INDIRECT("'["&amp;G816&amp;"]"&amp;E816&amp;"'!"&amp;$X$1),0)</f>
        <v>#VALUE!</v>
      </c>
      <c r="I816" s="25" t="str">
        <f t="shared" si="208"/>
        <v/>
      </c>
      <c r="J816" s="32" t="str">
        <f t="shared" si="209"/>
        <v/>
      </c>
      <c r="K816" s="25" t="str">
        <f t="shared" si="210"/>
        <v/>
      </c>
      <c r="L816" s="25" t="str">
        <f t="shared" si="211"/>
        <v/>
      </c>
      <c r="M816" s="33" t="e" cm="1">
        <f t="array" aca="1" ref="M816" ca="1">IF(AND(J816=INDIRECT("'["&amp;G816&amp;"]"&amp;E816&amp;"'!"&amp;$Y$2),G816=INDIRECT("'["&amp;G816&amp;"]"&amp;E816&amp;"'!"&amp;$AH$2)),INDIRECT("'["&amp;G816&amp;"]"&amp;E816&amp;"'!"&amp;$Y$3),0)</f>
        <v>#VALUE!</v>
      </c>
      <c r="N816" s="34" t="e" cm="1">
        <f t="array" aca="1" ref="N816" ca="1">IF(AND(G816=INDIRECT("'["&amp;G816&amp;"]"&amp;E816&amp;"'!"&amp;$AH$2),OR(K816=INDIRECT("'["&amp;G816&amp;"]"&amp;E816&amp;"'!"&amp;$Z$2))),INDIRECT("'["&amp;G816&amp;"]"&amp;E816&amp;"'!"&amp;$Z$3),0)</f>
        <v>#VALUE!</v>
      </c>
      <c r="O816" s="34" t="e" cm="1">
        <f t="array" aca="1" ref="O816" ca="1">IF(AND(G816=INDIRECT("'["&amp;G816&amp;"]"&amp;E816&amp;"'!"&amp;$AH$2),OR(L816=INDIRECT("'["&amp;G816&amp;"]"&amp;E816&amp;"'!"&amp;$AA$2))),INDIRECT("'["&amp;G816&amp;"]"&amp;E816&amp;"'!"&amp;$AA$3),0)</f>
        <v>#VALUE!</v>
      </c>
      <c r="P816" s="34" t="e" cm="1">
        <f t="array" aca="1" ref="P816" ca="1">IF(AND(G816=INDIRECT("'["&amp;G816&amp;"]"&amp;E816&amp;"'!"&amp;$AH$2),OR(VALUE(I816)=INDIRECT("'["&amp;G816&amp;"]"&amp;E816&amp;"'!"&amp;$AB$2))),INDIRECT("'["&amp;G816&amp;"]"&amp;E816&amp;"'!"&amp;$AB$3),0)</f>
        <v>#VALUE!</v>
      </c>
      <c r="Q816" s="34" t="e" cm="1">
        <f t="array" aca="1" ref="Q816" ca="1">IF(AND(G816=INDIRECT("'["&amp;G816&amp;"]"&amp;E816&amp;"'!"&amp;$AH$2),OR(VALUE(I816)=INDIRECT("'["&amp;G816&amp;"]"&amp;E816&amp;"'!"&amp;$AC$2))),INDIRECT("'["&amp;G816&amp;"]"&amp;E816&amp;"'!"&amp;$AC$3),0)</f>
        <v>#VALUE!</v>
      </c>
      <c r="R816" s="34" t="e" cm="1">
        <f t="array" aca="1" ref="R816" ca="1">IF(AND(G816=INDIRECT("'["&amp;G816&amp;"]"&amp;E816&amp;"'!"&amp;$AH$2),OR(I816=INDIRECT("'["&amp;G816&amp;"]"&amp;E816&amp;"'!"&amp;$AD$2))),INDIRECT("'["&amp;G816&amp;"]"&amp;E816&amp;"'!"&amp;$AD$3),0)</f>
        <v>#VALUE!</v>
      </c>
      <c r="S816" s="34" t="e" cm="1">
        <f t="array" aca="1" ref="S816" ca="1">IF(AND(G816=INDIRECT("'["&amp;G816&amp;"]"&amp;E816&amp;"'!"&amp;$AH$2),OR(I816=INDIRECT("'["&amp;G816&amp;"]"&amp;E816&amp;"'!"&amp;$AE$2))),INDIRECT("'["&amp;G816&amp;"]"&amp;E816&amp;"'!"&amp;$AE$3),0)</f>
        <v>#VALUE!</v>
      </c>
      <c r="T816" s="35" t="e" cm="1">
        <f t="array" aca="1" ref="T816" ca="1">IF(AND(G816=INDIRECT("'["&amp;G816&amp;"]"&amp;E816&amp;"'!"&amp;$AH$2),OR(I816=INDIRECT("'["&amp;G816&amp;"]"&amp;E816&amp;"'!"&amp;$AF$2))),INDIRECT("'["&amp;G816&amp;"]"&amp;E816&amp;"'!"&amp;$AF$3),0)</f>
        <v>#VALUE!</v>
      </c>
      <c r="U816" s="34" t="e" cm="1">
        <f t="array" aca="1" ref="U816" ca="1">IF(AND(G816=INDIRECT("'["&amp;G816&amp;"]"&amp;E816&amp;"'!"&amp;$AH$2),OR(I816=INDIRECT("'["&amp;G816&amp;"]"&amp;E816&amp;"'!"&amp;$AG$2))),INDIRECT("'["&amp;G816&amp;"]"&amp;E816&amp;"'!"&amp;$AG$3),0)</f>
        <v>#VALUE!</v>
      </c>
      <c r="V816" s="25" t="str">
        <f t="shared" si="212"/>
        <v/>
      </c>
      <c r="W816" s="36" t="e" cm="1">
        <f t="array" aca="1" ref="W816" ca="1">IF(AND(G816=INDIRECT("'["&amp;G816&amp;"]"&amp;E816&amp;"'!"&amp;$AH$2),OR(V816=INDIRECT("'["&amp;G816&amp;"]"&amp;E816&amp;"'!"&amp;$AI$2))),INDIRECT("'["&amp;G816&amp;"]"&amp;E816&amp;"'!"&amp;$AI$3),0)</f>
        <v>#VALUE!</v>
      </c>
      <c r="AJ816" s="25">
        <v>1</v>
      </c>
      <c r="AK816" s="38">
        <f t="shared" ca="1" si="213"/>
        <v>0</v>
      </c>
      <c r="AL816" s="38">
        <f t="shared" ca="1" si="214"/>
        <v>0</v>
      </c>
      <c r="AM816" s="54" t="str">
        <f t="shared" ca="1" si="215"/>
        <v/>
      </c>
      <c r="AN816" s="25" t="e">
        <f t="shared" ca="1" si="216"/>
        <v>#VALUE!</v>
      </c>
      <c r="AO816" s="25" t="e">
        <f t="shared" ca="1" si="217"/>
        <v>#VALUE!</v>
      </c>
      <c r="AQ816" s="46" t="str">
        <f ca="1">IF(AND(C816&lt;&gt;0, C817=0), SUM($C$2:C816)-SUM($AQ$1:AQ815), "")</f>
        <v/>
      </c>
      <c r="AR816" s="46" t="str">
        <f ca="1">IF(AND(AK816&lt;&gt;0, AK817=0), SUM($AK$2:AK816)-SUM($AR$1:AR815), "")</f>
        <v/>
      </c>
    </row>
    <row r="817" spans="2:44" ht="13.15" customHeight="1">
      <c r="B817" s="68" t="str">
        <f t="shared" si="203"/>
        <v/>
      </c>
      <c r="C817" s="55" cm="1">
        <f t="array" aca="1" ref="C817" ca="1">SUM(IF(ISNUMBER(M817:U817),M817:U817,""))</f>
        <v>0</v>
      </c>
      <c r="D817" s="25" t="str">
        <f t="shared" si="204"/>
        <v/>
      </c>
      <c r="E817" s="25" t="e">
        <f t="shared" si="205"/>
        <v>#VALUE!</v>
      </c>
      <c r="F817" s="25" t="str">
        <f t="shared" si="206"/>
        <v/>
      </c>
      <c r="G817" s="25" t="str">
        <f t="shared" si="207"/>
        <v>.xlsx</v>
      </c>
      <c r="H817" s="29" t="e" cm="1">
        <f t="array" aca="1" ref="H817" ca="1">IF(AND(VALUE(E817)=INDIRECT("'["&amp;G817&amp;"]"&amp;E817&amp;"'!"&amp;$X$2),G817=INDIRECT("'["&amp;G817&amp;"]"&amp;E817&amp;"'!"&amp;$X$3)),INDIRECT("'["&amp;G817&amp;"]"&amp;E817&amp;"'!"&amp;$X$1),0)</f>
        <v>#VALUE!</v>
      </c>
      <c r="I817" s="25" t="str">
        <f t="shared" si="208"/>
        <v/>
      </c>
      <c r="J817" s="32" t="str">
        <f t="shared" si="209"/>
        <v/>
      </c>
      <c r="K817" s="25" t="str">
        <f t="shared" si="210"/>
        <v/>
      </c>
      <c r="L817" s="25" t="str">
        <f t="shared" si="211"/>
        <v/>
      </c>
      <c r="M817" s="33" t="e" cm="1">
        <f t="array" aca="1" ref="M817" ca="1">IF(AND(J817=INDIRECT("'["&amp;G817&amp;"]"&amp;E817&amp;"'!"&amp;$Y$2),G817=INDIRECT("'["&amp;G817&amp;"]"&amp;E817&amp;"'!"&amp;$AH$2)),INDIRECT("'["&amp;G817&amp;"]"&amp;E817&amp;"'!"&amp;$Y$3),0)</f>
        <v>#VALUE!</v>
      </c>
      <c r="N817" s="34" t="e" cm="1">
        <f t="array" aca="1" ref="N817" ca="1">IF(AND(G817=INDIRECT("'["&amp;G817&amp;"]"&amp;E817&amp;"'!"&amp;$AH$2),OR(K817=INDIRECT("'["&amp;G817&amp;"]"&amp;E817&amp;"'!"&amp;$Z$2))),INDIRECT("'["&amp;G817&amp;"]"&amp;E817&amp;"'!"&amp;$Z$3),0)</f>
        <v>#VALUE!</v>
      </c>
      <c r="O817" s="34" t="e" cm="1">
        <f t="array" aca="1" ref="O817" ca="1">IF(AND(G817=INDIRECT("'["&amp;G817&amp;"]"&amp;E817&amp;"'!"&amp;$AH$2),OR(L817=INDIRECT("'["&amp;G817&amp;"]"&amp;E817&amp;"'!"&amp;$AA$2))),INDIRECT("'["&amp;G817&amp;"]"&amp;E817&amp;"'!"&amp;$AA$3),0)</f>
        <v>#VALUE!</v>
      </c>
      <c r="P817" s="34" t="e" cm="1">
        <f t="array" aca="1" ref="P817" ca="1">IF(AND(G817=INDIRECT("'["&amp;G817&amp;"]"&amp;E817&amp;"'!"&amp;$AH$2),OR(VALUE(I817)=INDIRECT("'["&amp;G817&amp;"]"&amp;E817&amp;"'!"&amp;$AB$2))),INDIRECT("'["&amp;G817&amp;"]"&amp;E817&amp;"'!"&amp;$AB$3),0)</f>
        <v>#VALUE!</v>
      </c>
      <c r="Q817" s="34" t="e" cm="1">
        <f t="array" aca="1" ref="Q817" ca="1">IF(AND(G817=INDIRECT("'["&amp;G817&amp;"]"&amp;E817&amp;"'!"&amp;$AH$2),OR(VALUE(I817)=INDIRECT("'["&amp;G817&amp;"]"&amp;E817&amp;"'!"&amp;$AC$2))),INDIRECT("'["&amp;G817&amp;"]"&amp;E817&amp;"'!"&amp;$AC$3),0)</f>
        <v>#VALUE!</v>
      </c>
      <c r="R817" s="34" t="e" cm="1">
        <f t="array" aca="1" ref="R817" ca="1">IF(AND(G817=INDIRECT("'["&amp;G817&amp;"]"&amp;E817&amp;"'!"&amp;$AH$2),OR(I817=INDIRECT("'["&amp;G817&amp;"]"&amp;E817&amp;"'!"&amp;$AD$2))),INDIRECT("'["&amp;G817&amp;"]"&amp;E817&amp;"'!"&amp;$AD$3),0)</f>
        <v>#VALUE!</v>
      </c>
      <c r="S817" s="34" t="e" cm="1">
        <f t="array" aca="1" ref="S817" ca="1">IF(AND(G817=INDIRECT("'["&amp;G817&amp;"]"&amp;E817&amp;"'!"&amp;$AH$2),OR(I817=INDIRECT("'["&amp;G817&amp;"]"&amp;E817&amp;"'!"&amp;$AE$2))),INDIRECT("'["&amp;G817&amp;"]"&amp;E817&amp;"'!"&amp;$AE$3),0)</f>
        <v>#VALUE!</v>
      </c>
      <c r="T817" s="35" t="e" cm="1">
        <f t="array" aca="1" ref="T817" ca="1">IF(AND(G817=INDIRECT("'["&amp;G817&amp;"]"&amp;E817&amp;"'!"&amp;$AH$2),OR(I817=INDIRECT("'["&amp;G817&amp;"]"&amp;E817&amp;"'!"&amp;$AF$2))),INDIRECT("'["&amp;G817&amp;"]"&amp;E817&amp;"'!"&amp;$AF$3),0)</f>
        <v>#VALUE!</v>
      </c>
      <c r="U817" s="34" t="e" cm="1">
        <f t="array" aca="1" ref="U817" ca="1">IF(AND(G817=INDIRECT("'["&amp;G817&amp;"]"&amp;E817&amp;"'!"&amp;$AH$2),OR(I817=INDIRECT("'["&amp;G817&amp;"]"&amp;E817&amp;"'!"&amp;$AG$2))),INDIRECT("'["&amp;G817&amp;"]"&amp;E817&amp;"'!"&amp;$AG$3),0)</f>
        <v>#VALUE!</v>
      </c>
      <c r="V817" s="25" t="str">
        <f t="shared" si="212"/>
        <v/>
      </c>
      <c r="W817" s="36" t="e" cm="1">
        <f t="array" aca="1" ref="W817" ca="1">IF(AND(G817=INDIRECT("'["&amp;G817&amp;"]"&amp;E817&amp;"'!"&amp;$AH$2),OR(V817=INDIRECT("'["&amp;G817&amp;"]"&amp;E817&amp;"'!"&amp;$AI$2))),INDIRECT("'["&amp;G817&amp;"]"&amp;E817&amp;"'!"&amp;$AI$3),0)</f>
        <v>#VALUE!</v>
      </c>
      <c r="AJ817" s="25">
        <v>1</v>
      </c>
      <c r="AK817" s="38">
        <f t="shared" ca="1" si="213"/>
        <v>0</v>
      </c>
      <c r="AL817" s="38">
        <f t="shared" ca="1" si="214"/>
        <v>0</v>
      </c>
      <c r="AM817" s="54" t="str">
        <f t="shared" ca="1" si="215"/>
        <v/>
      </c>
      <c r="AN817" s="25" t="e">
        <f t="shared" ca="1" si="216"/>
        <v>#VALUE!</v>
      </c>
      <c r="AO817" s="25" t="e">
        <f t="shared" ca="1" si="217"/>
        <v>#VALUE!</v>
      </c>
      <c r="AQ817" s="46" t="str">
        <f ca="1">IF(AND(C817&lt;&gt;0, C818=0), SUM($C$2:C817)-SUM($AQ$1:AQ816), "")</f>
        <v/>
      </c>
      <c r="AR817" s="46" t="str">
        <f ca="1">IF(AND(AK817&lt;&gt;0, AK818=0), SUM($AK$2:AK817)-SUM($AR$1:AR816), "")</f>
        <v/>
      </c>
    </row>
    <row r="818" spans="2:44" ht="13.15" customHeight="1">
      <c r="B818" s="68" t="str">
        <f t="shared" si="203"/>
        <v/>
      </c>
      <c r="C818" s="55" cm="1">
        <f t="array" aca="1" ref="C818" ca="1">SUM(IF(ISNUMBER(M818:U818),M818:U818,""))</f>
        <v>0</v>
      </c>
      <c r="D818" s="25" t="str">
        <f t="shared" si="204"/>
        <v/>
      </c>
      <c r="E818" s="25" t="e">
        <f t="shared" si="205"/>
        <v>#VALUE!</v>
      </c>
      <c r="F818" s="25" t="str">
        <f t="shared" si="206"/>
        <v/>
      </c>
      <c r="G818" s="25" t="str">
        <f t="shared" si="207"/>
        <v>.xlsx</v>
      </c>
      <c r="H818" s="29" t="e" cm="1">
        <f t="array" aca="1" ref="H818" ca="1">IF(AND(VALUE(E818)=INDIRECT("'["&amp;G818&amp;"]"&amp;E818&amp;"'!"&amp;$X$2),G818=INDIRECT("'["&amp;G818&amp;"]"&amp;E818&amp;"'!"&amp;$X$3)),INDIRECT("'["&amp;G818&amp;"]"&amp;E818&amp;"'!"&amp;$X$1),0)</f>
        <v>#VALUE!</v>
      </c>
      <c r="I818" s="25" t="str">
        <f t="shared" si="208"/>
        <v/>
      </c>
      <c r="J818" s="32" t="str">
        <f t="shared" si="209"/>
        <v/>
      </c>
      <c r="K818" s="25" t="str">
        <f t="shared" si="210"/>
        <v/>
      </c>
      <c r="L818" s="25" t="str">
        <f t="shared" si="211"/>
        <v/>
      </c>
      <c r="M818" s="33" t="e" cm="1">
        <f t="array" aca="1" ref="M818" ca="1">IF(AND(J818=INDIRECT("'["&amp;G818&amp;"]"&amp;E818&amp;"'!"&amp;$Y$2),G818=INDIRECT("'["&amp;G818&amp;"]"&amp;E818&amp;"'!"&amp;$AH$2)),INDIRECT("'["&amp;G818&amp;"]"&amp;E818&amp;"'!"&amp;$Y$3),0)</f>
        <v>#VALUE!</v>
      </c>
      <c r="N818" s="34" t="e" cm="1">
        <f t="array" aca="1" ref="N818" ca="1">IF(AND(G818=INDIRECT("'["&amp;G818&amp;"]"&amp;E818&amp;"'!"&amp;$AH$2),OR(K818=INDIRECT("'["&amp;G818&amp;"]"&amp;E818&amp;"'!"&amp;$Z$2))),INDIRECT("'["&amp;G818&amp;"]"&amp;E818&amp;"'!"&amp;$Z$3),0)</f>
        <v>#VALUE!</v>
      </c>
      <c r="O818" s="34" t="e" cm="1">
        <f t="array" aca="1" ref="O818" ca="1">IF(AND(G818=INDIRECT("'["&amp;G818&amp;"]"&amp;E818&amp;"'!"&amp;$AH$2),OR(L818=INDIRECT("'["&amp;G818&amp;"]"&amp;E818&amp;"'!"&amp;$AA$2))),INDIRECT("'["&amp;G818&amp;"]"&amp;E818&amp;"'!"&amp;$AA$3),0)</f>
        <v>#VALUE!</v>
      </c>
      <c r="P818" s="34" t="e" cm="1">
        <f t="array" aca="1" ref="P818" ca="1">IF(AND(G818=INDIRECT("'["&amp;G818&amp;"]"&amp;E818&amp;"'!"&amp;$AH$2),OR(VALUE(I818)=INDIRECT("'["&amp;G818&amp;"]"&amp;E818&amp;"'!"&amp;$AB$2))),INDIRECT("'["&amp;G818&amp;"]"&amp;E818&amp;"'!"&amp;$AB$3),0)</f>
        <v>#VALUE!</v>
      </c>
      <c r="Q818" s="34" t="e" cm="1">
        <f t="array" aca="1" ref="Q818" ca="1">IF(AND(G818=INDIRECT("'["&amp;G818&amp;"]"&amp;E818&amp;"'!"&amp;$AH$2),OR(VALUE(I818)=INDIRECT("'["&amp;G818&amp;"]"&amp;E818&amp;"'!"&amp;$AC$2))),INDIRECT("'["&amp;G818&amp;"]"&amp;E818&amp;"'!"&amp;$AC$3),0)</f>
        <v>#VALUE!</v>
      </c>
      <c r="R818" s="34" t="e" cm="1">
        <f t="array" aca="1" ref="R818" ca="1">IF(AND(G818=INDIRECT("'["&amp;G818&amp;"]"&amp;E818&amp;"'!"&amp;$AH$2),OR(I818=INDIRECT("'["&amp;G818&amp;"]"&amp;E818&amp;"'!"&amp;$AD$2))),INDIRECT("'["&amp;G818&amp;"]"&amp;E818&amp;"'!"&amp;$AD$3),0)</f>
        <v>#VALUE!</v>
      </c>
      <c r="S818" s="34" t="e" cm="1">
        <f t="array" aca="1" ref="S818" ca="1">IF(AND(G818=INDIRECT("'["&amp;G818&amp;"]"&amp;E818&amp;"'!"&amp;$AH$2),OR(I818=INDIRECT("'["&amp;G818&amp;"]"&amp;E818&amp;"'!"&amp;$AE$2))),INDIRECT("'["&amp;G818&amp;"]"&amp;E818&amp;"'!"&amp;$AE$3),0)</f>
        <v>#VALUE!</v>
      </c>
      <c r="T818" s="35" t="e" cm="1">
        <f t="array" aca="1" ref="T818" ca="1">IF(AND(G818=INDIRECT("'["&amp;G818&amp;"]"&amp;E818&amp;"'!"&amp;$AH$2),OR(I818=INDIRECT("'["&amp;G818&amp;"]"&amp;E818&amp;"'!"&amp;$AF$2))),INDIRECT("'["&amp;G818&amp;"]"&amp;E818&amp;"'!"&amp;$AF$3),0)</f>
        <v>#VALUE!</v>
      </c>
      <c r="U818" s="34" t="e" cm="1">
        <f t="array" aca="1" ref="U818" ca="1">IF(AND(G818=INDIRECT("'["&amp;G818&amp;"]"&amp;E818&amp;"'!"&amp;$AH$2),OR(I818=INDIRECT("'["&amp;G818&amp;"]"&amp;E818&amp;"'!"&amp;$AG$2))),INDIRECT("'["&amp;G818&amp;"]"&amp;E818&amp;"'!"&amp;$AG$3),0)</f>
        <v>#VALUE!</v>
      </c>
      <c r="V818" s="25" t="str">
        <f t="shared" si="212"/>
        <v/>
      </c>
      <c r="W818" s="36" t="e" cm="1">
        <f t="array" aca="1" ref="W818" ca="1">IF(AND(G818=INDIRECT("'["&amp;G818&amp;"]"&amp;E818&amp;"'!"&amp;$AH$2),OR(V818=INDIRECT("'["&amp;G818&amp;"]"&amp;E818&amp;"'!"&amp;$AI$2))),INDIRECT("'["&amp;G818&amp;"]"&amp;E818&amp;"'!"&amp;$AI$3),0)</f>
        <v>#VALUE!</v>
      </c>
      <c r="AJ818" s="25">
        <v>1</v>
      </c>
      <c r="AK818" s="38">
        <f t="shared" ca="1" si="213"/>
        <v>0</v>
      </c>
      <c r="AL818" s="38">
        <f t="shared" ca="1" si="214"/>
        <v>0</v>
      </c>
      <c r="AM818" s="54" t="str">
        <f t="shared" ca="1" si="215"/>
        <v/>
      </c>
      <c r="AN818" s="25" t="e">
        <f t="shared" ca="1" si="216"/>
        <v>#VALUE!</v>
      </c>
      <c r="AO818" s="25" t="e">
        <f t="shared" ca="1" si="217"/>
        <v>#VALUE!</v>
      </c>
      <c r="AQ818" s="46" t="str">
        <f ca="1">IF(AND(C818&lt;&gt;0, C819=0), SUM($C$2:C818)-SUM($AQ$1:AQ817), "")</f>
        <v/>
      </c>
      <c r="AR818" s="46" t="str">
        <f ca="1">IF(AND(AK818&lt;&gt;0, AK819=0), SUM($AK$2:AK818)-SUM($AR$1:AR817), "")</f>
        <v/>
      </c>
    </row>
    <row r="819" spans="2:44" ht="13.15" customHeight="1">
      <c r="B819" s="68" t="str">
        <f t="shared" si="203"/>
        <v/>
      </c>
      <c r="C819" s="55" cm="1">
        <f t="array" aca="1" ref="C819" ca="1">SUM(IF(ISNUMBER(M819:U819),M819:U819,""))</f>
        <v>0</v>
      </c>
      <c r="D819" s="25" t="str">
        <f t="shared" si="204"/>
        <v/>
      </c>
      <c r="E819" s="25" t="e">
        <f t="shared" si="205"/>
        <v>#VALUE!</v>
      </c>
      <c r="F819" s="25" t="str">
        <f t="shared" si="206"/>
        <v/>
      </c>
      <c r="G819" s="25" t="str">
        <f t="shared" si="207"/>
        <v>.xlsx</v>
      </c>
      <c r="H819" s="29" t="e" cm="1">
        <f t="array" aca="1" ref="H819" ca="1">IF(AND(VALUE(E819)=INDIRECT("'["&amp;G819&amp;"]"&amp;E819&amp;"'!"&amp;$X$2),G819=INDIRECT("'["&amp;G819&amp;"]"&amp;E819&amp;"'!"&amp;$X$3)),INDIRECT("'["&amp;G819&amp;"]"&amp;E819&amp;"'!"&amp;$X$1),0)</f>
        <v>#VALUE!</v>
      </c>
      <c r="I819" s="25" t="str">
        <f t="shared" si="208"/>
        <v/>
      </c>
      <c r="J819" s="32" t="str">
        <f t="shared" si="209"/>
        <v/>
      </c>
      <c r="K819" s="25" t="str">
        <f t="shared" si="210"/>
        <v/>
      </c>
      <c r="L819" s="25" t="str">
        <f t="shared" si="211"/>
        <v/>
      </c>
      <c r="M819" s="33" t="e" cm="1">
        <f t="array" aca="1" ref="M819" ca="1">IF(AND(J819=INDIRECT("'["&amp;G819&amp;"]"&amp;E819&amp;"'!"&amp;$Y$2),G819=INDIRECT("'["&amp;G819&amp;"]"&amp;E819&amp;"'!"&amp;$AH$2)),INDIRECT("'["&amp;G819&amp;"]"&amp;E819&amp;"'!"&amp;$Y$3),0)</f>
        <v>#VALUE!</v>
      </c>
      <c r="N819" s="34" t="e" cm="1">
        <f t="array" aca="1" ref="N819" ca="1">IF(AND(G819=INDIRECT("'["&amp;G819&amp;"]"&amp;E819&amp;"'!"&amp;$AH$2),OR(K819=INDIRECT("'["&amp;G819&amp;"]"&amp;E819&amp;"'!"&amp;$Z$2))),INDIRECT("'["&amp;G819&amp;"]"&amp;E819&amp;"'!"&amp;$Z$3),0)</f>
        <v>#VALUE!</v>
      </c>
      <c r="O819" s="34" t="e" cm="1">
        <f t="array" aca="1" ref="O819" ca="1">IF(AND(G819=INDIRECT("'["&amp;G819&amp;"]"&amp;E819&amp;"'!"&amp;$AH$2),OR(L819=INDIRECT("'["&amp;G819&amp;"]"&amp;E819&amp;"'!"&amp;$AA$2))),INDIRECT("'["&amp;G819&amp;"]"&amp;E819&amp;"'!"&amp;$AA$3),0)</f>
        <v>#VALUE!</v>
      </c>
      <c r="P819" s="34" t="e" cm="1">
        <f t="array" aca="1" ref="P819" ca="1">IF(AND(G819=INDIRECT("'["&amp;G819&amp;"]"&amp;E819&amp;"'!"&amp;$AH$2),OR(VALUE(I819)=INDIRECT("'["&amp;G819&amp;"]"&amp;E819&amp;"'!"&amp;$AB$2))),INDIRECT("'["&amp;G819&amp;"]"&amp;E819&amp;"'!"&amp;$AB$3),0)</f>
        <v>#VALUE!</v>
      </c>
      <c r="Q819" s="34" t="e" cm="1">
        <f t="array" aca="1" ref="Q819" ca="1">IF(AND(G819=INDIRECT("'["&amp;G819&amp;"]"&amp;E819&amp;"'!"&amp;$AH$2),OR(VALUE(I819)=INDIRECT("'["&amp;G819&amp;"]"&amp;E819&amp;"'!"&amp;$AC$2))),INDIRECT("'["&amp;G819&amp;"]"&amp;E819&amp;"'!"&amp;$AC$3),0)</f>
        <v>#VALUE!</v>
      </c>
      <c r="R819" s="34" t="e" cm="1">
        <f t="array" aca="1" ref="R819" ca="1">IF(AND(G819=INDIRECT("'["&amp;G819&amp;"]"&amp;E819&amp;"'!"&amp;$AH$2),OR(I819=INDIRECT("'["&amp;G819&amp;"]"&amp;E819&amp;"'!"&amp;$AD$2))),INDIRECT("'["&amp;G819&amp;"]"&amp;E819&amp;"'!"&amp;$AD$3),0)</f>
        <v>#VALUE!</v>
      </c>
      <c r="S819" s="34" t="e" cm="1">
        <f t="array" aca="1" ref="S819" ca="1">IF(AND(G819=INDIRECT("'["&amp;G819&amp;"]"&amp;E819&amp;"'!"&amp;$AH$2),OR(I819=INDIRECT("'["&amp;G819&amp;"]"&amp;E819&amp;"'!"&amp;$AE$2))),INDIRECT("'["&amp;G819&amp;"]"&amp;E819&amp;"'!"&amp;$AE$3),0)</f>
        <v>#VALUE!</v>
      </c>
      <c r="T819" s="35" t="e" cm="1">
        <f t="array" aca="1" ref="T819" ca="1">IF(AND(G819=INDIRECT("'["&amp;G819&amp;"]"&amp;E819&amp;"'!"&amp;$AH$2),OR(I819=INDIRECT("'["&amp;G819&amp;"]"&amp;E819&amp;"'!"&amp;$AF$2))),INDIRECT("'["&amp;G819&amp;"]"&amp;E819&amp;"'!"&amp;$AF$3),0)</f>
        <v>#VALUE!</v>
      </c>
      <c r="U819" s="34" t="e" cm="1">
        <f t="array" aca="1" ref="U819" ca="1">IF(AND(G819=INDIRECT("'["&amp;G819&amp;"]"&amp;E819&amp;"'!"&amp;$AH$2),OR(I819=INDIRECT("'["&amp;G819&amp;"]"&amp;E819&amp;"'!"&amp;$AG$2))),INDIRECT("'["&amp;G819&amp;"]"&amp;E819&amp;"'!"&amp;$AG$3),0)</f>
        <v>#VALUE!</v>
      </c>
      <c r="V819" s="25" t="str">
        <f t="shared" si="212"/>
        <v/>
      </c>
      <c r="W819" s="36" t="e" cm="1">
        <f t="array" aca="1" ref="W819" ca="1">IF(AND(G819=INDIRECT("'["&amp;G819&amp;"]"&amp;E819&amp;"'!"&amp;$AH$2),OR(V819=INDIRECT("'["&amp;G819&amp;"]"&amp;E819&amp;"'!"&amp;$AI$2))),INDIRECT("'["&amp;G819&amp;"]"&amp;E819&amp;"'!"&amp;$AI$3),0)</f>
        <v>#VALUE!</v>
      </c>
      <c r="AJ819" s="25">
        <v>1</v>
      </c>
      <c r="AK819" s="38">
        <f t="shared" ca="1" si="213"/>
        <v>0</v>
      </c>
      <c r="AL819" s="38">
        <f t="shared" ca="1" si="214"/>
        <v>0</v>
      </c>
      <c r="AM819" s="54" t="str">
        <f t="shared" ca="1" si="215"/>
        <v/>
      </c>
      <c r="AN819" s="25" t="e">
        <f t="shared" ca="1" si="216"/>
        <v>#VALUE!</v>
      </c>
      <c r="AO819" s="25" t="e">
        <f t="shared" ca="1" si="217"/>
        <v>#VALUE!</v>
      </c>
      <c r="AQ819" s="46" t="str">
        <f ca="1">IF(AND(C819&lt;&gt;0, C820=0), SUM($C$2:C819)-SUM($AQ$1:AQ818), "")</f>
        <v/>
      </c>
      <c r="AR819" s="46" t="str">
        <f ca="1">IF(AND(AK819&lt;&gt;0, AK820=0), SUM($AK$2:AK819)-SUM($AR$1:AR818), "")</f>
        <v/>
      </c>
    </row>
    <row r="820" spans="2:44" ht="13.15" customHeight="1">
      <c r="B820" s="68" t="str">
        <f t="shared" si="203"/>
        <v/>
      </c>
      <c r="C820" s="55" cm="1">
        <f t="array" aca="1" ref="C820" ca="1">SUM(IF(ISNUMBER(M820:U820),M820:U820,""))</f>
        <v>0</v>
      </c>
      <c r="D820" s="25" t="str">
        <f t="shared" si="204"/>
        <v/>
      </c>
      <c r="E820" s="25" t="e">
        <f t="shared" si="205"/>
        <v>#VALUE!</v>
      </c>
      <c r="F820" s="25" t="str">
        <f t="shared" si="206"/>
        <v/>
      </c>
      <c r="G820" s="25" t="str">
        <f t="shared" si="207"/>
        <v>.xlsx</v>
      </c>
      <c r="H820" s="29" t="e" cm="1">
        <f t="array" aca="1" ref="H820" ca="1">IF(AND(VALUE(E820)=INDIRECT("'["&amp;G820&amp;"]"&amp;E820&amp;"'!"&amp;$X$2),G820=INDIRECT("'["&amp;G820&amp;"]"&amp;E820&amp;"'!"&amp;$X$3)),INDIRECT("'["&amp;G820&amp;"]"&amp;E820&amp;"'!"&amp;$X$1),0)</f>
        <v>#VALUE!</v>
      </c>
      <c r="I820" s="25" t="str">
        <f t="shared" si="208"/>
        <v/>
      </c>
      <c r="J820" s="32" t="str">
        <f t="shared" si="209"/>
        <v/>
      </c>
      <c r="K820" s="25" t="str">
        <f t="shared" si="210"/>
        <v/>
      </c>
      <c r="L820" s="25" t="str">
        <f t="shared" si="211"/>
        <v/>
      </c>
      <c r="M820" s="33" t="e" cm="1">
        <f t="array" aca="1" ref="M820" ca="1">IF(AND(J820=INDIRECT("'["&amp;G820&amp;"]"&amp;E820&amp;"'!"&amp;$Y$2),G820=INDIRECT("'["&amp;G820&amp;"]"&amp;E820&amp;"'!"&amp;$AH$2)),INDIRECT("'["&amp;G820&amp;"]"&amp;E820&amp;"'!"&amp;$Y$3),0)</f>
        <v>#VALUE!</v>
      </c>
      <c r="N820" s="34" t="e" cm="1">
        <f t="array" aca="1" ref="N820" ca="1">IF(AND(G820=INDIRECT("'["&amp;G820&amp;"]"&amp;E820&amp;"'!"&amp;$AH$2),OR(K820=INDIRECT("'["&amp;G820&amp;"]"&amp;E820&amp;"'!"&amp;$Z$2))),INDIRECT("'["&amp;G820&amp;"]"&amp;E820&amp;"'!"&amp;$Z$3),0)</f>
        <v>#VALUE!</v>
      </c>
      <c r="O820" s="34" t="e" cm="1">
        <f t="array" aca="1" ref="O820" ca="1">IF(AND(G820=INDIRECT("'["&amp;G820&amp;"]"&amp;E820&amp;"'!"&amp;$AH$2),OR(L820=INDIRECT("'["&amp;G820&amp;"]"&amp;E820&amp;"'!"&amp;$AA$2))),INDIRECT("'["&amp;G820&amp;"]"&amp;E820&amp;"'!"&amp;$AA$3),0)</f>
        <v>#VALUE!</v>
      </c>
      <c r="P820" s="34" t="e" cm="1">
        <f t="array" aca="1" ref="P820" ca="1">IF(AND(G820=INDIRECT("'["&amp;G820&amp;"]"&amp;E820&amp;"'!"&amp;$AH$2),OR(VALUE(I820)=INDIRECT("'["&amp;G820&amp;"]"&amp;E820&amp;"'!"&amp;$AB$2))),INDIRECT("'["&amp;G820&amp;"]"&amp;E820&amp;"'!"&amp;$AB$3),0)</f>
        <v>#VALUE!</v>
      </c>
      <c r="Q820" s="34" t="e" cm="1">
        <f t="array" aca="1" ref="Q820" ca="1">IF(AND(G820=INDIRECT("'["&amp;G820&amp;"]"&amp;E820&amp;"'!"&amp;$AH$2),OR(VALUE(I820)=INDIRECT("'["&amp;G820&amp;"]"&amp;E820&amp;"'!"&amp;$AC$2))),INDIRECT("'["&amp;G820&amp;"]"&amp;E820&amp;"'!"&amp;$AC$3),0)</f>
        <v>#VALUE!</v>
      </c>
      <c r="R820" s="34" t="e" cm="1">
        <f t="array" aca="1" ref="R820" ca="1">IF(AND(G820=INDIRECT("'["&amp;G820&amp;"]"&amp;E820&amp;"'!"&amp;$AH$2),OR(I820=INDIRECT("'["&amp;G820&amp;"]"&amp;E820&amp;"'!"&amp;$AD$2))),INDIRECT("'["&amp;G820&amp;"]"&amp;E820&amp;"'!"&amp;$AD$3),0)</f>
        <v>#VALUE!</v>
      </c>
      <c r="S820" s="34" t="e" cm="1">
        <f t="array" aca="1" ref="S820" ca="1">IF(AND(G820=INDIRECT("'["&amp;G820&amp;"]"&amp;E820&amp;"'!"&amp;$AH$2),OR(I820=INDIRECT("'["&amp;G820&amp;"]"&amp;E820&amp;"'!"&amp;$AE$2))),INDIRECT("'["&amp;G820&amp;"]"&amp;E820&amp;"'!"&amp;$AE$3),0)</f>
        <v>#VALUE!</v>
      </c>
      <c r="T820" s="35" t="e" cm="1">
        <f t="array" aca="1" ref="T820" ca="1">IF(AND(G820=INDIRECT("'["&amp;G820&amp;"]"&amp;E820&amp;"'!"&amp;$AH$2),OR(I820=INDIRECT("'["&amp;G820&amp;"]"&amp;E820&amp;"'!"&amp;$AF$2))),INDIRECT("'["&amp;G820&amp;"]"&amp;E820&amp;"'!"&amp;$AF$3),0)</f>
        <v>#VALUE!</v>
      </c>
      <c r="U820" s="34" t="e" cm="1">
        <f t="array" aca="1" ref="U820" ca="1">IF(AND(G820=INDIRECT("'["&amp;G820&amp;"]"&amp;E820&amp;"'!"&amp;$AH$2),OR(I820=INDIRECT("'["&amp;G820&amp;"]"&amp;E820&amp;"'!"&amp;$AG$2))),INDIRECT("'["&amp;G820&amp;"]"&amp;E820&amp;"'!"&amp;$AG$3),0)</f>
        <v>#VALUE!</v>
      </c>
      <c r="V820" s="25" t="str">
        <f t="shared" si="212"/>
        <v/>
      </c>
      <c r="W820" s="36" t="e" cm="1">
        <f t="array" aca="1" ref="W820" ca="1">IF(AND(G820=INDIRECT("'["&amp;G820&amp;"]"&amp;E820&amp;"'!"&amp;$AH$2),OR(V820=INDIRECT("'["&amp;G820&amp;"]"&amp;E820&amp;"'!"&amp;$AI$2))),INDIRECT("'["&amp;G820&amp;"]"&amp;E820&amp;"'!"&amp;$AI$3),0)</f>
        <v>#VALUE!</v>
      </c>
      <c r="AJ820" s="25">
        <v>1</v>
      </c>
      <c r="AK820" s="38">
        <f t="shared" ca="1" si="213"/>
        <v>0</v>
      </c>
      <c r="AL820" s="38">
        <f t="shared" ca="1" si="214"/>
        <v>0</v>
      </c>
      <c r="AM820" s="54" t="str">
        <f t="shared" ca="1" si="215"/>
        <v/>
      </c>
      <c r="AN820" s="25" t="e">
        <f t="shared" ca="1" si="216"/>
        <v>#VALUE!</v>
      </c>
      <c r="AO820" s="25" t="e">
        <f t="shared" ca="1" si="217"/>
        <v>#VALUE!</v>
      </c>
      <c r="AQ820" s="46" t="str">
        <f ca="1">IF(AND(C820&lt;&gt;0, C821=0), SUM($C$2:C820)-SUM($AQ$1:AQ819), "")</f>
        <v/>
      </c>
      <c r="AR820" s="46" t="str">
        <f ca="1">IF(AND(AK820&lt;&gt;0, AK821=0), SUM($AK$2:AK820)-SUM($AR$1:AR819), "")</f>
        <v/>
      </c>
    </row>
    <row r="821" spans="2:44" ht="13.15" customHeight="1">
      <c r="B821" s="68" t="str">
        <f t="shared" ref="B821:B884" si="218">LEFT(A821,15)</f>
        <v/>
      </c>
      <c r="C821" s="55" cm="1">
        <f t="array" aca="1" ref="C821" ca="1">SUM(IF(ISNUMBER(M821:U821),M821:U821,""))</f>
        <v>0</v>
      </c>
      <c r="D821" s="25" t="str">
        <f t="shared" ref="D821:D884" si="219">MID(A821,4,2)</f>
        <v/>
      </c>
      <c r="E821" s="25" t="e">
        <f t="shared" ref="E821:E884" si="220">IF(ISEVEN(D821),D821-1,VALUE(D821))</f>
        <v>#VALUE!</v>
      </c>
      <c r="F821" s="25" t="str">
        <f t="shared" ref="F821:F884" si="221">LEFT(A821,2)</f>
        <v/>
      </c>
      <c r="G821" s="25" t="str">
        <f t="shared" ref="G821:G884" si="222">CONCATENATE(F821,".xlsx")</f>
        <v>.xlsx</v>
      </c>
      <c r="H821" s="29" t="e" cm="1">
        <f t="array" aca="1" ref="H821" ca="1">IF(AND(VALUE(E821)=INDIRECT("'["&amp;G821&amp;"]"&amp;E821&amp;"'!"&amp;$X$2),G821=INDIRECT("'["&amp;G821&amp;"]"&amp;E821&amp;"'!"&amp;$X$3)),INDIRECT("'["&amp;G821&amp;"]"&amp;E821&amp;"'!"&amp;$X$1),0)</f>
        <v>#VALUE!</v>
      </c>
      <c r="I821" s="25" t="str">
        <f t="shared" ref="I821:I884" si="223">MID(A821,10,6)</f>
        <v/>
      </c>
      <c r="J821" s="32" t="str">
        <f t="shared" ref="J821:J884" si="224">RIGHT(I821,2)</f>
        <v/>
      </c>
      <c r="K821" s="25" t="str">
        <f t="shared" ref="K821:K884" si="225">LEFT(I821,3)</f>
        <v/>
      </c>
      <c r="L821" s="25" t="str">
        <f t="shared" ref="L821:L884" si="226">RIGHT(I821,3)</f>
        <v/>
      </c>
      <c r="M821" s="33" t="e" cm="1">
        <f t="array" aca="1" ref="M821" ca="1">IF(AND(J821=INDIRECT("'["&amp;G821&amp;"]"&amp;E821&amp;"'!"&amp;$Y$2),G821=INDIRECT("'["&amp;G821&amp;"]"&amp;E821&amp;"'!"&amp;$AH$2)),INDIRECT("'["&amp;G821&amp;"]"&amp;E821&amp;"'!"&amp;$Y$3),0)</f>
        <v>#VALUE!</v>
      </c>
      <c r="N821" s="34" t="e" cm="1">
        <f t="array" aca="1" ref="N821" ca="1">IF(AND(G821=INDIRECT("'["&amp;G821&amp;"]"&amp;E821&amp;"'!"&amp;$AH$2),OR(K821=INDIRECT("'["&amp;G821&amp;"]"&amp;E821&amp;"'!"&amp;$Z$2))),INDIRECT("'["&amp;G821&amp;"]"&amp;E821&amp;"'!"&amp;$Z$3),0)</f>
        <v>#VALUE!</v>
      </c>
      <c r="O821" s="34" t="e" cm="1">
        <f t="array" aca="1" ref="O821" ca="1">IF(AND(G821=INDIRECT("'["&amp;G821&amp;"]"&amp;E821&amp;"'!"&amp;$AH$2),OR(L821=INDIRECT("'["&amp;G821&amp;"]"&amp;E821&amp;"'!"&amp;$AA$2))),INDIRECT("'["&amp;G821&amp;"]"&amp;E821&amp;"'!"&amp;$AA$3),0)</f>
        <v>#VALUE!</v>
      </c>
      <c r="P821" s="34" t="e" cm="1">
        <f t="array" aca="1" ref="P821" ca="1">IF(AND(G821=INDIRECT("'["&amp;G821&amp;"]"&amp;E821&amp;"'!"&amp;$AH$2),OR(VALUE(I821)=INDIRECT("'["&amp;G821&amp;"]"&amp;E821&amp;"'!"&amp;$AB$2))),INDIRECT("'["&amp;G821&amp;"]"&amp;E821&amp;"'!"&amp;$AB$3),0)</f>
        <v>#VALUE!</v>
      </c>
      <c r="Q821" s="34" t="e" cm="1">
        <f t="array" aca="1" ref="Q821" ca="1">IF(AND(G821=INDIRECT("'["&amp;G821&amp;"]"&amp;E821&amp;"'!"&amp;$AH$2),OR(VALUE(I821)=INDIRECT("'["&amp;G821&amp;"]"&amp;E821&amp;"'!"&amp;$AC$2))),INDIRECT("'["&amp;G821&amp;"]"&amp;E821&amp;"'!"&amp;$AC$3),0)</f>
        <v>#VALUE!</v>
      </c>
      <c r="R821" s="34" t="e" cm="1">
        <f t="array" aca="1" ref="R821" ca="1">IF(AND(G821=INDIRECT("'["&amp;G821&amp;"]"&amp;E821&amp;"'!"&amp;$AH$2),OR(I821=INDIRECT("'["&amp;G821&amp;"]"&amp;E821&amp;"'!"&amp;$AD$2))),INDIRECT("'["&amp;G821&amp;"]"&amp;E821&amp;"'!"&amp;$AD$3),0)</f>
        <v>#VALUE!</v>
      </c>
      <c r="S821" s="34" t="e" cm="1">
        <f t="array" aca="1" ref="S821" ca="1">IF(AND(G821=INDIRECT("'["&amp;G821&amp;"]"&amp;E821&amp;"'!"&amp;$AH$2),OR(I821=INDIRECT("'["&amp;G821&amp;"]"&amp;E821&amp;"'!"&amp;$AE$2))),INDIRECT("'["&amp;G821&amp;"]"&amp;E821&amp;"'!"&amp;$AE$3),0)</f>
        <v>#VALUE!</v>
      </c>
      <c r="T821" s="35" t="e" cm="1">
        <f t="array" aca="1" ref="T821" ca="1">IF(AND(G821=INDIRECT("'["&amp;G821&amp;"]"&amp;E821&amp;"'!"&amp;$AH$2),OR(I821=INDIRECT("'["&amp;G821&amp;"]"&amp;E821&amp;"'!"&amp;$AF$2))),INDIRECT("'["&amp;G821&amp;"]"&amp;E821&amp;"'!"&amp;$AF$3),0)</f>
        <v>#VALUE!</v>
      </c>
      <c r="U821" s="34" t="e" cm="1">
        <f t="array" aca="1" ref="U821" ca="1">IF(AND(G821=INDIRECT("'["&amp;G821&amp;"]"&amp;E821&amp;"'!"&amp;$AH$2),OR(I821=INDIRECT("'["&amp;G821&amp;"]"&amp;E821&amp;"'!"&amp;$AG$2))),INDIRECT("'["&amp;G821&amp;"]"&amp;E821&amp;"'!"&amp;$AG$3),0)</f>
        <v>#VALUE!</v>
      </c>
      <c r="V821" s="25" t="str">
        <f t="shared" ref="V821:V884" si="227">MID(B821,7,9)</f>
        <v/>
      </c>
      <c r="W821" s="36" t="e" cm="1">
        <f t="array" aca="1" ref="W821" ca="1">IF(AND(G821=INDIRECT("'["&amp;G821&amp;"]"&amp;E821&amp;"'!"&amp;$AH$2),OR(V821=INDIRECT("'["&amp;G821&amp;"]"&amp;E821&amp;"'!"&amp;$AI$2))),INDIRECT("'["&amp;G821&amp;"]"&amp;E821&amp;"'!"&amp;$AI$3),0)</f>
        <v>#VALUE!</v>
      </c>
      <c r="AJ821" s="25">
        <v>1</v>
      </c>
      <c r="AK821" s="38">
        <f t="shared" ref="AK821:AK884" ca="1" si="228">(C821*AJ821%)</f>
        <v>0</v>
      </c>
      <c r="AL821" s="38">
        <f t="shared" ref="AL821:AL884" ca="1" si="229">C821-AK821</f>
        <v>0</v>
      </c>
      <c r="AM821" s="54" t="str">
        <f t="shared" ref="AM821:AM884" ca="1" si="230">IF(A821&lt;&gt;"",IF(AM821="",NOW(),AM821),"")</f>
        <v/>
      </c>
      <c r="AN821" s="25" t="e">
        <f t="shared" ref="AN821:AN884" ca="1" si="231">IF(VALUE(N821),"/","")</f>
        <v>#VALUE!</v>
      </c>
      <c r="AO821" s="25" t="e">
        <f t="shared" ref="AO821:AO884" ca="1" si="232">IF(VALUE(O821),"/","")</f>
        <v>#VALUE!</v>
      </c>
      <c r="AQ821" s="46" t="str">
        <f ca="1">IF(AND(C821&lt;&gt;0, C822=0), SUM($C$2:C821)-SUM($AQ$1:AQ820), "")</f>
        <v/>
      </c>
      <c r="AR821" s="46" t="str">
        <f ca="1">IF(AND(AK821&lt;&gt;0, AK822=0), SUM($AK$2:AK821)-SUM($AR$1:AR820), "")</f>
        <v/>
      </c>
    </row>
    <row r="822" spans="2:44" ht="13.15" customHeight="1">
      <c r="B822" s="68" t="str">
        <f t="shared" si="218"/>
        <v/>
      </c>
      <c r="C822" s="55" cm="1">
        <f t="array" aca="1" ref="C822" ca="1">SUM(IF(ISNUMBER(M822:U822),M822:U822,""))</f>
        <v>0</v>
      </c>
      <c r="D822" s="25" t="str">
        <f t="shared" si="219"/>
        <v/>
      </c>
      <c r="E822" s="25" t="e">
        <f t="shared" si="220"/>
        <v>#VALUE!</v>
      </c>
      <c r="F822" s="25" t="str">
        <f t="shared" si="221"/>
        <v/>
      </c>
      <c r="G822" s="25" t="str">
        <f t="shared" si="222"/>
        <v>.xlsx</v>
      </c>
      <c r="H822" s="29" t="e" cm="1">
        <f t="array" aca="1" ref="H822" ca="1">IF(AND(VALUE(E822)=INDIRECT("'["&amp;G822&amp;"]"&amp;E822&amp;"'!"&amp;$X$2),G822=INDIRECT("'["&amp;G822&amp;"]"&amp;E822&amp;"'!"&amp;$X$3)),INDIRECT("'["&amp;G822&amp;"]"&amp;E822&amp;"'!"&amp;$X$1),0)</f>
        <v>#VALUE!</v>
      </c>
      <c r="I822" s="25" t="str">
        <f t="shared" si="223"/>
        <v/>
      </c>
      <c r="J822" s="32" t="str">
        <f t="shared" si="224"/>
        <v/>
      </c>
      <c r="K822" s="25" t="str">
        <f t="shared" si="225"/>
        <v/>
      </c>
      <c r="L822" s="25" t="str">
        <f t="shared" si="226"/>
        <v/>
      </c>
      <c r="M822" s="33" t="e" cm="1">
        <f t="array" aca="1" ref="M822" ca="1">IF(AND(J822=INDIRECT("'["&amp;G822&amp;"]"&amp;E822&amp;"'!"&amp;$Y$2),G822=INDIRECT("'["&amp;G822&amp;"]"&amp;E822&amp;"'!"&amp;$AH$2)),INDIRECT("'["&amp;G822&amp;"]"&amp;E822&amp;"'!"&amp;$Y$3),0)</f>
        <v>#VALUE!</v>
      </c>
      <c r="N822" s="34" t="e" cm="1">
        <f t="array" aca="1" ref="N822" ca="1">IF(AND(G822=INDIRECT("'["&amp;G822&amp;"]"&amp;E822&amp;"'!"&amp;$AH$2),OR(K822=INDIRECT("'["&amp;G822&amp;"]"&amp;E822&amp;"'!"&amp;$Z$2))),INDIRECT("'["&amp;G822&amp;"]"&amp;E822&amp;"'!"&amp;$Z$3),0)</f>
        <v>#VALUE!</v>
      </c>
      <c r="O822" s="34" t="e" cm="1">
        <f t="array" aca="1" ref="O822" ca="1">IF(AND(G822=INDIRECT("'["&amp;G822&amp;"]"&amp;E822&amp;"'!"&amp;$AH$2),OR(L822=INDIRECT("'["&amp;G822&amp;"]"&amp;E822&amp;"'!"&amp;$AA$2))),INDIRECT("'["&amp;G822&amp;"]"&amp;E822&amp;"'!"&amp;$AA$3),0)</f>
        <v>#VALUE!</v>
      </c>
      <c r="P822" s="34" t="e" cm="1">
        <f t="array" aca="1" ref="P822" ca="1">IF(AND(G822=INDIRECT("'["&amp;G822&amp;"]"&amp;E822&amp;"'!"&amp;$AH$2),OR(VALUE(I822)=INDIRECT("'["&amp;G822&amp;"]"&amp;E822&amp;"'!"&amp;$AB$2))),INDIRECT("'["&amp;G822&amp;"]"&amp;E822&amp;"'!"&amp;$AB$3),0)</f>
        <v>#VALUE!</v>
      </c>
      <c r="Q822" s="34" t="e" cm="1">
        <f t="array" aca="1" ref="Q822" ca="1">IF(AND(G822=INDIRECT("'["&amp;G822&amp;"]"&amp;E822&amp;"'!"&amp;$AH$2),OR(VALUE(I822)=INDIRECT("'["&amp;G822&amp;"]"&amp;E822&amp;"'!"&amp;$AC$2))),INDIRECT("'["&amp;G822&amp;"]"&amp;E822&amp;"'!"&amp;$AC$3),0)</f>
        <v>#VALUE!</v>
      </c>
      <c r="R822" s="34" t="e" cm="1">
        <f t="array" aca="1" ref="R822" ca="1">IF(AND(G822=INDIRECT("'["&amp;G822&amp;"]"&amp;E822&amp;"'!"&amp;$AH$2),OR(I822=INDIRECT("'["&amp;G822&amp;"]"&amp;E822&amp;"'!"&amp;$AD$2))),INDIRECT("'["&amp;G822&amp;"]"&amp;E822&amp;"'!"&amp;$AD$3),0)</f>
        <v>#VALUE!</v>
      </c>
      <c r="S822" s="34" t="e" cm="1">
        <f t="array" aca="1" ref="S822" ca="1">IF(AND(G822=INDIRECT("'["&amp;G822&amp;"]"&amp;E822&amp;"'!"&amp;$AH$2),OR(I822=INDIRECT("'["&amp;G822&amp;"]"&amp;E822&amp;"'!"&amp;$AE$2))),INDIRECT("'["&amp;G822&amp;"]"&amp;E822&amp;"'!"&amp;$AE$3),0)</f>
        <v>#VALUE!</v>
      </c>
      <c r="T822" s="35" t="e" cm="1">
        <f t="array" aca="1" ref="T822" ca="1">IF(AND(G822=INDIRECT("'["&amp;G822&amp;"]"&amp;E822&amp;"'!"&amp;$AH$2),OR(I822=INDIRECT("'["&amp;G822&amp;"]"&amp;E822&amp;"'!"&amp;$AF$2))),INDIRECT("'["&amp;G822&amp;"]"&amp;E822&amp;"'!"&amp;$AF$3),0)</f>
        <v>#VALUE!</v>
      </c>
      <c r="U822" s="34" t="e" cm="1">
        <f t="array" aca="1" ref="U822" ca="1">IF(AND(G822=INDIRECT("'["&amp;G822&amp;"]"&amp;E822&amp;"'!"&amp;$AH$2),OR(I822=INDIRECT("'["&amp;G822&amp;"]"&amp;E822&amp;"'!"&amp;$AG$2))),INDIRECT("'["&amp;G822&amp;"]"&amp;E822&amp;"'!"&amp;$AG$3),0)</f>
        <v>#VALUE!</v>
      </c>
      <c r="V822" s="25" t="str">
        <f t="shared" si="227"/>
        <v/>
      </c>
      <c r="W822" s="36" t="e" cm="1">
        <f t="array" aca="1" ref="W822" ca="1">IF(AND(G822=INDIRECT("'["&amp;G822&amp;"]"&amp;E822&amp;"'!"&amp;$AH$2),OR(V822=INDIRECT("'["&amp;G822&amp;"]"&amp;E822&amp;"'!"&amp;$AI$2))),INDIRECT("'["&amp;G822&amp;"]"&amp;E822&amp;"'!"&amp;$AI$3),0)</f>
        <v>#VALUE!</v>
      </c>
      <c r="AJ822" s="25">
        <v>1</v>
      </c>
      <c r="AK822" s="38">
        <f t="shared" ca="1" si="228"/>
        <v>0</v>
      </c>
      <c r="AL822" s="38">
        <f t="shared" ca="1" si="229"/>
        <v>0</v>
      </c>
      <c r="AM822" s="54" t="str">
        <f t="shared" ca="1" si="230"/>
        <v/>
      </c>
      <c r="AN822" s="25" t="e">
        <f t="shared" ca="1" si="231"/>
        <v>#VALUE!</v>
      </c>
      <c r="AO822" s="25" t="e">
        <f t="shared" ca="1" si="232"/>
        <v>#VALUE!</v>
      </c>
      <c r="AQ822" s="46" t="str">
        <f ca="1">IF(AND(C822&lt;&gt;0, C823=0), SUM($C$2:C822)-SUM($AQ$1:AQ821), "")</f>
        <v/>
      </c>
      <c r="AR822" s="46" t="str">
        <f ca="1">IF(AND(AK822&lt;&gt;0, AK823=0), SUM($AK$2:AK822)-SUM($AR$1:AR821), "")</f>
        <v/>
      </c>
    </row>
    <row r="823" spans="2:44" ht="13.15" customHeight="1">
      <c r="B823" s="68" t="str">
        <f t="shared" si="218"/>
        <v/>
      </c>
      <c r="C823" s="55" cm="1">
        <f t="array" aca="1" ref="C823" ca="1">SUM(IF(ISNUMBER(M823:U823),M823:U823,""))</f>
        <v>0</v>
      </c>
      <c r="D823" s="25" t="str">
        <f t="shared" si="219"/>
        <v/>
      </c>
      <c r="E823" s="25" t="e">
        <f t="shared" si="220"/>
        <v>#VALUE!</v>
      </c>
      <c r="F823" s="25" t="str">
        <f t="shared" si="221"/>
        <v/>
      </c>
      <c r="G823" s="25" t="str">
        <f t="shared" si="222"/>
        <v>.xlsx</v>
      </c>
      <c r="H823" s="29" t="e" cm="1">
        <f t="array" aca="1" ref="H823" ca="1">IF(AND(VALUE(E823)=INDIRECT("'["&amp;G823&amp;"]"&amp;E823&amp;"'!"&amp;$X$2),G823=INDIRECT("'["&amp;G823&amp;"]"&amp;E823&amp;"'!"&amp;$X$3)),INDIRECT("'["&amp;G823&amp;"]"&amp;E823&amp;"'!"&amp;$X$1),0)</f>
        <v>#VALUE!</v>
      </c>
      <c r="I823" s="25" t="str">
        <f t="shared" si="223"/>
        <v/>
      </c>
      <c r="J823" s="32" t="str">
        <f t="shared" si="224"/>
        <v/>
      </c>
      <c r="K823" s="25" t="str">
        <f t="shared" si="225"/>
        <v/>
      </c>
      <c r="L823" s="25" t="str">
        <f t="shared" si="226"/>
        <v/>
      </c>
      <c r="M823" s="33" t="e" cm="1">
        <f t="array" aca="1" ref="M823" ca="1">IF(AND(J823=INDIRECT("'["&amp;G823&amp;"]"&amp;E823&amp;"'!"&amp;$Y$2),G823=INDIRECT("'["&amp;G823&amp;"]"&amp;E823&amp;"'!"&amp;$AH$2)),INDIRECT("'["&amp;G823&amp;"]"&amp;E823&amp;"'!"&amp;$Y$3),0)</f>
        <v>#VALUE!</v>
      </c>
      <c r="N823" s="34" t="e" cm="1">
        <f t="array" aca="1" ref="N823" ca="1">IF(AND(G823=INDIRECT("'["&amp;G823&amp;"]"&amp;E823&amp;"'!"&amp;$AH$2),OR(K823=INDIRECT("'["&amp;G823&amp;"]"&amp;E823&amp;"'!"&amp;$Z$2))),INDIRECT("'["&amp;G823&amp;"]"&amp;E823&amp;"'!"&amp;$Z$3),0)</f>
        <v>#VALUE!</v>
      </c>
      <c r="O823" s="34" t="e" cm="1">
        <f t="array" aca="1" ref="O823" ca="1">IF(AND(G823=INDIRECT("'["&amp;G823&amp;"]"&amp;E823&amp;"'!"&amp;$AH$2),OR(L823=INDIRECT("'["&amp;G823&amp;"]"&amp;E823&amp;"'!"&amp;$AA$2))),INDIRECT("'["&amp;G823&amp;"]"&amp;E823&amp;"'!"&amp;$AA$3),0)</f>
        <v>#VALUE!</v>
      </c>
      <c r="P823" s="34" t="e" cm="1">
        <f t="array" aca="1" ref="P823" ca="1">IF(AND(G823=INDIRECT("'["&amp;G823&amp;"]"&amp;E823&amp;"'!"&amp;$AH$2),OR(VALUE(I823)=INDIRECT("'["&amp;G823&amp;"]"&amp;E823&amp;"'!"&amp;$AB$2))),INDIRECT("'["&amp;G823&amp;"]"&amp;E823&amp;"'!"&amp;$AB$3),0)</f>
        <v>#VALUE!</v>
      </c>
      <c r="Q823" s="34" t="e" cm="1">
        <f t="array" aca="1" ref="Q823" ca="1">IF(AND(G823=INDIRECT("'["&amp;G823&amp;"]"&amp;E823&amp;"'!"&amp;$AH$2),OR(VALUE(I823)=INDIRECT("'["&amp;G823&amp;"]"&amp;E823&amp;"'!"&amp;$AC$2))),INDIRECT("'["&amp;G823&amp;"]"&amp;E823&amp;"'!"&amp;$AC$3),0)</f>
        <v>#VALUE!</v>
      </c>
      <c r="R823" s="34" t="e" cm="1">
        <f t="array" aca="1" ref="R823" ca="1">IF(AND(G823=INDIRECT("'["&amp;G823&amp;"]"&amp;E823&amp;"'!"&amp;$AH$2),OR(I823=INDIRECT("'["&amp;G823&amp;"]"&amp;E823&amp;"'!"&amp;$AD$2))),INDIRECT("'["&amp;G823&amp;"]"&amp;E823&amp;"'!"&amp;$AD$3),0)</f>
        <v>#VALUE!</v>
      </c>
      <c r="S823" s="34" t="e" cm="1">
        <f t="array" aca="1" ref="S823" ca="1">IF(AND(G823=INDIRECT("'["&amp;G823&amp;"]"&amp;E823&amp;"'!"&amp;$AH$2),OR(I823=INDIRECT("'["&amp;G823&amp;"]"&amp;E823&amp;"'!"&amp;$AE$2))),INDIRECT("'["&amp;G823&amp;"]"&amp;E823&amp;"'!"&amp;$AE$3),0)</f>
        <v>#VALUE!</v>
      </c>
      <c r="T823" s="35" t="e" cm="1">
        <f t="array" aca="1" ref="T823" ca="1">IF(AND(G823=INDIRECT("'["&amp;G823&amp;"]"&amp;E823&amp;"'!"&amp;$AH$2),OR(I823=INDIRECT("'["&amp;G823&amp;"]"&amp;E823&amp;"'!"&amp;$AF$2))),INDIRECT("'["&amp;G823&amp;"]"&amp;E823&amp;"'!"&amp;$AF$3),0)</f>
        <v>#VALUE!</v>
      </c>
      <c r="U823" s="34" t="e" cm="1">
        <f t="array" aca="1" ref="U823" ca="1">IF(AND(G823=INDIRECT("'["&amp;G823&amp;"]"&amp;E823&amp;"'!"&amp;$AH$2),OR(I823=INDIRECT("'["&amp;G823&amp;"]"&amp;E823&amp;"'!"&amp;$AG$2))),INDIRECT("'["&amp;G823&amp;"]"&amp;E823&amp;"'!"&amp;$AG$3),0)</f>
        <v>#VALUE!</v>
      </c>
      <c r="V823" s="25" t="str">
        <f t="shared" si="227"/>
        <v/>
      </c>
      <c r="W823" s="36" t="e" cm="1">
        <f t="array" aca="1" ref="W823" ca="1">IF(AND(G823=INDIRECT("'["&amp;G823&amp;"]"&amp;E823&amp;"'!"&amp;$AH$2),OR(V823=INDIRECT("'["&amp;G823&amp;"]"&amp;E823&amp;"'!"&amp;$AI$2))),INDIRECT("'["&amp;G823&amp;"]"&amp;E823&amp;"'!"&amp;$AI$3),0)</f>
        <v>#VALUE!</v>
      </c>
      <c r="AJ823" s="25">
        <v>1</v>
      </c>
      <c r="AK823" s="38">
        <f t="shared" ca="1" si="228"/>
        <v>0</v>
      </c>
      <c r="AL823" s="38">
        <f t="shared" ca="1" si="229"/>
        <v>0</v>
      </c>
      <c r="AM823" s="54" t="str">
        <f t="shared" ca="1" si="230"/>
        <v/>
      </c>
      <c r="AN823" s="25" t="e">
        <f t="shared" ca="1" si="231"/>
        <v>#VALUE!</v>
      </c>
      <c r="AO823" s="25" t="e">
        <f t="shared" ca="1" si="232"/>
        <v>#VALUE!</v>
      </c>
      <c r="AQ823" s="46" t="str">
        <f ca="1">IF(AND(C823&lt;&gt;0, C824=0), SUM($C$2:C823)-SUM($AQ$1:AQ822), "")</f>
        <v/>
      </c>
      <c r="AR823" s="46" t="str">
        <f ca="1">IF(AND(AK823&lt;&gt;0, AK824=0), SUM($AK$2:AK823)-SUM($AR$1:AR822), "")</f>
        <v/>
      </c>
    </row>
    <row r="824" spans="2:44" ht="13.15" customHeight="1">
      <c r="B824" s="68" t="str">
        <f t="shared" si="218"/>
        <v/>
      </c>
      <c r="C824" s="55" cm="1">
        <f t="array" aca="1" ref="C824" ca="1">SUM(IF(ISNUMBER(M824:U824),M824:U824,""))</f>
        <v>0</v>
      </c>
      <c r="D824" s="25" t="str">
        <f t="shared" si="219"/>
        <v/>
      </c>
      <c r="E824" s="25" t="e">
        <f t="shared" si="220"/>
        <v>#VALUE!</v>
      </c>
      <c r="F824" s="25" t="str">
        <f t="shared" si="221"/>
        <v/>
      </c>
      <c r="G824" s="25" t="str">
        <f t="shared" si="222"/>
        <v>.xlsx</v>
      </c>
      <c r="H824" s="29" t="e" cm="1">
        <f t="array" aca="1" ref="H824" ca="1">IF(AND(VALUE(E824)=INDIRECT("'["&amp;G824&amp;"]"&amp;E824&amp;"'!"&amp;$X$2),G824=INDIRECT("'["&amp;G824&amp;"]"&amp;E824&amp;"'!"&amp;$X$3)),INDIRECT("'["&amp;G824&amp;"]"&amp;E824&amp;"'!"&amp;$X$1),0)</f>
        <v>#VALUE!</v>
      </c>
      <c r="I824" s="25" t="str">
        <f t="shared" si="223"/>
        <v/>
      </c>
      <c r="J824" s="32" t="str">
        <f t="shared" si="224"/>
        <v/>
      </c>
      <c r="K824" s="25" t="str">
        <f t="shared" si="225"/>
        <v/>
      </c>
      <c r="L824" s="25" t="str">
        <f t="shared" si="226"/>
        <v/>
      </c>
      <c r="M824" s="33" t="e" cm="1">
        <f t="array" aca="1" ref="M824" ca="1">IF(AND(J824=INDIRECT("'["&amp;G824&amp;"]"&amp;E824&amp;"'!"&amp;$Y$2),G824=INDIRECT("'["&amp;G824&amp;"]"&amp;E824&amp;"'!"&amp;$AH$2)),INDIRECT("'["&amp;G824&amp;"]"&amp;E824&amp;"'!"&amp;$Y$3),0)</f>
        <v>#VALUE!</v>
      </c>
      <c r="N824" s="34" t="e" cm="1">
        <f t="array" aca="1" ref="N824" ca="1">IF(AND(G824=INDIRECT("'["&amp;G824&amp;"]"&amp;E824&amp;"'!"&amp;$AH$2),OR(K824=INDIRECT("'["&amp;G824&amp;"]"&amp;E824&amp;"'!"&amp;$Z$2))),INDIRECT("'["&amp;G824&amp;"]"&amp;E824&amp;"'!"&amp;$Z$3),0)</f>
        <v>#VALUE!</v>
      </c>
      <c r="O824" s="34" t="e" cm="1">
        <f t="array" aca="1" ref="O824" ca="1">IF(AND(G824=INDIRECT("'["&amp;G824&amp;"]"&amp;E824&amp;"'!"&amp;$AH$2),OR(L824=INDIRECT("'["&amp;G824&amp;"]"&amp;E824&amp;"'!"&amp;$AA$2))),INDIRECT("'["&amp;G824&amp;"]"&amp;E824&amp;"'!"&amp;$AA$3),0)</f>
        <v>#VALUE!</v>
      </c>
      <c r="P824" s="34" t="e" cm="1">
        <f t="array" aca="1" ref="P824" ca="1">IF(AND(G824=INDIRECT("'["&amp;G824&amp;"]"&amp;E824&amp;"'!"&amp;$AH$2),OR(VALUE(I824)=INDIRECT("'["&amp;G824&amp;"]"&amp;E824&amp;"'!"&amp;$AB$2))),INDIRECT("'["&amp;G824&amp;"]"&amp;E824&amp;"'!"&amp;$AB$3),0)</f>
        <v>#VALUE!</v>
      </c>
      <c r="Q824" s="34" t="e" cm="1">
        <f t="array" aca="1" ref="Q824" ca="1">IF(AND(G824=INDIRECT("'["&amp;G824&amp;"]"&amp;E824&amp;"'!"&amp;$AH$2),OR(VALUE(I824)=INDIRECT("'["&amp;G824&amp;"]"&amp;E824&amp;"'!"&amp;$AC$2))),INDIRECT("'["&amp;G824&amp;"]"&amp;E824&amp;"'!"&amp;$AC$3),0)</f>
        <v>#VALUE!</v>
      </c>
      <c r="R824" s="34" t="e" cm="1">
        <f t="array" aca="1" ref="R824" ca="1">IF(AND(G824=INDIRECT("'["&amp;G824&amp;"]"&amp;E824&amp;"'!"&amp;$AH$2),OR(I824=INDIRECT("'["&amp;G824&amp;"]"&amp;E824&amp;"'!"&amp;$AD$2))),INDIRECT("'["&amp;G824&amp;"]"&amp;E824&amp;"'!"&amp;$AD$3),0)</f>
        <v>#VALUE!</v>
      </c>
      <c r="S824" s="34" t="e" cm="1">
        <f t="array" aca="1" ref="S824" ca="1">IF(AND(G824=INDIRECT("'["&amp;G824&amp;"]"&amp;E824&amp;"'!"&amp;$AH$2),OR(I824=INDIRECT("'["&amp;G824&amp;"]"&amp;E824&amp;"'!"&amp;$AE$2))),INDIRECT("'["&amp;G824&amp;"]"&amp;E824&amp;"'!"&amp;$AE$3),0)</f>
        <v>#VALUE!</v>
      </c>
      <c r="T824" s="35" t="e" cm="1">
        <f t="array" aca="1" ref="T824" ca="1">IF(AND(G824=INDIRECT("'["&amp;G824&amp;"]"&amp;E824&amp;"'!"&amp;$AH$2),OR(I824=INDIRECT("'["&amp;G824&amp;"]"&amp;E824&amp;"'!"&amp;$AF$2))),INDIRECT("'["&amp;G824&amp;"]"&amp;E824&amp;"'!"&amp;$AF$3),0)</f>
        <v>#VALUE!</v>
      </c>
      <c r="U824" s="34" t="e" cm="1">
        <f t="array" aca="1" ref="U824" ca="1">IF(AND(G824=INDIRECT("'["&amp;G824&amp;"]"&amp;E824&amp;"'!"&amp;$AH$2),OR(I824=INDIRECT("'["&amp;G824&amp;"]"&amp;E824&amp;"'!"&amp;$AG$2))),INDIRECT("'["&amp;G824&amp;"]"&amp;E824&amp;"'!"&amp;$AG$3),0)</f>
        <v>#VALUE!</v>
      </c>
      <c r="V824" s="25" t="str">
        <f t="shared" si="227"/>
        <v/>
      </c>
      <c r="W824" s="36" t="e" cm="1">
        <f t="array" aca="1" ref="W824" ca="1">IF(AND(G824=INDIRECT("'["&amp;G824&amp;"]"&amp;E824&amp;"'!"&amp;$AH$2),OR(V824=INDIRECT("'["&amp;G824&amp;"]"&amp;E824&amp;"'!"&amp;$AI$2))),INDIRECT("'["&amp;G824&amp;"]"&amp;E824&amp;"'!"&amp;$AI$3),0)</f>
        <v>#VALUE!</v>
      </c>
      <c r="AJ824" s="25">
        <v>1</v>
      </c>
      <c r="AK824" s="38">
        <f t="shared" ca="1" si="228"/>
        <v>0</v>
      </c>
      <c r="AL824" s="38">
        <f t="shared" ca="1" si="229"/>
        <v>0</v>
      </c>
      <c r="AM824" s="54" t="str">
        <f t="shared" ca="1" si="230"/>
        <v/>
      </c>
      <c r="AN824" s="25" t="e">
        <f t="shared" ca="1" si="231"/>
        <v>#VALUE!</v>
      </c>
      <c r="AO824" s="25" t="e">
        <f t="shared" ca="1" si="232"/>
        <v>#VALUE!</v>
      </c>
      <c r="AQ824" s="46" t="str">
        <f ca="1">IF(AND(C824&lt;&gt;0, C825=0), SUM($C$2:C824)-SUM($AQ$1:AQ823), "")</f>
        <v/>
      </c>
      <c r="AR824" s="46" t="str">
        <f ca="1">IF(AND(AK824&lt;&gt;0, AK825=0), SUM($AK$2:AK824)-SUM($AR$1:AR823), "")</f>
        <v/>
      </c>
    </row>
    <row r="825" spans="2:44" ht="13.15" customHeight="1">
      <c r="B825" s="68" t="str">
        <f t="shared" si="218"/>
        <v/>
      </c>
      <c r="C825" s="55" cm="1">
        <f t="array" aca="1" ref="C825" ca="1">SUM(IF(ISNUMBER(M825:U825),M825:U825,""))</f>
        <v>0</v>
      </c>
      <c r="D825" s="25" t="str">
        <f t="shared" si="219"/>
        <v/>
      </c>
      <c r="E825" s="25" t="e">
        <f t="shared" si="220"/>
        <v>#VALUE!</v>
      </c>
      <c r="F825" s="25" t="str">
        <f t="shared" si="221"/>
        <v/>
      </c>
      <c r="G825" s="25" t="str">
        <f t="shared" si="222"/>
        <v>.xlsx</v>
      </c>
      <c r="H825" s="29" t="e" cm="1">
        <f t="array" aca="1" ref="H825" ca="1">IF(AND(VALUE(E825)=INDIRECT("'["&amp;G825&amp;"]"&amp;E825&amp;"'!"&amp;$X$2),G825=INDIRECT("'["&amp;G825&amp;"]"&amp;E825&amp;"'!"&amp;$X$3)),INDIRECT("'["&amp;G825&amp;"]"&amp;E825&amp;"'!"&amp;$X$1),0)</f>
        <v>#VALUE!</v>
      </c>
      <c r="I825" s="25" t="str">
        <f t="shared" si="223"/>
        <v/>
      </c>
      <c r="J825" s="32" t="str">
        <f t="shared" si="224"/>
        <v/>
      </c>
      <c r="K825" s="25" t="str">
        <f t="shared" si="225"/>
        <v/>
      </c>
      <c r="L825" s="25" t="str">
        <f t="shared" si="226"/>
        <v/>
      </c>
      <c r="M825" s="33" t="e" cm="1">
        <f t="array" aca="1" ref="M825" ca="1">IF(AND(J825=INDIRECT("'["&amp;G825&amp;"]"&amp;E825&amp;"'!"&amp;$Y$2),G825=INDIRECT("'["&amp;G825&amp;"]"&amp;E825&amp;"'!"&amp;$AH$2)),INDIRECT("'["&amp;G825&amp;"]"&amp;E825&amp;"'!"&amp;$Y$3),0)</f>
        <v>#VALUE!</v>
      </c>
      <c r="N825" s="34" t="e" cm="1">
        <f t="array" aca="1" ref="N825" ca="1">IF(AND(G825=INDIRECT("'["&amp;G825&amp;"]"&amp;E825&amp;"'!"&amp;$AH$2),OR(K825=INDIRECT("'["&amp;G825&amp;"]"&amp;E825&amp;"'!"&amp;$Z$2))),INDIRECT("'["&amp;G825&amp;"]"&amp;E825&amp;"'!"&amp;$Z$3),0)</f>
        <v>#VALUE!</v>
      </c>
      <c r="O825" s="34" t="e" cm="1">
        <f t="array" aca="1" ref="O825" ca="1">IF(AND(G825=INDIRECT("'["&amp;G825&amp;"]"&amp;E825&amp;"'!"&amp;$AH$2),OR(L825=INDIRECT("'["&amp;G825&amp;"]"&amp;E825&amp;"'!"&amp;$AA$2))),INDIRECT("'["&amp;G825&amp;"]"&amp;E825&amp;"'!"&amp;$AA$3),0)</f>
        <v>#VALUE!</v>
      </c>
      <c r="P825" s="34" t="e" cm="1">
        <f t="array" aca="1" ref="P825" ca="1">IF(AND(G825=INDIRECT("'["&amp;G825&amp;"]"&amp;E825&amp;"'!"&amp;$AH$2),OR(VALUE(I825)=INDIRECT("'["&amp;G825&amp;"]"&amp;E825&amp;"'!"&amp;$AB$2))),INDIRECT("'["&amp;G825&amp;"]"&amp;E825&amp;"'!"&amp;$AB$3),0)</f>
        <v>#VALUE!</v>
      </c>
      <c r="Q825" s="34" t="e" cm="1">
        <f t="array" aca="1" ref="Q825" ca="1">IF(AND(G825=INDIRECT("'["&amp;G825&amp;"]"&amp;E825&amp;"'!"&amp;$AH$2),OR(VALUE(I825)=INDIRECT("'["&amp;G825&amp;"]"&amp;E825&amp;"'!"&amp;$AC$2))),INDIRECT("'["&amp;G825&amp;"]"&amp;E825&amp;"'!"&amp;$AC$3),0)</f>
        <v>#VALUE!</v>
      </c>
      <c r="R825" s="34" t="e" cm="1">
        <f t="array" aca="1" ref="R825" ca="1">IF(AND(G825=INDIRECT("'["&amp;G825&amp;"]"&amp;E825&amp;"'!"&amp;$AH$2),OR(I825=INDIRECT("'["&amp;G825&amp;"]"&amp;E825&amp;"'!"&amp;$AD$2))),INDIRECT("'["&amp;G825&amp;"]"&amp;E825&amp;"'!"&amp;$AD$3),0)</f>
        <v>#VALUE!</v>
      </c>
      <c r="S825" s="34" t="e" cm="1">
        <f t="array" aca="1" ref="S825" ca="1">IF(AND(G825=INDIRECT("'["&amp;G825&amp;"]"&amp;E825&amp;"'!"&amp;$AH$2),OR(I825=INDIRECT("'["&amp;G825&amp;"]"&amp;E825&amp;"'!"&amp;$AE$2))),INDIRECT("'["&amp;G825&amp;"]"&amp;E825&amp;"'!"&amp;$AE$3),0)</f>
        <v>#VALUE!</v>
      </c>
      <c r="T825" s="35" t="e" cm="1">
        <f t="array" aca="1" ref="T825" ca="1">IF(AND(G825=INDIRECT("'["&amp;G825&amp;"]"&amp;E825&amp;"'!"&amp;$AH$2),OR(I825=INDIRECT("'["&amp;G825&amp;"]"&amp;E825&amp;"'!"&amp;$AF$2))),INDIRECT("'["&amp;G825&amp;"]"&amp;E825&amp;"'!"&amp;$AF$3),0)</f>
        <v>#VALUE!</v>
      </c>
      <c r="U825" s="34" t="e" cm="1">
        <f t="array" aca="1" ref="U825" ca="1">IF(AND(G825=INDIRECT("'["&amp;G825&amp;"]"&amp;E825&amp;"'!"&amp;$AH$2),OR(I825=INDIRECT("'["&amp;G825&amp;"]"&amp;E825&amp;"'!"&amp;$AG$2))),INDIRECT("'["&amp;G825&amp;"]"&amp;E825&amp;"'!"&amp;$AG$3),0)</f>
        <v>#VALUE!</v>
      </c>
      <c r="V825" s="25" t="str">
        <f t="shared" si="227"/>
        <v/>
      </c>
      <c r="W825" s="36" t="e" cm="1">
        <f t="array" aca="1" ref="W825" ca="1">IF(AND(G825=INDIRECT("'["&amp;G825&amp;"]"&amp;E825&amp;"'!"&amp;$AH$2),OR(V825=INDIRECT("'["&amp;G825&amp;"]"&amp;E825&amp;"'!"&amp;$AI$2))),INDIRECT("'["&amp;G825&amp;"]"&amp;E825&amp;"'!"&amp;$AI$3),0)</f>
        <v>#VALUE!</v>
      </c>
      <c r="AJ825" s="25">
        <v>1</v>
      </c>
      <c r="AK825" s="38">
        <f t="shared" ca="1" si="228"/>
        <v>0</v>
      </c>
      <c r="AL825" s="38">
        <f t="shared" ca="1" si="229"/>
        <v>0</v>
      </c>
      <c r="AM825" s="54" t="str">
        <f t="shared" ca="1" si="230"/>
        <v/>
      </c>
      <c r="AN825" s="25" t="e">
        <f t="shared" ca="1" si="231"/>
        <v>#VALUE!</v>
      </c>
      <c r="AO825" s="25" t="e">
        <f t="shared" ca="1" si="232"/>
        <v>#VALUE!</v>
      </c>
      <c r="AQ825" s="46" t="str">
        <f ca="1">IF(AND(C825&lt;&gt;0, C826=0), SUM($C$2:C825)-SUM($AQ$1:AQ824), "")</f>
        <v/>
      </c>
      <c r="AR825" s="46" t="str">
        <f ca="1">IF(AND(AK825&lt;&gt;0, AK826=0), SUM($AK$2:AK825)-SUM($AR$1:AR824), "")</f>
        <v/>
      </c>
    </row>
    <row r="826" spans="2:44" ht="13.15" customHeight="1">
      <c r="B826" s="68" t="str">
        <f t="shared" si="218"/>
        <v/>
      </c>
      <c r="C826" s="55" cm="1">
        <f t="array" aca="1" ref="C826" ca="1">SUM(IF(ISNUMBER(M826:U826),M826:U826,""))</f>
        <v>0</v>
      </c>
      <c r="D826" s="25" t="str">
        <f t="shared" si="219"/>
        <v/>
      </c>
      <c r="E826" s="25" t="e">
        <f t="shared" si="220"/>
        <v>#VALUE!</v>
      </c>
      <c r="F826" s="25" t="str">
        <f t="shared" si="221"/>
        <v/>
      </c>
      <c r="G826" s="25" t="str">
        <f t="shared" si="222"/>
        <v>.xlsx</v>
      </c>
      <c r="H826" s="29" t="e" cm="1">
        <f t="array" aca="1" ref="H826" ca="1">IF(AND(VALUE(E826)=INDIRECT("'["&amp;G826&amp;"]"&amp;E826&amp;"'!"&amp;$X$2),G826=INDIRECT("'["&amp;G826&amp;"]"&amp;E826&amp;"'!"&amp;$X$3)),INDIRECT("'["&amp;G826&amp;"]"&amp;E826&amp;"'!"&amp;$X$1),0)</f>
        <v>#VALUE!</v>
      </c>
      <c r="I826" s="25" t="str">
        <f t="shared" si="223"/>
        <v/>
      </c>
      <c r="J826" s="32" t="str">
        <f t="shared" si="224"/>
        <v/>
      </c>
      <c r="K826" s="25" t="str">
        <f t="shared" si="225"/>
        <v/>
      </c>
      <c r="L826" s="25" t="str">
        <f t="shared" si="226"/>
        <v/>
      </c>
      <c r="M826" s="33" t="e" cm="1">
        <f t="array" aca="1" ref="M826" ca="1">IF(AND(J826=INDIRECT("'["&amp;G826&amp;"]"&amp;E826&amp;"'!"&amp;$Y$2),G826=INDIRECT("'["&amp;G826&amp;"]"&amp;E826&amp;"'!"&amp;$AH$2)),INDIRECT("'["&amp;G826&amp;"]"&amp;E826&amp;"'!"&amp;$Y$3),0)</f>
        <v>#VALUE!</v>
      </c>
      <c r="N826" s="34" t="e" cm="1">
        <f t="array" aca="1" ref="N826" ca="1">IF(AND(G826=INDIRECT("'["&amp;G826&amp;"]"&amp;E826&amp;"'!"&amp;$AH$2),OR(K826=INDIRECT("'["&amp;G826&amp;"]"&amp;E826&amp;"'!"&amp;$Z$2))),INDIRECT("'["&amp;G826&amp;"]"&amp;E826&amp;"'!"&amp;$Z$3),0)</f>
        <v>#VALUE!</v>
      </c>
      <c r="O826" s="34" t="e" cm="1">
        <f t="array" aca="1" ref="O826" ca="1">IF(AND(G826=INDIRECT("'["&amp;G826&amp;"]"&amp;E826&amp;"'!"&amp;$AH$2),OR(L826=INDIRECT("'["&amp;G826&amp;"]"&amp;E826&amp;"'!"&amp;$AA$2))),INDIRECT("'["&amp;G826&amp;"]"&amp;E826&amp;"'!"&amp;$AA$3),0)</f>
        <v>#VALUE!</v>
      </c>
      <c r="P826" s="34" t="e" cm="1">
        <f t="array" aca="1" ref="P826" ca="1">IF(AND(G826=INDIRECT("'["&amp;G826&amp;"]"&amp;E826&amp;"'!"&amp;$AH$2),OR(VALUE(I826)=INDIRECT("'["&amp;G826&amp;"]"&amp;E826&amp;"'!"&amp;$AB$2))),INDIRECT("'["&amp;G826&amp;"]"&amp;E826&amp;"'!"&amp;$AB$3),0)</f>
        <v>#VALUE!</v>
      </c>
      <c r="Q826" s="34" t="e" cm="1">
        <f t="array" aca="1" ref="Q826" ca="1">IF(AND(G826=INDIRECT("'["&amp;G826&amp;"]"&amp;E826&amp;"'!"&amp;$AH$2),OR(VALUE(I826)=INDIRECT("'["&amp;G826&amp;"]"&amp;E826&amp;"'!"&amp;$AC$2))),INDIRECT("'["&amp;G826&amp;"]"&amp;E826&amp;"'!"&amp;$AC$3),0)</f>
        <v>#VALUE!</v>
      </c>
      <c r="R826" s="34" t="e" cm="1">
        <f t="array" aca="1" ref="R826" ca="1">IF(AND(G826=INDIRECT("'["&amp;G826&amp;"]"&amp;E826&amp;"'!"&amp;$AH$2),OR(I826=INDIRECT("'["&amp;G826&amp;"]"&amp;E826&amp;"'!"&amp;$AD$2))),INDIRECT("'["&amp;G826&amp;"]"&amp;E826&amp;"'!"&amp;$AD$3),0)</f>
        <v>#VALUE!</v>
      </c>
      <c r="S826" s="34" t="e" cm="1">
        <f t="array" aca="1" ref="S826" ca="1">IF(AND(G826=INDIRECT("'["&amp;G826&amp;"]"&amp;E826&amp;"'!"&amp;$AH$2),OR(I826=INDIRECT("'["&amp;G826&amp;"]"&amp;E826&amp;"'!"&amp;$AE$2))),INDIRECT("'["&amp;G826&amp;"]"&amp;E826&amp;"'!"&amp;$AE$3),0)</f>
        <v>#VALUE!</v>
      </c>
      <c r="T826" s="35" t="e" cm="1">
        <f t="array" aca="1" ref="T826" ca="1">IF(AND(G826=INDIRECT("'["&amp;G826&amp;"]"&amp;E826&amp;"'!"&amp;$AH$2),OR(I826=INDIRECT("'["&amp;G826&amp;"]"&amp;E826&amp;"'!"&amp;$AF$2))),INDIRECT("'["&amp;G826&amp;"]"&amp;E826&amp;"'!"&amp;$AF$3),0)</f>
        <v>#VALUE!</v>
      </c>
      <c r="U826" s="34" t="e" cm="1">
        <f t="array" aca="1" ref="U826" ca="1">IF(AND(G826=INDIRECT("'["&amp;G826&amp;"]"&amp;E826&amp;"'!"&amp;$AH$2),OR(I826=INDIRECT("'["&amp;G826&amp;"]"&amp;E826&amp;"'!"&amp;$AG$2))),INDIRECT("'["&amp;G826&amp;"]"&amp;E826&amp;"'!"&amp;$AG$3),0)</f>
        <v>#VALUE!</v>
      </c>
      <c r="V826" s="25" t="str">
        <f t="shared" si="227"/>
        <v/>
      </c>
      <c r="W826" s="36" t="e" cm="1">
        <f t="array" aca="1" ref="W826" ca="1">IF(AND(G826=INDIRECT("'["&amp;G826&amp;"]"&amp;E826&amp;"'!"&amp;$AH$2),OR(V826=INDIRECT("'["&amp;G826&amp;"]"&amp;E826&amp;"'!"&amp;$AI$2))),INDIRECT("'["&amp;G826&amp;"]"&amp;E826&amp;"'!"&amp;$AI$3),0)</f>
        <v>#VALUE!</v>
      </c>
      <c r="AJ826" s="25">
        <v>1</v>
      </c>
      <c r="AK826" s="38">
        <f t="shared" ca="1" si="228"/>
        <v>0</v>
      </c>
      <c r="AL826" s="38">
        <f t="shared" ca="1" si="229"/>
        <v>0</v>
      </c>
      <c r="AM826" s="54" t="str">
        <f t="shared" ca="1" si="230"/>
        <v/>
      </c>
      <c r="AN826" s="25" t="e">
        <f t="shared" ca="1" si="231"/>
        <v>#VALUE!</v>
      </c>
      <c r="AO826" s="25" t="e">
        <f t="shared" ca="1" si="232"/>
        <v>#VALUE!</v>
      </c>
      <c r="AQ826" s="46" t="str">
        <f ca="1">IF(AND(C826&lt;&gt;0, C827=0), SUM($C$2:C826)-SUM($AQ$1:AQ825), "")</f>
        <v/>
      </c>
      <c r="AR826" s="46" t="str">
        <f ca="1">IF(AND(AK826&lt;&gt;0, AK827=0), SUM($AK$2:AK826)-SUM($AR$1:AR825), "")</f>
        <v/>
      </c>
    </row>
    <row r="827" spans="2:44" ht="13.15" customHeight="1">
      <c r="B827" s="68" t="str">
        <f t="shared" si="218"/>
        <v/>
      </c>
      <c r="C827" s="55" cm="1">
        <f t="array" aca="1" ref="C827" ca="1">SUM(IF(ISNUMBER(M827:U827),M827:U827,""))</f>
        <v>0</v>
      </c>
      <c r="D827" s="25" t="str">
        <f t="shared" si="219"/>
        <v/>
      </c>
      <c r="E827" s="25" t="e">
        <f t="shared" si="220"/>
        <v>#VALUE!</v>
      </c>
      <c r="F827" s="25" t="str">
        <f t="shared" si="221"/>
        <v/>
      </c>
      <c r="G827" s="25" t="str">
        <f t="shared" si="222"/>
        <v>.xlsx</v>
      </c>
      <c r="H827" s="29" t="e" cm="1">
        <f t="array" aca="1" ref="H827" ca="1">IF(AND(VALUE(E827)=INDIRECT("'["&amp;G827&amp;"]"&amp;E827&amp;"'!"&amp;$X$2),G827=INDIRECT("'["&amp;G827&amp;"]"&amp;E827&amp;"'!"&amp;$X$3)),INDIRECT("'["&amp;G827&amp;"]"&amp;E827&amp;"'!"&amp;$X$1),0)</f>
        <v>#VALUE!</v>
      </c>
      <c r="I827" s="25" t="str">
        <f t="shared" si="223"/>
        <v/>
      </c>
      <c r="J827" s="32" t="str">
        <f t="shared" si="224"/>
        <v/>
      </c>
      <c r="K827" s="25" t="str">
        <f t="shared" si="225"/>
        <v/>
      </c>
      <c r="L827" s="25" t="str">
        <f t="shared" si="226"/>
        <v/>
      </c>
      <c r="M827" s="33" t="e" cm="1">
        <f t="array" aca="1" ref="M827" ca="1">IF(AND(J827=INDIRECT("'["&amp;G827&amp;"]"&amp;E827&amp;"'!"&amp;$Y$2),G827=INDIRECT("'["&amp;G827&amp;"]"&amp;E827&amp;"'!"&amp;$AH$2)),INDIRECT("'["&amp;G827&amp;"]"&amp;E827&amp;"'!"&amp;$Y$3),0)</f>
        <v>#VALUE!</v>
      </c>
      <c r="N827" s="34" t="e" cm="1">
        <f t="array" aca="1" ref="N827" ca="1">IF(AND(G827=INDIRECT("'["&amp;G827&amp;"]"&amp;E827&amp;"'!"&amp;$AH$2),OR(K827=INDIRECT("'["&amp;G827&amp;"]"&amp;E827&amp;"'!"&amp;$Z$2))),INDIRECT("'["&amp;G827&amp;"]"&amp;E827&amp;"'!"&amp;$Z$3),0)</f>
        <v>#VALUE!</v>
      </c>
      <c r="O827" s="34" t="e" cm="1">
        <f t="array" aca="1" ref="O827" ca="1">IF(AND(G827=INDIRECT("'["&amp;G827&amp;"]"&amp;E827&amp;"'!"&amp;$AH$2),OR(L827=INDIRECT("'["&amp;G827&amp;"]"&amp;E827&amp;"'!"&amp;$AA$2))),INDIRECT("'["&amp;G827&amp;"]"&amp;E827&amp;"'!"&amp;$AA$3),0)</f>
        <v>#VALUE!</v>
      </c>
      <c r="P827" s="34" t="e" cm="1">
        <f t="array" aca="1" ref="P827" ca="1">IF(AND(G827=INDIRECT("'["&amp;G827&amp;"]"&amp;E827&amp;"'!"&amp;$AH$2),OR(VALUE(I827)=INDIRECT("'["&amp;G827&amp;"]"&amp;E827&amp;"'!"&amp;$AB$2))),INDIRECT("'["&amp;G827&amp;"]"&amp;E827&amp;"'!"&amp;$AB$3),0)</f>
        <v>#VALUE!</v>
      </c>
      <c r="Q827" s="34" t="e" cm="1">
        <f t="array" aca="1" ref="Q827" ca="1">IF(AND(G827=INDIRECT("'["&amp;G827&amp;"]"&amp;E827&amp;"'!"&amp;$AH$2),OR(VALUE(I827)=INDIRECT("'["&amp;G827&amp;"]"&amp;E827&amp;"'!"&amp;$AC$2))),INDIRECT("'["&amp;G827&amp;"]"&amp;E827&amp;"'!"&amp;$AC$3),0)</f>
        <v>#VALUE!</v>
      </c>
      <c r="R827" s="34" t="e" cm="1">
        <f t="array" aca="1" ref="R827" ca="1">IF(AND(G827=INDIRECT("'["&amp;G827&amp;"]"&amp;E827&amp;"'!"&amp;$AH$2),OR(I827=INDIRECT("'["&amp;G827&amp;"]"&amp;E827&amp;"'!"&amp;$AD$2))),INDIRECT("'["&amp;G827&amp;"]"&amp;E827&amp;"'!"&amp;$AD$3),0)</f>
        <v>#VALUE!</v>
      </c>
      <c r="S827" s="34" t="e" cm="1">
        <f t="array" aca="1" ref="S827" ca="1">IF(AND(G827=INDIRECT("'["&amp;G827&amp;"]"&amp;E827&amp;"'!"&amp;$AH$2),OR(I827=INDIRECT("'["&amp;G827&amp;"]"&amp;E827&amp;"'!"&amp;$AE$2))),INDIRECT("'["&amp;G827&amp;"]"&amp;E827&amp;"'!"&amp;$AE$3),0)</f>
        <v>#VALUE!</v>
      </c>
      <c r="T827" s="35" t="e" cm="1">
        <f t="array" aca="1" ref="T827" ca="1">IF(AND(G827=INDIRECT("'["&amp;G827&amp;"]"&amp;E827&amp;"'!"&amp;$AH$2),OR(I827=INDIRECT("'["&amp;G827&amp;"]"&amp;E827&amp;"'!"&amp;$AF$2))),INDIRECT("'["&amp;G827&amp;"]"&amp;E827&amp;"'!"&amp;$AF$3),0)</f>
        <v>#VALUE!</v>
      </c>
      <c r="U827" s="34" t="e" cm="1">
        <f t="array" aca="1" ref="U827" ca="1">IF(AND(G827=INDIRECT("'["&amp;G827&amp;"]"&amp;E827&amp;"'!"&amp;$AH$2),OR(I827=INDIRECT("'["&amp;G827&amp;"]"&amp;E827&amp;"'!"&amp;$AG$2))),INDIRECT("'["&amp;G827&amp;"]"&amp;E827&amp;"'!"&amp;$AG$3),0)</f>
        <v>#VALUE!</v>
      </c>
      <c r="V827" s="25" t="str">
        <f t="shared" si="227"/>
        <v/>
      </c>
      <c r="W827" s="36" t="e" cm="1">
        <f t="array" aca="1" ref="W827" ca="1">IF(AND(G827=INDIRECT("'["&amp;G827&amp;"]"&amp;E827&amp;"'!"&amp;$AH$2),OR(V827=INDIRECT("'["&amp;G827&amp;"]"&amp;E827&amp;"'!"&amp;$AI$2))),INDIRECT("'["&amp;G827&amp;"]"&amp;E827&amp;"'!"&amp;$AI$3),0)</f>
        <v>#VALUE!</v>
      </c>
      <c r="AJ827" s="25">
        <v>1</v>
      </c>
      <c r="AK827" s="38">
        <f t="shared" ca="1" si="228"/>
        <v>0</v>
      </c>
      <c r="AL827" s="38">
        <f t="shared" ca="1" si="229"/>
        <v>0</v>
      </c>
      <c r="AM827" s="54" t="str">
        <f t="shared" ca="1" si="230"/>
        <v/>
      </c>
      <c r="AN827" s="25" t="e">
        <f t="shared" ca="1" si="231"/>
        <v>#VALUE!</v>
      </c>
      <c r="AO827" s="25" t="e">
        <f t="shared" ca="1" si="232"/>
        <v>#VALUE!</v>
      </c>
      <c r="AQ827" s="46" t="str">
        <f ca="1">IF(AND(C827&lt;&gt;0, C828=0), SUM($C$2:C827)-SUM($AQ$1:AQ826), "")</f>
        <v/>
      </c>
      <c r="AR827" s="46" t="str">
        <f ca="1">IF(AND(AK827&lt;&gt;0, AK828=0), SUM($AK$2:AK827)-SUM($AR$1:AR826), "")</f>
        <v/>
      </c>
    </row>
    <row r="828" spans="2:44" ht="13.15" customHeight="1">
      <c r="B828" s="68" t="str">
        <f t="shared" si="218"/>
        <v/>
      </c>
      <c r="C828" s="55" cm="1">
        <f t="array" aca="1" ref="C828" ca="1">SUM(IF(ISNUMBER(M828:U828),M828:U828,""))</f>
        <v>0</v>
      </c>
      <c r="D828" s="25" t="str">
        <f t="shared" si="219"/>
        <v/>
      </c>
      <c r="E828" s="25" t="e">
        <f t="shared" si="220"/>
        <v>#VALUE!</v>
      </c>
      <c r="F828" s="25" t="str">
        <f t="shared" si="221"/>
        <v/>
      </c>
      <c r="G828" s="25" t="str">
        <f t="shared" si="222"/>
        <v>.xlsx</v>
      </c>
      <c r="H828" s="29" t="e" cm="1">
        <f t="array" aca="1" ref="H828" ca="1">IF(AND(VALUE(E828)=INDIRECT("'["&amp;G828&amp;"]"&amp;E828&amp;"'!"&amp;$X$2),G828=INDIRECT("'["&amp;G828&amp;"]"&amp;E828&amp;"'!"&amp;$X$3)),INDIRECT("'["&amp;G828&amp;"]"&amp;E828&amp;"'!"&amp;$X$1),0)</f>
        <v>#VALUE!</v>
      </c>
      <c r="I828" s="25" t="str">
        <f t="shared" si="223"/>
        <v/>
      </c>
      <c r="J828" s="32" t="str">
        <f t="shared" si="224"/>
        <v/>
      </c>
      <c r="K828" s="25" t="str">
        <f t="shared" si="225"/>
        <v/>
      </c>
      <c r="L828" s="25" t="str">
        <f t="shared" si="226"/>
        <v/>
      </c>
      <c r="M828" s="33" t="e" cm="1">
        <f t="array" aca="1" ref="M828" ca="1">IF(AND(J828=INDIRECT("'["&amp;G828&amp;"]"&amp;E828&amp;"'!"&amp;$Y$2),G828=INDIRECT("'["&amp;G828&amp;"]"&amp;E828&amp;"'!"&amp;$AH$2)),INDIRECT("'["&amp;G828&amp;"]"&amp;E828&amp;"'!"&amp;$Y$3),0)</f>
        <v>#VALUE!</v>
      </c>
      <c r="N828" s="34" t="e" cm="1">
        <f t="array" aca="1" ref="N828" ca="1">IF(AND(G828=INDIRECT("'["&amp;G828&amp;"]"&amp;E828&amp;"'!"&amp;$AH$2),OR(K828=INDIRECT("'["&amp;G828&amp;"]"&amp;E828&amp;"'!"&amp;$Z$2))),INDIRECT("'["&amp;G828&amp;"]"&amp;E828&amp;"'!"&amp;$Z$3),0)</f>
        <v>#VALUE!</v>
      </c>
      <c r="O828" s="34" t="e" cm="1">
        <f t="array" aca="1" ref="O828" ca="1">IF(AND(G828=INDIRECT("'["&amp;G828&amp;"]"&amp;E828&amp;"'!"&amp;$AH$2),OR(L828=INDIRECT("'["&amp;G828&amp;"]"&amp;E828&amp;"'!"&amp;$AA$2))),INDIRECT("'["&amp;G828&amp;"]"&amp;E828&amp;"'!"&amp;$AA$3),0)</f>
        <v>#VALUE!</v>
      </c>
      <c r="P828" s="34" t="e" cm="1">
        <f t="array" aca="1" ref="P828" ca="1">IF(AND(G828=INDIRECT("'["&amp;G828&amp;"]"&amp;E828&amp;"'!"&amp;$AH$2),OR(VALUE(I828)=INDIRECT("'["&amp;G828&amp;"]"&amp;E828&amp;"'!"&amp;$AB$2))),INDIRECT("'["&amp;G828&amp;"]"&amp;E828&amp;"'!"&amp;$AB$3),0)</f>
        <v>#VALUE!</v>
      </c>
      <c r="Q828" s="34" t="e" cm="1">
        <f t="array" aca="1" ref="Q828" ca="1">IF(AND(G828=INDIRECT("'["&amp;G828&amp;"]"&amp;E828&amp;"'!"&amp;$AH$2),OR(VALUE(I828)=INDIRECT("'["&amp;G828&amp;"]"&amp;E828&amp;"'!"&amp;$AC$2))),INDIRECT("'["&amp;G828&amp;"]"&amp;E828&amp;"'!"&amp;$AC$3),0)</f>
        <v>#VALUE!</v>
      </c>
      <c r="R828" s="34" t="e" cm="1">
        <f t="array" aca="1" ref="R828" ca="1">IF(AND(G828=INDIRECT("'["&amp;G828&amp;"]"&amp;E828&amp;"'!"&amp;$AH$2),OR(I828=INDIRECT("'["&amp;G828&amp;"]"&amp;E828&amp;"'!"&amp;$AD$2))),INDIRECT("'["&amp;G828&amp;"]"&amp;E828&amp;"'!"&amp;$AD$3),0)</f>
        <v>#VALUE!</v>
      </c>
      <c r="S828" s="34" t="e" cm="1">
        <f t="array" aca="1" ref="S828" ca="1">IF(AND(G828=INDIRECT("'["&amp;G828&amp;"]"&amp;E828&amp;"'!"&amp;$AH$2),OR(I828=INDIRECT("'["&amp;G828&amp;"]"&amp;E828&amp;"'!"&amp;$AE$2))),INDIRECT("'["&amp;G828&amp;"]"&amp;E828&amp;"'!"&amp;$AE$3),0)</f>
        <v>#VALUE!</v>
      </c>
      <c r="T828" s="35" t="e" cm="1">
        <f t="array" aca="1" ref="T828" ca="1">IF(AND(G828=INDIRECT("'["&amp;G828&amp;"]"&amp;E828&amp;"'!"&amp;$AH$2),OR(I828=INDIRECT("'["&amp;G828&amp;"]"&amp;E828&amp;"'!"&amp;$AF$2))),INDIRECT("'["&amp;G828&amp;"]"&amp;E828&amp;"'!"&amp;$AF$3),0)</f>
        <v>#VALUE!</v>
      </c>
      <c r="U828" s="34" t="e" cm="1">
        <f t="array" aca="1" ref="U828" ca="1">IF(AND(G828=INDIRECT("'["&amp;G828&amp;"]"&amp;E828&amp;"'!"&amp;$AH$2),OR(I828=INDIRECT("'["&amp;G828&amp;"]"&amp;E828&amp;"'!"&amp;$AG$2))),INDIRECT("'["&amp;G828&amp;"]"&amp;E828&amp;"'!"&amp;$AG$3),0)</f>
        <v>#VALUE!</v>
      </c>
      <c r="V828" s="25" t="str">
        <f t="shared" si="227"/>
        <v/>
      </c>
      <c r="W828" s="36" t="e" cm="1">
        <f t="array" aca="1" ref="W828" ca="1">IF(AND(G828=INDIRECT("'["&amp;G828&amp;"]"&amp;E828&amp;"'!"&amp;$AH$2),OR(V828=INDIRECT("'["&amp;G828&amp;"]"&amp;E828&amp;"'!"&amp;$AI$2))),INDIRECT("'["&amp;G828&amp;"]"&amp;E828&amp;"'!"&amp;$AI$3),0)</f>
        <v>#VALUE!</v>
      </c>
      <c r="AJ828" s="25">
        <v>1</v>
      </c>
      <c r="AK828" s="38">
        <f t="shared" ca="1" si="228"/>
        <v>0</v>
      </c>
      <c r="AL828" s="38">
        <f t="shared" ca="1" si="229"/>
        <v>0</v>
      </c>
      <c r="AM828" s="54" t="str">
        <f t="shared" ca="1" si="230"/>
        <v/>
      </c>
      <c r="AN828" s="25" t="e">
        <f t="shared" ca="1" si="231"/>
        <v>#VALUE!</v>
      </c>
      <c r="AO828" s="25" t="e">
        <f t="shared" ca="1" si="232"/>
        <v>#VALUE!</v>
      </c>
      <c r="AQ828" s="46" t="str">
        <f ca="1">IF(AND(C828&lt;&gt;0, C829=0), SUM($C$2:C828)-SUM($AQ$1:AQ827), "")</f>
        <v/>
      </c>
      <c r="AR828" s="46" t="str">
        <f ca="1">IF(AND(AK828&lt;&gt;0, AK829=0), SUM($AK$2:AK828)-SUM($AR$1:AR827), "")</f>
        <v/>
      </c>
    </row>
    <row r="829" spans="2:44" ht="13.15" customHeight="1">
      <c r="B829" s="68" t="str">
        <f t="shared" si="218"/>
        <v/>
      </c>
      <c r="C829" s="55" cm="1">
        <f t="array" aca="1" ref="C829" ca="1">SUM(IF(ISNUMBER(M829:U829),M829:U829,""))</f>
        <v>0</v>
      </c>
      <c r="D829" s="25" t="str">
        <f t="shared" si="219"/>
        <v/>
      </c>
      <c r="E829" s="25" t="e">
        <f t="shared" si="220"/>
        <v>#VALUE!</v>
      </c>
      <c r="F829" s="25" t="str">
        <f t="shared" si="221"/>
        <v/>
      </c>
      <c r="G829" s="25" t="str">
        <f t="shared" si="222"/>
        <v>.xlsx</v>
      </c>
      <c r="H829" s="29" t="e" cm="1">
        <f t="array" aca="1" ref="H829" ca="1">IF(AND(VALUE(E829)=INDIRECT("'["&amp;G829&amp;"]"&amp;E829&amp;"'!"&amp;$X$2),G829=INDIRECT("'["&amp;G829&amp;"]"&amp;E829&amp;"'!"&amp;$X$3)),INDIRECT("'["&amp;G829&amp;"]"&amp;E829&amp;"'!"&amp;$X$1),0)</f>
        <v>#VALUE!</v>
      </c>
      <c r="I829" s="25" t="str">
        <f t="shared" si="223"/>
        <v/>
      </c>
      <c r="J829" s="32" t="str">
        <f t="shared" si="224"/>
        <v/>
      </c>
      <c r="K829" s="25" t="str">
        <f t="shared" si="225"/>
        <v/>
      </c>
      <c r="L829" s="25" t="str">
        <f t="shared" si="226"/>
        <v/>
      </c>
      <c r="M829" s="33" t="e" cm="1">
        <f t="array" aca="1" ref="M829" ca="1">IF(AND(J829=INDIRECT("'["&amp;G829&amp;"]"&amp;E829&amp;"'!"&amp;$Y$2),G829=INDIRECT("'["&amp;G829&amp;"]"&amp;E829&amp;"'!"&amp;$AH$2)),INDIRECT("'["&amp;G829&amp;"]"&amp;E829&amp;"'!"&amp;$Y$3),0)</f>
        <v>#VALUE!</v>
      </c>
      <c r="N829" s="34" t="e" cm="1">
        <f t="array" aca="1" ref="N829" ca="1">IF(AND(G829=INDIRECT("'["&amp;G829&amp;"]"&amp;E829&amp;"'!"&amp;$AH$2),OR(K829=INDIRECT("'["&amp;G829&amp;"]"&amp;E829&amp;"'!"&amp;$Z$2))),INDIRECT("'["&amp;G829&amp;"]"&amp;E829&amp;"'!"&amp;$Z$3),0)</f>
        <v>#VALUE!</v>
      </c>
      <c r="O829" s="34" t="e" cm="1">
        <f t="array" aca="1" ref="O829" ca="1">IF(AND(G829=INDIRECT("'["&amp;G829&amp;"]"&amp;E829&amp;"'!"&amp;$AH$2),OR(L829=INDIRECT("'["&amp;G829&amp;"]"&amp;E829&amp;"'!"&amp;$AA$2))),INDIRECT("'["&amp;G829&amp;"]"&amp;E829&amp;"'!"&amp;$AA$3),0)</f>
        <v>#VALUE!</v>
      </c>
      <c r="P829" s="34" t="e" cm="1">
        <f t="array" aca="1" ref="P829" ca="1">IF(AND(G829=INDIRECT("'["&amp;G829&amp;"]"&amp;E829&amp;"'!"&amp;$AH$2),OR(VALUE(I829)=INDIRECT("'["&amp;G829&amp;"]"&amp;E829&amp;"'!"&amp;$AB$2))),INDIRECT("'["&amp;G829&amp;"]"&amp;E829&amp;"'!"&amp;$AB$3),0)</f>
        <v>#VALUE!</v>
      </c>
      <c r="Q829" s="34" t="e" cm="1">
        <f t="array" aca="1" ref="Q829" ca="1">IF(AND(G829=INDIRECT("'["&amp;G829&amp;"]"&amp;E829&amp;"'!"&amp;$AH$2),OR(VALUE(I829)=INDIRECT("'["&amp;G829&amp;"]"&amp;E829&amp;"'!"&amp;$AC$2))),INDIRECT("'["&amp;G829&amp;"]"&amp;E829&amp;"'!"&amp;$AC$3),0)</f>
        <v>#VALUE!</v>
      </c>
      <c r="R829" s="34" t="e" cm="1">
        <f t="array" aca="1" ref="R829" ca="1">IF(AND(G829=INDIRECT("'["&amp;G829&amp;"]"&amp;E829&amp;"'!"&amp;$AH$2),OR(I829=INDIRECT("'["&amp;G829&amp;"]"&amp;E829&amp;"'!"&amp;$AD$2))),INDIRECT("'["&amp;G829&amp;"]"&amp;E829&amp;"'!"&amp;$AD$3),0)</f>
        <v>#VALUE!</v>
      </c>
      <c r="S829" s="34" t="e" cm="1">
        <f t="array" aca="1" ref="S829" ca="1">IF(AND(G829=INDIRECT("'["&amp;G829&amp;"]"&amp;E829&amp;"'!"&amp;$AH$2),OR(I829=INDIRECT("'["&amp;G829&amp;"]"&amp;E829&amp;"'!"&amp;$AE$2))),INDIRECT("'["&amp;G829&amp;"]"&amp;E829&amp;"'!"&amp;$AE$3),0)</f>
        <v>#VALUE!</v>
      </c>
      <c r="T829" s="35" t="e" cm="1">
        <f t="array" aca="1" ref="T829" ca="1">IF(AND(G829=INDIRECT("'["&amp;G829&amp;"]"&amp;E829&amp;"'!"&amp;$AH$2),OR(I829=INDIRECT("'["&amp;G829&amp;"]"&amp;E829&amp;"'!"&amp;$AF$2))),INDIRECT("'["&amp;G829&amp;"]"&amp;E829&amp;"'!"&amp;$AF$3),0)</f>
        <v>#VALUE!</v>
      </c>
      <c r="U829" s="34" t="e" cm="1">
        <f t="array" aca="1" ref="U829" ca="1">IF(AND(G829=INDIRECT("'["&amp;G829&amp;"]"&amp;E829&amp;"'!"&amp;$AH$2),OR(I829=INDIRECT("'["&amp;G829&amp;"]"&amp;E829&amp;"'!"&amp;$AG$2))),INDIRECT("'["&amp;G829&amp;"]"&amp;E829&amp;"'!"&amp;$AG$3),0)</f>
        <v>#VALUE!</v>
      </c>
      <c r="V829" s="25" t="str">
        <f t="shared" si="227"/>
        <v/>
      </c>
      <c r="W829" s="36" t="e" cm="1">
        <f t="array" aca="1" ref="W829" ca="1">IF(AND(G829=INDIRECT("'["&amp;G829&amp;"]"&amp;E829&amp;"'!"&amp;$AH$2),OR(V829=INDIRECT("'["&amp;G829&amp;"]"&amp;E829&amp;"'!"&amp;$AI$2))),INDIRECT("'["&amp;G829&amp;"]"&amp;E829&amp;"'!"&amp;$AI$3),0)</f>
        <v>#VALUE!</v>
      </c>
      <c r="AJ829" s="25">
        <v>1</v>
      </c>
      <c r="AK829" s="38">
        <f t="shared" ca="1" si="228"/>
        <v>0</v>
      </c>
      <c r="AL829" s="38">
        <f t="shared" ca="1" si="229"/>
        <v>0</v>
      </c>
      <c r="AM829" s="54" t="str">
        <f t="shared" ca="1" si="230"/>
        <v/>
      </c>
      <c r="AN829" s="25" t="e">
        <f t="shared" ca="1" si="231"/>
        <v>#VALUE!</v>
      </c>
      <c r="AO829" s="25" t="e">
        <f t="shared" ca="1" si="232"/>
        <v>#VALUE!</v>
      </c>
      <c r="AQ829" s="46" t="str">
        <f ca="1">IF(AND(C829&lt;&gt;0, C830=0), SUM($C$2:C829)-SUM($AQ$1:AQ828), "")</f>
        <v/>
      </c>
      <c r="AR829" s="46" t="str">
        <f ca="1">IF(AND(AK829&lt;&gt;0, AK830=0), SUM($AK$2:AK829)-SUM($AR$1:AR828), "")</f>
        <v/>
      </c>
    </row>
    <row r="830" spans="2:44" ht="13.15" customHeight="1">
      <c r="B830" s="68" t="str">
        <f t="shared" si="218"/>
        <v/>
      </c>
      <c r="C830" s="55" cm="1">
        <f t="array" aca="1" ref="C830" ca="1">SUM(IF(ISNUMBER(M830:U830),M830:U830,""))</f>
        <v>0</v>
      </c>
      <c r="D830" s="25" t="str">
        <f t="shared" si="219"/>
        <v/>
      </c>
      <c r="E830" s="25" t="e">
        <f t="shared" si="220"/>
        <v>#VALUE!</v>
      </c>
      <c r="F830" s="25" t="str">
        <f t="shared" si="221"/>
        <v/>
      </c>
      <c r="G830" s="25" t="str">
        <f t="shared" si="222"/>
        <v>.xlsx</v>
      </c>
      <c r="H830" s="29" t="e" cm="1">
        <f t="array" aca="1" ref="H830" ca="1">IF(AND(VALUE(E830)=INDIRECT("'["&amp;G830&amp;"]"&amp;E830&amp;"'!"&amp;$X$2),G830=INDIRECT("'["&amp;G830&amp;"]"&amp;E830&amp;"'!"&amp;$X$3)),INDIRECT("'["&amp;G830&amp;"]"&amp;E830&amp;"'!"&amp;$X$1),0)</f>
        <v>#VALUE!</v>
      </c>
      <c r="I830" s="25" t="str">
        <f t="shared" si="223"/>
        <v/>
      </c>
      <c r="J830" s="32" t="str">
        <f t="shared" si="224"/>
        <v/>
      </c>
      <c r="K830" s="25" t="str">
        <f t="shared" si="225"/>
        <v/>
      </c>
      <c r="L830" s="25" t="str">
        <f t="shared" si="226"/>
        <v/>
      </c>
      <c r="M830" s="33" t="e" cm="1">
        <f t="array" aca="1" ref="M830" ca="1">IF(AND(J830=INDIRECT("'["&amp;G830&amp;"]"&amp;E830&amp;"'!"&amp;$Y$2),G830=INDIRECT("'["&amp;G830&amp;"]"&amp;E830&amp;"'!"&amp;$AH$2)),INDIRECT("'["&amp;G830&amp;"]"&amp;E830&amp;"'!"&amp;$Y$3),0)</f>
        <v>#VALUE!</v>
      </c>
      <c r="N830" s="34" t="e" cm="1">
        <f t="array" aca="1" ref="N830" ca="1">IF(AND(G830=INDIRECT("'["&amp;G830&amp;"]"&amp;E830&amp;"'!"&amp;$AH$2),OR(K830=INDIRECT("'["&amp;G830&amp;"]"&amp;E830&amp;"'!"&amp;$Z$2))),INDIRECT("'["&amp;G830&amp;"]"&amp;E830&amp;"'!"&amp;$Z$3),0)</f>
        <v>#VALUE!</v>
      </c>
      <c r="O830" s="34" t="e" cm="1">
        <f t="array" aca="1" ref="O830" ca="1">IF(AND(G830=INDIRECT("'["&amp;G830&amp;"]"&amp;E830&amp;"'!"&amp;$AH$2),OR(L830=INDIRECT("'["&amp;G830&amp;"]"&amp;E830&amp;"'!"&amp;$AA$2))),INDIRECT("'["&amp;G830&amp;"]"&amp;E830&amp;"'!"&amp;$AA$3),0)</f>
        <v>#VALUE!</v>
      </c>
      <c r="P830" s="34" t="e" cm="1">
        <f t="array" aca="1" ref="P830" ca="1">IF(AND(G830=INDIRECT("'["&amp;G830&amp;"]"&amp;E830&amp;"'!"&amp;$AH$2),OR(VALUE(I830)=INDIRECT("'["&amp;G830&amp;"]"&amp;E830&amp;"'!"&amp;$AB$2))),INDIRECT("'["&amp;G830&amp;"]"&amp;E830&amp;"'!"&amp;$AB$3),0)</f>
        <v>#VALUE!</v>
      </c>
      <c r="Q830" s="34" t="e" cm="1">
        <f t="array" aca="1" ref="Q830" ca="1">IF(AND(G830=INDIRECT("'["&amp;G830&amp;"]"&amp;E830&amp;"'!"&amp;$AH$2),OR(VALUE(I830)=INDIRECT("'["&amp;G830&amp;"]"&amp;E830&amp;"'!"&amp;$AC$2))),INDIRECT("'["&amp;G830&amp;"]"&amp;E830&amp;"'!"&amp;$AC$3),0)</f>
        <v>#VALUE!</v>
      </c>
      <c r="R830" s="34" t="e" cm="1">
        <f t="array" aca="1" ref="R830" ca="1">IF(AND(G830=INDIRECT("'["&amp;G830&amp;"]"&amp;E830&amp;"'!"&amp;$AH$2),OR(I830=INDIRECT("'["&amp;G830&amp;"]"&amp;E830&amp;"'!"&amp;$AD$2))),INDIRECT("'["&amp;G830&amp;"]"&amp;E830&amp;"'!"&amp;$AD$3),0)</f>
        <v>#VALUE!</v>
      </c>
      <c r="S830" s="34" t="e" cm="1">
        <f t="array" aca="1" ref="S830" ca="1">IF(AND(G830=INDIRECT("'["&amp;G830&amp;"]"&amp;E830&amp;"'!"&amp;$AH$2),OR(I830=INDIRECT("'["&amp;G830&amp;"]"&amp;E830&amp;"'!"&amp;$AE$2))),INDIRECT("'["&amp;G830&amp;"]"&amp;E830&amp;"'!"&amp;$AE$3),0)</f>
        <v>#VALUE!</v>
      </c>
      <c r="T830" s="35" t="e" cm="1">
        <f t="array" aca="1" ref="T830" ca="1">IF(AND(G830=INDIRECT("'["&amp;G830&amp;"]"&amp;E830&amp;"'!"&amp;$AH$2),OR(I830=INDIRECT("'["&amp;G830&amp;"]"&amp;E830&amp;"'!"&amp;$AF$2))),INDIRECT("'["&amp;G830&amp;"]"&amp;E830&amp;"'!"&amp;$AF$3),0)</f>
        <v>#VALUE!</v>
      </c>
      <c r="U830" s="34" t="e" cm="1">
        <f t="array" aca="1" ref="U830" ca="1">IF(AND(G830=INDIRECT("'["&amp;G830&amp;"]"&amp;E830&amp;"'!"&amp;$AH$2),OR(I830=INDIRECT("'["&amp;G830&amp;"]"&amp;E830&amp;"'!"&amp;$AG$2))),INDIRECT("'["&amp;G830&amp;"]"&amp;E830&amp;"'!"&amp;$AG$3),0)</f>
        <v>#VALUE!</v>
      </c>
      <c r="V830" s="25" t="str">
        <f t="shared" si="227"/>
        <v/>
      </c>
      <c r="W830" s="36" t="e" cm="1">
        <f t="array" aca="1" ref="W830" ca="1">IF(AND(G830=INDIRECT("'["&amp;G830&amp;"]"&amp;E830&amp;"'!"&amp;$AH$2),OR(V830=INDIRECT("'["&amp;G830&amp;"]"&amp;E830&amp;"'!"&amp;$AI$2))),INDIRECT("'["&amp;G830&amp;"]"&amp;E830&amp;"'!"&amp;$AI$3),0)</f>
        <v>#VALUE!</v>
      </c>
      <c r="AJ830" s="25">
        <v>1</v>
      </c>
      <c r="AK830" s="38">
        <f t="shared" ca="1" si="228"/>
        <v>0</v>
      </c>
      <c r="AL830" s="38">
        <f t="shared" ca="1" si="229"/>
        <v>0</v>
      </c>
      <c r="AM830" s="54" t="str">
        <f t="shared" ca="1" si="230"/>
        <v/>
      </c>
      <c r="AN830" s="25" t="e">
        <f t="shared" ca="1" si="231"/>
        <v>#VALUE!</v>
      </c>
      <c r="AO830" s="25" t="e">
        <f t="shared" ca="1" si="232"/>
        <v>#VALUE!</v>
      </c>
      <c r="AQ830" s="46" t="str">
        <f ca="1">IF(AND(C830&lt;&gt;0, C831=0), SUM($C$2:C830)-SUM($AQ$1:AQ829), "")</f>
        <v/>
      </c>
      <c r="AR830" s="46" t="str">
        <f ca="1">IF(AND(AK830&lt;&gt;0, AK831=0), SUM($AK$2:AK830)-SUM($AR$1:AR829), "")</f>
        <v/>
      </c>
    </row>
    <row r="831" spans="2:44" ht="13.15" customHeight="1">
      <c r="B831" s="68" t="str">
        <f t="shared" si="218"/>
        <v/>
      </c>
      <c r="C831" s="55" cm="1">
        <f t="array" aca="1" ref="C831" ca="1">SUM(IF(ISNUMBER(M831:U831),M831:U831,""))</f>
        <v>0</v>
      </c>
      <c r="D831" s="25" t="str">
        <f t="shared" si="219"/>
        <v/>
      </c>
      <c r="E831" s="25" t="e">
        <f t="shared" si="220"/>
        <v>#VALUE!</v>
      </c>
      <c r="F831" s="25" t="str">
        <f t="shared" si="221"/>
        <v/>
      </c>
      <c r="G831" s="25" t="str">
        <f t="shared" si="222"/>
        <v>.xlsx</v>
      </c>
      <c r="H831" s="29" t="e" cm="1">
        <f t="array" aca="1" ref="H831" ca="1">IF(AND(VALUE(E831)=INDIRECT("'["&amp;G831&amp;"]"&amp;E831&amp;"'!"&amp;$X$2),G831=INDIRECT("'["&amp;G831&amp;"]"&amp;E831&amp;"'!"&amp;$X$3)),INDIRECT("'["&amp;G831&amp;"]"&amp;E831&amp;"'!"&amp;$X$1),0)</f>
        <v>#VALUE!</v>
      </c>
      <c r="I831" s="25" t="str">
        <f t="shared" si="223"/>
        <v/>
      </c>
      <c r="J831" s="32" t="str">
        <f t="shared" si="224"/>
        <v/>
      </c>
      <c r="K831" s="25" t="str">
        <f t="shared" si="225"/>
        <v/>
      </c>
      <c r="L831" s="25" t="str">
        <f t="shared" si="226"/>
        <v/>
      </c>
      <c r="M831" s="33" t="e" cm="1">
        <f t="array" aca="1" ref="M831" ca="1">IF(AND(J831=INDIRECT("'["&amp;G831&amp;"]"&amp;E831&amp;"'!"&amp;$Y$2),G831=INDIRECT("'["&amp;G831&amp;"]"&amp;E831&amp;"'!"&amp;$AH$2)),INDIRECT("'["&amp;G831&amp;"]"&amp;E831&amp;"'!"&amp;$Y$3),0)</f>
        <v>#VALUE!</v>
      </c>
      <c r="N831" s="34" t="e" cm="1">
        <f t="array" aca="1" ref="N831" ca="1">IF(AND(G831=INDIRECT("'["&amp;G831&amp;"]"&amp;E831&amp;"'!"&amp;$AH$2),OR(K831=INDIRECT("'["&amp;G831&amp;"]"&amp;E831&amp;"'!"&amp;$Z$2))),INDIRECT("'["&amp;G831&amp;"]"&amp;E831&amp;"'!"&amp;$Z$3),0)</f>
        <v>#VALUE!</v>
      </c>
      <c r="O831" s="34" t="e" cm="1">
        <f t="array" aca="1" ref="O831" ca="1">IF(AND(G831=INDIRECT("'["&amp;G831&amp;"]"&amp;E831&amp;"'!"&amp;$AH$2),OR(L831=INDIRECT("'["&amp;G831&amp;"]"&amp;E831&amp;"'!"&amp;$AA$2))),INDIRECT("'["&amp;G831&amp;"]"&amp;E831&amp;"'!"&amp;$AA$3),0)</f>
        <v>#VALUE!</v>
      </c>
      <c r="P831" s="34" t="e" cm="1">
        <f t="array" aca="1" ref="P831" ca="1">IF(AND(G831=INDIRECT("'["&amp;G831&amp;"]"&amp;E831&amp;"'!"&amp;$AH$2),OR(VALUE(I831)=INDIRECT("'["&amp;G831&amp;"]"&amp;E831&amp;"'!"&amp;$AB$2))),INDIRECT("'["&amp;G831&amp;"]"&amp;E831&amp;"'!"&amp;$AB$3),0)</f>
        <v>#VALUE!</v>
      </c>
      <c r="Q831" s="34" t="e" cm="1">
        <f t="array" aca="1" ref="Q831" ca="1">IF(AND(G831=INDIRECT("'["&amp;G831&amp;"]"&amp;E831&amp;"'!"&amp;$AH$2),OR(VALUE(I831)=INDIRECT("'["&amp;G831&amp;"]"&amp;E831&amp;"'!"&amp;$AC$2))),INDIRECT("'["&amp;G831&amp;"]"&amp;E831&amp;"'!"&amp;$AC$3),0)</f>
        <v>#VALUE!</v>
      </c>
      <c r="R831" s="34" t="e" cm="1">
        <f t="array" aca="1" ref="R831" ca="1">IF(AND(G831=INDIRECT("'["&amp;G831&amp;"]"&amp;E831&amp;"'!"&amp;$AH$2),OR(I831=INDIRECT("'["&amp;G831&amp;"]"&amp;E831&amp;"'!"&amp;$AD$2))),INDIRECT("'["&amp;G831&amp;"]"&amp;E831&amp;"'!"&amp;$AD$3),0)</f>
        <v>#VALUE!</v>
      </c>
      <c r="S831" s="34" t="e" cm="1">
        <f t="array" aca="1" ref="S831" ca="1">IF(AND(G831=INDIRECT("'["&amp;G831&amp;"]"&amp;E831&amp;"'!"&amp;$AH$2),OR(I831=INDIRECT("'["&amp;G831&amp;"]"&amp;E831&amp;"'!"&amp;$AE$2))),INDIRECT("'["&amp;G831&amp;"]"&amp;E831&amp;"'!"&amp;$AE$3),0)</f>
        <v>#VALUE!</v>
      </c>
      <c r="T831" s="35" t="e" cm="1">
        <f t="array" aca="1" ref="T831" ca="1">IF(AND(G831=INDIRECT("'["&amp;G831&amp;"]"&amp;E831&amp;"'!"&amp;$AH$2),OR(I831=INDIRECT("'["&amp;G831&amp;"]"&amp;E831&amp;"'!"&amp;$AF$2))),INDIRECT("'["&amp;G831&amp;"]"&amp;E831&amp;"'!"&amp;$AF$3),0)</f>
        <v>#VALUE!</v>
      </c>
      <c r="U831" s="34" t="e" cm="1">
        <f t="array" aca="1" ref="U831" ca="1">IF(AND(G831=INDIRECT("'["&amp;G831&amp;"]"&amp;E831&amp;"'!"&amp;$AH$2),OR(I831=INDIRECT("'["&amp;G831&amp;"]"&amp;E831&amp;"'!"&amp;$AG$2))),INDIRECT("'["&amp;G831&amp;"]"&amp;E831&amp;"'!"&amp;$AG$3),0)</f>
        <v>#VALUE!</v>
      </c>
      <c r="V831" s="25" t="str">
        <f t="shared" si="227"/>
        <v/>
      </c>
      <c r="W831" s="36" t="e" cm="1">
        <f t="array" aca="1" ref="W831" ca="1">IF(AND(G831=INDIRECT("'["&amp;G831&amp;"]"&amp;E831&amp;"'!"&amp;$AH$2),OR(V831=INDIRECT("'["&amp;G831&amp;"]"&amp;E831&amp;"'!"&amp;$AI$2))),INDIRECT("'["&amp;G831&amp;"]"&amp;E831&amp;"'!"&amp;$AI$3),0)</f>
        <v>#VALUE!</v>
      </c>
      <c r="AJ831" s="25">
        <v>1</v>
      </c>
      <c r="AK831" s="38">
        <f t="shared" ca="1" si="228"/>
        <v>0</v>
      </c>
      <c r="AL831" s="38">
        <f t="shared" ca="1" si="229"/>
        <v>0</v>
      </c>
      <c r="AM831" s="54" t="str">
        <f t="shared" ca="1" si="230"/>
        <v/>
      </c>
      <c r="AN831" s="25" t="e">
        <f t="shared" ca="1" si="231"/>
        <v>#VALUE!</v>
      </c>
      <c r="AO831" s="25" t="e">
        <f t="shared" ca="1" si="232"/>
        <v>#VALUE!</v>
      </c>
      <c r="AQ831" s="46" t="str">
        <f ca="1">IF(AND(C831&lt;&gt;0, C832=0), SUM($C$2:C831)-SUM($AQ$1:AQ830), "")</f>
        <v/>
      </c>
      <c r="AR831" s="46" t="str">
        <f ca="1">IF(AND(AK831&lt;&gt;0, AK832=0), SUM($AK$2:AK831)-SUM($AR$1:AR830), "")</f>
        <v/>
      </c>
    </row>
    <row r="832" spans="2:44" ht="13.15" customHeight="1">
      <c r="B832" s="68" t="str">
        <f t="shared" si="218"/>
        <v/>
      </c>
      <c r="C832" s="55" cm="1">
        <f t="array" aca="1" ref="C832" ca="1">SUM(IF(ISNUMBER(M832:U832),M832:U832,""))</f>
        <v>0</v>
      </c>
      <c r="D832" s="25" t="str">
        <f t="shared" si="219"/>
        <v/>
      </c>
      <c r="E832" s="25" t="e">
        <f t="shared" si="220"/>
        <v>#VALUE!</v>
      </c>
      <c r="F832" s="25" t="str">
        <f t="shared" si="221"/>
        <v/>
      </c>
      <c r="G832" s="25" t="str">
        <f t="shared" si="222"/>
        <v>.xlsx</v>
      </c>
      <c r="H832" s="29" t="e" cm="1">
        <f t="array" aca="1" ref="H832" ca="1">IF(AND(VALUE(E832)=INDIRECT("'["&amp;G832&amp;"]"&amp;E832&amp;"'!"&amp;$X$2),G832=INDIRECT("'["&amp;G832&amp;"]"&amp;E832&amp;"'!"&amp;$X$3)),INDIRECT("'["&amp;G832&amp;"]"&amp;E832&amp;"'!"&amp;$X$1),0)</f>
        <v>#VALUE!</v>
      </c>
      <c r="I832" s="25" t="str">
        <f t="shared" si="223"/>
        <v/>
      </c>
      <c r="J832" s="32" t="str">
        <f t="shared" si="224"/>
        <v/>
      </c>
      <c r="K832" s="25" t="str">
        <f t="shared" si="225"/>
        <v/>
      </c>
      <c r="L832" s="25" t="str">
        <f t="shared" si="226"/>
        <v/>
      </c>
      <c r="M832" s="33" t="e" cm="1">
        <f t="array" aca="1" ref="M832" ca="1">IF(AND(J832=INDIRECT("'["&amp;G832&amp;"]"&amp;E832&amp;"'!"&amp;$Y$2),G832=INDIRECT("'["&amp;G832&amp;"]"&amp;E832&amp;"'!"&amp;$AH$2)),INDIRECT("'["&amp;G832&amp;"]"&amp;E832&amp;"'!"&amp;$Y$3),0)</f>
        <v>#VALUE!</v>
      </c>
      <c r="N832" s="34" t="e" cm="1">
        <f t="array" aca="1" ref="N832" ca="1">IF(AND(G832=INDIRECT("'["&amp;G832&amp;"]"&amp;E832&amp;"'!"&amp;$AH$2),OR(K832=INDIRECT("'["&amp;G832&amp;"]"&amp;E832&amp;"'!"&amp;$Z$2))),INDIRECT("'["&amp;G832&amp;"]"&amp;E832&amp;"'!"&amp;$Z$3),0)</f>
        <v>#VALUE!</v>
      </c>
      <c r="O832" s="34" t="e" cm="1">
        <f t="array" aca="1" ref="O832" ca="1">IF(AND(G832=INDIRECT("'["&amp;G832&amp;"]"&amp;E832&amp;"'!"&amp;$AH$2),OR(L832=INDIRECT("'["&amp;G832&amp;"]"&amp;E832&amp;"'!"&amp;$AA$2))),INDIRECT("'["&amp;G832&amp;"]"&amp;E832&amp;"'!"&amp;$AA$3),0)</f>
        <v>#VALUE!</v>
      </c>
      <c r="P832" s="34" t="e" cm="1">
        <f t="array" aca="1" ref="P832" ca="1">IF(AND(G832=INDIRECT("'["&amp;G832&amp;"]"&amp;E832&amp;"'!"&amp;$AH$2),OR(VALUE(I832)=INDIRECT("'["&amp;G832&amp;"]"&amp;E832&amp;"'!"&amp;$AB$2))),INDIRECT("'["&amp;G832&amp;"]"&amp;E832&amp;"'!"&amp;$AB$3),0)</f>
        <v>#VALUE!</v>
      </c>
      <c r="Q832" s="34" t="e" cm="1">
        <f t="array" aca="1" ref="Q832" ca="1">IF(AND(G832=INDIRECT("'["&amp;G832&amp;"]"&amp;E832&amp;"'!"&amp;$AH$2),OR(VALUE(I832)=INDIRECT("'["&amp;G832&amp;"]"&amp;E832&amp;"'!"&amp;$AC$2))),INDIRECT("'["&amp;G832&amp;"]"&amp;E832&amp;"'!"&amp;$AC$3),0)</f>
        <v>#VALUE!</v>
      </c>
      <c r="R832" s="34" t="e" cm="1">
        <f t="array" aca="1" ref="R832" ca="1">IF(AND(G832=INDIRECT("'["&amp;G832&amp;"]"&amp;E832&amp;"'!"&amp;$AH$2),OR(I832=INDIRECT("'["&amp;G832&amp;"]"&amp;E832&amp;"'!"&amp;$AD$2))),INDIRECT("'["&amp;G832&amp;"]"&amp;E832&amp;"'!"&amp;$AD$3),0)</f>
        <v>#VALUE!</v>
      </c>
      <c r="S832" s="34" t="e" cm="1">
        <f t="array" aca="1" ref="S832" ca="1">IF(AND(G832=INDIRECT("'["&amp;G832&amp;"]"&amp;E832&amp;"'!"&amp;$AH$2),OR(I832=INDIRECT("'["&amp;G832&amp;"]"&amp;E832&amp;"'!"&amp;$AE$2))),INDIRECT("'["&amp;G832&amp;"]"&amp;E832&amp;"'!"&amp;$AE$3),0)</f>
        <v>#VALUE!</v>
      </c>
      <c r="T832" s="35" t="e" cm="1">
        <f t="array" aca="1" ref="T832" ca="1">IF(AND(G832=INDIRECT("'["&amp;G832&amp;"]"&amp;E832&amp;"'!"&amp;$AH$2),OR(I832=INDIRECT("'["&amp;G832&amp;"]"&amp;E832&amp;"'!"&amp;$AF$2))),INDIRECT("'["&amp;G832&amp;"]"&amp;E832&amp;"'!"&amp;$AF$3),0)</f>
        <v>#VALUE!</v>
      </c>
      <c r="U832" s="34" t="e" cm="1">
        <f t="array" aca="1" ref="U832" ca="1">IF(AND(G832=INDIRECT("'["&amp;G832&amp;"]"&amp;E832&amp;"'!"&amp;$AH$2),OR(I832=INDIRECT("'["&amp;G832&amp;"]"&amp;E832&amp;"'!"&amp;$AG$2))),INDIRECT("'["&amp;G832&amp;"]"&amp;E832&amp;"'!"&amp;$AG$3),0)</f>
        <v>#VALUE!</v>
      </c>
      <c r="V832" s="25" t="str">
        <f t="shared" si="227"/>
        <v/>
      </c>
      <c r="W832" s="36" t="e" cm="1">
        <f t="array" aca="1" ref="W832" ca="1">IF(AND(G832=INDIRECT("'["&amp;G832&amp;"]"&amp;E832&amp;"'!"&amp;$AH$2),OR(V832=INDIRECT("'["&amp;G832&amp;"]"&amp;E832&amp;"'!"&amp;$AI$2))),INDIRECT("'["&amp;G832&amp;"]"&amp;E832&amp;"'!"&amp;$AI$3),0)</f>
        <v>#VALUE!</v>
      </c>
      <c r="AJ832" s="25">
        <v>1</v>
      </c>
      <c r="AK832" s="38">
        <f t="shared" ca="1" si="228"/>
        <v>0</v>
      </c>
      <c r="AL832" s="38">
        <f t="shared" ca="1" si="229"/>
        <v>0</v>
      </c>
      <c r="AM832" s="54" t="str">
        <f t="shared" ca="1" si="230"/>
        <v/>
      </c>
      <c r="AN832" s="25" t="e">
        <f t="shared" ca="1" si="231"/>
        <v>#VALUE!</v>
      </c>
      <c r="AO832" s="25" t="e">
        <f t="shared" ca="1" si="232"/>
        <v>#VALUE!</v>
      </c>
      <c r="AQ832" s="46" t="str">
        <f ca="1">IF(AND(C832&lt;&gt;0, C833=0), SUM($C$2:C832)-SUM($AQ$1:AQ831), "")</f>
        <v/>
      </c>
      <c r="AR832" s="46" t="str">
        <f ca="1">IF(AND(AK832&lt;&gt;0, AK833=0), SUM($AK$2:AK832)-SUM($AR$1:AR831), "")</f>
        <v/>
      </c>
    </row>
    <row r="833" spans="2:44" ht="13.15" customHeight="1">
      <c r="B833" s="68" t="str">
        <f t="shared" si="218"/>
        <v/>
      </c>
      <c r="C833" s="55" cm="1">
        <f t="array" aca="1" ref="C833" ca="1">SUM(IF(ISNUMBER(M833:U833),M833:U833,""))</f>
        <v>0</v>
      </c>
      <c r="D833" s="25" t="str">
        <f t="shared" si="219"/>
        <v/>
      </c>
      <c r="E833" s="25" t="e">
        <f t="shared" si="220"/>
        <v>#VALUE!</v>
      </c>
      <c r="F833" s="25" t="str">
        <f t="shared" si="221"/>
        <v/>
      </c>
      <c r="G833" s="25" t="str">
        <f t="shared" si="222"/>
        <v>.xlsx</v>
      </c>
      <c r="H833" s="29" t="e" cm="1">
        <f t="array" aca="1" ref="H833" ca="1">IF(AND(VALUE(E833)=INDIRECT("'["&amp;G833&amp;"]"&amp;E833&amp;"'!"&amp;$X$2),G833=INDIRECT("'["&amp;G833&amp;"]"&amp;E833&amp;"'!"&amp;$X$3)),INDIRECT("'["&amp;G833&amp;"]"&amp;E833&amp;"'!"&amp;$X$1),0)</f>
        <v>#VALUE!</v>
      </c>
      <c r="I833" s="25" t="str">
        <f t="shared" si="223"/>
        <v/>
      </c>
      <c r="J833" s="32" t="str">
        <f t="shared" si="224"/>
        <v/>
      </c>
      <c r="K833" s="25" t="str">
        <f t="shared" si="225"/>
        <v/>
      </c>
      <c r="L833" s="25" t="str">
        <f t="shared" si="226"/>
        <v/>
      </c>
      <c r="M833" s="33" t="e" cm="1">
        <f t="array" aca="1" ref="M833" ca="1">IF(AND(J833=INDIRECT("'["&amp;G833&amp;"]"&amp;E833&amp;"'!"&amp;$Y$2),G833=INDIRECT("'["&amp;G833&amp;"]"&amp;E833&amp;"'!"&amp;$AH$2)),INDIRECT("'["&amp;G833&amp;"]"&amp;E833&amp;"'!"&amp;$Y$3),0)</f>
        <v>#VALUE!</v>
      </c>
      <c r="N833" s="34" t="e" cm="1">
        <f t="array" aca="1" ref="N833" ca="1">IF(AND(G833=INDIRECT("'["&amp;G833&amp;"]"&amp;E833&amp;"'!"&amp;$AH$2),OR(K833=INDIRECT("'["&amp;G833&amp;"]"&amp;E833&amp;"'!"&amp;$Z$2))),INDIRECT("'["&amp;G833&amp;"]"&amp;E833&amp;"'!"&amp;$Z$3),0)</f>
        <v>#VALUE!</v>
      </c>
      <c r="O833" s="34" t="e" cm="1">
        <f t="array" aca="1" ref="O833" ca="1">IF(AND(G833=INDIRECT("'["&amp;G833&amp;"]"&amp;E833&amp;"'!"&amp;$AH$2),OR(L833=INDIRECT("'["&amp;G833&amp;"]"&amp;E833&amp;"'!"&amp;$AA$2))),INDIRECT("'["&amp;G833&amp;"]"&amp;E833&amp;"'!"&amp;$AA$3),0)</f>
        <v>#VALUE!</v>
      </c>
      <c r="P833" s="34" t="e" cm="1">
        <f t="array" aca="1" ref="P833" ca="1">IF(AND(G833=INDIRECT("'["&amp;G833&amp;"]"&amp;E833&amp;"'!"&amp;$AH$2),OR(VALUE(I833)=INDIRECT("'["&amp;G833&amp;"]"&amp;E833&amp;"'!"&amp;$AB$2))),INDIRECT("'["&amp;G833&amp;"]"&amp;E833&amp;"'!"&amp;$AB$3),0)</f>
        <v>#VALUE!</v>
      </c>
      <c r="Q833" s="34" t="e" cm="1">
        <f t="array" aca="1" ref="Q833" ca="1">IF(AND(G833=INDIRECT("'["&amp;G833&amp;"]"&amp;E833&amp;"'!"&amp;$AH$2),OR(VALUE(I833)=INDIRECT("'["&amp;G833&amp;"]"&amp;E833&amp;"'!"&amp;$AC$2))),INDIRECT("'["&amp;G833&amp;"]"&amp;E833&amp;"'!"&amp;$AC$3),0)</f>
        <v>#VALUE!</v>
      </c>
      <c r="R833" s="34" t="e" cm="1">
        <f t="array" aca="1" ref="R833" ca="1">IF(AND(G833=INDIRECT("'["&amp;G833&amp;"]"&amp;E833&amp;"'!"&amp;$AH$2),OR(I833=INDIRECT("'["&amp;G833&amp;"]"&amp;E833&amp;"'!"&amp;$AD$2))),INDIRECT("'["&amp;G833&amp;"]"&amp;E833&amp;"'!"&amp;$AD$3),0)</f>
        <v>#VALUE!</v>
      </c>
      <c r="S833" s="34" t="e" cm="1">
        <f t="array" aca="1" ref="S833" ca="1">IF(AND(G833=INDIRECT("'["&amp;G833&amp;"]"&amp;E833&amp;"'!"&amp;$AH$2),OR(I833=INDIRECT("'["&amp;G833&amp;"]"&amp;E833&amp;"'!"&amp;$AE$2))),INDIRECT("'["&amp;G833&amp;"]"&amp;E833&amp;"'!"&amp;$AE$3),0)</f>
        <v>#VALUE!</v>
      </c>
      <c r="T833" s="35" t="e" cm="1">
        <f t="array" aca="1" ref="T833" ca="1">IF(AND(G833=INDIRECT("'["&amp;G833&amp;"]"&amp;E833&amp;"'!"&amp;$AH$2),OR(I833=INDIRECT("'["&amp;G833&amp;"]"&amp;E833&amp;"'!"&amp;$AF$2))),INDIRECT("'["&amp;G833&amp;"]"&amp;E833&amp;"'!"&amp;$AF$3),0)</f>
        <v>#VALUE!</v>
      </c>
      <c r="U833" s="34" t="e" cm="1">
        <f t="array" aca="1" ref="U833" ca="1">IF(AND(G833=INDIRECT("'["&amp;G833&amp;"]"&amp;E833&amp;"'!"&amp;$AH$2),OR(I833=INDIRECT("'["&amp;G833&amp;"]"&amp;E833&amp;"'!"&amp;$AG$2))),INDIRECT("'["&amp;G833&amp;"]"&amp;E833&amp;"'!"&amp;$AG$3),0)</f>
        <v>#VALUE!</v>
      </c>
      <c r="V833" s="25" t="str">
        <f t="shared" si="227"/>
        <v/>
      </c>
      <c r="W833" s="36" t="e" cm="1">
        <f t="array" aca="1" ref="W833" ca="1">IF(AND(G833=INDIRECT("'["&amp;G833&amp;"]"&amp;E833&amp;"'!"&amp;$AH$2),OR(V833=INDIRECT("'["&amp;G833&amp;"]"&amp;E833&amp;"'!"&amp;$AI$2))),INDIRECT("'["&amp;G833&amp;"]"&amp;E833&amp;"'!"&amp;$AI$3),0)</f>
        <v>#VALUE!</v>
      </c>
      <c r="AJ833" s="25">
        <v>1</v>
      </c>
      <c r="AK833" s="38">
        <f t="shared" ca="1" si="228"/>
        <v>0</v>
      </c>
      <c r="AL833" s="38">
        <f t="shared" ca="1" si="229"/>
        <v>0</v>
      </c>
      <c r="AM833" s="54" t="str">
        <f t="shared" ca="1" si="230"/>
        <v/>
      </c>
      <c r="AN833" s="25" t="e">
        <f t="shared" ca="1" si="231"/>
        <v>#VALUE!</v>
      </c>
      <c r="AO833" s="25" t="e">
        <f t="shared" ca="1" si="232"/>
        <v>#VALUE!</v>
      </c>
      <c r="AQ833" s="46" t="str">
        <f ca="1">IF(AND(C833&lt;&gt;0, C834=0), SUM($C$2:C833)-SUM($AQ$1:AQ832), "")</f>
        <v/>
      </c>
      <c r="AR833" s="46" t="str">
        <f ca="1">IF(AND(AK833&lt;&gt;0, AK834=0), SUM($AK$2:AK833)-SUM($AR$1:AR832), "")</f>
        <v/>
      </c>
    </row>
    <row r="834" spans="2:44" ht="13.15" customHeight="1">
      <c r="B834" s="68" t="str">
        <f t="shared" si="218"/>
        <v/>
      </c>
      <c r="C834" s="55" cm="1">
        <f t="array" aca="1" ref="C834" ca="1">SUM(IF(ISNUMBER(M834:U834),M834:U834,""))</f>
        <v>0</v>
      </c>
      <c r="D834" s="25" t="str">
        <f t="shared" si="219"/>
        <v/>
      </c>
      <c r="E834" s="25" t="e">
        <f t="shared" si="220"/>
        <v>#VALUE!</v>
      </c>
      <c r="F834" s="25" t="str">
        <f t="shared" si="221"/>
        <v/>
      </c>
      <c r="G834" s="25" t="str">
        <f t="shared" si="222"/>
        <v>.xlsx</v>
      </c>
      <c r="H834" s="29" t="e" cm="1">
        <f t="array" aca="1" ref="H834" ca="1">IF(AND(VALUE(E834)=INDIRECT("'["&amp;G834&amp;"]"&amp;E834&amp;"'!"&amp;$X$2),G834=INDIRECT("'["&amp;G834&amp;"]"&amp;E834&amp;"'!"&amp;$X$3)),INDIRECT("'["&amp;G834&amp;"]"&amp;E834&amp;"'!"&amp;$X$1),0)</f>
        <v>#VALUE!</v>
      </c>
      <c r="I834" s="25" t="str">
        <f t="shared" si="223"/>
        <v/>
      </c>
      <c r="J834" s="32" t="str">
        <f t="shared" si="224"/>
        <v/>
      </c>
      <c r="K834" s="25" t="str">
        <f t="shared" si="225"/>
        <v/>
      </c>
      <c r="L834" s="25" t="str">
        <f t="shared" si="226"/>
        <v/>
      </c>
      <c r="M834" s="33" t="e" cm="1">
        <f t="array" aca="1" ref="M834" ca="1">IF(AND(J834=INDIRECT("'["&amp;G834&amp;"]"&amp;E834&amp;"'!"&amp;$Y$2),G834=INDIRECT("'["&amp;G834&amp;"]"&amp;E834&amp;"'!"&amp;$AH$2)),INDIRECT("'["&amp;G834&amp;"]"&amp;E834&amp;"'!"&amp;$Y$3),0)</f>
        <v>#VALUE!</v>
      </c>
      <c r="N834" s="34" t="e" cm="1">
        <f t="array" aca="1" ref="N834" ca="1">IF(AND(G834=INDIRECT("'["&amp;G834&amp;"]"&amp;E834&amp;"'!"&amp;$AH$2),OR(K834=INDIRECT("'["&amp;G834&amp;"]"&amp;E834&amp;"'!"&amp;$Z$2))),INDIRECT("'["&amp;G834&amp;"]"&amp;E834&amp;"'!"&amp;$Z$3),0)</f>
        <v>#VALUE!</v>
      </c>
      <c r="O834" s="34" t="e" cm="1">
        <f t="array" aca="1" ref="O834" ca="1">IF(AND(G834=INDIRECT("'["&amp;G834&amp;"]"&amp;E834&amp;"'!"&amp;$AH$2),OR(L834=INDIRECT("'["&amp;G834&amp;"]"&amp;E834&amp;"'!"&amp;$AA$2))),INDIRECT("'["&amp;G834&amp;"]"&amp;E834&amp;"'!"&amp;$AA$3),0)</f>
        <v>#VALUE!</v>
      </c>
      <c r="P834" s="34" t="e" cm="1">
        <f t="array" aca="1" ref="P834" ca="1">IF(AND(G834=INDIRECT("'["&amp;G834&amp;"]"&amp;E834&amp;"'!"&amp;$AH$2),OR(VALUE(I834)=INDIRECT("'["&amp;G834&amp;"]"&amp;E834&amp;"'!"&amp;$AB$2))),INDIRECT("'["&amp;G834&amp;"]"&amp;E834&amp;"'!"&amp;$AB$3),0)</f>
        <v>#VALUE!</v>
      </c>
      <c r="Q834" s="34" t="e" cm="1">
        <f t="array" aca="1" ref="Q834" ca="1">IF(AND(G834=INDIRECT("'["&amp;G834&amp;"]"&amp;E834&amp;"'!"&amp;$AH$2),OR(VALUE(I834)=INDIRECT("'["&amp;G834&amp;"]"&amp;E834&amp;"'!"&amp;$AC$2))),INDIRECT("'["&amp;G834&amp;"]"&amp;E834&amp;"'!"&amp;$AC$3),0)</f>
        <v>#VALUE!</v>
      </c>
      <c r="R834" s="34" t="e" cm="1">
        <f t="array" aca="1" ref="R834" ca="1">IF(AND(G834=INDIRECT("'["&amp;G834&amp;"]"&amp;E834&amp;"'!"&amp;$AH$2),OR(I834=INDIRECT("'["&amp;G834&amp;"]"&amp;E834&amp;"'!"&amp;$AD$2))),INDIRECT("'["&amp;G834&amp;"]"&amp;E834&amp;"'!"&amp;$AD$3),0)</f>
        <v>#VALUE!</v>
      </c>
      <c r="S834" s="34" t="e" cm="1">
        <f t="array" aca="1" ref="S834" ca="1">IF(AND(G834=INDIRECT("'["&amp;G834&amp;"]"&amp;E834&amp;"'!"&amp;$AH$2),OR(I834=INDIRECT("'["&amp;G834&amp;"]"&amp;E834&amp;"'!"&amp;$AE$2))),INDIRECT("'["&amp;G834&amp;"]"&amp;E834&amp;"'!"&amp;$AE$3),0)</f>
        <v>#VALUE!</v>
      </c>
      <c r="T834" s="35" t="e" cm="1">
        <f t="array" aca="1" ref="T834" ca="1">IF(AND(G834=INDIRECT("'["&amp;G834&amp;"]"&amp;E834&amp;"'!"&amp;$AH$2),OR(I834=INDIRECT("'["&amp;G834&amp;"]"&amp;E834&amp;"'!"&amp;$AF$2))),INDIRECT("'["&amp;G834&amp;"]"&amp;E834&amp;"'!"&amp;$AF$3),0)</f>
        <v>#VALUE!</v>
      </c>
      <c r="U834" s="34" t="e" cm="1">
        <f t="array" aca="1" ref="U834" ca="1">IF(AND(G834=INDIRECT("'["&amp;G834&amp;"]"&amp;E834&amp;"'!"&amp;$AH$2),OR(I834=INDIRECT("'["&amp;G834&amp;"]"&amp;E834&amp;"'!"&amp;$AG$2))),INDIRECT("'["&amp;G834&amp;"]"&amp;E834&amp;"'!"&amp;$AG$3),0)</f>
        <v>#VALUE!</v>
      </c>
      <c r="V834" s="25" t="str">
        <f t="shared" si="227"/>
        <v/>
      </c>
      <c r="W834" s="36" t="e" cm="1">
        <f t="array" aca="1" ref="W834" ca="1">IF(AND(G834=INDIRECT("'["&amp;G834&amp;"]"&amp;E834&amp;"'!"&amp;$AH$2),OR(V834=INDIRECT("'["&amp;G834&amp;"]"&amp;E834&amp;"'!"&amp;$AI$2))),INDIRECT("'["&amp;G834&amp;"]"&amp;E834&amp;"'!"&amp;$AI$3),0)</f>
        <v>#VALUE!</v>
      </c>
      <c r="AJ834" s="25">
        <v>1</v>
      </c>
      <c r="AK834" s="38">
        <f t="shared" ca="1" si="228"/>
        <v>0</v>
      </c>
      <c r="AL834" s="38">
        <f t="shared" ca="1" si="229"/>
        <v>0</v>
      </c>
      <c r="AM834" s="54" t="str">
        <f t="shared" ca="1" si="230"/>
        <v/>
      </c>
      <c r="AN834" s="25" t="e">
        <f t="shared" ca="1" si="231"/>
        <v>#VALUE!</v>
      </c>
      <c r="AO834" s="25" t="e">
        <f t="shared" ca="1" si="232"/>
        <v>#VALUE!</v>
      </c>
      <c r="AQ834" s="46" t="str">
        <f ca="1">IF(AND(C834&lt;&gt;0, C835=0), SUM($C$2:C834)-SUM($AQ$1:AQ833), "")</f>
        <v/>
      </c>
      <c r="AR834" s="46" t="str">
        <f ca="1">IF(AND(AK834&lt;&gt;0, AK835=0), SUM($AK$2:AK834)-SUM($AR$1:AR833), "")</f>
        <v/>
      </c>
    </row>
    <row r="835" spans="2:44" ht="13.15" customHeight="1">
      <c r="B835" s="68" t="str">
        <f t="shared" si="218"/>
        <v/>
      </c>
      <c r="C835" s="55" cm="1">
        <f t="array" aca="1" ref="C835" ca="1">SUM(IF(ISNUMBER(M835:U835),M835:U835,""))</f>
        <v>0</v>
      </c>
      <c r="D835" s="25" t="str">
        <f t="shared" si="219"/>
        <v/>
      </c>
      <c r="E835" s="25" t="e">
        <f t="shared" si="220"/>
        <v>#VALUE!</v>
      </c>
      <c r="F835" s="25" t="str">
        <f t="shared" si="221"/>
        <v/>
      </c>
      <c r="G835" s="25" t="str">
        <f t="shared" si="222"/>
        <v>.xlsx</v>
      </c>
      <c r="H835" s="29" t="e" cm="1">
        <f t="array" aca="1" ref="H835" ca="1">IF(AND(VALUE(E835)=INDIRECT("'["&amp;G835&amp;"]"&amp;E835&amp;"'!"&amp;$X$2),G835=INDIRECT("'["&amp;G835&amp;"]"&amp;E835&amp;"'!"&amp;$X$3)),INDIRECT("'["&amp;G835&amp;"]"&amp;E835&amp;"'!"&amp;$X$1),0)</f>
        <v>#VALUE!</v>
      </c>
      <c r="I835" s="25" t="str">
        <f t="shared" si="223"/>
        <v/>
      </c>
      <c r="J835" s="32" t="str">
        <f t="shared" si="224"/>
        <v/>
      </c>
      <c r="K835" s="25" t="str">
        <f t="shared" si="225"/>
        <v/>
      </c>
      <c r="L835" s="25" t="str">
        <f t="shared" si="226"/>
        <v/>
      </c>
      <c r="M835" s="33" t="e" cm="1">
        <f t="array" aca="1" ref="M835" ca="1">IF(AND(J835=INDIRECT("'["&amp;G835&amp;"]"&amp;E835&amp;"'!"&amp;$Y$2),G835=INDIRECT("'["&amp;G835&amp;"]"&amp;E835&amp;"'!"&amp;$AH$2)),INDIRECT("'["&amp;G835&amp;"]"&amp;E835&amp;"'!"&amp;$Y$3),0)</f>
        <v>#VALUE!</v>
      </c>
      <c r="N835" s="34" t="e" cm="1">
        <f t="array" aca="1" ref="N835" ca="1">IF(AND(G835=INDIRECT("'["&amp;G835&amp;"]"&amp;E835&amp;"'!"&amp;$AH$2),OR(K835=INDIRECT("'["&amp;G835&amp;"]"&amp;E835&amp;"'!"&amp;$Z$2))),INDIRECT("'["&amp;G835&amp;"]"&amp;E835&amp;"'!"&amp;$Z$3),0)</f>
        <v>#VALUE!</v>
      </c>
      <c r="O835" s="34" t="e" cm="1">
        <f t="array" aca="1" ref="O835" ca="1">IF(AND(G835=INDIRECT("'["&amp;G835&amp;"]"&amp;E835&amp;"'!"&amp;$AH$2),OR(L835=INDIRECT("'["&amp;G835&amp;"]"&amp;E835&amp;"'!"&amp;$AA$2))),INDIRECT("'["&amp;G835&amp;"]"&amp;E835&amp;"'!"&amp;$AA$3),0)</f>
        <v>#VALUE!</v>
      </c>
      <c r="P835" s="34" t="e" cm="1">
        <f t="array" aca="1" ref="P835" ca="1">IF(AND(G835=INDIRECT("'["&amp;G835&amp;"]"&amp;E835&amp;"'!"&amp;$AH$2),OR(VALUE(I835)=INDIRECT("'["&amp;G835&amp;"]"&amp;E835&amp;"'!"&amp;$AB$2))),INDIRECT("'["&amp;G835&amp;"]"&amp;E835&amp;"'!"&amp;$AB$3),0)</f>
        <v>#VALUE!</v>
      </c>
      <c r="Q835" s="34" t="e" cm="1">
        <f t="array" aca="1" ref="Q835" ca="1">IF(AND(G835=INDIRECT("'["&amp;G835&amp;"]"&amp;E835&amp;"'!"&amp;$AH$2),OR(VALUE(I835)=INDIRECT("'["&amp;G835&amp;"]"&amp;E835&amp;"'!"&amp;$AC$2))),INDIRECT("'["&amp;G835&amp;"]"&amp;E835&amp;"'!"&amp;$AC$3),0)</f>
        <v>#VALUE!</v>
      </c>
      <c r="R835" s="34" t="e" cm="1">
        <f t="array" aca="1" ref="R835" ca="1">IF(AND(G835=INDIRECT("'["&amp;G835&amp;"]"&amp;E835&amp;"'!"&amp;$AH$2),OR(I835=INDIRECT("'["&amp;G835&amp;"]"&amp;E835&amp;"'!"&amp;$AD$2))),INDIRECT("'["&amp;G835&amp;"]"&amp;E835&amp;"'!"&amp;$AD$3),0)</f>
        <v>#VALUE!</v>
      </c>
      <c r="S835" s="34" t="e" cm="1">
        <f t="array" aca="1" ref="S835" ca="1">IF(AND(G835=INDIRECT("'["&amp;G835&amp;"]"&amp;E835&amp;"'!"&amp;$AH$2),OR(I835=INDIRECT("'["&amp;G835&amp;"]"&amp;E835&amp;"'!"&amp;$AE$2))),INDIRECT("'["&amp;G835&amp;"]"&amp;E835&amp;"'!"&amp;$AE$3),0)</f>
        <v>#VALUE!</v>
      </c>
      <c r="T835" s="35" t="e" cm="1">
        <f t="array" aca="1" ref="T835" ca="1">IF(AND(G835=INDIRECT("'["&amp;G835&amp;"]"&amp;E835&amp;"'!"&amp;$AH$2),OR(I835=INDIRECT("'["&amp;G835&amp;"]"&amp;E835&amp;"'!"&amp;$AF$2))),INDIRECT("'["&amp;G835&amp;"]"&amp;E835&amp;"'!"&amp;$AF$3),0)</f>
        <v>#VALUE!</v>
      </c>
      <c r="U835" s="34" t="e" cm="1">
        <f t="array" aca="1" ref="U835" ca="1">IF(AND(G835=INDIRECT("'["&amp;G835&amp;"]"&amp;E835&amp;"'!"&amp;$AH$2),OR(I835=INDIRECT("'["&amp;G835&amp;"]"&amp;E835&amp;"'!"&amp;$AG$2))),INDIRECT("'["&amp;G835&amp;"]"&amp;E835&amp;"'!"&amp;$AG$3),0)</f>
        <v>#VALUE!</v>
      </c>
      <c r="V835" s="25" t="str">
        <f t="shared" si="227"/>
        <v/>
      </c>
      <c r="W835" s="36" t="e" cm="1">
        <f t="array" aca="1" ref="W835" ca="1">IF(AND(G835=INDIRECT("'["&amp;G835&amp;"]"&amp;E835&amp;"'!"&amp;$AH$2),OR(V835=INDIRECT("'["&amp;G835&amp;"]"&amp;E835&amp;"'!"&amp;$AI$2))),INDIRECT("'["&amp;G835&amp;"]"&amp;E835&amp;"'!"&amp;$AI$3),0)</f>
        <v>#VALUE!</v>
      </c>
      <c r="AJ835" s="25">
        <v>1</v>
      </c>
      <c r="AK835" s="38">
        <f t="shared" ca="1" si="228"/>
        <v>0</v>
      </c>
      <c r="AL835" s="38">
        <f t="shared" ca="1" si="229"/>
        <v>0</v>
      </c>
      <c r="AM835" s="54" t="str">
        <f t="shared" ca="1" si="230"/>
        <v/>
      </c>
      <c r="AN835" s="25" t="e">
        <f t="shared" ca="1" si="231"/>
        <v>#VALUE!</v>
      </c>
      <c r="AO835" s="25" t="e">
        <f t="shared" ca="1" si="232"/>
        <v>#VALUE!</v>
      </c>
      <c r="AQ835" s="46" t="str">
        <f ca="1">IF(AND(C835&lt;&gt;0, C836=0), SUM($C$2:C835)-SUM($AQ$1:AQ834), "")</f>
        <v/>
      </c>
      <c r="AR835" s="46" t="str">
        <f ca="1">IF(AND(AK835&lt;&gt;0, AK836=0), SUM($AK$2:AK835)-SUM($AR$1:AR834), "")</f>
        <v/>
      </c>
    </row>
    <row r="836" spans="2:44" ht="13.15" customHeight="1">
      <c r="B836" s="68" t="str">
        <f t="shared" si="218"/>
        <v/>
      </c>
      <c r="C836" s="55" cm="1">
        <f t="array" aca="1" ref="C836" ca="1">SUM(IF(ISNUMBER(M836:U836),M836:U836,""))</f>
        <v>0</v>
      </c>
      <c r="D836" s="25" t="str">
        <f t="shared" si="219"/>
        <v/>
      </c>
      <c r="E836" s="25" t="e">
        <f t="shared" si="220"/>
        <v>#VALUE!</v>
      </c>
      <c r="F836" s="25" t="str">
        <f t="shared" si="221"/>
        <v/>
      </c>
      <c r="G836" s="25" t="str">
        <f t="shared" si="222"/>
        <v>.xlsx</v>
      </c>
      <c r="H836" s="29" t="e" cm="1">
        <f t="array" aca="1" ref="H836" ca="1">IF(AND(VALUE(E836)=INDIRECT("'["&amp;G836&amp;"]"&amp;E836&amp;"'!"&amp;$X$2),G836=INDIRECT("'["&amp;G836&amp;"]"&amp;E836&amp;"'!"&amp;$X$3)),INDIRECT("'["&amp;G836&amp;"]"&amp;E836&amp;"'!"&amp;$X$1),0)</f>
        <v>#VALUE!</v>
      </c>
      <c r="I836" s="25" t="str">
        <f t="shared" si="223"/>
        <v/>
      </c>
      <c r="J836" s="32" t="str">
        <f t="shared" si="224"/>
        <v/>
      </c>
      <c r="K836" s="25" t="str">
        <f t="shared" si="225"/>
        <v/>
      </c>
      <c r="L836" s="25" t="str">
        <f t="shared" si="226"/>
        <v/>
      </c>
      <c r="M836" s="33" t="e" cm="1">
        <f t="array" aca="1" ref="M836" ca="1">IF(AND(J836=INDIRECT("'["&amp;G836&amp;"]"&amp;E836&amp;"'!"&amp;$Y$2),G836=INDIRECT("'["&amp;G836&amp;"]"&amp;E836&amp;"'!"&amp;$AH$2)),INDIRECT("'["&amp;G836&amp;"]"&amp;E836&amp;"'!"&amp;$Y$3),0)</f>
        <v>#VALUE!</v>
      </c>
      <c r="N836" s="34" t="e" cm="1">
        <f t="array" aca="1" ref="N836" ca="1">IF(AND(G836=INDIRECT("'["&amp;G836&amp;"]"&amp;E836&amp;"'!"&amp;$AH$2),OR(K836=INDIRECT("'["&amp;G836&amp;"]"&amp;E836&amp;"'!"&amp;$Z$2))),INDIRECT("'["&amp;G836&amp;"]"&amp;E836&amp;"'!"&amp;$Z$3),0)</f>
        <v>#VALUE!</v>
      </c>
      <c r="O836" s="34" t="e" cm="1">
        <f t="array" aca="1" ref="O836" ca="1">IF(AND(G836=INDIRECT("'["&amp;G836&amp;"]"&amp;E836&amp;"'!"&amp;$AH$2),OR(L836=INDIRECT("'["&amp;G836&amp;"]"&amp;E836&amp;"'!"&amp;$AA$2))),INDIRECT("'["&amp;G836&amp;"]"&amp;E836&amp;"'!"&amp;$AA$3),0)</f>
        <v>#VALUE!</v>
      </c>
      <c r="P836" s="34" t="e" cm="1">
        <f t="array" aca="1" ref="P836" ca="1">IF(AND(G836=INDIRECT("'["&amp;G836&amp;"]"&amp;E836&amp;"'!"&amp;$AH$2),OR(VALUE(I836)=INDIRECT("'["&amp;G836&amp;"]"&amp;E836&amp;"'!"&amp;$AB$2))),INDIRECT("'["&amp;G836&amp;"]"&amp;E836&amp;"'!"&amp;$AB$3),0)</f>
        <v>#VALUE!</v>
      </c>
      <c r="Q836" s="34" t="e" cm="1">
        <f t="array" aca="1" ref="Q836" ca="1">IF(AND(G836=INDIRECT("'["&amp;G836&amp;"]"&amp;E836&amp;"'!"&amp;$AH$2),OR(VALUE(I836)=INDIRECT("'["&amp;G836&amp;"]"&amp;E836&amp;"'!"&amp;$AC$2))),INDIRECT("'["&amp;G836&amp;"]"&amp;E836&amp;"'!"&amp;$AC$3),0)</f>
        <v>#VALUE!</v>
      </c>
      <c r="R836" s="34" t="e" cm="1">
        <f t="array" aca="1" ref="R836" ca="1">IF(AND(G836=INDIRECT("'["&amp;G836&amp;"]"&amp;E836&amp;"'!"&amp;$AH$2),OR(I836=INDIRECT("'["&amp;G836&amp;"]"&amp;E836&amp;"'!"&amp;$AD$2))),INDIRECT("'["&amp;G836&amp;"]"&amp;E836&amp;"'!"&amp;$AD$3),0)</f>
        <v>#VALUE!</v>
      </c>
      <c r="S836" s="34" t="e" cm="1">
        <f t="array" aca="1" ref="S836" ca="1">IF(AND(G836=INDIRECT("'["&amp;G836&amp;"]"&amp;E836&amp;"'!"&amp;$AH$2),OR(I836=INDIRECT("'["&amp;G836&amp;"]"&amp;E836&amp;"'!"&amp;$AE$2))),INDIRECT("'["&amp;G836&amp;"]"&amp;E836&amp;"'!"&amp;$AE$3),0)</f>
        <v>#VALUE!</v>
      </c>
      <c r="T836" s="35" t="e" cm="1">
        <f t="array" aca="1" ref="T836" ca="1">IF(AND(G836=INDIRECT("'["&amp;G836&amp;"]"&amp;E836&amp;"'!"&amp;$AH$2),OR(I836=INDIRECT("'["&amp;G836&amp;"]"&amp;E836&amp;"'!"&amp;$AF$2))),INDIRECT("'["&amp;G836&amp;"]"&amp;E836&amp;"'!"&amp;$AF$3),0)</f>
        <v>#VALUE!</v>
      </c>
      <c r="U836" s="34" t="e" cm="1">
        <f t="array" aca="1" ref="U836" ca="1">IF(AND(G836=INDIRECT("'["&amp;G836&amp;"]"&amp;E836&amp;"'!"&amp;$AH$2),OR(I836=INDIRECT("'["&amp;G836&amp;"]"&amp;E836&amp;"'!"&amp;$AG$2))),INDIRECT("'["&amp;G836&amp;"]"&amp;E836&amp;"'!"&amp;$AG$3),0)</f>
        <v>#VALUE!</v>
      </c>
      <c r="V836" s="25" t="str">
        <f t="shared" si="227"/>
        <v/>
      </c>
      <c r="W836" s="36" t="e" cm="1">
        <f t="array" aca="1" ref="W836" ca="1">IF(AND(G836=INDIRECT("'["&amp;G836&amp;"]"&amp;E836&amp;"'!"&amp;$AH$2),OR(V836=INDIRECT("'["&amp;G836&amp;"]"&amp;E836&amp;"'!"&amp;$AI$2))),INDIRECT("'["&amp;G836&amp;"]"&amp;E836&amp;"'!"&amp;$AI$3),0)</f>
        <v>#VALUE!</v>
      </c>
      <c r="AJ836" s="25">
        <v>1</v>
      </c>
      <c r="AK836" s="38">
        <f t="shared" ca="1" si="228"/>
        <v>0</v>
      </c>
      <c r="AL836" s="38">
        <f t="shared" ca="1" si="229"/>
        <v>0</v>
      </c>
      <c r="AM836" s="54" t="str">
        <f t="shared" ca="1" si="230"/>
        <v/>
      </c>
      <c r="AN836" s="25" t="e">
        <f t="shared" ca="1" si="231"/>
        <v>#VALUE!</v>
      </c>
      <c r="AO836" s="25" t="e">
        <f t="shared" ca="1" si="232"/>
        <v>#VALUE!</v>
      </c>
      <c r="AQ836" s="46" t="str">
        <f ca="1">IF(AND(C836&lt;&gt;0, C837=0), SUM($C$2:C836)-SUM($AQ$1:AQ835), "")</f>
        <v/>
      </c>
      <c r="AR836" s="46" t="str">
        <f ca="1">IF(AND(AK836&lt;&gt;0, AK837=0), SUM($AK$2:AK836)-SUM($AR$1:AR835), "")</f>
        <v/>
      </c>
    </row>
    <row r="837" spans="2:44" ht="13.15" customHeight="1">
      <c r="B837" s="68" t="str">
        <f t="shared" si="218"/>
        <v/>
      </c>
      <c r="C837" s="55" cm="1">
        <f t="array" aca="1" ref="C837" ca="1">SUM(IF(ISNUMBER(M837:U837),M837:U837,""))</f>
        <v>0</v>
      </c>
      <c r="D837" s="25" t="str">
        <f t="shared" si="219"/>
        <v/>
      </c>
      <c r="E837" s="25" t="e">
        <f t="shared" si="220"/>
        <v>#VALUE!</v>
      </c>
      <c r="F837" s="25" t="str">
        <f t="shared" si="221"/>
        <v/>
      </c>
      <c r="G837" s="25" t="str">
        <f t="shared" si="222"/>
        <v>.xlsx</v>
      </c>
      <c r="H837" s="29" t="e" cm="1">
        <f t="array" aca="1" ref="H837" ca="1">IF(AND(VALUE(E837)=INDIRECT("'["&amp;G837&amp;"]"&amp;E837&amp;"'!"&amp;$X$2),G837=INDIRECT("'["&amp;G837&amp;"]"&amp;E837&amp;"'!"&amp;$X$3)),INDIRECT("'["&amp;G837&amp;"]"&amp;E837&amp;"'!"&amp;$X$1),0)</f>
        <v>#VALUE!</v>
      </c>
      <c r="I837" s="25" t="str">
        <f t="shared" si="223"/>
        <v/>
      </c>
      <c r="J837" s="32" t="str">
        <f t="shared" si="224"/>
        <v/>
      </c>
      <c r="K837" s="25" t="str">
        <f t="shared" si="225"/>
        <v/>
      </c>
      <c r="L837" s="25" t="str">
        <f t="shared" si="226"/>
        <v/>
      </c>
      <c r="M837" s="33" t="e" cm="1">
        <f t="array" aca="1" ref="M837" ca="1">IF(AND(J837=INDIRECT("'["&amp;G837&amp;"]"&amp;E837&amp;"'!"&amp;$Y$2),G837=INDIRECT("'["&amp;G837&amp;"]"&amp;E837&amp;"'!"&amp;$AH$2)),INDIRECT("'["&amp;G837&amp;"]"&amp;E837&amp;"'!"&amp;$Y$3),0)</f>
        <v>#VALUE!</v>
      </c>
      <c r="N837" s="34" t="e" cm="1">
        <f t="array" aca="1" ref="N837" ca="1">IF(AND(G837=INDIRECT("'["&amp;G837&amp;"]"&amp;E837&amp;"'!"&amp;$AH$2),OR(K837=INDIRECT("'["&amp;G837&amp;"]"&amp;E837&amp;"'!"&amp;$Z$2))),INDIRECT("'["&amp;G837&amp;"]"&amp;E837&amp;"'!"&amp;$Z$3),0)</f>
        <v>#VALUE!</v>
      </c>
      <c r="O837" s="34" t="e" cm="1">
        <f t="array" aca="1" ref="O837" ca="1">IF(AND(G837=INDIRECT("'["&amp;G837&amp;"]"&amp;E837&amp;"'!"&amp;$AH$2),OR(L837=INDIRECT("'["&amp;G837&amp;"]"&amp;E837&amp;"'!"&amp;$AA$2))),INDIRECT("'["&amp;G837&amp;"]"&amp;E837&amp;"'!"&amp;$AA$3),0)</f>
        <v>#VALUE!</v>
      </c>
      <c r="P837" s="34" t="e" cm="1">
        <f t="array" aca="1" ref="P837" ca="1">IF(AND(G837=INDIRECT("'["&amp;G837&amp;"]"&amp;E837&amp;"'!"&amp;$AH$2),OR(VALUE(I837)=INDIRECT("'["&amp;G837&amp;"]"&amp;E837&amp;"'!"&amp;$AB$2))),INDIRECT("'["&amp;G837&amp;"]"&amp;E837&amp;"'!"&amp;$AB$3),0)</f>
        <v>#VALUE!</v>
      </c>
      <c r="Q837" s="34" t="e" cm="1">
        <f t="array" aca="1" ref="Q837" ca="1">IF(AND(G837=INDIRECT("'["&amp;G837&amp;"]"&amp;E837&amp;"'!"&amp;$AH$2),OR(VALUE(I837)=INDIRECT("'["&amp;G837&amp;"]"&amp;E837&amp;"'!"&amp;$AC$2))),INDIRECT("'["&amp;G837&amp;"]"&amp;E837&amp;"'!"&amp;$AC$3),0)</f>
        <v>#VALUE!</v>
      </c>
      <c r="R837" s="34" t="e" cm="1">
        <f t="array" aca="1" ref="R837" ca="1">IF(AND(G837=INDIRECT("'["&amp;G837&amp;"]"&amp;E837&amp;"'!"&amp;$AH$2),OR(I837=INDIRECT("'["&amp;G837&amp;"]"&amp;E837&amp;"'!"&amp;$AD$2))),INDIRECT("'["&amp;G837&amp;"]"&amp;E837&amp;"'!"&amp;$AD$3),0)</f>
        <v>#VALUE!</v>
      </c>
      <c r="S837" s="34" t="e" cm="1">
        <f t="array" aca="1" ref="S837" ca="1">IF(AND(G837=INDIRECT("'["&amp;G837&amp;"]"&amp;E837&amp;"'!"&amp;$AH$2),OR(I837=INDIRECT("'["&amp;G837&amp;"]"&amp;E837&amp;"'!"&amp;$AE$2))),INDIRECT("'["&amp;G837&amp;"]"&amp;E837&amp;"'!"&amp;$AE$3),0)</f>
        <v>#VALUE!</v>
      </c>
      <c r="T837" s="35" t="e" cm="1">
        <f t="array" aca="1" ref="T837" ca="1">IF(AND(G837=INDIRECT("'["&amp;G837&amp;"]"&amp;E837&amp;"'!"&amp;$AH$2),OR(I837=INDIRECT("'["&amp;G837&amp;"]"&amp;E837&amp;"'!"&amp;$AF$2))),INDIRECT("'["&amp;G837&amp;"]"&amp;E837&amp;"'!"&amp;$AF$3),0)</f>
        <v>#VALUE!</v>
      </c>
      <c r="U837" s="34" t="e" cm="1">
        <f t="array" aca="1" ref="U837" ca="1">IF(AND(G837=INDIRECT("'["&amp;G837&amp;"]"&amp;E837&amp;"'!"&amp;$AH$2),OR(I837=INDIRECT("'["&amp;G837&amp;"]"&amp;E837&amp;"'!"&amp;$AG$2))),INDIRECT("'["&amp;G837&amp;"]"&amp;E837&amp;"'!"&amp;$AG$3),0)</f>
        <v>#VALUE!</v>
      </c>
      <c r="V837" s="25" t="str">
        <f t="shared" si="227"/>
        <v/>
      </c>
      <c r="W837" s="36" t="e" cm="1">
        <f t="array" aca="1" ref="W837" ca="1">IF(AND(G837=INDIRECT("'["&amp;G837&amp;"]"&amp;E837&amp;"'!"&amp;$AH$2),OR(V837=INDIRECT("'["&amp;G837&amp;"]"&amp;E837&amp;"'!"&amp;$AI$2))),INDIRECT("'["&amp;G837&amp;"]"&amp;E837&amp;"'!"&amp;$AI$3),0)</f>
        <v>#VALUE!</v>
      </c>
      <c r="AJ837" s="25">
        <v>1</v>
      </c>
      <c r="AK837" s="38">
        <f t="shared" ca="1" si="228"/>
        <v>0</v>
      </c>
      <c r="AL837" s="38">
        <f t="shared" ca="1" si="229"/>
        <v>0</v>
      </c>
      <c r="AM837" s="54" t="str">
        <f t="shared" ca="1" si="230"/>
        <v/>
      </c>
      <c r="AN837" s="25" t="e">
        <f t="shared" ca="1" si="231"/>
        <v>#VALUE!</v>
      </c>
      <c r="AO837" s="25" t="e">
        <f t="shared" ca="1" si="232"/>
        <v>#VALUE!</v>
      </c>
      <c r="AQ837" s="46" t="str">
        <f ca="1">IF(AND(C837&lt;&gt;0, C838=0), SUM($C$2:C837)-SUM($AQ$1:AQ836), "")</f>
        <v/>
      </c>
      <c r="AR837" s="46" t="str">
        <f ca="1">IF(AND(AK837&lt;&gt;0, AK838=0), SUM($AK$2:AK837)-SUM($AR$1:AR836), "")</f>
        <v/>
      </c>
    </row>
    <row r="838" spans="2:44" ht="13.15" customHeight="1">
      <c r="B838" s="68" t="str">
        <f t="shared" si="218"/>
        <v/>
      </c>
      <c r="C838" s="55" cm="1">
        <f t="array" aca="1" ref="C838" ca="1">SUM(IF(ISNUMBER(M838:U838),M838:U838,""))</f>
        <v>0</v>
      </c>
      <c r="D838" s="25" t="str">
        <f t="shared" si="219"/>
        <v/>
      </c>
      <c r="E838" s="25" t="e">
        <f t="shared" si="220"/>
        <v>#VALUE!</v>
      </c>
      <c r="F838" s="25" t="str">
        <f t="shared" si="221"/>
        <v/>
      </c>
      <c r="G838" s="25" t="str">
        <f t="shared" si="222"/>
        <v>.xlsx</v>
      </c>
      <c r="H838" s="29" t="e" cm="1">
        <f t="array" aca="1" ref="H838" ca="1">IF(AND(VALUE(E838)=INDIRECT("'["&amp;G838&amp;"]"&amp;E838&amp;"'!"&amp;$X$2),G838=INDIRECT("'["&amp;G838&amp;"]"&amp;E838&amp;"'!"&amp;$X$3)),INDIRECT("'["&amp;G838&amp;"]"&amp;E838&amp;"'!"&amp;$X$1),0)</f>
        <v>#VALUE!</v>
      </c>
      <c r="I838" s="25" t="str">
        <f t="shared" si="223"/>
        <v/>
      </c>
      <c r="J838" s="32" t="str">
        <f t="shared" si="224"/>
        <v/>
      </c>
      <c r="K838" s="25" t="str">
        <f t="shared" si="225"/>
        <v/>
      </c>
      <c r="L838" s="25" t="str">
        <f t="shared" si="226"/>
        <v/>
      </c>
      <c r="M838" s="33" t="e" cm="1">
        <f t="array" aca="1" ref="M838" ca="1">IF(AND(J838=INDIRECT("'["&amp;G838&amp;"]"&amp;E838&amp;"'!"&amp;$Y$2),G838=INDIRECT("'["&amp;G838&amp;"]"&amp;E838&amp;"'!"&amp;$AH$2)),INDIRECT("'["&amp;G838&amp;"]"&amp;E838&amp;"'!"&amp;$Y$3),0)</f>
        <v>#VALUE!</v>
      </c>
      <c r="N838" s="34" t="e" cm="1">
        <f t="array" aca="1" ref="N838" ca="1">IF(AND(G838=INDIRECT("'["&amp;G838&amp;"]"&amp;E838&amp;"'!"&amp;$AH$2),OR(K838=INDIRECT("'["&amp;G838&amp;"]"&amp;E838&amp;"'!"&amp;$Z$2))),INDIRECT("'["&amp;G838&amp;"]"&amp;E838&amp;"'!"&amp;$Z$3),0)</f>
        <v>#VALUE!</v>
      </c>
      <c r="O838" s="34" t="e" cm="1">
        <f t="array" aca="1" ref="O838" ca="1">IF(AND(G838=INDIRECT("'["&amp;G838&amp;"]"&amp;E838&amp;"'!"&amp;$AH$2),OR(L838=INDIRECT("'["&amp;G838&amp;"]"&amp;E838&amp;"'!"&amp;$AA$2))),INDIRECT("'["&amp;G838&amp;"]"&amp;E838&amp;"'!"&amp;$AA$3),0)</f>
        <v>#VALUE!</v>
      </c>
      <c r="P838" s="34" t="e" cm="1">
        <f t="array" aca="1" ref="P838" ca="1">IF(AND(G838=INDIRECT("'["&amp;G838&amp;"]"&amp;E838&amp;"'!"&amp;$AH$2),OR(VALUE(I838)=INDIRECT("'["&amp;G838&amp;"]"&amp;E838&amp;"'!"&amp;$AB$2))),INDIRECT("'["&amp;G838&amp;"]"&amp;E838&amp;"'!"&amp;$AB$3),0)</f>
        <v>#VALUE!</v>
      </c>
      <c r="Q838" s="34" t="e" cm="1">
        <f t="array" aca="1" ref="Q838" ca="1">IF(AND(G838=INDIRECT("'["&amp;G838&amp;"]"&amp;E838&amp;"'!"&amp;$AH$2),OR(VALUE(I838)=INDIRECT("'["&amp;G838&amp;"]"&amp;E838&amp;"'!"&amp;$AC$2))),INDIRECT("'["&amp;G838&amp;"]"&amp;E838&amp;"'!"&amp;$AC$3),0)</f>
        <v>#VALUE!</v>
      </c>
      <c r="R838" s="34" t="e" cm="1">
        <f t="array" aca="1" ref="R838" ca="1">IF(AND(G838=INDIRECT("'["&amp;G838&amp;"]"&amp;E838&amp;"'!"&amp;$AH$2),OR(I838=INDIRECT("'["&amp;G838&amp;"]"&amp;E838&amp;"'!"&amp;$AD$2))),INDIRECT("'["&amp;G838&amp;"]"&amp;E838&amp;"'!"&amp;$AD$3),0)</f>
        <v>#VALUE!</v>
      </c>
      <c r="S838" s="34" t="e" cm="1">
        <f t="array" aca="1" ref="S838" ca="1">IF(AND(G838=INDIRECT("'["&amp;G838&amp;"]"&amp;E838&amp;"'!"&amp;$AH$2),OR(I838=INDIRECT("'["&amp;G838&amp;"]"&amp;E838&amp;"'!"&amp;$AE$2))),INDIRECT("'["&amp;G838&amp;"]"&amp;E838&amp;"'!"&amp;$AE$3),0)</f>
        <v>#VALUE!</v>
      </c>
      <c r="T838" s="35" t="e" cm="1">
        <f t="array" aca="1" ref="T838" ca="1">IF(AND(G838=INDIRECT("'["&amp;G838&amp;"]"&amp;E838&amp;"'!"&amp;$AH$2),OR(I838=INDIRECT("'["&amp;G838&amp;"]"&amp;E838&amp;"'!"&amp;$AF$2))),INDIRECT("'["&amp;G838&amp;"]"&amp;E838&amp;"'!"&amp;$AF$3),0)</f>
        <v>#VALUE!</v>
      </c>
      <c r="U838" s="34" t="e" cm="1">
        <f t="array" aca="1" ref="U838" ca="1">IF(AND(G838=INDIRECT("'["&amp;G838&amp;"]"&amp;E838&amp;"'!"&amp;$AH$2),OR(I838=INDIRECT("'["&amp;G838&amp;"]"&amp;E838&amp;"'!"&amp;$AG$2))),INDIRECT("'["&amp;G838&amp;"]"&amp;E838&amp;"'!"&amp;$AG$3),0)</f>
        <v>#VALUE!</v>
      </c>
      <c r="V838" s="25" t="str">
        <f t="shared" si="227"/>
        <v/>
      </c>
      <c r="W838" s="36" t="e" cm="1">
        <f t="array" aca="1" ref="W838" ca="1">IF(AND(G838=INDIRECT("'["&amp;G838&amp;"]"&amp;E838&amp;"'!"&amp;$AH$2),OR(V838=INDIRECT("'["&amp;G838&amp;"]"&amp;E838&amp;"'!"&amp;$AI$2))),INDIRECT("'["&amp;G838&amp;"]"&amp;E838&amp;"'!"&amp;$AI$3),0)</f>
        <v>#VALUE!</v>
      </c>
      <c r="AJ838" s="25">
        <v>1</v>
      </c>
      <c r="AK838" s="38">
        <f t="shared" ca="1" si="228"/>
        <v>0</v>
      </c>
      <c r="AL838" s="38">
        <f t="shared" ca="1" si="229"/>
        <v>0</v>
      </c>
      <c r="AM838" s="54" t="str">
        <f t="shared" ca="1" si="230"/>
        <v/>
      </c>
      <c r="AN838" s="25" t="e">
        <f t="shared" ca="1" si="231"/>
        <v>#VALUE!</v>
      </c>
      <c r="AO838" s="25" t="e">
        <f t="shared" ca="1" si="232"/>
        <v>#VALUE!</v>
      </c>
      <c r="AQ838" s="46" t="str">
        <f ca="1">IF(AND(C838&lt;&gt;0, C839=0), SUM($C$2:C838)-SUM($AQ$1:AQ837), "")</f>
        <v/>
      </c>
      <c r="AR838" s="46" t="str">
        <f ca="1">IF(AND(AK838&lt;&gt;0, AK839=0), SUM($AK$2:AK838)-SUM($AR$1:AR837), "")</f>
        <v/>
      </c>
    </row>
    <row r="839" spans="2:44" ht="13.15" customHeight="1">
      <c r="B839" s="68" t="str">
        <f t="shared" si="218"/>
        <v/>
      </c>
      <c r="C839" s="55" cm="1">
        <f t="array" aca="1" ref="C839" ca="1">SUM(IF(ISNUMBER(M839:U839),M839:U839,""))</f>
        <v>0</v>
      </c>
      <c r="D839" s="25" t="str">
        <f t="shared" si="219"/>
        <v/>
      </c>
      <c r="E839" s="25" t="e">
        <f t="shared" si="220"/>
        <v>#VALUE!</v>
      </c>
      <c r="F839" s="25" t="str">
        <f t="shared" si="221"/>
        <v/>
      </c>
      <c r="G839" s="25" t="str">
        <f t="shared" si="222"/>
        <v>.xlsx</v>
      </c>
      <c r="H839" s="29" t="e" cm="1">
        <f t="array" aca="1" ref="H839" ca="1">IF(AND(VALUE(E839)=INDIRECT("'["&amp;G839&amp;"]"&amp;E839&amp;"'!"&amp;$X$2),G839=INDIRECT("'["&amp;G839&amp;"]"&amp;E839&amp;"'!"&amp;$X$3)),INDIRECT("'["&amp;G839&amp;"]"&amp;E839&amp;"'!"&amp;$X$1),0)</f>
        <v>#VALUE!</v>
      </c>
      <c r="I839" s="25" t="str">
        <f t="shared" si="223"/>
        <v/>
      </c>
      <c r="J839" s="32" t="str">
        <f t="shared" si="224"/>
        <v/>
      </c>
      <c r="K839" s="25" t="str">
        <f t="shared" si="225"/>
        <v/>
      </c>
      <c r="L839" s="25" t="str">
        <f t="shared" si="226"/>
        <v/>
      </c>
      <c r="M839" s="33" t="e" cm="1">
        <f t="array" aca="1" ref="M839" ca="1">IF(AND(J839=INDIRECT("'["&amp;G839&amp;"]"&amp;E839&amp;"'!"&amp;$Y$2),G839=INDIRECT("'["&amp;G839&amp;"]"&amp;E839&amp;"'!"&amp;$AH$2)),INDIRECT("'["&amp;G839&amp;"]"&amp;E839&amp;"'!"&amp;$Y$3),0)</f>
        <v>#VALUE!</v>
      </c>
      <c r="N839" s="34" t="e" cm="1">
        <f t="array" aca="1" ref="N839" ca="1">IF(AND(G839=INDIRECT("'["&amp;G839&amp;"]"&amp;E839&amp;"'!"&amp;$AH$2),OR(K839=INDIRECT("'["&amp;G839&amp;"]"&amp;E839&amp;"'!"&amp;$Z$2))),INDIRECT("'["&amp;G839&amp;"]"&amp;E839&amp;"'!"&amp;$Z$3),0)</f>
        <v>#VALUE!</v>
      </c>
      <c r="O839" s="34" t="e" cm="1">
        <f t="array" aca="1" ref="O839" ca="1">IF(AND(G839=INDIRECT("'["&amp;G839&amp;"]"&amp;E839&amp;"'!"&amp;$AH$2),OR(L839=INDIRECT("'["&amp;G839&amp;"]"&amp;E839&amp;"'!"&amp;$AA$2))),INDIRECT("'["&amp;G839&amp;"]"&amp;E839&amp;"'!"&amp;$AA$3),0)</f>
        <v>#VALUE!</v>
      </c>
      <c r="P839" s="34" t="e" cm="1">
        <f t="array" aca="1" ref="P839" ca="1">IF(AND(G839=INDIRECT("'["&amp;G839&amp;"]"&amp;E839&amp;"'!"&amp;$AH$2),OR(VALUE(I839)=INDIRECT("'["&amp;G839&amp;"]"&amp;E839&amp;"'!"&amp;$AB$2))),INDIRECT("'["&amp;G839&amp;"]"&amp;E839&amp;"'!"&amp;$AB$3),0)</f>
        <v>#VALUE!</v>
      </c>
      <c r="Q839" s="34" t="e" cm="1">
        <f t="array" aca="1" ref="Q839" ca="1">IF(AND(G839=INDIRECT("'["&amp;G839&amp;"]"&amp;E839&amp;"'!"&amp;$AH$2),OR(VALUE(I839)=INDIRECT("'["&amp;G839&amp;"]"&amp;E839&amp;"'!"&amp;$AC$2))),INDIRECT("'["&amp;G839&amp;"]"&amp;E839&amp;"'!"&amp;$AC$3),0)</f>
        <v>#VALUE!</v>
      </c>
      <c r="R839" s="34" t="e" cm="1">
        <f t="array" aca="1" ref="R839" ca="1">IF(AND(G839=INDIRECT("'["&amp;G839&amp;"]"&amp;E839&amp;"'!"&amp;$AH$2),OR(I839=INDIRECT("'["&amp;G839&amp;"]"&amp;E839&amp;"'!"&amp;$AD$2))),INDIRECT("'["&amp;G839&amp;"]"&amp;E839&amp;"'!"&amp;$AD$3),0)</f>
        <v>#VALUE!</v>
      </c>
      <c r="S839" s="34" t="e" cm="1">
        <f t="array" aca="1" ref="S839" ca="1">IF(AND(G839=INDIRECT("'["&amp;G839&amp;"]"&amp;E839&amp;"'!"&amp;$AH$2),OR(I839=INDIRECT("'["&amp;G839&amp;"]"&amp;E839&amp;"'!"&amp;$AE$2))),INDIRECT("'["&amp;G839&amp;"]"&amp;E839&amp;"'!"&amp;$AE$3),0)</f>
        <v>#VALUE!</v>
      </c>
      <c r="T839" s="35" t="e" cm="1">
        <f t="array" aca="1" ref="T839" ca="1">IF(AND(G839=INDIRECT("'["&amp;G839&amp;"]"&amp;E839&amp;"'!"&amp;$AH$2),OR(I839=INDIRECT("'["&amp;G839&amp;"]"&amp;E839&amp;"'!"&amp;$AF$2))),INDIRECT("'["&amp;G839&amp;"]"&amp;E839&amp;"'!"&amp;$AF$3),0)</f>
        <v>#VALUE!</v>
      </c>
      <c r="U839" s="34" t="e" cm="1">
        <f t="array" aca="1" ref="U839" ca="1">IF(AND(G839=INDIRECT("'["&amp;G839&amp;"]"&amp;E839&amp;"'!"&amp;$AH$2),OR(I839=INDIRECT("'["&amp;G839&amp;"]"&amp;E839&amp;"'!"&amp;$AG$2))),INDIRECT("'["&amp;G839&amp;"]"&amp;E839&amp;"'!"&amp;$AG$3),0)</f>
        <v>#VALUE!</v>
      </c>
      <c r="V839" s="25" t="str">
        <f t="shared" si="227"/>
        <v/>
      </c>
      <c r="W839" s="36" t="e" cm="1">
        <f t="array" aca="1" ref="W839" ca="1">IF(AND(G839=INDIRECT("'["&amp;G839&amp;"]"&amp;E839&amp;"'!"&amp;$AH$2),OR(V839=INDIRECT("'["&amp;G839&amp;"]"&amp;E839&amp;"'!"&amp;$AI$2))),INDIRECT("'["&amp;G839&amp;"]"&amp;E839&amp;"'!"&amp;$AI$3),0)</f>
        <v>#VALUE!</v>
      </c>
      <c r="AJ839" s="25">
        <v>1</v>
      </c>
      <c r="AK839" s="38">
        <f t="shared" ca="1" si="228"/>
        <v>0</v>
      </c>
      <c r="AL839" s="38">
        <f t="shared" ca="1" si="229"/>
        <v>0</v>
      </c>
      <c r="AM839" s="54" t="str">
        <f t="shared" ca="1" si="230"/>
        <v/>
      </c>
      <c r="AN839" s="25" t="e">
        <f t="shared" ca="1" si="231"/>
        <v>#VALUE!</v>
      </c>
      <c r="AO839" s="25" t="e">
        <f t="shared" ca="1" si="232"/>
        <v>#VALUE!</v>
      </c>
      <c r="AQ839" s="46" t="str">
        <f ca="1">IF(AND(C839&lt;&gt;0, C840=0), SUM($C$2:C839)-SUM($AQ$1:AQ838), "")</f>
        <v/>
      </c>
      <c r="AR839" s="46" t="str">
        <f ca="1">IF(AND(AK839&lt;&gt;0, AK840=0), SUM($AK$2:AK839)-SUM($AR$1:AR838), "")</f>
        <v/>
      </c>
    </row>
    <row r="840" spans="2:44" ht="13.15" customHeight="1">
      <c r="B840" s="68" t="str">
        <f t="shared" si="218"/>
        <v/>
      </c>
      <c r="C840" s="55" cm="1">
        <f t="array" aca="1" ref="C840" ca="1">SUM(IF(ISNUMBER(M840:U840),M840:U840,""))</f>
        <v>0</v>
      </c>
      <c r="D840" s="25" t="str">
        <f t="shared" si="219"/>
        <v/>
      </c>
      <c r="E840" s="25" t="e">
        <f t="shared" si="220"/>
        <v>#VALUE!</v>
      </c>
      <c r="F840" s="25" t="str">
        <f t="shared" si="221"/>
        <v/>
      </c>
      <c r="G840" s="25" t="str">
        <f t="shared" si="222"/>
        <v>.xlsx</v>
      </c>
      <c r="H840" s="29" t="e" cm="1">
        <f t="array" aca="1" ref="H840" ca="1">IF(AND(VALUE(E840)=INDIRECT("'["&amp;G840&amp;"]"&amp;E840&amp;"'!"&amp;$X$2),G840=INDIRECT("'["&amp;G840&amp;"]"&amp;E840&amp;"'!"&amp;$X$3)),INDIRECT("'["&amp;G840&amp;"]"&amp;E840&amp;"'!"&amp;$X$1),0)</f>
        <v>#VALUE!</v>
      </c>
      <c r="I840" s="25" t="str">
        <f t="shared" si="223"/>
        <v/>
      </c>
      <c r="J840" s="32" t="str">
        <f t="shared" si="224"/>
        <v/>
      </c>
      <c r="K840" s="25" t="str">
        <f t="shared" si="225"/>
        <v/>
      </c>
      <c r="L840" s="25" t="str">
        <f t="shared" si="226"/>
        <v/>
      </c>
      <c r="M840" s="33" t="e" cm="1">
        <f t="array" aca="1" ref="M840" ca="1">IF(AND(J840=INDIRECT("'["&amp;G840&amp;"]"&amp;E840&amp;"'!"&amp;$Y$2),G840=INDIRECT("'["&amp;G840&amp;"]"&amp;E840&amp;"'!"&amp;$AH$2)),INDIRECT("'["&amp;G840&amp;"]"&amp;E840&amp;"'!"&amp;$Y$3),0)</f>
        <v>#VALUE!</v>
      </c>
      <c r="N840" s="34" t="e" cm="1">
        <f t="array" aca="1" ref="N840" ca="1">IF(AND(G840=INDIRECT("'["&amp;G840&amp;"]"&amp;E840&amp;"'!"&amp;$AH$2),OR(K840=INDIRECT("'["&amp;G840&amp;"]"&amp;E840&amp;"'!"&amp;$Z$2))),INDIRECT("'["&amp;G840&amp;"]"&amp;E840&amp;"'!"&amp;$Z$3),0)</f>
        <v>#VALUE!</v>
      </c>
      <c r="O840" s="34" t="e" cm="1">
        <f t="array" aca="1" ref="O840" ca="1">IF(AND(G840=INDIRECT("'["&amp;G840&amp;"]"&amp;E840&amp;"'!"&amp;$AH$2),OR(L840=INDIRECT("'["&amp;G840&amp;"]"&amp;E840&amp;"'!"&amp;$AA$2))),INDIRECT("'["&amp;G840&amp;"]"&amp;E840&amp;"'!"&amp;$AA$3),0)</f>
        <v>#VALUE!</v>
      </c>
      <c r="P840" s="34" t="e" cm="1">
        <f t="array" aca="1" ref="P840" ca="1">IF(AND(G840=INDIRECT("'["&amp;G840&amp;"]"&amp;E840&amp;"'!"&amp;$AH$2),OR(VALUE(I840)=INDIRECT("'["&amp;G840&amp;"]"&amp;E840&amp;"'!"&amp;$AB$2))),INDIRECT("'["&amp;G840&amp;"]"&amp;E840&amp;"'!"&amp;$AB$3),0)</f>
        <v>#VALUE!</v>
      </c>
      <c r="Q840" s="34" t="e" cm="1">
        <f t="array" aca="1" ref="Q840" ca="1">IF(AND(G840=INDIRECT("'["&amp;G840&amp;"]"&amp;E840&amp;"'!"&amp;$AH$2),OR(VALUE(I840)=INDIRECT("'["&amp;G840&amp;"]"&amp;E840&amp;"'!"&amp;$AC$2))),INDIRECT("'["&amp;G840&amp;"]"&amp;E840&amp;"'!"&amp;$AC$3),0)</f>
        <v>#VALUE!</v>
      </c>
      <c r="R840" s="34" t="e" cm="1">
        <f t="array" aca="1" ref="R840" ca="1">IF(AND(G840=INDIRECT("'["&amp;G840&amp;"]"&amp;E840&amp;"'!"&amp;$AH$2),OR(I840=INDIRECT("'["&amp;G840&amp;"]"&amp;E840&amp;"'!"&amp;$AD$2))),INDIRECT("'["&amp;G840&amp;"]"&amp;E840&amp;"'!"&amp;$AD$3),0)</f>
        <v>#VALUE!</v>
      </c>
      <c r="S840" s="34" t="e" cm="1">
        <f t="array" aca="1" ref="S840" ca="1">IF(AND(G840=INDIRECT("'["&amp;G840&amp;"]"&amp;E840&amp;"'!"&amp;$AH$2),OR(I840=INDIRECT("'["&amp;G840&amp;"]"&amp;E840&amp;"'!"&amp;$AE$2))),INDIRECT("'["&amp;G840&amp;"]"&amp;E840&amp;"'!"&amp;$AE$3),0)</f>
        <v>#VALUE!</v>
      </c>
      <c r="T840" s="35" t="e" cm="1">
        <f t="array" aca="1" ref="T840" ca="1">IF(AND(G840=INDIRECT("'["&amp;G840&amp;"]"&amp;E840&amp;"'!"&amp;$AH$2),OR(I840=INDIRECT("'["&amp;G840&amp;"]"&amp;E840&amp;"'!"&amp;$AF$2))),INDIRECT("'["&amp;G840&amp;"]"&amp;E840&amp;"'!"&amp;$AF$3),0)</f>
        <v>#VALUE!</v>
      </c>
      <c r="U840" s="34" t="e" cm="1">
        <f t="array" aca="1" ref="U840" ca="1">IF(AND(G840=INDIRECT("'["&amp;G840&amp;"]"&amp;E840&amp;"'!"&amp;$AH$2),OR(I840=INDIRECT("'["&amp;G840&amp;"]"&amp;E840&amp;"'!"&amp;$AG$2))),INDIRECT("'["&amp;G840&amp;"]"&amp;E840&amp;"'!"&amp;$AG$3),0)</f>
        <v>#VALUE!</v>
      </c>
      <c r="V840" s="25" t="str">
        <f t="shared" si="227"/>
        <v/>
      </c>
      <c r="W840" s="36" t="e" cm="1">
        <f t="array" aca="1" ref="W840" ca="1">IF(AND(G840=INDIRECT("'["&amp;G840&amp;"]"&amp;E840&amp;"'!"&amp;$AH$2),OR(V840=INDIRECT("'["&amp;G840&amp;"]"&amp;E840&amp;"'!"&amp;$AI$2))),INDIRECT("'["&amp;G840&amp;"]"&amp;E840&amp;"'!"&amp;$AI$3),0)</f>
        <v>#VALUE!</v>
      </c>
      <c r="AJ840" s="25">
        <v>1</v>
      </c>
      <c r="AK840" s="38">
        <f t="shared" ca="1" si="228"/>
        <v>0</v>
      </c>
      <c r="AL840" s="38">
        <f t="shared" ca="1" si="229"/>
        <v>0</v>
      </c>
      <c r="AM840" s="54" t="str">
        <f t="shared" ca="1" si="230"/>
        <v/>
      </c>
      <c r="AN840" s="25" t="e">
        <f t="shared" ca="1" si="231"/>
        <v>#VALUE!</v>
      </c>
      <c r="AO840" s="25" t="e">
        <f t="shared" ca="1" si="232"/>
        <v>#VALUE!</v>
      </c>
      <c r="AQ840" s="46" t="str">
        <f ca="1">IF(AND(C840&lt;&gt;0, C841=0), SUM($C$2:C840)-SUM($AQ$1:AQ839), "")</f>
        <v/>
      </c>
      <c r="AR840" s="46" t="str">
        <f ca="1">IF(AND(AK840&lt;&gt;0, AK841=0), SUM($AK$2:AK840)-SUM($AR$1:AR839), "")</f>
        <v/>
      </c>
    </row>
    <row r="841" spans="2:44" ht="13.15" customHeight="1">
      <c r="B841" s="68" t="str">
        <f t="shared" si="218"/>
        <v/>
      </c>
      <c r="C841" s="55" cm="1">
        <f t="array" aca="1" ref="C841" ca="1">SUM(IF(ISNUMBER(M841:U841),M841:U841,""))</f>
        <v>0</v>
      </c>
      <c r="D841" s="25" t="str">
        <f t="shared" si="219"/>
        <v/>
      </c>
      <c r="E841" s="25" t="e">
        <f t="shared" si="220"/>
        <v>#VALUE!</v>
      </c>
      <c r="F841" s="25" t="str">
        <f t="shared" si="221"/>
        <v/>
      </c>
      <c r="G841" s="25" t="str">
        <f t="shared" si="222"/>
        <v>.xlsx</v>
      </c>
      <c r="H841" s="29" t="e" cm="1">
        <f t="array" aca="1" ref="H841" ca="1">IF(AND(VALUE(E841)=INDIRECT("'["&amp;G841&amp;"]"&amp;E841&amp;"'!"&amp;$X$2),G841=INDIRECT("'["&amp;G841&amp;"]"&amp;E841&amp;"'!"&amp;$X$3)),INDIRECT("'["&amp;G841&amp;"]"&amp;E841&amp;"'!"&amp;$X$1),0)</f>
        <v>#VALUE!</v>
      </c>
      <c r="I841" s="25" t="str">
        <f t="shared" si="223"/>
        <v/>
      </c>
      <c r="J841" s="32" t="str">
        <f t="shared" si="224"/>
        <v/>
      </c>
      <c r="K841" s="25" t="str">
        <f t="shared" si="225"/>
        <v/>
      </c>
      <c r="L841" s="25" t="str">
        <f t="shared" si="226"/>
        <v/>
      </c>
      <c r="M841" s="33" t="e" cm="1">
        <f t="array" aca="1" ref="M841" ca="1">IF(AND(J841=INDIRECT("'["&amp;G841&amp;"]"&amp;E841&amp;"'!"&amp;$Y$2),G841=INDIRECT("'["&amp;G841&amp;"]"&amp;E841&amp;"'!"&amp;$AH$2)),INDIRECT("'["&amp;G841&amp;"]"&amp;E841&amp;"'!"&amp;$Y$3),0)</f>
        <v>#VALUE!</v>
      </c>
      <c r="N841" s="34" t="e" cm="1">
        <f t="array" aca="1" ref="N841" ca="1">IF(AND(G841=INDIRECT("'["&amp;G841&amp;"]"&amp;E841&amp;"'!"&amp;$AH$2),OR(K841=INDIRECT("'["&amp;G841&amp;"]"&amp;E841&amp;"'!"&amp;$Z$2))),INDIRECT("'["&amp;G841&amp;"]"&amp;E841&amp;"'!"&amp;$Z$3),0)</f>
        <v>#VALUE!</v>
      </c>
      <c r="O841" s="34" t="e" cm="1">
        <f t="array" aca="1" ref="O841" ca="1">IF(AND(G841=INDIRECT("'["&amp;G841&amp;"]"&amp;E841&amp;"'!"&amp;$AH$2),OR(L841=INDIRECT("'["&amp;G841&amp;"]"&amp;E841&amp;"'!"&amp;$AA$2))),INDIRECT("'["&amp;G841&amp;"]"&amp;E841&amp;"'!"&amp;$AA$3),0)</f>
        <v>#VALUE!</v>
      </c>
      <c r="P841" s="34" t="e" cm="1">
        <f t="array" aca="1" ref="P841" ca="1">IF(AND(G841=INDIRECT("'["&amp;G841&amp;"]"&amp;E841&amp;"'!"&amp;$AH$2),OR(VALUE(I841)=INDIRECT("'["&amp;G841&amp;"]"&amp;E841&amp;"'!"&amp;$AB$2))),INDIRECT("'["&amp;G841&amp;"]"&amp;E841&amp;"'!"&amp;$AB$3),0)</f>
        <v>#VALUE!</v>
      </c>
      <c r="Q841" s="34" t="e" cm="1">
        <f t="array" aca="1" ref="Q841" ca="1">IF(AND(G841=INDIRECT("'["&amp;G841&amp;"]"&amp;E841&amp;"'!"&amp;$AH$2),OR(VALUE(I841)=INDIRECT("'["&amp;G841&amp;"]"&amp;E841&amp;"'!"&amp;$AC$2))),INDIRECT("'["&amp;G841&amp;"]"&amp;E841&amp;"'!"&amp;$AC$3),0)</f>
        <v>#VALUE!</v>
      </c>
      <c r="R841" s="34" t="e" cm="1">
        <f t="array" aca="1" ref="R841" ca="1">IF(AND(G841=INDIRECT("'["&amp;G841&amp;"]"&amp;E841&amp;"'!"&amp;$AH$2),OR(I841=INDIRECT("'["&amp;G841&amp;"]"&amp;E841&amp;"'!"&amp;$AD$2))),INDIRECT("'["&amp;G841&amp;"]"&amp;E841&amp;"'!"&amp;$AD$3),0)</f>
        <v>#VALUE!</v>
      </c>
      <c r="S841" s="34" t="e" cm="1">
        <f t="array" aca="1" ref="S841" ca="1">IF(AND(G841=INDIRECT("'["&amp;G841&amp;"]"&amp;E841&amp;"'!"&amp;$AH$2),OR(I841=INDIRECT("'["&amp;G841&amp;"]"&amp;E841&amp;"'!"&amp;$AE$2))),INDIRECT("'["&amp;G841&amp;"]"&amp;E841&amp;"'!"&amp;$AE$3),0)</f>
        <v>#VALUE!</v>
      </c>
      <c r="T841" s="35" t="e" cm="1">
        <f t="array" aca="1" ref="T841" ca="1">IF(AND(G841=INDIRECT("'["&amp;G841&amp;"]"&amp;E841&amp;"'!"&amp;$AH$2),OR(I841=INDIRECT("'["&amp;G841&amp;"]"&amp;E841&amp;"'!"&amp;$AF$2))),INDIRECT("'["&amp;G841&amp;"]"&amp;E841&amp;"'!"&amp;$AF$3),0)</f>
        <v>#VALUE!</v>
      </c>
      <c r="U841" s="34" t="e" cm="1">
        <f t="array" aca="1" ref="U841" ca="1">IF(AND(G841=INDIRECT("'["&amp;G841&amp;"]"&amp;E841&amp;"'!"&amp;$AH$2),OR(I841=INDIRECT("'["&amp;G841&amp;"]"&amp;E841&amp;"'!"&amp;$AG$2))),INDIRECT("'["&amp;G841&amp;"]"&amp;E841&amp;"'!"&amp;$AG$3),0)</f>
        <v>#VALUE!</v>
      </c>
      <c r="V841" s="25" t="str">
        <f t="shared" si="227"/>
        <v/>
      </c>
      <c r="W841" s="36" t="e" cm="1">
        <f t="array" aca="1" ref="W841" ca="1">IF(AND(G841=INDIRECT("'["&amp;G841&amp;"]"&amp;E841&amp;"'!"&amp;$AH$2),OR(V841=INDIRECT("'["&amp;G841&amp;"]"&amp;E841&amp;"'!"&amp;$AI$2))),INDIRECT("'["&amp;G841&amp;"]"&amp;E841&amp;"'!"&amp;$AI$3),0)</f>
        <v>#VALUE!</v>
      </c>
      <c r="AJ841" s="25">
        <v>1</v>
      </c>
      <c r="AK841" s="38">
        <f t="shared" ca="1" si="228"/>
        <v>0</v>
      </c>
      <c r="AL841" s="38">
        <f t="shared" ca="1" si="229"/>
        <v>0</v>
      </c>
      <c r="AM841" s="54" t="str">
        <f t="shared" ca="1" si="230"/>
        <v/>
      </c>
      <c r="AN841" s="25" t="e">
        <f t="shared" ca="1" si="231"/>
        <v>#VALUE!</v>
      </c>
      <c r="AO841" s="25" t="e">
        <f t="shared" ca="1" si="232"/>
        <v>#VALUE!</v>
      </c>
      <c r="AQ841" s="46" t="str">
        <f ca="1">IF(AND(C841&lt;&gt;0, C842=0), SUM($C$2:C841)-SUM($AQ$1:AQ840), "")</f>
        <v/>
      </c>
      <c r="AR841" s="46" t="str">
        <f ca="1">IF(AND(AK841&lt;&gt;0, AK842=0), SUM($AK$2:AK841)-SUM($AR$1:AR840), "")</f>
        <v/>
      </c>
    </row>
    <row r="842" spans="2:44" ht="13.15" customHeight="1">
      <c r="B842" s="68" t="str">
        <f t="shared" si="218"/>
        <v/>
      </c>
      <c r="C842" s="55" cm="1">
        <f t="array" aca="1" ref="C842" ca="1">SUM(IF(ISNUMBER(M842:U842),M842:U842,""))</f>
        <v>0</v>
      </c>
      <c r="D842" s="25" t="str">
        <f t="shared" si="219"/>
        <v/>
      </c>
      <c r="E842" s="25" t="e">
        <f t="shared" si="220"/>
        <v>#VALUE!</v>
      </c>
      <c r="F842" s="25" t="str">
        <f t="shared" si="221"/>
        <v/>
      </c>
      <c r="G842" s="25" t="str">
        <f t="shared" si="222"/>
        <v>.xlsx</v>
      </c>
      <c r="H842" s="29" t="e" cm="1">
        <f t="array" aca="1" ref="H842" ca="1">IF(AND(VALUE(E842)=INDIRECT("'["&amp;G842&amp;"]"&amp;E842&amp;"'!"&amp;$X$2),G842=INDIRECT("'["&amp;G842&amp;"]"&amp;E842&amp;"'!"&amp;$X$3)),INDIRECT("'["&amp;G842&amp;"]"&amp;E842&amp;"'!"&amp;$X$1),0)</f>
        <v>#VALUE!</v>
      </c>
      <c r="I842" s="25" t="str">
        <f t="shared" si="223"/>
        <v/>
      </c>
      <c r="J842" s="32" t="str">
        <f t="shared" si="224"/>
        <v/>
      </c>
      <c r="K842" s="25" t="str">
        <f t="shared" si="225"/>
        <v/>
      </c>
      <c r="L842" s="25" t="str">
        <f t="shared" si="226"/>
        <v/>
      </c>
      <c r="M842" s="33" t="e" cm="1">
        <f t="array" aca="1" ref="M842" ca="1">IF(AND(J842=INDIRECT("'["&amp;G842&amp;"]"&amp;E842&amp;"'!"&amp;$Y$2),G842=INDIRECT("'["&amp;G842&amp;"]"&amp;E842&amp;"'!"&amp;$AH$2)),INDIRECT("'["&amp;G842&amp;"]"&amp;E842&amp;"'!"&amp;$Y$3),0)</f>
        <v>#VALUE!</v>
      </c>
      <c r="N842" s="34" t="e" cm="1">
        <f t="array" aca="1" ref="N842" ca="1">IF(AND(G842=INDIRECT("'["&amp;G842&amp;"]"&amp;E842&amp;"'!"&amp;$AH$2),OR(K842=INDIRECT("'["&amp;G842&amp;"]"&amp;E842&amp;"'!"&amp;$Z$2))),INDIRECT("'["&amp;G842&amp;"]"&amp;E842&amp;"'!"&amp;$Z$3),0)</f>
        <v>#VALUE!</v>
      </c>
      <c r="O842" s="34" t="e" cm="1">
        <f t="array" aca="1" ref="O842" ca="1">IF(AND(G842=INDIRECT("'["&amp;G842&amp;"]"&amp;E842&amp;"'!"&amp;$AH$2),OR(L842=INDIRECT("'["&amp;G842&amp;"]"&amp;E842&amp;"'!"&amp;$AA$2))),INDIRECT("'["&amp;G842&amp;"]"&amp;E842&amp;"'!"&amp;$AA$3),0)</f>
        <v>#VALUE!</v>
      </c>
      <c r="P842" s="34" t="e" cm="1">
        <f t="array" aca="1" ref="P842" ca="1">IF(AND(G842=INDIRECT("'["&amp;G842&amp;"]"&amp;E842&amp;"'!"&amp;$AH$2),OR(VALUE(I842)=INDIRECT("'["&amp;G842&amp;"]"&amp;E842&amp;"'!"&amp;$AB$2))),INDIRECT("'["&amp;G842&amp;"]"&amp;E842&amp;"'!"&amp;$AB$3),0)</f>
        <v>#VALUE!</v>
      </c>
      <c r="Q842" s="34" t="e" cm="1">
        <f t="array" aca="1" ref="Q842" ca="1">IF(AND(G842=INDIRECT("'["&amp;G842&amp;"]"&amp;E842&amp;"'!"&amp;$AH$2),OR(VALUE(I842)=INDIRECT("'["&amp;G842&amp;"]"&amp;E842&amp;"'!"&amp;$AC$2))),INDIRECT("'["&amp;G842&amp;"]"&amp;E842&amp;"'!"&amp;$AC$3),0)</f>
        <v>#VALUE!</v>
      </c>
      <c r="R842" s="34" t="e" cm="1">
        <f t="array" aca="1" ref="R842" ca="1">IF(AND(G842=INDIRECT("'["&amp;G842&amp;"]"&amp;E842&amp;"'!"&amp;$AH$2),OR(I842=INDIRECT("'["&amp;G842&amp;"]"&amp;E842&amp;"'!"&amp;$AD$2))),INDIRECT("'["&amp;G842&amp;"]"&amp;E842&amp;"'!"&amp;$AD$3),0)</f>
        <v>#VALUE!</v>
      </c>
      <c r="S842" s="34" t="e" cm="1">
        <f t="array" aca="1" ref="S842" ca="1">IF(AND(G842=INDIRECT("'["&amp;G842&amp;"]"&amp;E842&amp;"'!"&amp;$AH$2),OR(I842=INDIRECT("'["&amp;G842&amp;"]"&amp;E842&amp;"'!"&amp;$AE$2))),INDIRECT("'["&amp;G842&amp;"]"&amp;E842&amp;"'!"&amp;$AE$3),0)</f>
        <v>#VALUE!</v>
      </c>
      <c r="T842" s="35" t="e" cm="1">
        <f t="array" aca="1" ref="T842" ca="1">IF(AND(G842=INDIRECT("'["&amp;G842&amp;"]"&amp;E842&amp;"'!"&amp;$AH$2),OR(I842=INDIRECT("'["&amp;G842&amp;"]"&amp;E842&amp;"'!"&amp;$AF$2))),INDIRECT("'["&amp;G842&amp;"]"&amp;E842&amp;"'!"&amp;$AF$3),0)</f>
        <v>#VALUE!</v>
      </c>
      <c r="U842" s="34" t="e" cm="1">
        <f t="array" aca="1" ref="U842" ca="1">IF(AND(G842=INDIRECT("'["&amp;G842&amp;"]"&amp;E842&amp;"'!"&amp;$AH$2),OR(I842=INDIRECT("'["&amp;G842&amp;"]"&amp;E842&amp;"'!"&amp;$AG$2))),INDIRECT("'["&amp;G842&amp;"]"&amp;E842&amp;"'!"&amp;$AG$3),0)</f>
        <v>#VALUE!</v>
      </c>
      <c r="V842" s="25" t="str">
        <f t="shared" si="227"/>
        <v/>
      </c>
      <c r="W842" s="36" t="e" cm="1">
        <f t="array" aca="1" ref="W842" ca="1">IF(AND(G842=INDIRECT("'["&amp;G842&amp;"]"&amp;E842&amp;"'!"&amp;$AH$2),OR(V842=INDIRECT("'["&amp;G842&amp;"]"&amp;E842&amp;"'!"&amp;$AI$2))),INDIRECT("'["&amp;G842&amp;"]"&amp;E842&amp;"'!"&amp;$AI$3),0)</f>
        <v>#VALUE!</v>
      </c>
      <c r="AJ842" s="25">
        <v>1</v>
      </c>
      <c r="AK842" s="38">
        <f t="shared" ca="1" si="228"/>
        <v>0</v>
      </c>
      <c r="AL842" s="38">
        <f t="shared" ca="1" si="229"/>
        <v>0</v>
      </c>
      <c r="AM842" s="54" t="str">
        <f t="shared" ca="1" si="230"/>
        <v/>
      </c>
      <c r="AN842" s="25" t="e">
        <f t="shared" ca="1" si="231"/>
        <v>#VALUE!</v>
      </c>
      <c r="AO842" s="25" t="e">
        <f t="shared" ca="1" si="232"/>
        <v>#VALUE!</v>
      </c>
      <c r="AQ842" s="46" t="str">
        <f ca="1">IF(AND(C842&lt;&gt;0, C843=0), SUM($C$2:C842)-SUM($AQ$1:AQ841), "")</f>
        <v/>
      </c>
      <c r="AR842" s="46" t="str">
        <f ca="1">IF(AND(AK842&lt;&gt;0, AK843=0), SUM($AK$2:AK842)-SUM($AR$1:AR841), "")</f>
        <v/>
      </c>
    </row>
    <row r="843" spans="2:44" ht="13.15" customHeight="1">
      <c r="B843" s="68" t="str">
        <f t="shared" si="218"/>
        <v/>
      </c>
      <c r="C843" s="55" cm="1">
        <f t="array" aca="1" ref="C843" ca="1">SUM(IF(ISNUMBER(M843:U843),M843:U843,""))</f>
        <v>0</v>
      </c>
      <c r="D843" s="25" t="str">
        <f t="shared" si="219"/>
        <v/>
      </c>
      <c r="E843" s="25" t="e">
        <f t="shared" si="220"/>
        <v>#VALUE!</v>
      </c>
      <c r="F843" s="25" t="str">
        <f t="shared" si="221"/>
        <v/>
      </c>
      <c r="G843" s="25" t="str">
        <f t="shared" si="222"/>
        <v>.xlsx</v>
      </c>
      <c r="H843" s="29" t="e" cm="1">
        <f t="array" aca="1" ref="H843" ca="1">IF(AND(VALUE(E843)=INDIRECT("'["&amp;G843&amp;"]"&amp;E843&amp;"'!"&amp;$X$2),G843=INDIRECT("'["&amp;G843&amp;"]"&amp;E843&amp;"'!"&amp;$X$3)),INDIRECT("'["&amp;G843&amp;"]"&amp;E843&amp;"'!"&amp;$X$1),0)</f>
        <v>#VALUE!</v>
      </c>
      <c r="I843" s="25" t="str">
        <f t="shared" si="223"/>
        <v/>
      </c>
      <c r="J843" s="32" t="str">
        <f t="shared" si="224"/>
        <v/>
      </c>
      <c r="K843" s="25" t="str">
        <f t="shared" si="225"/>
        <v/>
      </c>
      <c r="L843" s="25" t="str">
        <f t="shared" si="226"/>
        <v/>
      </c>
      <c r="M843" s="33" t="e" cm="1">
        <f t="array" aca="1" ref="M843" ca="1">IF(AND(J843=INDIRECT("'["&amp;G843&amp;"]"&amp;E843&amp;"'!"&amp;$Y$2),G843=INDIRECT("'["&amp;G843&amp;"]"&amp;E843&amp;"'!"&amp;$AH$2)),INDIRECT("'["&amp;G843&amp;"]"&amp;E843&amp;"'!"&amp;$Y$3),0)</f>
        <v>#VALUE!</v>
      </c>
      <c r="N843" s="34" t="e" cm="1">
        <f t="array" aca="1" ref="N843" ca="1">IF(AND(G843=INDIRECT("'["&amp;G843&amp;"]"&amp;E843&amp;"'!"&amp;$AH$2),OR(K843=INDIRECT("'["&amp;G843&amp;"]"&amp;E843&amp;"'!"&amp;$Z$2))),INDIRECT("'["&amp;G843&amp;"]"&amp;E843&amp;"'!"&amp;$Z$3),0)</f>
        <v>#VALUE!</v>
      </c>
      <c r="O843" s="34" t="e" cm="1">
        <f t="array" aca="1" ref="O843" ca="1">IF(AND(G843=INDIRECT("'["&amp;G843&amp;"]"&amp;E843&amp;"'!"&amp;$AH$2),OR(L843=INDIRECT("'["&amp;G843&amp;"]"&amp;E843&amp;"'!"&amp;$AA$2))),INDIRECT("'["&amp;G843&amp;"]"&amp;E843&amp;"'!"&amp;$AA$3),0)</f>
        <v>#VALUE!</v>
      </c>
      <c r="P843" s="34" t="e" cm="1">
        <f t="array" aca="1" ref="P843" ca="1">IF(AND(G843=INDIRECT("'["&amp;G843&amp;"]"&amp;E843&amp;"'!"&amp;$AH$2),OR(VALUE(I843)=INDIRECT("'["&amp;G843&amp;"]"&amp;E843&amp;"'!"&amp;$AB$2))),INDIRECT("'["&amp;G843&amp;"]"&amp;E843&amp;"'!"&amp;$AB$3),0)</f>
        <v>#VALUE!</v>
      </c>
      <c r="Q843" s="34" t="e" cm="1">
        <f t="array" aca="1" ref="Q843" ca="1">IF(AND(G843=INDIRECT("'["&amp;G843&amp;"]"&amp;E843&amp;"'!"&amp;$AH$2),OR(VALUE(I843)=INDIRECT("'["&amp;G843&amp;"]"&amp;E843&amp;"'!"&amp;$AC$2))),INDIRECT("'["&amp;G843&amp;"]"&amp;E843&amp;"'!"&amp;$AC$3),0)</f>
        <v>#VALUE!</v>
      </c>
      <c r="R843" s="34" t="e" cm="1">
        <f t="array" aca="1" ref="R843" ca="1">IF(AND(G843=INDIRECT("'["&amp;G843&amp;"]"&amp;E843&amp;"'!"&amp;$AH$2),OR(I843=INDIRECT("'["&amp;G843&amp;"]"&amp;E843&amp;"'!"&amp;$AD$2))),INDIRECT("'["&amp;G843&amp;"]"&amp;E843&amp;"'!"&amp;$AD$3),0)</f>
        <v>#VALUE!</v>
      </c>
      <c r="S843" s="34" t="e" cm="1">
        <f t="array" aca="1" ref="S843" ca="1">IF(AND(G843=INDIRECT("'["&amp;G843&amp;"]"&amp;E843&amp;"'!"&amp;$AH$2),OR(I843=INDIRECT("'["&amp;G843&amp;"]"&amp;E843&amp;"'!"&amp;$AE$2))),INDIRECT("'["&amp;G843&amp;"]"&amp;E843&amp;"'!"&amp;$AE$3),0)</f>
        <v>#VALUE!</v>
      </c>
      <c r="T843" s="35" t="e" cm="1">
        <f t="array" aca="1" ref="T843" ca="1">IF(AND(G843=INDIRECT("'["&amp;G843&amp;"]"&amp;E843&amp;"'!"&amp;$AH$2),OR(I843=INDIRECT("'["&amp;G843&amp;"]"&amp;E843&amp;"'!"&amp;$AF$2))),INDIRECT("'["&amp;G843&amp;"]"&amp;E843&amp;"'!"&amp;$AF$3),0)</f>
        <v>#VALUE!</v>
      </c>
      <c r="U843" s="34" t="e" cm="1">
        <f t="array" aca="1" ref="U843" ca="1">IF(AND(G843=INDIRECT("'["&amp;G843&amp;"]"&amp;E843&amp;"'!"&amp;$AH$2),OR(I843=INDIRECT("'["&amp;G843&amp;"]"&amp;E843&amp;"'!"&amp;$AG$2))),INDIRECT("'["&amp;G843&amp;"]"&amp;E843&amp;"'!"&amp;$AG$3),0)</f>
        <v>#VALUE!</v>
      </c>
      <c r="V843" s="25" t="str">
        <f t="shared" si="227"/>
        <v/>
      </c>
      <c r="W843" s="36" t="e" cm="1">
        <f t="array" aca="1" ref="W843" ca="1">IF(AND(G843=INDIRECT("'["&amp;G843&amp;"]"&amp;E843&amp;"'!"&amp;$AH$2),OR(V843=INDIRECT("'["&amp;G843&amp;"]"&amp;E843&amp;"'!"&amp;$AI$2))),INDIRECT("'["&amp;G843&amp;"]"&amp;E843&amp;"'!"&amp;$AI$3),0)</f>
        <v>#VALUE!</v>
      </c>
      <c r="AJ843" s="25">
        <v>1</v>
      </c>
      <c r="AK843" s="38">
        <f t="shared" ca="1" si="228"/>
        <v>0</v>
      </c>
      <c r="AL843" s="38">
        <f t="shared" ca="1" si="229"/>
        <v>0</v>
      </c>
      <c r="AM843" s="54" t="str">
        <f t="shared" ca="1" si="230"/>
        <v/>
      </c>
      <c r="AN843" s="25" t="e">
        <f t="shared" ca="1" si="231"/>
        <v>#VALUE!</v>
      </c>
      <c r="AO843" s="25" t="e">
        <f t="shared" ca="1" si="232"/>
        <v>#VALUE!</v>
      </c>
      <c r="AQ843" s="46" t="str">
        <f ca="1">IF(AND(C843&lt;&gt;0, C844=0), SUM($C$2:C843)-SUM($AQ$1:AQ842), "")</f>
        <v/>
      </c>
      <c r="AR843" s="46" t="str">
        <f ca="1">IF(AND(AK843&lt;&gt;0, AK844=0), SUM($AK$2:AK843)-SUM($AR$1:AR842), "")</f>
        <v/>
      </c>
    </row>
    <row r="844" spans="2:44" ht="13.15" customHeight="1">
      <c r="B844" s="68" t="str">
        <f t="shared" si="218"/>
        <v/>
      </c>
      <c r="C844" s="55" cm="1">
        <f t="array" aca="1" ref="C844" ca="1">SUM(IF(ISNUMBER(M844:U844),M844:U844,""))</f>
        <v>0</v>
      </c>
      <c r="D844" s="25" t="str">
        <f t="shared" si="219"/>
        <v/>
      </c>
      <c r="E844" s="25" t="e">
        <f t="shared" si="220"/>
        <v>#VALUE!</v>
      </c>
      <c r="F844" s="25" t="str">
        <f t="shared" si="221"/>
        <v/>
      </c>
      <c r="G844" s="25" t="str">
        <f t="shared" si="222"/>
        <v>.xlsx</v>
      </c>
      <c r="H844" s="29" t="e" cm="1">
        <f t="array" aca="1" ref="H844" ca="1">IF(AND(VALUE(E844)=INDIRECT("'["&amp;G844&amp;"]"&amp;E844&amp;"'!"&amp;$X$2),G844=INDIRECT("'["&amp;G844&amp;"]"&amp;E844&amp;"'!"&amp;$X$3)),INDIRECT("'["&amp;G844&amp;"]"&amp;E844&amp;"'!"&amp;$X$1),0)</f>
        <v>#VALUE!</v>
      </c>
      <c r="I844" s="25" t="str">
        <f t="shared" si="223"/>
        <v/>
      </c>
      <c r="J844" s="32" t="str">
        <f t="shared" si="224"/>
        <v/>
      </c>
      <c r="K844" s="25" t="str">
        <f t="shared" si="225"/>
        <v/>
      </c>
      <c r="L844" s="25" t="str">
        <f t="shared" si="226"/>
        <v/>
      </c>
      <c r="M844" s="33" t="e" cm="1">
        <f t="array" aca="1" ref="M844" ca="1">IF(AND(J844=INDIRECT("'["&amp;G844&amp;"]"&amp;E844&amp;"'!"&amp;$Y$2),G844=INDIRECT("'["&amp;G844&amp;"]"&amp;E844&amp;"'!"&amp;$AH$2)),INDIRECT("'["&amp;G844&amp;"]"&amp;E844&amp;"'!"&amp;$Y$3),0)</f>
        <v>#VALUE!</v>
      </c>
      <c r="N844" s="34" t="e" cm="1">
        <f t="array" aca="1" ref="N844" ca="1">IF(AND(G844=INDIRECT("'["&amp;G844&amp;"]"&amp;E844&amp;"'!"&amp;$AH$2),OR(K844=INDIRECT("'["&amp;G844&amp;"]"&amp;E844&amp;"'!"&amp;$Z$2))),INDIRECT("'["&amp;G844&amp;"]"&amp;E844&amp;"'!"&amp;$Z$3),0)</f>
        <v>#VALUE!</v>
      </c>
      <c r="O844" s="34" t="e" cm="1">
        <f t="array" aca="1" ref="O844" ca="1">IF(AND(G844=INDIRECT("'["&amp;G844&amp;"]"&amp;E844&amp;"'!"&amp;$AH$2),OR(L844=INDIRECT("'["&amp;G844&amp;"]"&amp;E844&amp;"'!"&amp;$AA$2))),INDIRECT("'["&amp;G844&amp;"]"&amp;E844&amp;"'!"&amp;$AA$3),0)</f>
        <v>#VALUE!</v>
      </c>
      <c r="P844" s="34" t="e" cm="1">
        <f t="array" aca="1" ref="P844" ca="1">IF(AND(G844=INDIRECT("'["&amp;G844&amp;"]"&amp;E844&amp;"'!"&amp;$AH$2),OR(VALUE(I844)=INDIRECT("'["&amp;G844&amp;"]"&amp;E844&amp;"'!"&amp;$AB$2))),INDIRECT("'["&amp;G844&amp;"]"&amp;E844&amp;"'!"&amp;$AB$3),0)</f>
        <v>#VALUE!</v>
      </c>
      <c r="Q844" s="34" t="e" cm="1">
        <f t="array" aca="1" ref="Q844" ca="1">IF(AND(G844=INDIRECT("'["&amp;G844&amp;"]"&amp;E844&amp;"'!"&amp;$AH$2),OR(VALUE(I844)=INDIRECT("'["&amp;G844&amp;"]"&amp;E844&amp;"'!"&amp;$AC$2))),INDIRECT("'["&amp;G844&amp;"]"&amp;E844&amp;"'!"&amp;$AC$3),0)</f>
        <v>#VALUE!</v>
      </c>
      <c r="R844" s="34" t="e" cm="1">
        <f t="array" aca="1" ref="R844" ca="1">IF(AND(G844=INDIRECT("'["&amp;G844&amp;"]"&amp;E844&amp;"'!"&amp;$AH$2),OR(I844=INDIRECT("'["&amp;G844&amp;"]"&amp;E844&amp;"'!"&amp;$AD$2))),INDIRECT("'["&amp;G844&amp;"]"&amp;E844&amp;"'!"&amp;$AD$3),0)</f>
        <v>#VALUE!</v>
      </c>
      <c r="S844" s="34" t="e" cm="1">
        <f t="array" aca="1" ref="S844" ca="1">IF(AND(G844=INDIRECT("'["&amp;G844&amp;"]"&amp;E844&amp;"'!"&amp;$AH$2),OR(I844=INDIRECT("'["&amp;G844&amp;"]"&amp;E844&amp;"'!"&amp;$AE$2))),INDIRECT("'["&amp;G844&amp;"]"&amp;E844&amp;"'!"&amp;$AE$3),0)</f>
        <v>#VALUE!</v>
      </c>
      <c r="T844" s="35" t="e" cm="1">
        <f t="array" aca="1" ref="T844" ca="1">IF(AND(G844=INDIRECT("'["&amp;G844&amp;"]"&amp;E844&amp;"'!"&amp;$AH$2),OR(I844=INDIRECT("'["&amp;G844&amp;"]"&amp;E844&amp;"'!"&amp;$AF$2))),INDIRECT("'["&amp;G844&amp;"]"&amp;E844&amp;"'!"&amp;$AF$3),0)</f>
        <v>#VALUE!</v>
      </c>
      <c r="U844" s="34" t="e" cm="1">
        <f t="array" aca="1" ref="U844" ca="1">IF(AND(G844=INDIRECT("'["&amp;G844&amp;"]"&amp;E844&amp;"'!"&amp;$AH$2),OR(I844=INDIRECT("'["&amp;G844&amp;"]"&amp;E844&amp;"'!"&amp;$AG$2))),INDIRECT("'["&amp;G844&amp;"]"&amp;E844&amp;"'!"&amp;$AG$3),0)</f>
        <v>#VALUE!</v>
      </c>
      <c r="V844" s="25" t="str">
        <f t="shared" si="227"/>
        <v/>
      </c>
      <c r="W844" s="36" t="e" cm="1">
        <f t="array" aca="1" ref="W844" ca="1">IF(AND(G844=INDIRECT("'["&amp;G844&amp;"]"&amp;E844&amp;"'!"&amp;$AH$2),OR(V844=INDIRECT("'["&amp;G844&amp;"]"&amp;E844&amp;"'!"&amp;$AI$2))),INDIRECT("'["&amp;G844&amp;"]"&amp;E844&amp;"'!"&amp;$AI$3),0)</f>
        <v>#VALUE!</v>
      </c>
      <c r="AJ844" s="25">
        <v>1</v>
      </c>
      <c r="AK844" s="38">
        <f t="shared" ca="1" si="228"/>
        <v>0</v>
      </c>
      <c r="AL844" s="38">
        <f t="shared" ca="1" si="229"/>
        <v>0</v>
      </c>
      <c r="AM844" s="54" t="str">
        <f t="shared" ca="1" si="230"/>
        <v/>
      </c>
      <c r="AN844" s="25" t="e">
        <f t="shared" ca="1" si="231"/>
        <v>#VALUE!</v>
      </c>
      <c r="AO844" s="25" t="e">
        <f t="shared" ca="1" si="232"/>
        <v>#VALUE!</v>
      </c>
      <c r="AQ844" s="46" t="str">
        <f ca="1">IF(AND(C844&lt;&gt;0, C845=0), SUM($C$2:C844)-SUM($AQ$1:AQ843), "")</f>
        <v/>
      </c>
      <c r="AR844" s="46" t="str">
        <f ca="1">IF(AND(AK844&lt;&gt;0, AK845=0), SUM($AK$2:AK844)-SUM($AR$1:AR843), "")</f>
        <v/>
      </c>
    </row>
    <row r="845" spans="2:44" ht="13.15" customHeight="1">
      <c r="B845" s="68" t="str">
        <f t="shared" si="218"/>
        <v/>
      </c>
      <c r="C845" s="55" cm="1">
        <f t="array" aca="1" ref="C845" ca="1">SUM(IF(ISNUMBER(M845:U845),M845:U845,""))</f>
        <v>0</v>
      </c>
      <c r="D845" s="25" t="str">
        <f t="shared" si="219"/>
        <v/>
      </c>
      <c r="E845" s="25" t="e">
        <f t="shared" si="220"/>
        <v>#VALUE!</v>
      </c>
      <c r="F845" s="25" t="str">
        <f t="shared" si="221"/>
        <v/>
      </c>
      <c r="G845" s="25" t="str">
        <f t="shared" si="222"/>
        <v>.xlsx</v>
      </c>
      <c r="H845" s="29" t="e" cm="1">
        <f t="array" aca="1" ref="H845" ca="1">IF(AND(VALUE(E845)=INDIRECT("'["&amp;G845&amp;"]"&amp;E845&amp;"'!"&amp;$X$2),G845=INDIRECT("'["&amp;G845&amp;"]"&amp;E845&amp;"'!"&amp;$X$3)),INDIRECT("'["&amp;G845&amp;"]"&amp;E845&amp;"'!"&amp;$X$1),0)</f>
        <v>#VALUE!</v>
      </c>
      <c r="I845" s="25" t="str">
        <f t="shared" si="223"/>
        <v/>
      </c>
      <c r="J845" s="32" t="str">
        <f t="shared" si="224"/>
        <v/>
      </c>
      <c r="K845" s="25" t="str">
        <f t="shared" si="225"/>
        <v/>
      </c>
      <c r="L845" s="25" t="str">
        <f t="shared" si="226"/>
        <v/>
      </c>
      <c r="M845" s="33" t="e" cm="1">
        <f t="array" aca="1" ref="M845" ca="1">IF(AND(J845=INDIRECT("'["&amp;G845&amp;"]"&amp;E845&amp;"'!"&amp;$Y$2),G845=INDIRECT("'["&amp;G845&amp;"]"&amp;E845&amp;"'!"&amp;$AH$2)),INDIRECT("'["&amp;G845&amp;"]"&amp;E845&amp;"'!"&amp;$Y$3),0)</f>
        <v>#VALUE!</v>
      </c>
      <c r="N845" s="34" t="e" cm="1">
        <f t="array" aca="1" ref="N845" ca="1">IF(AND(G845=INDIRECT("'["&amp;G845&amp;"]"&amp;E845&amp;"'!"&amp;$AH$2),OR(K845=INDIRECT("'["&amp;G845&amp;"]"&amp;E845&amp;"'!"&amp;$Z$2))),INDIRECT("'["&amp;G845&amp;"]"&amp;E845&amp;"'!"&amp;$Z$3),0)</f>
        <v>#VALUE!</v>
      </c>
      <c r="O845" s="34" t="e" cm="1">
        <f t="array" aca="1" ref="O845" ca="1">IF(AND(G845=INDIRECT("'["&amp;G845&amp;"]"&amp;E845&amp;"'!"&amp;$AH$2),OR(L845=INDIRECT("'["&amp;G845&amp;"]"&amp;E845&amp;"'!"&amp;$AA$2))),INDIRECT("'["&amp;G845&amp;"]"&amp;E845&amp;"'!"&amp;$AA$3),0)</f>
        <v>#VALUE!</v>
      </c>
      <c r="P845" s="34" t="e" cm="1">
        <f t="array" aca="1" ref="P845" ca="1">IF(AND(G845=INDIRECT("'["&amp;G845&amp;"]"&amp;E845&amp;"'!"&amp;$AH$2),OR(VALUE(I845)=INDIRECT("'["&amp;G845&amp;"]"&amp;E845&amp;"'!"&amp;$AB$2))),INDIRECT("'["&amp;G845&amp;"]"&amp;E845&amp;"'!"&amp;$AB$3),0)</f>
        <v>#VALUE!</v>
      </c>
      <c r="Q845" s="34" t="e" cm="1">
        <f t="array" aca="1" ref="Q845" ca="1">IF(AND(G845=INDIRECT("'["&amp;G845&amp;"]"&amp;E845&amp;"'!"&amp;$AH$2),OR(VALUE(I845)=INDIRECT("'["&amp;G845&amp;"]"&amp;E845&amp;"'!"&amp;$AC$2))),INDIRECT("'["&amp;G845&amp;"]"&amp;E845&amp;"'!"&amp;$AC$3),0)</f>
        <v>#VALUE!</v>
      </c>
      <c r="R845" s="34" t="e" cm="1">
        <f t="array" aca="1" ref="R845" ca="1">IF(AND(G845=INDIRECT("'["&amp;G845&amp;"]"&amp;E845&amp;"'!"&amp;$AH$2),OR(I845=INDIRECT("'["&amp;G845&amp;"]"&amp;E845&amp;"'!"&amp;$AD$2))),INDIRECT("'["&amp;G845&amp;"]"&amp;E845&amp;"'!"&amp;$AD$3),0)</f>
        <v>#VALUE!</v>
      </c>
      <c r="S845" s="34" t="e" cm="1">
        <f t="array" aca="1" ref="S845" ca="1">IF(AND(G845=INDIRECT("'["&amp;G845&amp;"]"&amp;E845&amp;"'!"&amp;$AH$2),OR(I845=INDIRECT("'["&amp;G845&amp;"]"&amp;E845&amp;"'!"&amp;$AE$2))),INDIRECT("'["&amp;G845&amp;"]"&amp;E845&amp;"'!"&amp;$AE$3),0)</f>
        <v>#VALUE!</v>
      </c>
      <c r="T845" s="35" t="e" cm="1">
        <f t="array" aca="1" ref="T845" ca="1">IF(AND(G845=INDIRECT("'["&amp;G845&amp;"]"&amp;E845&amp;"'!"&amp;$AH$2),OR(I845=INDIRECT("'["&amp;G845&amp;"]"&amp;E845&amp;"'!"&amp;$AF$2))),INDIRECT("'["&amp;G845&amp;"]"&amp;E845&amp;"'!"&amp;$AF$3),0)</f>
        <v>#VALUE!</v>
      </c>
      <c r="U845" s="34" t="e" cm="1">
        <f t="array" aca="1" ref="U845" ca="1">IF(AND(G845=INDIRECT("'["&amp;G845&amp;"]"&amp;E845&amp;"'!"&amp;$AH$2),OR(I845=INDIRECT("'["&amp;G845&amp;"]"&amp;E845&amp;"'!"&amp;$AG$2))),INDIRECT("'["&amp;G845&amp;"]"&amp;E845&amp;"'!"&amp;$AG$3),0)</f>
        <v>#VALUE!</v>
      </c>
      <c r="V845" s="25" t="str">
        <f t="shared" si="227"/>
        <v/>
      </c>
      <c r="W845" s="36" t="e" cm="1">
        <f t="array" aca="1" ref="W845" ca="1">IF(AND(G845=INDIRECT("'["&amp;G845&amp;"]"&amp;E845&amp;"'!"&amp;$AH$2),OR(V845=INDIRECT("'["&amp;G845&amp;"]"&amp;E845&amp;"'!"&amp;$AI$2))),INDIRECT("'["&amp;G845&amp;"]"&amp;E845&amp;"'!"&amp;$AI$3),0)</f>
        <v>#VALUE!</v>
      </c>
      <c r="AJ845" s="25">
        <v>1</v>
      </c>
      <c r="AK845" s="38">
        <f t="shared" ca="1" si="228"/>
        <v>0</v>
      </c>
      <c r="AL845" s="38">
        <f t="shared" ca="1" si="229"/>
        <v>0</v>
      </c>
      <c r="AM845" s="54" t="str">
        <f t="shared" ca="1" si="230"/>
        <v/>
      </c>
      <c r="AN845" s="25" t="e">
        <f t="shared" ca="1" si="231"/>
        <v>#VALUE!</v>
      </c>
      <c r="AO845" s="25" t="e">
        <f t="shared" ca="1" si="232"/>
        <v>#VALUE!</v>
      </c>
      <c r="AQ845" s="46" t="str">
        <f ca="1">IF(AND(C845&lt;&gt;0, C846=0), SUM($C$2:C845)-SUM($AQ$1:AQ844), "")</f>
        <v/>
      </c>
      <c r="AR845" s="46" t="str">
        <f ca="1">IF(AND(AK845&lt;&gt;0, AK846=0), SUM($AK$2:AK845)-SUM($AR$1:AR844), "")</f>
        <v/>
      </c>
    </row>
    <row r="846" spans="2:44" ht="13.15" customHeight="1">
      <c r="B846" s="68" t="str">
        <f t="shared" si="218"/>
        <v/>
      </c>
      <c r="C846" s="55" cm="1">
        <f t="array" aca="1" ref="C846" ca="1">SUM(IF(ISNUMBER(M846:U846),M846:U846,""))</f>
        <v>0</v>
      </c>
      <c r="D846" s="25" t="str">
        <f t="shared" si="219"/>
        <v/>
      </c>
      <c r="E846" s="25" t="e">
        <f t="shared" si="220"/>
        <v>#VALUE!</v>
      </c>
      <c r="F846" s="25" t="str">
        <f t="shared" si="221"/>
        <v/>
      </c>
      <c r="G846" s="25" t="str">
        <f t="shared" si="222"/>
        <v>.xlsx</v>
      </c>
      <c r="H846" s="29" t="e" cm="1">
        <f t="array" aca="1" ref="H846" ca="1">IF(AND(VALUE(E846)=INDIRECT("'["&amp;G846&amp;"]"&amp;E846&amp;"'!"&amp;$X$2),G846=INDIRECT("'["&amp;G846&amp;"]"&amp;E846&amp;"'!"&amp;$X$3)),INDIRECT("'["&amp;G846&amp;"]"&amp;E846&amp;"'!"&amp;$X$1),0)</f>
        <v>#VALUE!</v>
      </c>
      <c r="I846" s="25" t="str">
        <f t="shared" si="223"/>
        <v/>
      </c>
      <c r="J846" s="32" t="str">
        <f t="shared" si="224"/>
        <v/>
      </c>
      <c r="K846" s="25" t="str">
        <f t="shared" si="225"/>
        <v/>
      </c>
      <c r="L846" s="25" t="str">
        <f t="shared" si="226"/>
        <v/>
      </c>
      <c r="M846" s="33" t="e" cm="1">
        <f t="array" aca="1" ref="M846" ca="1">IF(AND(J846=INDIRECT("'["&amp;G846&amp;"]"&amp;E846&amp;"'!"&amp;$Y$2),G846=INDIRECT("'["&amp;G846&amp;"]"&amp;E846&amp;"'!"&amp;$AH$2)),INDIRECT("'["&amp;G846&amp;"]"&amp;E846&amp;"'!"&amp;$Y$3),0)</f>
        <v>#VALUE!</v>
      </c>
      <c r="N846" s="34" t="e" cm="1">
        <f t="array" aca="1" ref="N846" ca="1">IF(AND(G846=INDIRECT("'["&amp;G846&amp;"]"&amp;E846&amp;"'!"&amp;$AH$2),OR(K846=INDIRECT("'["&amp;G846&amp;"]"&amp;E846&amp;"'!"&amp;$Z$2))),INDIRECT("'["&amp;G846&amp;"]"&amp;E846&amp;"'!"&amp;$Z$3),0)</f>
        <v>#VALUE!</v>
      </c>
      <c r="O846" s="34" t="e" cm="1">
        <f t="array" aca="1" ref="O846" ca="1">IF(AND(G846=INDIRECT("'["&amp;G846&amp;"]"&amp;E846&amp;"'!"&amp;$AH$2),OR(L846=INDIRECT("'["&amp;G846&amp;"]"&amp;E846&amp;"'!"&amp;$AA$2))),INDIRECT("'["&amp;G846&amp;"]"&amp;E846&amp;"'!"&amp;$AA$3),0)</f>
        <v>#VALUE!</v>
      </c>
      <c r="P846" s="34" t="e" cm="1">
        <f t="array" aca="1" ref="P846" ca="1">IF(AND(G846=INDIRECT("'["&amp;G846&amp;"]"&amp;E846&amp;"'!"&amp;$AH$2),OR(VALUE(I846)=INDIRECT("'["&amp;G846&amp;"]"&amp;E846&amp;"'!"&amp;$AB$2))),INDIRECT("'["&amp;G846&amp;"]"&amp;E846&amp;"'!"&amp;$AB$3),0)</f>
        <v>#VALUE!</v>
      </c>
      <c r="Q846" s="34" t="e" cm="1">
        <f t="array" aca="1" ref="Q846" ca="1">IF(AND(G846=INDIRECT("'["&amp;G846&amp;"]"&amp;E846&amp;"'!"&amp;$AH$2),OR(VALUE(I846)=INDIRECT("'["&amp;G846&amp;"]"&amp;E846&amp;"'!"&amp;$AC$2))),INDIRECT("'["&amp;G846&amp;"]"&amp;E846&amp;"'!"&amp;$AC$3),0)</f>
        <v>#VALUE!</v>
      </c>
      <c r="R846" s="34" t="e" cm="1">
        <f t="array" aca="1" ref="R846" ca="1">IF(AND(G846=INDIRECT("'["&amp;G846&amp;"]"&amp;E846&amp;"'!"&amp;$AH$2),OR(I846=INDIRECT("'["&amp;G846&amp;"]"&amp;E846&amp;"'!"&amp;$AD$2))),INDIRECT("'["&amp;G846&amp;"]"&amp;E846&amp;"'!"&amp;$AD$3),0)</f>
        <v>#VALUE!</v>
      </c>
      <c r="S846" s="34" t="e" cm="1">
        <f t="array" aca="1" ref="S846" ca="1">IF(AND(G846=INDIRECT("'["&amp;G846&amp;"]"&amp;E846&amp;"'!"&amp;$AH$2),OR(I846=INDIRECT("'["&amp;G846&amp;"]"&amp;E846&amp;"'!"&amp;$AE$2))),INDIRECT("'["&amp;G846&amp;"]"&amp;E846&amp;"'!"&amp;$AE$3),0)</f>
        <v>#VALUE!</v>
      </c>
      <c r="T846" s="35" t="e" cm="1">
        <f t="array" aca="1" ref="T846" ca="1">IF(AND(G846=INDIRECT("'["&amp;G846&amp;"]"&amp;E846&amp;"'!"&amp;$AH$2),OR(I846=INDIRECT("'["&amp;G846&amp;"]"&amp;E846&amp;"'!"&amp;$AF$2))),INDIRECT("'["&amp;G846&amp;"]"&amp;E846&amp;"'!"&amp;$AF$3),0)</f>
        <v>#VALUE!</v>
      </c>
      <c r="U846" s="34" t="e" cm="1">
        <f t="array" aca="1" ref="U846" ca="1">IF(AND(G846=INDIRECT("'["&amp;G846&amp;"]"&amp;E846&amp;"'!"&amp;$AH$2),OR(I846=INDIRECT("'["&amp;G846&amp;"]"&amp;E846&amp;"'!"&amp;$AG$2))),INDIRECT("'["&amp;G846&amp;"]"&amp;E846&amp;"'!"&amp;$AG$3),0)</f>
        <v>#VALUE!</v>
      </c>
      <c r="V846" s="25" t="str">
        <f t="shared" si="227"/>
        <v/>
      </c>
      <c r="W846" s="36" t="e" cm="1">
        <f t="array" aca="1" ref="W846" ca="1">IF(AND(G846=INDIRECT("'["&amp;G846&amp;"]"&amp;E846&amp;"'!"&amp;$AH$2),OR(V846=INDIRECT("'["&amp;G846&amp;"]"&amp;E846&amp;"'!"&amp;$AI$2))),INDIRECT("'["&amp;G846&amp;"]"&amp;E846&amp;"'!"&amp;$AI$3),0)</f>
        <v>#VALUE!</v>
      </c>
      <c r="AJ846" s="25">
        <v>1</v>
      </c>
      <c r="AK846" s="38">
        <f t="shared" ca="1" si="228"/>
        <v>0</v>
      </c>
      <c r="AL846" s="38">
        <f t="shared" ca="1" si="229"/>
        <v>0</v>
      </c>
      <c r="AM846" s="54" t="str">
        <f t="shared" ca="1" si="230"/>
        <v/>
      </c>
      <c r="AN846" s="25" t="e">
        <f t="shared" ca="1" si="231"/>
        <v>#VALUE!</v>
      </c>
      <c r="AO846" s="25" t="e">
        <f t="shared" ca="1" si="232"/>
        <v>#VALUE!</v>
      </c>
      <c r="AQ846" s="46" t="str">
        <f ca="1">IF(AND(C846&lt;&gt;0, C847=0), SUM($C$2:C846)-SUM($AQ$1:AQ845), "")</f>
        <v/>
      </c>
      <c r="AR846" s="46" t="str">
        <f ca="1">IF(AND(AK846&lt;&gt;0, AK847=0), SUM($AK$2:AK846)-SUM($AR$1:AR845), "")</f>
        <v/>
      </c>
    </row>
    <row r="847" spans="2:44" ht="13.15" customHeight="1">
      <c r="B847" s="68" t="str">
        <f t="shared" si="218"/>
        <v/>
      </c>
      <c r="C847" s="55" cm="1">
        <f t="array" aca="1" ref="C847" ca="1">SUM(IF(ISNUMBER(M847:U847),M847:U847,""))</f>
        <v>0</v>
      </c>
      <c r="D847" s="25" t="str">
        <f t="shared" si="219"/>
        <v/>
      </c>
      <c r="E847" s="25" t="e">
        <f t="shared" si="220"/>
        <v>#VALUE!</v>
      </c>
      <c r="F847" s="25" t="str">
        <f t="shared" si="221"/>
        <v/>
      </c>
      <c r="G847" s="25" t="str">
        <f t="shared" si="222"/>
        <v>.xlsx</v>
      </c>
      <c r="H847" s="29" t="e" cm="1">
        <f t="array" aca="1" ref="H847" ca="1">IF(AND(VALUE(E847)=INDIRECT("'["&amp;G847&amp;"]"&amp;E847&amp;"'!"&amp;$X$2),G847=INDIRECT("'["&amp;G847&amp;"]"&amp;E847&amp;"'!"&amp;$X$3)),INDIRECT("'["&amp;G847&amp;"]"&amp;E847&amp;"'!"&amp;$X$1),0)</f>
        <v>#VALUE!</v>
      </c>
      <c r="I847" s="25" t="str">
        <f t="shared" si="223"/>
        <v/>
      </c>
      <c r="J847" s="32" t="str">
        <f t="shared" si="224"/>
        <v/>
      </c>
      <c r="K847" s="25" t="str">
        <f t="shared" si="225"/>
        <v/>
      </c>
      <c r="L847" s="25" t="str">
        <f t="shared" si="226"/>
        <v/>
      </c>
      <c r="M847" s="33" t="e" cm="1">
        <f t="array" aca="1" ref="M847" ca="1">IF(AND(J847=INDIRECT("'["&amp;G847&amp;"]"&amp;E847&amp;"'!"&amp;$Y$2),G847=INDIRECT("'["&amp;G847&amp;"]"&amp;E847&amp;"'!"&amp;$AH$2)),INDIRECT("'["&amp;G847&amp;"]"&amp;E847&amp;"'!"&amp;$Y$3),0)</f>
        <v>#VALUE!</v>
      </c>
      <c r="N847" s="34" t="e" cm="1">
        <f t="array" aca="1" ref="N847" ca="1">IF(AND(G847=INDIRECT("'["&amp;G847&amp;"]"&amp;E847&amp;"'!"&amp;$AH$2),OR(K847=INDIRECT("'["&amp;G847&amp;"]"&amp;E847&amp;"'!"&amp;$Z$2))),INDIRECT("'["&amp;G847&amp;"]"&amp;E847&amp;"'!"&amp;$Z$3),0)</f>
        <v>#VALUE!</v>
      </c>
      <c r="O847" s="34" t="e" cm="1">
        <f t="array" aca="1" ref="O847" ca="1">IF(AND(G847=INDIRECT("'["&amp;G847&amp;"]"&amp;E847&amp;"'!"&amp;$AH$2),OR(L847=INDIRECT("'["&amp;G847&amp;"]"&amp;E847&amp;"'!"&amp;$AA$2))),INDIRECT("'["&amp;G847&amp;"]"&amp;E847&amp;"'!"&amp;$AA$3),0)</f>
        <v>#VALUE!</v>
      </c>
      <c r="P847" s="34" t="e" cm="1">
        <f t="array" aca="1" ref="P847" ca="1">IF(AND(G847=INDIRECT("'["&amp;G847&amp;"]"&amp;E847&amp;"'!"&amp;$AH$2),OR(VALUE(I847)=INDIRECT("'["&amp;G847&amp;"]"&amp;E847&amp;"'!"&amp;$AB$2))),INDIRECT("'["&amp;G847&amp;"]"&amp;E847&amp;"'!"&amp;$AB$3),0)</f>
        <v>#VALUE!</v>
      </c>
      <c r="Q847" s="34" t="e" cm="1">
        <f t="array" aca="1" ref="Q847" ca="1">IF(AND(G847=INDIRECT("'["&amp;G847&amp;"]"&amp;E847&amp;"'!"&amp;$AH$2),OR(VALUE(I847)=INDIRECT("'["&amp;G847&amp;"]"&amp;E847&amp;"'!"&amp;$AC$2))),INDIRECT("'["&amp;G847&amp;"]"&amp;E847&amp;"'!"&amp;$AC$3),0)</f>
        <v>#VALUE!</v>
      </c>
      <c r="R847" s="34" t="e" cm="1">
        <f t="array" aca="1" ref="R847" ca="1">IF(AND(G847=INDIRECT("'["&amp;G847&amp;"]"&amp;E847&amp;"'!"&amp;$AH$2),OR(I847=INDIRECT("'["&amp;G847&amp;"]"&amp;E847&amp;"'!"&amp;$AD$2))),INDIRECT("'["&amp;G847&amp;"]"&amp;E847&amp;"'!"&amp;$AD$3),0)</f>
        <v>#VALUE!</v>
      </c>
      <c r="S847" s="34" t="e" cm="1">
        <f t="array" aca="1" ref="S847" ca="1">IF(AND(G847=INDIRECT("'["&amp;G847&amp;"]"&amp;E847&amp;"'!"&amp;$AH$2),OR(I847=INDIRECT("'["&amp;G847&amp;"]"&amp;E847&amp;"'!"&amp;$AE$2))),INDIRECT("'["&amp;G847&amp;"]"&amp;E847&amp;"'!"&amp;$AE$3),0)</f>
        <v>#VALUE!</v>
      </c>
      <c r="T847" s="35" t="e" cm="1">
        <f t="array" aca="1" ref="T847" ca="1">IF(AND(G847=INDIRECT("'["&amp;G847&amp;"]"&amp;E847&amp;"'!"&amp;$AH$2),OR(I847=INDIRECT("'["&amp;G847&amp;"]"&amp;E847&amp;"'!"&amp;$AF$2))),INDIRECT("'["&amp;G847&amp;"]"&amp;E847&amp;"'!"&amp;$AF$3),0)</f>
        <v>#VALUE!</v>
      </c>
      <c r="U847" s="34" t="e" cm="1">
        <f t="array" aca="1" ref="U847" ca="1">IF(AND(G847=INDIRECT("'["&amp;G847&amp;"]"&amp;E847&amp;"'!"&amp;$AH$2),OR(I847=INDIRECT("'["&amp;G847&amp;"]"&amp;E847&amp;"'!"&amp;$AG$2))),INDIRECT("'["&amp;G847&amp;"]"&amp;E847&amp;"'!"&amp;$AG$3),0)</f>
        <v>#VALUE!</v>
      </c>
      <c r="V847" s="25" t="str">
        <f t="shared" si="227"/>
        <v/>
      </c>
      <c r="W847" s="36" t="e" cm="1">
        <f t="array" aca="1" ref="W847" ca="1">IF(AND(G847=INDIRECT("'["&amp;G847&amp;"]"&amp;E847&amp;"'!"&amp;$AH$2),OR(V847=INDIRECT("'["&amp;G847&amp;"]"&amp;E847&amp;"'!"&amp;$AI$2))),INDIRECT("'["&amp;G847&amp;"]"&amp;E847&amp;"'!"&amp;$AI$3),0)</f>
        <v>#VALUE!</v>
      </c>
      <c r="AJ847" s="25">
        <v>1</v>
      </c>
      <c r="AK847" s="38">
        <f t="shared" ca="1" si="228"/>
        <v>0</v>
      </c>
      <c r="AL847" s="38">
        <f t="shared" ca="1" si="229"/>
        <v>0</v>
      </c>
      <c r="AM847" s="54" t="str">
        <f t="shared" ca="1" si="230"/>
        <v/>
      </c>
      <c r="AN847" s="25" t="e">
        <f t="shared" ca="1" si="231"/>
        <v>#VALUE!</v>
      </c>
      <c r="AO847" s="25" t="e">
        <f t="shared" ca="1" si="232"/>
        <v>#VALUE!</v>
      </c>
      <c r="AQ847" s="46" t="str">
        <f ca="1">IF(AND(C847&lt;&gt;0, C848=0), SUM($C$2:C847)-SUM($AQ$1:AQ846), "")</f>
        <v/>
      </c>
      <c r="AR847" s="46" t="str">
        <f ca="1">IF(AND(AK847&lt;&gt;0, AK848=0), SUM($AK$2:AK847)-SUM($AR$1:AR846), "")</f>
        <v/>
      </c>
    </row>
    <row r="848" spans="2:44" ht="13.15" customHeight="1">
      <c r="B848" s="68" t="str">
        <f t="shared" si="218"/>
        <v/>
      </c>
      <c r="C848" s="55" cm="1">
        <f t="array" aca="1" ref="C848" ca="1">SUM(IF(ISNUMBER(M848:U848),M848:U848,""))</f>
        <v>0</v>
      </c>
      <c r="D848" s="25" t="str">
        <f t="shared" si="219"/>
        <v/>
      </c>
      <c r="E848" s="25" t="e">
        <f t="shared" si="220"/>
        <v>#VALUE!</v>
      </c>
      <c r="F848" s="25" t="str">
        <f t="shared" si="221"/>
        <v/>
      </c>
      <c r="G848" s="25" t="str">
        <f t="shared" si="222"/>
        <v>.xlsx</v>
      </c>
      <c r="H848" s="29" t="e" cm="1">
        <f t="array" aca="1" ref="H848" ca="1">IF(AND(VALUE(E848)=INDIRECT("'["&amp;G848&amp;"]"&amp;E848&amp;"'!"&amp;$X$2),G848=INDIRECT("'["&amp;G848&amp;"]"&amp;E848&amp;"'!"&amp;$X$3)),INDIRECT("'["&amp;G848&amp;"]"&amp;E848&amp;"'!"&amp;$X$1),0)</f>
        <v>#VALUE!</v>
      </c>
      <c r="I848" s="25" t="str">
        <f t="shared" si="223"/>
        <v/>
      </c>
      <c r="J848" s="32" t="str">
        <f t="shared" si="224"/>
        <v/>
      </c>
      <c r="K848" s="25" t="str">
        <f t="shared" si="225"/>
        <v/>
      </c>
      <c r="L848" s="25" t="str">
        <f t="shared" si="226"/>
        <v/>
      </c>
      <c r="M848" s="33" t="e" cm="1">
        <f t="array" aca="1" ref="M848" ca="1">IF(AND(J848=INDIRECT("'["&amp;G848&amp;"]"&amp;E848&amp;"'!"&amp;$Y$2),G848=INDIRECT("'["&amp;G848&amp;"]"&amp;E848&amp;"'!"&amp;$AH$2)),INDIRECT("'["&amp;G848&amp;"]"&amp;E848&amp;"'!"&amp;$Y$3),0)</f>
        <v>#VALUE!</v>
      </c>
      <c r="N848" s="34" t="e" cm="1">
        <f t="array" aca="1" ref="N848" ca="1">IF(AND(G848=INDIRECT("'["&amp;G848&amp;"]"&amp;E848&amp;"'!"&amp;$AH$2),OR(K848=INDIRECT("'["&amp;G848&amp;"]"&amp;E848&amp;"'!"&amp;$Z$2))),INDIRECT("'["&amp;G848&amp;"]"&amp;E848&amp;"'!"&amp;$Z$3),0)</f>
        <v>#VALUE!</v>
      </c>
      <c r="O848" s="34" t="e" cm="1">
        <f t="array" aca="1" ref="O848" ca="1">IF(AND(G848=INDIRECT("'["&amp;G848&amp;"]"&amp;E848&amp;"'!"&amp;$AH$2),OR(L848=INDIRECT("'["&amp;G848&amp;"]"&amp;E848&amp;"'!"&amp;$AA$2))),INDIRECT("'["&amp;G848&amp;"]"&amp;E848&amp;"'!"&amp;$AA$3),0)</f>
        <v>#VALUE!</v>
      </c>
      <c r="P848" s="34" t="e" cm="1">
        <f t="array" aca="1" ref="P848" ca="1">IF(AND(G848=INDIRECT("'["&amp;G848&amp;"]"&amp;E848&amp;"'!"&amp;$AH$2),OR(VALUE(I848)=INDIRECT("'["&amp;G848&amp;"]"&amp;E848&amp;"'!"&amp;$AB$2))),INDIRECT("'["&amp;G848&amp;"]"&amp;E848&amp;"'!"&amp;$AB$3),0)</f>
        <v>#VALUE!</v>
      </c>
      <c r="Q848" s="34" t="e" cm="1">
        <f t="array" aca="1" ref="Q848" ca="1">IF(AND(G848=INDIRECT("'["&amp;G848&amp;"]"&amp;E848&amp;"'!"&amp;$AH$2),OR(VALUE(I848)=INDIRECT("'["&amp;G848&amp;"]"&amp;E848&amp;"'!"&amp;$AC$2))),INDIRECT("'["&amp;G848&amp;"]"&amp;E848&amp;"'!"&amp;$AC$3),0)</f>
        <v>#VALUE!</v>
      </c>
      <c r="R848" s="34" t="e" cm="1">
        <f t="array" aca="1" ref="R848" ca="1">IF(AND(G848=INDIRECT("'["&amp;G848&amp;"]"&amp;E848&amp;"'!"&amp;$AH$2),OR(I848=INDIRECT("'["&amp;G848&amp;"]"&amp;E848&amp;"'!"&amp;$AD$2))),INDIRECT("'["&amp;G848&amp;"]"&amp;E848&amp;"'!"&amp;$AD$3),0)</f>
        <v>#VALUE!</v>
      </c>
      <c r="S848" s="34" t="e" cm="1">
        <f t="array" aca="1" ref="S848" ca="1">IF(AND(G848=INDIRECT("'["&amp;G848&amp;"]"&amp;E848&amp;"'!"&amp;$AH$2),OR(I848=INDIRECT("'["&amp;G848&amp;"]"&amp;E848&amp;"'!"&amp;$AE$2))),INDIRECT("'["&amp;G848&amp;"]"&amp;E848&amp;"'!"&amp;$AE$3),0)</f>
        <v>#VALUE!</v>
      </c>
      <c r="T848" s="35" t="e" cm="1">
        <f t="array" aca="1" ref="T848" ca="1">IF(AND(G848=INDIRECT("'["&amp;G848&amp;"]"&amp;E848&amp;"'!"&amp;$AH$2),OR(I848=INDIRECT("'["&amp;G848&amp;"]"&amp;E848&amp;"'!"&amp;$AF$2))),INDIRECT("'["&amp;G848&amp;"]"&amp;E848&amp;"'!"&amp;$AF$3),0)</f>
        <v>#VALUE!</v>
      </c>
      <c r="U848" s="34" t="e" cm="1">
        <f t="array" aca="1" ref="U848" ca="1">IF(AND(G848=INDIRECT("'["&amp;G848&amp;"]"&amp;E848&amp;"'!"&amp;$AH$2),OR(I848=INDIRECT("'["&amp;G848&amp;"]"&amp;E848&amp;"'!"&amp;$AG$2))),INDIRECT("'["&amp;G848&amp;"]"&amp;E848&amp;"'!"&amp;$AG$3),0)</f>
        <v>#VALUE!</v>
      </c>
      <c r="V848" s="25" t="str">
        <f t="shared" si="227"/>
        <v/>
      </c>
      <c r="W848" s="36" t="e" cm="1">
        <f t="array" aca="1" ref="W848" ca="1">IF(AND(G848=INDIRECT("'["&amp;G848&amp;"]"&amp;E848&amp;"'!"&amp;$AH$2),OR(V848=INDIRECT("'["&amp;G848&amp;"]"&amp;E848&amp;"'!"&amp;$AI$2))),INDIRECT("'["&amp;G848&amp;"]"&amp;E848&amp;"'!"&amp;$AI$3),0)</f>
        <v>#VALUE!</v>
      </c>
      <c r="AJ848" s="25">
        <v>1</v>
      </c>
      <c r="AK848" s="38">
        <f t="shared" ca="1" si="228"/>
        <v>0</v>
      </c>
      <c r="AL848" s="38">
        <f t="shared" ca="1" si="229"/>
        <v>0</v>
      </c>
      <c r="AM848" s="54" t="str">
        <f t="shared" ca="1" si="230"/>
        <v/>
      </c>
      <c r="AN848" s="25" t="e">
        <f t="shared" ca="1" si="231"/>
        <v>#VALUE!</v>
      </c>
      <c r="AO848" s="25" t="e">
        <f t="shared" ca="1" si="232"/>
        <v>#VALUE!</v>
      </c>
      <c r="AQ848" s="46" t="str">
        <f ca="1">IF(AND(C848&lt;&gt;0, C849=0), SUM($C$2:C848)-SUM($AQ$1:AQ847), "")</f>
        <v/>
      </c>
      <c r="AR848" s="46" t="str">
        <f ca="1">IF(AND(AK848&lt;&gt;0, AK849=0), SUM($AK$2:AK848)-SUM($AR$1:AR847), "")</f>
        <v/>
      </c>
    </row>
    <row r="849" spans="2:44" ht="13.15" customHeight="1">
      <c r="B849" s="68" t="str">
        <f t="shared" si="218"/>
        <v/>
      </c>
      <c r="C849" s="55" cm="1">
        <f t="array" aca="1" ref="C849" ca="1">SUM(IF(ISNUMBER(M849:U849),M849:U849,""))</f>
        <v>0</v>
      </c>
      <c r="D849" s="25" t="str">
        <f t="shared" si="219"/>
        <v/>
      </c>
      <c r="E849" s="25" t="e">
        <f t="shared" si="220"/>
        <v>#VALUE!</v>
      </c>
      <c r="F849" s="25" t="str">
        <f t="shared" si="221"/>
        <v/>
      </c>
      <c r="G849" s="25" t="str">
        <f t="shared" si="222"/>
        <v>.xlsx</v>
      </c>
      <c r="H849" s="29" t="e" cm="1">
        <f t="array" aca="1" ref="H849" ca="1">IF(AND(VALUE(E849)=INDIRECT("'["&amp;G849&amp;"]"&amp;E849&amp;"'!"&amp;$X$2),G849=INDIRECT("'["&amp;G849&amp;"]"&amp;E849&amp;"'!"&amp;$X$3)),INDIRECT("'["&amp;G849&amp;"]"&amp;E849&amp;"'!"&amp;$X$1),0)</f>
        <v>#VALUE!</v>
      </c>
      <c r="I849" s="25" t="str">
        <f t="shared" si="223"/>
        <v/>
      </c>
      <c r="J849" s="32" t="str">
        <f t="shared" si="224"/>
        <v/>
      </c>
      <c r="K849" s="25" t="str">
        <f t="shared" si="225"/>
        <v/>
      </c>
      <c r="L849" s="25" t="str">
        <f t="shared" si="226"/>
        <v/>
      </c>
      <c r="M849" s="33" t="e" cm="1">
        <f t="array" aca="1" ref="M849" ca="1">IF(AND(J849=INDIRECT("'["&amp;G849&amp;"]"&amp;E849&amp;"'!"&amp;$Y$2),G849=INDIRECT("'["&amp;G849&amp;"]"&amp;E849&amp;"'!"&amp;$AH$2)),INDIRECT("'["&amp;G849&amp;"]"&amp;E849&amp;"'!"&amp;$Y$3),0)</f>
        <v>#VALUE!</v>
      </c>
      <c r="N849" s="34" t="e" cm="1">
        <f t="array" aca="1" ref="N849" ca="1">IF(AND(G849=INDIRECT("'["&amp;G849&amp;"]"&amp;E849&amp;"'!"&amp;$AH$2),OR(K849=INDIRECT("'["&amp;G849&amp;"]"&amp;E849&amp;"'!"&amp;$Z$2))),INDIRECT("'["&amp;G849&amp;"]"&amp;E849&amp;"'!"&amp;$Z$3),0)</f>
        <v>#VALUE!</v>
      </c>
      <c r="O849" s="34" t="e" cm="1">
        <f t="array" aca="1" ref="O849" ca="1">IF(AND(G849=INDIRECT("'["&amp;G849&amp;"]"&amp;E849&amp;"'!"&amp;$AH$2),OR(L849=INDIRECT("'["&amp;G849&amp;"]"&amp;E849&amp;"'!"&amp;$AA$2))),INDIRECT("'["&amp;G849&amp;"]"&amp;E849&amp;"'!"&amp;$AA$3),0)</f>
        <v>#VALUE!</v>
      </c>
      <c r="P849" s="34" t="e" cm="1">
        <f t="array" aca="1" ref="P849" ca="1">IF(AND(G849=INDIRECT("'["&amp;G849&amp;"]"&amp;E849&amp;"'!"&amp;$AH$2),OR(VALUE(I849)=INDIRECT("'["&amp;G849&amp;"]"&amp;E849&amp;"'!"&amp;$AB$2))),INDIRECT("'["&amp;G849&amp;"]"&amp;E849&amp;"'!"&amp;$AB$3),0)</f>
        <v>#VALUE!</v>
      </c>
      <c r="Q849" s="34" t="e" cm="1">
        <f t="array" aca="1" ref="Q849" ca="1">IF(AND(G849=INDIRECT("'["&amp;G849&amp;"]"&amp;E849&amp;"'!"&amp;$AH$2),OR(VALUE(I849)=INDIRECT("'["&amp;G849&amp;"]"&amp;E849&amp;"'!"&amp;$AC$2))),INDIRECT("'["&amp;G849&amp;"]"&amp;E849&amp;"'!"&amp;$AC$3),0)</f>
        <v>#VALUE!</v>
      </c>
      <c r="R849" s="34" t="e" cm="1">
        <f t="array" aca="1" ref="R849" ca="1">IF(AND(G849=INDIRECT("'["&amp;G849&amp;"]"&amp;E849&amp;"'!"&amp;$AH$2),OR(I849=INDIRECT("'["&amp;G849&amp;"]"&amp;E849&amp;"'!"&amp;$AD$2))),INDIRECT("'["&amp;G849&amp;"]"&amp;E849&amp;"'!"&amp;$AD$3),0)</f>
        <v>#VALUE!</v>
      </c>
      <c r="S849" s="34" t="e" cm="1">
        <f t="array" aca="1" ref="S849" ca="1">IF(AND(G849=INDIRECT("'["&amp;G849&amp;"]"&amp;E849&amp;"'!"&amp;$AH$2),OR(I849=INDIRECT("'["&amp;G849&amp;"]"&amp;E849&amp;"'!"&amp;$AE$2))),INDIRECT("'["&amp;G849&amp;"]"&amp;E849&amp;"'!"&amp;$AE$3),0)</f>
        <v>#VALUE!</v>
      </c>
      <c r="T849" s="35" t="e" cm="1">
        <f t="array" aca="1" ref="T849" ca="1">IF(AND(G849=INDIRECT("'["&amp;G849&amp;"]"&amp;E849&amp;"'!"&amp;$AH$2),OR(I849=INDIRECT("'["&amp;G849&amp;"]"&amp;E849&amp;"'!"&amp;$AF$2))),INDIRECT("'["&amp;G849&amp;"]"&amp;E849&amp;"'!"&amp;$AF$3),0)</f>
        <v>#VALUE!</v>
      </c>
      <c r="U849" s="34" t="e" cm="1">
        <f t="array" aca="1" ref="U849" ca="1">IF(AND(G849=INDIRECT("'["&amp;G849&amp;"]"&amp;E849&amp;"'!"&amp;$AH$2),OR(I849=INDIRECT("'["&amp;G849&amp;"]"&amp;E849&amp;"'!"&amp;$AG$2))),INDIRECT("'["&amp;G849&amp;"]"&amp;E849&amp;"'!"&amp;$AG$3),0)</f>
        <v>#VALUE!</v>
      </c>
      <c r="V849" s="25" t="str">
        <f t="shared" si="227"/>
        <v/>
      </c>
      <c r="W849" s="36" t="e" cm="1">
        <f t="array" aca="1" ref="W849" ca="1">IF(AND(G849=INDIRECT("'["&amp;G849&amp;"]"&amp;E849&amp;"'!"&amp;$AH$2),OR(V849=INDIRECT("'["&amp;G849&amp;"]"&amp;E849&amp;"'!"&amp;$AI$2))),INDIRECT("'["&amp;G849&amp;"]"&amp;E849&amp;"'!"&amp;$AI$3),0)</f>
        <v>#VALUE!</v>
      </c>
      <c r="AJ849" s="25">
        <v>1</v>
      </c>
      <c r="AK849" s="38">
        <f t="shared" ca="1" si="228"/>
        <v>0</v>
      </c>
      <c r="AL849" s="38">
        <f t="shared" ca="1" si="229"/>
        <v>0</v>
      </c>
      <c r="AM849" s="54" t="str">
        <f t="shared" ca="1" si="230"/>
        <v/>
      </c>
      <c r="AN849" s="25" t="e">
        <f t="shared" ca="1" si="231"/>
        <v>#VALUE!</v>
      </c>
      <c r="AO849" s="25" t="e">
        <f t="shared" ca="1" si="232"/>
        <v>#VALUE!</v>
      </c>
      <c r="AQ849" s="46" t="str">
        <f ca="1">IF(AND(C849&lt;&gt;0, C850=0), SUM($C$2:C849)-SUM($AQ$1:AQ848), "")</f>
        <v/>
      </c>
      <c r="AR849" s="46" t="str">
        <f ca="1">IF(AND(AK849&lt;&gt;0, AK850=0), SUM($AK$2:AK849)-SUM($AR$1:AR848), "")</f>
        <v/>
      </c>
    </row>
    <row r="850" spans="2:44" ht="13.15" customHeight="1">
      <c r="B850" s="68" t="str">
        <f t="shared" si="218"/>
        <v/>
      </c>
      <c r="C850" s="55" cm="1">
        <f t="array" aca="1" ref="C850" ca="1">SUM(IF(ISNUMBER(M850:U850),M850:U850,""))</f>
        <v>0</v>
      </c>
      <c r="D850" s="25" t="str">
        <f t="shared" si="219"/>
        <v/>
      </c>
      <c r="E850" s="25" t="e">
        <f t="shared" si="220"/>
        <v>#VALUE!</v>
      </c>
      <c r="F850" s="25" t="str">
        <f t="shared" si="221"/>
        <v/>
      </c>
      <c r="G850" s="25" t="str">
        <f t="shared" si="222"/>
        <v>.xlsx</v>
      </c>
      <c r="H850" s="29" t="e" cm="1">
        <f t="array" aca="1" ref="H850" ca="1">IF(AND(VALUE(E850)=INDIRECT("'["&amp;G850&amp;"]"&amp;E850&amp;"'!"&amp;$X$2),G850=INDIRECT("'["&amp;G850&amp;"]"&amp;E850&amp;"'!"&amp;$X$3)),INDIRECT("'["&amp;G850&amp;"]"&amp;E850&amp;"'!"&amp;$X$1),0)</f>
        <v>#VALUE!</v>
      </c>
      <c r="I850" s="25" t="str">
        <f t="shared" si="223"/>
        <v/>
      </c>
      <c r="J850" s="32" t="str">
        <f t="shared" si="224"/>
        <v/>
      </c>
      <c r="K850" s="25" t="str">
        <f t="shared" si="225"/>
        <v/>
      </c>
      <c r="L850" s="25" t="str">
        <f t="shared" si="226"/>
        <v/>
      </c>
      <c r="M850" s="33" t="e" cm="1">
        <f t="array" aca="1" ref="M850" ca="1">IF(AND(J850=INDIRECT("'["&amp;G850&amp;"]"&amp;E850&amp;"'!"&amp;$Y$2),G850=INDIRECT("'["&amp;G850&amp;"]"&amp;E850&amp;"'!"&amp;$AH$2)),INDIRECT("'["&amp;G850&amp;"]"&amp;E850&amp;"'!"&amp;$Y$3),0)</f>
        <v>#VALUE!</v>
      </c>
      <c r="N850" s="34" t="e" cm="1">
        <f t="array" aca="1" ref="N850" ca="1">IF(AND(G850=INDIRECT("'["&amp;G850&amp;"]"&amp;E850&amp;"'!"&amp;$AH$2),OR(K850=INDIRECT("'["&amp;G850&amp;"]"&amp;E850&amp;"'!"&amp;$Z$2))),INDIRECT("'["&amp;G850&amp;"]"&amp;E850&amp;"'!"&amp;$Z$3),0)</f>
        <v>#VALUE!</v>
      </c>
      <c r="O850" s="34" t="e" cm="1">
        <f t="array" aca="1" ref="O850" ca="1">IF(AND(G850=INDIRECT("'["&amp;G850&amp;"]"&amp;E850&amp;"'!"&amp;$AH$2),OR(L850=INDIRECT("'["&amp;G850&amp;"]"&amp;E850&amp;"'!"&amp;$AA$2))),INDIRECT("'["&amp;G850&amp;"]"&amp;E850&amp;"'!"&amp;$AA$3),0)</f>
        <v>#VALUE!</v>
      </c>
      <c r="P850" s="34" t="e" cm="1">
        <f t="array" aca="1" ref="P850" ca="1">IF(AND(G850=INDIRECT("'["&amp;G850&amp;"]"&amp;E850&amp;"'!"&amp;$AH$2),OR(VALUE(I850)=INDIRECT("'["&amp;G850&amp;"]"&amp;E850&amp;"'!"&amp;$AB$2))),INDIRECT("'["&amp;G850&amp;"]"&amp;E850&amp;"'!"&amp;$AB$3),0)</f>
        <v>#VALUE!</v>
      </c>
      <c r="Q850" s="34" t="e" cm="1">
        <f t="array" aca="1" ref="Q850" ca="1">IF(AND(G850=INDIRECT("'["&amp;G850&amp;"]"&amp;E850&amp;"'!"&amp;$AH$2),OR(VALUE(I850)=INDIRECT("'["&amp;G850&amp;"]"&amp;E850&amp;"'!"&amp;$AC$2))),INDIRECT("'["&amp;G850&amp;"]"&amp;E850&amp;"'!"&amp;$AC$3),0)</f>
        <v>#VALUE!</v>
      </c>
      <c r="R850" s="34" t="e" cm="1">
        <f t="array" aca="1" ref="R850" ca="1">IF(AND(G850=INDIRECT("'["&amp;G850&amp;"]"&amp;E850&amp;"'!"&amp;$AH$2),OR(I850=INDIRECT("'["&amp;G850&amp;"]"&amp;E850&amp;"'!"&amp;$AD$2))),INDIRECT("'["&amp;G850&amp;"]"&amp;E850&amp;"'!"&amp;$AD$3),0)</f>
        <v>#VALUE!</v>
      </c>
      <c r="S850" s="34" t="e" cm="1">
        <f t="array" aca="1" ref="S850" ca="1">IF(AND(G850=INDIRECT("'["&amp;G850&amp;"]"&amp;E850&amp;"'!"&amp;$AH$2),OR(I850=INDIRECT("'["&amp;G850&amp;"]"&amp;E850&amp;"'!"&amp;$AE$2))),INDIRECT("'["&amp;G850&amp;"]"&amp;E850&amp;"'!"&amp;$AE$3),0)</f>
        <v>#VALUE!</v>
      </c>
      <c r="T850" s="35" t="e" cm="1">
        <f t="array" aca="1" ref="T850" ca="1">IF(AND(G850=INDIRECT("'["&amp;G850&amp;"]"&amp;E850&amp;"'!"&amp;$AH$2),OR(I850=INDIRECT("'["&amp;G850&amp;"]"&amp;E850&amp;"'!"&amp;$AF$2))),INDIRECT("'["&amp;G850&amp;"]"&amp;E850&amp;"'!"&amp;$AF$3),0)</f>
        <v>#VALUE!</v>
      </c>
      <c r="U850" s="34" t="e" cm="1">
        <f t="array" aca="1" ref="U850" ca="1">IF(AND(G850=INDIRECT("'["&amp;G850&amp;"]"&amp;E850&amp;"'!"&amp;$AH$2),OR(I850=INDIRECT("'["&amp;G850&amp;"]"&amp;E850&amp;"'!"&amp;$AG$2))),INDIRECT("'["&amp;G850&amp;"]"&amp;E850&amp;"'!"&amp;$AG$3),0)</f>
        <v>#VALUE!</v>
      </c>
      <c r="V850" s="25" t="str">
        <f t="shared" si="227"/>
        <v/>
      </c>
      <c r="W850" s="36" t="e" cm="1">
        <f t="array" aca="1" ref="W850" ca="1">IF(AND(G850=INDIRECT("'["&amp;G850&amp;"]"&amp;E850&amp;"'!"&amp;$AH$2),OR(V850=INDIRECT("'["&amp;G850&amp;"]"&amp;E850&amp;"'!"&amp;$AI$2))),INDIRECT("'["&amp;G850&amp;"]"&amp;E850&amp;"'!"&amp;$AI$3),0)</f>
        <v>#VALUE!</v>
      </c>
      <c r="AJ850" s="25">
        <v>1</v>
      </c>
      <c r="AK850" s="38">
        <f t="shared" ca="1" si="228"/>
        <v>0</v>
      </c>
      <c r="AL850" s="38">
        <f t="shared" ca="1" si="229"/>
        <v>0</v>
      </c>
      <c r="AM850" s="54" t="str">
        <f t="shared" ca="1" si="230"/>
        <v/>
      </c>
      <c r="AN850" s="25" t="e">
        <f t="shared" ca="1" si="231"/>
        <v>#VALUE!</v>
      </c>
      <c r="AO850" s="25" t="e">
        <f t="shared" ca="1" si="232"/>
        <v>#VALUE!</v>
      </c>
      <c r="AQ850" s="46" t="str">
        <f ca="1">IF(AND(C850&lt;&gt;0, C851=0), SUM($C$2:C850)-SUM($AQ$1:AQ849), "")</f>
        <v/>
      </c>
      <c r="AR850" s="46" t="str">
        <f ca="1">IF(AND(AK850&lt;&gt;0, AK851=0), SUM($AK$2:AK850)-SUM($AR$1:AR849), "")</f>
        <v/>
      </c>
    </row>
    <row r="851" spans="2:44" ht="13.15" customHeight="1">
      <c r="B851" s="68" t="str">
        <f t="shared" si="218"/>
        <v/>
      </c>
      <c r="C851" s="55" cm="1">
        <f t="array" aca="1" ref="C851" ca="1">SUM(IF(ISNUMBER(M851:U851),M851:U851,""))</f>
        <v>0</v>
      </c>
      <c r="D851" s="25" t="str">
        <f t="shared" si="219"/>
        <v/>
      </c>
      <c r="E851" s="25" t="e">
        <f t="shared" si="220"/>
        <v>#VALUE!</v>
      </c>
      <c r="F851" s="25" t="str">
        <f t="shared" si="221"/>
        <v/>
      </c>
      <c r="G851" s="25" t="str">
        <f t="shared" si="222"/>
        <v>.xlsx</v>
      </c>
      <c r="H851" s="29" t="e" cm="1">
        <f t="array" aca="1" ref="H851" ca="1">IF(AND(VALUE(E851)=INDIRECT("'["&amp;G851&amp;"]"&amp;E851&amp;"'!"&amp;$X$2),G851=INDIRECT("'["&amp;G851&amp;"]"&amp;E851&amp;"'!"&amp;$X$3)),INDIRECT("'["&amp;G851&amp;"]"&amp;E851&amp;"'!"&amp;$X$1),0)</f>
        <v>#VALUE!</v>
      </c>
      <c r="I851" s="25" t="str">
        <f t="shared" si="223"/>
        <v/>
      </c>
      <c r="J851" s="32" t="str">
        <f t="shared" si="224"/>
        <v/>
      </c>
      <c r="K851" s="25" t="str">
        <f t="shared" si="225"/>
        <v/>
      </c>
      <c r="L851" s="25" t="str">
        <f t="shared" si="226"/>
        <v/>
      </c>
      <c r="M851" s="33" t="e" cm="1">
        <f t="array" aca="1" ref="M851" ca="1">IF(AND(J851=INDIRECT("'["&amp;G851&amp;"]"&amp;E851&amp;"'!"&amp;$Y$2),G851=INDIRECT("'["&amp;G851&amp;"]"&amp;E851&amp;"'!"&amp;$AH$2)),INDIRECT("'["&amp;G851&amp;"]"&amp;E851&amp;"'!"&amp;$Y$3),0)</f>
        <v>#VALUE!</v>
      </c>
      <c r="N851" s="34" t="e" cm="1">
        <f t="array" aca="1" ref="N851" ca="1">IF(AND(G851=INDIRECT("'["&amp;G851&amp;"]"&amp;E851&amp;"'!"&amp;$AH$2),OR(K851=INDIRECT("'["&amp;G851&amp;"]"&amp;E851&amp;"'!"&amp;$Z$2))),INDIRECT("'["&amp;G851&amp;"]"&amp;E851&amp;"'!"&amp;$Z$3),0)</f>
        <v>#VALUE!</v>
      </c>
      <c r="O851" s="34" t="e" cm="1">
        <f t="array" aca="1" ref="O851" ca="1">IF(AND(G851=INDIRECT("'["&amp;G851&amp;"]"&amp;E851&amp;"'!"&amp;$AH$2),OR(L851=INDIRECT("'["&amp;G851&amp;"]"&amp;E851&amp;"'!"&amp;$AA$2))),INDIRECT("'["&amp;G851&amp;"]"&amp;E851&amp;"'!"&amp;$AA$3),0)</f>
        <v>#VALUE!</v>
      </c>
      <c r="P851" s="34" t="e" cm="1">
        <f t="array" aca="1" ref="P851" ca="1">IF(AND(G851=INDIRECT("'["&amp;G851&amp;"]"&amp;E851&amp;"'!"&amp;$AH$2),OR(VALUE(I851)=INDIRECT("'["&amp;G851&amp;"]"&amp;E851&amp;"'!"&amp;$AB$2))),INDIRECT("'["&amp;G851&amp;"]"&amp;E851&amp;"'!"&amp;$AB$3),0)</f>
        <v>#VALUE!</v>
      </c>
      <c r="Q851" s="34" t="e" cm="1">
        <f t="array" aca="1" ref="Q851" ca="1">IF(AND(G851=INDIRECT("'["&amp;G851&amp;"]"&amp;E851&amp;"'!"&amp;$AH$2),OR(VALUE(I851)=INDIRECT("'["&amp;G851&amp;"]"&amp;E851&amp;"'!"&amp;$AC$2))),INDIRECT("'["&amp;G851&amp;"]"&amp;E851&amp;"'!"&amp;$AC$3),0)</f>
        <v>#VALUE!</v>
      </c>
      <c r="R851" s="34" t="e" cm="1">
        <f t="array" aca="1" ref="R851" ca="1">IF(AND(G851=INDIRECT("'["&amp;G851&amp;"]"&amp;E851&amp;"'!"&amp;$AH$2),OR(I851=INDIRECT("'["&amp;G851&amp;"]"&amp;E851&amp;"'!"&amp;$AD$2))),INDIRECT("'["&amp;G851&amp;"]"&amp;E851&amp;"'!"&amp;$AD$3),0)</f>
        <v>#VALUE!</v>
      </c>
      <c r="S851" s="34" t="e" cm="1">
        <f t="array" aca="1" ref="S851" ca="1">IF(AND(G851=INDIRECT("'["&amp;G851&amp;"]"&amp;E851&amp;"'!"&amp;$AH$2),OR(I851=INDIRECT("'["&amp;G851&amp;"]"&amp;E851&amp;"'!"&amp;$AE$2))),INDIRECT("'["&amp;G851&amp;"]"&amp;E851&amp;"'!"&amp;$AE$3),0)</f>
        <v>#VALUE!</v>
      </c>
      <c r="T851" s="35" t="e" cm="1">
        <f t="array" aca="1" ref="T851" ca="1">IF(AND(G851=INDIRECT("'["&amp;G851&amp;"]"&amp;E851&amp;"'!"&amp;$AH$2),OR(I851=INDIRECT("'["&amp;G851&amp;"]"&amp;E851&amp;"'!"&amp;$AF$2))),INDIRECT("'["&amp;G851&amp;"]"&amp;E851&amp;"'!"&amp;$AF$3),0)</f>
        <v>#VALUE!</v>
      </c>
      <c r="U851" s="34" t="e" cm="1">
        <f t="array" aca="1" ref="U851" ca="1">IF(AND(G851=INDIRECT("'["&amp;G851&amp;"]"&amp;E851&amp;"'!"&amp;$AH$2),OR(I851=INDIRECT("'["&amp;G851&amp;"]"&amp;E851&amp;"'!"&amp;$AG$2))),INDIRECT("'["&amp;G851&amp;"]"&amp;E851&amp;"'!"&amp;$AG$3),0)</f>
        <v>#VALUE!</v>
      </c>
      <c r="V851" s="25" t="str">
        <f t="shared" si="227"/>
        <v/>
      </c>
      <c r="W851" s="36" t="e" cm="1">
        <f t="array" aca="1" ref="W851" ca="1">IF(AND(G851=INDIRECT("'["&amp;G851&amp;"]"&amp;E851&amp;"'!"&amp;$AH$2),OR(V851=INDIRECT("'["&amp;G851&amp;"]"&amp;E851&amp;"'!"&amp;$AI$2))),INDIRECT("'["&amp;G851&amp;"]"&amp;E851&amp;"'!"&amp;$AI$3),0)</f>
        <v>#VALUE!</v>
      </c>
      <c r="AJ851" s="25">
        <v>1</v>
      </c>
      <c r="AK851" s="38">
        <f t="shared" ca="1" si="228"/>
        <v>0</v>
      </c>
      <c r="AL851" s="38">
        <f t="shared" ca="1" si="229"/>
        <v>0</v>
      </c>
      <c r="AM851" s="54" t="str">
        <f t="shared" ca="1" si="230"/>
        <v/>
      </c>
      <c r="AN851" s="25" t="e">
        <f t="shared" ca="1" si="231"/>
        <v>#VALUE!</v>
      </c>
      <c r="AO851" s="25" t="e">
        <f t="shared" ca="1" si="232"/>
        <v>#VALUE!</v>
      </c>
      <c r="AQ851" s="46" t="str">
        <f ca="1">IF(AND(C851&lt;&gt;0, C852=0), SUM($C$2:C851)-SUM($AQ$1:AQ850), "")</f>
        <v/>
      </c>
      <c r="AR851" s="46" t="str">
        <f ca="1">IF(AND(AK851&lt;&gt;0, AK852=0), SUM($AK$2:AK851)-SUM($AR$1:AR850), "")</f>
        <v/>
      </c>
    </row>
    <row r="852" spans="2:44" ht="13.15" customHeight="1">
      <c r="B852" s="68" t="str">
        <f t="shared" si="218"/>
        <v/>
      </c>
      <c r="C852" s="55" cm="1">
        <f t="array" aca="1" ref="C852" ca="1">SUM(IF(ISNUMBER(M852:U852),M852:U852,""))</f>
        <v>0</v>
      </c>
      <c r="D852" s="25" t="str">
        <f t="shared" si="219"/>
        <v/>
      </c>
      <c r="E852" s="25" t="e">
        <f t="shared" si="220"/>
        <v>#VALUE!</v>
      </c>
      <c r="F852" s="25" t="str">
        <f t="shared" si="221"/>
        <v/>
      </c>
      <c r="G852" s="25" t="str">
        <f t="shared" si="222"/>
        <v>.xlsx</v>
      </c>
      <c r="H852" s="29" t="e" cm="1">
        <f t="array" aca="1" ref="H852" ca="1">IF(AND(VALUE(E852)=INDIRECT("'["&amp;G852&amp;"]"&amp;E852&amp;"'!"&amp;$X$2),G852=INDIRECT("'["&amp;G852&amp;"]"&amp;E852&amp;"'!"&amp;$X$3)),INDIRECT("'["&amp;G852&amp;"]"&amp;E852&amp;"'!"&amp;$X$1),0)</f>
        <v>#VALUE!</v>
      </c>
      <c r="I852" s="25" t="str">
        <f t="shared" si="223"/>
        <v/>
      </c>
      <c r="J852" s="32" t="str">
        <f t="shared" si="224"/>
        <v/>
      </c>
      <c r="K852" s="25" t="str">
        <f t="shared" si="225"/>
        <v/>
      </c>
      <c r="L852" s="25" t="str">
        <f t="shared" si="226"/>
        <v/>
      </c>
      <c r="M852" s="33" t="e" cm="1">
        <f t="array" aca="1" ref="M852" ca="1">IF(AND(J852=INDIRECT("'["&amp;G852&amp;"]"&amp;E852&amp;"'!"&amp;$Y$2),G852=INDIRECT("'["&amp;G852&amp;"]"&amp;E852&amp;"'!"&amp;$AH$2)),INDIRECT("'["&amp;G852&amp;"]"&amp;E852&amp;"'!"&amp;$Y$3),0)</f>
        <v>#VALUE!</v>
      </c>
      <c r="N852" s="34" t="e" cm="1">
        <f t="array" aca="1" ref="N852" ca="1">IF(AND(G852=INDIRECT("'["&amp;G852&amp;"]"&amp;E852&amp;"'!"&amp;$AH$2),OR(K852=INDIRECT("'["&amp;G852&amp;"]"&amp;E852&amp;"'!"&amp;$Z$2))),INDIRECT("'["&amp;G852&amp;"]"&amp;E852&amp;"'!"&amp;$Z$3),0)</f>
        <v>#VALUE!</v>
      </c>
      <c r="O852" s="34" t="e" cm="1">
        <f t="array" aca="1" ref="O852" ca="1">IF(AND(G852=INDIRECT("'["&amp;G852&amp;"]"&amp;E852&amp;"'!"&amp;$AH$2),OR(L852=INDIRECT("'["&amp;G852&amp;"]"&amp;E852&amp;"'!"&amp;$AA$2))),INDIRECT("'["&amp;G852&amp;"]"&amp;E852&amp;"'!"&amp;$AA$3),0)</f>
        <v>#VALUE!</v>
      </c>
      <c r="P852" s="34" t="e" cm="1">
        <f t="array" aca="1" ref="P852" ca="1">IF(AND(G852=INDIRECT("'["&amp;G852&amp;"]"&amp;E852&amp;"'!"&amp;$AH$2),OR(VALUE(I852)=INDIRECT("'["&amp;G852&amp;"]"&amp;E852&amp;"'!"&amp;$AB$2))),INDIRECT("'["&amp;G852&amp;"]"&amp;E852&amp;"'!"&amp;$AB$3),0)</f>
        <v>#VALUE!</v>
      </c>
      <c r="Q852" s="34" t="e" cm="1">
        <f t="array" aca="1" ref="Q852" ca="1">IF(AND(G852=INDIRECT("'["&amp;G852&amp;"]"&amp;E852&amp;"'!"&amp;$AH$2),OR(VALUE(I852)=INDIRECT("'["&amp;G852&amp;"]"&amp;E852&amp;"'!"&amp;$AC$2))),INDIRECT("'["&amp;G852&amp;"]"&amp;E852&amp;"'!"&amp;$AC$3),0)</f>
        <v>#VALUE!</v>
      </c>
      <c r="R852" s="34" t="e" cm="1">
        <f t="array" aca="1" ref="R852" ca="1">IF(AND(G852=INDIRECT("'["&amp;G852&amp;"]"&amp;E852&amp;"'!"&amp;$AH$2),OR(I852=INDIRECT("'["&amp;G852&amp;"]"&amp;E852&amp;"'!"&amp;$AD$2))),INDIRECT("'["&amp;G852&amp;"]"&amp;E852&amp;"'!"&amp;$AD$3),0)</f>
        <v>#VALUE!</v>
      </c>
      <c r="S852" s="34" t="e" cm="1">
        <f t="array" aca="1" ref="S852" ca="1">IF(AND(G852=INDIRECT("'["&amp;G852&amp;"]"&amp;E852&amp;"'!"&amp;$AH$2),OR(I852=INDIRECT("'["&amp;G852&amp;"]"&amp;E852&amp;"'!"&amp;$AE$2))),INDIRECT("'["&amp;G852&amp;"]"&amp;E852&amp;"'!"&amp;$AE$3),0)</f>
        <v>#VALUE!</v>
      </c>
      <c r="T852" s="35" t="e" cm="1">
        <f t="array" aca="1" ref="T852" ca="1">IF(AND(G852=INDIRECT("'["&amp;G852&amp;"]"&amp;E852&amp;"'!"&amp;$AH$2),OR(I852=INDIRECT("'["&amp;G852&amp;"]"&amp;E852&amp;"'!"&amp;$AF$2))),INDIRECT("'["&amp;G852&amp;"]"&amp;E852&amp;"'!"&amp;$AF$3),0)</f>
        <v>#VALUE!</v>
      </c>
      <c r="U852" s="34" t="e" cm="1">
        <f t="array" aca="1" ref="U852" ca="1">IF(AND(G852=INDIRECT("'["&amp;G852&amp;"]"&amp;E852&amp;"'!"&amp;$AH$2),OR(I852=INDIRECT("'["&amp;G852&amp;"]"&amp;E852&amp;"'!"&amp;$AG$2))),INDIRECT("'["&amp;G852&amp;"]"&amp;E852&amp;"'!"&amp;$AG$3),0)</f>
        <v>#VALUE!</v>
      </c>
      <c r="V852" s="25" t="str">
        <f t="shared" si="227"/>
        <v/>
      </c>
      <c r="W852" s="36" t="e" cm="1">
        <f t="array" aca="1" ref="W852" ca="1">IF(AND(G852=INDIRECT("'["&amp;G852&amp;"]"&amp;E852&amp;"'!"&amp;$AH$2),OR(V852=INDIRECT("'["&amp;G852&amp;"]"&amp;E852&amp;"'!"&amp;$AI$2))),INDIRECT("'["&amp;G852&amp;"]"&amp;E852&amp;"'!"&amp;$AI$3),0)</f>
        <v>#VALUE!</v>
      </c>
      <c r="AJ852" s="25">
        <v>1</v>
      </c>
      <c r="AK852" s="38">
        <f t="shared" ca="1" si="228"/>
        <v>0</v>
      </c>
      <c r="AL852" s="38">
        <f t="shared" ca="1" si="229"/>
        <v>0</v>
      </c>
      <c r="AM852" s="54" t="str">
        <f t="shared" ca="1" si="230"/>
        <v/>
      </c>
      <c r="AN852" s="25" t="e">
        <f t="shared" ca="1" si="231"/>
        <v>#VALUE!</v>
      </c>
      <c r="AO852" s="25" t="e">
        <f t="shared" ca="1" si="232"/>
        <v>#VALUE!</v>
      </c>
      <c r="AQ852" s="46" t="str">
        <f ca="1">IF(AND(C852&lt;&gt;0, C853=0), SUM($C$2:C852)-SUM($AQ$1:AQ851), "")</f>
        <v/>
      </c>
      <c r="AR852" s="46" t="str">
        <f ca="1">IF(AND(AK852&lt;&gt;0, AK853=0), SUM($AK$2:AK852)-SUM($AR$1:AR851), "")</f>
        <v/>
      </c>
    </row>
    <row r="853" spans="2:44" ht="13.15" customHeight="1">
      <c r="B853" s="68" t="str">
        <f t="shared" si="218"/>
        <v/>
      </c>
      <c r="C853" s="55" cm="1">
        <f t="array" aca="1" ref="C853" ca="1">SUM(IF(ISNUMBER(M853:U853),M853:U853,""))</f>
        <v>0</v>
      </c>
      <c r="D853" s="25" t="str">
        <f t="shared" si="219"/>
        <v/>
      </c>
      <c r="E853" s="25" t="e">
        <f t="shared" si="220"/>
        <v>#VALUE!</v>
      </c>
      <c r="F853" s="25" t="str">
        <f t="shared" si="221"/>
        <v/>
      </c>
      <c r="G853" s="25" t="str">
        <f t="shared" si="222"/>
        <v>.xlsx</v>
      </c>
      <c r="H853" s="29" t="e" cm="1">
        <f t="array" aca="1" ref="H853" ca="1">IF(AND(VALUE(E853)=INDIRECT("'["&amp;G853&amp;"]"&amp;E853&amp;"'!"&amp;$X$2),G853=INDIRECT("'["&amp;G853&amp;"]"&amp;E853&amp;"'!"&amp;$X$3)),INDIRECT("'["&amp;G853&amp;"]"&amp;E853&amp;"'!"&amp;$X$1),0)</f>
        <v>#VALUE!</v>
      </c>
      <c r="I853" s="25" t="str">
        <f t="shared" si="223"/>
        <v/>
      </c>
      <c r="J853" s="32" t="str">
        <f t="shared" si="224"/>
        <v/>
      </c>
      <c r="K853" s="25" t="str">
        <f t="shared" si="225"/>
        <v/>
      </c>
      <c r="L853" s="25" t="str">
        <f t="shared" si="226"/>
        <v/>
      </c>
      <c r="M853" s="33" t="e" cm="1">
        <f t="array" aca="1" ref="M853" ca="1">IF(AND(J853=INDIRECT("'["&amp;G853&amp;"]"&amp;E853&amp;"'!"&amp;$Y$2),G853=INDIRECT("'["&amp;G853&amp;"]"&amp;E853&amp;"'!"&amp;$AH$2)),INDIRECT("'["&amp;G853&amp;"]"&amp;E853&amp;"'!"&amp;$Y$3),0)</f>
        <v>#VALUE!</v>
      </c>
      <c r="N853" s="34" t="e" cm="1">
        <f t="array" aca="1" ref="N853" ca="1">IF(AND(G853=INDIRECT("'["&amp;G853&amp;"]"&amp;E853&amp;"'!"&amp;$AH$2),OR(K853=INDIRECT("'["&amp;G853&amp;"]"&amp;E853&amp;"'!"&amp;$Z$2))),INDIRECT("'["&amp;G853&amp;"]"&amp;E853&amp;"'!"&amp;$Z$3),0)</f>
        <v>#VALUE!</v>
      </c>
      <c r="O853" s="34" t="e" cm="1">
        <f t="array" aca="1" ref="O853" ca="1">IF(AND(G853=INDIRECT("'["&amp;G853&amp;"]"&amp;E853&amp;"'!"&amp;$AH$2),OR(L853=INDIRECT("'["&amp;G853&amp;"]"&amp;E853&amp;"'!"&amp;$AA$2))),INDIRECT("'["&amp;G853&amp;"]"&amp;E853&amp;"'!"&amp;$AA$3),0)</f>
        <v>#VALUE!</v>
      </c>
      <c r="P853" s="34" t="e" cm="1">
        <f t="array" aca="1" ref="P853" ca="1">IF(AND(G853=INDIRECT("'["&amp;G853&amp;"]"&amp;E853&amp;"'!"&amp;$AH$2),OR(VALUE(I853)=INDIRECT("'["&amp;G853&amp;"]"&amp;E853&amp;"'!"&amp;$AB$2))),INDIRECT("'["&amp;G853&amp;"]"&amp;E853&amp;"'!"&amp;$AB$3),0)</f>
        <v>#VALUE!</v>
      </c>
      <c r="Q853" s="34" t="e" cm="1">
        <f t="array" aca="1" ref="Q853" ca="1">IF(AND(G853=INDIRECT("'["&amp;G853&amp;"]"&amp;E853&amp;"'!"&amp;$AH$2),OR(VALUE(I853)=INDIRECT("'["&amp;G853&amp;"]"&amp;E853&amp;"'!"&amp;$AC$2))),INDIRECT("'["&amp;G853&amp;"]"&amp;E853&amp;"'!"&amp;$AC$3),0)</f>
        <v>#VALUE!</v>
      </c>
      <c r="R853" s="34" t="e" cm="1">
        <f t="array" aca="1" ref="R853" ca="1">IF(AND(G853=INDIRECT("'["&amp;G853&amp;"]"&amp;E853&amp;"'!"&amp;$AH$2),OR(I853=INDIRECT("'["&amp;G853&amp;"]"&amp;E853&amp;"'!"&amp;$AD$2))),INDIRECT("'["&amp;G853&amp;"]"&amp;E853&amp;"'!"&amp;$AD$3),0)</f>
        <v>#VALUE!</v>
      </c>
      <c r="S853" s="34" t="e" cm="1">
        <f t="array" aca="1" ref="S853" ca="1">IF(AND(G853=INDIRECT("'["&amp;G853&amp;"]"&amp;E853&amp;"'!"&amp;$AH$2),OR(I853=INDIRECT("'["&amp;G853&amp;"]"&amp;E853&amp;"'!"&amp;$AE$2))),INDIRECT("'["&amp;G853&amp;"]"&amp;E853&amp;"'!"&amp;$AE$3),0)</f>
        <v>#VALUE!</v>
      </c>
      <c r="T853" s="35" t="e" cm="1">
        <f t="array" aca="1" ref="T853" ca="1">IF(AND(G853=INDIRECT("'["&amp;G853&amp;"]"&amp;E853&amp;"'!"&amp;$AH$2),OR(I853=INDIRECT("'["&amp;G853&amp;"]"&amp;E853&amp;"'!"&amp;$AF$2))),INDIRECT("'["&amp;G853&amp;"]"&amp;E853&amp;"'!"&amp;$AF$3),0)</f>
        <v>#VALUE!</v>
      </c>
      <c r="U853" s="34" t="e" cm="1">
        <f t="array" aca="1" ref="U853" ca="1">IF(AND(G853=INDIRECT("'["&amp;G853&amp;"]"&amp;E853&amp;"'!"&amp;$AH$2),OR(I853=INDIRECT("'["&amp;G853&amp;"]"&amp;E853&amp;"'!"&amp;$AG$2))),INDIRECT("'["&amp;G853&amp;"]"&amp;E853&amp;"'!"&amp;$AG$3),0)</f>
        <v>#VALUE!</v>
      </c>
      <c r="V853" s="25" t="str">
        <f t="shared" si="227"/>
        <v/>
      </c>
      <c r="W853" s="36" t="e" cm="1">
        <f t="array" aca="1" ref="W853" ca="1">IF(AND(G853=INDIRECT("'["&amp;G853&amp;"]"&amp;E853&amp;"'!"&amp;$AH$2),OR(V853=INDIRECT("'["&amp;G853&amp;"]"&amp;E853&amp;"'!"&amp;$AI$2))),INDIRECT("'["&amp;G853&amp;"]"&amp;E853&amp;"'!"&amp;$AI$3),0)</f>
        <v>#VALUE!</v>
      </c>
      <c r="AJ853" s="25">
        <v>1</v>
      </c>
      <c r="AK853" s="38">
        <f t="shared" ca="1" si="228"/>
        <v>0</v>
      </c>
      <c r="AL853" s="38">
        <f t="shared" ca="1" si="229"/>
        <v>0</v>
      </c>
      <c r="AM853" s="54" t="str">
        <f t="shared" ca="1" si="230"/>
        <v/>
      </c>
      <c r="AN853" s="25" t="e">
        <f t="shared" ca="1" si="231"/>
        <v>#VALUE!</v>
      </c>
      <c r="AO853" s="25" t="e">
        <f t="shared" ca="1" si="232"/>
        <v>#VALUE!</v>
      </c>
      <c r="AQ853" s="46" t="str">
        <f ca="1">IF(AND(C853&lt;&gt;0, C854=0), SUM($C$2:C853)-SUM($AQ$1:AQ852), "")</f>
        <v/>
      </c>
      <c r="AR853" s="46" t="str">
        <f ca="1">IF(AND(AK853&lt;&gt;0, AK854=0), SUM($AK$2:AK853)-SUM($AR$1:AR852), "")</f>
        <v/>
      </c>
    </row>
    <row r="854" spans="2:44" ht="13.15" customHeight="1">
      <c r="B854" s="68" t="str">
        <f t="shared" si="218"/>
        <v/>
      </c>
      <c r="C854" s="55" cm="1">
        <f t="array" aca="1" ref="C854" ca="1">SUM(IF(ISNUMBER(M854:U854),M854:U854,""))</f>
        <v>0</v>
      </c>
      <c r="D854" s="25" t="str">
        <f t="shared" si="219"/>
        <v/>
      </c>
      <c r="E854" s="25" t="e">
        <f t="shared" si="220"/>
        <v>#VALUE!</v>
      </c>
      <c r="F854" s="25" t="str">
        <f t="shared" si="221"/>
        <v/>
      </c>
      <c r="G854" s="25" t="str">
        <f t="shared" si="222"/>
        <v>.xlsx</v>
      </c>
      <c r="H854" s="29" t="e" cm="1">
        <f t="array" aca="1" ref="H854" ca="1">IF(AND(VALUE(E854)=INDIRECT("'["&amp;G854&amp;"]"&amp;E854&amp;"'!"&amp;$X$2),G854=INDIRECT("'["&amp;G854&amp;"]"&amp;E854&amp;"'!"&amp;$X$3)),INDIRECT("'["&amp;G854&amp;"]"&amp;E854&amp;"'!"&amp;$X$1),0)</f>
        <v>#VALUE!</v>
      </c>
      <c r="I854" s="25" t="str">
        <f t="shared" si="223"/>
        <v/>
      </c>
      <c r="J854" s="32" t="str">
        <f t="shared" si="224"/>
        <v/>
      </c>
      <c r="K854" s="25" t="str">
        <f t="shared" si="225"/>
        <v/>
      </c>
      <c r="L854" s="25" t="str">
        <f t="shared" si="226"/>
        <v/>
      </c>
      <c r="M854" s="33" t="e" cm="1">
        <f t="array" aca="1" ref="M854" ca="1">IF(AND(J854=INDIRECT("'["&amp;G854&amp;"]"&amp;E854&amp;"'!"&amp;$Y$2),G854=INDIRECT("'["&amp;G854&amp;"]"&amp;E854&amp;"'!"&amp;$AH$2)),INDIRECT("'["&amp;G854&amp;"]"&amp;E854&amp;"'!"&amp;$Y$3),0)</f>
        <v>#VALUE!</v>
      </c>
      <c r="N854" s="34" t="e" cm="1">
        <f t="array" aca="1" ref="N854" ca="1">IF(AND(G854=INDIRECT("'["&amp;G854&amp;"]"&amp;E854&amp;"'!"&amp;$AH$2),OR(K854=INDIRECT("'["&amp;G854&amp;"]"&amp;E854&amp;"'!"&amp;$Z$2))),INDIRECT("'["&amp;G854&amp;"]"&amp;E854&amp;"'!"&amp;$Z$3),0)</f>
        <v>#VALUE!</v>
      </c>
      <c r="O854" s="34" t="e" cm="1">
        <f t="array" aca="1" ref="O854" ca="1">IF(AND(G854=INDIRECT("'["&amp;G854&amp;"]"&amp;E854&amp;"'!"&amp;$AH$2),OR(L854=INDIRECT("'["&amp;G854&amp;"]"&amp;E854&amp;"'!"&amp;$AA$2))),INDIRECT("'["&amp;G854&amp;"]"&amp;E854&amp;"'!"&amp;$AA$3),0)</f>
        <v>#VALUE!</v>
      </c>
      <c r="P854" s="34" t="e" cm="1">
        <f t="array" aca="1" ref="P854" ca="1">IF(AND(G854=INDIRECT("'["&amp;G854&amp;"]"&amp;E854&amp;"'!"&amp;$AH$2),OR(VALUE(I854)=INDIRECT("'["&amp;G854&amp;"]"&amp;E854&amp;"'!"&amp;$AB$2))),INDIRECT("'["&amp;G854&amp;"]"&amp;E854&amp;"'!"&amp;$AB$3),0)</f>
        <v>#VALUE!</v>
      </c>
      <c r="Q854" s="34" t="e" cm="1">
        <f t="array" aca="1" ref="Q854" ca="1">IF(AND(G854=INDIRECT("'["&amp;G854&amp;"]"&amp;E854&amp;"'!"&amp;$AH$2),OR(VALUE(I854)=INDIRECT("'["&amp;G854&amp;"]"&amp;E854&amp;"'!"&amp;$AC$2))),INDIRECT("'["&amp;G854&amp;"]"&amp;E854&amp;"'!"&amp;$AC$3),0)</f>
        <v>#VALUE!</v>
      </c>
      <c r="R854" s="34" t="e" cm="1">
        <f t="array" aca="1" ref="R854" ca="1">IF(AND(G854=INDIRECT("'["&amp;G854&amp;"]"&amp;E854&amp;"'!"&amp;$AH$2),OR(I854=INDIRECT("'["&amp;G854&amp;"]"&amp;E854&amp;"'!"&amp;$AD$2))),INDIRECT("'["&amp;G854&amp;"]"&amp;E854&amp;"'!"&amp;$AD$3),0)</f>
        <v>#VALUE!</v>
      </c>
      <c r="S854" s="34" t="e" cm="1">
        <f t="array" aca="1" ref="S854" ca="1">IF(AND(G854=INDIRECT("'["&amp;G854&amp;"]"&amp;E854&amp;"'!"&amp;$AH$2),OR(I854=INDIRECT("'["&amp;G854&amp;"]"&amp;E854&amp;"'!"&amp;$AE$2))),INDIRECT("'["&amp;G854&amp;"]"&amp;E854&amp;"'!"&amp;$AE$3),0)</f>
        <v>#VALUE!</v>
      </c>
      <c r="T854" s="35" t="e" cm="1">
        <f t="array" aca="1" ref="T854" ca="1">IF(AND(G854=INDIRECT("'["&amp;G854&amp;"]"&amp;E854&amp;"'!"&amp;$AH$2),OR(I854=INDIRECT("'["&amp;G854&amp;"]"&amp;E854&amp;"'!"&amp;$AF$2))),INDIRECT("'["&amp;G854&amp;"]"&amp;E854&amp;"'!"&amp;$AF$3),0)</f>
        <v>#VALUE!</v>
      </c>
      <c r="U854" s="34" t="e" cm="1">
        <f t="array" aca="1" ref="U854" ca="1">IF(AND(G854=INDIRECT("'["&amp;G854&amp;"]"&amp;E854&amp;"'!"&amp;$AH$2),OR(I854=INDIRECT("'["&amp;G854&amp;"]"&amp;E854&amp;"'!"&amp;$AG$2))),INDIRECT("'["&amp;G854&amp;"]"&amp;E854&amp;"'!"&amp;$AG$3),0)</f>
        <v>#VALUE!</v>
      </c>
      <c r="V854" s="25" t="str">
        <f t="shared" si="227"/>
        <v/>
      </c>
      <c r="W854" s="36" t="e" cm="1">
        <f t="array" aca="1" ref="W854" ca="1">IF(AND(G854=INDIRECT("'["&amp;G854&amp;"]"&amp;E854&amp;"'!"&amp;$AH$2),OR(V854=INDIRECT("'["&amp;G854&amp;"]"&amp;E854&amp;"'!"&amp;$AI$2))),INDIRECT("'["&amp;G854&amp;"]"&amp;E854&amp;"'!"&amp;$AI$3),0)</f>
        <v>#VALUE!</v>
      </c>
      <c r="AJ854" s="25">
        <v>1</v>
      </c>
      <c r="AK854" s="38">
        <f t="shared" ca="1" si="228"/>
        <v>0</v>
      </c>
      <c r="AL854" s="38">
        <f t="shared" ca="1" si="229"/>
        <v>0</v>
      </c>
      <c r="AM854" s="54" t="str">
        <f t="shared" ca="1" si="230"/>
        <v/>
      </c>
      <c r="AN854" s="25" t="e">
        <f t="shared" ca="1" si="231"/>
        <v>#VALUE!</v>
      </c>
      <c r="AO854" s="25" t="e">
        <f t="shared" ca="1" si="232"/>
        <v>#VALUE!</v>
      </c>
      <c r="AQ854" s="46" t="str">
        <f ca="1">IF(AND(C854&lt;&gt;0, C855=0), SUM($C$2:C854)-SUM($AQ$1:AQ853), "")</f>
        <v/>
      </c>
      <c r="AR854" s="46" t="str">
        <f ca="1">IF(AND(AK854&lt;&gt;0, AK855=0), SUM($AK$2:AK854)-SUM($AR$1:AR853), "")</f>
        <v/>
      </c>
    </row>
    <row r="855" spans="2:44" ht="13.15" customHeight="1">
      <c r="B855" s="68" t="str">
        <f t="shared" si="218"/>
        <v/>
      </c>
      <c r="C855" s="55" cm="1">
        <f t="array" aca="1" ref="C855" ca="1">SUM(IF(ISNUMBER(M855:U855),M855:U855,""))</f>
        <v>0</v>
      </c>
      <c r="D855" s="25" t="str">
        <f t="shared" si="219"/>
        <v/>
      </c>
      <c r="E855" s="25" t="e">
        <f t="shared" si="220"/>
        <v>#VALUE!</v>
      </c>
      <c r="F855" s="25" t="str">
        <f t="shared" si="221"/>
        <v/>
      </c>
      <c r="G855" s="25" t="str">
        <f t="shared" si="222"/>
        <v>.xlsx</v>
      </c>
      <c r="H855" s="29" t="e" cm="1">
        <f t="array" aca="1" ref="H855" ca="1">IF(AND(VALUE(E855)=INDIRECT("'["&amp;G855&amp;"]"&amp;E855&amp;"'!"&amp;$X$2),G855=INDIRECT("'["&amp;G855&amp;"]"&amp;E855&amp;"'!"&amp;$X$3)),INDIRECT("'["&amp;G855&amp;"]"&amp;E855&amp;"'!"&amp;$X$1),0)</f>
        <v>#VALUE!</v>
      </c>
      <c r="I855" s="25" t="str">
        <f t="shared" si="223"/>
        <v/>
      </c>
      <c r="J855" s="32" t="str">
        <f t="shared" si="224"/>
        <v/>
      </c>
      <c r="K855" s="25" t="str">
        <f t="shared" si="225"/>
        <v/>
      </c>
      <c r="L855" s="25" t="str">
        <f t="shared" si="226"/>
        <v/>
      </c>
      <c r="M855" s="33" t="e" cm="1">
        <f t="array" aca="1" ref="M855" ca="1">IF(AND(J855=INDIRECT("'["&amp;G855&amp;"]"&amp;E855&amp;"'!"&amp;$Y$2),G855=INDIRECT("'["&amp;G855&amp;"]"&amp;E855&amp;"'!"&amp;$AH$2)),INDIRECT("'["&amp;G855&amp;"]"&amp;E855&amp;"'!"&amp;$Y$3),0)</f>
        <v>#VALUE!</v>
      </c>
      <c r="N855" s="34" t="e" cm="1">
        <f t="array" aca="1" ref="N855" ca="1">IF(AND(G855=INDIRECT("'["&amp;G855&amp;"]"&amp;E855&amp;"'!"&amp;$AH$2),OR(K855=INDIRECT("'["&amp;G855&amp;"]"&amp;E855&amp;"'!"&amp;$Z$2))),INDIRECT("'["&amp;G855&amp;"]"&amp;E855&amp;"'!"&amp;$Z$3),0)</f>
        <v>#VALUE!</v>
      </c>
      <c r="O855" s="34" t="e" cm="1">
        <f t="array" aca="1" ref="O855" ca="1">IF(AND(G855=INDIRECT("'["&amp;G855&amp;"]"&amp;E855&amp;"'!"&amp;$AH$2),OR(L855=INDIRECT("'["&amp;G855&amp;"]"&amp;E855&amp;"'!"&amp;$AA$2))),INDIRECT("'["&amp;G855&amp;"]"&amp;E855&amp;"'!"&amp;$AA$3),0)</f>
        <v>#VALUE!</v>
      </c>
      <c r="P855" s="34" t="e" cm="1">
        <f t="array" aca="1" ref="P855" ca="1">IF(AND(G855=INDIRECT("'["&amp;G855&amp;"]"&amp;E855&amp;"'!"&amp;$AH$2),OR(VALUE(I855)=INDIRECT("'["&amp;G855&amp;"]"&amp;E855&amp;"'!"&amp;$AB$2))),INDIRECT("'["&amp;G855&amp;"]"&amp;E855&amp;"'!"&amp;$AB$3),0)</f>
        <v>#VALUE!</v>
      </c>
      <c r="Q855" s="34" t="e" cm="1">
        <f t="array" aca="1" ref="Q855" ca="1">IF(AND(G855=INDIRECT("'["&amp;G855&amp;"]"&amp;E855&amp;"'!"&amp;$AH$2),OR(VALUE(I855)=INDIRECT("'["&amp;G855&amp;"]"&amp;E855&amp;"'!"&amp;$AC$2))),INDIRECT("'["&amp;G855&amp;"]"&amp;E855&amp;"'!"&amp;$AC$3),0)</f>
        <v>#VALUE!</v>
      </c>
      <c r="R855" s="34" t="e" cm="1">
        <f t="array" aca="1" ref="R855" ca="1">IF(AND(G855=INDIRECT("'["&amp;G855&amp;"]"&amp;E855&amp;"'!"&amp;$AH$2),OR(I855=INDIRECT("'["&amp;G855&amp;"]"&amp;E855&amp;"'!"&amp;$AD$2))),INDIRECT("'["&amp;G855&amp;"]"&amp;E855&amp;"'!"&amp;$AD$3),0)</f>
        <v>#VALUE!</v>
      </c>
      <c r="S855" s="34" t="e" cm="1">
        <f t="array" aca="1" ref="S855" ca="1">IF(AND(G855=INDIRECT("'["&amp;G855&amp;"]"&amp;E855&amp;"'!"&amp;$AH$2),OR(I855=INDIRECT("'["&amp;G855&amp;"]"&amp;E855&amp;"'!"&amp;$AE$2))),INDIRECT("'["&amp;G855&amp;"]"&amp;E855&amp;"'!"&amp;$AE$3),0)</f>
        <v>#VALUE!</v>
      </c>
      <c r="T855" s="35" t="e" cm="1">
        <f t="array" aca="1" ref="T855" ca="1">IF(AND(G855=INDIRECT("'["&amp;G855&amp;"]"&amp;E855&amp;"'!"&amp;$AH$2),OR(I855=INDIRECT("'["&amp;G855&amp;"]"&amp;E855&amp;"'!"&amp;$AF$2))),INDIRECT("'["&amp;G855&amp;"]"&amp;E855&amp;"'!"&amp;$AF$3),0)</f>
        <v>#VALUE!</v>
      </c>
      <c r="U855" s="34" t="e" cm="1">
        <f t="array" aca="1" ref="U855" ca="1">IF(AND(G855=INDIRECT("'["&amp;G855&amp;"]"&amp;E855&amp;"'!"&amp;$AH$2),OR(I855=INDIRECT("'["&amp;G855&amp;"]"&amp;E855&amp;"'!"&amp;$AG$2))),INDIRECT("'["&amp;G855&amp;"]"&amp;E855&amp;"'!"&amp;$AG$3),0)</f>
        <v>#VALUE!</v>
      </c>
      <c r="V855" s="25" t="str">
        <f t="shared" si="227"/>
        <v/>
      </c>
      <c r="W855" s="36" t="e" cm="1">
        <f t="array" aca="1" ref="W855" ca="1">IF(AND(G855=INDIRECT("'["&amp;G855&amp;"]"&amp;E855&amp;"'!"&amp;$AH$2),OR(V855=INDIRECT("'["&amp;G855&amp;"]"&amp;E855&amp;"'!"&amp;$AI$2))),INDIRECT("'["&amp;G855&amp;"]"&amp;E855&amp;"'!"&amp;$AI$3),0)</f>
        <v>#VALUE!</v>
      </c>
      <c r="AJ855" s="25">
        <v>1</v>
      </c>
      <c r="AK855" s="38">
        <f t="shared" ca="1" si="228"/>
        <v>0</v>
      </c>
      <c r="AL855" s="38">
        <f t="shared" ca="1" si="229"/>
        <v>0</v>
      </c>
      <c r="AM855" s="54" t="str">
        <f t="shared" ca="1" si="230"/>
        <v/>
      </c>
      <c r="AN855" s="25" t="e">
        <f t="shared" ca="1" si="231"/>
        <v>#VALUE!</v>
      </c>
      <c r="AO855" s="25" t="e">
        <f t="shared" ca="1" si="232"/>
        <v>#VALUE!</v>
      </c>
      <c r="AQ855" s="46" t="str">
        <f ca="1">IF(AND(C855&lt;&gt;0, C856=0), SUM($C$2:C855)-SUM($AQ$1:AQ854), "")</f>
        <v/>
      </c>
      <c r="AR855" s="46" t="str">
        <f ca="1">IF(AND(AK855&lt;&gt;0, AK856=0), SUM($AK$2:AK855)-SUM($AR$1:AR854), "")</f>
        <v/>
      </c>
    </row>
    <row r="856" spans="2:44" ht="13.15" customHeight="1">
      <c r="B856" s="68" t="str">
        <f t="shared" si="218"/>
        <v/>
      </c>
      <c r="C856" s="55" cm="1">
        <f t="array" aca="1" ref="C856" ca="1">SUM(IF(ISNUMBER(M856:U856),M856:U856,""))</f>
        <v>0</v>
      </c>
      <c r="D856" s="25" t="str">
        <f t="shared" si="219"/>
        <v/>
      </c>
      <c r="E856" s="25" t="e">
        <f t="shared" si="220"/>
        <v>#VALUE!</v>
      </c>
      <c r="F856" s="25" t="str">
        <f t="shared" si="221"/>
        <v/>
      </c>
      <c r="G856" s="25" t="str">
        <f t="shared" si="222"/>
        <v>.xlsx</v>
      </c>
      <c r="H856" s="29" t="e" cm="1">
        <f t="array" aca="1" ref="H856" ca="1">IF(AND(VALUE(E856)=INDIRECT("'["&amp;G856&amp;"]"&amp;E856&amp;"'!"&amp;$X$2),G856=INDIRECT("'["&amp;G856&amp;"]"&amp;E856&amp;"'!"&amp;$X$3)),INDIRECT("'["&amp;G856&amp;"]"&amp;E856&amp;"'!"&amp;$X$1),0)</f>
        <v>#VALUE!</v>
      </c>
      <c r="I856" s="25" t="str">
        <f t="shared" si="223"/>
        <v/>
      </c>
      <c r="J856" s="32" t="str">
        <f t="shared" si="224"/>
        <v/>
      </c>
      <c r="K856" s="25" t="str">
        <f t="shared" si="225"/>
        <v/>
      </c>
      <c r="L856" s="25" t="str">
        <f t="shared" si="226"/>
        <v/>
      </c>
      <c r="M856" s="33" t="e" cm="1">
        <f t="array" aca="1" ref="M856" ca="1">IF(AND(J856=INDIRECT("'["&amp;G856&amp;"]"&amp;E856&amp;"'!"&amp;$Y$2),G856=INDIRECT("'["&amp;G856&amp;"]"&amp;E856&amp;"'!"&amp;$AH$2)),INDIRECT("'["&amp;G856&amp;"]"&amp;E856&amp;"'!"&amp;$Y$3),0)</f>
        <v>#VALUE!</v>
      </c>
      <c r="N856" s="34" t="e" cm="1">
        <f t="array" aca="1" ref="N856" ca="1">IF(AND(G856=INDIRECT("'["&amp;G856&amp;"]"&amp;E856&amp;"'!"&amp;$AH$2),OR(K856=INDIRECT("'["&amp;G856&amp;"]"&amp;E856&amp;"'!"&amp;$Z$2))),INDIRECT("'["&amp;G856&amp;"]"&amp;E856&amp;"'!"&amp;$Z$3),0)</f>
        <v>#VALUE!</v>
      </c>
      <c r="O856" s="34" t="e" cm="1">
        <f t="array" aca="1" ref="O856" ca="1">IF(AND(G856=INDIRECT("'["&amp;G856&amp;"]"&amp;E856&amp;"'!"&amp;$AH$2),OR(L856=INDIRECT("'["&amp;G856&amp;"]"&amp;E856&amp;"'!"&amp;$AA$2))),INDIRECT("'["&amp;G856&amp;"]"&amp;E856&amp;"'!"&amp;$AA$3),0)</f>
        <v>#VALUE!</v>
      </c>
      <c r="P856" s="34" t="e" cm="1">
        <f t="array" aca="1" ref="P856" ca="1">IF(AND(G856=INDIRECT("'["&amp;G856&amp;"]"&amp;E856&amp;"'!"&amp;$AH$2),OR(VALUE(I856)=INDIRECT("'["&amp;G856&amp;"]"&amp;E856&amp;"'!"&amp;$AB$2))),INDIRECT("'["&amp;G856&amp;"]"&amp;E856&amp;"'!"&amp;$AB$3),0)</f>
        <v>#VALUE!</v>
      </c>
      <c r="Q856" s="34" t="e" cm="1">
        <f t="array" aca="1" ref="Q856" ca="1">IF(AND(G856=INDIRECT("'["&amp;G856&amp;"]"&amp;E856&amp;"'!"&amp;$AH$2),OR(VALUE(I856)=INDIRECT("'["&amp;G856&amp;"]"&amp;E856&amp;"'!"&amp;$AC$2))),INDIRECT("'["&amp;G856&amp;"]"&amp;E856&amp;"'!"&amp;$AC$3),0)</f>
        <v>#VALUE!</v>
      </c>
      <c r="R856" s="34" t="e" cm="1">
        <f t="array" aca="1" ref="R856" ca="1">IF(AND(G856=INDIRECT("'["&amp;G856&amp;"]"&amp;E856&amp;"'!"&amp;$AH$2),OR(I856=INDIRECT("'["&amp;G856&amp;"]"&amp;E856&amp;"'!"&amp;$AD$2))),INDIRECT("'["&amp;G856&amp;"]"&amp;E856&amp;"'!"&amp;$AD$3),0)</f>
        <v>#VALUE!</v>
      </c>
      <c r="S856" s="34" t="e" cm="1">
        <f t="array" aca="1" ref="S856" ca="1">IF(AND(G856=INDIRECT("'["&amp;G856&amp;"]"&amp;E856&amp;"'!"&amp;$AH$2),OR(I856=INDIRECT("'["&amp;G856&amp;"]"&amp;E856&amp;"'!"&amp;$AE$2))),INDIRECT("'["&amp;G856&amp;"]"&amp;E856&amp;"'!"&amp;$AE$3),0)</f>
        <v>#VALUE!</v>
      </c>
      <c r="T856" s="35" t="e" cm="1">
        <f t="array" aca="1" ref="T856" ca="1">IF(AND(G856=INDIRECT("'["&amp;G856&amp;"]"&amp;E856&amp;"'!"&amp;$AH$2),OR(I856=INDIRECT("'["&amp;G856&amp;"]"&amp;E856&amp;"'!"&amp;$AF$2))),INDIRECT("'["&amp;G856&amp;"]"&amp;E856&amp;"'!"&amp;$AF$3),0)</f>
        <v>#VALUE!</v>
      </c>
      <c r="U856" s="34" t="e" cm="1">
        <f t="array" aca="1" ref="U856" ca="1">IF(AND(G856=INDIRECT("'["&amp;G856&amp;"]"&amp;E856&amp;"'!"&amp;$AH$2),OR(I856=INDIRECT("'["&amp;G856&amp;"]"&amp;E856&amp;"'!"&amp;$AG$2))),INDIRECT("'["&amp;G856&amp;"]"&amp;E856&amp;"'!"&amp;$AG$3),0)</f>
        <v>#VALUE!</v>
      </c>
      <c r="V856" s="25" t="str">
        <f t="shared" si="227"/>
        <v/>
      </c>
      <c r="W856" s="36" t="e" cm="1">
        <f t="array" aca="1" ref="W856" ca="1">IF(AND(G856=INDIRECT("'["&amp;G856&amp;"]"&amp;E856&amp;"'!"&amp;$AH$2),OR(V856=INDIRECT("'["&amp;G856&amp;"]"&amp;E856&amp;"'!"&amp;$AI$2))),INDIRECT("'["&amp;G856&amp;"]"&amp;E856&amp;"'!"&amp;$AI$3),0)</f>
        <v>#VALUE!</v>
      </c>
      <c r="AJ856" s="25">
        <v>1</v>
      </c>
      <c r="AK856" s="38">
        <f t="shared" ca="1" si="228"/>
        <v>0</v>
      </c>
      <c r="AL856" s="38">
        <f t="shared" ca="1" si="229"/>
        <v>0</v>
      </c>
      <c r="AM856" s="54" t="str">
        <f t="shared" ca="1" si="230"/>
        <v/>
      </c>
      <c r="AN856" s="25" t="e">
        <f t="shared" ca="1" si="231"/>
        <v>#VALUE!</v>
      </c>
      <c r="AO856" s="25" t="e">
        <f t="shared" ca="1" si="232"/>
        <v>#VALUE!</v>
      </c>
      <c r="AQ856" s="46" t="str">
        <f ca="1">IF(AND(C856&lt;&gt;0, C857=0), SUM($C$2:C856)-SUM($AQ$1:AQ855), "")</f>
        <v/>
      </c>
      <c r="AR856" s="46" t="str">
        <f ca="1">IF(AND(AK856&lt;&gt;0, AK857=0), SUM($AK$2:AK856)-SUM($AR$1:AR855), "")</f>
        <v/>
      </c>
    </row>
    <row r="857" spans="2:44" ht="13.15" customHeight="1">
      <c r="B857" s="68" t="str">
        <f t="shared" si="218"/>
        <v/>
      </c>
      <c r="C857" s="55" cm="1">
        <f t="array" aca="1" ref="C857" ca="1">SUM(IF(ISNUMBER(M857:U857),M857:U857,""))</f>
        <v>0</v>
      </c>
      <c r="D857" s="25" t="str">
        <f t="shared" si="219"/>
        <v/>
      </c>
      <c r="E857" s="25" t="e">
        <f t="shared" si="220"/>
        <v>#VALUE!</v>
      </c>
      <c r="F857" s="25" t="str">
        <f t="shared" si="221"/>
        <v/>
      </c>
      <c r="G857" s="25" t="str">
        <f t="shared" si="222"/>
        <v>.xlsx</v>
      </c>
      <c r="H857" s="29" t="e" cm="1">
        <f t="array" aca="1" ref="H857" ca="1">IF(AND(VALUE(E857)=INDIRECT("'["&amp;G857&amp;"]"&amp;E857&amp;"'!"&amp;$X$2),G857=INDIRECT("'["&amp;G857&amp;"]"&amp;E857&amp;"'!"&amp;$X$3)),INDIRECT("'["&amp;G857&amp;"]"&amp;E857&amp;"'!"&amp;$X$1),0)</f>
        <v>#VALUE!</v>
      </c>
      <c r="I857" s="25" t="str">
        <f t="shared" si="223"/>
        <v/>
      </c>
      <c r="J857" s="32" t="str">
        <f t="shared" si="224"/>
        <v/>
      </c>
      <c r="K857" s="25" t="str">
        <f t="shared" si="225"/>
        <v/>
      </c>
      <c r="L857" s="25" t="str">
        <f t="shared" si="226"/>
        <v/>
      </c>
      <c r="M857" s="33" t="e" cm="1">
        <f t="array" aca="1" ref="M857" ca="1">IF(AND(J857=INDIRECT("'["&amp;G857&amp;"]"&amp;E857&amp;"'!"&amp;$Y$2),G857=INDIRECT("'["&amp;G857&amp;"]"&amp;E857&amp;"'!"&amp;$AH$2)),INDIRECT("'["&amp;G857&amp;"]"&amp;E857&amp;"'!"&amp;$Y$3),0)</f>
        <v>#VALUE!</v>
      </c>
      <c r="N857" s="34" t="e" cm="1">
        <f t="array" aca="1" ref="N857" ca="1">IF(AND(G857=INDIRECT("'["&amp;G857&amp;"]"&amp;E857&amp;"'!"&amp;$AH$2),OR(K857=INDIRECT("'["&amp;G857&amp;"]"&amp;E857&amp;"'!"&amp;$Z$2))),INDIRECT("'["&amp;G857&amp;"]"&amp;E857&amp;"'!"&amp;$Z$3),0)</f>
        <v>#VALUE!</v>
      </c>
      <c r="O857" s="34" t="e" cm="1">
        <f t="array" aca="1" ref="O857" ca="1">IF(AND(G857=INDIRECT("'["&amp;G857&amp;"]"&amp;E857&amp;"'!"&amp;$AH$2),OR(L857=INDIRECT("'["&amp;G857&amp;"]"&amp;E857&amp;"'!"&amp;$AA$2))),INDIRECT("'["&amp;G857&amp;"]"&amp;E857&amp;"'!"&amp;$AA$3),0)</f>
        <v>#VALUE!</v>
      </c>
      <c r="P857" s="34" t="e" cm="1">
        <f t="array" aca="1" ref="P857" ca="1">IF(AND(G857=INDIRECT("'["&amp;G857&amp;"]"&amp;E857&amp;"'!"&amp;$AH$2),OR(VALUE(I857)=INDIRECT("'["&amp;G857&amp;"]"&amp;E857&amp;"'!"&amp;$AB$2))),INDIRECT("'["&amp;G857&amp;"]"&amp;E857&amp;"'!"&amp;$AB$3),0)</f>
        <v>#VALUE!</v>
      </c>
      <c r="Q857" s="34" t="e" cm="1">
        <f t="array" aca="1" ref="Q857" ca="1">IF(AND(G857=INDIRECT("'["&amp;G857&amp;"]"&amp;E857&amp;"'!"&amp;$AH$2),OR(VALUE(I857)=INDIRECT("'["&amp;G857&amp;"]"&amp;E857&amp;"'!"&amp;$AC$2))),INDIRECT("'["&amp;G857&amp;"]"&amp;E857&amp;"'!"&amp;$AC$3),0)</f>
        <v>#VALUE!</v>
      </c>
      <c r="R857" s="34" t="e" cm="1">
        <f t="array" aca="1" ref="R857" ca="1">IF(AND(G857=INDIRECT("'["&amp;G857&amp;"]"&amp;E857&amp;"'!"&amp;$AH$2),OR(I857=INDIRECT("'["&amp;G857&amp;"]"&amp;E857&amp;"'!"&amp;$AD$2))),INDIRECT("'["&amp;G857&amp;"]"&amp;E857&amp;"'!"&amp;$AD$3),0)</f>
        <v>#VALUE!</v>
      </c>
      <c r="S857" s="34" t="e" cm="1">
        <f t="array" aca="1" ref="S857" ca="1">IF(AND(G857=INDIRECT("'["&amp;G857&amp;"]"&amp;E857&amp;"'!"&amp;$AH$2),OR(I857=INDIRECT("'["&amp;G857&amp;"]"&amp;E857&amp;"'!"&amp;$AE$2))),INDIRECT("'["&amp;G857&amp;"]"&amp;E857&amp;"'!"&amp;$AE$3),0)</f>
        <v>#VALUE!</v>
      </c>
      <c r="T857" s="35" t="e" cm="1">
        <f t="array" aca="1" ref="T857" ca="1">IF(AND(G857=INDIRECT("'["&amp;G857&amp;"]"&amp;E857&amp;"'!"&amp;$AH$2),OR(I857=INDIRECT("'["&amp;G857&amp;"]"&amp;E857&amp;"'!"&amp;$AF$2))),INDIRECT("'["&amp;G857&amp;"]"&amp;E857&amp;"'!"&amp;$AF$3),0)</f>
        <v>#VALUE!</v>
      </c>
      <c r="U857" s="34" t="e" cm="1">
        <f t="array" aca="1" ref="U857" ca="1">IF(AND(G857=INDIRECT("'["&amp;G857&amp;"]"&amp;E857&amp;"'!"&amp;$AH$2),OR(I857=INDIRECT("'["&amp;G857&amp;"]"&amp;E857&amp;"'!"&amp;$AG$2))),INDIRECT("'["&amp;G857&amp;"]"&amp;E857&amp;"'!"&amp;$AG$3),0)</f>
        <v>#VALUE!</v>
      </c>
      <c r="V857" s="25" t="str">
        <f t="shared" si="227"/>
        <v/>
      </c>
      <c r="W857" s="36" t="e" cm="1">
        <f t="array" aca="1" ref="W857" ca="1">IF(AND(G857=INDIRECT("'["&amp;G857&amp;"]"&amp;E857&amp;"'!"&amp;$AH$2),OR(V857=INDIRECT("'["&amp;G857&amp;"]"&amp;E857&amp;"'!"&amp;$AI$2))),INDIRECT("'["&amp;G857&amp;"]"&amp;E857&amp;"'!"&amp;$AI$3),0)</f>
        <v>#VALUE!</v>
      </c>
      <c r="AJ857" s="25">
        <v>1</v>
      </c>
      <c r="AK857" s="38">
        <f t="shared" ca="1" si="228"/>
        <v>0</v>
      </c>
      <c r="AL857" s="38">
        <f t="shared" ca="1" si="229"/>
        <v>0</v>
      </c>
      <c r="AM857" s="54" t="str">
        <f t="shared" ca="1" si="230"/>
        <v/>
      </c>
      <c r="AN857" s="25" t="e">
        <f t="shared" ca="1" si="231"/>
        <v>#VALUE!</v>
      </c>
      <c r="AO857" s="25" t="e">
        <f t="shared" ca="1" si="232"/>
        <v>#VALUE!</v>
      </c>
      <c r="AQ857" s="46" t="str">
        <f ca="1">IF(AND(C857&lt;&gt;0, C858=0), SUM($C$2:C857)-SUM($AQ$1:AQ856), "")</f>
        <v/>
      </c>
      <c r="AR857" s="46" t="str">
        <f ca="1">IF(AND(AK857&lt;&gt;0, AK858=0), SUM($AK$2:AK857)-SUM($AR$1:AR856), "")</f>
        <v/>
      </c>
    </row>
    <row r="858" spans="2:44" ht="13.15" customHeight="1">
      <c r="B858" s="68" t="str">
        <f t="shared" si="218"/>
        <v/>
      </c>
      <c r="C858" s="55" cm="1">
        <f t="array" aca="1" ref="C858" ca="1">SUM(IF(ISNUMBER(M858:U858),M858:U858,""))</f>
        <v>0</v>
      </c>
      <c r="D858" s="25" t="str">
        <f t="shared" si="219"/>
        <v/>
      </c>
      <c r="E858" s="25" t="e">
        <f t="shared" si="220"/>
        <v>#VALUE!</v>
      </c>
      <c r="F858" s="25" t="str">
        <f t="shared" si="221"/>
        <v/>
      </c>
      <c r="G858" s="25" t="str">
        <f t="shared" si="222"/>
        <v>.xlsx</v>
      </c>
      <c r="H858" s="29" t="e" cm="1">
        <f t="array" aca="1" ref="H858" ca="1">IF(AND(VALUE(E858)=INDIRECT("'["&amp;G858&amp;"]"&amp;E858&amp;"'!"&amp;$X$2),G858=INDIRECT("'["&amp;G858&amp;"]"&amp;E858&amp;"'!"&amp;$X$3)),INDIRECT("'["&amp;G858&amp;"]"&amp;E858&amp;"'!"&amp;$X$1),0)</f>
        <v>#VALUE!</v>
      </c>
      <c r="I858" s="25" t="str">
        <f t="shared" si="223"/>
        <v/>
      </c>
      <c r="J858" s="32" t="str">
        <f t="shared" si="224"/>
        <v/>
      </c>
      <c r="K858" s="25" t="str">
        <f t="shared" si="225"/>
        <v/>
      </c>
      <c r="L858" s="25" t="str">
        <f t="shared" si="226"/>
        <v/>
      </c>
      <c r="M858" s="33" t="e" cm="1">
        <f t="array" aca="1" ref="M858" ca="1">IF(AND(J858=INDIRECT("'["&amp;G858&amp;"]"&amp;E858&amp;"'!"&amp;$Y$2),G858=INDIRECT("'["&amp;G858&amp;"]"&amp;E858&amp;"'!"&amp;$AH$2)),INDIRECT("'["&amp;G858&amp;"]"&amp;E858&amp;"'!"&amp;$Y$3),0)</f>
        <v>#VALUE!</v>
      </c>
      <c r="N858" s="34" t="e" cm="1">
        <f t="array" aca="1" ref="N858" ca="1">IF(AND(G858=INDIRECT("'["&amp;G858&amp;"]"&amp;E858&amp;"'!"&amp;$AH$2),OR(K858=INDIRECT("'["&amp;G858&amp;"]"&amp;E858&amp;"'!"&amp;$Z$2))),INDIRECT("'["&amp;G858&amp;"]"&amp;E858&amp;"'!"&amp;$Z$3),0)</f>
        <v>#VALUE!</v>
      </c>
      <c r="O858" s="34" t="e" cm="1">
        <f t="array" aca="1" ref="O858" ca="1">IF(AND(G858=INDIRECT("'["&amp;G858&amp;"]"&amp;E858&amp;"'!"&amp;$AH$2),OR(L858=INDIRECT("'["&amp;G858&amp;"]"&amp;E858&amp;"'!"&amp;$AA$2))),INDIRECT("'["&amp;G858&amp;"]"&amp;E858&amp;"'!"&amp;$AA$3),0)</f>
        <v>#VALUE!</v>
      </c>
      <c r="P858" s="34" t="e" cm="1">
        <f t="array" aca="1" ref="P858" ca="1">IF(AND(G858=INDIRECT("'["&amp;G858&amp;"]"&amp;E858&amp;"'!"&amp;$AH$2),OR(VALUE(I858)=INDIRECT("'["&amp;G858&amp;"]"&amp;E858&amp;"'!"&amp;$AB$2))),INDIRECT("'["&amp;G858&amp;"]"&amp;E858&amp;"'!"&amp;$AB$3),0)</f>
        <v>#VALUE!</v>
      </c>
      <c r="Q858" s="34" t="e" cm="1">
        <f t="array" aca="1" ref="Q858" ca="1">IF(AND(G858=INDIRECT("'["&amp;G858&amp;"]"&amp;E858&amp;"'!"&amp;$AH$2),OR(VALUE(I858)=INDIRECT("'["&amp;G858&amp;"]"&amp;E858&amp;"'!"&amp;$AC$2))),INDIRECT("'["&amp;G858&amp;"]"&amp;E858&amp;"'!"&amp;$AC$3),0)</f>
        <v>#VALUE!</v>
      </c>
      <c r="R858" s="34" t="e" cm="1">
        <f t="array" aca="1" ref="R858" ca="1">IF(AND(G858=INDIRECT("'["&amp;G858&amp;"]"&amp;E858&amp;"'!"&amp;$AH$2),OR(I858=INDIRECT("'["&amp;G858&amp;"]"&amp;E858&amp;"'!"&amp;$AD$2))),INDIRECT("'["&amp;G858&amp;"]"&amp;E858&amp;"'!"&amp;$AD$3),0)</f>
        <v>#VALUE!</v>
      </c>
      <c r="S858" s="34" t="e" cm="1">
        <f t="array" aca="1" ref="S858" ca="1">IF(AND(G858=INDIRECT("'["&amp;G858&amp;"]"&amp;E858&amp;"'!"&amp;$AH$2),OR(I858=INDIRECT("'["&amp;G858&amp;"]"&amp;E858&amp;"'!"&amp;$AE$2))),INDIRECT("'["&amp;G858&amp;"]"&amp;E858&amp;"'!"&amp;$AE$3),0)</f>
        <v>#VALUE!</v>
      </c>
      <c r="T858" s="35" t="e" cm="1">
        <f t="array" aca="1" ref="T858" ca="1">IF(AND(G858=INDIRECT("'["&amp;G858&amp;"]"&amp;E858&amp;"'!"&amp;$AH$2),OR(I858=INDIRECT("'["&amp;G858&amp;"]"&amp;E858&amp;"'!"&amp;$AF$2))),INDIRECT("'["&amp;G858&amp;"]"&amp;E858&amp;"'!"&amp;$AF$3),0)</f>
        <v>#VALUE!</v>
      </c>
      <c r="U858" s="34" t="e" cm="1">
        <f t="array" aca="1" ref="U858" ca="1">IF(AND(G858=INDIRECT("'["&amp;G858&amp;"]"&amp;E858&amp;"'!"&amp;$AH$2),OR(I858=INDIRECT("'["&amp;G858&amp;"]"&amp;E858&amp;"'!"&amp;$AG$2))),INDIRECT("'["&amp;G858&amp;"]"&amp;E858&amp;"'!"&amp;$AG$3),0)</f>
        <v>#VALUE!</v>
      </c>
      <c r="V858" s="25" t="str">
        <f t="shared" si="227"/>
        <v/>
      </c>
      <c r="W858" s="36" t="e" cm="1">
        <f t="array" aca="1" ref="W858" ca="1">IF(AND(G858=INDIRECT("'["&amp;G858&amp;"]"&amp;E858&amp;"'!"&amp;$AH$2),OR(V858=INDIRECT("'["&amp;G858&amp;"]"&amp;E858&amp;"'!"&amp;$AI$2))),INDIRECT("'["&amp;G858&amp;"]"&amp;E858&amp;"'!"&amp;$AI$3),0)</f>
        <v>#VALUE!</v>
      </c>
      <c r="AJ858" s="25">
        <v>1</v>
      </c>
      <c r="AK858" s="38">
        <f t="shared" ca="1" si="228"/>
        <v>0</v>
      </c>
      <c r="AL858" s="38">
        <f t="shared" ca="1" si="229"/>
        <v>0</v>
      </c>
      <c r="AM858" s="54" t="str">
        <f t="shared" ca="1" si="230"/>
        <v/>
      </c>
      <c r="AN858" s="25" t="e">
        <f t="shared" ca="1" si="231"/>
        <v>#VALUE!</v>
      </c>
      <c r="AO858" s="25" t="e">
        <f t="shared" ca="1" si="232"/>
        <v>#VALUE!</v>
      </c>
      <c r="AQ858" s="46" t="str">
        <f ca="1">IF(AND(C858&lt;&gt;0, C859=0), SUM($C$2:C858)-SUM($AQ$1:AQ857), "")</f>
        <v/>
      </c>
      <c r="AR858" s="46" t="str">
        <f ca="1">IF(AND(AK858&lt;&gt;0, AK859=0), SUM($AK$2:AK858)-SUM($AR$1:AR857), "")</f>
        <v/>
      </c>
    </row>
    <row r="859" spans="2:44" ht="13.15" customHeight="1">
      <c r="B859" s="68" t="str">
        <f t="shared" si="218"/>
        <v/>
      </c>
      <c r="C859" s="55" cm="1">
        <f t="array" aca="1" ref="C859" ca="1">SUM(IF(ISNUMBER(M859:U859),M859:U859,""))</f>
        <v>0</v>
      </c>
      <c r="D859" s="25" t="str">
        <f t="shared" si="219"/>
        <v/>
      </c>
      <c r="E859" s="25" t="e">
        <f t="shared" si="220"/>
        <v>#VALUE!</v>
      </c>
      <c r="F859" s="25" t="str">
        <f t="shared" si="221"/>
        <v/>
      </c>
      <c r="G859" s="25" t="str">
        <f t="shared" si="222"/>
        <v>.xlsx</v>
      </c>
      <c r="H859" s="29" t="e" cm="1">
        <f t="array" aca="1" ref="H859" ca="1">IF(AND(VALUE(E859)=INDIRECT("'["&amp;G859&amp;"]"&amp;E859&amp;"'!"&amp;$X$2),G859=INDIRECT("'["&amp;G859&amp;"]"&amp;E859&amp;"'!"&amp;$X$3)),INDIRECT("'["&amp;G859&amp;"]"&amp;E859&amp;"'!"&amp;$X$1),0)</f>
        <v>#VALUE!</v>
      </c>
      <c r="I859" s="25" t="str">
        <f t="shared" si="223"/>
        <v/>
      </c>
      <c r="J859" s="32" t="str">
        <f t="shared" si="224"/>
        <v/>
      </c>
      <c r="K859" s="25" t="str">
        <f t="shared" si="225"/>
        <v/>
      </c>
      <c r="L859" s="25" t="str">
        <f t="shared" si="226"/>
        <v/>
      </c>
      <c r="M859" s="33" t="e" cm="1">
        <f t="array" aca="1" ref="M859" ca="1">IF(AND(J859=INDIRECT("'["&amp;G859&amp;"]"&amp;E859&amp;"'!"&amp;$Y$2),G859=INDIRECT("'["&amp;G859&amp;"]"&amp;E859&amp;"'!"&amp;$AH$2)),INDIRECT("'["&amp;G859&amp;"]"&amp;E859&amp;"'!"&amp;$Y$3),0)</f>
        <v>#VALUE!</v>
      </c>
      <c r="N859" s="34" t="e" cm="1">
        <f t="array" aca="1" ref="N859" ca="1">IF(AND(G859=INDIRECT("'["&amp;G859&amp;"]"&amp;E859&amp;"'!"&amp;$AH$2),OR(K859=INDIRECT("'["&amp;G859&amp;"]"&amp;E859&amp;"'!"&amp;$Z$2))),INDIRECT("'["&amp;G859&amp;"]"&amp;E859&amp;"'!"&amp;$Z$3),0)</f>
        <v>#VALUE!</v>
      </c>
      <c r="O859" s="34" t="e" cm="1">
        <f t="array" aca="1" ref="O859" ca="1">IF(AND(G859=INDIRECT("'["&amp;G859&amp;"]"&amp;E859&amp;"'!"&amp;$AH$2),OR(L859=INDIRECT("'["&amp;G859&amp;"]"&amp;E859&amp;"'!"&amp;$AA$2))),INDIRECT("'["&amp;G859&amp;"]"&amp;E859&amp;"'!"&amp;$AA$3),0)</f>
        <v>#VALUE!</v>
      </c>
      <c r="P859" s="34" t="e" cm="1">
        <f t="array" aca="1" ref="P859" ca="1">IF(AND(G859=INDIRECT("'["&amp;G859&amp;"]"&amp;E859&amp;"'!"&amp;$AH$2),OR(VALUE(I859)=INDIRECT("'["&amp;G859&amp;"]"&amp;E859&amp;"'!"&amp;$AB$2))),INDIRECT("'["&amp;G859&amp;"]"&amp;E859&amp;"'!"&amp;$AB$3),0)</f>
        <v>#VALUE!</v>
      </c>
      <c r="Q859" s="34" t="e" cm="1">
        <f t="array" aca="1" ref="Q859" ca="1">IF(AND(G859=INDIRECT("'["&amp;G859&amp;"]"&amp;E859&amp;"'!"&amp;$AH$2),OR(VALUE(I859)=INDIRECT("'["&amp;G859&amp;"]"&amp;E859&amp;"'!"&amp;$AC$2))),INDIRECT("'["&amp;G859&amp;"]"&amp;E859&amp;"'!"&amp;$AC$3),0)</f>
        <v>#VALUE!</v>
      </c>
      <c r="R859" s="34" t="e" cm="1">
        <f t="array" aca="1" ref="R859" ca="1">IF(AND(G859=INDIRECT("'["&amp;G859&amp;"]"&amp;E859&amp;"'!"&amp;$AH$2),OR(I859=INDIRECT("'["&amp;G859&amp;"]"&amp;E859&amp;"'!"&amp;$AD$2))),INDIRECT("'["&amp;G859&amp;"]"&amp;E859&amp;"'!"&amp;$AD$3),0)</f>
        <v>#VALUE!</v>
      </c>
      <c r="S859" s="34" t="e" cm="1">
        <f t="array" aca="1" ref="S859" ca="1">IF(AND(G859=INDIRECT("'["&amp;G859&amp;"]"&amp;E859&amp;"'!"&amp;$AH$2),OR(I859=INDIRECT("'["&amp;G859&amp;"]"&amp;E859&amp;"'!"&amp;$AE$2))),INDIRECT("'["&amp;G859&amp;"]"&amp;E859&amp;"'!"&amp;$AE$3),0)</f>
        <v>#VALUE!</v>
      </c>
      <c r="T859" s="35" t="e" cm="1">
        <f t="array" aca="1" ref="T859" ca="1">IF(AND(G859=INDIRECT("'["&amp;G859&amp;"]"&amp;E859&amp;"'!"&amp;$AH$2),OR(I859=INDIRECT("'["&amp;G859&amp;"]"&amp;E859&amp;"'!"&amp;$AF$2))),INDIRECT("'["&amp;G859&amp;"]"&amp;E859&amp;"'!"&amp;$AF$3),0)</f>
        <v>#VALUE!</v>
      </c>
      <c r="U859" s="34" t="e" cm="1">
        <f t="array" aca="1" ref="U859" ca="1">IF(AND(G859=INDIRECT("'["&amp;G859&amp;"]"&amp;E859&amp;"'!"&amp;$AH$2),OR(I859=INDIRECT("'["&amp;G859&amp;"]"&amp;E859&amp;"'!"&amp;$AG$2))),INDIRECT("'["&amp;G859&amp;"]"&amp;E859&amp;"'!"&amp;$AG$3),0)</f>
        <v>#VALUE!</v>
      </c>
      <c r="V859" s="25" t="str">
        <f t="shared" si="227"/>
        <v/>
      </c>
      <c r="W859" s="36" t="e" cm="1">
        <f t="array" aca="1" ref="W859" ca="1">IF(AND(G859=INDIRECT("'["&amp;G859&amp;"]"&amp;E859&amp;"'!"&amp;$AH$2),OR(V859=INDIRECT("'["&amp;G859&amp;"]"&amp;E859&amp;"'!"&amp;$AI$2))),INDIRECT("'["&amp;G859&amp;"]"&amp;E859&amp;"'!"&amp;$AI$3),0)</f>
        <v>#VALUE!</v>
      </c>
      <c r="AJ859" s="25">
        <v>1</v>
      </c>
      <c r="AK859" s="38">
        <f t="shared" ca="1" si="228"/>
        <v>0</v>
      </c>
      <c r="AL859" s="38">
        <f t="shared" ca="1" si="229"/>
        <v>0</v>
      </c>
      <c r="AM859" s="54" t="str">
        <f t="shared" ca="1" si="230"/>
        <v/>
      </c>
      <c r="AN859" s="25" t="e">
        <f t="shared" ca="1" si="231"/>
        <v>#VALUE!</v>
      </c>
      <c r="AO859" s="25" t="e">
        <f t="shared" ca="1" si="232"/>
        <v>#VALUE!</v>
      </c>
      <c r="AQ859" s="46" t="str">
        <f ca="1">IF(AND(C859&lt;&gt;0, C860=0), SUM($C$2:C859)-SUM($AQ$1:AQ858), "")</f>
        <v/>
      </c>
      <c r="AR859" s="46" t="str">
        <f ca="1">IF(AND(AK859&lt;&gt;0, AK860=0), SUM($AK$2:AK859)-SUM($AR$1:AR858), "")</f>
        <v/>
      </c>
    </row>
    <row r="860" spans="2:44" ht="13.15" customHeight="1">
      <c r="B860" s="68" t="str">
        <f t="shared" si="218"/>
        <v/>
      </c>
      <c r="C860" s="55" cm="1">
        <f t="array" aca="1" ref="C860" ca="1">SUM(IF(ISNUMBER(M860:U860),M860:U860,""))</f>
        <v>0</v>
      </c>
      <c r="D860" s="25" t="str">
        <f t="shared" si="219"/>
        <v/>
      </c>
      <c r="E860" s="25" t="e">
        <f t="shared" si="220"/>
        <v>#VALUE!</v>
      </c>
      <c r="F860" s="25" t="str">
        <f t="shared" si="221"/>
        <v/>
      </c>
      <c r="G860" s="25" t="str">
        <f t="shared" si="222"/>
        <v>.xlsx</v>
      </c>
      <c r="H860" s="29" t="e" cm="1">
        <f t="array" aca="1" ref="H860" ca="1">IF(AND(VALUE(E860)=INDIRECT("'["&amp;G860&amp;"]"&amp;E860&amp;"'!"&amp;$X$2),G860=INDIRECT("'["&amp;G860&amp;"]"&amp;E860&amp;"'!"&amp;$X$3)),INDIRECT("'["&amp;G860&amp;"]"&amp;E860&amp;"'!"&amp;$X$1),0)</f>
        <v>#VALUE!</v>
      </c>
      <c r="I860" s="25" t="str">
        <f t="shared" si="223"/>
        <v/>
      </c>
      <c r="J860" s="32" t="str">
        <f t="shared" si="224"/>
        <v/>
      </c>
      <c r="K860" s="25" t="str">
        <f t="shared" si="225"/>
        <v/>
      </c>
      <c r="L860" s="25" t="str">
        <f t="shared" si="226"/>
        <v/>
      </c>
      <c r="M860" s="33" t="e" cm="1">
        <f t="array" aca="1" ref="M860" ca="1">IF(AND(J860=INDIRECT("'["&amp;G860&amp;"]"&amp;E860&amp;"'!"&amp;$Y$2),G860=INDIRECT("'["&amp;G860&amp;"]"&amp;E860&amp;"'!"&amp;$AH$2)),INDIRECT("'["&amp;G860&amp;"]"&amp;E860&amp;"'!"&amp;$Y$3),0)</f>
        <v>#VALUE!</v>
      </c>
      <c r="N860" s="34" t="e" cm="1">
        <f t="array" aca="1" ref="N860" ca="1">IF(AND(G860=INDIRECT("'["&amp;G860&amp;"]"&amp;E860&amp;"'!"&amp;$AH$2),OR(K860=INDIRECT("'["&amp;G860&amp;"]"&amp;E860&amp;"'!"&amp;$Z$2))),INDIRECT("'["&amp;G860&amp;"]"&amp;E860&amp;"'!"&amp;$Z$3),0)</f>
        <v>#VALUE!</v>
      </c>
      <c r="O860" s="34" t="e" cm="1">
        <f t="array" aca="1" ref="O860" ca="1">IF(AND(G860=INDIRECT("'["&amp;G860&amp;"]"&amp;E860&amp;"'!"&amp;$AH$2),OR(L860=INDIRECT("'["&amp;G860&amp;"]"&amp;E860&amp;"'!"&amp;$AA$2))),INDIRECT("'["&amp;G860&amp;"]"&amp;E860&amp;"'!"&amp;$AA$3),0)</f>
        <v>#VALUE!</v>
      </c>
      <c r="P860" s="34" t="e" cm="1">
        <f t="array" aca="1" ref="P860" ca="1">IF(AND(G860=INDIRECT("'["&amp;G860&amp;"]"&amp;E860&amp;"'!"&amp;$AH$2),OR(VALUE(I860)=INDIRECT("'["&amp;G860&amp;"]"&amp;E860&amp;"'!"&amp;$AB$2))),INDIRECT("'["&amp;G860&amp;"]"&amp;E860&amp;"'!"&amp;$AB$3),0)</f>
        <v>#VALUE!</v>
      </c>
      <c r="Q860" s="34" t="e" cm="1">
        <f t="array" aca="1" ref="Q860" ca="1">IF(AND(G860=INDIRECT("'["&amp;G860&amp;"]"&amp;E860&amp;"'!"&amp;$AH$2),OR(VALUE(I860)=INDIRECT("'["&amp;G860&amp;"]"&amp;E860&amp;"'!"&amp;$AC$2))),INDIRECT("'["&amp;G860&amp;"]"&amp;E860&amp;"'!"&amp;$AC$3),0)</f>
        <v>#VALUE!</v>
      </c>
      <c r="R860" s="34" t="e" cm="1">
        <f t="array" aca="1" ref="R860" ca="1">IF(AND(G860=INDIRECT("'["&amp;G860&amp;"]"&amp;E860&amp;"'!"&amp;$AH$2),OR(I860=INDIRECT("'["&amp;G860&amp;"]"&amp;E860&amp;"'!"&amp;$AD$2))),INDIRECT("'["&amp;G860&amp;"]"&amp;E860&amp;"'!"&amp;$AD$3),0)</f>
        <v>#VALUE!</v>
      </c>
      <c r="S860" s="34" t="e" cm="1">
        <f t="array" aca="1" ref="S860" ca="1">IF(AND(G860=INDIRECT("'["&amp;G860&amp;"]"&amp;E860&amp;"'!"&amp;$AH$2),OR(I860=INDIRECT("'["&amp;G860&amp;"]"&amp;E860&amp;"'!"&amp;$AE$2))),INDIRECT("'["&amp;G860&amp;"]"&amp;E860&amp;"'!"&amp;$AE$3),0)</f>
        <v>#VALUE!</v>
      </c>
      <c r="T860" s="35" t="e" cm="1">
        <f t="array" aca="1" ref="T860" ca="1">IF(AND(G860=INDIRECT("'["&amp;G860&amp;"]"&amp;E860&amp;"'!"&amp;$AH$2),OR(I860=INDIRECT("'["&amp;G860&amp;"]"&amp;E860&amp;"'!"&amp;$AF$2))),INDIRECT("'["&amp;G860&amp;"]"&amp;E860&amp;"'!"&amp;$AF$3),0)</f>
        <v>#VALUE!</v>
      </c>
      <c r="U860" s="34" t="e" cm="1">
        <f t="array" aca="1" ref="U860" ca="1">IF(AND(G860=INDIRECT("'["&amp;G860&amp;"]"&amp;E860&amp;"'!"&amp;$AH$2),OR(I860=INDIRECT("'["&amp;G860&amp;"]"&amp;E860&amp;"'!"&amp;$AG$2))),INDIRECT("'["&amp;G860&amp;"]"&amp;E860&amp;"'!"&amp;$AG$3),0)</f>
        <v>#VALUE!</v>
      </c>
      <c r="V860" s="25" t="str">
        <f t="shared" si="227"/>
        <v/>
      </c>
      <c r="W860" s="36" t="e" cm="1">
        <f t="array" aca="1" ref="W860" ca="1">IF(AND(G860=INDIRECT("'["&amp;G860&amp;"]"&amp;E860&amp;"'!"&amp;$AH$2),OR(V860=INDIRECT("'["&amp;G860&amp;"]"&amp;E860&amp;"'!"&amp;$AI$2))),INDIRECT("'["&amp;G860&amp;"]"&amp;E860&amp;"'!"&amp;$AI$3),0)</f>
        <v>#VALUE!</v>
      </c>
      <c r="AJ860" s="25">
        <v>1</v>
      </c>
      <c r="AK860" s="38">
        <f t="shared" ca="1" si="228"/>
        <v>0</v>
      </c>
      <c r="AL860" s="38">
        <f t="shared" ca="1" si="229"/>
        <v>0</v>
      </c>
      <c r="AM860" s="54" t="str">
        <f t="shared" ca="1" si="230"/>
        <v/>
      </c>
      <c r="AN860" s="25" t="e">
        <f t="shared" ca="1" si="231"/>
        <v>#VALUE!</v>
      </c>
      <c r="AO860" s="25" t="e">
        <f t="shared" ca="1" si="232"/>
        <v>#VALUE!</v>
      </c>
      <c r="AQ860" s="46" t="str">
        <f ca="1">IF(AND(C860&lt;&gt;0, C861=0), SUM($C$2:C860)-SUM($AQ$1:AQ859), "")</f>
        <v/>
      </c>
      <c r="AR860" s="46" t="str">
        <f ca="1">IF(AND(AK860&lt;&gt;0, AK861=0), SUM($AK$2:AK860)-SUM($AR$1:AR859), "")</f>
        <v/>
      </c>
    </row>
    <row r="861" spans="2:44" ht="13.15" customHeight="1">
      <c r="B861" s="68" t="str">
        <f t="shared" si="218"/>
        <v/>
      </c>
      <c r="C861" s="55" cm="1">
        <f t="array" aca="1" ref="C861" ca="1">SUM(IF(ISNUMBER(M861:U861),M861:U861,""))</f>
        <v>0</v>
      </c>
      <c r="D861" s="25" t="str">
        <f t="shared" si="219"/>
        <v/>
      </c>
      <c r="E861" s="25" t="e">
        <f t="shared" si="220"/>
        <v>#VALUE!</v>
      </c>
      <c r="F861" s="25" t="str">
        <f t="shared" si="221"/>
        <v/>
      </c>
      <c r="G861" s="25" t="str">
        <f t="shared" si="222"/>
        <v>.xlsx</v>
      </c>
      <c r="H861" s="29" t="e" cm="1">
        <f t="array" aca="1" ref="H861" ca="1">IF(AND(VALUE(E861)=INDIRECT("'["&amp;G861&amp;"]"&amp;E861&amp;"'!"&amp;$X$2),G861=INDIRECT("'["&amp;G861&amp;"]"&amp;E861&amp;"'!"&amp;$X$3)),INDIRECT("'["&amp;G861&amp;"]"&amp;E861&amp;"'!"&amp;$X$1),0)</f>
        <v>#VALUE!</v>
      </c>
      <c r="I861" s="25" t="str">
        <f t="shared" si="223"/>
        <v/>
      </c>
      <c r="J861" s="32" t="str">
        <f t="shared" si="224"/>
        <v/>
      </c>
      <c r="K861" s="25" t="str">
        <f t="shared" si="225"/>
        <v/>
      </c>
      <c r="L861" s="25" t="str">
        <f t="shared" si="226"/>
        <v/>
      </c>
      <c r="M861" s="33" t="e" cm="1">
        <f t="array" aca="1" ref="M861" ca="1">IF(AND(J861=INDIRECT("'["&amp;G861&amp;"]"&amp;E861&amp;"'!"&amp;$Y$2),G861=INDIRECT("'["&amp;G861&amp;"]"&amp;E861&amp;"'!"&amp;$AH$2)),INDIRECT("'["&amp;G861&amp;"]"&amp;E861&amp;"'!"&amp;$Y$3),0)</f>
        <v>#VALUE!</v>
      </c>
      <c r="N861" s="34" t="e" cm="1">
        <f t="array" aca="1" ref="N861" ca="1">IF(AND(G861=INDIRECT("'["&amp;G861&amp;"]"&amp;E861&amp;"'!"&amp;$AH$2),OR(K861=INDIRECT("'["&amp;G861&amp;"]"&amp;E861&amp;"'!"&amp;$Z$2))),INDIRECT("'["&amp;G861&amp;"]"&amp;E861&amp;"'!"&amp;$Z$3),0)</f>
        <v>#VALUE!</v>
      </c>
      <c r="O861" s="34" t="e" cm="1">
        <f t="array" aca="1" ref="O861" ca="1">IF(AND(G861=INDIRECT("'["&amp;G861&amp;"]"&amp;E861&amp;"'!"&amp;$AH$2),OR(L861=INDIRECT("'["&amp;G861&amp;"]"&amp;E861&amp;"'!"&amp;$AA$2))),INDIRECT("'["&amp;G861&amp;"]"&amp;E861&amp;"'!"&amp;$AA$3),0)</f>
        <v>#VALUE!</v>
      </c>
      <c r="P861" s="34" t="e" cm="1">
        <f t="array" aca="1" ref="P861" ca="1">IF(AND(G861=INDIRECT("'["&amp;G861&amp;"]"&amp;E861&amp;"'!"&amp;$AH$2),OR(VALUE(I861)=INDIRECT("'["&amp;G861&amp;"]"&amp;E861&amp;"'!"&amp;$AB$2))),INDIRECT("'["&amp;G861&amp;"]"&amp;E861&amp;"'!"&amp;$AB$3),0)</f>
        <v>#VALUE!</v>
      </c>
      <c r="Q861" s="34" t="e" cm="1">
        <f t="array" aca="1" ref="Q861" ca="1">IF(AND(G861=INDIRECT("'["&amp;G861&amp;"]"&amp;E861&amp;"'!"&amp;$AH$2),OR(VALUE(I861)=INDIRECT("'["&amp;G861&amp;"]"&amp;E861&amp;"'!"&amp;$AC$2))),INDIRECT("'["&amp;G861&amp;"]"&amp;E861&amp;"'!"&amp;$AC$3),0)</f>
        <v>#VALUE!</v>
      </c>
      <c r="R861" s="34" t="e" cm="1">
        <f t="array" aca="1" ref="R861" ca="1">IF(AND(G861=INDIRECT("'["&amp;G861&amp;"]"&amp;E861&amp;"'!"&amp;$AH$2),OR(I861=INDIRECT("'["&amp;G861&amp;"]"&amp;E861&amp;"'!"&amp;$AD$2))),INDIRECT("'["&amp;G861&amp;"]"&amp;E861&amp;"'!"&amp;$AD$3),0)</f>
        <v>#VALUE!</v>
      </c>
      <c r="S861" s="34" t="e" cm="1">
        <f t="array" aca="1" ref="S861" ca="1">IF(AND(G861=INDIRECT("'["&amp;G861&amp;"]"&amp;E861&amp;"'!"&amp;$AH$2),OR(I861=INDIRECT("'["&amp;G861&amp;"]"&amp;E861&amp;"'!"&amp;$AE$2))),INDIRECT("'["&amp;G861&amp;"]"&amp;E861&amp;"'!"&amp;$AE$3),0)</f>
        <v>#VALUE!</v>
      </c>
      <c r="T861" s="35" t="e" cm="1">
        <f t="array" aca="1" ref="T861" ca="1">IF(AND(G861=INDIRECT("'["&amp;G861&amp;"]"&amp;E861&amp;"'!"&amp;$AH$2),OR(I861=INDIRECT("'["&amp;G861&amp;"]"&amp;E861&amp;"'!"&amp;$AF$2))),INDIRECT("'["&amp;G861&amp;"]"&amp;E861&amp;"'!"&amp;$AF$3),0)</f>
        <v>#VALUE!</v>
      </c>
      <c r="U861" s="34" t="e" cm="1">
        <f t="array" aca="1" ref="U861" ca="1">IF(AND(G861=INDIRECT("'["&amp;G861&amp;"]"&amp;E861&amp;"'!"&amp;$AH$2),OR(I861=INDIRECT("'["&amp;G861&amp;"]"&amp;E861&amp;"'!"&amp;$AG$2))),INDIRECT("'["&amp;G861&amp;"]"&amp;E861&amp;"'!"&amp;$AG$3),0)</f>
        <v>#VALUE!</v>
      </c>
      <c r="V861" s="25" t="str">
        <f t="shared" si="227"/>
        <v/>
      </c>
      <c r="W861" s="36" t="e" cm="1">
        <f t="array" aca="1" ref="W861" ca="1">IF(AND(G861=INDIRECT("'["&amp;G861&amp;"]"&amp;E861&amp;"'!"&amp;$AH$2),OR(V861=INDIRECT("'["&amp;G861&amp;"]"&amp;E861&amp;"'!"&amp;$AI$2))),INDIRECT("'["&amp;G861&amp;"]"&amp;E861&amp;"'!"&amp;$AI$3),0)</f>
        <v>#VALUE!</v>
      </c>
      <c r="AJ861" s="25">
        <v>1</v>
      </c>
      <c r="AK861" s="38">
        <f t="shared" ca="1" si="228"/>
        <v>0</v>
      </c>
      <c r="AL861" s="38">
        <f t="shared" ca="1" si="229"/>
        <v>0</v>
      </c>
      <c r="AM861" s="54" t="str">
        <f t="shared" ca="1" si="230"/>
        <v/>
      </c>
      <c r="AN861" s="25" t="e">
        <f t="shared" ca="1" si="231"/>
        <v>#VALUE!</v>
      </c>
      <c r="AO861" s="25" t="e">
        <f t="shared" ca="1" si="232"/>
        <v>#VALUE!</v>
      </c>
      <c r="AQ861" s="46" t="str">
        <f ca="1">IF(AND(C861&lt;&gt;0, C862=0), SUM($C$2:C861)-SUM($AQ$1:AQ860), "")</f>
        <v/>
      </c>
      <c r="AR861" s="46" t="str">
        <f ca="1">IF(AND(AK861&lt;&gt;0, AK862=0), SUM($AK$2:AK861)-SUM($AR$1:AR860), "")</f>
        <v/>
      </c>
    </row>
    <row r="862" spans="2:44" ht="13.15" customHeight="1">
      <c r="B862" s="68" t="str">
        <f t="shared" si="218"/>
        <v/>
      </c>
      <c r="C862" s="55" cm="1">
        <f t="array" aca="1" ref="C862" ca="1">SUM(IF(ISNUMBER(M862:U862),M862:U862,""))</f>
        <v>0</v>
      </c>
      <c r="D862" s="25" t="str">
        <f t="shared" si="219"/>
        <v/>
      </c>
      <c r="E862" s="25" t="e">
        <f t="shared" si="220"/>
        <v>#VALUE!</v>
      </c>
      <c r="F862" s="25" t="str">
        <f t="shared" si="221"/>
        <v/>
      </c>
      <c r="G862" s="25" t="str">
        <f t="shared" si="222"/>
        <v>.xlsx</v>
      </c>
      <c r="H862" s="29" t="e" cm="1">
        <f t="array" aca="1" ref="H862" ca="1">IF(AND(VALUE(E862)=INDIRECT("'["&amp;G862&amp;"]"&amp;E862&amp;"'!"&amp;$X$2),G862=INDIRECT("'["&amp;G862&amp;"]"&amp;E862&amp;"'!"&amp;$X$3)),INDIRECT("'["&amp;G862&amp;"]"&amp;E862&amp;"'!"&amp;$X$1),0)</f>
        <v>#VALUE!</v>
      </c>
      <c r="I862" s="25" t="str">
        <f t="shared" si="223"/>
        <v/>
      </c>
      <c r="J862" s="32" t="str">
        <f t="shared" si="224"/>
        <v/>
      </c>
      <c r="K862" s="25" t="str">
        <f t="shared" si="225"/>
        <v/>
      </c>
      <c r="L862" s="25" t="str">
        <f t="shared" si="226"/>
        <v/>
      </c>
      <c r="M862" s="33" t="e" cm="1">
        <f t="array" aca="1" ref="M862" ca="1">IF(AND(J862=INDIRECT("'["&amp;G862&amp;"]"&amp;E862&amp;"'!"&amp;$Y$2),G862=INDIRECT("'["&amp;G862&amp;"]"&amp;E862&amp;"'!"&amp;$AH$2)),INDIRECT("'["&amp;G862&amp;"]"&amp;E862&amp;"'!"&amp;$Y$3),0)</f>
        <v>#VALUE!</v>
      </c>
      <c r="N862" s="34" t="e" cm="1">
        <f t="array" aca="1" ref="N862" ca="1">IF(AND(G862=INDIRECT("'["&amp;G862&amp;"]"&amp;E862&amp;"'!"&amp;$AH$2),OR(K862=INDIRECT("'["&amp;G862&amp;"]"&amp;E862&amp;"'!"&amp;$Z$2))),INDIRECT("'["&amp;G862&amp;"]"&amp;E862&amp;"'!"&amp;$Z$3),0)</f>
        <v>#VALUE!</v>
      </c>
      <c r="O862" s="34" t="e" cm="1">
        <f t="array" aca="1" ref="O862" ca="1">IF(AND(G862=INDIRECT("'["&amp;G862&amp;"]"&amp;E862&amp;"'!"&amp;$AH$2),OR(L862=INDIRECT("'["&amp;G862&amp;"]"&amp;E862&amp;"'!"&amp;$AA$2))),INDIRECT("'["&amp;G862&amp;"]"&amp;E862&amp;"'!"&amp;$AA$3),0)</f>
        <v>#VALUE!</v>
      </c>
      <c r="P862" s="34" t="e" cm="1">
        <f t="array" aca="1" ref="P862" ca="1">IF(AND(G862=INDIRECT("'["&amp;G862&amp;"]"&amp;E862&amp;"'!"&amp;$AH$2),OR(VALUE(I862)=INDIRECT("'["&amp;G862&amp;"]"&amp;E862&amp;"'!"&amp;$AB$2))),INDIRECT("'["&amp;G862&amp;"]"&amp;E862&amp;"'!"&amp;$AB$3),0)</f>
        <v>#VALUE!</v>
      </c>
      <c r="Q862" s="34" t="e" cm="1">
        <f t="array" aca="1" ref="Q862" ca="1">IF(AND(G862=INDIRECT("'["&amp;G862&amp;"]"&amp;E862&amp;"'!"&amp;$AH$2),OR(VALUE(I862)=INDIRECT("'["&amp;G862&amp;"]"&amp;E862&amp;"'!"&amp;$AC$2))),INDIRECT("'["&amp;G862&amp;"]"&amp;E862&amp;"'!"&amp;$AC$3),0)</f>
        <v>#VALUE!</v>
      </c>
      <c r="R862" s="34" t="e" cm="1">
        <f t="array" aca="1" ref="R862" ca="1">IF(AND(G862=INDIRECT("'["&amp;G862&amp;"]"&amp;E862&amp;"'!"&amp;$AH$2),OR(I862=INDIRECT("'["&amp;G862&amp;"]"&amp;E862&amp;"'!"&amp;$AD$2))),INDIRECT("'["&amp;G862&amp;"]"&amp;E862&amp;"'!"&amp;$AD$3),0)</f>
        <v>#VALUE!</v>
      </c>
      <c r="S862" s="34" t="e" cm="1">
        <f t="array" aca="1" ref="S862" ca="1">IF(AND(G862=INDIRECT("'["&amp;G862&amp;"]"&amp;E862&amp;"'!"&amp;$AH$2),OR(I862=INDIRECT("'["&amp;G862&amp;"]"&amp;E862&amp;"'!"&amp;$AE$2))),INDIRECT("'["&amp;G862&amp;"]"&amp;E862&amp;"'!"&amp;$AE$3),0)</f>
        <v>#VALUE!</v>
      </c>
      <c r="T862" s="35" t="e" cm="1">
        <f t="array" aca="1" ref="T862" ca="1">IF(AND(G862=INDIRECT("'["&amp;G862&amp;"]"&amp;E862&amp;"'!"&amp;$AH$2),OR(I862=INDIRECT("'["&amp;G862&amp;"]"&amp;E862&amp;"'!"&amp;$AF$2))),INDIRECT("'["&amp;G862&amp;"]"&amp;E862&amp;"'!"&amp;$AF$3),0)</f>
        <v>#VALUE!</v>
      </c>
      <c r="U862" s="34" t="e" cm="1">
        <f t="array" aca="1" ref="U862" ca="1">IF(AND(G862=INDIRECT("'["&amp;G862&amp;"]"&amp;E862&amp;"'!"&amp;$AH$2),OR(I862=INDIRECT("'["&amp;G862&amp;"]"&amp;E862&amp;"'!"&amp;$AG$2))),INDIRECT("'["&amp;G862&amp;"]"&amp;E862&amp;"'!"&amp;$AG$3),0)</f>
        <v>#VALUE!</v>
      </c>
      <c r="V862" s="25" t="str">
        <f t="shared" si="227"/>
        <v/>
      </c>
      <c r="W862" s="36" t="e" cm="1">
        <f t="array" aca="1" ref="W862" ca="1">IF(AND(G862=INDIRECT("'["&amp;G862&amp;"]"&amp;E862&amp;"'!"&amp;$AH$2),OR(V862=INDIRECT("'["&amp;G862&amp;"]"&amp;E862&amp;"'!"&amp;$AI$2))),INDIRECT("'["&amp;G862&amp;"]"&amp;E862&amp;"'!"&amp;$AI$3),0)</f>
        <v>#VALUE!</v>
      </c>
      <c r="AJ862" s="25">
        <v>1</v>
      </c>
      <c r="AK862" s="38">
        <f t="shared" ca="1" si="228"/>
        <v>0</v>
      </c>
      <c r="AL862" s="38">
        <f t="shared" ca="1" si="229"/>
        <v>0</v>
      </c>
      <c r="AM862" s="54" t="str">
        <f t="shared" ca="1" si="230"/>
        <v/>
      </c>
      <c r="AN862" s="25" t="e">
        <f t="shared" ca="1" si="231"/>
        <v>#VALUE!</v>
      </c>
      <c r="AO862" s="25" t="e">
        <f t="shared" ca="1" si="232"/>
        <v>#VALUE!</v>
      </c>
      <c r="AQ862" s="46" t="str">
        <f ca="1">IF(AND(C862&lt;&gt;0, C863=0), SUM($C$2:C862)-SUM($AQ$1:AQ861), "")</f>
        <v/>
      </c>
      <c r="AR862" s="46" t="str">
        <f ca="1">IF(AND(AK862&lt;&gt;0, AK863=0), SUM($AK$2:AK862)-SUM($AR$1:AR861), "")</f>
        <v/>
      </c>
    </row>
    <row r="863" spans="2:44" ht="13.15" customHeight="1">
      <c r="B863" s="68" t="str">
        <f t="shared" si="218"/>
        <v/>
      </c>
      <c r="C863" s="55" cm="1">
        <f t="array" aca="1" ref="C863" ca="1">SUM(IF(ISNUMBER(M863:U863),M863:U863,""))</f>
        <v>0</v>
      </c>
      <c r="D863" s="25" t="str">
        <f t="shared" si="219"/>
        <v/>
      </c>
      <c r="E863" s="25" t="e">
        <f t="shared" si="220"/>
        <v>#VALUE!</v>
      </c>
      <c r="F863" s="25" t="str">
        <f t="shared" si="221"/>
        <v/>
      </c>
      <c r="G863" s="25" t="str">
        <f t="shared" si="222"/>
        <v>.xlsx</v>
      </c>
      <c r="H863" s="29" t="e" cm="1">
        <f t="array" aca="1" ref="H863" ca="1">IF(AND(VALUE(E863)=INDIRECT("'["&amp;G863&amp;"]"&amp;E863&amp;"'!"&amp;$X$2),G863=INDIRECT("'["&amp;G863&amp;"]"&amp;E863&amp;"'!"&amp;$X$3)),INDIRECT("'["&amp;G863&amp;"]"&amp;E863&amp;"'!"&amp;$X$1),0)</f>
        <v>#VALUE!</v>
      </c>
      <c r="I863" s="25" t="str">
        <f t="shared" si="223"/>
        <v/>
      </c>
      <c r="J863" s="32" t="str">
        <f t="shared" si="224"/>
        <v/>
      </c>
      <c r="K863" s="25" t="str">
        <f t="shared" si="225"/>
        <v/>
      </c>
      <c r="L863" s="25" t="str">
        <f t="shared" si="226"/>
        <v/>
      </c>
      <c r="M863" s="33" t="e" cm="1">
        <f t="array" aca="1" ref="M863" ca="1">IF(AND(J863=INDIRECT("'["&amp;G863&amp;"]"&amp;E863&amp;"'!"&amp;$Y$2),G863=INDIRECT("'["&amp;G863&amp;"]"&amp;E863&amp;"'!"&amp;$AH$2)),INDIRECT("'["&amp;G863&amp;"]"&amp;E863&amp;"'!"&amp;$Y$3),0)</f>
        <v>#VALUE!</v>
      </c>
      <c r="N863" s="34" t="e" cm="1">
        <f t="array" aca="1" ref="N863" ca="1">IF(AND(G863=INDIRECT("'["&amp;G863&amp;"]"&amp;E863&amp;"'!"&amp;$AH$2),OR(K863=INDIRECT("'["&amp;G863&amp;"]"&amp;E863&amp;"'!"&amp;$Z$2))),INDIRECT("'["&amp;G863&amp;"]"&amp;E863&amp;"'!"&amp;$Z$3),0)</f>
        <v>#VALUE!</v>
      </c>
      <c r="O863" s="34" t="e" cm="1">
        <f t="array" aca="1" ref="O863" ca="1">IF(AND(G863=INDIRECT("'["&amp;G863&amp;"]"&amp;E863&amp;"'!"&amp;$AH$2),OR(L863=INDIRECT("'["&amp;G863&amp;"]"&amp;E863&amp;"'!"&amp;$AA$2))),INDIRECT("'["&amp;G863&amp;"]"&amp;E863&amp;"'!"&amp;$AA$3),0)</f>
        <v>#VALUE!</v>
      </c>
      <c r="P863" s="34" t="e" cm="1">
        <f t="array" aca="1" ref="P863" ca="1">IF(AND(G863=INDIRECT("'["&amp;G863&amp;"]"&amp;E863&amp;"'!"&amp;$AH$2),OR(VALUE(I863)=INDIRECT("'["&amp;G863&amp;"]"&amp;E863&amp;"'!"&amp;$AB$2))),INDIRECT("'["&amp;G863&amp;"]"&amp;E863&amp;"'!"&amp;$AB$3),0)</f>
        <v>#VALUE!</v>
      </c>
      <c r="Q863" s="34" t="e" cm="1">
        <f t="array" aca="1" ref="Q863" ca="1">IF(AND(G863=INDIRECT("'["&amp;G863&amp;"]"&amp;E863&amp;"'!"&amp;$AH$2),OR(VALUE(I863)=INDIRECT("'["&amp;G863&amp;"]"&amp;E863&amp;"'!"&amp;$AC$2))),INDIRECT("'["&amp;G863&amp;"]"&amp;E863&amp;"'!"&amp;$AC$3),0)</f>
        <v>#VALUE!</v>
      </c>
      <c r="R863" s="34" t="e" cm="1">
        <f t="array" aca="1" ref="R863" ca="1">IF(AND(G863=INDIRECT("'["&amp;G863&amp;"]"&amp;E863&amp;"'!"&amp;$AH$2),OR(I863=INDIRECT("'["&amp;G863&amp;"]"&amp;E863&amp;"'!"&amp;$AD$2))),INDIRECT("'["&amp;G863&amp;"]"&amp;E863&amp;"'!"&amp;$AD$3),0)</f>
        <v>#VALUE!</v>
      </c>
      <c r="S863" s="34" t="e" cm="1">
        <f t="array" aca="1" ref="S863" ca="1">IF(AND(G863=INDIRECT("'["&amp;G863&amp;"]"&amp;E863&amp;"'!"&amp;$AH$2),OR(I863=INDIRECT("'["&amp;G863&amp;"]"&amp;E863&amp;"'!"&amp;$AE$2))),INDIRECT("'["&amp;G863&amp;"]"&amp;E863&amp;"'!"&amp;$AE$3),0)</f>
        <v>#VALUE!</v>
      </c>
      <c r="T863" s="35" t="e" cm="1">
        <f t="array" aca="1" ref="T863" ca="1">IF(AND(G863=INDIRECT("'["&amp;G863&amp;"]"&amp;E863&amp;"'!"&amp;$AH$2),OR(I863=INDIRECT("'["&amp;G863&amp;"]"&amp;E863&amp;"'!"&amp;$AF$2))),INDIRECT("'["&amp;G863&amp;"]"&amp;E863&amp;"'!"&amp;$AF$3),0)</f>
        <v>#VALUE!</v>
      </c>
      <c r="U863" s="34" t="e" cm="1">
        <f t="array" aca="1" ref="U863" ca="1">IF(AND(G863=INDIRECT("'["&amp;G863&amp;"]"&amp;E863&amp;"'!"&amp;$AH$2),OR(I863=INDIRECT("'["&amp;G863&amp;"]"&amp;E863&amp;"'!"&amp;$AG$2))),INDIRECT("'["&amp;G863&amp;"]"&amp;E863&amp;"'!"&amp;$AG$3),0)</f>
        <v>#VALUE!</v>
      </c>
      <c r="V863" s="25" t="str">
        <f t="shared" si="227"/>
        <v/>
      </c>
      <c r="W863" s="36" t="e" cm="1">
        <f t="array" aca="1" ref="W863" ca="1">IF(AND(G863=INDIRECT("'["&amp;G863&amp;"]"&amp;E863&amp;"'!"&amp;$AH$2),OR(V863=INDIRECT("'["&amp;G863&amp;"]"&amp;E863&amp;"'!"&amp;$AI$2))),INDIRECT("'["&amp;G863&amp;"]"&amp;E863&amp;"'!"&amp;$AI$3),0)</f>
        <v>#VALUE!</v>
      </c>
      <c r="AJ863" s="25">
        <v>1</v>
      </c>
      <c r="AK863" s="38">
        <f t="shared" ca="1" si="228"/>
        <v>0</v>
      </c>
      <c r="AL863" s="38">
        <f t="shared" ca="1" si="229"/>
        <v>0</v>
      </c>
      <c r="AM863" s="54" t="str">
        <f t="shared" ca="1" si="230"/>
        <v/>
      </c>
      <c r="AN863" s="25" t="e">
        <f t="shared" ca="1" si="231"/>
        <v>#VALUE!</v>
      </c>
      <c r="AO863" s="25" t="e">
        <f t="shared" ca="1" si="232"/>
        <v>#VALUE!</v>
      </c>
      <c r="AQ863" s="46" t="str">
        <f ca="1">IF(AND(C863&lt;&gt;0, C864=0), SUM($C$2:C863)-SUM($AQ$1:AQ862), "")</f>
        <v/>
      </c>
      <c r="AR863" s="46" t="str">
        <f ca="1">IF(AND(AK863&lt;&gt;0, AK864=0), SUM($AK$2:AK863)-SUM($AR$1:AR862), "")</f>
        <v/>
      </c>
    </row>
    <row r="864" spans="2:44" ht="13.15" customHeight="1">
      <c r="B864" s="68" t="str">
        <f t="shared" si="218"/>
        <v/>
      </c>
      <c r="C864" s="55" cm="1">
        <f t="array" aca="1" ref="C864" ca="1">SUM(IF(ISNUMBER(M864:U864),M864:U864,""))</f>
        <v>0</v>
      </c>
      <c r="D864" s="25" t="str">
        <f t="shared" si="219"/>
        <v/>
      </c>
      <c r="E864" s="25" t="e">
        <f t="shared" si="220"/>
        <v>#VALUE!</v>
      </c>
      <c r="F864" s="25" t="str">
        <f t="shared" si="221"/>
        <v/>
      </c>
      <c r="G864" s="25" t="str">
        <f t="shared" si="222"/>
        <v>.xlsx</v>
      </c>
      <c r="H864" s="29" t="e" cm="1">
        <f t="array" aca="1" ref="H864" ca="1">IF(AND(VALUE(E864)=INDIRECT("'["&amp;G864&amp;"]"&amp;E864&amp;"'!"&amp;$X$2),G864=INDIRECT("'["&amp;G864&amp;"]"&amp;E864&amp;"'!"&amp;$X$3)),INDIRECT("'["&amp;G864&amp;"]"&amp;E864&amp;"'!"&amp;$X$1),0)</f>
        <v>#VALUE!</v>
      </c>
      <c r="I864" s="25" t="str">
        <f t="shared" si="223"/>
        <v/>
      </c>
      <c r="J864" s="32" t="str">
        <f t="shared" si="224"/>
        <v/>
      </c>
      <c r="K864" s="25" t="str">
        <f t="shared" si="225"/>
        <v/>
      </c>
      <c r="L864" s="25" t="str">
        <f t="shared" si="226"/>
        <v/>
      </c>
      <c r="M864" s="33" t="e" cm="1">
        <f t="array" aca="1" ref="M864" ca="1">IF(AND(J864=INDIRECT("'["&amp;G864&amp;"]"&amp;E864&amp;"'!"&amp;$Y$2),G864=INDIRECT("'["&amp;G864&amp;"]"&amp;E864&amp;"'!"&amp;$AH$2)),INDIRECT("'["&amp;G864&amp;"]"&amp;E864&amp;"'!"&amp;$Y$3),0)</f>
        <v>#VALUE!</v>
      </c>
      <c r="N864" s="34" t="e" cm="1">
        <f t="array" aca="1" ref="N864" ca="1">IF(AND(G864=INDIRECT("'["&amp;G864&amp;"]"&amp;E864&amp;"'!"&amp;$AH$2),OR(K864=INDIRECT("'["&amp;G864&amp;"]"&amp;E864&amp;"'!"&amp;$Z$2))),INDIRECT("'["&amp;G864&amp;"]"&amp;E864&amp;"'!"&amp;$Z$3),0)</f>
        <v>#VALUE!</v>
      </c>
      <c r="O864" s="34" t="e" cm="1">
        <f t="array" aca="1" ref="O864" ca="1">IF(AND(G864=INDIRECT("'["&amp;G864&amp;"]"&amp;E864&amp;"'!"&amp;$AH$2),OR(L864=INDIRECT("'["&amp;G864&amp;"]"&amp;E864&amp;"'!"&amp;$AA$2))),INDIRECT("'["&amp;G864&amp;"]"&amp;E864&amp;"'!"&amp;$AA$3),0)</f>
        <v>#VALUE!</v>
      </c>
      <c r="P864" s="34" t="e" cm="1">
        <f t="array" aca="1" ref="P864" ca="1">IF(AND(G864=INDIRECT("'["&amp;G864&amp;"]"&amp;E864&amp;"'!"&amp;$AH$2),OR(VALUE(I864)=INDIRECT("'["&amp;G864&amp;"]"&amp;E864&amp;"'!"&amp;$AB$2))),INDIRECT("'["&amp;G864&amp;"]"&amp;E864&amp;"'!"&amp;$AB$3),0)</f>
        <v>#VALUE!</v>
      </c>
      <c r="Q864" s="34" t="e" cm="1">
        <f t="array" aca="1" ref="Q864" ca="1">IF(AND(G864=INDIRECT("'["&amp;G864&amp;"]"&amp;E864&amp;"'!"&amp;$AH$2),OR(VALUE(I864)=INDIRECT("'["&amp;G864&amp;"]"&amp;E864&amp;"'!"&amp;$AC$2))),INDIRECT("'["&amp;G864&amp;"]"&amp;E864&amp;"'!"&amp;$AC$3),0)</f>
        <v>#VALUE!</v>
      </c>
      <c r="R864" s="34" t="e" cm="1">
        <f t="array" aca="1" ref="R864" ca="1">IF(AND(G864=INDIRECT("'["&amp;G864&amp;"]"&amp;E864&amp;"'!"&amp;$AH$2),OR(I864=INDIRECT("'["&amp;G864&amp;"]"&amp;E864&amp;"'!"&amp;$AD$2))),INDIRECT("'["&amp;G864&amp;"]"&amp;E864&amp;"'!"&amp;$AD$3),0)</f>
        <v>#VALUE!</v>
      </c>
      <c r="S864" s="34" t="e" cm="1">
        <f t="array" aca="1" ref="S864" ca="1">IF(AND(G864=INDIRECT("'["&amp;G864&amp;"]"&amp;E864&amp;"'!"&amp;$AH$2),OR(I864=INDIRECT("'["&amp;G864&amp;"]"&amp;E864&amp;"'!"&amp;$AE$2))),INDIRECT("'["&amp;G864&amp;"]"&amp;E864&amp;"'!"&amp;$AE$3),0)</f>
        <v>#VALUE!</v>
      </c>
      <c r="T864" s="35" t="e" cm="1">
        <f t="array" aca="1" ref="T864" ca="1">IF(AND(G864=INDIRECT("'["&amp;G864&amp;"]"&amp;E864&amp;"'!"&amp;$AH$2),OR(I864=INDIRECT("'["&amp;G864&amp;"]"&amp;E864&amp;"'!"&amp;$AF$2))),INDIRECT("'["&amp;G864&amp;"]"&amp;E864&amp;"'!"&amp;$AF$3),0)</f>
        <v>#VALUE!</v>
      </c>
      <c r="U864" s="34" t="e" cm="1">
        <f t="array" aca="1" ref="U864" ca="1">IF(AND(G864=INDIRECT("'["&amp;G864&amp;"]"&amp;E864&amp;"'!"&amp;$AH$2),OR(I864=INDIRECT("'["&amp;G864&amp;"]"&amp;E864&amp;"'!"&amp;$AG$2))),INDIRECT("'["&amp;G864&amp;"]"&amp;E864&amp;"'!"&amp;$AG$3),0)</f>
        <v>#VALUE!</v>
      </c>
      <c r="V864" s="25" t="str">
        <f t="shared" si="227"/>
        <v/>
      </c>
      <c r="W864" s="36" t="e" cm="1">
        <f t="array" aca="1" ref="W864" ca="1">IF(AND(G864=INDIRECT("'["&amp;G864&amp;"]"&amp;E864&amp;"'!"&amp;$AH$2),OR(V864=INDIRECT("'["&amp;G864&amp;"]"&amp;E864&amp;"'!"&amp;$AI$2))),INDIRECT("'["&amp;G864&amp;"]"&amp;E864&amp;"'!"&amp;$AI$3),0)</f>
        <v>#VALUE!</v>
      </c>
      <c r="AJ864" s="25">
        <v>1</v>
      </c>
      <c r="AK864" s="38">
        <f t="shared" ca="1" si="228"/>
        <v>0</v>
      </c>
      <c r="AL864" s="38">
        <f t="shared" ca="1" si="229"/>
        <v>0</v>
      </c>
      <c r="AM864" s="54" t="str">
        <f t="shared" ca="1" si="230"/>
        <v/>
      </c>
      <c r="AN864" s="25" t="e">
        <f t="shared" ca="1" si="231"/>
        <v>#VALUE!</v>
      </c>
      <c r="AO864" s="25" t="e">
        <f t="shared" ca="1" si="232"/>
        <v>#VALUE!</v>
      </c>
      <c r="AQ864" s="46" t="str">
        <f ca="1">IF(AND(C864&lt;&gt;0, C865=0), SUM($C$2:C864)-SUM($AQ$1:AQ863), "")</f>
        <v/>
      </c>
      <c r="AR864" s="46" t="str">
        <f ca="1">IF(AND(AK864&lt;&gt;0, AK865=0), SUM($AK$2:AK864)-SUM($AR$1:AR863), "")</f>
        <v/>
      </c>
    </row>
    <row r="865" spans="2:44" ht="13.15" customHeight="1">
      <c r="B865" s="68" t="str">
        <f t="shared" si="218"/>
        <v/>
      </c>
      <c r="C865" s="55" cm="1">
        <f t="array" aca="1" ref="C865" ca="1">SUM(IF(ISNUMBER(M865:U865),M865:U865,""))</f>
        <v>0</v>
      </c>
      <c r="D865" s="25" t="str">
        <f t="shared" si="219"/>
        <v/>
      </c>
      <c r="E865" s="25" t="e">
        <f t="shared" si="220"/>
        <v>#VALUE!</v>
      </c>
      <c r="F865" s="25" t="str">
        <f t="shared" si="221"/>
        <v/>
      </c>
      <c r="G865" s="25" t="str">
        <f t="shared" si="222"/>
        <v>.xlsx</v>
      </c>
      <c r="H865" s="29" t="e" cm="1">
        <f t="array" aca="1" ref="H865" ca="1">IF(AND(VALUE(E865)=INDIRECT("'["&amp;G865&amp;"]"&amp;E865&amp;"'!"&amp;$X$2),G865=INDIRECT("'["&amp;G865&amp;"]"&amp;E865&amp;"'!"&amp;$X$3)),INDIRECT("'["&amp;G865&amp;"]"&amp;E865&amp;"'!"&amp;$X$1),0)</f>
        <v>#VALUE!</v>
      </c>
      <c r="I865" s="25" t="str">
        <f t="shared" si="223"/>
        <v/>
      </c>
      <c r="J865" s="32" t="str">
        <f t="shared" si="224"/>
        <v/>
      </c>
      <c r="K865" s="25" t="str">
        <f t="shared" si="225"/>
        <v/>
      </c>
      <c r="L865" s="25" t="str">
        <f t="shared" si="226"/>
        <v/>
      </c>
      <c r="M865" s="33" t="e" cm="1">
        <f t="array" aca="1" ref="M865" ca="1">IF(AND(J865=INDIRECT("'["&amp;G865&amp;"]"&amp;E865&amp;"'!"&amp;$Y$2),G865=INDIRECT("'["&amp;G865&amp;"]"&amp;E865&amp;"'!"&amp;$AH$2)),INDIRECT("'["&amp;G865&amp;"]"&amp;E865&amp;"'!"&amp;$Y$3),0)</f>
        <v>#VALUE!</v>
      </c>
      <c r="N865" s="34" t="e" cm="1">
        <f t="array" aca="1" ref="N865" ca="1">IF(AND(G865=INDIRECT("'["&amp;G865&amp;"]"&amp;E865&amp;"'!"&amp;$AH$2),OR(K865=INDIRECT("'["&amp;G865&amp;"]"&amp;E865&amp;"'!"&amp;$Z$2))),INDIRECT("'["&amp;G865&amp;"]"&amp;E865&amp;"'!"&amp;$Z$3),0)</f>
        <v>#VALUE!</v>
      </c>
      <c r="O865" s="34" t="e" cm="1">
        <f t="array" aca="1" ref="O865" ca="1">IF(AND(G865=INDIRECT("'["&amp;G865&amp;"]"&amp;E865&amp;"'!"&amp;$AH$2),OR(L865=INDIRECT("'["&amp;G865&amp;"]"&amp;E865&amp;"'!"&amp;$AA$2))),INDIRECT("'["&amp;G865&amp;"]"&amp;E865&amp;"'!"&amp;$AA$3),0)</f>
        <v>#VALUE!</v>
      </c>
      <c r="P865" s="34" t="e" cm="1">
        <f t="array" aca="1" ref="P865" ca="1">IF(AND(G865=INDIRECT("'["&amp;G865&amp;"]"&amp;E865&amp;"'!"&amp;$AH$2),OR(VALUE(I865)=INDIRECT("'["&amp;G865&amp;"]"&amp;E865&amp;"'!"&amp;$AB$2))),INDIRECT("'["&amp;G865&amp;"]"&amp;E865&amp;"'!"&amp;$AB$3),0)</f>
        <v>#VALUE!</v>
      </c>
      <c r="Q865" s="34" t="e" cm="1">
        <f t="array" aca="1" ref="Q865" ca="1">IF(AND(G865=INDIRECT("'["&amp;G865&amp;"]"&amp;E865&amp;"'!"&amp;$AH$2),OR(VALUE(I865)=INDIRECT("'["&amp;G865&amp;"]"&amp;E865&amp;"'!"&amp;$AC$2))),INDIRECT("'["&amp;G865&amp;"]"&amp;E865&amp;"'!"&amp;$AC$3),0)</f>
        <v>#VALUE!</v>
      </c>
      <c r="R865" s="34" t="e" cm="1">
        <f t="array" aca="1" ref="R865" ca="1">IF(AND(G865=INDIRECT("'["&amp;G865&amp;"]"&amp;E865&amp;"'!"&amp;$AH$2),OR(I865=INDIRECT("'["&amp;G865&amp;"]"&amp;E865&amp;"'!"&amp;$AD$2))),INDIRECT("'["&amp;G865&amp;"]"&amp;E865&amp;"'!"&amp;$AD$3),0)</f>
        <v>#VALUE!</v>
      </c>
      <c r="S865" s="34" t="e" cm="1">
        <f t="array" aca="1" ref="S865" ca="1">IF(AND(G865=INDIRECT("'["&amp;G865&amp;"]"&amp;E865&amp;"'!"&amp;$AH$2),OR(I865=INDIRECT("'["&amp;G865&amp;"]"&amp;E865&amp;"'!"&amp;$AE$2))),INDIRECT("'["&amp;G865&amp;"]"&amp;E865&amp;"'!"&amp;$AE$3),0)</f>
        <v>#VALUE!</v>
      </c>
      <c r="T865" s="35" t="e" cm="1">
        <f t="array" aca="1" ref="T865" ca="1">IF(AND(G865=INDIRECT("'["&amp;G865&amp;"]"&amp;E865&amp;"'!"&amp;$AH$2),OR(I865=INDIRECT("'["&amp;G865&amp;"]"&amp;E865&amp;"'!"&amp;$AF$2))),INDIRECT("'["&amp;G865&amp;"]"&amp;E865&amp;"'!"&amp;$AF$3),0)</f>
        <v>#VALUE!</v>
      </c>
      <c r="U865" s="34" t="e" cm="1">
        <f t="array" aca="1" ref="U865" ca="1">IF(AND(G865=INDIRECT("'["&amp;G865&amp;"]"&amp;E865&amp;"'!"&amp;$AH$2),OR(I865=INDIRECT("'["&amp;G865&amp;"]"&amp;E865&amp;"'!"&amp;$AG$2))),INDIRECT("'["&amp;G865&amp;"]"&amp;E865&amp;"'!"&amp;$AG$3),0)</f>
        <v>#VALUE!</v>
      </c>
      <c r="V865" s="25" t="str">
        <f t="shared" si="227"/>
        <v/>
      </c>
      <c r="W865" s="36" t="e" cm="1">
        <f t="array" aca="1" ref="W865" ca="1">IF(AND(G865=INDIRECT("'["&amp;G865&amp;"]"&amp;E865&amp;"'!"&amp;$AH$2),OR(V865=INDIRECT("'["&amp;G865&amp;"]"&amp;E865&amp;"'!"&amp;$AI$2))),INDIRECT("'["&amp;G865&amp;"]"&amp;E865&amp;"'!"&amp;$AI$3),0)</f>
        <v>#VALUE!</v>
      </c>
      <c r="AJ865" s="25">
        <v>1</v>
      </c>
      <c r="AK865" s="38">
        <f t="shared" ca="1" si="228"/>
        <v>0</v>
      </c>
      <c r="AL865" s="38">
        <f t="shared" ca="1" si="229"/>
        <v>0</v>
      </c>
      <c r="AM865" s="54" t="str">
        <f t="shared" ca="1" si="230"/>
        <v/>
      </c>
      <c r="AN865" s="25" t="e">
        <f t="shared" ca="1" si="231"/>
        <v>#VALUE!</v>
      </c>
      <c r="AO865" s="25" t="e">
        <f t="shared" ca="1" si="232"/>
        <v>#VALUE!</v>
      </c>
      <c r="AQ865" s="46" t="str">
        <f ca="1">IF(AND(C865&lt;&gt;0, C866=0), SUM($C$2:C865)-SUM($AQ$1:AQ864), "")</f>
        <v/>
      </c>
      <c r="AR865" s="46" t="str">
        <f ca="1">IF(AND(AK865&lt;&gt;0, AK866=0), SUM($AK$2:AK865)-SUM($AR$1:AR864), "")</f>
        <v/>
      </c>
    </row>
    <row r="866" spans="2:44" ht="13.15" customHeight="1">
      <c r="B866" s="68" t="str">
        <f t="shared" si="218"/>
        <v/>
      </c>
      <c r="C866" s="55" cm="1">
        <f t="array" aca="1" ref="C866" ca="1">SUM(IF(ISNUMBER(M866:U866),M866:U866,""))</f>
        <v>0</v>
      </c>
      <c r="D866" s="25" t="str">
        <f t="shared" si="219"/>
        <v/>
      </c>
      <c r="E866" s="25" t="e">
        <f t="shared" si="220"/>
        <v>#VALUE!</v>
      </c>
      <c r="F866" s="25" t="str">
        <f t="shared" si="221"/>
        <v/>
      </c>
      <c r="G866" s="25" t="str">
        <f t="shared" si="222"/>
        <v>.xlsx</v>
      </c>
      <c r="H866" s="29" t="e" cm="1">
        <f t="array" aca="1" ref="H866" ca="1">IF(AND(VALUE(E866)=INDIRECT("'["&amp;G866&amp;"]"&amp;E866&amp;"'!"&amp;$X$2),G866=INDIRECT("'["&amp;G866&amp;"]"&amp;E866&amp;"'!"&amp;$X$3)),INDIRECT("'["&amp;G866&amp;"]"&amp;E866&amp;"'!"&amp;$X$1),0)</f>
        <v>#VALUE!</v>
      </c>
      <c r="I866" s="25" t="str">
        <f t="shared" si="223"/>
        <v/>
      </c>
      <c r="J866" s="32" t="str">
        <f t="shared" si="224"/>
        <v/>
      </c>
      <c r="K866" s="25" t="str">
        <f t="shared" si="225"/>
        <v/>
      </c>
      <c r="L866" s="25" t="str">
        <f t="shared" si="226"/>
        <v/>
      </c>
      <c r="M866" s="33" t="e" cm="1">
        <f t="array" aca="1" ref="M866" ca="1">IF(AND(J866=INDIRECT("'["&amp;G866&amp;"]"&amp;E866&amp;"'!"&amp;$Y$2),G866=INDIRECT("'["&amp;G866&amp;"]"&amp;E866&amp;"'!"&amp;$AH$2)),INDIRECT("'["&amp;G866&amp;"]"&amp;E866&amp;"'!"&amp;$Y$3),0)</f>
        <v>#VALUE!</v>
      </c>
      <c r="N866" s="34" t="e" cm="1">
        <f t="array" aca="1" ref="N866" ca="1">IF(AND(G866=INDIRECT("'["&amp;G866&amp;"]"&amp;E866&amp;"'!"&amp;$AH$2),OR(K866=INDIRECT("'["&amp;G866&amp;"]"&amp;E866&amp;"'!"&amp;$Z$2))),INDIRECT("'["&amp;G866&amp;"]"&amp;E866&amp;"'!"&amp;$Z$3),0)</f>
        <v>#VALUE!</v>
      </c>
      <c r="O866" s="34" t="e" cm="1">
        <f t="array" aca="1" ref="O866" ca="1">IF(AND(G866=INDIRECT("'["&amp;G866&amp;"]"&amp;E866&amp;"'!"&amp;$AH$2),OR(L866=INDIRECT("'["&amp;G866&amp;"]"&amp;E866&amp;"'!"&amp;$AA$2))),INDIRECT("'["&amp;G866&amp;"]"&amp;E866&amp;"'!"&amp;$AA$3),0)</f>
        <v>#VALUE!</v>
      </c>
      <c r="P866" s="34" t="e" cm="1">
        <f t="array" aca="1" ref="P866" ca="1">IF(AND(G866=INDIRECT("'["&amp;G866&amp;"]"&amp;E866&amp;"'!"&amp;$AH$2),OR(VALUE(I866)=INDIRECT("'["&amp;G866&amp;"]"&amp;E866&amp;"'!"&amp;$AB$2))),INDIRECT("'["&amp;G866&amp;"]"&amp;E866&amp;"'!"&amp;$AB$3),0)</f>
        <v>#VALUE!</v>
      </c>
      <c r="Q866" s="34" t="e" cm="1">
        <f t="array" aca="1" ref="Q866" ca="1">IF(AND(G866=INDIRECT("'["&amp;G866&amp;"]"&amp;E866&amp;"'!"&amp;$AH$2),OR(VALUE(I866)=INDIRECT("'["&amp;G866&amp;"]"&amp;E866&amp;"'!"&amp;$AC$2))),INDIRECT("'["&amp;G866&amp;"]"&amp;E866&amp;"'!"&amp;$AC$3),0)</f>
        <v>#VALUE!</v>
      </c>
      <c r="R866" s="34" t="e" cm="1">
        <f t="array" aca="1" ref="R866" ca="1">IF(AND(G866=INDIRECT("'["&amp;G866&amp;"]"&amp;E866&amp;"'!"&amp;$AH$2),OR(I866=INDIRECT("'["&amp;G866&amp;"]"&amp;E866&amp;"'!"&amp;$AD$2))),INDIRECT("'["&amp;G866&amp;"]"&amp;E866&amp;"'!"&amp;$AD$3),0)</f>
        <v>#VALUE!</v>
      </c>
      <c r="S866" s="34" t="e" cm="1">
        <f t="array" aca="1" ref="S866" ca="1">IF(AND(G866=INDIRECT("'["&amp;G866&amp;"]"&amp;E866&amp;"'!"&amp;$AH$2),OR(I866=INDIRECT("'["&amp;G866&amp;"]"&amp;E866&amp;"'!"&amp;$AE$2))),INDIRECT("'["&amp;G866&amp;"]"&amp;E866&amp;"'!"&amp;$AE$3),0)</f>
        <v>#VALUE!</v>
      </c>
      <c r="T866" s="35" t="e" cm="1">
        <f t="array" aca="1" ref="T866" ca="1">IF(AND(G866=INDIRECT("'["&amp;G866&amp;"]"&amp;E866&amp;"'!"&amp;$AH$2),OR(I866=INDIRECT("'["&amp;G866&amp;"]"&amp;E866&amp;"'!"&amp;$AF$2))),INDIRECT("'["&amp;G866&amp;"]"&amp;E866&amp;"'!"&amp;$AF$3),0)</f>
        <v>#VALUE!</v>
      </c>
      <c r="U866" s="34" t="e" cm="1">
        <f t="array" aca="1" ref="U866" ca="1">IF(AND(G866=INDIRECT("'["&amp;G866&amp;"]"&amp;E866&amp;"'!"&amp;$AH$2),OR(I866=INDIRECT("'["&amp;G866&amp;"]"&amp;E866&amp;"'!"&amp;$AG$2))),INDIRECT("'["&amp;G866&amp;"]"&amp;E866&amp;"'!"&amp;$AG$3),0)</f>
        <v>#VALUE!</v>
      </c>
      <c r="V866" s="25" t="str">
        <f t="shared" si="227"/>
        <v/>
      </c>
      <c r="W866" s="36" t="e" cm="1">
        <f t="array" aca="1" ref="W866" ca="1">IF(AND(G866=INDIRECT("'["&amp;G866&amp;"]"&amp;E866&amp;"'!"&amp;$AH$2),OR(V866=INDIRECT("'["&amp;G866&amp;"]"&amp;E866&amp;"'!"&amp;$AI$2))),INDIRECT("'["&amp;G866&amp;"]"&amp;E866&amp;"'!"&amp;$AI$3),0)</f>
        <v>#VALUE!</v>
      </c>
      <c r="AJ866" s="25">
        <v>1</v>
      </c>
      <c r="AK866" s="38">
        <f t="shared" ca="1" si="228"/>
        <v>0</v>
      </c>
      <c r="AL866" s="38">
        <f t="shared" ca="1" si="229"/>
        <v>0</v>
      </c>
      <c r="AM866" s="54" t="str">
        <f t="shared" ca="1" si="230"/>
        <v/>
      </c>
      <c r="AN866" s="25" t="e">
        <f t="shared" ca="1" si="231"/>
        <v>#VALUE!</v>
      </c>
      <c r="AO866" s="25" t="e">
        <f t="shared" ca="1" si="232"/>
        <v>#VALUE!</v>
      </c>
      <c r="AQ866" s="46" t="str">
        <f ca="1">IF(AND(C866&lt;&gt;0, C867=0), SUM($C$2:C866)-SUM($AQ$1:AQ865), "")</f>
        <v/>
      </c>
      <c r="AR866" s="46" t="str">
        <f ca="1">IF(AND(AK866&lt;&gt;0, AK867=0), SUM($AK$2:AK866)-SUM($AR$1:AR865), "")</f>
        <v/>
      </c>
    </row>
    <row r="867" spans="2:44" ht="13.15" customHeight="1">
      <c r="B867" s="68" t="str">
        <f t="shared" si="218"/>
        <v/>
      </c>
      <c r="C867" s="55" cm="1">
        <f t="array" aca="1" ref="C867" ca="1">SUM(IF(ISNUMBER(M867:U867),M867:U867,""))</f>
        <v>0</v>
      </c>
      <c r="D867" s="25" t="str">
        <f t="shared" si="219"/>
        <v/>
      </c>
      <c r="E867" s="25" t="e">
        <f t="shared" si="220"/>
        <v>#VALUE!</v>
      </c>
      <c r="F867" s="25" t="str">
        <f t="shared" si="221"/>
        <v/>
      </c>
      <c r="G867" s="25" t="str">
        <f t="shared" si="222"/>
        <v>.xlsx</v>
      </c>
      <c r="H867" s="29" t="e" cm="1">
        <f t="array" aca="1" ref="H867" ca="1">IF(AND(VALUE(E867)=INDIRECT("'["&amp;G867&amp;"]"&amp;E867&amp;"'!"&amp;$X$2),G867=INDIRECT("'["&amp;G867&amp;"]"&amp;E867&amp;"'!"&amp;$X$3)),INDIRECT("'["&amp;G867&amp;"]"&amp;E867&amp;"'!"&amp;$X$1),0)</f>
        <v>#VALUE!</v>
      </c>
      <c r="I867" s="25" t="str">
        <f t="shared" si="223"/>
        <v/>
      </c>
      <c r="J867" s="32" t="str">
        <f t="shared" si="224"/>
        <v/>
      </c>
      <c r="K867" s="25" t="str">
        <f t="shared" si="225"/>
        <v/>
      </c>
      <c r="L867" s="25" t="str">
        <f t="shared" si="226"/>
        <v/>
      </c>
      <c r="M867" s="33" t="e" cm="1">
        <f t="array" aca="1" ref="M867" ca="1">IF(AND(J867=INDIRECT("'["&amp;G867&amp;"]"&amp;E867&amp;"'!"&amp;$Y$2),G867=INDIRECT("'["&amp;G867&amp;"]"&amp;E867&amp;"'!"&amp;$AH$2)),INDIRECT("'["&amp;G867&amp;"]"&amp;E867&amp;"'!"&amp;$Y$3),0)</f>
        <v>#VALUE!</v>
      </c>
      <c r="N867" s="34" t="e" cm="1">
        <f t="array" aca="1" ref="N867" ca="1">IF(AND(G867=INDIRECT("'["&amp;G867&amp;"]"&amp;E867&amp;"'!"&amp;$AH$2),OR(K867=INDIRECT("'["&amp;G867&amp;"]"&amp;E867&amp;"'!"&amp;$Z$2))),INDIRECT("'["&amp;G867&amp;"]"&amp;E867&amp;"'!"&amp;$Z$3),0)</f>
        <v>#VALUE!</v>
      </c>
      <c r="O867" s="34" t="e" cm="1">
        <f t="array" aca="1" ref="O867" ca="1">IF(AND(G867=INDIRECT("'["&amp;G867&amp;"]"&amp;E867&amp;"'!"&amp;$AH$2),OR(L867=INDIRECT("'["&amp;G867&amp;"]"&amp;E867&amp;"'!"&amp;$AA$2))),INDIRECT("'["&amp;G867&amp;"]"&amp;E867&amp;"'!"&amp;$AA$3),0)</f>
        <v>#VALUE!</v>
      </c>
      <c r="P867" s="34" t="e" cm="1">
        <f t="array" aca="1" ref="P867" ca="1">IF(AND(G867=INDIRECT("'["&amp;G867&amp;"]"&amp;E867&amp;"'!"&amp;$AH$2),OR(VALUE(I867)=INDIRECT("'["&amp;G867&amp;"]"&amp;E867&amp;"'!"&amp;$AB$2))),INDIRECT("'["&amp;G867&amp;"]"&amp;E867&amp;"'!"&amp;$AB$3),0)</f>
        <v>#VALUE!</v>
      </c>
      <c r="Q867" s="34" t="e" cm="1">
        <f t="array" aca="1" ref="Q867" ca="1">IF(AND(G867=INDIRECT("'["&amp;G867&amp;"]"&amp;E867&amp;"'!"&amp;$AH$2),OR(VALUE(I867)=INDIRECT("'["&amp;G867&amp;"]"&amp;E867&amp;"'!"&amp;$AC$2))),INDIRECT("'["&amp;G867&amp;"]"&amp;E867&amp;"'!"&amp;$AC$3),0)</f>
        <v>#VALUE!</v>
      </c>
      <c r="R867" s="34" t="e" cm="1">
        <f t="array" aca="1" ref="R867" ca="1">IF(AND(G867=INDIRECT("'["&amp;G867&amp;"]"&amp;E867&amp;"'!"&amp;$AH$2),OR(I867=INDIRECT("'["&amp;G867&amp;"]"&amp;E867&amp;"'!"&amp;$AD$2))),INDIRECT("'["&amp;G867&amp;"]"&amp;E867&amp;"'!"&amp;$AD$3),0)</f>
        <v>#VALUE!</v>
      </c>
      <c r="S867" s="34" t="e" cm="1">
        <f t="array" aca="1" ref="S867" ca="1">IF(AND(G867=INDIRECT("'["&amp;G867&amp;"]"&amp;E867&amp;"'!"&amp;$AH$2),OR(I867=INDIRECT("'["&amp;G867&amp;"]"&amp;E867&amp;"'!"&amp;$AE$2))),INDIRECT("'["&amp;G867&amp;"]"&amp;E867&amp;"'!"&amp;$AE$3),0)</f>
        <v>#VALUE!</v>
      </c>
      <c r="T867" s="35" t="e" cm="1">
        <f t="array" aca="1" ref="T867" ca="1">IF(AND(G867=INDIRECT("'["&amp;G867&amp;"]"&amp;E867&amp;"'!"&amp;$AH$2),OR(I867=INDIRECT("'["&amp;G867&amp;"]"&amp;E867&amp;"'!"&amp;$AF$2))),INDIRECT("'["&amp;G867&amp;"]"&amp;E867&amp;"'!"&amp;$AF$3),0)</f>
        <v>#VALUE!</v>
      </c>
      <c r="U867" s="34" t="e" cm="1">
        <f t="array" aca="1" ref="U867" ca="1">IF(AND(G867=INDIRECT("'["&amp;G867&amp;"]"&amp;E867&amp;"'!"&amp;$AH$2),OR(I867=INDIRECT("'["&amp;G867&amp;"]"&amp;E867&amp;"'!"&amp;$AG$2))),INDIRECT("'["&amp;G867&amp;"]"&amp;E867&amp;"'!"&amp;$AG$3),0)</f>
        <v>#VALUE!</v>
      </c>
      <c r="V867" s="25" t="str">
        <f t="shared" si="227"/>
        <v/>
      </c>
      <c r="W867" s="36" t="e" cm="1">
        <f t="array" aca="1" ref="W867" ca="1">IF(AND(G867=INDIRECT("'["&amp;G867&amp;"]"&amp;E867&amp;"'!"&amp;$AH$2),OR(V867=INDIRECT("'["&amp;G867&amp;"]"&amp;E867&amp;"'!"&amp;$AI$2))),INDIRECT("'["&amp;G867&amp;"]"&amp;E867&amp;"'!"&amp;$AI$3),0)</f>
        <v>#VALUE!</v>
      </c>
      <c r="AJ867" s="25">
        <v>1</v>
      </c>
      <c r="AK867" s="38">
        <f t="shared" ca="1" si="228"/>
        <v>0</v>
      </c>
      <c r="AL867" s="38">
        <f t="shared" ca="1" si="229"/>
        <v>0</v>
      </c>
      <c r="AM867" s="54" t="str">
        <f t="shared" ca="1" si="230"/>
        <v/>
      </c>
      <c r="AN867" s="25" t="e">
        <f t="shared" ca="1" si="231"/>
        <v>#VALUE!</v>
      </c>
      <c r="AO867" s="25" t="e">
        <f t="shared" ca="1" si="232"/>
        <v>#VALUE!</v>
      </c>
      <c r="AQ867" s="46" t="str">
        <f ca="1">IF(AND(C867&lt;&gt;0, C868=0), SUM($C$2:C867)-SUM($AQ$1:AQ866), "")</f>
        <v/>
      </c>
      <c r="AR867" s="46" t="str">
        <f ca="1">IF(AND(AK867&lt;&gt;0, AK868=0), SUM($AK$2:AK867)-SUM($AR$1:AR866), "")</f>
        <v/>
      </c>
    </row>
    <row r="868" spans="2:44" ht="13.15" customHeight="1">
      <c r="B868" s="68" t="str">
        <f t="shared" si="218"/>
        <v/>
      </c>
      <c r="C868" s="55" cm="1">
        <f t="array" aca="1" ref="C868" ca="1">SUM(IF(ISNUMBER(M868:U868),M868:U868,""))</f>
        <v>0</v>
      </c>
      <c r="D868" s="25" t="str">
        <f t="shared" si="219"/>
        <v/>
      </c>
      <c r="E868" s="25" t="e">
        <f t="shared" si="220"/>
        <v>#VALUE!</v>
      </c>
      <c r="F868" s="25" t="str">
        <f t="shared" si="221"/>
        <v/>
      </c>
      <c r="G868" s="25" t="str">
        <f t="shared" si="222"/>
        <v>.xlsx</v>
      </c>
      <c r="H868" s="29" t="e" cm="1">
        <f t="array" aca="1" ref="H868" ca="1">IF(AND(VALUE(E868)=INDIRECT("'["&amp;G868&amp;"]"&amp;E868&amp;"'!"&amp;$X$2),G868=INDIRECT("'["&amp;G868&amp;"]"&amp;E868&amp;"'!"&amp;$X$3)),INDIRECT("'["&amp;G868&amp;"]"&amp;E868&amp;"'!"&amp;$X$1),0)</f>
        <v>#VALUE!</v>
      </c>
      <c r="I868" s="25" t="str">
        <f t="shared" si="223"/>
        <v/>
      </c>
      <c r="J868" s="32" t="str">
        <f t="shared" si="224"/>
        <v/>
      </c>
      <c r="K868" s="25" t="str">
        <f t="shared" si="225"/>
        <v/>
      </c>
      <c r="L868" s="25" t="str">
        <f t="shared" si="226"/>
        <v/>
      </c>
      <c r="M868" s="33" t="e" cm="1">
        <f t="array" aca="1" ref="M868" ca="1">IF(AND(J868=INDIRECT("'["&amp;G868&amp;"]"&amp;E868&amp;"'!"&amp;$Y$2),G868=INDIRECT("'["&amp;G868&amp;"]"&amp;E868&amp;"'!"&amp;$AH$2)),INDIRECT("'["&amp;G868&amp;"]"&amp;E868&amp;"'!"&amp;$Y$3),0)</f>
        <v>#VALUE!</v>
      </c>
      <c r="N868" s="34" t="e" cm="1">
        <f t="array" aca="1" ref="N868" ca="1">IF(AND(G868=INDIRECT("'["&amp;G868&amp;"]"&amp;E868&amp;"'!"&amp;$AH$2),OR(K868=INDIRECT("'["&amp;G868&amp;"]"&amp;E868&amp;"'!"&amp;$Z$2))),INDIRECT("'["&amp;G868&amp;"]"&amp;E868&amp;"'!"&amp;$Z$3),0)</f>
        <v>#VALUE!</v>
      </c>
      <c r="O868" s="34" t="e" cm="1">
        <f t="array" aca="1" ref="O868" ca="1">IF(AND(G868=INDIRECT("'["&amp;G868&amp;"]"&amp;E868&amp;"'!"&amp;$AH$2),OR(L868=INDIRECT("'["&amp;G868&amp;"]"&amp;E868&amp;"'!"&amp;$AA$2))),INDIRECT("'["&amp;G868&amp;"]"&amp;E868&amp;"'!"&amp;$AA$3),0)</f>
        <v>#VALUE!</v>
      </c>
      <c r="P868" s="34" t="e" cm="1">
        <f t="array" aca="1" ref="P868" ca="1">IF(AND(G868=INDIRECT("'["&amp;G868&amp;"]"&amp;E868&amp;"'!"&amp;$AH$2),OR(VALUE(I868)=INDIRECT("'["&amp;G868&amp;"]"&amp;E868&amp;"'!"&amp;$AB$2))),INDIRECT("'["&amp;G868&amp;"]"&amp;E868&amp;"'!"&amp;$AB$3),0)</f>
        <v>#VALUE!</v>
      </c>
      <c r="Q868" s="34" t="e" cm="1">
        <f t="array" aca="1" ref="Q868" ca="1">IF(AND(G868=INDIRECT("'["&amp;G868&amp;"]"&amp;E868&amp;"'!"&amp;$AH$2),OR(VALUE(I868)=INDIRECT("'["&amp;G868&amp;"]"&amp;E868&amp;"'!"&amp;$AC$2))),INDIRECT("'["&amp;G868&amp;"]"&amp;E868&amp;"'!"&amp;$AC$3),0)</f>
        <v>#VALUE!</v>
      </c>
      <c r="R868" s="34" t="e" cm="1">
        <f t="array" aca="1" ref="R868" ca="1">IF(AND(G868=INDIRECT("'["&amp;G868&amp;"]"&amp;E868&amp;"'!"&amp;$AH$2),OR(I868=INDIRECT("'["&amp;G868&amp;"]"&amp;E868&amp;"'!"&amp;$AD$2))),INDIRECT("'["&amp;G868&amp;"]"&amp;E868&amp;"'!"&amp;$AD$3),0)</f>
        <v>#VALUE!</v>
      </c>
      <c r="S868" s="34" t="e" cm="1">
        <f t="array" aca="1" ref="S868" ca="1">IF(AND(G868=INDIRECT("'["&amp;G868&amp;"]"&amp;E868&amp;"'!"&amp;$AH$2),OR(I868=INDIRECT("'["&amp;G868&amp;"]"&amp;E868&amp;"'!"&amp;$AE$2))),INDIRECT("'["&amp;G868&amp;"]"&amp;E868&amp;"'!"&amp;$AE$3),0)</f>
        <v>#VALUE!</v>
      </c>
      <c r="T868" s="35" t="e" cm="1">
        <f t="array" aca="1" ref="T868" ca="1">IF(AND(G868=INDIRECT("'["&amp;G868&amp;"]"&amp;E868&amp;"'!"&amp;$AH$2),OR(I868=INDIRECT("'["&amp;G868&amp;"]"&amp;E868&amp;"'!"&amp;$AF$2))),INDIRECT("'["&amp;G868&amp;"]"&amp;E868&amp;"'!"&amp;$AF$3),0)</f>
        <v>#VALUE!</v>
      </c>
      <c r="U868" s="34" t="e" cm="1">
        <f t="array" aca="1" ref="U868" ca="1">IF(AND(G868=INDIRECT("'["&amp;G868&amp;"]"&amp;E868&amp;"'!"&amp;$AH$2),OR(I868=INDIRECT("'["&amp;G868&amp;"]"&amp;E868&amp;"'!"&amp;$AG$2))),INDIRECT("'["&amp;G868&amp;"]"&amp;E868&amp;"'!"&amp;$AG$3),0)</f>
        <v>#VALUE!</v>
      </c>
      <c r="V868" s="25" t="str">
        <f t="shared" si="227"/>
        <v/>
      </c>
      <c r="W868" s="36" t="e" cm="1">
        <f t="array" aca="1" ref="W868" ca="1">IF(AND(G868=INDIRECT("'["&amp;G868&amp;"]"&amp;E868&amp;"'!"&amp;$AH$2),OR(V868=INDIRECT("'["&amp;G868&amp;"]"&amp;E868&amp;"'!"&amp;$AI$2))),INDIRECT("'["&amp;G868&amp;"]"&amp;E868&amp;"'!"&amp;$AI$3),0)</f>
        <v>#VALUE!</v>
      </c>
      <c r="AJ868" s="25">
        <v>1</v>
      </c>
      <c r="AK868" s="38">
        <f t="shared" ca="1" si="228"/>
        <v>0</v>
      </c>
      <c r="AL868" s="38">
        <f t="shared" ca="1" si="229"/>
        <v>0</v>
      </c>
      <c r="AM868" s="54" t="str">
        <f t="shared" ca="1" si="230"/>
        <v/>
      </c>
      <c r="AN868" s="25" t="e">
        <f t="shared" ca="1" si="231"/>
        <v>#VALUE!</v>
      </c>
      <c r="AO868" s="25" t="e">
        <f t="shared" ca="1" si="232"/>
        <v>#VALUE!</v>
      </c>
      <c r="AQ868" s="46" t="str">
        <f ca="1">IF(AND(C868&lt;&gt;0, C869=0), SUM($C$2:C868)-SUM($AQ$1:AQ867), "")</f>
        <v/>
      </c>
      <c r="AR868" s="46" t="str">
        <f ca="1">IF(AND(AK868&lt;&gt;0, AK869=0), SUM($AK$2:AK868)-SUM($AR$1:AR867), "")</f>
        <v/>
      </c>
    </row>
    <row r="869" spans="2:44" ht="13.15" customHeight="1">
      <c r="B869" s="68" t="str">
        <f t="shared" si="218"/>
        <v/>
      </c>
      <c r="C869" s="55" cm="1">
        <f t="array" aca="1" ref="C869" ca="1">SUM(IF(ISNUMBER(M869:U869),M869:U869,""))</f>
        <v>0</v>
      </c>
      <c r="D869" s="25" t="str">
        <f t="shared" si="219"/>
        <v/>
      </c>
      <c r="E869" s="25" t="e">
        <f t="shared" si="220"/>
        <v>#VALUE!</v>
      </c>
      <c r="F869" s="25" t="str">
        <f t="shared" si="221"/>
        <v/>
      </c>
      <c r="G869" s="25" t="str">
        <f t="shared" si="222"/>
        <v>.xlsx</v>
      </c>
      <c r="H869" s="29" t="e" cm="1">
        <f t="array" aca="1" ref="H869" ca="1">IF(AND(VALUE(E869)=INDIRECT("'["&amp;G869&amp;"]"&amp;E869&amp;"'!"&amp;$X$2),G869=INDIRECT("'["&amp;G869&amp;"]"&amp;E869&amp;"'!"&amp;$X$3)),INDIRECT("'["&amp;G869&amp;"]"&amp;E869&amp;"'!"&amp;$X$1),0)</f>
        <v>#VALUE!</v>
      </c>
      <c r="I869" s="25" t="str">
        <f t="shared" si="223"/>
        <v/>
      </c>
      <c r="J869" s="32" t="str">
        <f t="shared" si="224"/>
        <v/>
      </c>
      <c r="K869" s="25" t="str">
        <f t="shared" si="225"/>
        <v/>
      </c>
      <c r="L869" s="25" t="str">
        <f t="shared" si="226"/>
        <v/>
      </c>
      <c r="M869" s="33" t="e" cm="1">
        <f t="array" aca="1" ref="M869" ca="1">IF(AND(J869=INDIRECT("'["&amp;G869&amp;"]"&amp;E869&amp;"'!"&amp;$Y$2),G869=INDIRECT("'["&amp;G869&amp;"]"&amp;E869&amp;"'!"&amp;$AH$2)),INDIRECT("'["&amp;G869&amp;"]"&amp;E869&amp;"'!"&amp;$Y$3),0)</f>
        <v>#VALUE!</v>
      </c>
      <c r="N869" s="34" t="e" cm="1">
        <f t="array" aca="1" ref="N869" ca="1">IF(AND(G869=INDIRECT("'["&amp;G869&amp;"]"&amp;E869&amp;"'!"&amp;$AH$2),OR(K869=INDIRECT("'["&amp;G869&amp;"]"&amp;E869&amp;"'!"&amp;$Z$2))),INDIRECT("'["&amp;G869&amp;"]"&amp;E869&amp;"'!"&amp;$Z$3),0)</f>
        <v>#VALUE!</v>
      </c>
      <c r="O869" s="34" t="e" cm="1">
        <f t="array" aca="1" ref="O869" ca="1">IF(AND(G869=INDIRECT("'["&amp;G869&amp;"]"&amp;E869&amp;"'!"&amp;$AH$2),OR(L869=INDIRECT("'["&amp;G869&amp;"]"&amp;E869&amp;"'!"&amp;$AA$2))),INDIRECT("'["&amp;G869&amp;"]"&amp;E869&amp;"'!"&amp;$AA$3),0)</f>
        <v>#VALUE!</v>
      </c>
      <c r="P869" s="34" t="e" cm="1">
        <f t="array" aca="1" ref="P869" ca="1">IF(AND(G869=INDIRECT("'["&amp;G869&amp;"]"&amp;E869&amp;"'!"&amp;$AH$2),OR(VALUE(I869)=INDIRECT("'["&amp;G869&amp;"]"&amp;E869&amp;"'!"&amp;$AB$2))),INDIRECT("'["&amp;G869&amp;"]"&amp;E869&amp;"'!"&amp;$AB$3),0)</f>
        <v>#VALUE!</v>
      </c>
      <c r="Q869" s="34" t="e" cm="1">
        <f t="array" aca="1" ref="Q869" ca="1">IF(AND(G869=INDIRECT("'["&amp;G869&amp;"]"&amp;E869&amp;"'!"&amp;$AH$2),OR(VALUE(I869)=INDIRECT("'["&amp;G869&amp;"]"&amp;E869&amp;"'!"&amp;$AC$2))),INDIRECT("'["&amp;G869&amp;"]"&amp;E869&amp;"'!"&amp;$AC$3),0)</f>
        <v>#VALUE!</v>
      </c>
      <c r="R869" s="34" t="e" cm="1">
        <f t="array" aca="1" ref="R869" ca="1">IF(AND(G869=INDIRECT("'["&amp;G869&amp;"]"&amp;E869&amp;"'!"&amp;$AH$2),OR(I869=INDIRECT("'["&amp;G869&amp;"]"&amp;E869&amp;"'!"&amp;$AD$2))),INDIRECT("'["&amp;G869&amp;"]"&amp;E869&amp;"'!"&amp;$AD$3),0)</f>
        <v>#VALUE!</v>
      </c>
      <c r="S869" s="34" t="e" cm="1">
        <f t="array" aca="1" ref="S869" ca="1">IF(AND(G869=INDIRECT("'["&amp;G869&amp;"]"&amp;E869&amp;"'!"&amp;$AH$2),OR(I869=INDIRECT("'["&amp;G869&amp;"]"&amp;E869&amp;"'!"&amp;$AE$2))),INDIRECT("'["&amp;G869&amp;"]"&amp;E869&amp;"'!"&amp;$AE$3),0)</f>
        <v>#VALUE!</v>
      </c>
      <c r="T869" s="35" t="e" cm="1">
        <f t="array" aca="1" ref="T869" ca="1">IF(AND(G869=INDIRECT("'["&amp;G869&amp;"]"&amp;E869&amp;"'!"&amp;$AH$2),OR(I869=INDIRECT("'["&amp;G869&amp;"]"&amp;E869&amp;"'!"&amp;$AF$2))),INDIRECT("'["&amp;G869&amp;"]"&amp;E869&amp;"'!"&amp;$AF$3),0)</f>
        <v>#VALUE!</v>
      </c>
      <c r="U869" s="34" t="e" cm="1">
        <f t="array" aca="1" ref="U869" ca="1">IF(AND(G869=INDIRECT("'["&amp;G869&amp;"]"&amp;E869&amp;"'!"&amp;$AH$2),OR(I869=INDIRECT("'["&amp;G869&amp;"]"&amp;E869&amp;"'!"&amp;$AG$2))),INDIRECT("'["&amp;G869&amp;"]"&amp;E869&amp;"'!"&amp;$AG$3),0)</f>
        <v>#VALUE!</v>
      </c>
      <c r="V869" s="25" t="str">
        <f t="shared" si="227"/>
        <v/>
      </c>
      <c r="W869" s="36" t="e" cm="1">
        <f t="array" aca="1" ref="W869" ca="1">IF(AND(G869=INDIRECT("'["&amp;G869&amp;"]"&amp;E869&amp;"'!"&amp;$AH$2),OR(V869=INDIRECT("'["&amp;G869&amp;"]"&amp;E869&amp;"'!"&amp;$AI$2))),INDIRECT("'["&amp;G869&amp;"]"&amp;E869&amp;"'!"&amp;$AI$3),0)</f>
        <v>#VALUE!</v>
      </c>
      <c r="AJ869" s="25">
        <v>1</v>
      </c>
      <c r="AK869" s="38">
        <f t="shared" ca="1" si="228"/>
        <v>0</v>
      </c>
      <c r="AL869" s="38">
        <f t="shared" ca="1" si="229"/>
        <v>0</v>
      </c>
      <c r="AM869" s="54" t="str">
        <f t="shared" ca="1" si="230"/>
        <v/>
      </c>
      <c r="AN869" s="25" t="e">
        <f t="shared" ca="1" si="231"/>
        <v>#VALUE!</v>
      </c>
      <c r="AO869" s="25" t="e">
        <f t="shared" ca="1" si="232"/>
        <v>#VALUE!</v>
      </c>
      <c r="AQ869" s="46" t="str">
        <f ca="1">IF(AND(C869&lt;&gt;0, C870=0), SUM($C$2:C869)-SUM($AQ$1:AQ868), "")</f>
        <v/>
      </c>
      <c r="AR869" s="46" t="str">
        <f ca="1">IF(AND(AK869&lt;&gt;0, AK870=0), SUM($AK$2:AK869)-SUM($AR$1:AR868), "")</f>
        <v/>
      </c>
    </row>
    <row r="870" spans="2:44" ht="13.15" customHeight="1">
      <c r="B870" s="68" t="str">
        <f t="shared" si="218"/>
        <v/>
      </c>
      <c r="C870" s="55" cm="1">
        <f t="array" aca="1" ref="C870" ca="1">SUM(IF(ISNUMBER(M870:U870),M870:U870,""))</f>
        <v>0</v>
      </c>
      <c r="D870" s="25" t="str">
        <f t="shared" si="219"/>
        <v/>
      </c>
      <c r="E870" s="25" t="e">
        <f t="shared" si="220"/>
        <v>#VALUE!</v>
      </c>
      <c r="F870" s="25" t="str">
        <f t="shared" si="221"/>
        <v/>
      </c>
      <c r="G870" s="25" t="str">
        <f t="shared" si="222"/>
        <v>.xlsx</v>
      </c>
      <c r="H870" s="29" t="e" cm="1">
        <f t="array" aca="1" ref="H870" ca="1">IF(AND(VALUE(E870)=INDIRECT("'["&amp;G870&amp;"]"&amp;E870&amp;"'!"&amp;$X$2),G870=INDIRECT("'["&amp;G870&amp;"]"&amp;E870&amp;"'!"&amp;$X$3)),INDIRECT("'["&amp;G870&amp;"]"&amp;E870&amp;"'!"&amp;$X$1),0)</f>
        <v>#VALUE!</v>
      </c>
      <c r="I870" s="25" t="str">
        <f t="shared" si="223"/>
        <v/>
      </c>
      <c r="J870" s="32" t="str">
        <f t="shared" si="224"/>
        <v/>
      </c>
      <c r="K870" s="25" t="str">
        <f t="shared" si="225"/>
        <v/>
      </c>
      <c r="L870" s="25" t="str">
        <f t="shared" si="226"/>
        <v/>
      </c>
      <c r="M870" s="33" t="e" cm="1">
        <f t="array" aca="1" ref="M870" ca="1">IF(AND(J870=INDIRECT("'["&amp;G870&amp;"]"&amp;E870&amp;"'!"&amp;$Y$2),G870=INDIRECT("'["&amp;G870&amp;"]"&amp;E870&amp;"'!"&amp;$AH$2)),INDIRECT("'["&amp;G870&amp;"]"&amp;E870&amp;"'!"&amp;$Y$3),0)</f>
        <v>#VALUE!</v>
      </c>
      <c r="N870" s="34" t="e" cm="1">
        <f t="array" aca="1" ref="N870" ca="1">IF(AND(G870=INDIRECT("'["&amp;G870&amp;"]"&amp;E870&amp;"'!"&amp;$AH$2),OR(K870=INDIRECT("'["&amp;G870&amp;"]"&amp;E870&amp;"'!"&amp;$Z$2))),INDIRECT("'["&amp;G870&amp;"]"&amp;E870&amp;"'!"&amp;$Z$3),0)</f>
        <v>#VALUE!</v>
      </c>
      <c r="O870" s="34" t="e" cm="1">
        <f t="array" aca="1" ref="O870" ca="1">IF(AND(G870=INDIRECT("'["&amp;G870&amp;"]"&amp;E870&amp;"'!"&amp;$AH$2),OR(L870=INDIRECT("'["&amp;G870&amp;"]"&amp;E870&amp;"'!"&amp;$AA$2))),INDIRECT("'["&amp;G870&amp;"]"&amp;E870&amp;"'!"&amp;$AA$3),0)</f>
        <v>#VALUE!</v>
      </c>
      <c r="P870" s="34" t="e" cm="1">
        <f t="array" aca="1" ref="P870" ca="1">IF(AND(G870=INDIRECT("'["&amp;G870&amp;"]"&amp;E870&amp;"'!"&amp;$AH$2),OR(VALUE(I870)=INDIRECT("'["&amp;G870&amp;"]"&amp;E870&amp;"'!"&amp;$AB$2))),INDIRECT("'["&amp;G870&amp;"]"&amp;E870&amp;"'!"&amp;$AB$3),0)</f>
        <v>#VALUE!</v>
      </c>
      <c r="Q870" s="34" t="e" cm="1">
        <f t="array" aca="1" ref="Q870" ca="1">IF(AND(G870=INDIRECT("'["&amp;G870&amp;"]"&amp;E870&amp;"'!"&amp;$AH$2),OR(VALUE(I870)=INDIRECT("'["&amp;G870&amp;"]"&amp;E870&amp;"'!"&amp;$AC$2))),INDIRECT("'["&amp;G870&amp;"]"&amp;E870&amp;"'!"&amp;$AC$3),0)</f>
        <v>#VALUE!</v>
      </c>
      <c r="R870" s="34" t="e" cm="1">
        <f t="array" aca="1" ref="R870" ca="1">IF(AND(G870=INDIRECT("'["&amp;G870&amp;"]"&amp;E870&amp;"'!"&amp;$AH$2),OR(I870=INDIRECT("'["&amp;G870&amp;"]"&amp;E870&amp;"'!"&amp;$AD$2))),INDIRECT("'["&amp;G870&amp;"]"&amp;E870&amp;"'!"&amp;$AD$3),0)</f>
        <v>#VALUE!</v>
      </c>
      <c r="S870" s="34" t="e" cm="1">
        <f t="array" aca="1" ref="S870" ca="1">IF(AND(G870=INDIRECT("'["&amp;G870&amp;"]"&amp;E870&amp;"'!"&amp;$AH$2),OR(I870=INDIRECT("'["&amp;G870&amp;"]"&amp;E870&amp;"'!"&amp;$AE$2))),INDIRECT("'["&amp;G870&amp;"]"&amp;E870&amp;"'!"&amp;$AE$3),0)</f>
        <v>#VALUE!</v>
      </c>
      <c r="T870" s="35" t="e" cm="1">
        <f t="array" aca="1" ref="T870" ca="1">IF(AND(G870=INDIRECT("'["&amp;G870&amp;"]"&amp;E870&amp;"'!"&amp;$AH$2),OR(I870=INDIRECT("'["&amp;G870&amp;"]"&amp;E870&amp;"'!"&amp;$AF$2))),INDIRECT("'["&amp;G870&amp;"]"&amp;E870&amp;"'!"&amp;$AF$3),0)</f>
        <v>#VALUE!</v>
      </c>
      <c r="U870" s="34" t="e" cm="1">
        <f t="array" aca="1" ref="U870" ca="1">IF(AND(G870=INDIRECT("'["&amp;G870&amp;"]"&amp;E870&amp;"'!"&amp;$AH$2),OR(I870=INDIRECT("'["&amp;G870&amp;"]"&amp;E870&amp;"'!"&amp;$AG$2))),INDIRECT("'["&amp;G870&amp;"]"&amp;E870&amp;"'!"&amp;$AG$3),0)</f>
        <v>#VALUE!</v>
      </c>
      <c r="V870" s="25" t="str">
        <f t="shared" si="227"/>
        <v/>
      </c>
      <c r="W870" s="36" t="e" cm="1">
        <f t="array" aca="1" ref="W870" ca="1">IF(AND(G870=INDIRECT("'["&amp;G870&amp;"]"&amp;E870&amp;"'!"&amp;$AH$2),OR(V870=INDIRECT("'["&amp;G870&amp;"]"&amp;E870&amp;"'!"&amp;$AI$2))),INDIRECT("'["&amp;G870&amp;"]"&amp;E870&amp;"'!"&amp;$AI$3),0)</f>
        <v>#VALUE!</v>
      </c>
      <c r="AJ870" s="25">
        <v>1</v>
      </c>
      <c r="AK870" s="38">
        <f t="shared" ca="1" si="228"/>
        <v>0</v>
      </c>
      <c r="AL870" s="38">
        <f t="shared" ca="1" si="229"/>
        <v>0</v>
      </c>
      <c r="AM870" s="54" t="str">
        <f t="shared" ca="1" si="230"/>
        <v/>
      </c>
      <c r="AN870" s="25" t="e">
        <f t="shared" ca="1" si="231"/>
        <v>#VALUE!</v>
      </c>
      <c r="AO870" s="25" t="e">
        <f t="shared" ca="1" si="232"/>
        <v>#VALUE!</v>
      </c>
      <c r="AQ870" s="46" t="str">
        <f ca="1">IF(AND(C870&lt;&gt;0, C871=0), SUM($C$2:C870)-SUM($AQ$1:AQ869), "")</f>
        <v/>
      </c>
      <c r="AR870" s="46" t="str">
        <f ca="1">IF(AND(AK870&lt;&gt;0, AK871=0), SUM($AK$2:AK870)-SUM($AR$1:AR869), "")</f>
        <v/>
      </c>
    </row>
    <row r="871" spans="2:44" ht="13.15" customHeight="1">
      <c r="B871" s="68" t="str">
        <f t="shared" si="218"/>
        <v/>
      </c>
      <c r="C871" s="55" cm="1">
        <f t="array" aca="1" ref="C871" ca="1">SUM(IF(ISNUMBER(M871:U871),M871:U871,""))</f>
        <v>0</v>
      </c>
      <c r="D871" s="25" t="str">
        <f t="shared" si="219"/>
        <v/>
      </c>
      <c r="E871" s="25" t="e">
        <f t="shared" si="220"/>
        <v>#VALUE!</v>
      </c>
      <c r="F871" s="25" t="str">
        <f t="shared" si="221"/>
        <v/>
      </c>
      <c r="G871" s="25" t="str">
        <f t="shared" si="222"/>
        <v>.xlsx</v>
      </c>
      <c r="H871" s="29" t="e" cm="1">
        <f t="array" aca="1" ref="H871" ca="1">IF(AND(VALUE(E871)=INDIRECT("'["&amp;G871&amp;"]"&amp;E871&amp;"'!"&amp;$X$2),G871=INDIRECT("'["&amp;G871&amp;"]"&amp;E871&amp;"'!"&amp;$X$3)),INDIRECT("'["&amp;G871&amp;"]"&amp;E871&amp;"'!"&amp;$X$1),0)</f>
        <v>#VALUE!</v>
      </c>
      <c r="I871" s="25" t="str">
        <f t="shared" si="223"/>
        <v/>
      </c>
      <c r="J871" s="32" t="str">
        <f t="shared" si="224"/>
        <v/>
      </c>
      <c r="K871" s="25" t="str">
        <f t="shared" si="225"/>
        <v/>
      </c>
      <c r="L871" s="25" t="str">
        <f t="shared" si="226"/>
        <v/>
      </c>
      <c r="M871" s="33" t="e" cm="1">
        <f t="array" aca="1" ref="M871" ca="1">IF(AND(J871=INDIRECT("'["&amp;G871&amp;"]"&amp;E871&amp;"'!"&amp;$Y$2),G871=INDIRECT("'["&amp;G871&amp;"]"&amp;E871&amp;"'!"&amp;$AH$2)),INDIRECT("'["&amp;G871&amp;"]"&amp;E871&amp;"'!"&amp;$Y$3),0)</f>
        <v>#VALUE!</v>
      </c>
      <c r="N871" s="34" t="e" cm="1">
        <f t="array" aca="1" ref="N871" ca="1">IF(AND(G871=INDIRECT("'["&amp;G871&amp;"]"&amp;E871&amp;"'!"&amp;$AH$2),OR(K871=INDIRECT("'["&amp;G871&amp;"]"&amp;E871&amp;"'!"&amp;$Z$2))),INDIRECT("'["&amp;G871&amp;"]"&amp;E871&amp;"'!"&amp;$Z$3),0)</f>
        <v>#VALUE!</v>
      </c>
      <c r="O871" s="34" t="e" cm="1">
        <f t="array" aca="1" ref="O871" ca="1">IF(AND(G871=INDIRECT("'["&amp;G871&amp;"]"&amp;E871&amp;"'!"&amp;$AH$2),OR(L871=INDIRECT("'["&amp;G871&amp;"]"&amp;E871&amp;"'!"&amp;$AA$2))),INDIRECT("'["&amp;G871&amp;"]"&amp;E871&amp;"'!"&amp;$AA$3),0)</f>
        <v>#VALUE!</v>
      </c>
      <c r="P871" s="34" t="e" cm="1">
        <f t="array" aca="1" ref="P871" ca="1">IF(AND(G871=INDIRECT("'["&amp;G871&amp;"]"&amp;E871&amp;"'!"&amp;$AH$2),OR(VALUE(I871)=INDIRECT("'["&amp;G871&amp;"]"&amp;E871&amp;"'!"&amp;$AB$2))),INDIRECT("'["&amp;G871&amp;"]"&amp;E871&amp;"'!"&amp;$AB$3),0)</f>
        <v>#VALUE!</v>
      </c>
      <c r="Q871" s="34" t="e" cm="1">
        <f t="array" aca="1" ref="Q871" ca="1">IF(AND(G871=INDIRECT("'["&amp;G871&amp;"]"&amp;E871&amp;"'!"&amp;$AH$2),OR(VALUE(I871)=INDIRECT("'["&amp;G871&amp;"]"&amp;E871&amp;"'!"&amp;$AC$2))),INDIRECT("'["&amp;G871&amp;"]"&amp;E871&amp;"'!"&amp;$AC$3),0)</f>
        <v>#VALUE!</v>
      </c>
      <c r="R871" s="34" t="e" cm="1">
        <f t="array" aca="1" ref="R871" ca="1">IF(AND(G871=INDIRECT("'["&amp;G871&amp;"]"&amp;E871&amp;"'!"&amp;$AH$2),OR(I871=INDIRECT("'["&amp;G871&amp;"]"&amp;E871&amp;"'!"&amp;$AD$2))),INDIRECT("'["&amp;G871&amp;"]"&amp;E871&amp;"'!"&amp;$AD$3),0)</f>
        <v>#VALUE!</v>
      </c>
      <c r="S871" s="34" t="e" cm="1">
        <f t="array" aca="1" ref="S871" ca="1">IF(AND(G871=INDIRECT("'["&amp;G871&amp;"]"&amp;E871&amp;"'!"&amp;$AH$2),OR(I871=INDIRECT("'["&amp;G871&amp;"]"&amp;E871&amp;"'!"&amp;$AE$2))),INDIRECT("'["&amp;G871&amp;"]"&amp;E871&amp;"'!"&amp;$AE$3),0)</f>
        <v>#VALUE!</v>
      </c>
      <c r="T871" s="35" t="e" cm="1">
        <f t="array" aca="1" ref="T871" ca="1">IF(AND(G871=INDIRECT("'["&amp;G871&amp;"]"&amp;E871&amp;"'!"&amp;$AH$2),OR(I871=INDIRECT("'["&amp;G871&amp;"]"&amp;E871&amp;"'!"&amp;$AF$2))),INDIRECT("'["&amp;G871&amp;"]"&amp;E871&amp;"'!"&amp;$AF$3),0)</f>
        <v>#VALUE!</v>
      </c>
      <c r="U871" s="34" t="e" cm="1">
        <f t="array" aca="1" ref="U871" ca="1">IF(AND(G871=INDIRECT("'["&amp;G871&amp;"]"&amp;E871&amp;"'!"&amp;$AH$2),OR(I871=INDIRECT("'["&amp;G871&amp;"]"&amp;E871&amp;"'!"&amp;$AG$2))),INDIRECT("'["&amp;G871&amp;"]"&amp;E871&amp;"'!"&amp;$AG$3),0)</f>
        <v>#VALUE!</v>
      </c>
      <c r="V871" s="25" t="str">
        <f t="shared" si="227"/>
        <v/>
      </c>
      <c r="W871" s="36" t="e" cm="1">
        <f t="array" aca="1" ref="W871" ca="1">IF(AND(G871=INDIRECT("'["&amp;G871&amp;"]"&amp;E871&amp;"'!"&amp;$AH$2),OR(V871=INDIRECT("'["&amp;G871&amp;"]"&amp;E871&amp;"'!"&amp;$AI$2))),INDIRECT("'["&amp;G871&amp;"]"&amp;E871&amp;"'!"&amp;$AI$3),0)</f>
        <v>#VALUE!</v>
      </c>
      <c r="AJ871" s="25">
        <v>1</v>
      </c>
      <c r="AK871" s="38">
        <f t="shared" ca="1" si="228"/>
        <v>0</v>
      </c>
      <c r="AL871" s="38">
        <f t="shared" ca="1" si="229"/>
        <v>0</v>
      </c>
      <c r="AM871" s="54" t="str">
        <f t="shared" ca="1" si="230"/>
        <v/>
      </c>
      <c r="AN871" s="25" t="e">
        <f t="shared" ca="1" si="231"/>
        <v>#VALUE!</v>
      </c>
      <c r="AO871" s="25" t="e">
        <f t="shared" ca="1" si="232"/>
        <v>#VALUE!</v>
      </c>
      <c r="AQ871" s="46" t="str">
        <f ca="1">IF(AND(C871&lt;&gt;0, C872=0), SUM($C$2:C871)-SUM($AQ$1:AQ870), "")</f>
        <v/>
      </c>
      <c r="AR871" s="46" t="str">
        <f ca="1">IF(AND(AK871&lt;&gt;0, AK872=0), SUM($AK$2:AK871)-SUM($AR$1:AR870), "")</f>
        <v/>
      </c>
    </row>
    <row r="872" spans="2:44" ht="13.15" customHeight="1">
      <c r="B872" s="68" t="str">
        <f t="shared" si="218"/>
        <v/>
      </c>
      <c r="C872" s="55" cm="1">
        <f t="array" aca="1" ref="C872" ca="1">SUM(IF(ISNUMBER(M872:U872),M872:U872,""))</f>
        <v>0</v>
      </c>
      <c r="D872" s="25" t="str">
        <f t="shared" si="219"/>
        <v/>
      </c>
      <c r="E872" s="25" t="e">
        <f t="shared" si="220"/>
        <v>#VALUE!</v>
      </c>
      <c r="F872" s="25" t="str">
        <f t="shared" si="221"/>
        <v/>
      </c>
      <c r="G872" s="25" t="str">
        <f t="shared" si="222"/>
        <v>.xlsx</v>
      </c>
      <c r="H872" s="29" t="e" cm="1">
        <f t="array" aca="1" ref="H872" ca="1">IF(AND(VALUE(E872)=INDIRECT("'["&amp;G872&amp;"]"&amp;E872&amp;"'!"&amp;$X$2),G872=INDIRECT("'["&amp;G872&amp;"]"&amp;E872&amp;"'!"&amp;$X$3)),INDIRECT("'["&amp;G872&amp;"]"&amp;E872&amp;"'!"&amp;$X$1),0)</f>
        <v>#VALUE!</v>
      </c>
      <c r="I872" s="25" t="str">
        <f t="shared" si="223"/>
        <v/>
      </c>
      <c r="J872" s="32" t="str">
        <f t="shared" si="224"/>
        <v/>
      </c>
      <c r="K872" s="25" t="str">
        <f t="shared" si="225"/>
        <v/>
      </c>
      <c r="L872" s="25" t="str">
        <f t="shared" si="226"/>
        <v/>
      </c>
      <c r="M872" s="33" t="e" cm="1">
        <f t="array" aca="1" ref="M872" ca="1">IF(AND(J872=INDIRECT("'["&amp;G872&amp;"]"&amp;E872&amp;"'!"&amp;$Y$2),G872=INDIRECT("'["&amp;G872&amp;"]"&amp;E872&amp;"'!"&amp;$AH$2)),INDIRECT("'["&amp;G872&amp;"]"&amp;E872&amp;"'!"&amp;$Y$3),0)</f>
        <v>#VALUE!</v>
      </c>
      <c r="N872" s="34" t="e" cm="1">
        <f t="array" aca="1" ref="N872" ca="1">IF(AND(G872=INDIRECT("'["&amp;G872&amp;"]"&amp;E872&amp;"'!"&amp;$AH$2),OR(K872=INDIRECT("'["&amp;G872&amp;"]"&amp;E872&amp;"'!"&amp;$Z$2))),INDIRECT("'["&amp;G872&amp;"]"&amp;E872&amp;"'!"&amp;$Z$3),0)</f>
        <v>#VALUE!</v>
      </c>
      <c r="O872" s="34" t="e" cm="1">
        <f t="array" aca="1" ref="O872" ca="1">IF(AND(G872=INDIRECT("'["&amp;G872&amp;"]"&amp;E872&amp;"'!"&amp;$AH$2),OR(L872=INDIRECT("'["&amp;G872&amp;"]"&amp;E872&amp;"'!"&amp;$AA$2))),INDIRECT("'["&amp;G872&amp;"]"&amp;E872&amp;"'!"&amp;$AA$3),0)</f>
        <v>#VALUE!</v>
      </c>
      <c r="P872" s="34" t="e" cm="1">
        <f t="array" aca="1" ref="P872" ca="1">IF(AND(G872=INDIRECT("'["&amp;G872&amp;"]"&amp;E872&amp;"'!"&amp;$AH$2),OR(VALUE(I872)=INDIRECT("'["&amp;G872&amp;"]"&amp;E872&amp;"'!"&amp;$AB$2))),INDIRECT("'["&amp;G872&amp;"]"&amp;E872&amp;"'!"&amp;$AB$3),0)</f>
        <v>#VALUE!</v>
      </c>
      <c r="Q872" s="34" t="e" cm="1">
        <f t="array" aca="1" ref="Q872" ca="1">IF(AND(G872=INDIRECT("'["&amp;G872&amp;"]"&amp;E872&amp;"'!"&amp;$AH$2),OR(VALUE(I872)=INDIRECT("'["&amp;G872&amp;"]"&amp;E872&amp;"'!"&amp;$AC$2))),INDIRECT("'["&amp;G872&amp;"]"&amp;E872&amp;"'!"&amp;$AC$3),0)</f>
        <v>#VALUE!</v>
      </c>
      <c r="R872" s="34" t="e" cm="1">
        <f t="array" aca="1" ref="R872" ca="1">IF(AND(G872=INDIRECT("'["&amp;G872&amp;"]"&amp;E872&amp;"'!"&amp;$AH$2),OR(I872=INDIRECT("'["&amp;G872&amp;"]"&amp;E872&amp;"'!"&amp;$AD$2))),INDIRECT("'["&amp;G872&amp;"]"&amp;E872&amp;"'!"&amp;$AD$3),0)</f>
        <v>#VALUE!</v>
      </c>
      <c r="S872" s="34" t="e" cm="1">
        <f t="array" aca="1" ref="S872" ca="1">IF(AND(G872=INDIRECT("'["&amp;G872&amp;"]"&amp;E872&amp;"'!"&amp;$AH$2),OR(I872=INDIRECT("'["&amp;G872&amp;"]"&amp;E872&amp;"'!"&amp;$AE$2))),INDIRECT("'["&amp;G872&amp;"]"&amp;E872&amp;"'!"&amp;$AE$3),0)</f>
        <v>#VALUE!</v>
      </c>
      <c r="T872" s="35" t="e" cm="1">
        <f t="array" aca="1" ref="T872" ca="1">IF(AND(G872=INDIRECT("'["&amp;G872&amp;"]"&amp;E872&amp;"'!"&amp;$AH$2),OR(I872=INDIRECT("'["&amp;G872&amp;"]"&amp;E872&amp;"'!"&amp;$AF$2))),INDIRECT("'["&amp;G872&amp;"]"&amp;E872&amp;"'!"&amp;$AF$3),0)</f>
        <v>#VALUE!</v>
      </c>
      <c r="U872" s="34" t="e" cm="1">
        <f t="array" aca="1" ref="U872" ca="1">IF(AND(G872=INDIRECT("'["&amp;G872&amp;"]"&amp;E872&amp;"'!"&amp;$AH$2),OR(I872=INDIRECT("'["&amp;G872&amp;"]"&amp;E872&amp;"'!"&amp;$AG$2))),INDIRECT("'["&amp;G872&amp;"]"&amp;E872&amp;"'!"&amp;$AG$3),0)</f>
        <v>#VALUE!</v>
      </c>
      <c r="V872" s="25" t="str">
        <f t="shared" si="227"/>
        <v/>
      </c>
      <c r="W872" s="36" t="e" cm="1">
        <f t="array" aca="1" ref="W872" ca="1">IF(AND(G872=INDIRECT("'["&amp;G872&amp;"]"&amp;E872&amp;"'!"&amp;$AH$2),OR(V872=INDIRECT("'["&amp;G872&amp;"]"&amp;E872&amp;"'!"&amp;$AI$2))),INDIRECT("'["&amp;G872&amp;"]"&amp;E872&amp;"'!"&amp;$AI$3),0)</f>
        <v>#VALUE!</v>
      </c>
      <c r="AJ872" s="25">
        <v>1</v>
      </c>
      <c r="AK872" s="38">
        <f t="shared" ca="1" si="228"/>
        <v>0</v>
      </c>
      <c r="AL872" s="38">
        <f t="shared" ca="1" si="229"/>
        <v>0</v>
      </c>
      <c r="AM872" s="54" t="str">
        <f t="shared" ca="1" si="230"/>
        <v/>
      </c>
      <c r="AN872" s="25" t="e">
        <f t="shared" ca="1" si="231"/>
        <v>#VALUE!</v>
      </c>
      <c r="AO872" s="25" t="e">
        <f t="shared" ca="1" si="232"/>
        <v>#VALUE!</v>
      </c>
      <c r="AQ872" s="46" t="str">
        <f ca="1">IF(AND(C872&lt;&gt;0, C873=0), SUM($C$2:C872)-SUM($AQ$1:AQ871), "")</f>
        <v/>
      </c>
      <c r="AR872" s="46" t="str">
        <f ca="1">IF(AND(AK872&lt;&gt;0, AK873=0), SUM($AK$2:AK872)-SUM($AR$1:AR871), "")</f>
        <v/>
      </c>
    </row>
    <row r="873" spans="2:44" ht="13.15" customHeight="1">
      <c r="B873" s="68" t="str">
        <f t="shared" si="218"/>
        <v/>
      </c>
      <c r="C873" s="55" cm="1">
        <f t="array" aca="1" ref="C873" ca="1">SUM(IF(ISNUMBER(M873:U873),M873:U873,""))</f>
        <v>0</v>
      </c>
      <c r="D873" s="25" t="str">
        <f t="shared" si="219"/>
        <v/>
      </c>
      <c r="E873" s="25" t="e">
        <f t="shared" si="220"/>
        <v>#VALUE!</v>
      </c>
      <c r="F873" s="25" t="str">
        <f t="shared" si="221"/>
        <v/>
      </c>
      <c r="G873" s="25" t="str">
        <f t="shared" si="222"/>
        <v>.xlsx</v>
      </c>
      <c r="H873" s="29" t="e" cm="1">
        <f t="array" aca="1" ref="H873" ca="1">IF(AND(VALUE(E873)=INDIRECT("'["&amp;G873&amp;"]"&amp;E873&amp;"'!"&amp;$X$2),G873=INDIRECT("'["&amp;G873&amp;"]"&amp;E873&amp;"'!"&amp;$X$3)),INDIRECT("'["&amp;G873&amp;"]"&amp;E873&amp;"'!"&amp;$X$1),0)</f>
        <v>#VALUE!</v>
      </c>
      <c r="I873" s="25" t="str">
        <f t="shared" si="223"/>
        <v/>
      </c>
      <c r="J873" s="32" t="str">
        <f t="shared" si="224"/>
        <v/>
      </c>
      <c r="K873" s="25" t="str">
        <f t="shared" si="225"/>
        <v/>
      </c>
      <c r="L873" s="25" t="str">
        <f t="shared" si="226"/>
        <v/>
      </c>
      <c r="M873" s="33" t="e" cm="1">
        <f t="array" aca="1" ref="M873" ca="1">IF(AND(J873=INDIRECT("'["&amp;G873&amp;"]"&amp;E873&amp;"'!"&amp;$Y$2),G873=INDIRECT("'["&amp;G873&amp;"]"&amp;E873&amp;"'!"&amp;$AH$2)),INDIRECT("'["&amp;G873&amp;"]"&amp;E873&amp;"'!"&amp;$Y$3),0)</f>
        <v>#VALUE!</v>
      </c>
      <c r="N873" s="34" t="e" cm="1">
        <f t="array" aca="1" ref="N873" ca="1">IF(AND(G873=INDIRECT("'["&amp;G873&amp;"]"&amp;E873&amp;"'!"&amp;$AH$2),OR(K873=INDIRECT("'["&amp;G873&amp;"]"&amp;E873&amp;"'!"&amp;$Z$2))),INDIRECT("'["&amp;G873&amp;"]"&amp;E873&amp;"'!"&amp;$Z$3),0)</f>
        <v>#VALUE!</v>
      </c>
      <c r="O873" s="34" t="e" cm="1">
        <f t="array" aca="1" ref="O873" ca="1">IF(AND(G873=INDIRECT("'["&amp;G873&amp;"]"&amp;E873&amp;"'!"&amp;$AH$2),OR(L873=INDIRECT("'["&amp;G873&amp;"]"&amp;E873&amp;"'!"&amp;$AA$2))),INDIRECT("'["&amp;G873&amp;"]"&amp;E873&amp;"'!"&amp;$AA$3),0)</f>
        <v>#VALUE!</v>
      </c>
      <c r="P873" s="34" t="e" cm="1">
        <f t="array" aca="1" ref="P873" ca="1">IF(AND(G873=INDIRECT("'["&amp;G873&amp;"]"&amp;E873&amp;"'!"&amp;$AH$2),OR(VALUE(I873)=INDIRECT("'["&amp;G873&amp;"]"&amp;E873&amp;"'!"&amp;$AB$2))),INDIRECT("'["&amp;G873&amp;"]"&amp;E873&amp;"'!"&amp;$AB$3),0)</f>
        <v>#VALUE!</v>
      </c>
      <c r="Q873" s="34" t="e" cm="1">
        <f t="array" aca="1" ref="Q873" ca="1">IF(AND(G873=INDIRECT("'["&amp;G873&amp;"]"&amp;E873&amp;"'!"&amp;$AH$2),OR(VALUE(I873)=INDIRECT("'["&amp;G873&amp;"]"&amp;E873&amp;"'!"&amp;$AC$2))),INDIRECT("'["&amp;G873&amp;"]"&amp;E873&amp;"'!"&amp;$AC$3),0)</f>
        <v>#VALUE!</v>
      </c>
      <c r="R873" s="34" t="e" cm="1">
        <f t="array" aca="1" ref="R873" ca="1">IF(AND(G873=INDIRECT("'["&amp;G873&amp;"]"&amp;E873&amp;"'!"&amp;$AH$2),OR(I873=INDIRECT("'["&amp;G873&amp;"]"&amp;E873&amp;"'!"&amp;$AD$2))),INDIRECT("'["&amp;G873&amp;"]"&amp;E873&amp;"'!"&amp;$AD$3),0)</f>
        <v>#VALUE!</v>
      </c>
      <c r="S873" s="34" t="e" cm="1">
        <f t="array" aca="1" ref="S873" ca="1">IF(AND(G873=INDIRECT("'["&amp;G873&amp;"]"&amp;E873&amp;"'!"&amp;$AH$2),OR(I873=INDIRECT("'["&amp;G873&amp;"]"&amp;E873&amp;"'!"&amp;$AE$2))),INDIRECT("'["&amp;G873&amp;"]"&amp;E873&amp;"'!"&amp;$AE$3),0)</f>
        <v>#VALUE!</v>
      </c>
      <c r="T873" s="35" t="e" cm="1">
        <f t="array" aca="1" ref="T873" ca="1">IF(AND(G873=INDIRECT("'["&amp;G873&amp;"]"&amp;E873&amp;"'!"&amp;$AH$2),OR(I873=INDIRECT("'["&amp;G873&amp;"]"&amp;E873&amp;"'!"&amp;$AF$2))),INDIRECT("'["&amp;G873&amp;"]"&amp;E873&amp;"'!"&amp;$AF$3),0)</f>
        <v>#VALUE!</v>
      </c>
      <c r="U873" s="34" t="e" cm="1">
        <f t="array" aca="1" ref="U873" ca="1">IF(AND(G873=INDIRECT("'["&amp;G873&amp;"]"&amp;E873&amp;"'!"&amp;$AH$2),OR(I873=INDIRECT("'["&amp;G873&amp;"]"&amp;E873&amp;"'!"&amp;$AG$2))),INDIRECT("'["&amp;G873&amp;"]"&amp;E873&amp;"'!"&amp;$AG$3),0)</f>
        <v>#VALUE!</v>
      </c>
      <c r="V873" s="25" t="str">
        <f t="shared" si="227"/>
        <v/>
      </c>
      <c r="W873" s="36" t="e" cm="1">
        <f t="array" aca="1" ref="W873" ca="1">IF(AND(G873=INDIRECT("'["&amp;G873&amp;"]"&amp;E873&amp;"'!"&amp;$AH$2),OR(V873=INDIRECT("'["&amp;G873&amp;"]"&amp;E873&amp;"'!"&amp;$AI$2))),INDIRECT("'["&amp;G873&amp;"]"&amp;E873&amp;"'!"&amp;$AI$3),0)</f>
        <v>#VALUE!</v>
      </c>
      <c r="AJ873" s="25">
        <v>1</v>
      </c>
      <c r="AK873" s="38">
        <f t="shared" ca="1" si="228"/>
        <v>0</v>
      </c>
      <c r="AL873" s="38">
        <f t="shared" ca="1" si="229"/>
        <v>0</v>
      </c>
      <c r="AM873" s="54" t="str">
        <f t="shared" ca="1" si="230"/>
        <v/>
      </c>
      <c r="AN873" s="25" t="e">
        <f t="shared" ca="1" si="231"/>
        <v>#VALUE!</v>
      </c>
      <c r="AO873" s="25" t="e">
        <f t="shared" ca="1" si="232"/>
        <v>#VALUE!</v>
      </c>
      <c r="AQ873" s="46" t="str">
        <f ca="1">IF(AND(C873&lt;&gt;0, C874=0), SUM($C$2:C873)-SUM($AQ$1:AQ872), "")</f>
        <v/>
      </c>
      <c r="AR873" s="46" t="str">
        <f ca="1">IF(AND(AK873&lt;&gt;0, AK874=0), SUM($AK$2:AK873)-SUM($AR$1:AR872), "")</f>
        <v/>
      </c>
    </row>
    <row r="874" spans="2:44" ht="13.15" customHeight="1">
      <c r="B874" s="68" t="str">
        <f t="shared" si="218"/>
        <v/>
      </c>
      <c r="C874" s="55" cm="1">
        <f t="array" aca="1" ref="C874" ca="1">SUM(IF(ISNUMBER(M874:U874),M874:U874,""))</f>
        <v>0</v>
      </c>
      <c r="D874" s="25" t="str">
        <f t="shared" si="219"/>
        <v/>
      </c>
      <c r="E874" s="25" t="e">
        <f t="shared" si="220"/>
        <v>#VALUE!</v>
      </c>
      <c r="F874" s="25" t="str">
        <f t="shared" si="221"/>
        <v/>
      </c>
      <c r="G874" s="25" t="str">
        <f t="shared" si="222"/>
        <v>.xlsx</v>
      </c>
      <c r="H874" s="29" t="e" cm="1">
        <f t="array" aca="1" ref="H874" ca="1">IF(AND(VALUE(E874)=INDIRECT("'["&amp;G874&amp;"]"&amp;E874&amp;"'!"&amp;$X$2),G874=INDIRECT("'["&amp;G874&amp;"]"&amp;E874&amp;"'!"&amp;$X$3)),INDIRECT("'["&amp;G874&amp;"]"&amp;E874&amp;"'!"&amp;$X$1),0)</f>
        <v>#VALUE!</v>
      </c>
      <c r="I874" s="25" t="str">
        <f t="shared" si="223"/>
        <v/>
      </c>
      <c r="J874" s="32" t="str">
        <f t="shared" si="224"/>
        <v/>
      </c>
      <c r="K874" s="25" t="str">
        <f t="shared" si="225"/>
        <v/>
      </c>
      <c r="L874" s="25" t="str">
        <f t="shared" si="226"/>
        <v/>
      </c>
      <c r="M874" s="33" t="e" cm="1">
        <f t="array" aca="1" ref="M874" ca="1">IF(AND(J874=INDIRECT("'["&amp;G874&amp;"]"&amp;E874&amp;"'!"&amp;$Y$2),G874=INDIRECT("'["&amp;G874&amp;"]"&amp;E874&amp;"'!"&amp;$AH$2)),INDIRECT("'["&amp;G874&amp;"]"&amp;E874&amp;"'!"&amp;$Y$3),0)</f>
        <v>#VALUE!</v>
      </c>
      <c r="N874" s="34" t="e" cm="1">
        <f t="array" aca="1" ref="N874" ca="1">IF(AND(G874=INDIRECT("'["&amp;G874&amp;"]"&amp;E874&amp;"'!"&amp;$AH$2),OR(K874=INDIRECT("'["&amp;G874&amp;"]"&amp;E874&amp;"'!"&amp;$Z$2))),INDIRECT("'["&amp;G874&amp;"]"&amp;E874&amp;"'!"&amp;$Z$3),0)</f>
        <v>#VALUE!</v>
      </c>
      <c r="O874" s="34" t="e" cm="1">
        <f t="array" aca="1" ref="O874" ca="1">IF(AND(G874=INDIRECT("'["&amp;G874&amp;"]"&amp;E874&amp;"'!"&amp;$AH$2),OR(L874=INDIRECT("'["&amp;G874&amp;"]"&amp;E874&amp;"'!"&amp;$AA$2))),INDIRECT("'["&amp;G874&amp;"]"&amp;E874&amp;"'!"&amp;$AA$3),0)</f>
        <v>#VALUE!</v>
      </c>
      <c r="P874" s="34" t="e" cm="1">
        <f t="array" aca="1" ref="P874" ca="1">IF(AND(G874=INDIRECT("'["&amp;G874&amp;"]"&amp;E874&amp;"'!"&amp;$AH$2),OR(VALUE(I874)=INDIRECT("'["&amp;G874&amp;"]"&amp;E874&amp;"'!"&amp;$AB$2))),INDIRECT("'["&amp;G874&amp;"]"&amp;E874&amp;"'!"&amp;$AB$3),0)</f>
        <v>#VALUE!</v>
      </c>
      <c r="Q874" s="34" t="e" cm="1">
        <f t="array" aca="1" ref="Q874" ca="1">IF(AND(G874=INDIRECT("'["&amp;G874&amp;"]"&amp;E874&amp;"'!"&amp;$AH$2),OR(VALUE(I874)=INDIRECT("'["&amp;G874&amp;"]"&amp;E874&amp;"'!"&amp;$AC$2))),INDIRECT("'["&amp;G874&amp;"]"&amp;E874&amp;"'!"&amp;$AC$3),0)</f>
        <v>#VALUE!</v>
      </c>
      <c r="R874" s="34" t="e" cm="1">
        <f t="array" aca="1" ref="R874" ca="1">IF(AND(G874=INDIRECT("'["&amp;G874&amp;"]"&amp;E874&amp;"'!"&amp;$AH$2),OR(I874=INDIRECT("'["&amp;G874&amp;"]"&amp;E874&amp;"'!"&amp;$AD$2))),INDIRECT("'["&amp;G874&amp;"]"&amp;E874&amp;"'!"&amp;$AD$3),0)</f>
        <v>#VALUE!</v>
      </c>
      <c r="S874" s="34" t="e" cm="1">
        <f t="array" aca="1" ref="S874" ca="1">IF(AND(G874=INDIRECT("'["&amp;G874&amp;"]"&amp;E874&amp;"'!"&amp;$AH$2),OR(I874=INDIRECT("'["&amp;G874&amp;"]"&amp;E874&amp;"'!"&amp;$AE$2))),INDIRECT("'["&amp;G874&amp;"]"&amp;E874&amp;"'!"&amp;$AE$3),0)</f>
        <v>#VALUE!</v>
      </c>
      <c r="T874" s="35" t="e" cm="1">
        <f t="array" aca="1" ref="T874" ca="1">IF(AND(G874=INDIRECT("'["&amp;G874&amp;"]"&amp;E874&amp;"'!"&amp;$AH$2),OR(I874=INDIRECT("'["&amp;G874&amp;"]"&amp;E874&amp;"'!"&amp;$AF$2))),INDIRECT("'["&amp;G874&amp;"]"&amp;E874&amp;"'!"&amp;$AF$3),0)</f>
        <v>#VALUE!</v>
      </c>
      <c r="U874" s="34" t="e" cm="1">
        <f t="array" aca="1" ref="U874" ca="1">IF(AND(G874=INDIRECT("'["&amp;G874&amp;"]"&amp;E874&amp;"'!"&amp;$AH$2),OR(I874=INDIRECT("'["&amp;G874&amp;"]"&amp;E874&amp;"'!"&amp;$AG$2))),INDIRECT("'["&amp;G874&amp;"]"&amp;E874&amp;"'!"&amp;$AG$3),0)</f>
        <v>#VALUE!</v>
      </c>
      <c r="V874" s="25" t="str">
        <f t="shared" si="227"/>
        <v/>
      </c>
      <c r="W874" s="36" t="e" cm="1">
        <f t="array" aca="1" ref="W874" ca="1">IF(AND(G874=INDIRECT("'["&amp;G874&amp;"]"&amp;E874&amp;"'!"&amp;$AH$2),OR(V874=INDIRECT("'["&amp;G874&amp;"]"&amp;E874&amp;"'!"&amp;$AI$2))),INDIRECT("'["&amp;G874&amp;"]"&amp;E874&amp;"'!"&amp;$AI$3),0)</f>
        <v>#VALUE!</v>
      </c>
      <c r="AJ874" s="25">
        <v>1</v>
      </c>
      <c r="AK874" s="38">
        <f t="shared" ca="1" si="228"/>
        <v>0</v>
      </c>
      <c r="AL874" s="38">
        <f t="shared" ca="1" si="229"/>
        <v>0</v>
      </c>
      <c r="AM874" s="54" t="str">
        <f t="shared" ca="1" si="230"/>
        <v/>
      </c>
      <c r="AN874" s="25" t="e">
        <f t="shared" ca="1" si="231"/>
        <v>#VALUE!</v>
      </c>
      <c r="AO874" s="25" t="e">
        <f t="shared" ca="1" si="232"/>
        <v>#VALUE!</v>
      </c>
      <c r="AQ874" s="46" t="str">
        <f ca="1">IF(AND(C874&lt;&gt;0, C875=0), SUM($C$2:C874)-SUM($AQ$1:AQ873), "")</f>
        <v/>
      </c>
      <c r="AR874" s="46" t="str">
        <f ca="1">IF(AND(AK874&lt;&gt;0, AK875=0), SUM($AK$2:AK874)-SUM($AR$1:AR873), "")</f>
        <v/>
      </c>
    </row>
    <row r="875" spans="2:44" ht="13.15" customHeight="1">
      <c r="B875" s="68" t="str">
        <f t="shared" si="218"/>
        <v/>
      </c>
      <c r="C875" s="55" cm="1">
        <f t="array" aca="1" ref="C875" ca="1">SUM(IF(ISNUMBER(M875:U875),M875:U875,""))</f>
        <v>0</v>
      </c>
      <c r="D875" s="25" t="str">
        <f t="shared" si="219"/>
        <v/>
      </c>
      <c r="E875" s="25" t="e">
        <f t="shared" si="220"/>
        <v>#VALUE!</v>
      </c>
      <c r="F875" s="25" t="str">
        <f t="shared" si="221"/>
        <v/>
      </c>
      <c r="G875" s="25" t="str">
        <f t="shared" si="222"/>
        <v>.xlsx</v>
      </c>
      <c r="H875" s="29" t="e" cm="1">
        <f t="array" aca="1" ref="H875" ca="1">IF(AND(VALUE(E875)=INDIRECT("'["&amp;G875&amp;"]"&amp;E875&amp;"'!"&amp;$X$2),G875=INDIRECT("'["&amp;G875&amp;"]"&amp;E875&amp;"'!"&amp;$X$3)),INDIRECT("'["&amp;G875&amp;"]"&amp;E875&amp;"'!"&amp;$X$1),0)</f>
        <v>#VALUE!</v>
      </c>
      <c r="I875" s="25" t="str">
        <f t="shared" si="223"/>
        <v/>
      </c>
      <c r="J875" s="32" t="str">
        <f t="shared" si="224"/>
        <v/>
      </c>
      <c r="K875" s="25" t="str">
        <f t="shared" si="225"/>
        <v/>
      </c>
      <c r="L875" s="25" t="str">
        <f t="shared" si="226"/>
        <v/>
      </c>
      <c r="M875" s="33" t="e" cm="1">
        <f t="array" aca="1" ref="M875" ca="1">IF(AND(J875=INDIRECT("'["&amp;G875&amp;"]"&amp;E875&amp;"'!"&amp;$Y$2),G875=INDIRECT("'["&amp;G875&amp;"]"&amp;E875&amp;"'!"&amp;$AH$2)),INDIRECT("'["&amp;G875&amp;"]"&amp;E875&amp;"'!"&amp;$Y$3),0)</f>
        <v>#VALUE!</v>
      </c>
      <c r="N875" s="34" t="e" cm="1">
        <f t="array" aca="1" ref="N875" ca="1">IF(AND(G875=INDIRECT("'["&amp;G875&amp;"]"&amp;E875&amp;"'!"&amp;$AH$2),OR(K875=INDIRECT("'["&amp;G875&amp;"]"&amp;E875&amp;"'!"&amp;$Z$2))),INDIRECT("'["&amp;G875&amp;"]"&amp;E875&amp;"'!"&amp;$Z$3),0)</f>
        <v>#VALUE!</v>
      </c>
      <c r="O875" s="34" t="e" cm="1">
        <f t="array" aca="1" ref="O875" ca="1">IF(AND(G875=INDIRECT("'["&amp;G875&amp;"]"&amp;E875&amp;"'!"&amp;$AH$2),OR(L875=INDIRECT("'["&amp;G875&amp;"]"&amp;E875&amp;"'!"&amp;$AA$2))),INDIRECT("'["&amp;G875&amp;"]"&amp;E875&amp;"'!"&amp;$AA$3),0)</f>
        <v>#VALUE!</v>
      </c>
      <c r="P875" s="34" t="e" cm="1">
        <f t="array" aca="1" ref="P875" ca="1">IF(AND(G875=INDIRECT("'["&amp;G875&amp;"]"&amp;E875&amp;"'!"&amp;$AH$2),OR(VALUE(I875)=INDIRECT("'["&amp;G875&amp;"]"&amp;E875&amp;"'!"&amp;$AB$2))),INDIRECT("'["&amp;G875&amp;"]"&amp;E875&amp;"'!"&amp;$AB$3),0)</f>
        <v>#VALUE!</v>
      </c>
      <c r="Q875" s="34" t="e" cm="1">
        <f t="array" aca="1" ref="Q875" ca="1">IF(AND(G875=INDIRECT("'["&amp;G875&amp;"]"&amp;E875&amp;"'!"&amp;$AH$2),OR(VALUE(I875)=INDIRECT("'["&amp;G875&amp;"]"&amp;E875&amp;"'!"&amp;$AC$2))),INDIRECT("'["&amp;G875&amp;"]"&amp;E875&amp;"'!"&amp;$AC$3),0)</f>
        <v>#VALUE!</v>
      </c>
      <c r="R875" s="34" t="e" cm="1">
        <f t="array" aca="1" ref="R875" ca="1">IF(AND(G875=INDIRECT("'["&amp;G875&amp;"]"&amp;E875&amp;"'!"&amp;$AH$2),OR(I875=INDIRECT("'["&amp;G875&amp;"]"&amp;E875&amp;"'!"&amp;$AD$2))),INDIRECT("'["&amp;G875&amp;"]"&amp;E875&amp;"'!"&amp;$AD$3),0)</f>
        <v>#VALUE!</v>
      </c>
      <c r="S875" s="34" t="e" cm="1">
        <f t="array" aca="1" ref="S875" ca="1">IF(AND(G875=INDIRECT("'["&amp;G875&amp;"]"&amp;E875&amp;"'!"&amp;$AH$2),OR(I875=INDIRECT("'["&amp;G875&amp;"]"&amp;E875&amp;"'!"&amp;$AE$2))),INDIRECT("'["&amp;G875&amp;"]"&amp;E875&amp;"'!"&amp;$AE$3),0)</f>
        <v>#VALUE!</v>
      </c>
      <c r="T875" s="35" t="e" cm="1">
        <f t="array" aca="1" ref="T875" ca="1">IF(AND(G875=INDIRECT("'["&amp;G875&amp;"]"&amp;E875&amp;"'!"&amp;$AH$2),OR(I875=INDIRECT("'["&amp;G875&amp;"]"&amp;E875&amp;"'!"&amp;$AF$2))),INDIRECT("'["&amp;G875&amp;"]"&amp;E875&amp;"'!"&amp;$AF$3),0)</f>
        <v>#VALUE!</v>
      </c>
      <c r="U875" s="34" t="e" cm="1">
        <f t="array" aca="1" ref="U875" ca="1">IF(AND(G875=INDIRECT("'["&amp;G875&amp;"]"&amp;E875&amp;"'!"&amp;$AH$2),OR(I875=INDIRECT("'["&amp;G875&amp;"]"&amp;E875&amp;"'!"&amp;$AG$2))),INDIRECT("'["&amp;G875&amp;"]"&amp;E875&amp;"'!"&amp;$AG$3),0)</f>
        <v>#VALUE!</v>
      </c>
      <c r="V875" s="25" t="str">
        <f t="shared" si="227"/>
        <v/>
      </c>
      <c r="W875" s="36" t="e" cm="1">
        <f t="array" aca="1" ref="W875" ca="1">IF(AND(G875=INDIRECT("'["&amp;G875&amp;"]"&amp;E875&amp;"'!"&amp;$AH$2),OR(V875=INDIRECT("'["&amp;G875&amp;"]"&amp;E875&amp;"'!"&amp;$AI$2))),INDIRECT("'["&amp;G875&amp;"]"&amp;E875&amp;"'!"&amp;$AI$3),0)</f>
        <v>#VALUE!</v>
      </c>
      <c r="AJ875" s="25">
        <v>1</v>
      </c>
      <c r="AK875" s="38">
        <f t="shared" ca="1" si="228"/>
        <v>0</v>
      </c>
      <c r="AL875" s="38">
        <f t="shared" ca="1" si="229"/>
        <v>0</v>
      </c>
      <c r="AM875" s="54" t="str">
        <f t="shared" ca="1" si="230"/>
        <v/>
      </c>
      <c r="AN875" s="25" t="e">
        <f t="shared" ca="1" si="231"/>
        <v>#VALUE!</v>
      </c>
      <c r="AO875" s="25" t="e">
        <f t="shared" ca="1" si="232"/>
        <v>#VALUE!</v>
      </c>
      <c r="AQ875" s="46" t="str">
        <f ca="1">IF(AND(C875&lt;&gt;0, C876=0), SUM($C$2:C875)-SUM($AQ$1:AQ874), "")</f>
        <v/>
      </c>
      <c r="AR875" s="46" t="str">
        <f ca="1">IF(AND(AK875&lt;&gt;0, AK876=0), SUM($AK$2:AK875)-SUM($AR$1:AR874), "")</f>
        <v/>
      </c>
    </row>
    <row r="876" spans="2:44" ht="13.15" customHeight="1">
      <c r="B876" s="68" t="str">
        <f t="shared" si="218"/>
        <v/>
      </c>
      <c r="C876" s="55" cm="1">
        <f t="array" aca="1" ref="C876" ca="1">SUM(IF(ISNUMBER(M876:U876),M876:U876,""))</f>
        <v>0</v>
      </c>
      <c r="D876" s="25" t="str">
        <f t="shared" si="219"/>
        <v/>
      </c>
      <c r="E876" s="25" t="e">
        <f t="shared" si="220"/>
        <v>#VALUE!</v>
      </c>
      <c r="F876" s="25" t="str">
        <f t="shared" si="221"/>
        <v/>
      </c>
      <c r="G876" s="25" t="str">
        <f t="shared" si="222"/>
        <v>.xlsx</v>
      </c>
      <c r="H876" s="29" t="e" cm="1">
        <f t="array" aca="1" ref="H876" ca="1">IF(AND(VALUE(E876)=INDIRECT("'["&amp;G876&amp;"]"&amp;E876&amp;"'!"&amp;$X$2),G876=INDIRECT("'["&amp;G876&amp;"]"&amp;E876&amp;"'!"&amp;$X$3)),INDIRECT("'["&amp;G876&amp;"]"&amp;E876&amp;"'!"&amp;$X$1),0)</f>
        <v>#VALUE!</v>
      </c>
      <c r="I876" s="25" t="str">
        <f t="shared" si="223"/>
        <v/>
      </c>
      <c r="J876" s="32" t="str">
        <f t="shared" si="224"/>
        <v/>
      </c>
      <c r="K876" s="25" t="str">
        <f t="shared" si="225"/>
        <v/>
      </c>
      <c r="L876" s="25" t="str">
        <f t="shared" si="226"/>
        <v/>
      </c>
      <c r="M876" s="33" t="e" cm="1">
        <f t="array" aca="1" ref="M876" ca="1">IF(AND(J876=INDIRECT("'["&amp;G876&amp;"]"&amp;E876&amp;"'!"&amp;$Y$2),G876=INDIRECT("'["&amp;G876&amp;"]"&amp;E876&amp;"'!"&amp;$AH$2)),INDIRECT("'["&amp;G876&amp;"]"&amp;E876&amp;"'!"&amp;$Y$3),0)</f>
        <v>#VALUE!</v>
      </c>
      <c r="N876" s="34" t="e" cm="1">
        <f t="array" aca="1" ref="N876" ca="1">IF(AND(G876=INDIRECT("'["&amp;G876&amp;"]"&amp;E876&amp;"'!"&amp;$AH$2),OR(K876=INDIRECT("'["&amp;G876&amp;"]"&amp;E876&amp;"'!"&amp;$Z$2))),INDIRECT("'["&amp;G876&amp;"]"&amp;E876&amp;"'!"&amp;$Z$3),0)</f>
        <v>#VALUE!</v>
      </c>
      <c r="O876" s="34" t="e" cm="1">
        <f t="array" aca="1" ref="O876" ca="1">IF(AND(G876=INDIRECT("'["&amp;G876&amp;"]"&amp;E876&amp;"'!"&amp;$AH$2),OR(L876=INDIRECT("'["&amp;G876&amp;"]"&amp;E876&amp;"'!"&amp;$AA$2))),INDIRECT("'["&amp;G876&amp;"]"&amp;E876&amp;"'!"&amp;$AA$3),0)</f>
        <v>#VALUE!</v>
      </c>
      <c r="P876" s="34" t="e" cm="1">
        <f t="array" aca="1" ref="P876" ca="1">IF(AND(G876=INDIRECT("'["&amp;G876&amp;"]"&amp;E876&amp;"'!"&amp;$AH$2),OR(VALUE(I876)=INDIRECT("'["&amp;G876&amp;"]"&amp;E876&amp;"'!"&amp;$AB$2))),INDIRECT("'["&amp;G876&amp;"]"&amp;E876&amp;"'!"&amp;$AB$3),0)</f>
        <v>#VALUE!</v>
      </c>
      <c r="Q876" s="34" t="e" cm="1">
        <f t="array" aca="1" ref="Q876" ca="1">IF(AND(G876=INDIRECT("'["&amp;G876&amp;"]"&amp;E876&amp;"'!"&amp;$AH$2),OR(VALUE(I876)=INDIRECT("'["&amp;G876&amp;"]"&amp;E876&amp;"'!"&amp;$AC$2))),INDIRECT("'["&amp;G876&amp;"]"&amp;E876&amp;"'!"&amp;$AC$3),0)</f>
        <v>#VALUE!</v>
      </c>
      <c r="R876" s="34" t="e" cm="1">
        <f t="array" aca="1" ref="R876" ca="1">IF(AND(G876=INDIRECT("'["&amp;G876&amp;"]"&amp;E876&amp;"'!"&amp;$AH$2),OR(I876=INDIRECT("'["&amp;G876&amp;"]"&amp;E876&amp;"'!"&amp;$AD$2))),INDIRECT("'["&amp;G876&amp;"]"&amp;E876&amp;"'!"&amp;$AD$3),0)</f>
        <v>#VALUE!</v>
      </c>
      <c r="S876" s="34" t="e" cm="1">
        <f t="array" aca="1" ref="S876" ca="1">IF(AND(G876=INDIRECT("'["&amp;G876&amp;"]"&amp;E876&amp;"'!"&amp;$AH$2),OR(I876=INDIRECT("'["&amp;G876&amp;"]"&amp;E876&amp;"'!"&amp;$AE$2))),INDIRECT("'["&amp;G876&amp;"]"&amp;E876&amp;"'!"&amp;$AE$3),0)</f>
        <v>#VALUE!</v>
      </c>
      <c r="T876" s="35" t="e" cm="1">
        <f t="array" aca="1" ref="T876" ca="1">IF(AND(G876=INDIRECT("'["&amp;G876&amp;"]"&amp;E876&amp;"'!"&amp;$AH$2),OR(I876=INDIRECT("'["&amp;G876&amp;"]"&amp;E876&amp;"'!"&amp;$AF$2))),INDIRECT("'["&amp;G876&amp;"]"&amp;E876&amp;"'!"&amp;$AF$3),0)</f>
        <v>#VALUE!</v>
      </c>
      <c r="U876" s="34" t="e" cm="1">
        <f t="array" aca="1" ref="U876" ca="1">IF(AND(G876=INDIRECT("'["&amp;G876&amp;"]"&amp;E876&amp;"'!"&amp;$AH$2),OR(I876=INDIRECT("'["&amp;G876&amp;"]"&amp;E876&amp;"'!"&amp;$AG$2))),INDIRECT("'["&amp;G876&amp;"]"&amp;E876&amp;"'!"&amp;$AG$3),0)</f>
        <v>#VALUE!</v>
      </c>
      <c r="V876" s="25" t="str">
        <f t="shared" si="227"/>
        <v/>
      </c>
      <c r="W876" s="36" t="e" cm="1">
        <f t="array" aca="1" ref="W876" ca="1">IF(AND(G876=INDIRECT("'["&amp;G876&amp;"]"&amp;E876&amp;"'!"&amp;$AH$2),OR(V876=INDIRECT("'["&amp;G876&amp;"]"&amp;E876&amp;"'!"&amp;$AI$2))),INDIRECT("'["&amp;G876&amp;"]"&amp;E876&amp;"'!"&amp;$AI$3),0)</f>
        <v>#VALUE!</v>
      </c>
      <c r="AJ876" s="25">
        <v>1</v>
      </c>
      <c r="AK876" s="38">
        <f t="shared" ca="1" si="228"/>
        <v>0</v>
      </c>
      <c r="AL876" s="38">
        <f t="shared" ca="1" si="229"/>
        <v>0</v>
      </c>
      <c r="AM876" s="54" t="str">
        <f t="shared" ca="1" si="230"/>
        <v/>
      </c>
      <c r="AN876" s="25" t="e">
        <f t="shared" ca="1" si="231"/>
        <v>#VALUE!</v>
      </c>
      <c r="AO876" s="25" t="e">
        <f t="shared" ca="1" si="232"/>
        <v>#VALUE!</v>
      </c>
      <c r="AQ876" s="46" t="str">
        <f ca="1">IF(AND(C876&lt;&gt;0, C877=0), SUM($C$2:C876)-SUM($AQ$1:AQ875), "")</f>
        <v/>
      </c>
      <c r="AR876" s="46" t="str">
        <f ca="1">IF(AND(AK876&lt;&gt;0, AK877=0), SUM($AK$2:AK876)-SUM($AR$1:AR875), "")</f>
        <v/>
      </c>
    </row>
    <row r="877" spans="2:44" ht="13.15" customHeight="1">
      <c r="B877" s="68" t="str">
        <f t="shared" si="218"/>
        <v/>
      </c>
      <c r="C877" s="55" cm="1">
        <f t="array" aca="1" ref="C877" ca="1">SUM(IF(ISNUMBER(M877:U877),M877:U877,""))</f>
        <v>0</v>
      </c>
      <c r="D877" s="25" t="str">
        <f t="shared" si="219"/>
        <v/>
      </c>
      <c r="E877" s="25" t="e">
        <f t="shared" si="220"/>
        <v>#VALUE!</v>
      </c>
      <c r="F877" s="25" t="str">
        <f t="shared" si="221"/>
        <v/>
      </c>
      <c r="G877" s="25" t="str">
        <f t="shared" si="222"/>
        <v>.xlsx</v>
      </c>
      <c r="H877" s="29" t="e" cm="1">
        <f t="array" aca="1" ref="H877" ca="1">IF(AND(VALUE(E877)=INDIRECT("'["&amp;G877&amp;"]"&amp;E877&amp;"'!"&amp;$X$2),G877=INDIRECT("'["&amp;G877&amp;"]"&amp;E877&amp;"'!"&amp;$X$3)),INDIRECT("'["&amp;G877&amp;"]"&amp;E877&amp;"'!"&amp;$X$1),0)</f>
        <v>#VALUE!</v>
      </c>
      <c r="I877" s="25" t="str">
        <f t="shared" si="223"/>
        <v/>
      </c>
      <c r="J877" s="32" t="str">
        <f t="shared" si="224"/>
        <v/>
      </c>
      <c r="K877" s="25" t="str">
        <f t="shared" si="225"/>
        <v/>
      </c>
      <c r="L877" s="25" t="str">
        <f t="shared" si="226"/>
        <v/>
      </c>
      <c r="M877" s="33" t="e" cm="1">
        <f t="array" aca="1" ref="M877" ca="1">IF(AND(J877=INDIRECT("'["&amp;G877&amp;"]"&amp;E877&amp;"'!"&amp;$Y$2),G877=INDIRECT("'["&amp;G877&amp;"]"&amp;E877&amp;"'!"&amp;$AH$2)),INDIRECT("'["&amp;G877&amp;"]"&amp;E877&amp;"'!"&amp;$Y$3),0)</f>
        <v>#VALUE!</v>
      </c>
      <c r="N877" s="34" t="e" cm="1">
        <f t="array" aca="1" ref="N877" ca="1">IF(AND(G877=INDIRECT("'["&amp;G877&amp;"]"&amp;E877&amp;"'!"&amp;$AH$2),OR(K877=INDIRECT("'["&amp;G877&amp;"]"&amp;E877&amp;"'!"&amp;$Z$2))),INDIRECT("'["&amp;G877&amp;"]"&amp;E877&amp;"'!"&amp;$Z$3),0)</f>
        <v>#VALUE!</v>
      </c>
      <c r="O877" s="34" t="e" cm="1">
        <f t="array" aca="1" ref="O877" ca="1">IF(AND(G877=INDIRECT("'["&amp;G877&amp;"]"&amp;E877&amp;"'!"&amp;$AH$2),OR(L877=INDIRECT("'["&amp;G877&amp;"]"&amp;E877&amp;"'!"&amp;$AA$2))),INDIRECT("'["&amp;G877&amp;"]"&amp;E877&amp;"'!"&amp;$AA$3),0)</f>
        <v>#VALUE!</v>
      </c>
      <c r="P877" s="34" t="e" cm="1">
        <f t="array" aca="1" ref="P877" ca="1">IF(AND(G877=INDIRECT("'["&amp;G877&amp;"]"&amp;E877&amp;"'!"&amp;$AH$2),OR(VALUE(I877)=INDIRECT("'["&amp;G877&amp;"]"&amp;E877&amp;"'!"&amp;$AB$2))),INDIRECT("'["&amp;G877&amp;"]"&amp;E877&amp;"'!"&amp;$AB$3),0)</f>
        <v>#VALUE!</v>
      </c>
      <c r="Q877" s="34" t="e" cm="1">
        <f t="array" aca="1" ref="Q877" ca="1">IF(AND(G877=INDIRECT("'["&amp;G877&amp;"]"&amp;E877&amp;"'!"&amp;$AH$2),OR(VALUE(I877)=INDIRECT("'["&amp;G877&amp;"]"&amp;E877&amp;"'!"&amp;$AC$2))),INDIRECT("'["&amp;G877&amp;"]"&amp;E877&amp;"'!"&amp;$AC$3),0)</f>
        <v>#VALUE!</v>
      </c>
      <c r="R877" s="34" t="e" cm="1">
        <f t="array" aca="1" ref="R877" ca="1">IF(AND(G877=INDIRECT("'["&amp;G877&amp;"]"&amp;E877&amp;"'!"&amp;$AH$2),OR(I877=INDIRECT("'["&amp;G877&amp;"]"&amp;E877&amp;"'!"&amp;$AD$2))),INDIRECT("'["&amp;G877&amp;"]"&amp;E877&amp;"'!"&amp;$AD$3),0)</f>
        <v>#VALUE!</v>
      </c>
      <c r="S877" s="34" t="e" cm="1">
        <f t="array" aca="1" ref="S877" ca="1">IF(AND(G877=INDIRECT("'["&amp;G877&amp;"]"&amp;E877&amp;"'!"&amp;$AH$2),OR(I877=INDIRECT("'["&amp;G877&amp;"]"&amp;E877&amp;"'!"&amp;$AE$2))),INDIRECT("'["&amp;G877&amp;"]"&amp;E877&amp;"'!"&amp;$AE$3),0)</f>
        <v>#VALUE!</v>
      </c>
      <c r="T877" s="35" t="e" cm="1">
        <f t="array" aca="1" ref="T877" ca="1">IF(AND(G877=INDIRECT("'["&amp;G877&amp;"]"&amp;E877&amp;"'!"&amp;$AH$2),OR(I877=INDIRECT("'["&amp;G877&amp;"]"&amp;E877&amp;"'!"&amp;$AF$2))),INDIRECT("'["&amp;G877&amp;"]"&amp;E877&amp;"'!"&amp;$AF$3),0)</f>
        <v>#VALUE!</v>
      </c>
      <c r="U877" s="34" t="e" cm="1">
        <f t="array" aca="1" ref="U877" ca="1">IF(AND(G877=INDIRECT("'["&amp;G877&amp;"]"&amp;E877&amp;"'!"&amp;$AH$2),OR(I877=INDIRECT("'["&amp;G877&amp;"]"&amp;E877&amp;"'!"&amp;$AG$2))),INDIRECT("'["&amp;G877&amp;"]"&amp;E877&amp;"'!"&amp;$AG$3),0)</f>
        <v>#VALUE!</v>
      </c>
      <c r="V877" s="25" t="str">
        <f t="shared" si="227"/>
        <v/>
      </c>
      <c r="W877" s="36" t="e" cm="1">
        <f t="array" aca="1" ref="W877" ca="1">IF(AND(G877=INDIRECT("'["&amp;G877&amp;"]"&amp;E877&amp;"'!"&amp;$AH$2),OR(V877=INDIRECT("'["&amp;G877&amp;"]"&amp;E877&amp;"'!"&amp;$AI$2))),INDIRECT("'["&amp;G877&amp;"]"&amp;E877&amp;"'!"&amp;$AI$3),0)</f>
        <v>#VALUE!</v>
      </c>
      <c r="AJ877" s="25">
        <v>1</v>
      </c>
      <c r="AK877" s="38">
        <f t="shared" ca="1" si="228"/>
        <v>0</v>
      </c>
      <c r="AL877" s="38">
        <f t="shared" ca="1" si="229"/>
        <v>0</v>
      </c>
      <c r="AM877" s="54" t="str">
        <f t="shared" ca="1" si="230"/>
        <v/>
      </c>
      <c r="AN877" s="25" t="e">
        <f t="shared" ca="1" si="231"/>
        <v>#VALUE!</v>
      </c>
      <c r="AO877" s="25" t="e">
        <f t="shared" ca="1" si="232"/>
        <v>#VALUE!</v>
      </c>
      <c r="AQ877" s="46" t="str">
        <f ca="1">IF(AND(C877&lt;&gt;0, C878=0), SUM($C$2:C877)-SUM($AQ$1:AQ876), "")</f>
        <v/>
      </c>
      <c r="AR877" s="46" t="str">
        <f ca="1">IF(AND(AK877&lt;&gt;0, AK878=0), SUM($AK$2:AK877)-SUM($AR$1:AR876), "")</f>
        <v/>
      </c>
    </row>
    <row r="878" spans="2:44" ht="13.15" customHeight="1">
      <c r="B878" s="68" t="str">
        <f t="shared" si="218"/>
        <v/>
      </c>
      <c r="C878" s="55" cm="1">
        <f t="array" aca="1" ref="C878" ca="1">SUM(IF(ISNUMBER(M878:U878),M878:U878,""))</f>
        <v>0</v>
      </c>
      <c r="D878" s="25" t="str">
        <f t="shared" si="219"/>
        <v/>
      </c>
      <c r="E878" s="25" t="e">
        <f t="shared" si="220"/>
        <v>#VALUE!</v>
      </c>
      <c r="F878" s="25" t="str">
        <f t="shared" si="221"/>
        <v/>
      </c>
      <c r="G878" s="25" t="str">
        <f t="shared" si="222"/>
        <v>.xlsx</v>
      </c>
      <c r="H878" s="29" t="e" cm="1">
        <f t="array" aca="1" ref="H878" ca="1">IF(AND(VALUE(E878)=INDIRECT("'["&amp;G878&amp;"]"&amp;E878&amp;"'!"&amp;$X$2),G878=INDIRECT("'["&amp;G878&amp;"]"&amp;E878&amp;"'!"&amp;$X$3)),INDIRECT("'["&amp;G878&amp;"]"&amp;E878&amp;"'!"&amp;$X$1),0)</f>
        <v>#VALUE!</v>
      </c>
      <c r="I878" s="25" t="str">
        <f t="shared" si="223"/>
        <v/>
      </c>
      <c r="J878" s="32" t="str">
        <f t="shared" si="224"/>
        <v/>
      </c>
      <c r="K878" s="25" t="str">
        <f t="shared" si="225"/>
        <v/>
      </c>
      <c r="L878" s="25" t="str">
        <f t="shared" si="226"/>
        <v/>
      </c>
      <c r="M878" s="33" t="e" cm="1">
        <f t="array" aca="1" ref="M878" ca="1">IF(AND(J878=INDIRECT("'["&amp;G878&amp;"]"&amp;E878&amp;"'!"&amp;$Y$2),G878=INDIRECT("'["&amp;G878&amp;"]"&amp;E878&amp;"'!"&amp;$AH$2)),INDIRECT("'["&amp;G878&amp;"]"&amp;E878&amp;"'!"&amp;$Y$3),0)</f>
        <v>#VALUE!</v>
      </c>
      <c r="N878" s="34" t="e" cm="1">
        <f t="array" aca="1" ref="N878" ca="1">IF(AND(G878=INDIRECT("'["&amp;G878&amp;"]"&amp;E878&amp;"'!"&amp;$AH$2),OR(K878=INDIRECT("'["&amp;G878&amp;"]"&amp;E878&amp;"'!"&amp;$Z$2))),INDIRECT("'["&amp;G878&amp;"]"&amp;E878&amp;"'!"&amp;$Z$3),0)</f>
        <v>#VALUE!</v>
      </c>
      <c r="O878" s="34" t="e" cm="1">
        <f t="array" aca="1" ref="O878" ca="1">IF(AND(G878=INDIRECT("'["&amp;G878&amp;"]"&amp;E878&amp;"'!"&amp;$AH$2),OR(L878=INDIRECT("'["&amp;G878&amp;"]"&amp;E878&amp;"'!"&amp;$AA$2))),INDIRECT("'["&amp;G878&amp;"]"&amp;E878&amp;"'!"&amp;$AA$3),0)</f>
        <v>#VALUE!</v>
      </c>
      <c r="P878" s="34" t="e" cm="1">
        <f t="array" aca="1" ref="P878" ca="1">IF(AND(G878=INDIRECT("'["&amp;G878&amp;"]"&amp;E878&amp;"'!"&amp;$AH$2),OR(VALUE(I878)=INDIRECT("'["&amp;G878&amp;"]"&amp;E878&amp;"'!"&amp;$AB$2))),INDIRECT("'["&amp;G878&amp;"]"&amp;E878&amp;"'!"&amp;$AB$3),0)</f>
        <v>#VALUE!</v>
      </c>
      <c r="Q878" s="34" t="e" cm="1">
        <f t="array" aca="1" ref="Q878" ca="1">IF(AND(G878=INDIRECT("'["&amp;G878&amp;"]"&amp;E878&amp;"'!"&amp;$AH$2),OR(VALUE(I878)=INDIRECT("'["&amp;G878&amp;"]"&amp;E878&amp;"'!"&amp;$AC$2))),INDIRECT("'["&amp;G878&amp;"]"&amp;E878&amp;"'!"&amp;$AC$3),0)</f>
        <v>#VALUE!</v>
      </c>
      <c r="R878" s="34" t="e" cm="1">
        <f t="array" aca="1" ref="R878" ca="1">IF(AND(G878=INDIRECT("'["&amp;G878&amp;"]"&amp;E878&amp;"'!"&amp;$AH$2),OR(I878=INDIRECT("'["&amp;G878&amp;"]"&amp;E878&amp;"'!"&amp;$AD$2))),INDIRECT("'["&amp;G878&amp;"]"&amp;E878&amp;"'!"&amp;$AD$3),0)</f>
        <v>#VALUE!</v>
      </c>
      <c r="S878" s="34" t="e" cm="1">
        <f t="array" aca="1" ref="S878" ca="1">IF(AND(G878=INDIRECT("'["&amp;G878&amp;"]"&amp;E878&amp;"'!"&amp;$AH$2),OR(I878=INDIRECT("'["&amp;G878&amp;"]"&amp;E878&amp;"'!"&amp;$AE$2))),INDIRECT("'["&amp;G878&amp;"]"&amp;E878&amp;"'!"&amp;$AE$3),0)</f>
        <v>#VALUE!</v>
      </c>
      <c r="T878" s="35" t="e" cm="1">
        <f t="array" aca="1" ref="T878" ca="1">IF(AND(G878=INDIRECT("'["&amp;G878&amp;"]"&amp;E878&amp;"'!"&amp;$AH$2),OR(I878=INDIRECT("'["&amp;G878&amp;"]"&amp;E878&amp;"'!"&amp;$AF$2))),INDIRECT("'["&amp;G878&amp;"]"&amp;E878&amp;"'!"&amp;$AF$3),0)</f>
        <v>#VALUE!</v>
      </c>
      <c r="U878" s="34" t="e" cm="1">
        <f t="array" aca="1" ref="U878" ca="1">IF(AND(G878=INDIRECT("'["&amp;G878&amp;"]"&amp;E878&amp;"'!"&amp;$AH$2),OR(I878=INDIRECT("'["&amp;G878&amp;"]"&amp;E878&amp;"'!"&amp;$AG$2))),INDIRECT("'["&amp;G878&amp;"]"&amp;E878&amp;"'!"&amp;$AG$3),0)</f>
        <v>#VALUE!</v>
      </c>
      <c r="V878" s="25" t="str">
        <f t="shared" si="227"/>
        <v/>
      </c>
      <c r="W878" s="36" t="e" cm="1">
        <f t="array" aca="1" ref="W878" ca="1">IF(AND(G878=INDIRECT("'["&amp;G878&amp;"]"&amp;E878&amp;"'!"&amp;$AH$2),OR(V878=INDIRECT("'["&amp;G878&amp;"]"&amp;E878&amp;"'!"&amp;$AI$2))),INDIRECT("'["&amp;G878&amp;"]"&amp;E878&amp;"'!"&amp;$AI$3),0)</f>
        <v>#VALUE!</v>
      </c>
      <c r="AJ878" s="25">
        <v>1</v>
      </c>
      <c r="AK878" s="38">
        <f t="shared" ca="1" si="228"/>
        <v>0</v>
      </c>
      <c r="AL878" s="38">
        <f t="shared" ca="1" si="229"/>
        <v>0</v>
      </c>
      <c r="AM878" s="54" t="str">
        <f t="shared" ca="1" si="230"/>
        <v/>
      </c>
      <c r="AN878" s="25" t="e">
        <f t="shared" ca="1" si="231"/>
        <v>#VALUE!</v>
      </c>
      <c r="AO878" s="25" t="e">
        <f t="shared" ca="1" si="232"/>
        <v>#VALUE!</v>
      </c>
      <c r="AQ878" s="46" t="str">
        <f ca="1">IF(AND(C878&lt;&gt;0, C879=0), SUM($C$2:C878)-SUM($AQ$1:AQ877), "")</f>
        <v/>
      </c>
      <c r="AR878" s="46" t="str">
        <f ca="1">IF(AND(AK878&lt;&gt;0, AK879=0), SUM($AK$2:AK878)-SUM($AR$1:AR877), "")</f>
        <v/>
      </c>
    </row>
    <row r="879" spans="2:44" ht="13.15" customHeight="1">
      <c r="B879" s="68" t="str">
        <f t="shared" si="218"/>
        <v/>
      </c>
      <c r="C879" s="55" cm="1">
        <f t="array" aca="1" ref="C879" ca="1">SUM(IF(ISNUMBER(M879:U879),M879:U879,""))</f>
        <v>0</v>
      </c>
      <c r="D879" s="25" t="str">
        <f t="shared" si="219"/>
        <v/>
      </c>
      <c r="E879" s="25" t="e">
        <f t="shared" si="220"/>
        <v>#VALUE!</v>
      </c>
      <c r="F879" s="25" t="str">
        <f t="shared" si="221"/>
        <v/>
      </c>
      <c r="G879" s="25" t="str">
        <f t="shared" si="222"/>
        <v>.xlsx</v>
      </c>
      <c r="H879" s="29" t="e" cm="1">
        <f t="array" aca="1" ref="H879" ca="1">IF(AND(VALUE(E879)=INDIRECT("'["&amp;G879&amp;"]"&amp;E879&amp;"'!"&amp;$X$2),G879=INDIRECT("'["&amp;G879&amp;"]"&amp;E879&amp;"'!"&amp;$X$3)),INDIRECT("'["&amp;G879&amp;"]"&amp;E879&amp;"'!"&amp;$X$1),0)</f>
        <v>#VALUE!</v>
      </c>
      <c r="I879" s="25" t="str">
        <f t="shared" si="223"/>
        <v/>
      </c>
      <c r="J879" s="32" t="str">
        <f t="shared" si="224"/>
        <v/>
      </c>
      <c r="K879" s="25" t="str">
        <f t="shared" si="225"/>
        <v/>
      </c>
      <c r="L879" s="25" t="str">
        <f t="shared" si="226"/>
        <v/>
      </c>
      <c r="M879" s="33" t="e" cm="1">
        <f t="array" aca="1" ref="M879" ca="1">IF(AND(J879=INDIRECT("'["&amp;G879&amp;"]"&amp;E879&amp;"'!"&amp;$Y$2),G879=INDIRECT("'["&amp;G879&amp;"]"&amp;E879&amp;"'!"&amp;$AH$2)),INDIRECT("'["&amp;G879&amp;"]"&amp;E879&amp;"'!"&amp;$Y$3),0)</f>
        <v>#VALUE!</v>
      </c>
      <c r="N879" s="34" t="e" cm="1">
        <f t="array" aca="1" ref="N879" ca="1">IF(AND(G879=INDIRECT("'["&amp;G879&amp;"]"&amp;E879&amp;"'!"&amp;$AH$2),OR(K879=INDIRECT("'["&amp;G879&amp;"]"&amp;E879&amp;"'!"&amp;$Z$2))),INDIRECT("'["&amp;G879&amp;"]"&amp;E879&amp;"'!"&amp;$Z$3),0)</f>
        <v>#VALUE!</v>
      </c>
      <c r="O879" s="34" t="e" cm="1">
        <f t="array" aca="1" ref="O879" ca="1">IF(AND(G879=INDIRECT("'["&amp;G879&amp;"]"&amp;E879&amp;"'!"&amp;$AH$2),OR(L879=INDIRECT("'["&amp;G879&amp;"]"&amp;E879&amp;"'!"&amp;$AA$2))),INDIRECT("'["&amp;G879&amp;"]"&amp;E879&amp;"'!"&amp;$AA$3),0)</f>
        <v>#VALUE!</v>
      </c>
      <c r="P879" s="34" t="e" cm="1">
        <f t="array" aca="1" ref="P879" ca="1">IF(AND(G879=INDIRECT("'["&amp;G879&amp;"]"&amp;E879&amp;"'!"&amp;$AH$2),OR(VALUE(I879)=INDIRECT("'["&amp;G879&amp;"]"&amp;E879&amp;"'!"&amp;$AB$2))),INDIRECT("'["&amp;G879&amp;"]"&amp;E879&amp;"'!"&amp;$AB$3),0)</f>
        <v>#VALUE!</v>
      </c>
      <c r="Q879" s="34" t="e" cm="1">
        <f t="array" aca="1" ref="Q879" ca="1">IF(AND(G879=INDIRECT("'["&amp;G879&amp;"]"&amp;E879&amp;"'!"&amp;$AH$2),OR(VALUE(I879)=INDIRECT("'["&amp;G879&amp;"]"&amp;E879&amp;"'!"&amp;$AC$2))),INDIRECT("'["&amp;G879&amp;"]"&amp;E879&amp;"'!"&amp;$AC$3),0)</f>
        <v>#VALUE!</v>
      </c>
      <c r="R879" s="34" t="e" cm="1">
        <f t="array" aca="1" ref="R879" ca="1">IF(AND(G879=INDIRECT("'["&amp;G879&amp;"]"&amp;E879&amp;"'!"&amp;$AH$2),OR(I879=INDIRECT("'["&amp;G879&amp;"]"&amp;E879&amp;"'!"&amp;$AD$2))),INDIRECT("'["&amp;G879&amp;"]"&amp;E879&amp;"'!"&amp;$AD$3),0)</f>
        <v>#VALUE!</v>
      </c>
      <c r="S879" s="34" t="e" cm="1">
        <f t="array" aca="1" ref="S879" ca="1">IF(AND(G879=INDIRECT("'["&amp;G879&amp;"]"&amp;E879&amp;"'!"&amp;$AH$2),OR(I879=INDIRECT("'["&amp;G879&amp;"]"&amp;E879&amp;"'!"&amp;$AE$2))),INDIRECT("'["&amp;G879&amp;"]"&amp;E879&amp;"'!"&amp;$AE$3),0)</f>
        <v>#VALUE!</v>
      </c>
      <c r="T879" s="35" t="e" cm="1">
        <f t="array" aca="1" ref="T879" ca="1">IF(AND(G879=INDIRECT("'["&amp;G879&amp;"]"&amp;E879&amp;"'!"&amp;$AH$2),OR(I879=INDIRECT("'["&amp;G879&amp;"]"&amp;E879&amp;"'!"&amp;$AF$2))),INDIRECT("'["&amp;G879&amp;"]"&amp;E879&amp;"'!"&amp;$AF$3),0)</f>
        <v>#VALUE!</v>
      </c>
      <c r="U879" s="34" t="e" cm="1">
        <f t="array" aca="1" ref="U879" ca="1">IF(AND(G879=INDIRECT("'["&amp;G879&amp;"]"&amp;E879&amp;"'!"&amp;$AH$2),OR(I879=INDIRECT("'["&amp;G879&amp;"]"&amp;E879&amp;"'!"&amp;$AG$2))),INDIRECT("'["&amp;G879&amp;"]"&amp;E879&amp;"'!"&amp;$AG$3),0)</f>
        <v>#VALUE!</v>
      </c>
      <c r="V879" s="25" t="str">
        <f t="shared" si="227"/>
        <v/>
      </c>
      <c r="W879" s="36" t="e" cm="1">
        <f t="array" aca="1" ref="W879" ca="1">IF(AND(G879=INDIRECT("'["&amp;G879&amp;"]"&amp;E879&amp;"'!"&amp;$AH$2),OR(V879=INDIRECT("'["&amp;G879&amp;"]"&amp;E879&amp;"'!"&amp;$AI$2))),INDIRECT("'["&amp;G879&amp;"]"&amp;E879&amp;"'!"&amp;$AI$3),0)</f>
        <v>#VALUE!</v>
      </c>
      <c r="AJ879" s="25">
        <v>1</v>
      </c>
      <c r="AK879" s="38">
        <f t="shared" ca="1" si="228"/>
        <v>0</v>
      </c>
      <c r="AL879" s="38">
        <f t="shared" ca="1" si="229"/>
        <v>0</v>
      </c>
      <c r="AM879" s="54" t="str">
        <f t="shared" ca="1" si="230"/>
        <v/>
      </c>
      <c r="AN879" s="25" t="e">
        <f t="shared" ca="1" si="231"/>
        <v>#VALUE!</v>
      </c>
      <c r="AO879" s="25" t="e">
        <f t="shared" ca="1" si="232"/>
        <v>#VALUE!</v>
      </c>
      <c r="AQ879" s="46" t="str">
        <f ca="1">IF(AND(C879&lt;&gt;0, C880=0), SUM($C$2:C879)-SUM($AQ$1:AQ878), "")</f>
        <v/>
      </c>
      <c r="AR879" s="46" t="str">
        <f ca="1">IF(AND(AK879&lt;&gt;0, AK880=0), SUM($AK$2:AK879)-SUM($AR$1:AR878), "")</f>
        <v/>
      </c>
    </row>
    <row r="880" spans="2:44" ht="13.15" customHeight="1">
      <c r="B880" s="68" t="str">
        <f t="shared" si="218"/>
        <v/>
      </c>
      <c r="C880" s="55" cm="1">
        <f t="array" aca="1" ref="C880" ca="1">SUM(IF(ISNUMBER(M880:U880),M880:U880,""))</f>
        <v>0</v>
      </c>
      <c r="D880" s="25" t="str">
        <f t="shared" si="219"/>
        <v/>
      </c>
      <c r="E880" s="25" t="e">
        <f t="shared" si="220"/>
        <v>#VALUE!</v>
      </c>
      <c r="F880" s="25" t="str">
        <f t="shared" si="221"/>
        <v/>
      </c>
      <c r="G880" s="25" t="str">
        <f t="shared" si="222"/>
        <v>.xlsx</v>
      </c>
      <c r="H880" s="29" t="e" cm="1">
        <f t="array" aca="1" ref="H880" ca="1">IF(AND(VALUE(E880)=INDIRECT("'["&amp;G880&amp;"]"&amp;E880&amp;"'!"&amp;$X$2),G880=INDIRECT("'["&amp;G880&amp;"]"&amp;E880&amp;"'!"&amp;$X$3)),INDIRECT("'["&amp;G880&amp;"]"&amp;E880&amp;"'!"&amp;$X$1),0)</f>
        <v>#VALUE!</v>
      </c>
      <c r="I880" s="25" t="str">
        <f t="shared" si="223"/>
        <v/>
      </c>
      <c r="J880" s="32" t="str">
        <f t="shared" si="224"/>
        <v/>
      </c>
      <c r="K880" s="25" t="str">
        <f t="shared" si="225"/>
        <v/>
      </c>
      <c r="L880" s="25" t="str">
        <f t="shared" si="226"/>
        <v/>
      </c>
      <c r="M880" s="33" t="e" cm="1">
        <f t="array" aca="1" ref="M880" ca="1">IF(AND(J880=INDIRECT("'["&amp;G880&amp;"]"&amp;E880&amp;"'!"&amp;$Y$2),G880=INDIRECT("'["&amp;G880&amp;"]"&amp;E880&amp;"'!"&amp;$AH$2)),INDIRECT("'["&amp;G880&amp;"]"&amp;E880&amp;"'!"&amp;$Y$3),0)</f>
        <v>#VALUE!</v>
      </c>
      <c r="N880" s="34" t="e" cm="1">
        <f t="array" aca="1" ref="N880" ca="1">IF(AND(G880=INDIRECT("'["&amp;G880&amp;"]"&amp;E880&amp;"'!"&amp;$AH$2),OR(K880=INDIRECT("'["&amp;G880&amp;"]"&amp;E880&amp;"'!"&amp;$Z$2))),INDIRECT("'["&amp;G880&amp;"]"&amp;E880&amp;"'!"&amp;$Z$3),0)</f>
        <v>#VALUE!</v>
      </c>
      <c r="O880" s="34" t="e" cm="1">
        <f t="array" aca="1" ref="O880" ca="1">IF(AND(G880=INDIRECT("'["&amp;G880&amp;"]"&amp;E880&amp;"'!"&amp;$AH$2),OR(L880=INDIRECT("'["&amp;G880&amp;"]"&amp;E880&amp;"'!"&amp;$AA$2))),INDIRECT("'["&amp;G880&amp;"]"&amp;E880&amp;"'!"&amp;$AA$3),0)</f>
        <v>#VALUE!</v>
      </c>
      <c r="P880" s="34" t="e" cm="1">
        <f t="array" aca="1" ref="P880" ca="1">IF(AND(G880=INDIRECT("'["&amp;G880&amp;"]"&amp;E880&amp;"'!"&amp;$AH$2),OR(VALUE(I880)=INDIRECT("'["&amp;G880&amp;"]"&amp;E880&amp;"'!"&amp;$AB$2))),INDIRECT("'["&amp;G880&amp;"]"&amp;E880&amp;"'!"&amp;$AB$3),0)</f>
        <v>#VALUE!</v>
      </c>
      <c r="Q880" s="34" t="e" cm="1">
        <f t="array" aca="1" ref="Q880" ca="1">IF(AND(G880=INDIRECT("'["&amp;G880&amp;"]"&amp;E880&amp;"'!"&amp;$AH$2),OR(VALUE(I880)=INDIRECT("'["&amp;G880&amp;"]"&amp;E880&amp;"'!"&amp;$AC$2))),INDIRECT("'["&amp;G880&amp;"]"&amp;E880&amp;"'!"&amp;$AC$3),0)</f>
        <v>#VALUE!</v>
      </c>
      <c r="R880" s="34" t="e" cm="1">
        <f t="array" aca="1" ref="R880" ca="1">IF(AND(G880=INDIRECT("'["&amp;G880&amp;"]"&amp;E880&amp;"'!"&amp;$AH$2),OR(I880=INDIRECT("'["&amp;G880&amp;"]"&amp;E880&amp;"'!"&amp;$AD$2))),INDIRECT("'["&amp;G880&amp;"]"&amp;E880&amp;"'!"&amp;$AD$3),0)</f>
        <v>#VALUE!</v>
      </c>
      <c r="S880" s="34" t="e" cm="1">
        <f t="array" aca="1" ref="S880" ca="1">IF(AND(G880=INDIRECT("'["&amp;G880&amp;"]"&amp;E880&amp;"'!"&amp;$AH$2),OR(I880=INDIRECT("'["&amp;G880&amp;"]"&amp;E880&amp;"'!"&amp;$AE$2))),INDIRECT("'["&amp;G880&amp;"]"&amp;E880&amp;"'!"&amp;$AE$3),0)</f>
        <v>#VALUE!</v>
      </c>
      <c r="T880" s="35" t="e" cm="1">
        <f t="array" aca="1" ref="T880" ca="1">IF(AND(G880=INDIRECT("'["&amp;G880&amp;"]"&amp;E880&amp;"'!"&amp;$AH$2),OR(I880=INDIRECT("'["&amp;G880&amp;"]"&amp;E880&amp;"'!"&amp;$AF$2))),INDIRECT("'["&amp;G880&amp;"]"&amp;E880&amp;"'!"&amp;$AF$3),0)</f>
        <v>#VALUE!</v>
      </c>
      <c r="U880" s="34" t="e" cm="1">
        <f t="array" aca="1" ref="U880" ca="1">IF(AND(G880=INDIRECT("'["&amp;G880&amp;"]"&amp;E880&amp;"'!"&amp;$AH$2),OR(I880=INDIRECT("'["&amp;G880&amp;"]"&amp;E880&amp;"'!"&amp;$AG$2))),INDIRECT("'["&amp;G880&amp;"]"&amp;E880&amp;"'!"&amp;$AG$3),0)</f>
        <v>#VALUE!</v>
      </c>
      <c r="V880" s="25" t="str">
        <f t="shared" si="227"/>
        <v/>
      </c>
      <c r="W880" s="36" t="e" cm="1">
        <f t="array" aca="1" ref="W880" ca="1">IF(AND(G880=INDIRECT("'["&amp;G880&amp;"]"&amp;E880&amp;"'!"&amp;$AH$2),OR(V880=INDIRECT("'["&amp;G880&amp;"]"&amp;E880&amp;"'!"&amp;$AI$2))),INDIRECT("'["&amp;G880&amp;"]"&amp;E880&amp;"'!"&amp;$AI$3),0)</f>
        <v>#VALUE!</v>
      </c>
      <c r="AJ880" s="25">
        <v>1</v>
      </c>
      <c r="AK880" s="38">
        <f t="shared" ca="1" si="228"/>
        <v>0</v>
      </c>
      <c r="AL880" s="38">
        <f t="shared" ca="1" si="229"/>
        <v>0</v>
      </c>
      <c r="AM880" s="54" t="str">
        <f t="shared" ca="1" si="230"/>
        <v/>
      </c>
      <c r="AN880" s="25" t="e">
        <f t="shared" ca="1" si="231"/>
        <v>#VALUE!</v>
      </c>
      <c r="AO880" s="25" t="e">
        <f t="shared" ca="1" si="232"/>
        <v>#VALUE!</v>
      </c>
      <c r="AQ880" s="46" t="str">
        <f ca="1">IF(AND(C880&lt;&gt;0, C881=0), SUM($C$2:C880)-SUM($AQ$1:AQ879), "")</f>
        <v/>
      </c>
      <c r="AR880" s="46" t="str">
        <f ca="1">IF(AND(AK880&lt;&gt;0, AK881=0), SUM($AK$2:AK880)-SUM($AR$1:AR879), "")</f>
        <v/>
      </c>
    </row>
    <row r="881" spans="2:44" ht="13.15" customHeight="1">
      <c r="B881" s="68" t="str">
        <f t="shared" si="218"/>
        <v/>
      </c>
      <c r="C881" s="55" cm="1">
        <f t="array" aca="1" ref="C881" ca="1">SUM(IF(ISNUMBER(M881:U881),M881:U881,""))</f>
        <v>0</v>
      </c>
      <c r="D881" s="25" t="str">
        <f t="shared" si="219"/>
        <v/>
      </c>
      <c r="E881" s="25" t="e">
        <f t="shared" si="220"/>
        <v>#VALUE!</v>
      </c>
      <c r="F881" s="25" t="str">
        <f t="shared" si="221"/>
        <v/>
      </c>
      <c r="G881" s="25" t="str">
        <f t="shared" si="222"/>
        <v>.xlsx</v>
      </c>
      <c r="H881" s="29" t="e" cm="1">
        <f t="array" aca="1" ref="H881" ca="1">IF(AND(VALUE(E881)=INDIRECT("'["&amp;G881&amp;"]"&amp;E881&amp;"'!"&amp;$X$2),G881=INDIRECT("'["&amp;G881&amp;"]"&amp;E881&amp;"'!"&amp;$X$3)),INDIRECT("'["&amp;G881&amp;"]"&amp;E881&amp;"'!"&amp;$X$1),0)</f>
        <v>#VALUE!</v>
      </c>
      <c r="I881" s="25" t="str">
        <f t="shared" si="223"/>
        <v/>
      </c>
      <c r="J881" s="32" t="str">
        <f t="shared" si="224"/>
        <v/>
      </c>
      <c r="K881" s="25" t="str">
        <f t="shared" si="225"/>
        <v/>
      </c>
      <c r="L881" s="25" t="str">
        <f t="shared" si="226"/>
        <v/>
      </c>
      <c r="M881" s="33" t="e" cm="1">
        <f t="array" aca="1" ref="M881" ca="1">IF(AND(J881=INDIRECT("'["&amp;G881&amp;"]"&amp;E881&amp;"'!"&amp;$Y$2),G881=INDIRECT("'["&amp;G881&amp;"]"&amp;E881&amp;"'!"&amp;$AH$2)),INDIRECT("'["&amp;G881&amp;"]"&amp;E881&amp;"'!"&amp;$Y$3),0)</f>
        <v>#VALUE!</v>
      </c>
      <c r="N881" s="34" t="e" cm="1">
        <f t="array" aca="1" ref="N881" ca="1">IF(AND(G881=INDIRECT("'["&amp;G881&amp;"]"&amp;E881&amp;"'!"&amp;$AH$2),OR(K881=INDIRECT("'["&amp;G881&amp;"]"&amp;E881&amp;"'!"&amp;$Z$2))),INDIRECT("'["&amp;G881&amp;"]"&amp;E881&amp;"'!"&amp;$Z$3),0)</f>
        <v>#VALUE!</v>
      </c>
      <c r="O881" s="34" t="e" cm="1">
        <f t="array" aca="1" ref="O881" ca="1">IF(AND(G881=INDIRECT("'["&amp;G881&amp;"]"&amp;E881&amp;"'!"&amp;$AH$2),OR(L881=INDIRECT("'["&amp;G881&amp;"]"&amp;E881&amp;"'!"&amp;$AA$2))),INDIRECT("'["&amp;G881&amp;"]"&amp;E881&amp;"'!"&amp;$AA$3),0)</f>
        <v>#VALUE!</v>
      </c>
      <c r="P881" s="34" t="e" cm="1">
        <f t="array" aca="1" ref="P881" ca="1">IF(AND(G881=INDIRECT("'["&amp;G881&amp;"]"&amp;E881&amp;"'!"&amp;$AH$2),OR(VALUE(I881)=INDIRECT("'["&amp;G881&amp;"]"&amp;E881&amp;"'!"&amp;$AB$2))),INDIRECT("'["&amp;G881&amp;"]"&amp;E881&amp;"'!"&amp;$AB$3),0)</f>
        <v>#VALUE!</v>
      </c>
      <c r="Q881" s="34" t="e" cm="1">
        <f t="array" aca="1" ref="Q881" ca="1">IF(AND(G881=INDIRECT("'["&amp;G881&amp;"]"&amp;E881&amp;"'!"&amp;$AH$2),OR(VALUE(I881)=INDIRECT("'["&amp;G881&amp;"]"&amp;E881&amp;"'!"&amp;$AC$2))),INDIRECT("'["&amp;G881&amp;"]"&amp;E881&amp;"'!"&amp;$AC$3),0)</f>
        <v>#VALUE!</v>
      </c>
      <c r="R881" s="34" t="e" cm="1">
        <f t="array" aca="1" ref="R881" ca="1">IF(AND(G881=INDIRECT("'["&amp;G881&amp;"]"&amp;E881&amp;"'!"&amp;$AH$2),OR(I881=INDIRECT("'["&amp;G881&amp;"]"&amp;E881&amp;"'!"&amp;$AD$2))),INDIRECT("'["&amp;G881&amp;"]"&amp;E881&amp;"'!"&amp;$AD$3),0)</f>
        <v>#VALUE!</v>
      </c>
      <c r="S881" s="34" t="e" cm="1">
        <f t="array" aca="1" ref="S881" ca="1">IF(AND(G881=INDIRECT("'["&amp;G881&amp;"]"&amp;E881&amp;"'!"&amp;$AH$2),OR(I881=INDIRECT("'["&amp;G881&amp;"]"&amp;E881&amp;"'!"&amp;$AE$2))),INDIRECT("'["&amp;G881&amp;"]"&amp;E881&amp;"'!"&amp;$AE$3),0)</f>
        <v>#VALUE!</v>
      </c>
      <c r="T881" s="35" t="e" cm="1">
        <f t="array" aca="1" ref="T881" ca="1">IF(AND(G881=INDIRECT("'["&amp;G881&amp;"]"&amp;E881&amp;"'!"&amp;$AH$2),OR(I881=INDIRECT("'["&amp;G881&amp;"]"&amp;E881&amp;"'!"&amp;$AF$2))),INDIRECT("'["&amp;G881&amp;"]"&amp;E881&amp;"'!"&amp;$AF$3),0)</f>
        <v>#VALUE!</v>
      </c>
      <c r="U881" s="34" t="e" cm="1">
        <f t="array" aca="1" ref="U881" ca="1">IF(AND(G881=INDIRECT("'["&amp;G881&amp;"]"&amp;E881&amp;"'!"&amp;$AH$2),OR(I881=INDIRECT("'["&amp;G881&amp;"]"&amp;E881&amp;"'!"&amp;$AG$2))),INDIRECT("'["&amp;G881&amp;"]"&amp;E881&amp;"'!"&amp;$AG$3),0)</f>
        <v>#VALUE!</v>
      </c>
      <c r="V881" s="25" t="str">
        <f t="shared" si="227"/>
        <v/>
      </c>
      <c r="W881" s="36" t="e" cm="1">
        <f t="array" aca="1" ref="W881" ca="1">IF(AND(G881=INDIRECT("'["&amp;G881&amp;"]"&amp;E881&amp;"'!"&amp;$AH$2),OR(V881=INDIRECT("'["&amp;G881&amp;"]"&amp;E881&amp;"'!"&amp;$AI$2))),INDIRECT("'["&amp;G881&amp;"]"&amp;E881&amp;"'!"&amp;$AI$3),0)</f>
        <v>#VALUE!</v>
      </c>
      <c r="AJ881" s="25">
        <v>1</v>
      </c>
      <c r="AK881" s="38">
        <f t="shared" ca="1" si="228"/>
        <v>0</v>
      </c>
      <c r="AL881" s="38">
        <f t="shared" ca="1" si="229"/>
        <v>0</v>
      </c>
      <c r="AM881" s="54" t="str">
        <f t="shared" ca="1" si="230"/>
        <v/>
      </c>
      <c r="AN881" s="25" t="e">
        <f t="shared" ca="1" si="231"/>
        <v>#VALUE!</v>
      </c>
      <c r="AO881" s="25" t="e">
        <f t="shared" ca="1" si="232"/>
        <v>#VALUE!</v>
      </c>
      <c r="AQ881" s="46" t="str">
        <f ca="1">IF(AND(C881&lt;&gt;0, C882=0), SUM($C$2:C881)-SUM($AQ$1:AQ880), "")</f>
        <v/>
      </c>
      <c r="AR881" s="46" t="str">
        <f ca="1">IF(AND(AK881&lt;&gt;0, AK882=0), SUM($AK$2:AK881)-SUM($AR$1:AR880), "")</f>
        <v/>
      </c>
    </row>
    <row r="882" spans="2:44" ht="13.15" customHeight="1">
      <c r="B882" s="68" t="str">
        <f t="shared" si="218"/>
        <v/>
      </c>
      <c r="C882" s="55" cm="1">
        <f t="array" aca="1" ref="C882" ca="1">SUM(IF(ISNUMBER(M882:U882),M882:U882,""))</f>
        <v>0</v>
      </c>
      <c r="D882" s="25" t="str">
        <f t="shared" si="219"/>
        <v/>
      </c>
      <c r="E882" s="25" t="e">
        <f t="shared" si="220"/>
        <v>#VALUE!</v>
      </c>
      <c r="F882" s="25" t="str">
        <f t="shared" si="221"/>
        <v/>
      </c>
      <c r="G882" s="25" t="str">
        <f t="shared" si="222"/>
        <v>.xlsx</v>
      </c>
      <c r="H882" s="29" t="e" cm="1">
        <f t="array" aca="1" ref="H882" ca="1">IF(AND(VALUE(E882)=INDIRECT("'["&amp;G882&amp;"]"&amp;E882&amp;"'!"&amp;$X$2),G882=INDIRECT("'["&amp;G882&amp;"]"&amp;E882&amp;"'!"&amp;$X$3)),INDIRECT("'["&amp;G882&amp;"]"&amp;E882&amp;"'!"&amp;$X$1),0)</f>
        <v>#VALUE!</v>
      </c>
      <c r="I882" s="25" t="str">
        <f t="shared" si="223"/>
        <v/>
      </c>
      <c r="J882" s="32" t="str">
        <f t="shared" si="224"/>
        <v/>
      </c>
      <c r="K882" s="25" t="str">
        <f t="shared" si="225"/>
        <v/>
      </c>
      <c r="L882" s="25" t="str">
        <f t="shared" si="226"/>
        <v/>
      </c>
      <c r="M882" s="33" t="e" cm="1">
        <f t="array" aca="1" ref="M882" ca="1">IF(AND(J882=INDIRECT("'["&amp;G882&amp;"]"&amp;E882&amp;"'!"&amp;$Y$2),G882=INDIRECT("'["&amp;G882&amp;"]"&amp;E882&amp;"'!"&amp;$AH$2)),INDIRECT("'["&amp;G882&amp;"]"&amp;E882&amp;"'!"&amp;$Y$3),0)</f>
        <v>#VALUE!</v>
      </c>
      <c r="N882" s="34" t="e" cm="1">
        <f t="array" aca="1" ref="N882" ca="1">IF(AND(G882=INDIRECT("'["&amp;G882&amp;"]"&amp;E882&amp;"'!"&amp;$AH$2),OR(K882=INDIRECT("'["&amp;G882&amp;"]"&amp;E882&amp;"'!"&amp;$Z$2))),INDIRECT("'["&amp;G882&amp;"]"&amp;E882&amp;"'!"&amp;$Z$3),0)</f>
        <v>#VALUE!</v>
      </c>
      <c r="O882" s="34" t="e" cm="1">
        <f t="array" aca="1" ref="O882" ca="1">IF(AND(G882=INDIRECT("'["&amp;G882&amp;"]"&amp;E882&amp;"'!"&amp;$AH$2),OR(L882=INDIRECT("'["&amp;G882&amp;"]"&amp;E882&amp;"'!"&amp;$AA$2))),INDIRECT("'["&amp;G882&amp;"]"&amp;E882&amp;"'!"&amp;$AA$3),0)</f>
        <v>#VALUE!</v>
      </c>
      <c r="P882" s="34" t="e" cm="1">
        <f t="array" aca="1" ref="P882" ca="1">IF(AND(G882=INDIRECT("'["&amp;G882&amp;"]"&amp;E882&amp;"'!"&amp;$AH$2),OR(VALUE(I882)=INDIRECT("'["&amp;G882&amp;"]"&amp;E882&amp;"'!"&amp;$AB$2))),INDIRECT("'["&amp;G882&amp;"]"&amp;E882&amp;"'!"&amp;$AB$3),0)</f>
        <v>#VALUE!</v>
      </c>
      <c r="Q882" s="34" t="e" cm="1">
        <f t="array" aca="1" ref="Q882" ca="1">IF(AND(G882=INDIRECT("'["&amp;G882&amp;"]"&amp;E882&amp;"'!"&amp;$AH$2),OR(VALUE(I882)=INDIRECT("'["&amp;G882&amp;"]"&amp;E882&amp;"'!"&amp;$AC$2))),INDIRECT("'["&amp;G882&amp;"]"&amp;E882&amp;"'!"&amp;$AC$3),0)</f>
        <v>#VALUE!</v>
      </c>
      <c r="R882" s="34" t="e" cm="1">
        <f t="array" aca="1" ref="R882" ca="1">IF(AND(G882=INDIRECT("'["&amp;G882&amp;"]"&amp;E882&amp;"'!"&amp;$AH$2),OR(I882=INDIRECT("'["&amp;G882&amp;"]"&amp;E882&amp;"'!"&amp;$AD$2))),INDIRECT("'["&amp;G882&amp;"]"&amp;E882&amp;"'!"&amp;$AD$3),0)</f>
        <v>#VALUE!</v>
      </c>
      <c r="S882" s="34" t="e" cm="1">
        <f t="array" aca="1" ref="S882" ca="1">IF(AND(G882=INDIRECT("'["&amp;G882&amp;"]"&amp;E882&amp;"'!"&amp;$AH$2),OR(I882=INDIRECT("'["&amp;G882&amp;"]"&amp;E882&amp;"'!"&amp;$AE$2))),INDIRECT("'["&amp;G882&amp;"]"&amp;E882&amp;"'!"&amp;$AE$3),0)</f>
        <v>#VALUE!</v>
      </c>
      <c r="T882" s="35" t="e" cm="1">
        <f t="array" aca="1" ref="T882" ca="1">IF(AND(G882=INDIRECT("'["&amp;G882&amp;"]"&amp;E882&amp;"'!"&amp;$AH$2),OR(I882=INDIRECT("'["&amp;G882&amp;"]"&amp;E882&amp;"'!"&amp;$AF$2))),INDIRECT("'["&amp;G882&amp;"]"&amp;E882&amp;"'!"&amp;$AF$3),0)</f>
        <v>#VALUE!</v>
      </c>
      <c r="U882" s="34" t="e" cm="1">
        <f t="array" aca="1" ref="U882" ca="1">IF(AND(G882=INDIRECT("'["&amp;G882&amp;"]"&amp;E882&amp;"'!"&amp;$AH$2),OR(I882=INDIRECT("'["&amp;G882&amp;"]"&amp;E882&amp;"'!"&amp;$AG$2))),INDIRECT("'["&amp;G882&amp;"]"&amp;E882&amp;"'!"&amp;$AG$3),0)</f>
        <v>#VALUE!</v>
      </c>
      <c r="V882" s="25" t="str">
        <f t="shared" si="227"/>
        <v/>
      </c>
      <c r="W882" s="36" t="e" cm="1">
        <f t="array" aca="1" ref="W882" ca="1">IF(AND(G882=INDIRECT("'["&amp;G882&amp;"]"&amp;E882&amp;"'!"&amp;$AH$2),OR(V882=INDIRECT("'["&amp;G882&amp;"]"&amp;E882&amp;"'!"&amp;$AI$2))),INDIRECT("'["&amp;G882&amp;"]"&amp;E882&amp;"'!"&amp;$AI$3),0)</f>
        <v>#VALUE!</v>
      </c>
      <c r="AJ882" s="25">
        <v>1</v>
      </c>
      <c r="AK882" s="38">
        <f t="shared" ca="1" si="228"/>
        <v>0</v>
      </c>
      <c r="AL882" s="38">
        <f t="shared" ca="1" si="229"/>
        <v>0</v>
      </c>
      <c r="AM882" s="54" t="str">
        <f t="shared" ca="1" si="230"/>
        <v/>
      </c>
      <c r="AN882" s="25" t="e">
        <f t="shared" ca="1" si="231"/>
        <v>#VALUE!</v>
      </c>
      <c r="AO882" s="25" t="e">
        <f t="shared" ca="1" si="232"/>
        <v>#VALUE!</v>
      </c>
      <c r="AQ882" s="46" t="str">
        <f ca="1">IF(AND(C882&lt;&gt;0, C883=0), SUM($C$2:C882)-SUM($AQ$1:AQ881), "")</f>
        <v/>
      </c>
      <c r="AR882" s="46" t="str">
        <f ca="1">IF(AND(AK882&lt;&gt;0, AK883=0), SUM($AK$2:AK882)-SUM($AR$1:AR881), "")</f>
        <v/>
      </c>
    </row>
    <row r="883" spans="2:44" ht="13.15" customHeight="1">
      <c r="B883" s="68" t="str">
        <f t="shared" si="218"/>
        <v/>
      </c>
      <c r="C883" s="55" cm="1">
        <f t="array" aca="1" ref="C883" ca="1">SUM(IF(ISNUMBER(M883:U883),M883:U883,""))</f>
        <v>0</v>
      </c>
      <c r="D883" s="25" t="str">
        <f t="shared" si="219"/>
        <v/>
      </c>
      <c r="E883" s="25" t="e">
        <f t="shared" si="220"/>
        <v>#VALUE!</v>
      </c>
      <c r="F883" s="25" t="str">
        <f t="shared" si="221"/>
        <v/>
      </c>
      <c r="G883" s="25" t="str">
        <f t="shared" si="222"/>
        <v>.xlsx</v>
      </c>
      <c r="H883" s="29" t="e" cm="1">
        <f t="array" aca="1" ref="H883" ca="1">IF(AND(VALUE(E883)=INDIRECT("'["&amp;G883&amp;"]"&amp;E883&amp;"'!"&amp;$X$2),G883=INDIRECT("'["&amp;G883&amp;"]"&amp;E883&amp;"'!"&amp;$X$3)),INDIRECT("'["&amp;G883&amp;"]"&amp;E883&amp;"'!"&amp;$X$1),0)</f>
        <v>#VALUE!</v>
      </c>
      <c r="I883" s="25" t="str">
        <f t="shared" si="223"/>
        <v/>
      </c>
      <c r="J883" s="32" t="str">
        <f t="shared" si="224"/>
        <v/>
      </c>
      <c r="K883" s="25" t="str">
        <f t="shared" si="225"/>
        <v/>
      </c>
      <c r="L883" s="25" t="str">
        <f t="shared" si="226"/>
        <v/>
      </c>
      <c r="M883" s="33" t="e" cm="1">
        <f t="array" aca="1" ref="M883" ca="1">IF(AND(J883=INDIRECT("'["&amp;G883&amp;"]"&amp;E883&amp;"'!"&amp;$Y$2),G883=INDIRECT("'["&amp;G883&amp;"]"&amp;E883&amp;"'!"&amp;$AH$2)),INDIRECT("'["&amp;G883&amp;"]"&amp;E883&amp;"'!"&amp;$Y$3),0)</f>
        <v>#VALUE!</v>
      </c>
      <c r="N883" s="34" t="e" cm="1">
        <f t="array" aca="1" ref="N883" ca="1">IF(AND(G883=INDIRECT("'["&amp;G883&amp;"]"&amp;E883&amp;"'!"&amp;$AH$2),OR(K883=INDIRECT("'["&amp;G883&amp;"]"&amp;E883&amp;"'!"&amp;$Z$2))),INDIRECT("'["&amp;G883&amp;"]"&amp;E883&amp;"'!"&amp;$Z$3),0)</f>
        <v>#VALUE!</v>
      </c>
      <c r="O883" s="34" t="e" cm="1">
        <f t="array" aca="1" ref="O883" ca="1">IF(AND(G883=INDIRECT("'["&amp;G883&amp;"]"&amp;E883&amp;"'!"&amp;$AH$2),OR(L883=INDIRECT("'["&amp;G883&amp;"]"&amp;E883&amp;"'!"&amp;$AA$2))),INDIRECT("'["&amp;G883&amp;"]"&amp;E883&amp;"'!"&amp;$AA$3),0)</f>
        <v>#VALUE!</v>
      </c>
      <c r="P883" s="34" t="e" cm="1">
        <f t="array" aca="1" ref="P883" ca="1">IF(AND(G883=INDIRECT("'["&amp;G883&amp;"]"&amp;E883&amp;"'!"&amp;$AH$2),OR(VALUE(I883)=INDIRECT("'["&amp;G883&amp;"]"&amp;E883&amp;"'!"&amp;$AB$2))),INDIRECT("'["&amp;G883&amp;"]"&amp;E883&amp;"'!"&amp;$AB$3),0)</f>
        <v>#VALUE!</v>
      </c>
      <c r="Q883" s="34" t="e" cm="1">
        <f t="array" aca="1" ref="Q883" ca="1">IF(AND(G883=INDIRECT("'["&amp;G883&amp;"]"&amp;E883&amp;"'!"&amp;$AH$2),OR(VALUE(I883)=INDIRECT("'["&amp;G883&amp;"]"&amp;E883&amp;"'!"&amp;$AC$2))),INDIRECT("'["&amp;G883&amp;"]"&amp;E883&amp;"'!"&amp;$AC$3),0)</f>
        <v>#VALUE!</v>
      </c>
      <c r="R883" s="34" t="e" cm="1">
        <f t="array" aca="1" ref="R883" ca="1">IF(AND(G883=INDIRECT("'["&amp;G883&amp;"]"&amp;E883&amp;"'!"&amp;$AH$2),OR(I883=INDIRECT("'["&amp;G883&amp;"]"&amp;E883&amp;"'!"&amp;$AD$2))),INDIRECT("'["&amp;G883&amp;"]"&amp;E883&amp;"'!"&amp;$AD$3),0)</f>
        <v>#VALUE!</v>
      </c>
      <c r="S883" s="34" t="e" cm="1">
        <f t="array" aca="1" ref="S883" ca="1">IF(AND(G883=INDIRECT("'["&amp;G883&amp;"]"&amp;E883&amp;"'!"&amp;$AH$2),OR(I883=INDIRECT("'["&amp;G883&amp;"]"&amp;E883&amp;"'!"&amp;$AE$2))),INDIRECT("'["&amp;G883&amp;"]"&amp;E883&amp;"'!"&amp;$AE$3),0)</f>
        <v>#VALUE!</v>
      </c>
      <c r="T883" s="35" t="e" cm="1">
        <f t="array" aca="1" ref="T883" ca="1">IF(AND(G883=INDIRECT("'["&amp;G883&amp;"]"&amp;E883&amp;"'!"&amp;$AH$2),OR(I883=INDIRECT("'["&amp;G883&amp;"]"&amp;E883&amp;"'!"&amp;$AF$2))),INDIRECT("'["&amp;G883&amp;"]"&amp;E883&amp;"'!"&amp;$AF$3),0)</f>
        <v>#VALUE!</v>
      </c>
      <c r="U883" s="34" t="e" cm="1">
        <f t="array" aca="1" ref="U883" ca="1">IF(AND(G883=INDIRECT("'["&amp;G883&amp;"]"&amp;E883&amp;"'!"&amp;$AH$2),OR(I883=INDIRECT("'["&amp;G883&amp;"]"&amp;E883&amp;"'!"&amp;$AG$2))),INDIRECT("'["&amp;G883&amp;"]"&amp;E883&amp;"'!"&amp;$AG$3),0)</f>
        <v>#VALUE!</v>
      </c>
      <c r="V883" s="25" t="str">
        <f t="shared" si="227"/>
        <v/>
      </c>
      <c r="W883" s="36" t="e" cm="1">
        <f t="array" aca="1" ref="W883" ca="1">IF(AND(G883=INDIRECT("'["&amp;G883&amp;"]"&amp;E883&amp;"'!"&amp;$AH$2),OR(V883=INDIRECT("'["&amp;G883&amp;"]"&amp;E883&amp;"'!"&amp;$AI$2))),INDIRECT("'["&amp;G883&amp;"]"&amp;E883&amp;"'!"&amp;$AI$3),0)</f>
        <v>#VALUE!</v>
      </c>
      <c r="AJ883" s="25">
        <v>1</v>
      </c>
      <c r="AK883" s="38">
        <f t="shared" ca="1" si="228"/>
        <v>0</v>
      </c>
      <c r="AL883" s="38">
        <f t="shared" ca="1" si="229"/>
        <v>0</v>
      </c>
      <c r="AM883" s="54" t="str">
        <f t="shared" ca="1" si="230"/>
        <v/>
      </c>
      <c r="AN883" s="25" t="e">
        <f t="shared" ca="1" si="231"/>
        <v>#VALUE!</v>
      </c>
      <c r="AO883" s="25" t="e">
        <f t="shared" ca="1" si="232"/>
        <v>#VALUE!</v>
      </c>
      <c r="AQ883" s="46" t="str">
        <f ca="1">IF(AND(C883&lt;&gt;0, C884=0), SUM($C$2:C883)-SUM($AQ$1:AQ882), "")</f>
        <v/>
      </c>
      <c r="AR883" s="46" t="str">
        <f ca="1">IF(AND(AK883&lt;&gt;0, AK884=0), SUM($AK$2:AK883)-SUM($AR$1:AR882), "")</f>
        <v/>
      </c>
    </row>
    <row r="884" spans="2:44" ht="13.15" customHeight="1">
      <c r="B884" s="68" t="str">
        <f t="shared" si="218"/>
        <v/>
      </c>
      <c r="C884" s="55" cm="1">
        <f t="array" aca="1" ref="C884" ca="1">SUM(IF(ISNUMBER(M884:U884),M884:U884,""))</f>
        <v>0</v>
      </c>
      <c r="D884" s="25" t="str">
        <f t="shared" si="219"/>
        <v/>
      </c>
      <c r="E884" s="25" t="e">
        <f t="shared" si="220"/>
        <v>#VALUE!</v>
      </c>
      <c r="F884" s="25" t="str">
        <f t="shared" si="221"/>
        <v/>
      </c>
      <c r="G884" s="25" t="str">
        <f t="shared" si="222"/>
        <v>.xlsx</v>
      </c>
      <c r="H884" s="29" t="e" cm="1">
        <f t="array" aca="1" ref="H884" ca="1">IF(AND(VALUE(E884)=INDIRECT("'["&amp;G884&amp;"]"&amp;E884&amp;"'!"&amp;$X$2),G884=INDIRECT("'["&amp;G884&amp;"]"&amp;E884&amp;"'!"&amp;$X$3)),INDIRECT("'["&amp;G884&amp;"]"&amp;E884&amp;"'!"&amp;$X$1),0)</f>
        <v>#VALUE!</v>
      </c>
      <c r="I884" s="25" t="str">
        <f t="shared" si="223"/>
        <v/>
      </c>
      <c r="J884" s="32" t="str">
        <f t="shared" si="224"/>
        <v/>
      </c>
      <c r="K884" s="25" t="str">
        <f t="shared" si="225"/>
        <v/>
      </c>
      <c r="L884" s="25" t="str">
        <f t="shared" si="226"/>
        <v/>
      </c>
      <c r="M884" s="33" t="e" cm="1">
        <f t="array" aca="1" ref="M884" ca="1">IF(AND(J884=INDIRECT("'["&amp;G884&amp;"]"&amp;E884&amp;"'!"&amp;$Y$2),G884=INDIRECT("'["&amp;G884&amp;"]"&amp;E884&amp;"'!"&amp;$AH$2)),INDIRECT("'["&amp;G884&amp;"]"&amp;E884&amp;"'!"&amp;$Y$3),0)</f>
        <v>#VALUE!</v>
      </c>
      <c r="N884" s="34" t="e" cm="1">
        <f t="array" aca="1" ref="N884" ca="1">IF(AND(G884=INDIRECT("'["&amp;G884&amp;"]"&amp;E884&amp;"'!"&amp;$AH$2),OR(K884=INDIRECT("'["&amp;G884&amp;"]"&amp;E884&amp;"'!"&amp;$Z$2))),INDIRECT("'["&amp;G884&amp;"]"&amp;E884&amp;"'!"&amp;$Z$3),0)</f>
        <v>#VALUE!</v>
      </c>
      <c r="O884" s="34" t="e" cm="1">
        <f t="array" aca="1" ref="O884" ca="1">IF(AND(G884=INDIRECT("'["&amp;G884&amp;"]"&amp;E884&amp;"'!"&amp;$AH$2),OR(L884=INDIRECT("'["&amp;G884&amp;"]"&amp;E884&amp;"'!"&amp;$AA$2))),INDIRECT("'["&amp;G884&amp;"]"&amp;E884&amp;"'!"&amp;$AA$3),0)</f>
        <v>#VALUE!</v>
      </c>
      <c r="P884" s="34" t="e" cm="1">
        <f t="array" aca="1" ref="P884" ca="1">IF(AND(G884=INDIRECT("'["&amp;G884&amp;"]"&amp;E884&amp;"'!"&amp;$AH$2),OR(VALUE(I884)=INDIRECT("'["&amp;G884&amp;"]"&amp;E884&amp;"'!"&amp;$AB$2))),INDIRECT("'["&amp;G884&amp;"]"&amp;E884&amp;"'!"&amp;$AB$3),0)</f>
        <v>#VALUE!</v>
      </c>
      <c r="Q884" s="34" t="e" cm="1">
        <f t="array" aca="1" ref="Q884" ca="1">IF(AND(G884=INDIRECT("'["&amp;G884&amp;"]"&amp;E884&amp;"'!"&amp;$AH$2),OR(VALUE(I884)=INDIRECT("'["&amp;G884&amp;"]"&amp;E884&amp;"'!"&amp;$AC$2))),INDIRECT("'["&amp;G884&amp;"]"&amp;E884&amp;"'!"&amp;$AC$3),0)</f>
        <v>#VALUE!</v>
      </c>
      <c r="R884" s="34" t="e" cm="1">
        <f t="array" aca="1" ref="R884" ca="1">IF(AND(G884=INDIRECT("'["&amp;G884&amp;"]"&amp;E884&amp;"'!"&amp;$AH$2),OR(I884=INDIRECT("'["&amp;G884&amp;"]"&amp;E884&amp;"'!"&amp;$AD$2))),INDIRECT("'["&amp;G884&amp;"]"&amp;E884&amp;"'!"&amp;$AD$3),0)</f>
        <v>#VALUE!</v>
      </c>
      <c r="S884" s="34" t="e" cm="1">
        <f t="array" aca="1" ref="S884" ca="1">IF(AND(G884=INDIRECT("'["&amp;G884&amp;"]"&amp;E884&amp;"'!"&amp;$AH$2),OR(I884=INDIRECT("'["&amp;G884&amp;"]"&amp;E884&amp;"'!"&amp;$AE$2))),INDIRECT("'["&amp;G884&amp;"]"&amp;E884&amp;"'!"&amp;$AE$3),0)</f>
        <v>#VALUE!</v>
      </c>
      <c r="T884" s="35" t="e" cm="1">
        <f t="array" aca="1" ref="T884" ca="1">IF(AND(G884=INDIRECT("'["&amp;G884&amp;"]"&amp;E884&amp;"'!"&amp;$AH$2),OR(I884=INDIRECT("'["&amp;G884&amp;"]"&amp;E884&amp;"'!"&amp;$AF$2))),INDIRECT("'["&amp;G884&amp;"]"&amp;E884&amp;"'!"&amp;$AF$3),0)</f>
        <v>#VALUE!</v>
      </c>
      <c r="U884" s="34" t="e" cm="1">
        <f t="array" aca="1" ref="U884" ca="1">IF(AND(G884=INDIRECT("'["&amp;G884&amp;"]"&amp;E884&amp;"'!"&amp;$AH$2),OR(I884=INDIRECT("'["&amp;G884&amp;"]"&amp;E884&amp;"'!"&amp;$AG$2))),INDIRECT("'["&amp;G884&amp;"]"&amp;E884&amp;"'!"&amp;$AG$3),0)</f>
        <v>#VALUE!</v>
      </c>
      <c r="V884" s="25" t="str">
        <f t="shared" si="227"/>
        <v/>
      </c>
      <c r="W884" s="36" t="e" cm="1">
        <f t="array" aca="1" ref="W884" ca="1">IF(AND(G884=INDIRECT("'["&amp;G884&amp;"]"&amp;E884&amp;"'!"&amp;$AH$2),OR(V884=INDIRECT("'["&amp;G884&amp;"]"&amp;E884&amp;"'!"&amp;$AI$2))),INDIRECT("'["&amp;G884&amp;"]"&amp;E884&amp;"'!"&amp;$AI$3),0)</f>
        <v>#VALUE!</v>
      </c>
      <c r="AJ884" s="25">
        <v>1</v>
      </c>
      <c r="AK884" s="38">
        <f t="shared" ca="1" si="228"/>
        <v>0</v>
      </c>
      <c r="AL884" s="38">
        <f t="shared" ca="1" si="229"/>
        <v>0</v>
      </c>
      <c r="AM884" s="54" t="str">
        <f t="shared" ca="1" si="230"/>
        <v/>
      </c>
      <c r="AN884" s="25" t="e">
        <f t="shared" ca="1" si="231"/>
        <v>#VALUE!</v>
      </c>
      <c r="AO884" s="25" t="e">
        <f t="shared" ca="1" si="232"/>
        <v>#VALUE!</v>
      </c>
      <c r="AQ884" s="46" t="str">
        <f ca="1">IF(AND(C884&lt;&gt;0, C885=0), SUM($C$2:C884)-SUM($AQ$1:AQ883), "")</f>
        <v/>
      </c>
      <c r="AR884" s="46" t="str">
        <f ca="1">IF(AND(AK884&lt;&gt;0, AK885=0), SUM($AK$2:AK884)-SUM($AR$1:AR883), "")</f>
        <v/>
      </c>
    </row>
    <row r="885" spans="2:44" ht="13.15" customHeight="1">
      <c r="B885" s="68" t="str">
        <f t="shared" ref="B885:B948" si="233">LEFT(A885,15)</f>
        <v/>
      </c>
      <c r="C885" s="55" cm="1">
        <f t="array" aca="1" ref="C885" ca="1">SUM(IF(ISNUMBER(M885:U885),M885:U885,""))</f>
        <v>0</v>
      </c>
      <c r="D885" s="25" t="str">
        <f t="shared" ref="D885:D948" si="234">MID(A885,4,2)</f>
        <v/>
      </c>
      <c r="E885" s="25" t="e">
        <f t="shared" ref="E885:E948" si="235">IF(ISEVEN(D885),D885-1,VALUE(D885))</f>
        <v>#VALUE!</v>
      </c>
      <c r="F885" s="25" t="str">
        <f t="shared" ref="F885:F948" si="236">LEFT(A885,2)</f>
        <v/>
      </c>
      <c r="G885" s="25" t="str">
        <f t="shared" ref="G885:G948" si="237">CONCATENATE(F885,".xlsx")</f>
        <v>.xlsx</v>
      </c>
      <c r="H885" s="29" t="e" cm="1">
        <f t="array" aca="1" ref="H885" ca="1">IF(AND(VALUE(E885)=INDIRECT("'["&amp;G885&amp;"]"&amp;E885&amp;"'!"&amp;$X$2),G885=INDIRECT("'["&amp;G885&amp;"]"&amp;E885&amp;"'!"&amp;$X$3)),INDIRECT("'["&amp;G885&amp;"]"&amp;E885&amp;"'!"&amp;$X$1),0)</f>
        <v>#VALUE!</v>
      </c>
      <c r="I885" s="25" t="str">
        <f t="shared" ref="I885:I948" si="238">MID(A885,10,6)</f>
        <v/>
      </c>
      <c r="J885" s="32" t="str">
        <f t="shared" ref="J885:J948" si="239">RIGHT(I885,2)</f>
        <v/>
      </c>
      <c r="K885" s="25" t="str">
        <f t="shared" ref="K885:K948" si="240">LEFT(I885,3)</f>
        <v/>
      </c>
      <c r="L885" s="25" t="str">
        <f t="shared" ref="L885:L948" si="241">RIGHT(I885,3)</f>
        <v/>
      </c>
      <c r="M885" s="33" t="e" cm="1">
        <f t="array" aca="1" ref="M885" ca="1">IF(AND(J885=INDIRECT("'["&amp;G885&amp;"]"&amp;E885&amp;"'!"&amp;$Y$2),G885=INDIRECT("'["&amp;G885&amp;"]"&amp;E885&amp;"'!"&amp;$AH$2)),INDIRECT("'["&amp;G885&amp;"]"&amp;E885&amp;"'!"&amp;$Y$3),0)</f>
        <v>#VALUE!</v>
      </c>
      <c r="N885" s="34" t="e" cm="1">
        <f t="array" aca="1" ref="N885" ca="1">IF(AND(G885=INDIRECT("'["&amp;G885&amp;"]"&amp;E885&amp;"'!"&amp;$AH$2),OR(K885=INDIRECT("'["&amp;G885&amp;"]"&amp;E885&amp;"'!"&amp;$Z$2))),INDIRECT("'["&amp;G885&amp;"]"&amp;E885&amp;"'!"&amp;$Z$3),0)</f>
        <v>#VALUE!</v>
      </c>
      <c r="O885" s="34" t="e" cm="1">
        <f t="array" aca="1" ref="O885" ca="1">IF(AND(G885=INDIRECT("'["&amp;G885&amp;"]"&amp;E885&amp;"'!"&amp;$AH$2),OR(L885=INDIRECT("'["&amp;G885&amp;"]"&amp;E885&amp;"'!"&amp;$AA$2))),INDIRECT("'["&amp;G885&amp;"]"&amp;E885&amp;"'!"&amp;$AA$3),0)</f>
        <v>#VALUE!</v>
      </c>
      <c r="P885" s="34" t="e" cm="1">
        <f t="array" aca="1" ref="P885" ca="1">IF(AND(G885=INDIRECT("'["&amp;G885&amp;"]"&amp;E885&amp;"'!"&amp;$AH$2),OR(VALUE(I885)=INDIRECT("'["&amp;G885&amp;"]"&amp;E885&amp;"'!"&amp;$AB$2))),INDIRECT("'["&amp;G885&amp;"]"&amp;E885&amp;"'!"&amp;$AB$3),0)</f>
        <v>#VALUE!</v>
      </c>
      <c r="Q885" s="34" t="e" cm="1">
        <f t="array" aca="1" ref="Q885" ca="1">IF(AND(G885=INDIRECT("'["&amp;G885&amp;"]"&amp;E885&amp;"'!"&amp;$AH$2),OR(VALUE(I885)=INDIRECT("'["&amp;G885&amp;"]"&amp;E885&amp;"'!"&amp;$AC$2))),INDIRECT("'["&amp;G885&amp;"]"&amp;E885&amp;"'!"&amp;$AC$3),0)</f>
        <v>#VALUE!</v>
      </c>
      <c r="R885" s="34" t="e" cm="1">
        <f t="array" aca="1" ref="R885" ca="1">IF(AND(G885=INDIRECT("'["&amp;G885&amp;"]"&amp;E885&amp;"'!"&amp;$AH$2),OR(I885=INDIRECT("'["&amp;G885&amp;"]"&amp;E885&amp;"'!"&amp;$AD$2))),INDIRECT("'["&amp;G885&amp;"]"&amp;E885&amp;"'!"&amp;$AD$3),0)</f>
        <v>#VALUE!</v>
      </c>
      <c r="S885" s="34" t="e" cm="1">
        <f t="array" aca="1" ref="S885" ca="1">IF(AND(G885=INDIRECT("'["&amp;G885&amp;"]"&amp;E885&amp;"'!"&amp;$AH$2),OR(I885=INDIRECT("'["&amp;G885&amp;"]"&amp;E885&amp;"'!"&amp;$AE$2))),INDIRECT("'["&amp;G885&amp;"]"&amp;E885&amp;"'!"&amp;$AE$3),0)</f>
        <v>#VALUE!</v>
      </c>
      <c r="T885" s="35" t="e" cm="1">
        <f t="array" aca="1" ref="T885" ca="1">IF(AND(G885=INDIRECT("'["&amp;G885&amp;"]"&amp;E885&amp;"'!"&amp;$AH$2),OR(I885=INDIRECT("'["&amp;G885&amp;"]"&amp;E885&amp;"'!"&amp;$AF$2))),INDIRECT("'["&amp;G885&amp;"]"&amp;E885&amp;"'!"&amp;$AF$3),0)</f>
        <v>#VALUE!</v>
      </c>
      <c r="U885" s="34" t="e" cm="1">
        <f t="array" aca="1" ref="U885" ca="1">IF(AND(G885=INDIRECT("'["&amp;G885&amp;"]"&amp;E885&amp;"'!"&amp;$AH$2),OR(I885=INDIRECT("'["&amp;G885&amp;"]"&amp;E885&amp;"'!"&amp;$AG$2))),INDIRECT("'["&amp;G885&amp;"]"&amp;E885&amp;"'!"&amp;$AG$3),0)</f>
        <v>#VALUE!</v>
      </c>
      <c r="V885" s="25" t="str">
        <f t="shared" ref="V885:V948" si="242">MID(B885,7,9)</f>
        <v/>
      </c>
      <c r="W885" s="36" t="e" cm="1">
        <f t="array" aca="1" ref="W885" ca="1">IF(AND(G885=INDIRECT("'["&amp;G885&amp;"]"&amp;E885&amp;"'!"&amp;$AH$2),OR(V885=INDIRECT("'["&amp;G885&amp;"]"&amp;E885&amp;"'!"&amp;$AI$2))),INDIRECT("'["&amp;G885&amp;"]"&amp;E885&amp;"'!"&amp;$AI$3),0)</f>
        <v>#VALUE!</v>
      </c>
      <c r="AJ885" s="25">
        <v>1</v>
      </c>
      <c r="AK885" s="38">
        <f t="shared" ref="AK885:AK948" ca="1" si="243">(C885*AJ885%)</f>
        <v>0</v>
      </c>
      <c r="AL885" s="38">
        <f t="shared" ref="AL885:AL948" ca="1" si="244">C885-AK885</f>
        <v>0</v>
      </c>
      <c r="AM885" s="54" t="str">
        <f t="shared" ref="AM885:AM948" ca="1" si="245">IF(A885&lt;&gt;"",IF(AM885="",NOW(),AM885),"")</f>
        <v/>
      </c>
      <c r="AN885" s="25" t="e">
        <f t="shared" ref="AN885:AN948" ca="1" si="246">IF(VALUE(N885),"/","")</f>
        <v>#VALUE!</v>
      </c>
      <c r="AO885" s="25" t="e">
        <f t="shared" ref="AO885:AO948" ca="1" si="247">IF(VALUE(O885),"/","")</f>
        <v>#VALUE!</v>
      </c>
      <c r="AQ885" s="46" t="str">
        <f ca="1">IF(AND(C885&lt;&gt;0, C886=0), SUM($C$2:C885)-SUM($AQ$1:AQ884), "")</f>
        <v/>
      </c>
      <c r="AR885" s="46" t="str">
        <f ca="1">IF(AND(AK885&lt;&gt;0, AK886=0), SUM($AK$2:AK885)-SUM($AR$1:AR884), "")</f>
        <v/>
      </c>
    </row>
    <row r="886" spans="2:44" ht="13.15" customHeight="1">
      <c r="B886" s="68" t="str">
        <f t="shared" si="233"/>
        <v/>
      </c>
      <c r="C886" s="55" cm="1">
        <f t="array" aca="1" ref="C886" ca="1">SUM(IF(ISNUMBER(M886:U886),M886:U886,""))</f>
        <v>0</v>
      </c>
      <c r="D886" s="25" t="str">
        <f t="shared" si="234"/>
        <v/>
      </c>
      <c r="E886" s="25" t="e">
        <f t="shared" si="235"/>
        <v>#VALUE!</v>
      </c>
      <c r="F886" s="25" t="str">
        <f t="shared" si="236"/>
        <v/>
      </c>
      <c r="G886" s="25" t="str">
        <f t="shared" si="237"/>
        <v>.xlsx</v>
      </c>
      <c r="H886" s="29" t="e" cm="1">
        <f t="array" aca="1" ref="H886" ca="1">IF(AND(VALUE(E886)=INDIRECT("'["&amp;G886&amp;"]"&amp;E886&amp;"'!"&amp;$X$2),G886=INDIRECT("'["&amp;G886&amp;"]"&amp;E886&amp;"'!"&amp;$X$3)),INDIRECT("'["&amp;G886&amp;"]"&amp;E886&amp;"'!"&amp;$X$1),0)</f>
        <v>#VALUE!</v>
      </c>
      <c r="I886" s="25" t="str">
        <f t="shared" si="238"/>
        <v/>
      </c>
      <c r="J886" s="32" t="str">
        <f t="shared" si="239"/>
        <v/>
      </c>
      <c r="K886" s="25" t="str">
        <f t="shared" si="240"/>
        <v/>
      </c>
      <c r="L886" s="25" t="str">
        <f t="shared" si="241"/>
        <v/>
      </c>
      <c r="M886" s="33" t="e" cm="1">
        <f t="array" aca="1" ref="M886" ca="1">IF(AND(J886=INDIRECT("'["&amp;G886&amp;"]"&amp;E886&amp;"'!"&amp;$Y$2),G886=INDIRECT("'["&amp;G886&amp;"]"&amp;E886&amp;"'!"&amp;$AH$2)),INDIRECT("'["&amp;G886&amp;"]"&amp;E886&amp;"'!"&amp;$Y$3),0)</f>
        <v>#VALUE!</v>
      </c>
      <c r="N886" s="34" t="e" cm="1">
        <f t="array" aca="1" ref="N886" ca="1">IF(AND(G886=INDIRECT("'["&amp;G886&amp;"]"&amp;E886&amp;"'!"&amp;$AH$2),OR(K886=INDIRECT("'["&amp;G886&amp;"]"&amp;E886&amp;"'!"&amp;$Z$2))),INDIRECT("'["&amp;G886&amp;"]"&amp;E886&amp;"'!"&amp;$Z$3),0)</f>
        <v>#VALUE!</v>
      </c>
      <c r="O886" s="34" t="e" cm="1">
        <f t="array" aca="1" ref="O886" ca="1">IF(AND(G886=INDIRECT("'["&amp;G886&amp;"]"&amp;E886&amp;"'!"&amp;$AH$2),OR(L886=INDIRECT("'["&amp;G886&amp;"]"&amp;E886&amp;"'!"&amp;$AA$2))),INDIRECT("'["&amp;G886&amp;"]"&amp;E886&amp;"'!"&amp;$AA$3),0)</f>
        <v>#VALUE!</v>
      </c>
      <c r="P886" s="34" t="e" cm="1">
        <f t="array" aca="1" ref="P886" ca="1">IF(AND(G886=INDIRECT("'["&amp;G886&amp;"]"&amp;E886&amp;"'!"&amp;$AH$2),OR(VALUE(I886)=INDIRECT("'["&amp;G886&amp;"]"&amp;E886&amp;"'!"&amp;$AB$2))),INDIRECT("'["&amp;G886&amp;"]"&amp;E886&amp;"'!"&amp;$AB$3),0)</f>
        <v>#VALUE!</v>
      </c>
      <c r="Q886" s="34" t="e" cm="1">
        <f t="array" aca="1" ref="Q886" ca="1">IF(AND(G886=INDIRECT("'["&amp;G886&amp;"]"&amp;E886&amp;"'!"&amp;$AH$2),OR(VALUE(I886)=INDIRECT("'["&amp;G886&amp;"]"&amp;E886&amp;"'!"&amp;$AC$2))),INDIRECT("'["&amp;G886&amp;"]"&amp;E886&amp;"'!"&amp;$AC$3),0)</f>
        <v>#VALUE!</v>
      </c>
      <c r="R886" s="34" t="e" cm="1">
        <f t="array" aca="1" ref="R886" ca="1">IF(AND(G886=INDIRECT("'["&amp;G886&amp;"]"&amp;E886&amp;"'!"&amp;$AH$2),OR(I886=INDIRECT("'["&amp;G886&amp;"]"&amp;E886&amp;"'!"&amp;$AD$2))),INDIRECT("'["&amp;G886&amp;"]"&amp;E886&amp;"'!"&amp;$AD$3),0)</f>
        <v>#VALUE!</v>
      </c>
      <c r="S886" s="34" t="e" cm="1">
        <f t="array" aca="1" ref="S886" ca="1">IF(AND(G886=INDIRECT("'["&amp;G886&amp;"]"&amp;E886&amp;"'!"&amp;$AH$2),OR(I886=INDIRECT("'["&amp;G886&amp;"]"&amp;E886&amp;"'!"&amp;$AE$2))),INDIRECT("'["&amp;G886&amp;"]"&amp;E886&amp;"'!"&amp;$AE$3),0)</f>
        <v>#VALUE!</v>
      </c>
      <c r="T886" s="35" t="e" cm="1">
        <f t="array" aca="1" ref="T886" ca="1">IF(AND(G886=INDIRECT("'["&amp;G886&amp;"]"&amp;E886&amp;"'!"&amp;$AH$2),OR(I886=INDIRECT("'["&amp;G886&amp;"]"&amp;E886&amp;"'!"&amp;$AF$2))),INDIRECT("'["&amp;G886&amp;"]"&amp;E886&amp;"'!"&amp;$AF$3),0)</f>
        <v>#VALUE!</v>
      </c>
      <c r="U886" s="34" t="e" cm="1">
        <f t="array" aca="1" ref="U886" ca="1">IF(AND(G886=INDIRECT("'["&amp;G886&amp;"]"&amp;E886&amp;"'!"&amp;$AH$2),OR(I886=INDIRECT("'["&amp;G886&amp;"]"&amp;E886&amp;"'!"&amp;$AG$2))),INDIRECT("'["&amp;G886&amp;"]"&amp;E886&amp;"'!"&amp;$AG$3),0)</f>
        <v>#VALUE!</v>
      </c>
      <c r="V886" s="25" t="str">
        <f t="shared" si="242"/>
        <v/>
      </c>
      <c r="W886" s="36" t="e" cm="1">
        <f t="array" aca="1" ref="W886" ca="1">IF(AND(G886=INDIRECT("'["&amp;G886&amp;"]"&amp;E886&amp;"'!"&amp;$AH$2),OR(V886=INDIRECT("'["&amp;G886&amp;"]"&amp;E886&amp;"'!"&amp;$AI$2))),INDIRECT("'["&amp;G886&amp;"]"&amp;E886&amp;"'!"&amp;$AI$3),0)</f>
        <v>#VALUE!</v>
      </c>
      <c r="AJ886" s="25">
        <v>1</v>
      </c>
      <c r="AK886" s="38">
        <f t="shared" ca="1" si="243"/>
        <v>0</v>
      </c>
      <c r="AL886" s="38">
        <f t="shared" ca="1" si="244"/>
        <v>0</v>
      </c>
      <c r="AM886" s="54" t="str">
        <f t="shared" ca="1" si="245"/>
        <v/>
      </c>
      <c r="AN886" s="25" t="e">
        <f t="shared" ca="1" si="246"/>
        <v>#VALUE!</v>
      </c>
      <c r="AO886" s="25" t="e">
        <f t="shared" ca="1" si="247"/>
        <v>#VALUE!</v>
      </c>
      <c r="AQ886" s="46" t="str">
        <f ca="1">IF(AND(C886&lt;&gt;0, C887=0), SUM($C$2:C886)-SUM($AQ$1:AQ885), "")</f>
        <v/>
      </c>
      <c r="AR886" s="46" t="str">
        <f ca="1">IF(AND(AK886&lt;&gt;0, AK887=0), SUM($AK$2:AK886)-SUM($AR$1:AR885), "")</f>
        <v/>
      </c>
    </row>
    <row r="887" spans="2:44" ht="13.15" customHeight="1">
      <c r="B887" s="68" t="str">
        <f t="shared" si="233"/>
        <v/>
      </c>
      <c r="C887" s="55" cm="1">
        <f t="array" aca="1" ref="C887" ca="1">SUM(IF(ISNUMBER(M887:U887),M887:U887,""))</f>
        <v>0</v>
      </c>
      <c r="D887" s="25" t="str">
        <f t="shared" si="234"/>
        <v/>
      </c>
      <c r="E887" s="25" t="e">
        <f t="shared" si="235"/>
        <v>#VALUE!</v>
      </c>
      <c r="F887" s="25" t="str">
        <f t="shared" si="236"/>
        <v/>
      </c>
      <c r="G887" s="25" t="str">
        <f t="shared" si="237"/>
        <v>.xlsx</v>
      </c>
      <c r="H887" s="29" t="e" cm="1">
        <f t="array" aca="1" ref="H887" ca="1">IF(AND(VALUE(E887)=INDIRECT("'["&amp;G887&amp;"]"&amp;E887&amp;"'!"&amp;$X$2),G887=INDIRECT("'["&amp;G887&amp;"]"&amp;E887&amp;"'!"&amp;$X$3)),INDIRECT("'["&amp;G887&amp;"]"&amp;E887&amp;"'!"&amp;$X$1),0)</f>
        <v>#VALUE!</v>
      </c>
      <c r="I887" s="25" t="str">
        <f t="shared" si="238"/>
        <v/>
      </c>
      <c r="J887" s="32" t="str">
        <f t="shared" si="239"/>
        <v/>
      </c>
      <c r="K887" s="25" t="str">
        <f t="shared" si="240"/>
        <v/>
      </c>
      <c r="L887" s="25" t="str">
        <f t="shared" si="241"/>
        <v/>
      </c>
      <c r="M887" s="33" t="e" cm="1">
        <f t="array" aca="1" ref="M887" ca="1">IF(AND(J887=INDIRECT("'["&amp;G887&amp;"]"&amp;E887&amp;"'!"&amp;$Y$2),G887=INDIRECT("'["&amp;G887&amp;"]"&amp;E887&amp;"'!"&amp;$AH$2)),INDIRECT("'["&amp;G887&amp;"]"&amp;E887&amp;"'!"&amp;$Y$3),0)</f>
        <v>#VALUE!</v>
      </c>
      <c r="N887" s="34" t="e" cm="1">
        <f t="array" aca="1" ref="N887" ca="1">IF(AND(G887=INDIRECT("'["&amp;G887&amp;"]"&amp;E887&amp;"'!"&amp;$AH$2),OR(K887=INDIRECT("'["&amp;G887&amp;"]"&amp;E887&amp;"'!"&amp;$Z$2))),INDIRECT("'["&amp;G887&amp;"]"&amp;E887&amp;"'!"&amp;$Z$3),0)</f>
        <v>#VALUE!</v>
      </c>
      <c r="O887" s="34" t="e" cm="1">
        <f t="array" aca="1" ref="O887" ca="1">IF(AND(G887=INDIRECT("'["&amp;G887&amp;"]"&amp;E887&amp;"'!"&amp;$AH$2),OR(L887=INDIRECT("'["&amp;G887&amp;"]"&amp;E887&amp;"'!"&amp;$AA$2))),INDIRECT("'["&amp;G887&amp;"]"&amp;E887&amp;"'!"&amp;$AA$3),0)</f>
        <v>#VALUE!</v>
      </c>
      <c r="P887" s="34" t="e" cm="1">
        <f t="array" aca="1" ref="P887" ca="1">IF(AND(G887=INDIRECT("'["&amp;G887&amp;"]"&amp;E887&amp;"'!"&amp;$AH$2),OR(VALUE(I887)=INDIRECT("'["&amp;G887&amp;"]"&amp;E887&amp;"'!"&amp;$AB$2))),INDIRECT("'["&amp;G887&amp;"]"&amp;E887&amp;"'!"&amp;$AB$3),0)</f>
        <v>#VALUE!</v>
      </c>
      <c r="Q887" s="34" t="e" cm="1">
        <f t="array" aca="1" ref="Q887" ca="1">IF(AND(G887=INDIRECT("'["&amp;G887&amp;"]"&amp;E887&amp;"'!"&amp;$AH$2),OR(VALUE(I887)=INDIRECT("'["&amp;G887&amp;"]"&amp;E887&amp;"'!"&amp;$AC$2))),INDIRECT("'["&amp;G887&amp;"]"&amp;E887&amp;"'!"&amp;$AC$3),0)</f>
        <v>#VALUE!</v>
      </c>
      <c r="R887" s="34" t="e" cm="1">
        <f t="array" aca="1" ref="R887" ca="1">IF(AND(G887=INDIRECT("'["&amp;G887&amp;"]"&amp;E887&amp;"'!"&amp;$AH$2),OR(I887=INDIRECT("'["&amp;G887&amp;"]"&amp;E887&amp;"'!"&amp;$AD$2))),INDIRECT("'["&amp;G887&amp;"]"&amp;E887&amp;"'!"&amp;$AD$3),0)</f>
        <v>#VALUE!</v>
      </c>
      <c r="S887" s="34" t="e" cm="1">
        <f t="array" aca="1" ref="S887" ca="1">IF(AND(G887=INDIRECT("'["&amp;G887&amp;"]"&amp;E887&amp;"'!"&amp;$AH$2),OR(I887=INDIRECT("'["&amp;G887&amp;"]"&amp;E887&amp;"'!"&amp;$AE$2))),INDIRECT("'["&amp;G887&amp;"]"&amp;E887&amp;"'!"&amp;$AE$3),0)</f>
        <v>#VALUE!</v>
      </c>
      <c r="T887" s="35" t="e" cm="1">
        <f t="array" aca="1" ref="T887" ca="1">IF(AND(G887=INDIRECT("'["&amp;G887&amp;"]"&amp;E887&amp;"'!"&amp;$AH$2),OR(I887=INDIRECT("'["&amp;G887&amp;"]"&amp;E887&amp;"'!"&amp;$AF$2))),INDIRECT("'["&amp;G887&amp;"]"&amp;E887&amp;"'!"&amp;$AF$3),0)</f>
        <v>#VALUE!</v>
      </c>
      <c r="U887" s="34" t="e" cm="1">
        <f t="array" aca="1" ref="U887" ca="1">IF(AND(G887=INDIRECT("'["&amp;G887&amp;"]"&amp;E887&amp;"'!"&amp;$AH$2),OR(I887=INDIRECT("'["&amp;G887&amp;"]"&amp;E887&amp;"'!"&amp;$AG$2))),INDIRECT("'["&amp;G887&amp;"]"&amp;E887&amp;"'!"&amp;$AG$3),0)</f>
        <v>#VALUE!</v>
      </c>
      <c r="V887" s="25" t="str">
        <f t="shared" si="242"/>
        <v/>
      </c>
      <c r="W887" s="36" t="e" cm="1">
        <f t="array" aca="1" ref="W887" ca="1">IF(AND(G887=INDIRECT("'["&amp;G887&amp;"]"&amp;E887&amp;"'!"&amp;$AH$2),OR(V887=INDIRECT("'["&amp;G887&amp;"]"&amp;E887&amp;"'!"&amp;$AI$2))),INDIRECT("'["&amp;G887&amp;"]"&amp;E887&amp;"'!"&amp;$AI$3),0)</f>
        <v>#VALUE!</v>
      </c>
      <c r="AJ887" s="25">
        <v>1</v>
      </c>
      <c r="AK887" s="38">
        <f t="shared" ca="1" si="243"/>
        <v>0</v>
      </c>
      <c r="AL887" s="38">
        <f t="shared" ca="1" si="244"/>
        <v>0</v>
      </c>
      <c r="AM887" s="54" t="str">
        <f t="shared" ca="1" si="245"/>
        <v/>
      </c>
      <c r="AN887" s="25" t="e">
        <f t="shared" ca="1" si="246"/>
        <v>#VALUE!</v>
      </c>
      <c r="AO887" s="25" t="e">
        <f t="shared" ca="1" si="247"/>
        <v>#VALUE!</v>
      </c>
      <c r="AQ887" s="46" t="str">
        <f ca="1">IF(AND(C887&lt;&gt;0, C888=0), SUM($C$2:C887)-SUM($AQ$1:AQ886), "")</f>
        <v/>
      </c>
      <c r="AR887" s="46" t="str">
        <f ca="1">IF(AND(AK887&lt;&gt;0, AK888=0), SUM($AK$2:AK887)-SUM($AR$1:AR886), "")</f>
        <v/>
      </c>
    </row>
    <row r="888" spans="2:44" ht="13.15" customHeight="1">
      <c r="B888" s="68" t="str">
        <f t="shared" si="233"/>
        <v/>
      </c>
      <c r="C888" s="55" cm="1">
        <f t="array" aca="1" ref="C888" ca="1">SUM(IF(ISNUMBER(M888:U888),M888:U888,""))</f>
        <v>0</v>
      </c>
      <c r="D888" s="25" t="str">
        <f t="shared" si="234"/>
        <v/>
      </c>
      <c r="E888" s="25" t="e">
        <f t="shared" si="235"/>
        <v>#VALUE!</v>
      </c>
      <c r="F888" s="25" t="str">
        <f t="shared" si="236"/>
        <v/>
      </c>
      <c r="G888" s="25" t="str">
        <f t="shared" si="237"/>
        <v>.xlsx</v>
      </c>
      <c r="H888" s="29" t="e" cm="1">
        <f t="array" aca="1" ref="H888" ca="1">IF(AND(VALUE(E888)=INDIRECT("'["&amp;G888&amp;"]"&amp;E888&amp;"'!"&amp;$X$2),G888=INDIRECT("'["&amp;G888&amp;"]"&amp;E888&amp;"'!"&amp;$X$3)),INDIRECT("'["&amp;G888&amp;"]"&amp;E888&amp;"'!"&amp;$X$1),0)</f>
        <v>#VALUE!</v>
      </c>
      <c r="I888" s="25" t="str">
        <f t="shared" si="238"/>
        <v/>
      </c>
      <c r="J888" s="32" t="str">
        <f t="shared" si="239"/>
        <v/>
      </c>
      <c r="K888" s="25" t="str">
        <f t="shared" si="240"/>
        <v/>
      </c>
      <c r="L888" s="25" t="str">
        <f t="shared" si="241"/>
        <v/>
      </c>
      <c r="M888" s="33" t="e" cm="1">
        <f t="array" aca="1" ref="M888" ca="1">IF(AND(J888=INDIRECT("'["&amp;G888&amp;"]"&amp;E888&amp;"'!"&amp;$Y$2),G888=INDIRECT("'["&amp;G888&amp;"]"&amp;E888&amp;"'!"&amp;$AH$2)),INDIRECT("'["&amp;G888&amp;"]"&amp;E888&amp;"'!"&amp;$Y$3),0)</f>
        <v>#VALUE!</v>
      </c>
      <c r="N888" s="34" t="e" cm="1">
        <f t="array" aca="1" ref="N888" ca="1">IF(AND(G888=INDIRECT("'["&amp;G888&amp;"]"&amp;E888&amp;"'!"&amp;$AH$2),OR(K888=INDIRECT("'["&amp;G888&amp;"]"&amp;E888&amp;"'!"&amp;$Z$2))),INDIRECT("'["&amp;G888&amp;"]"&amp;E888&amp;"'!"&amp;$Z$3),0)</f>
        <v>#VALUE!</v>
      </c>
      <c r="O888" s="34" t="e" cm="1">
        <f t="array" aca="1" ref="O888" ca="1">IF(AND(G888=INDIRECT("'["&amp;G888&amp;"]"&amp;E888&amp;"'!"&amp;$AH$2),OR(L888=INDIRECT("'["&amp;G888&amp;"]"&amp;E888&amp;"'!"&amp;$AA$2))),INDIRECT("'["&amp;G888&amp;"]"&amp;E888&amp;"'!"&amp;$AA$3),0)</f>
        <v>#VALUE!</v>
      </c>
      <c r="P888" s="34" t="e" cm="1">
        <f t="array" aca="1" ref="P888" ca="1">IF(AND(G888=INDIRECT("'["&amp;G888&amp;"]"&amp;E888&amp;"'!"&amp;$AH$2),OR(VALUE(I888)=INDIRECT("'["&amp;G888&amp;"]"&amp;E888&amp;"'!"&amp;$AB$2))),INDIRECT("'["&amp;G888&amp;"]"&amp;E888&amp;"'!"&amp;$AB$3),0)</f>
        <v>#VALUE!</v>
      </c>
      <c r="Q888" s="34" t="e" cm="1">
        <f t="array" aca="1" ref="Q888" ca="1">IF(AND(G888=INDIRECT("'["&amp;G888&amp;"]"&amp;E888&amp;"'!"&amp;$AH$2),OR(VALUE(I888)=INDIRECT("'["&amp;G888&amp;"]"&amp;E888&amp;"'!"&amp;$AC$2))),INDIRECT("'["&amp;G888&amp;"]"&amp;E888&amp;"'!"&amp;$AC$3),0)</f>
        <v>#VALUE!</v>
      </c>
      <c r="R888" s="34" t="e" cm="1">
        <f t="array" aca="1" ref="R888" ca="1">IF(AND(G888=INDIRECT("'["&amp;G888&amp;"]"&amp;E888&amp;"'!"&amp;$AH$2),OR(I888=INDIRECT("'["&amp;G888&amp;"]"&amp;E888&amp;"'!"&amp;$AD$2))),INDIRECT("'["&amp;G888&amp;"]"&amp;E888&amp;"'!"&amp;$AD$3),0)</f>
        <v>#VALUE!</v>
      </c>
      <c r="S888" s="34" t="e" cm="1">
        <f t="array" aca="1" ref="S888" ca="1">IF(AND(G888=INDIRECT("'["&amp;G888&amp;"]"&amp;E888&amp;"'!"&amp;$AH$2),OR(I888=INDIRECT("'["&amp;G888&amp;"]"&amp;E888&amp;"'!"&amp;$AE$2))),INDIRECT("'["&amp;G888&amp;"]"&amp;E888&amp;"'!"&amp;$AE$3),0)</f>
        <v>#VALUE!</v>
      </c>
      <c r="T888" s="35" t="e" cm="1">
        <f t="array" aca="1" ref="T888" ca="1">IF(AND(G888=INDIRECT("'["&amp;G888&amp;"]"&amp;E888&amp;"'!"&amp;$AH$2),OR(I888=INDIRECT("'["&amp;G888&amp;"]"&amp;E888&amp;"'!"&amp;$AF$2))),INDIRECT("'["&amp;G888&amp;"]"&amp;E888&amp;"'!"&amp;$AF$3),0)</f>
        <v>#VALUE!</v>
      </c>
      <c r="U888" s="34" t="e" cm="1">
        <f t="array" aca="1" ref="U888" ca="1">IF(AND(G888=INDIRECT("'["&amp;G888&amp;"]"&amp;E888&amp;"'!"&amp;$AH$2),OR(I888=INDIRECT("'["&amp;G888&amp;"]"&amp;E888&amp;"'!"&amp;$AG$2))),INDIRECT("'["&amp;G888&amp;"]"&amp;E888&amp;"'!"&amp;$AG$3),0)</f>
        <v>#VALUE!</v>
      </c>
      <c r="V888" s="25" t="str">
        <f t="shared" si="242"/>
        <v/>
      </c>
      <c r="W888" s="36" t="e" cm="1">
        <f t="array" aca="1" ref="W888" ca="1">IF(AND(G888=INDIRECT("'["&amp;G888&amp;"]"&amp;E888&amp;"'!"&amp;$AH$2),OR(V888=INDIRECT("'["&amp;G888&amp;"]"&amp;E888&amp;"'!"&amp;$AI$2))),INDIRECT("'["&amp;G888&amp;"]"&amp;E888&amp;"'!"&amp;$AI$3),0)</f>
        <v>#VALUE!</v>
      </c>
      <c r="AJ888" s="25">
        <v>1</v>
      </c>
      <c r="AK888" s="38">
        <f t="shared" ca="1" si="243"/>
        <v>0</v>
      </c>
      <c r="AL888" s="38">
        <f t="shared" ca="1" si="244"/>
        <v>0</v>
      </c>
      <c r="AM888" s="54" t="str">
        <f t="shared" ca="1" si="245"/>
        <v/>
      </c>
      <c r="AN888" s="25" t="e">
        <f t="shared" ca="1" si="246"/>
        <v>#VALUE!</v>
      </c>
      <c r="AO888" s="25" t="e">
        <f t="shared" ca="1" si="247"/>
        <v>#VALUE!</v>
      </c>
      <c r="AQ888" s="46" t="str">
        <f ca="1">IF(AND(C888&lt;&gt;0, C889=0), SUM($C$2:C888)-SUM($AQ$1:AQ887), "")</f>
        <v/>
      </c>
      <c r="AR888" s="46" t="str">
        <f ca="1">IF(AND(AK888&lt;&gt;0, AK889=0), SUM($AK$2:AK888)-SUM($AR$1:AR887), "")</f>
        <v/>
      </c>
    </row>
    <row r="889" spans="2:44" ht="13.15" customHeight="1">
      <c r="B889" s="68" t="str">
        <f t="shared" si="233"/>
        <v/>
      </c>
      <c r="C889" s="55" cm="1">
        <f t="array" aca="1" ref="C889" ca="1">SUM(IF(ISNUMBER(M889:U889),M889:U889,""))</f>
        <v>0</v>
      </c>
      <c r="D889" s="25" t="str">
        <f t="shared" si="234"/>
        <v/>
      </c>
      <c r="E889" s="25" t="e">
        <f t="shared" si="235"/>
        <v>#VALUE!</v>
      </c>
      <c r="F889" s="25" t="str">
        <f t="shared" si="236"/>
        <v/>
      </c>
      <c r="G889" s="25" t="str">
        <f t="shared" si="237"/>
        <v>.xlsx</v>
      </c>
      <c r="H889" s="29" t="e" cm="1">
        <f t="array" aca="1" ref="H889" ca="1">IF(AND(VALUE(E889)=INDIRECT("'["&amp;G889&amp;"]"&amp;E889&amp;"'!"&amp;$X$2),G889=INDIRECT("'["&amp;G889&amp;"]"&amp;E889&amp;"'!"&amp;$X$3)),INDIRECT("'["&amp;G889&amp;"]"&amp;E889&amp;"'!"&amp;$X$1),0)</f>
        <v>#VALUE!</v>
      </c>
      <c r="I889" s="25" t="str">
        <f t="shared" si="238"/>
        <v/>
      </c>
      <c r="J889" s="32" t="str">
        <f t="shared" si="239"/>
        <v/>
      </c>
      <c r="K889" s="25" t="str">
        <f t="shared" si="240"/>
        <v/>
      </c>
      <c r="L889" s="25" t="str">
        <f t="shared" si="241"/>
        <v/>
      </c>
      <c r="M889" s="33" t="e" cm="1">
        <f t="array" aca="1" ref="M889" ca="1">IF(AND(J889=INDIRECT("'["&amp;G889&amp;"]"&amp;E889&amp;"'!"&amp;$Y$2),G889=INDIRECT("'["&amp;G889&amp;"]"&amp;E889&amp;"'!"&amp;$AH$2)),INDIRECT("'["&amp;G889&amp;"]"&amp;E889&amp;"'!"&amp;$Y$3),0)</f>
        <v>#VALUE!</v>
      </c>
      <c r="N889" s="34" t="e" cm="1">
        <f t="array" aca="1" ref="N889" ca="1">IF(AND(G889=INDIRECT("'["&amp;G889&amp;"]"&amp;E889&amp;"'!"&amp;$AH$2),OR(K889=INDIRECT("'["&amp;G889&amp;"]"&amp;E889&amp;"'!"&amp;$Z$2))),INDIRECT("'["&amp;G889&amp;"]"&amp;E889&amp;"'!"&amp;$Z$3),0)</f>
        <v>#VALUE!</v>
      </c>
      <c r="O889" s="34" t="e" cm="1">
        <f t="array" aca="1" ref="O889" ca="1">IF(AND(G889=INDIRECT("'["&amp;G889&amp;"]"&amp;E889&amp;"'!"&amp;$AH$2),OR(L889=INDIRECT("'["&amp;G889&amp;"]"&amp;E889&amp;"'!"&amp;$AA$2))),INDIRECT("'["&amp;G889&amp;"]"&amp;E889&amp;"'!"&amp;$AA$3),0)</f>
        <v>#VALUE!</v>
      </c>
      <c r="P889" s="34" t="e" cm="1">
        <f t="array" aca="1" ref="P889" ca="1">IF(AND(G889=INDIRECT("'["&amp;G889&amp;"]"&amp;E889&amp;"'!"&amp;$AH$2),OR(VALUE(I889)=INDIRECT("'["&amp;G889&amp;"]"&amp;E889&amp;"'!"&amp;$AB$2))),INDIRECT("'["&amp;G889&amp;"]"&amp;E889&amp;"'!"&amp;$AB$3),0)</f>
        <v>#VALUE!</v>
      </c>
      <c r="Q889" s="34" t="e" cm="1">
        <f t="array" aca="1" ref="Q889" ca="1">IF(AND(G889=INDIRECT("'["&amp;G889&amp;"]"&amp;E889&amp;"'!"&amp;$AH$2),OR(VALUE(I889)=INDIRECT("'["&amp;G889&amp;"]"&amp;E889&amp;"'!"&amp;$AC$2))),INDIRECT("'["&amp;G889&amp;"]"&amp;E889&amp;"'!"&amp;$AC$3),0)</f>
        <v>#VALUE!</v>
      </c>
      <c r="R889" s="34" t="e" cm="1">
        <f t="array" aca="1" ref="R889" ca="1">IF(AND(G889=INDIRECT("'["&amp;G889&amp;"]"&amp;E889&amp;"'!"&amp;$AH$2),OR(I889=INDIRECT("'["&amp;G889&amp;"]"&amp;E889&amp;"'!"&amp;$AD$2))),INDIRECT("'["&amp;G889&amp;"]"&amp;E889&amp;"'!"&amp;$AD$3),0)</f>
        <v>#VALUE!</v>
      </c>
      <c r="S889" s="34" t="e" cm="1">
        <f t="array" aca="1" ref="S889" ca="1">IF(AND(G889=INDIRECT("'["&amp;G889&amp;"]"&amp;E889&amp;"'!"&amp;$AH$2),OR(I889=INDIRECT("'["&amp;G889&amp;"]"&amp;E889&amp;"'!"&amp;$AE$2))),INDIRECT("'["&amp;G889&amp;"]"&amp;E889&amp;"'!"&amp;$AE$3),0)</f>
        <v>#VALUE!</v>
      </c>
      <c r="T889" s="35" t="e" cm="1">
        <f t="array" aca="1" ref="T889" ca="1">IF(AND(G889=INDIRECT("'["&amp;G889&amp;"]"&amp;E889&amp;"'!"&amp;$AH$2),OR(I889=INDIRECT("'["&amp;G889&amp;"]"&amp;E889&amp;"'!"&amp;$AF$2))),INDIRECT("'["&amp;G889&amp;"]"&amp;E889&amp;"'!"&amp;$AF$3),0)</f>
        <v>#VALUE!</v>
      </c>
      <c r="U889" s="34" t="e" cm="1">
        <f t="array" aca="1" ref="U889" ca="1">IF(AND(G889=INDIRECT("'["&amp;G889&amp;"]"&amp;E889&amp;"'!"&amp;$AH$2),OR(I889=INDIRECT("'["&amp;G889&amp;"]"&amp;E889&amp;"'!"&amp;$AG$2))),INDIRECT("'["&amp;G889&amp;"]"&amp;E889&amp;"'!"&amp;$AG$3),0)</f>
        <v>#VALUE!</v>
      </c>
      <c r="V889" s="25" t="str">
        <f t="shared" si="242"/>
        <v/>
      </c>
      <c r="W889" s="36" t="e" cm="1">
        <f t="array" aca="1" ref="W889" ca="1">IF(AND(G889=INDIRECT("'["&amp;G889&amp;"]"&amp;E889&amp;"'!"&amp;$AH$2),OR(V889=INDIRECT("'["&amp;G889&amp;"]"&amp;E889&amp;"'!"&amp;$AI$2))),INDIRECT("'["&amp;G889&amp;"]"&amp;E889&amp;"'!"&amp;$AI$3),0)</f>
        <v>#VALUE!</v>
      </c>
      <c r="AJ889" s="25">
        <v>1</v>
      </c>
      <c r="AK889" s="38">
        <f t="shared" ca="1" si="243"/>
        <v>0</v>
      </c>
      <c r="AL889" s="38">
        <f t="shared" ca="1" si="244"/>
        <v>0</v>
      </c>
      <c r="AM889" s="54" t="str">
        <f t="shared" ca="1" si="245"/>
        <v/>
      </c>
      <c r="AN889" s="25" t="e">
        <f t="shared" ca="1" si="246"/>
        <v>#VALUE!</v>
      </c>
      <c r="AO889" s="25" t="e">
        <f t="shared" ca="1" si="247"/>
        <v>#VALUE!</v>
      </c>
      <c r="AQ889" s="46" t="str">
        <f ca="1">IF(AND(C889&lt;&gt;0, C890=0), SUM($C$2:C889)-SUM($AQ$1:AQ888), "")</f>
        <v/>
      </c>
      <c r="AR889" s="46" t="str">
        <f ca="1">IF(AND(AK889&lt;&gt;0, AK890=0), SUM($AK$2:AK889)-SUM($AR$1:AR888), "")</f>
        <v/>
      </c>
    </row>
    <row r="890" spans="2:44" ht="13.15" customHeight="1">
      <c r="B890" s="68" t="str">
        <f t="shared" si="233"/>
        <v/>
      </c>
      <c r="C890" s="55" cm="1">
        <f t="array" aca="1" ref="C890" ca="1">SUM(IF(ISNUMBER(M890:U890),M890:U890,""))</f>
        <v>0</v>
      </c>
      <c r="D890" s="25" t="str">
        <f t="shared" si="234"/>
        <v/>
      </c>
      <c r="E890" s="25" t="e">
        <f t="shared" si="235"/>
        <v>#VALUE!</v>
      </c>
      <c r="F890" s="25" t="str">
        <f t="shared" si="236"/>
        <v/>
      </c>
      <c r="G890" s="25" t="str">
        <f t="shared" si="237"/>
        <v>.xlsx</v>
      </c>
      <c r="H890" s="29" t="e" cm="1">
        <f t="array" aca="1" ref="H890" ca="1">IF(AND(VALUE(E890)=INDIRECT("'["&amp;G890&amp;"]"&amp;E890&amp;"'!"&amp;$X$2),G890=INDIRECT("'["&amp;G890&amp;"]"&amp;E890&amp;"'!"&amp;$X$3)),INDIRECT("'["&amp;G890&amp;"]"&amp;E890&amp;"'!"&amp;$X$1),0)</f>
        <v>#VALUE!</v>
      </c>
      <c r="I890" s="25" t="str">
        <f t="shared" si="238"/>
        <v/>
      </c>
      <c r="J890" s="32" t="str">
        <f t="shared" si="239"/>
        <v/>
      </c>
      <c r="K890" s="25" t="str">
        <f t="shared" si="240"/>
        <v/>
      </c>
      <c r="L890" s="25" t="str">
        <f t="shared" si="241"/>
        <v/>
      </c>
      <c r="M890" s="33" t="e" cm="1">
        <f t="array" aca="1" ref="M890" ca="1">IF(AND(J890=INDIRECT("'["&amp;G890&amp;"]"&amp;E890&amp;"'!"&amp;$Y$2),G890=INDIRECT("'["&amp;G890&amp;"]"&amp;E890&amp;"'!"&amp;$AH$2)),INDIRECT("'["&amp;G890&amp;"]"&amp;E890&amp;"'!"&amp;$Y$3),0)</f>
        <v>#VALUE!</v>
      </c>
      <c r="N890" s="34" t="e" cm="1">
        <f t="array" aca="1" ref="N890" ca="1">IF(AND(G890=INDIRECT("'["&amp;G890&amp;"]"&amp;E890&amp;"'!"&amp;$AH$2),OR(K890=INDIRECT("'["&amp;G890&amp;"]"&amp;E890&amp;"'!"&amp;$Z$2))),INDIRECT("'["&amp;G890&amp;"]"&amp;E890&amp;"'!"&amp;$Z$3),0)</f>
        <v>#VALUE!</v>
      </c>
      <c r="O890" s="34" t="e" cm="1">
        <f t="array" aca="1" ref="O890" ca="1">IF(AND(G890=INDIRECT("'["&amp;G890&amp;"]"&amp;E890&amp;"'!"&amp;$AH$2),OR(L890=INDIRECT("'["&amp;G890&amp;"]"&amp;E890&amp;"'!"&amp;$AA$2))),INDIRECT("'["&amp;G890&amp;"]"&amp;E890&amp;"'!"&amp;$AA$3),0)</f>
        <v>#VALUE!</v>
      </c>
      <c r="P890" s="34" t="e" cm="1">
        <f t="array" aca="1" ref="P890" ca="1">IF(AND(G890=INDIRECT("'["&amp;G890&amp;"]"&amp;E890&amp;"'!"&amp;$AH$2),OR(VALUE(I890)=INDIRECT("'["&amp;G890&amp;"]"&amp;E890&amp;"'!"&amp;$AB$2))),INDIRECT("'["&amp;G890&amp;"]"&amp;E890&amp;"'!"&amp;$AB$3),0)</f>
        <v>#VALUE!</v>
      </c>
      <c r="Q890" s="34" t="e" cm="1">
        <f t="array" aca="1" ref="Q890" ca="1">IF(AND(G890=INDIRECT("'["&amp;G890&amp;"]"&amp;E890&amp;"'!"&amp;$AH$2),OR(VALUE(I890)=INDIRECT("'["&amp;G890&amp;"]"&amp;E890&amp;"'!"&amp;$AC$2))),INDIRECT("'["&amp;G890&amp;"]"&amp;E890&amp;"'!"&amp;$AC$3),0)</f>
        <v>#VALUE!</v>
      </c>
      <c r="R890" s="34" t="e" cm="1">
        <f t="array" aca="1" ref="R890" ca="1">IF(AND(G890=INDIRECT("'["&amp;G890&amp;"]"&amp;E890&amp;"'!"&amp;$AH$2),OR(I890=INDIRECT("'["&amp;G890&amp;"]"&amp;E890&amp;"'!"&amp;$AD$2))),INDIRECT("'["&amp;G890&amp;"]"&amp;E890&amp;"'!"&amp;$AD$3),0)</f>
        <v>#VALUE!</v>
      </c>
      <c r="S890" s="34" t="e" cm="1">
        <f t="array" aca="1" ref="S890" ca="1">IF(AND(G890=INDIRECT("'["&amp;G890&amp;"]"&amp;E890&amp;"'!"&amp;$AH$2),OR(I890=INDIRECT("'["&amp;G890&amp;"]"&amp;E890&amp;"'!"&amp;$AE$2))),INDIRECT("'["&amp;G890&amp;"]"&amp;E890&amp;"'!"&amp;$AE$3),0)</f>
        <v>#VALUE!</v>
      </c>
      <c r="T890" s="35" t="e" cm="1">
        <f t="array" aca="1" ref="T890" ca="1">IF(AND(G890=INDIRECT("'["&amp;G890&amp;"]"&amp;E890&amp;"'!"&amp;$AH$2),OR(I890=INDIRECT("'["&amp;G890&amp;"]"&amp;E890&amp;"'!"&amp;$AF$2))),INDIRECT("'["&amp;G890&amp;"]"&amp;E890&amp;"'!"&amp;$AF$3),0)</f>
        <v>#VALUE!</v>
      </c>
      <c r="U890" s="34" t="e" cm="1">
        <f t="array" aca="1" ref="U890" ca="1">IF(AND(G890=INDIRECT("'["&amp;G890&amp;"]"&amp;E890&amp;"'!"&amp;$AH$2),OR(I890=INDIRECT("'["&amp;G890&amp;"]"&amp;E890&amp;"'!"&amp;$AG$2))),INDIRECT("'["&amp;G890&amp;"]"&amp;E890&amp;"'!"&amp;$AG$3),0)</f>
        <v>#VALUE!</v>
      </c>
      <c r="V890" s="25" t="str">
        <f t="shared" si="242"/>
        <v/>
      </c>
      <c r="W890" s="36" t="e" cm="1">
        <f t="array" aca="1" ref="W890" ca="1">IF(AND(G890=INDIRECT("'["&amp;G890&amp;"]"&amp;E890&amp;"'!"&amp;$AH$2),OR(V890=INDIRECT("'["&amp;G890&amp;"]"&amp;E890&amp;"'!"&amp;$AI$2))),INDIRECT("'["&amp;G890&amp;"]"&amp;E890&amp;"'!"&amp;$AI$3),0)</f>
        <v>#VALUE!</v>
      </c>
      <c r="AJ890" s="25">
        <v>1</v>
      </c>
      <c r="AK890" s="38">
        <f t="shared" ca="1" si="243"/>
        <v>0</v>
      </c>
      <c r="AL890" s="38">
        <f t="shared" ca="1" si="244"/>
        <v>0</v>
      </c>
      <c r="AM890" s="54" t="str">
        <f t="shared" ca="1" si="245"/>
        <v/>
      </c>
      <c r="AN890" s="25" t="e">
        <f t="shared" ca="1" si="246"/>
        <v>#VALUE!</v>
      </c>
      <c r="AO890" s="25" t="e">
        <f t="shared" ca="1" si="247"/>
        <v>#VALUE!</v>
      </c>
      <c r="AQ890" s="46" t="str">
        <f ca="1">IF(AND(C890&lt;&gt;0, C891=0), SUM($C$2:C890)-SUM($AQ$1:AQ889), "")</f>
        <v/>
      </c>
      <c r="AR890" s="46" t="str">
        <f ca="1">IF(AND(AK890&lt;&gt;0, AK891=0), SUM($AK$2:AK890)-SUM($AR$1:AR889), "")</f>
        <v/>
      </c>
    </row>
    <row r="891" spans="2:44" ht="13.15" customHeight="1">
      <c r="B891" s="68" t="str">
        <f t="shared" si="233"/>
        <v/>
      </c>
      <c r="C891" s="55" cm="1">
        <f t="array" aca="1" ref="C891" ca="1">SUM(IF(ISNUMBER(M891:U891),M891:U891,""))</f>
        <v>0</v>
      </c>
      <c r="D891" s="25" t="str">
        <f t="shared" si="234"/>
        <v/>
      </c>
      <c r="E891" s="25" t="e">
        <f t="shared" si="235"/>
        <v>#VALUE!</v>
      </c>
      <c r="F891" s="25" t="str">
        <f t="shared" si="236"/>
        <v/>
      </c>
      <c r="G891" s="25" t="str">
        <f t="shared" si="237"/>
        <v>.xlsx</v>
      </c>
      <c r="H891" s="29" t="e" cm="1">
        <f t="array" aca="1" ref="H891" ca="1">IF(AND(VALUE(E891)=INDIRECT("'["&amp;G891&amp;"]"&amp;E891&amp;"'!"&amp;$X$2),G891=INDIRECT("'["&amp;G891&amp;"]"&amp;E891&amp;"'!"&amp;$X$3)),INDIRECT("'["&amp;G891&amp;"]"&amp;E891&amp;"'!"&amp;$X$1),0)</f>
        <v>#VALUE!</v>
      </c>
      <c r="I891" s="25" t="str">
        <f t="shared" si="238"/>
        <v/>
      </c>
      <c r="J891" s="32" t="str">
        <f t="shared" si="239"/>
        <v/>
      </c>
      <c r="K891" s="25" t="str">
        <f t="shared" si="240"/>
        <v/>
      </c>
      <c r="L891" s="25" t="str">
        <f t="shared" si="241"/>
        <v/>
      </c>
      <c r="M891" s="33" t="e" cm="1">
        <f t="array" aca="1" ref="M891" ca="1">IF(AND(J891=INDIRECT("'["&amp;G891&amp;"]"&amp;E891&amp;"'!"&amp;$Y$2),G891=INDIRECT("'["&amp;G891&amp;"]"&amp;E891&amp;"'!"&amp;$AH$2)),INDIRECT("'["&amp;G891&amp;"]"&amp;E891&amp;"'!"&amp;$Y$3),0)</f>
        <v>#VALUE!</v>
      </c>
      <c r="N891" s="34" t="e" cm="1">
        <f t="array" aca="1" ref="N891" ca="1">IF(AND(G891=INDIRECT("'["&amp;G891&amp;"]"&amp;E891&amp;"'!"&amp;$AH$2),OR(K891=INDIRECT("'["&amp;G891&amp;"]"&amp;E891&amp;"'!"&amp;$Z$2))),INDIRECT("'["&amp;G891&amp;"]"&amp;E891&amp;"'!"&amp;$Z$3),0)</f>
        <v>#VALUE!</v>
      </c>
      <c r="O891" s="34" t="e" cm="1">
        <f t="array" aca="1" ref="O891" ca="1">IF(AND(G891=INDIRECT("'["&amp;G891&amp;"]"&amp;E891&amp;"'!"&amp;$AH$2),OR(L891=INDIRECT("'["&amp;G891&amp;"]"&amp;E891&amp;"'!"&amp;$AA$2))),INDIRECT("'["&amp;G891&amp;"]"&amp;E891&amp;"'!"&amp;$AA$3),0)</f>
        <v>#VALUE!</v>
      </c>
      <c r="P891" s="34" t="e" cm="1">
        <f t="array" aca="1" ref="P891" ca="1">IF(AND(G891=INDIRECT("'["&amp;G891&amp;"]"&amp;E891&amp;"'!"&amp;$AH$2),OR(VALUE(I891)=INDIRECT("'["&amp;G891&amp;"]"&amp;E891&amp;"'!"&amp;$AB$2))),INDIRECT("'["&amp;G891&amp;"]"&amp;E891&amp;"'!"&amp;$AB$3),0)</f>
        <v>#VALUE!</v>
      </c>
      <c r="Q891" s="34" t="e" cm="1">
        <f t="array" aca="1" ref="Q891" ca="1">IF(AND(G891=INDIRECT("'["&amp;G891&amp;"]"&amp;E891&amp;"'!"&amp;$AH$2),OR(VALUE(I891)=INDIRECT("'["&amp;G891&amp;"]"&amp;E891&amp;"'!"&amp;$AC$2))),INDIRECT("'["&amp;G891&amp;"]"&amp;E891&amp;"'!"&amp;$AC$3),0)</f>
        <v>#VALUE!</v>
      </c>
      <c r="R891" s="34" t="e" cm="1">
        <f t="array" aca="1" ref="R891" ca="1">IF(AND(G891=INDIRECT("'["&amp;G891&amp;"]"&amp;E891&amp;"'!"&amp;$AH$2),OR(I891=INDIRECT("'["&amp;G891&amp;"]"&amp;E891&amp;"'!"&amp;$AD$2))),INDIRECT("'["&amp;G891&amp;"]"&amp;E891&amp;"'!"&amp;$AD$3),0)</f>
        <v>#VALUE!</v>
      </c>
      <c r="S891" s="34" t="e" cm="1">
        <f t="array" aca="1" ref="S891" ca="1">IF(AND(G891=INDIRECT("'["&amp;G891&amp;"]"&amp;E891&amp;"'!"&amp;$AH$2),OR(I891=INDIRECT("'["&amp;G891&amp;"]"&amp;E891&amp;"'!"&amp;$AE$2))),INDIRECT("'["&amp;G891&amp;"]"&amp;E891&amp;"'!"&amp;$AE$3),0)</f>
        <v>#VALUE!</v>
      </c>
      <c r="T891" s="35" t="e" cm="1">
        <f t="array" aca="1" ref="T891" ca="1">IF(AND(G891=INDIRECT("'["&amp;G891&amp;"]"&amp;E891&amp;"'!"&amp;$AH$2),OR(I891=INDIRECT("'["&amp;G891&amp;"]"&amp;E891&amp;"'!"&amp;$AF$2))),INDIRECT("'["&amp;G891&amp;"]"&amp;E891&amp;"'!"&amp;$AF$3),0)</f>
        <v>#VALUE!</v>
      </c>
      <c r="U891" s="34" t="e" cm="1">
        <f t="array" aca="1" ref="U891" ca="1">IF(AND(G891=INDIRECT("'["&amp;G891&amp;"]"&amp;E891&amp;"'!"&amp;$AH$2),OR(I891=INDIRECT("'["&amp;G891&amp;"]"&amp;E891&amp;"'!"&amp;$AG$2))),INDIRECT("'["&amp;G891&amp;"]"&amp;E891&amp;"'!"&amp;$AG$3),0)</f>
        <v>#VALUE!</v>
      </c>
      <c r="V891" s="25" t="str">
        <f t="shared" si="242"/>
        <v/>
      </c>
      <c r="W891" s="36" t="e" cm="1">
        <f t="array" aca="1" ref="W891" ca="1">IF(AND(G891=INDIRECT("'["&amp;G891&amp;"]"&amp;E891&amp;"'!"&amp;$AH$2),OR(V891=INDIRECT("'["&amp;G891&amp;"]"&amp;E891&amp;"'!"&amp;$AI$2))),INDIRECT("'["&amp;G891&amp;"]"&amp;E891&amp;"'!"&amp;$AI$3),0)</f>
        <v>#VALUE!</v>
      </c>
      <c r="AJ891" s="25">
        <v>1</v>
      </c>
      <c r="AK891" s="38">
        <f t="shared" ca="1" si="243"/>
        <v>0</v>
      </c>
      <c r="AL891" s="38">
        <f t="shared" ca="1" si="244"/>
        <v>0</v>
      </c>
      <c r="AM891" s="54" t="str">
        <f t="shared" ca="1" si="245"/>
        <v/>
      </c>
      <c r="AN891" s="25" t="e">
        <f t="shared" ca="1" si="246"/>
        <v>#VALUE!</v>
      </c>
      <c r="AO891" s="25" t="e">
        <f t="shared" ca="1" si="247"/>
        <v>#VALUE!</v>
      </c>
      <c r="AQ891" s="46" t="str">
        <f ca="1">IF(AND(C891&lt;&gt;0, C892=0), SUM($C$2:C891)-SUM($AQ$1:AQ890), "")</f>
        <v/>
      </c>
      <c r="AR891" s="46" t="str">
        <f ca="1">IF(AND(AK891&lt;&gt;0, AK892=0), SUM($AK$2:AK891)-SUM($AR$1:AR890), "")</f>
        <v/>
      </c>
    </row>
    <row r="892" spans="2:44" ht="13.15" customHeight="1">
      <c r="B892" s="68" t="str">
        <f t="shared" si="233"/>
        <v/>
      </c>
      <c r="C892" s="55" cm="1">
        <f t="array" aca="1" ref="C892" ca="1">SUM(IF(ISNUMBER(M892:U892),M892:U892,""))</f>
        <v>0</v>
      </c>
      <c r="D892" s="25" t="str">
        <f t="shared" si="234"/>
        <v/>
      </c>
      <c r="E892" s="25" t="e">
        <f t="shared" si="235"/>
        <v>#VALUE!</v>
      </c>
      <c r="F892" s="25" t="str">
        <f t="shared" si="236"/>
        <v/>
      </c>
      <c r="G892" s="25" t="str">
        <f t="shared" si="237"/>
        <v>.xlsx</v>
      </c>
      <c r="H892" s="29" t="e" cm="1">
        <f t="array" aca="1" ref="H892" ca="1">IF(AND(VALUE(E892)=INDIRECT("'["&amp;G892&amp;"]"&amp;E892&amp;"'!"&amp;$X$2),G892=INDIRECT("'["&amp;G892&amp;"]"&amp;E892&amp;"'!"&amp;$X$3)),INDIRECT("'["&amp;G892&amp;"]"&amp;E892&amp;"'!"&amp;$X$1),0)</f>
        <v>#VALUE!</v>
      </c>
      <c r="I892" s="25" t="str">
        <f t="shared" si="238"/>
        <v/>
      </c>
      <c r="J892" s="32" t="str">
        <f t="shared" si="239"/>
        <v/>
      </c>
      <c r="K892" s="25" t="str">
        <f t="shared" si="240"/>
        <v/>
      </c>
      <c r="L892" s="25" t="str">
        <f t="shared" si="241"/>
        <v/>
      </c>
      <c r="M892" s="33" t="e" cm="1">
        <f t="array" aca="1" ref="M892" ca="1">IF(AND(J892=INDIRECT("'["&amp;G892&amp;"]"&amp;E892&amp;"'!"&amp;$Y$2),G892=INDIRECT("'["&amp;G892&amp;"]"&amp;E892&amp;"'!"&amp;$AH$2)),INDIRECT("'["&amp;G892&amp;"]"&amp;E892&amp;"'!"&amp;$Y$3),0)</f>
        <v>#VALUE!</v>
      </c>
      <c r="N892" s="34" t="e" cm="1">
        <f t="array" aca="1" ref="N892" ca="1">IF(AND(G892=INDIRECT("'["&amp;G892&amp;"]"&amp;E892&amp;"'!"&amp;$AH$2),OR(K892=INDIRECT("'["&amp;G892&amp;"]"&amp;E892&amp;"'!"&amp;$Z$2))),INDIRECT("'["&amp;G892&amp;"]"&amp;E892&amp;"'!"&amp;$Z$3),0)</f>
        <v>#VALUE!</v>
      </c>
      <c r="O892" s="34" t="e" cm="1">
        <f t="array" aca="1" ref="O892" ca="1">IF(AND(G892=INDIRECT("'["&amp;G892&amp;"]"&amp;E892&amp;"'!"&amp;$AH$2),OR(L892=INDIRECT("'["&amp;G892&amp;"]"&amp;E892&amp;"'!"&amp;$AA$2))),INDIRECT("'["&amp;G892&amp;"]"&amp;E892&amp;"'!"&amp;$AA$3),0)</f>
        <v>#VALUE!</v>
      </c>
      <c r="P892" s="34" t="e" cm="1">
        <f t="array" aca="1" ref="P892" ca="1">IF(AND(G892=INDIRECT("'["&amp;G892&amp;"]"&amp;E892&amp;"'!"&amp;$AH$2),OR(VALUE(I892)=INDIRECT("'["&amp;G892&amp;"]"&amp;E892&amp;"'!"&amp;$AB$2))),INDIRECT("'["&amp;G892&amp;"]"&amp;E892&amp;"'!"&amp;$AB$3),0)</f>
        <v>#VALUE!</v>
      </c>
      <c r="Q892" s="34" t="e" cm="1">
        <f t="array" aca="1" ref="Q892" ca="1">IF(AND(G892=INDIRECT("'["&amp;G892&amp;"]"&amp;E892&amp;"'!"&amp;$AH$2),OR(VALUE(I892)=INDIRECT("'["&amp;G892&amp;"]"&amp;E892&amp;"'!"&amp;$AC$2))),INDIRECT("'["&amp;G892&amp;"]"&amp;E892&amp;"'!"&amp;$AC$3),0)</f>
        <v>#VALUE!</v>
      </c>
      <c r="R892" s="34" t="e" cm="1">
        <f t="array" aca="1" ref="R892" ca="1">IF(AND(G892=INDIRECT("'["&amp;G892&amp;"]"&amp;E892&amp;"'!"&amp;$AH$2),OR(I892=INDIRECT("'["&amp;G892&amp;"]"&amp;E892&amp;"'!"&amp;$AD$2))),INDIRECT("'["&amp;G892&amp;"]"&amp;E892&amp;"'!"&amp;$AD$3),0)</f>
        <v>#VALUE!</v>
      </c>
      <c r="S892" s="34" t="e" cm="1">
        <f t="array" aca="1" ref="S892" ca="1">IF(AND(G892=INDIRECT("'["&amp;G892&amp;"]"&amp;E892&amp;"'!"&amp;$AH$2),OR(I892=INDIRECT("'["&amp;G892&amp;"]"&amp;E892&amp;"'!"&amp;$AE$2))),INDIRECT("'["&amp;G892&amp;"]"&amp;E892&amp;"'!"&amp;$AE$3),0)</f>
        <v>#VALUE!</v>
      </c>
      <c r="T892" s="35" t="e" cm="1">
        <f t="array" aca="1" ref="T892" ca="1">IF(AND(G892=INDIRECT("'["&amp;G892&amp;"]"&amp;E892&amp;"'!"&amp;$AH$2),OR(I892=INDIRECT("'["&amp;G892&amp;"]"&amp;E892&amp;"'!"&amp;$AF$2))),INDIRECT("'["&amp;G892&amp;"]"&amp;E892&amp;"'!"&amp;$AF$3),0)</f>
        <v>#VALUE!</v>
      </c>
      <c r="U892" s="34" t="e" cm="1">
        <f t="array" aca="1" ref="U892" ca="1">IF(AND(G892=INDIRECT("'["&amp;G892&amp;"]"&amp;E892&amp;"'!"&amp;$AH$2),OR(I892=INDIRECT("'["&amp;G892&amp;"]"&amp;E892&amp;"'!"&amp;$AG$2))),INDIRECT("'["&amp;G892&amp;"]"&amp;E892&amp;"'!"&amp;$AG$3),0)</f>
        <v>#VALUE!</v>
      </c>
      <c r="V892" s="25" t="str">
        <f t="shared" si="242"/>
        <v/>
      </c>
      <c r="W892" s="36" t="e" cm="1">
        <f t="array" aca="1" ref="W892" ca="1">IF(AND(G892=INDIRECT("'["&amp;G892&amp;"]"&amp;E892&amp;"'!"&amp;$AH$2),OR(V892=INDIRECT("'["&amp;G892&amp;"]"&amp;E892&amp;"'!"&amp;$AI$2))),INDIRECT("'["&amp;G892&amp;"]"&amp;E892&amp;"'!"&amp;$AI$3),0)</f>
        <v>#VALUE!</v>
      </c>
      <c r="AJ892" s="25">
        <v>1</v>
      </c>
      <c r="AK892" s="38">
        <f t="shared" ca="1" si="243"/>
        <v>0</v>
      </c>
      <c r="AL892" s="38">
        <f t="shared" ca="1" si="244"/>
        <v>0</v>
      </c>
      <c r="AM892" s="54" t="str">
        <f t="shared" ca="1" si="245"/>
        <v/>
      </c>
      <c r="AN892" s="25" t="e">
        <f t="shared" ca="1" si="246"/>
        <v>#VALUE!</v>
      </c>
      <c r="AO892" s="25" t="e">
        <f t="shared" ca="1" si="247"/>
        <v>#VALUE!</v>
      </c>
      <c r="AQ892" s="46" t="str">
        <f ca="1">IF(AND(C892&lt;&gt;0, C893=0), SUM($C$2:C892)-SUM($AQ$1:AQ891), "")</f>
        <v/>
      </c>
      <c r="AR892" s="46" t="str">
        <f ca="1">IF(AND(AK892&lt;&gt;0, AK893=0), SUM($AK$2:AK892)-SUM($AR$1:AR891), "")</f>
        <v/>
      </c>
    </row>
    <row r="893" spans="2:44" ht="13.15" customHeight="1">
      <c r="B893" s="68" t="str">
        <f t="shared" si="233"/>
        <v/>
      </c>
      <c r="C893" s="55" cm="1">
        <f t="array" aca="1" ref="C893" ca="1">SUM(IF(ISNUMBER(M893:U893),M893:U893,""))</f>
        <v>0</v>
      </c>
      <c r="D893" s="25" t="str">
        <f t="shared" si="234"/>
        <v/>
      </c>
      <c r="E893" s="25" t="e">
        <f t="shared" si="235"/>
        <v>#VALUE!</v>
      </c>
      <c r="F893" s="25" t="str">
        <f t="shared" si="236"/>
        <v/>
      </c>
      <c r="G893" s="25" t="str">
        <f t="shared" si="237"/>
        <v>.xlsx</v>
      </c>
      <c r="H893" s="29" t="e" cm="1">
        <f t="array" aca="1" ref="H893" ca="1">IF(AND(VALUE(E893)=INDIRECT("'["&amp;G893&amp;"]"&amp;E893&amp;"'!"&amp;$X$2),G893=INDIRECT("'["&amp;G893&amp;"]"&amp;E893&amp;"'!"&amp;$X$3)),INDIRECT("'["&amp;G893&amp;"]"&amp;E893&amp;"'!"&amp;$X$1),0)</f>
        <v>#VALUE!</v>
      </c>
      <c r="I893" s="25" t="str">
        <f t="shared" si="238"/>
        <v/>
      </c>
      <c r="J893" s="32" t="str">
        <f t="shared" si="239"/>
        <v/>
      </c>
      <c r="K893" s="25" t="str">
        <f t="shared" si="240"/>
        <v/>
      </c>
      <c r="L893" s="25" t="str">
        <f t="shared" si="241"/>
        <v/>
      </c>
      <c r="M893" s="33" t="e" cm="1">
        <f t="array" aca="1" ref="M893" ca="1">IF(AND(J893=INDIRECT("'["&amp;G893&amp;"]"&amp;E893&amp;"'!"&amp;$Y$2),G893=INDIRECT("'["&amp;G893&amp;"]"&amp;E893&amp;"'!"&amp;$AH$2)),INDIRECT("'["&amp;G893&amp;"]"&amp;E893&amp;"'!"&amp;$Y$3),0)</f>
        <v>#VALUE!</v>
      </c>
      <c r="N893" s="34" t="e" cm="1">
        <f t="array" aca="1" ref="N893" ca="1">IF(AND(G893=INDIRECT("'["&amp;G893&amp;"]"&amp;E893&amp;"'!"&amp;$AH$2),OR(K893=INDIRECT("'["&amp;G893&amp;"]"&amp;E893&amp;"'!"&amp;$Z$2))),INDIRECT("'["&amp;G893&amp;"]"&amp;E893&amp;"'!"&amp;$Z$3),0)</f>
        <v>#VALUE!</v>
      </c>
      <c r="O893" s="34" t="e" cm="1">
        <f t="array" aca="1" ref="O893" ca="1">IF(AND(G893=INDIRECT("'["&amp;G893&amp;"]"&amp;E893&amp;"'!"&amp;$AH$2),OR(L893=INDIRECT("'["&amp;G893&amp;"]"&amp;E893&amp;"'!"&amp;$AA$2))),INDIRECT("'["&amp;G893&amp;"]"&amp;E893&amp;"'!"&amp;$AA$3),0)</f>
        <v>#VALUE!</v>
      </c>
      <c r="P893" s="34" t="e" cm="1">
        <f t="array" aca="1" ref="P893" ca="1">IF(AND(G893=INDIRECT("'["&amp;G893&amp;"]"&amp;E893&amp;"'!"&amp;$AH$2),OR(VALUE(I893)=INDIRECT("'["&amp;G893&amp;"]"&amp;E893&amp;"'!"&amp;$AB$2))),INDIRECT("'["&amp;G893&amp;"]"&amp;E893&amp;"'!"&amp;$AB$3),0)</f>
        <v>#VALUE!</v>
      </c>
      <c r="Q893" s="34" t="e" cm="1">
        <f t="array" aca="1" ref="Q893" ca="1">IF(AND(G893=INDIRECT("'["&amp;G893&amp;"]"&amp;E893&amp;"'!"&amp;$AH$2),OR(VALUE(I893)=INDIRECT("'["&amp;G893&amp;"]"&amp;E893&amp;"'!"&amp;$AC$2))),INDIRECT("'["&amp;G893&amp;"]"&amp;E893&amp;"'!"&amp;$AC$3),0)</f>
        <v>#VALUE!</v>
      </c>
      <c r="R893" s="34" t="e" cm="1">
        <f t="array" aca="1" ref="R893" ca="1">IF(AND(G893=INDIRECT("'["&amp;G893&amp;"]"&amp;E893&amp;"'!"&amp;$AH$2),OR(I893=INDIRECT("'["&amp;G893&amp;"]"&amp;E893&amp;"'!"&amp;$AD$2))),INDIRECT("'["&amp;G893&amp;"]"&amp;E893&amp;"'!"&amp;$AD$3),0)</f>
        <v>#VALUE!</v>
      </c>
      <c r="S893" s="34" t="e" cm="1">
        <f t="array" aca="1" ref="S893" ca="1">IF(AND(G893=INDIRECT("'["&amp;G893&amp;"]"&amp;E893&amp;"'!"&amp;$AH$2),OR(I893=INDIRECT("'["&amp;G893&amp;"]"&amp;E893&amp;"'!"&amp;$AE$2))),INDIRECT("'["&amp;G893&amp;"]"&amp;E893&amp;"'!"&amp;$AE$3),0)</f>
        <v>#VALUE!</v>
      </c>
      <c r="T893" s="35" t="e" cm="1">
        <f t="array" aca="1" ref="T893" ca="1">IF(AND(G893=INDIRECT("'["&amp;G893&amp;"]"&amp;E893&amp;"'!"&amp;$AH$2),OR(I893=INDIRECT("'["&amp;G893&amp;"]"&amp;E893&amp;"'!"&amp;$AF$2))),INDIRECT("'["&amp;G893&amp;"]"&amp;E893&amp;"'!"&amp;$AF$3),0)</f>
        <v>#VALUE!</v>
      </c>
      <c r="U893" s="34" t="e" cm="1">
        <f t="array" aca="1" ref="U893" ca="1">IF(AND(G893=INDIRECT("'["&amp;G893&amp;"]"&amp;E893&amp;"'!"&amp;$AH$2),OR(I893=INDIRECT("'["&amp;G893&amp;"]"&amp;E893&amp;"'!"&amp;$AG$2))),INDIRECT("'["&amp;G893&amp;"]"&amp;E893&amp;"'!"&amp;$AG$3),0)</f>
        <v>#VALUE!</v>
      </c>
      <c r="V893" s="25" t="str">
        <f t="shared" si="242"/>
        <v/>
      </c>
      <c r="W893" s="36" t="e" cm="1">
        <f t="array" aca="1" ref="W893" ca="1">IF(AND(G893=INDIRECT("'["&amp;G893&amp;"]"&amp;E893&amp;"'!"&amp;$AH$2),OR(V893=INDIRECT("'["&amp;G893&amp;"]"&amp;E893&amp;"'!"&amp;$AI$2))),INDIRECT("'["&amp;G893&amp;"]"&amp;E893&amp;"'!"&amp;$AI$3),0)</f>
        <v>#VALUE!</v>
      </c>
      <c r="AJ893" s="25">
        <v>1</v>
      </c>
      <c r="AK893" s="38">
        <f t="shared" ca="1" si="243"/>
        <v>0</v>
      </c>
      <c r="AL893" s="38">
        <f t="shared" ca="1" si="244"/>
        <v>0</v>
      </c>
      <c r="AM893" s="54" t="str">
        <f t="shared" ca="1" si="245"/>
        <v/>
      </c>
      <c r="AN893" s="25" t="e">
        <f t="shared" ca="1" si="246"/>
        <v>#VALUE!</v>
      </c>
      <c r="AO893" s="25" t="e">
        <f t="shared" ca="1" si="247"/>
        <v>#VALUE!</v>
      </c>
      <c r="AQ893" s="46" t="str">
        <f ca="1">IF(AND(C893&lt;&gt;0, C894=0), SUM($C$2:C893)-SUM($AQ$1:AQ892), "")</f>
        <v/>
      </c>
      <c r="AR893" s="46" t="str">
        <f ca="1">IF(AND(AK893&lt;&gt;0, AK894=0), SUM($AK$2:AK893)-SUM($AR$1:AR892), "")</f>
        <v/>
      </c>
    </row>
    <row r="894" spans="2:44" ht="13.15" customHeight="1">
      <c r="B894" s="68" t="str">
        <f t="shared" si="233"/>
        <v/>
      </c>
      <c r="C894" s="55" cm="1">
        <f t="array" aca="1" ref="C894" ca="1">SUM(IF(ISNUMBER(M894:U894),M894:U894,""))</f>
        <v>0</v>
      </c>
      <c r="D894" s="25" t="str">
        <f t="shared" si="234"/>
        <v/>
      </c>
      <c r="E894" s="25" t="e">
        <f t="shared" si="235"/>
        <v>#VALUE!</v>
      </c>
      <c r="F894" s="25" t="str">
        <f t="shared" si="236"/>
        <v/>
      </c>
      <c r="G894" s="25" t="str">
        <f t="shared" si="237"/>
        <v>.xlsx</v>
      </c>
      <c r="H894" s="29" t="e" cm="1">
        <f t="array" aca="1" ref="H894" ca="1">IF(AND(VALUE(E894)=INDIRECT("'["&amp;G894&amp;"]"&amp;E894&amp;"'!"&amp;$X$2),G894=INDIRECT("'["&amp;G894&amp;"]"&amp;E894&amp;"'!"&amp;$X$3)),INDIRECT("'["&amp;G894&amp;"]"&amp;E894&amp;"'!"&amp;$X$1),0)</f>
        <v>#VALUE!</v>
      </c>
      <c r="I894" s="25" t="str">
        <f t="shared" si="238"/>
        <v/>
      </c>
      <c r="J894" s="32" t="str">
        <f t="shared" si="239"/>
        <v/>
      </c>
      <c r="K894" s="25" t="str">
        <f t="shared" si="240"/>
        <v/>
      </c>
      <c r="L894" s="25" t="str">
        <f t="shared" si="241"/>
        <v/>
      </c>
      <c r="M894" s="33" t="e" cm="1">
        <f t="array" aca="1" ref="M894" ca="1">IF(AND(J894=INDIRECT("'["&amp;G894&amp;"]"&amp;E894&amp;"'!"&amp;$Y$2),G894=INDIRECT("'["&amp;G894&amp;"]"&amp;E894&amp;"'!"&amp;$AH$2)),INDIRECT("'["&amp;G894&amp;"]"&amp;E894&amp;"'!"&amp;$Y$3),0)</f>
        <v>#VALUE!</v>
      </c>
      <c r="N894" s="34" t="e" cm="1">
        <f t="array" aca="1" ref="N894" ca="1">IF(AND(G894=INDIRECT("'["&amp;G894&amp;"]"&amp;E894&amp;"'!"&amp;$AH$2),OR(K894=INDIRECT("'["&amp;G894&amp;"]"&amp;E894&amp;"'!"&amp;$Z$2))),INDIRECT("'["&amp;G894&amp;"]"&amp;E894&amp;"'!"&amp;$Z$3),0)</f>
        <v>#VALUE!</v>
      </c>
      <c r="O894" s="34" t="e" cm="1">
        <f t="array" aca="1" ref="O894" ca="1">IF(AND(G894=INDIRECT("'["&amp;G894&amp;"]"&amp;E894&amp;"'!"&amp;$AH$2),OR(L894=INDIRECT("'["&amp;G894&amp;"]"&amp;E894&amp;"'!"&amp;$AA$2))),INDIRECT("'["&amp;G894&amp;"]"&amp;E894&amp;"'!"&amp;$AA$3),0)</f>
        <v>#VALUE!</v>
      </c>
      <c r="P894" s="34" t="e" cm="1">
        <f t="array" aca="1" ref="P894" ca="1">IF(AND(G894=INDIRECT("'["&amp;G894&amp;"]"&amp;E894&amp;"'!"&amp;$AH$2),OR(VALUE(I894)=INDIRECT("'["&amp;G894&amp;"]"&amp;E894&amp;"'!"&amp;$AB$2))),INDIRECT("'["&amp;G894&amp;"]"&amp;E894&amp;"'!"&amp;$AB$3),0)</f>
        <v>#VALUE!</v>
      </c>
      <c r="Q894" s="34" t="e" cm="1">
        <f t="array" aca="1" ref="Q894" ca="1">IF(AND(G894=INDIRECT("'["&amp;G894&amp;"]"&amp;E894&amp;"'!"&amp;$AH$2),OR(VALUE(I894)=INDIRECT("'["&amp;G894&amp;"]"&amp;E894&amp;"'!"&amp;$AC$2))),INDIRECT("'["&amp;G894&amp;"]"&amp;E894&amp;"'!"&amp;$AC$3),0)</f>
        <v>#VALUE!</v>
      </c>
      <c r="R894" s="34" t="e" cm="1">
        <f t="array" aca="1" ref="R894" ca="1">IF(AND(G894=INDIRECT("'["&amp;G894&amp;"]"&amp;E894&amp;"'!"&amp;$AH$2),OR(I894=INDIRECT("'["&amp;G894&amp;"]"&amp;E894&amp;"'!"&amp;$AD$2))),INDIRECT("'["&amp;G894&amp;"]"&amp;E894&amp;"'!"&amp;$AD$3),0)</f>
        <v>#VALUE!</v>
      </c>
      <c r="S894" s="34" t="e" cm="1">
        <f t="array" aca="1" ref="S894" ca="1">IF(AND(G894=INDIRECT("'["&amp;G894&amp;"]"&amp;E894&amp;"'!"&amp;$AH$2),OR(I894=INDIRECT("'["&amp;G894&amp;"]"&amp;E894&amp;"'!"&amp;$AE$2))),INDIRECT("'["&amp;G894&amp;"]"&amp;E894&amp;"'!"&amp;$AE$3),0)</f>
        <v>#VALUE!</v>
      </c>
      <c r="T894" s="35" t="e" cm="1">
        <f t="array" aca="1" ref="T894" ca="1">IF(AND(G894=INDIRECT("'["&amp;G894&amp;"]"&amp;E894&amp;"'!"&amp;$AH$2),OR(I894=INDIRECT("'["&amp;G894&amp;"]"&amp;E894&amp;"'!"&amp;$AF$2))),INDIRECT("'["&amp;G894&amp;"]"&amp;E894&amp;"'!"&amp;$AF$3),0)</f>
        <v>#VALUE!</v>
      </c>
      <c r="U894" s="34" t="e" cm="1">
        <f t="array" aca="1" ref="U894" ca="1">IF(AND(G894=INDIRECT("'["&amp;G894&amp;"]"&amp;E894&amp;"'!"&amp;$AH$2),OR(I894=INDIRECT("'["&amp;G894&amp;"]"&amp;E894&amp;"'!"&amp;$AG$2))),INDIRECT("'["&amp;G894&amp;"]"&amp;E894&amp;"'!"&amp;$AG$3),0)</f>
        <v>#VALUE!</v>
      </c>
      <c r="V894" s="25" t="str">
        <f t="shared" si="242"/>
        <v/>
      </c>
      <c r="W894" s="36" t="e" cm="1">
        <f t="array" aca="1" ref="W894" ca="1">IF(AND(G894=INDIRECT("'["&amp;G894&amp;"]"&amp;E894&amp;"'!"&amp;$AH$2),OR(V894=INDIRECT("'["&amp;G894&amp;"]"&amp;E894&amp;"'!"&amp;$AI$2))),INDIRECT("'["&amp;G894&amp;"]"&amp;E894&amp;"'!"&amp;$AI$3),0)</f>
        <v>#VALUE!</v>
      </c>
      <c r="AJ894" s="25">
        <v>1</v>
      </c>
      <c r="AK894" s="38">
        <f t="shared" ca="1" si="243"/>
        <v>0</v>
      </c>
      <c r="AL894" s="38">
        <f t="shared" ca="1" si="244"/>
        <v>0</v>
      </c>
      <c r="AM894" s="54" t="str">
        <f t="shared" ca="1" si="245"/>
        <v/>
      </c>
      <c r="AN894" s="25" t="e">
        <f t="shared" ca="1" si="246"/>
        <v>#VALUE!</v>
      </c>
      <c r="AO894" s="25" t="e">
        <f t="shared" ca="1" si="247"/>
        <v>#VALUE!</v>
      </c>
      <c r="AQ894" s="46" t="str">
        <f ca="1">IF(AND(C894&lt;&gt;0, C895=0), SUM($C$2:C894)-SUM($AQ$1:AQ893), "")</f>
        <v/>
      </c>
      <c r="AR894" s="46" t="str">
        <f ca="1">IF(AND(AK894&lt;&gt;0, AK895=0), SUM($AK$2:AK894)-SUM($AR$1:AR893), "")</f>
        <v/>
      </c>
    </row>
    <row r="895" spans="2:44" ht="13.15" customHeight="1">
      <c r="B895" s="68" t="str">
        <f t="shared" si="233"/>
        <v/>
      </c>
      <c r="C895" s="55" cm="1">
        <f t="array" aca="1" ref="C895" ca="1">SUM(IF(ISNUMBER(M895:U895),M895:U895,""))</f>
        <v>0</v>
      </c>
      <c r="D895" s="25" t="str">
        <f t="shared" si="234"/>
        <v/>
      </c>
      <c r="E895" s="25" t="e">
        <f t="shared" si="235"/>
        <v>#VALUE!</v>
      </c>
      <c r="F895" s="25" t="str">
        <f t="shared" si="236"/>
        <v/>
      </c>
      <c r="G895" s="25" t="str">
        <f t="shared" si="237"/>
        <v>.xlsx</v>
      </c>
      <c r="H895" s="29" t="e" cm="1">
        <f t="array" aca="1" ref="H895" ca="1">IF(AND(VALUE(E895)=INDIRECT("'["&amp;G895&amp;"]"&amp;E895&amp;"'!"&amp;$X$2),G895=INDIRECT("'["&amp;G895&amp;"]"&amp;E895&amp;"'!"&amp;$X$3)),INDIRECT("'["&amp;G895&amp;"]"&amp;E895&amp;"'!"&amp;$X$1),0)</f>
        <v>#VALUE!</v>
      </c>
      <c r="I895" s="25" t="str">
        <f t="shared" si="238"/>
        <v/>
      </c>
      <c r="J895" s="32" t="str">
        <f t="shared" si="239"/>
        <v/>
      </c>
      <c r="K895" s="25" t="str">
        <f t="shared" si="240"/>
        <v/>
      </c>
      <c r="L895" s="25" t="str">
        <f t="shared" si="241"/>
        <v/>
      </c>
      <c r="M895" s="33" t="e" cm="1">
        <f t="array" aca="1" ref="M895" ca="1">IF(AND(J895=INDIRECT("'["&amp;G895&amp;"]"&amp;E895&amp;"'!"&amp;$Y$2),G895=INDIRECT("'["&amp;G895&amp;"]"&amp;E895&amp;"'!"&amp;$AH$2)),INDIRECT("'["&amp;G895&amp;"]"&amp;E895&amp;"'!"&amp;$Y$3),0)</f>
        <v>#VALUE!</v>
      </c>
      <c r="N895" s="34" t="e" cm="1">
        <f t="array" aca="1" ref="N895" ca="1">IF(AND(G895=INDIRECT("'["&amp;G895&amp;"]"&amp;E895&amp;"'!"&amp;$AH$2),OR(K895=INDIRECT("'["&amp;G895&amp;"]"&amp;E895&amp;"'!"&amp;$Z$2))),INDIRECT("'["&amp;G895&amp;"]"&amp;E895&amp;"'!"&amp;$Z$3),0)</f>
        <v>#VALUE!</v>
      </c>
      <c r="O895" s="34" t="e" cm="1">
        <f t="array" aca="1" ref="O895" ca="1">IF(AND(G895=INDIRECT("'["&amp;G895&amp;"]"&amp;E895&amp;"'!"&amp;$AH$2),OR(L895=INDIRECT("'["&amp;G895&amp;"]"&amp;E895&amp;"'!"&amp;$AA$2))),INDIRECT("'["&amp;G895&amp;"]"&amp;E895&amp;"'!"&amp;$AA$3),0)</f>
        <v>#VALUE!</v>
      </c>
      <c r="P895" s="34" t="e" cm="1">
        <f t="array" aca="1" ref="P895" ca="1">IF(AND(G895=INDIRECT("'["&amp;G895&amp;"]"&amp;E895&amp;"'!"&amp;$AH$2),OR(VALUE(I895)=INDIRECT("'["&amp;G895&amp;"]"&amp;E895&amp;"'!"&amp;$AB$2))),INDIRECT("'["&amp;G895&amp;"]"&amp;E895&amp;"'!"&amp;$AB$3),0)</f>
        <v>#VALUE!</v>
      </c>
      <c r="Q895" s="34" t="e" cm="1">
        <f t="array" aca="1" ref="Q895" ca="1">IF(AND(G895=INDIRECT("'["&amp;G895&amp;"]"&amp;E895&amp;"'!"&amp;$AH$2),OR(VALUE(I895)=INDIRECT("'["&amp;G895&amp;"]"&amp;E895&amp;"'!"&amp;$AC$2))),INDIRECT("'["&amp;G895&amp;"]"&amp;E895&amp;"'!"&amp;$AC$3),0)</f>
        <v>#VALUE!</v>
      </c>
      <c r="R895" s="34" t="e" cm="1">
        <f t="array" aca="1" ref="R895" ca="1">IF(AND(G895=INDIRECT("'["&amp;G895&amp;"]"&amp;E895&amp;"'!"&amp;$AH$2),OR(I895=INDIRECT("'["&amp;G895&amp;"]"&amp;E895&amp;"'!"&amp;$AD$2))),INDIRECT("'["&amp;G895&amp;"]"&amp;E895&amp;"'!"&amp;$AD$3),0)</f>
        <v>#VALUE!</v>
      </c>
      <c r="S895" s="34" t="e" cm="1">
        <f t="array" aca="1" ref="S895" ca="1">IF(AND(G895=INDIRECT("'["&amp;G895&amp;"]"&amp;E895&amp;"'!"&amp;$AH$2),OR(I895=INDIRECT("'["&amp;G895&amp;"]"&amp;E895&amp;"'!"&amp;$AE$2))),INDIRECT("'["&amp;G895&amp;"]"&amp;E895&amp;"'!"&amp;$AE$3),0)</f>
        <v>#VALUE!</v>
      </c>
      <c r="T895" s="35" t="e" cm="1">
        <f t="array" aca="1" ref="T895" ca="1">IF(AND(G895=INDIRECT("'["&amp;G895&amp;"]"&amp;E895&amp;"'!"&amp;$AH$2),OR(I895=INDIRECT("'["&amp;G895&amp;"]"&amp;E895&amp;"'!"&amp;$AF$2))),INDIRECT("'["&amp;G895&amp;"]"&amp;E895&amp;"'!"&amp;$AF$3),0)</f>
        <v>#VALUE!</v>
      </c>
      <c r="U895" s="34" t="e" cm="1">
        <f t="array" aca="1" ref="U895" ca="1">IF(AND(G895=INDIRECT("'["&amp;G895&amp;"]"&amp;E895&amp;"'!"&amp;$AH$2),OR(I895=INDIRECT("'["&amp;G895&amp;"]"&amp;E895&amp;"'!"&amp;$AG$2))),INDIRECT("'["&amp;G895&amp;"]"&amp;E895&amp;"'!"&amp;$AG$3),0)</f>
        <v>#VALUE!</v>
      </c>
      <c r="V895" s="25" t="str">
        <f t="shared" si="242"/>
        <v/>
      </c>
      <c r="W895" s="36" t="e" cm="1">
        <f t="array" aca="1" ref="W895" ca="1">IF(AND(G895=INDIRECT("'["&amp;G895&amp;"]"&amp;E895&amp;"'!"&amp;$AH$2),OR(V895=INDIRECT("'["&amp;G895&amp;"]"&amp;E895&amp;"'!"&amp;$AI$2))),INDIRECT("'["&amp;G895&amp;"]"&amp;E895&amp;"'!"&amp;$AI$3),0)</f>
        <v>#VALUE!</v>
      </c>
      <c r="AJ895" s="25">
        <v>1</v>
      </c>
      <c r="AK895" s="38">
        <f t="shared" ca="1" si="243"/>
        <v>0</v>
      </c>
      <c r="AL895" s="38">
        <f t="shared" ca="1" si="244"/>
        <v>0</v>
      </c>
      <c r="AM895" s="54" t="str">
        <f t="shared" ca="1" si="245"/>
        <v/>
      </c>
      <c r="AN895" s="25" t="e">
        <f t="shared" ca="1" si="246"/>
        <v>#VALUE!</v>
      </c>
      <c r="AO895" s="25" t="e">
        <f t="shared" ca="1" si="247"/>
        <v>#VALUE!</v>
      </c>
      <c r="AQ895" s="46" t="str">
        <f ca="1">IF(AND(C895&lt;&gt;0, C896=0), SUM($C$2:C895)-SUM($AQ$1:AQ894), "")</f>
        <v/>
      </c>
      <c r="AR895" s="46" t="str">
        <f ca="1">IF(AND(AK895&lt;&gt;0, AK896=0), SUM($AK$2:AK895)-SUM($AR$1:AR894), "")</f>
        <v/>
      </c>
    </row>
    <row r="896" spans="2:44" ht="13.15" customHeight="1">
      <c r="B896" s="68" t="str">
        <f t="shared" si="233"/>
        <v/>
      </c>
      <c r="C896" s="55" cm="1">
        <f t="array" aca="1" ref="C896" ca="1">SUM(IF(ISNUMBER(M896:U896),M896:U896,""))</f>
        <v>0</v>
      </c>
      <c r="D896" s="25" t="str">
        <f t="shared" si="234"/>
        <v/>
      </c>
      <c r="E896" s="25" t="e">
        <f t="shared" si="235"/>
        <v>#VALUE!</v>
      </c>
      <c r="F896" s="25" t="str">
        <f t="shared" si="236"/>
        <v/>
      </c>
      <c r="G896" s="25" t="str">
        <f t="shared" si="237"/>
        <v>.xlsx</v>
      </c>
      <c r="H896" s="29" t="e" cm="1">
        <f t="array" aca="1" ref="H896" ca="1">IF(AND(VALUE(E896)=INDIRECT("'["&amp;G896&amp;"]"&amp;E896&amp;"'!"&amp;$X$2),G896=INDIRECT("'["&amp;G896&amp;"]"&amp;E896&amp;"'!"&amp;$X$3)),INDIRECT("'["&amp;G896&amp;"]"&amp;E896&amp;"'!"&amp;$X$1),0)</f>
        <v>#VALUE!</v>
      </c>
      <c r="I896" s="25" t="str">
        <f t="shared" si="238"/>
        <v/>
      </c>
      <c r="J896" s="32" t="str">
        <f t="shared" si="239"/>
        <v/>
      </c>
      <c r="K896" s="25" t="str">
        <f t="shared" si="240"/>
        <v/>
      </c>
      <c r="L896" s="25" t="str">
        <f t="shared" si="241"/>
        <v/>
      </c>
      <c r="M896" s="33" t="e" cm="1">
        <f t="array" aca="1" ref="M896" ca="1">IF(AND(J896=INDIRECT("'["&amp;G896&amp;"]"&amp;E896&amp;"'!"&amp;$Y$2),G896=INDIRECT("'["&amp;G896&amp;"]"&amp;E896&amp;"'!"&amp;$AH$2)),INDIRECT("'["&amp;G896&amp;"]"&amp;E896&amp;"'!"&amp;$Y$3),0)</f>
        <v>#VALUE!</v>
      </c>
      <c r="N896" s="34" t="e" cm="1">
        <f t="array" aca="1" ref="N896" ca="1">IF(AND(G896=INDIRECT("'["&amp;G896&amp;"]"&amp;E896&amp;"'!"&amp;$AH$2),OR(K896=INDIRECT("'["&amp;G896&amp;"]"&amp;E896&amp;"'!"&amp;$Z$2))),INDIRECT("'["&amp;G896&amp;"]"&amp;E896&amp;"'!"&amp;$Z$3),0)</f>
        <v>#VALUE!</v>
      </c>
      <c r="O896" s="34" t="e" cm="1">
        <f t="array" aca="1" ref="O896" ca="1">IF(AND(G896=INDIRECT("'["&amp;G896&amp;"]"&amp;E896&amp;"'!"&amp;$AH$2),OR(L896=INDIRECT("'["&amp;G896&amp;"]"&amp;E896&amp;"'!"&amp;$AA$2))),INDIRECT("'["&amp;G896&amp;"]"&amp;E896&amp;"'!"&amp;$AA$3),0)</f>
        <v>#VALUE!</v>
      </c>
      <c r="P896" s="34" t="e" cm="1">
        <f t="array" aca="1" ref="P896" ca="1">IF(AND(G896=INDIRECT("'["&amp;G896&amp;"]"&amp;E896&amp;"'!"&amp;$AH$2),OR(VALUE(I896)=INDIRECT("'["&amp;G896&amp;"]"&amp;E896&amp;"'!"&amp;$AB$2))),INDIRECT("'["&amp;G896&amp;"]"&amp;E896&amp;"'!"&amp;$AB$3),0)</f>
        <v>#VALUE!</v>
      </c>
      <c r="Q896" s="34" t="e" cm="1">
        <f t="array" aca="1" ref="Q896" ca="1">IF(AND(G896=INDIRECT("'["&amp;G896&amp;"]"&amp;E896&amp;"'!"&amp;$AH$2),OR(VALUE(I896)=INDIRECT("'["&amp;G896&amp;"]"&amp;E896&amp;"'!"&amp;$AC$2))),INDIRECT("'["&amp;G896&amp;"]"&amp;E896&amp;"'!"&amp;$AC$3),0)</f>
        <v>#VALUE!</v>
      </c>
      <c r="R896" s="34" t="e" cm="1">
        <f t="array" aca="1" ref="R896" ca="1">IF(AND(G896=INDIRECT("'["&amp;G896&amp;"]"&amp;E896&amp;"'!"&amp;$AH$2),OR(I896=INDIRECT("'["&amp;G896&amp;"]"&amp;E896&amp;"'!"&amp;$AD$2))),INDIRECT("'["&amp;G896&amp;"]"&amp;E896&amp;"'!"&amp;$AD$3),0)</f>
        <v>#VALUE!</v>
      </c>
      <c r="S896" s="34" t="e" cm="1">
        <f t="array" aca="1" ref="S896" ca="1">IF(AND(G896=INDIRECT("'["&amp;G896&amp;"]"&amp;E896&amp;"'!"&amp;$AH$2),OR(I896=INDIRECT("'["&amp;G896&amp;"]"&amp;E896&amp;"'!"&amp;$AE$2))),INDIRECT("'["&amp;G896&amp;"]"&amp;E896&amp;"'!"&amp;$AE$3),0)</f>
        <v>#VALUE!</v>
      </c>
      <c r="T896" s="35" t="e" cm="1">
        <f t="array" aca="1" ref="T896" ca="1">IF(AND(G896=INDIRECT("'["&amp;G896&amp;"]"&amp;E896&amp;"'!"&amp;$AH$2),OR(I896=INDIRECT("'["&amp;G896&amp;"]"&amp;E896&amp;"'!"&amp;$AF$2))),INDIRECT("'["&amp;G896&amp;"]"&amp;E896&amp;"'!"&amp;$AF$3),0)</f>
        <v>#VALUE!</v>
      </c>
      <c r="U896" s="34" t="e" cm="1">
        <f t="array" aca="1" ref="U896" ca="1">IF(AND(G896=INDIRECT("'["&amp;G896&amp;"]"&amp;E896&amp;"'!"&amp;$AH$2),OR(I896=INDIRECT("'["&amp;G896&amp;"]"&amp;E896&amp;"'!"&amp;$AG$2))),INDIRECT("'["&amp;G896&amp;"]"&amp;E896&amp;"'!"&amp;$AG$3),0)</f>
        <v>#VALUE!</v>
      </c>
      <c r="V896" s="25" t="str">
        <f t="shared" si="242"/>
        <v/>
      </c>
      <c r="W896" s="36" t="e" cm="1">
        <f t="array" aca="1" ref="W896" ca="1">IF(AND(G896=INDIRECT("'["&amp;G896&amp;"]"&amp;E896&amp;"'!"&amp;$AH$2),OR(V896=INDIRECT("'["&amp;G896&amp;"]"&amp;E896&amp;"'!"&amp;$AI$2))),INDIRECT("'["&amp;G896&amp;"]"&amp;E896&amp;"'!"&amp;$AI$3),0)</f>
        <v>#VALUE!</v>
      </c>
      <c r="AJ896" s="25">
        <v>1</v>
      </c>
      <c r="AK896" s="38">
        <f t="shared" ca="1" si="243"/>
        <v>0</v>
      </c>
      <c r="AL896" s="38">
        <f t="shared" ca="1" si="244"/>
        <v>0</v>
      </c>
      <c r="AM896" s="54" t="str">
        <f t="shared" ca="1" si="245"/>
        <v/>
      </c>
      <c r="AN896" s="25" t="e">
        <f t="shared" ca="1" si="246"/>
        <v>#VALUE!</v>
      </c>
      <c r="AO896" s="25" t="e">
        <f t="shared" ca="1" si="247"/>
        <v>#VALUE!</v>
      </c>
      <c r="AQ896" s="46" t="str">
        <f ca="1">IF(AND(C896&lt;&gt;0, C897=0), SUM($C$2:C896)-SUM($AQ$1:AQ895), "")</f>
        <v/>
      </c>
      <c r="AR896" s="46" t="str">
        <f ca="1">IF(AND(AK896&lt;&gt;0, AK897=0), SUM($AK$2:AK896)-SUM($AR$1:AR895), "")</f>
        <v/>
      </c>
    </row>
    <row r="897" spans="2:44" ht="13.15" customHeight="1">
      <c r="B897" s="68" t="str">
        <f t="shared" si="233"/>
        <v/>
      </c>
      <c r="C897" s="55" cm="1">
        <f t="array" aca="1" ref="C897" ca="1">SUM(IF(ISNUMBER(M897:U897),M897:U897,""))</f>
        <v>0</v>
      </c>
      <c r="D897" s="25" t="str">
        <f t="shared" si="234"/>
        <v/>
      </c>
      <c r="E897" s="25" t="e">
        <f t="shared" si="235"/>
        <v>#VALUE!</v>
      </c>
      <c r="F897" s="25" t="str">
        <f t="shared" si="236"/>
        <v/>
      </c>
      <c r="G897" s="25" t="str">
        <f t="shared" si="237"/>
        <v>.xlsx</v>
      </c>
      <c r="H897" s="29" t="e" cm="1">
        <f t="array" aca="1" ref="H897" ca="1">IF(AND(VALUE(E897)=INDIRECT("'["&amp;G897&amp;"]"&amp;E897&amp;"'!"&amp;$X$2),G897=INDIRECT("'["&amp;G897&amp;"]"&amp;E897&amp;"'!"&amp;$X$3)),INDIRECT("'["&amp;G897&amp;"]"&amp;E897&amp;"'!"&amp;$X$1),0)</f>
        <v>#VALUE!</v>
      </c>
      <c r="I897" s="25" t="str">
        <f t="shared" si="238"/>
        <v/>
      </c>
      <c r="J897" s="32" t="str">
        <f t="shared" si="239"/>
        <v/>
      </c>
      <c r="K897" s="25" t="str">
        <f t="shared" si="240"/>
        <v/>
      </c>
      <c r="L897" s="25" t="str">
        <f t="shared" si="241"/>
        <v/>
      </c>
      <c r="M897" s="33" t="e" cm="1">
        <f t="array" aca="1" ref="M897" ca="1">IF(AND(J897=INDIRECT("'["&amp;G897&amp;"]"&amp;E897&amp;"'!"&amp;$Y$2),G897=INDIRECT("'["&amp;G897&amp;"]"&amp;E897&amp;"'!"&amp;$AH$2)),INDIRECT("'["&amp;G897&amp;"]"&amp;E897&amp;"'!"&amp;$Y$3),0)</f>
        <v>#VALUE!</v>
      </c>
      <c r="N897" s="34" t="e" cm="1">
        <f t="array" aca="1" ref="N897" ca="1">IF(AND(G897=INDIRECT("'["&amp;G897&amp;"]"&amp;E897&amp;"'!"&amp;$AH$2),OR(K897=INDIRECT("'["&amp;G897&amp;"]"&amp;E897&amp;"'!"&amp;$Z$2))),INDIRECT("'["&amp;G897&amp;"]"&amp;E897&amp;"'!"&amp;$Z$3),0)</f>
        <v>#VALUE!</v>
      </c>
      <c r="O897" s="34" t="e" cm="1">
        <f t="array" aca="1" ref="O897" ca="1">IF(AND(G897=INDIRECT("'["&amp;G897&amp;"]"&amp;E897&amp;"'!"&amp;$AH$2),OR(L897=INDIRECT("'["&amp;G897&amp;"]"&amp;E897&amp;"'!"&amp;$AA$2))),INDIRECT("'["&amp;G897&amp;"]"&amp;E897&amp;"'!"&amp;$AA$3),0)</f>
        <v>#VALUE!</v>
      </c>
      <c r="P897" s="34" t="e" cm="1">
        <f t="array" aca="1" ref="P897" ca="1">IF(AND(G897=INDIRECT("'["&amp;G897&amp;"]"&amp;E897&amp;"'!"&amp;$AH$2),OR(VALUE(I897)=INDIRECT("'["&amp;G897&amp;"]"&amp;E897&amp;"'!"&amp;$AB$2))),INDIRECT("'["&amp;G897&amp;"]"&amp;E897&amp;"'!"&amp;$AB$3),0)</f>
        <v>#VALUE!</v>
      </c>
      <c r="Q897" s="34" t="e" cm="1">
        <f t="array" aca="1" ref="Q897" ca="1">IF(AND(G897=INDIRECT("'["&amp;G897&amp;"]"&amp;E897&amp;"'!"&amp;$AH$2),OR(VALUE(I897)=INDIRECT("'["&amp;G897&amp;"]"&amp;E897&amp;"'!"&amp;$AC$2))),INDIRECT("'["&amp;G897&amp;"]"&amp;E897&amp;"'!"&amp;$AC$3),0)</f>
        <v>#VALUE!</v>
      </c>
      <c r="R897" s="34" t="e" cm="1">
        <f t="array" aca="1" ref="R897" ca="1">IF(AND(G897=INDIRECT("'["&amp;G897&amp;"]"&amp;E897&amp;"'!"&amp;$AH$2),OR(I897=INDIRECT("'["&amp;G897&amp;"]"&amp;E897&amp;"'!"&amp;$AD$2))),INDIRECT("'["&amp;G897&amp;"]"&amp;E897&amp;"'!"&amp;$AD$3),0)</f>
        <v>#VALUE!</v>
      </c>
      <c r="S897" s="34" t="e" cm="1">
        <f t="array" aca="1" ref="S897" ca="1">IF(AND(G897=INDIRECT("'["&amp;G897&amp;"]"&amp;E897&amp;"'!"&amp;$AH$2),OR(I897=INDIRECT("'["&amp;G897&amp;"]"&amp;E897&amp;"'!"&amp;$AE$2))),INDIRECT("'["&amp;G897&amp;"]"&amp;E897&amp;"'!"&amp;$AE$3),0)</f>
        <v>#VALUE!</v>
      </c>
      <c r="T897" s="35" t="e" cm="1">
        <f t="array" aca="1" ref="T897" ca="1">IF(AND(G897=INDIRECT("'["&amp;G897&amp;"]"&amp;E897&amp;"'!"&amp;$AH$2),OR(I897=INDIRECT("'["&amp;G897&amp;"]"&amp;E897&amp;"'!"&amp;$AF$2))),INDIRECT("'["&amp;G897&amp;"]"&amp;E897&amp;"'!"&amp;$AF$3),0)</f>
        <v>#VALUE!</v>
      </c>
      <c r="U897" s="34" t="e" cm="1">
        <f t="array" aca="1" ref="U897" ca="1">IF(AND(G897=INDIRECT("'["&amp;G897&amp;"]"&amp;E897&amp;"'!"&amp;$AH$2),OR(I897=INDIRECT("'["&amp;G897&amp;"]"&amp;E897&amp;"'!"&amp;$AG$2))),INDIRECT("'["&amp;G897&amp;"]"&amp;E897&amp;"'!"&amp;$AG$3),0)</f>
        <v>#VALUE!</v>
      </c>
      <c r="V897" s="25" t="str">
        <f t="shared" si="242"/>
        <v/>
      </c>
      <c r="W897" s="36" t="e" cm="1">
        <f t="array" aca="1" ref="W897" ca="1">IF(AND(G897=INDIRECT("'["&amp;G897&amp;"]"&amp;E897&amp;"'!"&amp;$AH$2),OR(V897=INDIRECT("'["&amp;G897&amp;"]"&amp;E897&amp;"'!"&amp;$AI$2))),INDIRECT("'["&amp;G897&amp;"]"&amp;E897&amp;"'!"&amp;$AI$3),0)</f>
        <v>#VALUE!</v>
      </c>
      <c r="AJ897" s="25">
        <v>1</v>
      </c>
      <c r="AK897" s="38">
        <f t="shared" ca="1" si="243"/>
        <v>0</v>
      </c>
      <c r="AL897" s="38">
        <f t="shared" ca="1" si="244"/>
        <v>0</v>
      </c>
      <c r="AM897" s="54" t="str">
        <f t="shared" ca="1" si="245"/>
        <v/>
      </c>
      <c r="AN897" s="25" t="e">
        <f t="shared" ca="1" si="246"/>
        <v>#VALUE!</v>
      </c>
      <c r="AO897" s="25" t="e">
        <f t="shared" ca="1" si="247"/>
        <v>#VALUE!</v>
      </c>
      <c r="AQ897" s="46" t="str">
        <f ca="1">IF(AND(C897&lt;&gt;0, C898=0), SUM($C$2:C897)-SUM($AQ$1:AQ896), "")</f>
        <v/>
      </c>
      <c r="AR897" s="46" t="str">
        <f ca="1">IF(AND(AK897&lt;&gt;0, AK898=0), SUM($AK$2:AK897)-SUM($AR$1:AR896), "")</f>
        <v/>
      </c>
    </row>
    <row r="898" spans="2:44" ht="13.15" customHeight="1">
      <c r="B898" s="68" t="str">
        <f t="shared" si="233"/>
        <v/>
      </c>
      <c r="C898" s="55" cm="1">
        <f t="array" aca="1" ref="C898" ca="1">SUM(IF(ISNUMBER(M898:U898),M898:U898,""))</f>
        <v>0</v>
      </c>
      <c r="D898" s="25" t="str">
        <f t="shared" si="234"/>
        <v/>
      </c>
      <c r="E898" s="25" t="e">
        <f t="shared" si="235"/>
        <v>#VALUE!</v>
      </c>
      <c r="F898" s="25" t="str">
        <f t="shared" si="236"/>
        <v/>
      </c>
      <c r="G898" s="25" t="str">
        <f t="shared" si="237"/>
        <v>.xlsx</v>
      </c>
      <c r="H898" s="29" t="e" cm="1">
        <f t="array" aca="1" ref="H898" ca="1">IF(AND(VALUE(E898)=INDIRECT("'["&amp;G898&amp;"]"&amp;E898&amp;"'!"&amp;$X$2),G898=INDIRECT("'["&amp;G898&amp;"]"&amp;E898&amp;"'!"&amp;$X$3)),INDIRECT("'["&amp;G898&amp;"]"&amp;E898&amp;"'!"&amp;$X$1),0)</f>
        <v>#VALUE!</v>
      </c>
      <c r="I898" s="25" t="str">
        <f t="shared" si="238"/>
        <v/>
      </c>
      <c r="J898" s="32" t="str">
        <f t="shared" si="239"/>
        <v/>
      </c>
      <c r="K898" s="25" t="str">
        <f t="shared" si="240"/>
        <v/>
      </c>
      <c r="L898" s="25" t="str">
        <f t="shared" si="241"/>
        <v/>
      </c>
      <c r="M898" s="33" t="e" cm="1">
        <f t="array" aca="1" ref="M898" ca="1">IF(AND(J898=INDIRECT("'["&amp;G898&amp;"]"&amp;E898&amp;"'!"&amp;$Y$2),G898=INDIRECT("'["&amp;G898&amp;"]"&amp;E898&amp;"'!"&amp;$AH$2)),INDIRECT("'["&amp;G898&amp;"]"&amp;E898&amp;"'!"&amp;$Y$3),0)</f>
        <v>#VALUE!</v>
      </c>
      <c r="N898" s="34" t="e" cm="1">
        <f t="array" aca="1" ref="N898" ca="1">IF(AND(G898=INDIRECT("'["&amp;G898&amp;"]"&amp;E898&amp;"'!"&amp;$AH$2),OR(K898=INDIRECT("'["&amp;G898&amp;"]"&amp;E898&amp;"'!"&amp;$Z$2))),INDIRECT("'["&amp;G898&amp;"]"&amp;E898&amp;"'!"&amp;$Z$3),0)</f>
        <v>#VALUE!</v>
      </c>
      <c r="O898" s="34" t="e" cm="1">
        <f t="array" aca="1" ref="O898" ca="1">IF(AND(G898=INDIRECT("'["&amp;G898&amp;"]"&amp;E898&amp;"'!"&amp;$AH$2),OR(L898=INDIRECT("'["&amp;G898&amp;"]"&amp;E898&amp;"'!"&amp;$AA$2))),INDIRECT("'["&amp;G898&amp;"]"&amp;E898&amp;"'!"&amp;$AA$3),0)</f>
        <v>#VALUE!</v>
      </c>
      <c r="P898" s="34" t="e" cm="1">
        <f t="array" aca="1" ref="P898" ca="1">IF(AND(G898=INDIRECT("'["&amp;G898&amp;"]"&amp;E898&amp;"'!"&amp;$AH$2),OR(VALUE(I898)=INDIRECT("'["&amp;G898&amp;"]"&amp;E898&amp;"'!"&amp;$AB$2))),INDIRECT("'["&amp;G898&amp;"]"&amp;E898&amp;"'!"&amp;$AB$3),0)</f>
        <v>#VALUE!</v>
      </c>
      <c r="Q898" s="34" t="e" cm="1">
        <f t="array" aca="1" ref="Q898" ca="1">IF(AND(G898=INDIRECT("'["&amp;G898&amp;"]"&amp;E898&amp;"'!"&amp;$AH$2),OR(VALUE(I898)=INDIRECT("'["&amp;G898&amp;"]"&amp;E898&amp;"'!"&amp;$AC$2))),INDIRECT("'["&amp;G898&amp;"]"&amp;E898&amp;"'!"&amp;$AC$3),0)</f>
        <v>#VALUE!</v>
      </c>
      <c r="R898" s="34" t="e" cm="1">
        <f t="array" aca="1" ref="R898" ca="1">IF(AND(G898=INDIRECT("'["&amp;G898&amp;"]"&amp;E898&amp;"'!"&amp;$AH$2),OR(I898=INDIRECT("'["&amp;G898&amp;"]"&amp;E898&amp;"'!"&amp;$AD$2))),INDIRECT("'["&amp;G898&amp;"]"&amp;E898&amp;"'!"&amp;$AD$3),0)</f>
        <v>#VALUE!</v>
      </c>
      <c r="S898" s="34" t="e" cm="1">
        <f t="array" aca="1" ref="S898" ca="1">IF(AND(G898=INDIRECT("'["&amp;G898&amp;"]"&amp;E898&amp;"'!"&amp;$AH$2),OR(I898=INDIRECT("'["&amp;G898&amp;"]"&amp;E898&amp;"'!"&amp;$AE$2))),INDIRECT("'["&amp;G898&amp;"]"&amp;E898&amp;"'!"&amp;$AE$3),0)</f>
        <v>#VALUE!</v>
      </c>
      <c r="T898" s="35" t="e" cm="1">
        <f t="array" aca="1" ref="T898" ca="1">IF(AND(G898=INDIRECT("'["&amp;G898&amp;"]"&amp;E898&amp;"'!"&amp;$AH$2),OR(I898=INDIRECT("'["&amp;G898&amp;"]"&amp;E898&amp;"'!"&amp;$AF$2))),INDIRECT("'["&amp;G898&amp;"]"&amp;E898&amp;"'!"&amp;$AF$3),0)</f>
        <v>#VALUE!</v>
      </c>
      <c r="U898" s="34" t="e" cm="1">
        <f t="array" aca="1" ref="U898" ca="1">IF(AND(G898=INDIRECT("'["&amp;G898&amp;"]"&amp;E898&amp;"'!"&amp;$AH$2),OR(I898=INDIRECT("'["&amp;G898&amp;"]"&amp;E898&amp;"'!"&amp;$AG$2))),INDIRECT("'["&amp;G898&amp;"]"&amp;E898&amp;"'!"&amp;$AG$3),0)</f>
        <v>#VALUE!</v>
      </c>
      <c r="V898" s="25" t="str">
        <f t="shared" si="242"/>
        <v/>
      </c>
      <c r="W898" s="36" t="e" cm="1">
        <f t="array" aca="1" ref="W898" ca="1">IF(AND(G898=INDIRECT("'["&amp;G898&amp;"]"&amp;E898&amp;"'!"&amp;$AH$2),OR(V898=INDIRECT("'["&amp;G898&amp;"]"&amp;E898&amp;"'!"&amp;$AI$2))),INDIRECT("'["&amp;G898&amp;"]"&amp;E898&amp;"'!"&amp;$AI$3),0)</f>
        <v>#VALUE!</v>
      </c>
      <c r="AJ898" s="25">
        <v>1</v>
      </c>
      <c r="AK898" s="38">
        <f t="shared" ca="1" si="243"/>
        <v>0</v>
      </c>
      <c r="AL898" s="38">
        <f t="shared" ca="1" si="244"/>
        <v>0</v>
      </c>
      <c r="AM898" s="54" t="str">
        <f t="shared" ca="1" si="245"/>
        <v/>
      </c>
      <c r="AN898" s="25" t="e">
        <f t="shared" ca="1" si="246"/>
        <v>#VALUE!</v>
      </c>
      <c r="AO898" s="25" t="e">
        <f t="shared" ca="1" si="247"/>
        <v>#VALUE!</v>
      </c>
      <c r="AQ898" s="46" t="str">
        <f ca="1">IF(AND(C898&lt;&gt;0, C899=0), SUM($C$2:C898)-SUM($AQ$1:AQ897), "")</f>
        <v/>
      </c>
      <c r="AR898" s="46" t="str">
        <f ca="1">IF(AND(AK898&lt;&gt;0, AK899=0), SUM($AK$2:AK898)-SUM($AR$1:AR897), "")</f>
        <v/>
      </c>
    </row>
    <row r="899" spans="2:44" ht="13.15" customHeight="1">
      <c r="B899" s="68" t="str">
        <f t="shared" si="233"/>
        <v/>
      </c>
      <c r="C899" s="55" cm="1">
        <f t="array" aca="1" ref="C899" ca="1">SUM(IF(ISNUMBER(M899:U899),M899:U899,""))</f>
        <v>0</v>
      </c>
      <c r="D899" s="25" t="str">
        <f t="shared" si="234"/>
        <v/>
      </c>
      <c r="E899" s="25" t="e">
        <f t="shared" si="235"/>
        <v>#VALUE!</v>
      </c>
      <c r="F899" s="25" t="str">
        <f t="shared" si="236"/>
        <v/>
      </c>
      <c r="G899" s="25" t="str">
        <f t="shared" si="237"/>
        <v>.xlsx</v>
      </c>
      <c r="H899" s="29" t="e" cm="1">
        <f t="array" aca="1" ref="H899" ca="1">IF(AND(VALUE(E899)=INDIRECT("'["&amp;G899&amp;"]"&amp;E899&amp;"'!"&amp;$X$2),G899=INDIRECT("'["&amp;G899&amp;"]"&amp;E899&amp;"'!"&amp;$X$3)),INDIRECT("'["&amp;G899&amp;"]"&amp;E899&amp;"'!"&amp;$X$1),0)</f>
        <v>#VALUE!</v>
      </c>
      <c r="I899" s="25" t="str">
        <f t="shared" si="238"/>
        <v/>
      </c>
      <c r="J899" s="32" t="str">
        <f t="shared" si="239"/>
        <v/>
      </c>
      <c r="K899" s="25" t="str">
        <f t="shared" si="240"/>
        <v/>
      </c>
      <c r="L899" s="25" t="str">
        <f t="shared" si="241"/>
        <v/>
      </c>
      <c r="M899" s="33" t="e" cm="1">
        <f t="array" aca="1" ref="M899" ca="1">IF(AND(J899=INDIRECT("'["&amp;G899&amp;"]"&amp;E899&amp;"'!"&amp;$Y$2),G899=INDIRECT("'["&amp;G899&amp;"]"&amp;E899&amp;"'!"&amp;$AH$2)),INDIRECT("'["&amp;G899&amp;"]"&amp;E899&amp;"'!"&amp;$Y$3),0)</f>
        <v>#VALUE!</v>
      </c>
      <c r="N899" s="34" t="e" cm="1">
        <f t="array" aca="1" ref="N899" ca="1">IF(AND(G899=INDIRECT("'["&amp;G899&amp;"]"&amp;E899&amp;"'!"&amp;$AH$2),OR(K899=INDIRECT("'["&amp;G899&amp;"]"&amp;E899&amp;"'!"&amp;$Z$2))),INDIRECT("'["&amp;G899&amp;"]"&amp;E899&amp;"'!"&amp;$Z$3),0)</f>
        <v>#VALUE!</v>
      </c>
      <c r="O899" s="34" t="e" cm="1">
        <f t="array" aca="1" ref="O899" ca="1">IF(AND(G899=INDIRECT("'["&amp;G899&amp;"]"&amp;E899&amp;"'!"&amp;$AH$2),OR(L899=INDIRECT("'["&amp;G899&amp;"]"&amp;E899&amp;"'!"&amp;$AA$2))),INDIRECT("'["&amp;G899&amp;"]"&amp;E899&amp;"'!"&amp;$AA$3),0)</f>
        <v>#VALUE!</v>
      </c>
      <c r="P899" s="34" t="e" cm="1">
        <f t="array" aca="1" ref="P899" ca="1">IF(AND(G899=INDIRECT("'["&amp;G899&amp;"]"&amp;E899&amp;"'!"&amp;$AH$2),OR(VALUE(I899)=INDIRECT("'["&amp;G899&amp;"]"&amp;E899&amp;"'!"&amp;$AB$2))),INDIRECT("'["&amp;G899&amp;"]"&amp;E899&amp;"'!"&amp;$AB$3),0)</f>
        <v>#VALUE!</v>
      </c>
      <c r="Q899" s="34" t="e" cm="1">
        <f t="array" aca="1" ref="Q899" ca="1">IF(AND(G899=INDIRECT("'["&amp;G899&amp;"]"&amp;E899&amp;"'!"&amp;$AH$2),OR(VALUE(I899)=INDIRECT("'["&amp;G899&amp;"]"&amp;E899&amp;"'!"&amp;$AC$2))),INDIRECT("'["&amp;G899&amp;"]"&amp;E899&amp;"'!"&amp;$AC$3),0)</f>
        <v>#VALUE!</v>
      </c>
      <c r="R899" s="34" t="e" cm="1">
        <f t="array" aca="1" ref="R899" ca="1">IF(AND(G899=INDIRECT("'["&amp;G899&amp;"]"&amp;E899&amp;"'!"&amp;$AH$2),OR(I899=INDIRECT("'["&amp;G899&amp;"]"&amp;E899&amp;"'!"&amp;$AD$2))),INDIRECT("'["&amp;G899&amp;"]"&amp;E899&amp;"'!"&amp;$AD$3),0)</f>
        <v>#VALUE!</v>
      </c>
      <c r="S899" s="34" t="e" cm="1">
        <f t="array" aca="1" ref="S899" ca="1">IF(AND(G899=INDIRECT("'["&amp;G899&amp;"]"&amp;E899&amp;"'!"&amp;$AH$2),OR(I899=INDIRECT("'["&amp;G899&amp;"]"&amp;E899&amp;"'!"&amp;$AE$2))),INDIRECT("'["&amp;G899&amp;"]"&amp;E899&amp;"'!"&amp;$AE$3),0)</f>
        <v>#VALUE!</v>
      </c>
      <c r="T899" s="35" t="e" cm="1">
        <f t="array" aca="1" ref="T899" ca="1">IF(AND(G899=INDIRECT("'["&amp;G899&amp;"]"&amp;E899&amp;"'!"&amp;$AH$2),OR(I899=INDIRECT("'["&amp;G899&amp;"]"&amp;E899&amp;"'!"&amp;$AF$2))),INDIRECT("'["&amp;G899&amp;"]"&amp;E899&amp;"'!"&amp;$AF$3),0)</f>
        <v>#VALUE!</v>
      </c>
      <c r="U899" s="34" t="e" cm="1">
        <f t="array" aca="1" ref="U899" ca="1">IF(AND(G899=INDIRECT("'["&amp;G899&amp;"]"&amp;E899&amp;"'!"&amp;$AH$2),OR(I899=INDIRECT("'["&amp;G899&amp;"]"&amp;E899&amp;"'!"&amp;$AG$2))),INDIRECT("'["&amp;G899&amp;"]"&amp;E899&amp;"'!"&amp;$AG$3),0)</f>
        <v>#VALUE!</v>
      </c>
      <c r="V899" s="25" t="str">
        <f t="shared" si="242"/>
        <v/>
      </c>
      <c r="W899" s="36" t="e" cm="1">
        <f t="array" aca="1" ref="W899" ca="1">IF(AND(G899=INDIRECT("'["&amp;G899&amp;"]"&amp;E899&amp;"'!"&amp;$AH$2),OR(V899=INDIRECT("'["&amp;G899&amp;"]"&amp;E899&amp;"'!"&amp;$AI$2))),INDIRECT("'["&amp;G899&amp;"]"&amp;E899&amp;"'!"&amp;$AI$3),0)</f>
        <v>#VALUE!</v>
      </c>
      <c r="AJ899" s="25">
        <v>1</v>
      </c>
      <c r="AK899" s="38">
        <f t="shared" ca="1" si="243"/>
        <v>0</v>
      </c>
      <c r="AL899" s="38">
        <f t="shared" ca="1" si="244"/>
        <v>0</v>
      </c>
      <c r="AM899" s="54" t="str">
        <f t="shared" ca="1" si="245"/>
        <v/>
      </c>
      <c r="AN899" s="25" t="e">
        <f t="shared" ca="1" si="246"/>
        <v>#VALUE!</v>
      </c>
      <c r="AO899" s="25" t="e">
        <f t="shared" ca="1" si="247"/>
        <v>#VALUE!</v>
      </c>
      <c r="AQ899" s="46" t="str">
        <f ca="1">IF(AND(C899&lt;&gt;0, C900=0), SUM($C$2:C899)-SUM($AQ$1:AQ898), "")</f>
        <v/>
      </c>
      <c r="AR899" s="46" t="str">
        <f ca="1">IF(AND(AK899&lt;&gt;0, AK900=0), SUM($AK$2:AK899)-SUM($AR$1:AR898), "")</f>
        <v/>
      </c>
    </row>
    <row r="900" spans="2:44" ht="13.15" customHeight="1">
      <c r="B900" s="68" t="str">
        <f t="shared" si="233"/>
        <v/>
      </c>
      <c r="C900" s="55" cm="1">
        <f t="array" aca="1" ref="C900" ca="1">SUM(IF(ISNUMBER(M900:U900),M900:U900,""))</f>
        <v>0</v>
      </c>
      <c r="D900" s="25" t="str">
        <f t="shared" si="234"/>
        <v/>
      </c>
      <c r="E900" s="25" t="e">
        <f t="shared" si="235"/>
        <v>#VALUE!</v>
      </c>
      <c r="F900" s="25" t="str">
        <f t="shared" si="236"/>
        <v/>
      </c>
      <c r="G900" s="25" t="str">
        <f t="shared" si="237"/>
        <v>.xlsx</v>
      </c>
      <c r="H900" s="29" t="e" cm="1">
        <f t="array" aca="1" ref="H900" ca="1">IF(AND(VALUE(E900)=INDIRECT("'["&amp;G900&amp;"]"&amp;E900&amp;"'!"&amp;$X$2),G900=INDIRECT("'["&amp;G900&amp;"]"&amp;E900&amp;"'!"&amp;$X$3)),INDIRECT("'["&amp;G900&amp;"]"&amp;E900&amp;"'!"&amp;$X$1),0)</f>
        <v>#VALUE!</v>
      </c>
      <c r="I900" s="25" t="str">
        <f t="shared" si="238"/>
        <v/>
      </c>
      <c r="J900" s="32" t="str">
        <f t="shared" si="239"/>
        <v/>
      </c>
      <c r="K900" s="25" t="str">
        <f t="shared" si="240"/>
        <v/>
      </c>
      <c r="L900" s="25" t="str">
        <f t="shared" si="241"/>
        <v/>
      </c>
      <c r="M900" s="33" t="e" cm="1">
        <f t="array" aca="1" ref="M900" ca="1">IF(AND(J900=INDIRECT("'["&amp;G900&amp;"]"&amp;E900&amp;"'!"&amp;$Y$2),G900=INDIRECT("'["&amp;G900&amp;"]"&amp;E900&amp;"'!"&amp;$AH$2)),INDIRECT("'["&amp;G900&amp;"]"&amp;E900&amp;"'!"&amp;$Y$3),0)</f>
        <v>#VALUE!</v>
      </c>
      <c r="N900" s="34" t="e" cm="1">
        <f t="array" aca="1" ref="N900" ca="1">IF(AND(G900=INDIRECT("'["&amp;G900&amp;"]"&amp;E900&amp;"'!"&amp;$AH$2),OR(K900=INDIRECT("'["&amp;G900&amp;"]"&amp;E900&amp;"'!"&amp;$Z$2))),INDIRECT("'["&amp;G900&amp;"]"&amp;E900&amp;"'!"&amp;$Z$3),0)</f>
        <v>#VALUE!</v>
      </c>
      <c r="O900" s="34" t="e" cm="1">
        <f t="array" aca="1" ref="O900" ca="1">IF(AND(G900=INDIRECT("'["&amp;G900&amp;"]"&amp;E900&amp;"'!"&amp;$AH$2),OR(L900=INDIRECT("'["&amp;G900&amp;"]"&amp;E900&amp;"'!"&amp;$AA$2))),INDIRECT("'["&amp;G900&amp;"]"&amp;E900&amp;"'!"&amp;$AA$3),0)</f>
        <v>#VALUE!</v>
      </c>
      <c r="P900" s="34" t="e" cm="1">
        <f t="array" aca="1" ref="P900" ca="1">IF(AND(G900=INDIRECT("'["&amp;G900&amp;"]"&amp;E900&amp;"'!"&amp;$AH$2),OR(VALUE(I900)=INDIRECT("'["&amp;G900&amp;"]"&amp;E900&amp;"'!"&amp;$AB$2))),INDIRECT("'["&amp;G900&amp;"]"&amp;E900&amp;"'!"&amp;$AB$3),0)</f>
        <v>#VALUE!</v>
      </c>
      <c r="Q900" s="34" t="e" cm="1">
        <f t="array" aca="1" ref="Q900" ca="1">IF(AND(G900=INDIRECT("'["&amp;G900&amp;"]"&amp;E900&amp;"'!"&amp;$AH$2),OR(VALUE(I900)=INDIRECT("'["&amp;G900&amp;"]"&amp;E900&amp;"'!"&amp;$AC$2))),INDIRECT("'["&amp;G900&amp;"]"&amp;E900&amp;"'!"&amp;$AC$3),0)</f>
        <v>#VALUE!</v>
      </c>
      <c r="R900" s="34" t="e" cm="1">
        <f t="array" aca="1" ref="R900" ca="1">IF(AND(G900=INDIRECT("'["&amp;G900&amp;"]"&amp;E900&amp;"'!"&amp;$AH$2),OR(I900=INDIRECT("'["&amp;G900&amp;"]"&amp;E900&amp;"'!"&amp;$AD$2))),INDIRECT("'["&amp;G900&amp;"]"&amp;E900&amp;"'!"&amp;$AD$3),0)</f>
        <v>#VALUE!</v>
      </c>
      <c r="S900" s="34" t="e" cm="1">
        <f t="array" aca="1" ref="S900" ca="1">IF(AND(G900=INDIRECT("'["&amp;G900&amp;"]"&amp;E900&amp;"'!"&amp;$AH$2),OR(I900=INDIRECT("'["&amp;G900&amp;"]"&amp;E900&amp;"'!"&amp;$AE$2))),INDIRECT("'["&amp;G900&amp;"]"&amp;E900&amp;"'!"&amp;$AE$3),0)</f>
        <v>#VALUE!</v>
      </c>
      <c r="T900" s="35" t="e" cm="1">
        <f t="array" aca="1" ref="T900" ca="1">IF(AND(G900=INDIRECT("'["&amp;G900&amp;"]"&amp;E900&amp;"'!"&amp;$AH$2),OR(I900=INDIRECT("'["&amp;G900&amp;"]"&amp;E900&amp;"'!"&amp;$AF$2))),INDIRECT("'["&amp;G900&amp;"]"&amp;E900&amp;"'!"&amp;$AF$3),0)</f>
        <v>#VALUE!</v>
      </c>
      <c r="U900" s="34" t="e" cm="1">
        <f t="array" aca="1" ref="U900" ca="1">IF(AND(G900=INDIRECT("'["&amp;G900&amp;"]"&amp;E900&amp;"'!"&amp;$AH$2),OR(I900=INDIRECT("'["&amp;G900&amp;"]"&amp;E900&amp;"'!"&amp;$AG$2))),INDIRECT("'["&amp;G900&amp;"]"&amp;E900&amp;"'!"&amp;$AG$3),0)</f>
        <v>#VALUE!</v>
      </c>
      <c r="V900" s="25" t="str">
        <f t="shared" si="242"/>
        <v/>
      </c>
      <c r="W900" s="36" t="e" cm="1">
        <f t="array" aca="1" ref="W900" ca="1">IF(AND(G900=INDIRECT("'["&amp;G900&amp;"]"&amp;E900&amp;"'!"&amp;$AH$2),OR(V900=INDIRECT("'["&amp;G900&amp;"]"&amp;E900&amp;"'!"&amp;$AI$2))),INDIRECT("'["&amp;G900&amp;"]"&amp;E900&amp;"'!"&amp;$AI$3),0)</f>
        <v>#VALUE!</v>
      </c>
      <c r="AJ900" s="25">
        <v>1</v>
      </c>
      <c r="AK900" s="38">
        <f t="shared" ca="1" si="243"/>
        <v>0</v>
      </c>
      <c r="AL900" s="38">
        <f t="shared" ca="1" si="244"/>
        <v>0</v>
      </c>
      <c r="AM900" s="54" t="str">
        <f t="shared" ca="1" si="245"/>
        <v/>
      </c>
      <c r="AN900" s="25" t="e">
        <f t="shared" ca="1" si="246"/>
        <v>#VALUE!</v>
      </c>
      <c r="AO900" s="25" t="e">
        <f t="shared" ca="1" si="247"/>
        <v>#VALUE!</v>
      </c>
      <c r="AQ900" s="46" t="str">
        <f ca="1">IF(AND(C900&lt;&gt;0, C901=0), SUM($C$2:C900)-SUM($AQ$1:AQ899), "")</f>
        <v/>
      </c>
      <c r="AR900" s="46" t="str">
        <f ca="1">IF(AND(AK900&lt;&gt;0, AK901=0), SUM($AK$2:AK900)-SUM($AR$1:AR899), "")</f>
        <v/>
      </c>
    </row>
    <row r="901" spans="2:44" ht="13.15" customHeight="1">
      <c r="B901" s="68" t="str">
        <f t="shared" si="233"/>
        <v/>
      </c>
      <c r="C901" s="55" cm="1">
        <f t="array" aca="1" ref="C901" ca="1">SUM(IF(ISNUMBER(M901:U901),M901:U901,""))</f>
        <v>0</v>
      </c>
      <c r="D901" s="25" t="str">
        <f t="shared" si="234"/>
        <v/>
      </c>
      <c r="E901" s="25" t="e">
        <f t="shared" si="235"/>
        <v>#VALUE!</v>
      </c>
      <c r="F901" s="25" t="str">
        <f t="shared" si="236"/>
        <v/>
      </c>
      <c r="G901" s="25" t="str">
        <f t="shared" si="237"/>
        <v>.xlsx</v>
      </c>
      <c r="H901" s="29" t="e" cm="1">
        <f t="array" aca="1" ref="H901" ca="1">IF(AND(VALUE(E901)=INDIRECT("'["&amp;G901&amp;"]"&amp;E901&amp;"'!"&amp;$X$2),G901=INDIRECT("'["&amp;G901&amp;"]"&amp;E901&amp;"'!"&amp;$X$3)),INDIRECT("'["&amp;G901&amp;"]"&amp;E901&amp;"'!"&amp;$X$1),0)</f>
        <v>#VALUE!</v>
      </c>
      <c r="I901" s="25" t="str">
        <f t="shared" si="238"/>
        <v/>
      </c>
      <c r="J901" s="32" t="str">
        <f t="shared" si="239"/>
        <v/>
      </c>
      <c r="K901" s="25" t="str">
        <f t="shared" si="240"/>
        <v/>
      </c>
      <c r="L901" s="25" t="str">
        <f t="shared" si="241"/>
        <v/>
      </c>
      <c r="M901" s="33" t="e" cm="1">
        <f t="array" aca="1" ref="M901" ca="1">IF(AND(J901=INDIRECT("'["&amp;G901&amp;"]"&amp;E901&amp;"'!"&amp;$Y$2),G901=INDIRECT("'["&amp;G901&amp;"]"&amp;E901&amp;"'!"&amp;$AH$2)),INDIRECT("'["&amp;G901&amp;"]"&amp;E901&amp;"'!"&amp;$Y$3),0)</f>
        <v>#VALUE!</v>
      </c>
      <c r="N901" s="34" t="e" cm="1">
        <f t="array" aca="1" ref="N901" ca="1">IF(AND(G901=INDIRECT("'["&amp;G901&amp;"]"&amp;E901&amp;"'!"&amp;$AH$2),OR(K901=INDIRECT("'["&amp;G901&amp;"]"&amp;E901&amp;"'!"&amp;$Z$2))),INDIRECT("'["&amp;G901&amp;"]"&amp;E901&amp;"'!"&amp;$Z$3),0)</f>
        <v>#VALUE!</v>
      </c>
      <c r="O901" s="34" t="e" cm="1">
        <f t="array" aca="1" ref="O901" ca="1">IF(AND(G901=INDIRECT("'["&amp;G901&amp;"]"&amp;E901&amp;"'!"&amp;$AH$2),OR(L901=INDIRECT("'["&amp;G901&amp;"]"&amp;E901&amp;"'!"&amp;$AA$2))),INDIRECT("'["&amp;G901&amp;"]"&amp;E901&amp;"'!"&amp;$AA$3),0)</f>
        <v>#VALUE!</v>
      </c>
      <c r="P901" s="34" t="e" cm="1">
        <f t="array" aca="1" ref="P901" ca="1">IF(AND(G901=INDIRECT("'["&amp;G901&amp;"]"&amp;E901&amp;"'!"&amp;$AH$2),OR(VALUE(I901)=INDIRECT("'["&amp;G901&amp;"]"&amp;E901&amp;"'!"&amp;$AB$2))),INDIRECT("'["&amp;G901&amp;"]"&amp;E901&amp;"'!"&amp;$AB$3),0)</f>
        <v>#VALUE!</v>
      </c>
      <c r="Q901" s="34" t="e" cm="1">
        <f t="array" aca="1" ref="Q901" ca="1">IF(AND(G901=INDIRECT("'["&amp;G901&amp;"]"&amp;E901&amp;"'!"&amp;$AH$2),OR(VALUE(I901)=INDIRECT("'["&amp;G901&amp;"]"&amp;E901&amp;"'!"&amp;$AC$2))),INDIRECT("'["&amp;G901&amp;"]"&amp;E901&amp;"'!"&amp;$AC$3),0)</f>
        <v>#VALUE!</v>
      </c>
      <c r="R901" s="34" t="e" cm="1">
        <f t="array" aca="1" ref="R901" ca="1">IF(AND(G901=INDIRECT("'["&amp;G901&amp;"]"&amp;E901&amp;"'!"&amp;$AH$2),OR(I901=INDIRECT("'["&amp;G901&amp;"]"&amp;E901&amp;"'!"&amp;$AD$2))),INDIRECT("'["&amp;G901&amp;"]"&amp;E901&amp;"'!"&amp;$AD$3),0)</f>
        <v>#VALUE!</v>
      </c>
      <c r="S901" s="34" t="e" cm="1">
        <f t="array" aca="1" ref="S901" ca="1">IF(AND(G901=INDIRECT("'["&amp;G901&amp;"]"&amp;E901&amp;"'!"&amp;$AH$2),OR(I901=INDIRECT("'["&amp;G901&amp;"]"&amp;E901&amp;"'!"&amp;$AE$2))),INDIRECT("'["&amp;G901&amp;"]"&amp;E901&amp;"'!"&amp;$AE$3),0)</f>
        <v>#VALUE!</v>
      </c>
      <c r="T901" s="35" t="e" cm="1">
        <f t="array" aca="1" ref="T901" ca="1">IF(AND(G901=INDIRECT("'["&amp;G901&amp;"]"&amp;E901&amp;"'!"&amp;$AH$2),OR(I901=INDIRECT("'["&amp;G901&amp;"]"&amp;E901&amp;"'!"&amp;$AF$2))),INDIRECT("'["&amp;G901&amp;"]"&amp;E901&amp;"'!"&amp;$AF$3),0)</f>
        <v>#VALUE!</v>
      </c>
      <c r="U901" s="34" t="e" cm="1">
        <f t="array" aca="1" ref="U901" ca="1">IF(AND(G901=INDIRECT("'["&amp;G901&amp;"]"&amp;E901&amp;"'!"&amp;$AH$2),OR(I901=INDIRECT("'["&amp;G901&amp;"]"&amp;E901&amp;"'!"&amp;$AG$2))),INDIRECT("'["&amp;G901&amp;"]"&amp;E901&amp;"'!"&amp;$AG$3),0)</f>
        <v>#VALUE!</v>
      </c>
      <c r="V901" s="25" t="str">
        <f t="shared" si="242"/>
        <v/>
      </c>
      <c r="W901" s="36" t="e" cm="1">
        <f t="array" aca="1" ref="W901" ca="1">IF(AND(G901=INDIRECT("'["&amp;G901&amp;"]"&amp;E901&amp;"'!"&amp;$AH$2),OR(V901=INDIRECT("'["&amp;G901&amp;"]"&amp;E901&amp;"'!"&amp;$AI$2))),INDIRECT("'["&amp;G901&amp;"]"&amp;E901&amp;"'!"&amp;$AI$3),0)</f>
        <v>#VALUE!</v>
      </c>
      <c r="AJ901" s="25">
        <v>1</v>
      </c>
      <c r="AK901" s="38">
        <f t="shared" ca="1" si="243"/>
        <v>0</v>
      </c>
      <c r="AL901" s="38">
        <f t="shared" ca="1" si="244"/>
        <v>0</v>
      </c>
      <c r="AM901" s="54" t="str">
        <f t="shared" ca="1" si="245"/>
        <v/>
      </c>
      <c r="AN901" s="25" t="e">
        <f t="shared" ca="1" si="246"/>
        <v>#VALUE!</v>
      </c>
      <c r="AO901" s="25" t="e">
        <f t="shared" ca="1" si="247"/>
        <v>#VALUE!</v>
      </c>
      <c r="AQ901" s="46" t="str">
        <f ca="1">IF(AND(C901&lt;&gt;0, C902=0), SUM($C$2:C901)-SUM($AQ$1:AQ900), "")</f>
        <v/>
      </c>
      <c r="AR901" s="46" t="str">
        <f ca="1">IF(AND(AK901&lt;&gt;0, AK902=0), SUM($AK$2:AK901)-SUM($AR$1:AR900), "")</f>
        <v/>
      </c>
    </row>
    <row r="902" spans="2:44" ht="13.15" customHeight="1">
      <c r="B902" s="68" t="str">
        <f t="shared" si="233"/>
        <v/>
      </c>
      <c r="C902" s="55" cm="1">
        <f t="array" aca="1" ref="C902" ca="1">SUM(IF(ISNUMBER(M902:U902),M902:U902,""))</f>
        <v>0</v>
      </c>
      <c r="D902" s="25" t="str">
        <f t="shared" si="234"/>
        <v/>
      </c>
      <c r="E902" s="25" t="e">
        <f t="shared" si="235"/>
        <v>#VALUE!</v>
      </c>
      <c r="F902" s="25" t="str">
        <f t="shared" si="236"/>
        <v/>
      </c>
      <c r="G902" s="25" t="str">
        <f t="shared" si="237"/>
        <v>.xlsx</v>
      </c>
      <c r="H902" s="29" t="e" cm="1">
        <f t="array" aca="1" ref="H902" ca="1">IF(AND(VALUE(E902)=INDIRECT("'["&amp;G902&amp;"]"&amp;E902&amp;"'!"&amp;$X$2),G902=INDIRECT("'["&amp;G902&amp;"]"&amp;E902&amp;"'!"&amp;$X$3)),INDIRECT("'["&amp;G902&amp;"]"&amp;E902&amp;"'!"&amp;$X$1),0)</f>
        <v>#VALUE!</v>
      </c>
      <c r="I902" s="25" t="str">
        <f t="shared" si="238"/>
        <v/>
      </c>
      <c r="J902" s="32" t="str">
        <f t="shared" si="239"/>
        <v/>
      </c>
      <c r="K902" s="25" t="str">
        <f t="shared" si="240"/>
        <v/>
      </c>
      <c r="L902" s="25" t="str">
        <f t="shared" si="241"/>
        <v/>
      </c>
      <c r="M902" s="33" t="e" cm="1">
        <f t="array" aca="1" ref="M902" ca="1">IF(AND(J902=INDIRECT("'["&amp;G902&amp;"]"&amp;E902&amp;"'!"&amp;$Y$2),G902=INDIRECT("'["&amp;G902&amp;"]"&amp;E902&amp;"'!"&amp;$AH$2)),INDIRECT("'["&amp;G902&amp;"]"&amp;E902&amp;"'!"&amp;$Y$3),0)</f>
        <v>#VALUE!</v>
      </c>
      <c r="N902" s="34" t="e" cm="1">
        <f t="array" aca="1" ref="N902" ca="1">IF(AND(G902=INDIRECT("'["&amp;G902&amp;"]"&amp;E902&amp;"'!"&amp;$AH$2),OR(K902=INDIRECT("'["&amp;G902&amp;"]"&amp;E902&amp;"'!"&amp;$Z$2))),INDIRECT("'["&amp;G902&amp;"]"&amp;E902&amp;"'!"&amp;$Z$3),0)</f>
        <v>#VALUE!</v>
      </c>
      <c r="O902" s="34" t="e" cm="1">
        <f t="array" aca="1" ref="O902" ca="1">IF(AND(G902=INDIRECT("'["&amp;G902&amp;"]"&amp;E902&amp;"'!"&amp;$AH$2),OR(L902=INDIRECT("'["&amp;G902&amp;"]"&amp;E902&amp;"'!"&amp;$AA$2))),INDIRECT("'["&amp;G902&amp;"]"&amp;E902&amp;"'!"&amp;$AA$3),0)</f>
        <v>#VALUE!</v>
      </c>
      <c r="P902" s="34" t="e" cm="1">
        <f t="array" aca="1" ref="P902" ca="1">IF(AND(G902=INDIRECT("'["&amp;G902&amp;"]"&amp;E902&amp;"'!"&amp;$AH$2),OR(VALUE(I902)=INDIRECT("'["&amp;G902&amp;"]"&amp;E902&amp;"'!"&amp;$AB$2))),INDIRECT("'["&amp;G902&amp;"]"&amp;E902&amp;"'!"&amp;$AB$3),0)</f>
        <v>#VALUE!</v>
      </c>
      <c r="Q902" s="34" t="e" cm="1">
        <f t="array" aca="1" ref="Q902" ca="1">IF(AND(G902=INDIRECT("'["&amp;G902&amp;"]"&amp;E902&amp;"'!"&amp;$AH$2),OR(VALUE(I902)=INDIRECT("'["&amp;G902&amp;"]"&amp;E902&amp;"'!"&amp;$AC$2))),INDIRECT("'["&amp;G902&amp;"]"&amp;E902&amp;"'!"&amp;$AC$3),0)</f>
        <v>#VALUE!</v>
      </c>
      <c r="R902" s="34" t="e" cm="1">
        <f t="array" aca="1" ref="R902" ca="1">IF(AND(G902=INDIRECT("'["&amp;G902&amp;"]"&amp;E902&amp;"'!"&amp;$AH$2),OR(I902=INDIRECT("'["&amp;G902&amp;"]"&amp;E902&amp;"'!"&amp;$AD$2))),INDIRECT("'["&amp;G902&amp;"]"&amp;E902&amp;"'!"&amp;$AD$3),0)</f>
        <v>#VALUE!</v>
      </c>
      <c r="S902" s="34" t="e" cm="1">
        <f t="array" aca="1" ref="S902" ca="1">IF(AND(G902=INDIRECT("'["&amp;G902&amp;"]"&amp;E902&amp;"'!"&amp;$AH$2),OR(I902=INDIRECT("'["&amp;G902&amp;"]"&amp;E902&amp;"'!"&amp;$AE$2))),INDIRECT("'["&amp;G902&amp;"]"&amp;E902&amp;"'!"&amp;$AE$3),0)</f>
        <v>#VALUE!</v>
      </c>
      <c r="T902" s="35" t="e" cm="1">
        <f t="array" aca="1" ref="T902" ca="1">IF(AND(G902=INDIRECT("'["&amp;G902&amp;"]"&amp;E902&amp;"'!"&amp;$AH$2),OR(I902=INDIRECT("'["&amp;G902&amp;"]"&amp;E902&amp;"'!"&amp;$AF$2))),INDIRECT("'["&amp;G902&amp;"]"&amp;E902&amp;"'!"&amp;$AF$3),0)</f>
        <v>#VALUE!</v>
      </c>
      <c r="U902" s="34" t="e" cm="1">
        <f t="array" aca="1" ref="U902" ca="1">IF(AND(G902=INDIRECT("'["&amp;G902&amp;"]"&amp;E902&amp;"'!"&amp;$AH$2),OR(I902=INDIRECT("'["&amp;G902&amp;"]"&amp;E902&amp;"'!"&amp;$AG$2))),INDIRECT("'["&amp;G902&amp;"]"&amp;E902&amp;"'!"&amp;$AG$3),0)</f>
        <v>#VALUE!</v>
      </c>
      <c r="V902" s="25" t="str">
        <f t="shared" si="242"/>
        <v/>
      </c>
      <c r="W902" s="36" t="e" cm="1">
        <f t="array" aca="1" ref="W902" ca="1">IF(AND(G902=INDIRECT("'["&amp;G902&amp;"]"&amp;E902&amp;"'!"&amp;$AH$2),OR(V902=INDIRECT("'["&amp;G902&amp;"]"&amp;E902&amp;"'!"&amp;$AI$2))),INDIRECT("'["&amp;G902&amp;"]"&amp;E902&amp;"'!"&amp;$AI$3),0)</f>
        <v>#VALUE!</v>
      </c>
      <c r="AJ902" s="25">
        <v>1</v>
      </c>
      <c r="AK902" s="38">
        <f t="shared" ca="1" si="243"/>
        <v>0</v>
      </c>
      <c r="AL902" s="38">
        <f t="shared" ca="1" si="244"/>
        <v>0</v>
      </c>
      <c r="AM902" s="54" t="str">
        <f t="shared" ca="1" si="245"/>
        <v/>
      </c>
      <c r="AN902" s="25" t="e">
        <f t="shared" ca="1" si="246"/>
        <v>#VALUE!</v>
      </c>
      <c r="AO902" s="25" t="e">
        <f t="shared" ca="1" si="247"/>
        <v>#VALUE!</v>
      </c>
      <c r="AQ902" s="46" t="str">
        <f ca="1">IF(AND(C902&lt;&gt;0, C903=0), SUM($C$2:C902)-SUM($AQ$1:AQ901), "")</f>
        <v/>
      </c>
      <c r="AR902" s="46" t="str">
        <f ca="1">IF(AND(AK902&lt;&gt;0, AK903=0), SUM($AK$2:AK902)-SUM($AR$1:AR901), "")</f>
        <v/>
      </c>
    </row>
    <row r="903" spans="2:44" ht="13.15" customHeight="1">
      <c r="B903" s="68" t="str">
        <f t="shared" si="233"/>
        <v/>
      </c>
      <c r="C903" s="55" cm="1">
        <f t="array" aca="1" ref="C903" ca="1">SUM(IF(ISNUMBER(M903:U903),M903:U903,""))</f>
        <v>0</v>
      </c>
      <c r="D903" s="25" t="str">
        <f t="shared" si="234"/>
        <v/>
      </c>
      <c r="E903" s="25" t="e">
        <f t="shared" si="235"/>
        <v>#VALUE!</v>
      </c>
      <c r="F903" s="25" t="str">
        <f t="shared" si="236"/>
        <v/>
      </c>
      <c r="G903" s="25" t="str">
        <f t="shared" si="237"/>
        <v>.xlsx</v>
      </c>
      <c r="H903" s="29" t="e" cm="1">
        <f t="array" aca="1" ref="H903" ca="1">IF(AND(VALUE(E903)=INDIRECT("'["&amp;G903&amp;"]"&amp;E903&amp;"'!"&amp;$X$2),G903=INDIRECT("'["&amp;G903&amp;"]"&amp;E903&amp;"'!"&amp;$X$3)),INDIRECT("'["&amp;G903&amp;"]"&amp;E903&amp;"'!"&amp;$X$1),0)</f>
        <v>#VALUE!</v>
      </c>
      <c r="I903" s="25" t="str">
        <f t="shared" si="238"/>
        <v/>
      </c>
      <c r="J903" s="32" t="str">
        <f t="shared" si="239"/>
        <v/>
      </c>
      <c r="K903" s="25" t="str">
        <f t="shared" si="240"/>
        <v/>
      </c>
      <c r="L903" s="25" t="str">
        <f t="shared" si="241"/>
        <v/>
      </c>
      <c r="M903" s="33" t="e" cm="1">
        <f t="array" aca="1" ref="M903" ca="1">IF(AND(J903=INDIRECT("'["&amp;G903&amp;"]"&amp;E903&amp;"'!"&amp;$Y$2),G903=INDIRECT("'["&amp;G903&amp;"]"&amp;E903&amp;"'!"&amp;$AH$2)),INDIRECT("'["&amp;G903&amp;"]"&amp;E903&amp;"'!"&amp;$Y$3),0)</f>
        <v>#VALUE!</v>
      </c>
      <c r="N903" s="34" t="e" cm="1">
        <f t="array" aca="1" ref="N903" ca="1">IF(AND(G903=INDIRECT("'["&amp;G903&amp;"]"&amp;E903&amp;"'!"&amp;$AH$2),OR(K903=INDIRECT("'["&amp;G903&amp;"]"&amp;E903&amp;"'!"&amp;$Z$2))),INDIRECT("'["&amp;G903&amp;"]"&amp;E903&amp;"'!"&amp;$Z$3),0)</f>
        <v>#VALUE!</v>
      </c>
      <c r="O903" s="34" t="e" cm="1">
        <f t="array" aca="1" ref="O903" ca="1">IF(AND(G903=INDIRECT("'["&amp;G903&amp;"]"&amp;E903&amp;"'!"&amp;$AH$2),OR(L903=INDIRECT("'["&amp;G903&amp;"]"&amp;E903&amp;"'!"&amp;$AA$2))),INDIRECT("'["&amp;G903&amp;"]"&amp;E903&amp;"'!"&amp;$AA$3),0)</f>
        <v>#VALUE!</v>
      </c>
      <c r="P903" s="34" t="e" cm="1">
        <f t="array" aca="1" ref="P903" ca="1">IF(AND(G903=INDIRECT("'["&amp;G903&amp;"]"&amp;E903&amp;"'!"&amp;$AH$2),OR(VALUE(I903)=INDIRECT("'["&amp;G903&amp;"]"&amp;E903&amp;"'!"&amp;$AB$2))),INDIRECT("'["&amp;G903&amp;"]"&amp;E903&amp;"'!"&amp;$AB$3),0)</f>
        <v>#VALUE!</v>
      </c>
      <c r="Q903" s="34" t="e" cm="1">
        <f t="array" aca="1" ref="Q903" ca="1">IF(AND(G903=INDIRECT("'["&amp;G903&amp;"]"&amp;E903&amp;"'!"&amp;$AH$2),OR(VALUE(I903)=INDIRECT("'["&amp;G903&amp;"]"&amp;E903&amp;"'!"&amp;$AC$2))),INDIRECT("'["&amp;G903&amp;"]"&amp;E903&amp;"'!"&amp;$AC$3),0)</f>
        <v>#VALUE!</v>
      </c>
      <c r="R903" s="34" t="e" cm="1">
        <f t="array" aca="1" ref="R903" ca="1">IF(AND(G903=INDIRECT("'["&amp;G903&amp;"]"&amp;E903&amp;"'!"&amp;$AH$2),OR(I903=INDIRECT("'["&amp;G903&amp;"]"&amp;E903&amp;"'!"&amp;$AD$2))),INDIRECT("'["&amp;G903&amp;"]"&amp;E903&amp;"'!"&amp;$AD$3),0)</f>
        <v>#VALUE!</v>
      </c>
      <c r="S903" s="34" t="e" cm="1">
        <f t="array" aca="1" ref="S903" ca="1">IF(AND(G903=INDIRECT("'["&amp;G903&amp;"]"&amp;E903&amp;"'!"&amp;$AH$2),OR(I903=INDIRECT("'["&amp;G903&amp;"]"&amp;E903&amp;"'!"&amp;$AE$2))),INDIRECT("'["&amp;G903&amp;"]"&amp;E903&amp;"'!"&amp;$AE$3),0)</f>
        <v>#VALUE!</v>
      </c>
      <c r="T903" s="35" t="e" cm="1">
        <f t="array" aca="1" ref="T903" ca="1">IF(AND(G903=INDIRECT("'["&amp;G903&amp;"]"&amp;E903&amp;"'!"&amp;$AH$2),OR(I903=INDIRECT("'["&amp;G903&amp;"]"&amp;E903&amp;"'!"&amp;$AF$2))),INDIRECT("'["&amp;G903&amp;"]"&amp;E903&amp;"'!"&amp;$AF$3),0)</f>
        <v>#VALUE!</v>
      </c>
      <c r="U903" s="34" t="e" cm="1">
        <f t="array" aca="1" ref="U903" ca="1">IF(AND(G903=INDIRECT("'["&amp;G903&amp;"]"&amp;E903&amp;"'!"&amp;$AH$2),OR(I903=INDIRECT("'["&amp;G903&amp;"]"&amp;E903&amp;"'!"&amp;$AG$2))),INDIRECT("'["&amp;G903&amp;"]"&amp;E903&amp;"'!"&amp;$AG$3),0)</f>
        <v>#VALUE!</v>
      </c>
      <c r="V903" s="25" t="str">
        <f t="shared" si="242"/>
        <v/>
      </c>
      <c r="W903" s="36" t="e" cm="1">
        <f t="array" aca="1" ref="W903" ca="1">IF(AND(G903=INDIRECT("'["&amp;G903&amp;"]"&amp;E903&amp;"'!"&amp;$AH$2),OR(V903=INDIRECT("'["&amp;G903&amp;"]"&amp;E903&amp;"'!"&amp;$AI$2))),INDIRECT("'["&amp;G903&amp;"]"&amp;E903&amp;"'!"&amp;$AI$3),0)</f>
        <v>#VALUE!</v>
      </c>
      <c r="AJ903" s="25">
        <v>1</v>
      </c>
      <c r="AK903" s="38">
        <f t="shared" ca="1" si="243"/>
        <v>0</v>
      </c>
      <c r="AL903" s="38">
        <f t="shared" ca="1" si="244"/>
        <v>0</v>
      </c>
      <c r="AM903" s="54" t="str">
        <f t="shared" ca="1" si="245"/>
        <v/>
      </c>
      <c r="AN903" s="25" t="e">
        <f t="shared" ca="1" si="246"/>
        <v>#VALUE!</v>
      </c>
      <c r="AO903" s="25" t="e">
        <f t="shared" ca="1" si="247"/>
        <v>#VALUE!</v>
      </c>
      <c r="AQ903" s="46" t="str">
        <f ca="1">IF(AND(C903&lt;&gt;0, C904=0), SUM($C$2:C903)-SUM($AQ$1:AQ902), "")</f>
        <v/>
      </c>
      <c r="AR903" s="46" t="str">
        <f ca="1">IF(AND(AK903&lt;&gt;0, AK904=0), SUM($AK$2:AK903)-SUM($AR$1:AR902), "")</f>
        <v/>
      </c>
    </row>
    <row r="904" spans="2:44" ht="13.15" customHeight="1">
      <c r="B904" s="68" t="str">
        <f t="shared" si="233"/>
        <v/>
      </c>
      <c r="C904" s="55" cm="1">
        <f t="array" aca="1" ref="C904" ca="1">SUM(IF(ISNUMBER(M904:U904),M904:U904,""))</f>
        <v>0</v>
      </c>
      <c r="D904" s="25" t="str">
        <f t="shared" si="234"/>
        <v/>
      </c>
      <c r="E904" s="25" t="e">
        <f t="shared" si="235"/>
        <v>#VALUE!</v>
      </c>
      <c r="F904" s="25" t="str">
        <f t="shared" si="236"/>
        <v/>
      </c>
      <c r="G904" s="25" t="str">
        <f t="shared" si="237"/>
        <v>.xlsx</v>
      </c>
      <c r="H904" s="29" t="e" cm="1">
        <f t="array" aca="1" ref="H904" ca="1">IF(AND(VALUE(E904)=INDIRECT("'["&amp;G904&amp;"]"&amp;E904&amp;"'!"&amp;$X$2),G904=INDIRECT("'["&amp;G904&amp;"]"&amp;E904&amp;"'!"&amp;$X$3)),INDIRECT("'["&amp;G904&amp;"]"&amp;E904&amp;"'!"&amp;$X$1),0)</f>
        <v>#VALUE!</v>
      </c>
      <c r="I904" s="25" t="str">
        <f t="shared" si="238"/>
        <v/>
      </c>
      <c r="J904" s="32" t="str">
        <f t="shared" si="239"/>
        <v/>
      </c>
      <c r="K904" s="25" t="str">
        <f t="shared" si="240"/>
        <v/>
      </c>
      <c r="L904" s="25" t="str">
        <f t="shared" si="241"/>
        <v/>
      </c>
      <c r="M904" s="33" t="e" cm="1">
        <f t="array" aca="1" ref="M904" ca="1">IF(AND(J904=INDIRECT("'["&amp;G904&amp;"]"&amp;E904&amp;"'!"&amp;$Y$2),G904=INDIRECT("'["&amp;G904&amp;"]"&amp;E904&amp;"'!"&amp;$AH$2)),INDIRECT("'["&amp;G904&amp;"]"&amp;E904&amp;"'!"&amp;$Y$3),0)</f>
        <v>#VALUE!</v>
      </c>
      <c r="N904" s="34" t="e" cm="1">
        <f t="array" aca="1" ref="N904" ca="1">IF(AND(G904=INDIRECT("'["&amp;G904&amp;"]"&amp;E904&amp;"'!"&amp;$AH$2),OR(K904=INDIRECT("'["&amp;G904&amp;"]"&amp;E904&amp;"'!"&amp;$Z$2))),INDIRECT("'["&amp;G904&amp;"]"&amp;E904&amp;"'!"&amp;$Z$3),0)</f>
        <v>#VALUE!</v>
      </c>
      <c r="O904" s="34" t="e" cm="1">
        <f t="array" aca="1" ref="O904" ca="1">IF(AND(G904=INDIRECT("'["&amp;G904&amp;"]"&amp;E904&amp;"'!"&amp;$AH$2),OR(L904=INDIRECT("'["&amp;G904&amp;"]"&amp;E904&amp;"'!"&amp;$AA$2))),INDIRECT("'["&amp;G904&amp;"]"&amp;E904&amp;"'!"&amp;$AA$3),0)</f>
        <v>#VALUE!</v>
      </c>
      <c r="P904" s="34" t="e" cm="1">
        <f t="array" aca="1" ref="P904" ca="1">IF(AND(G904=INDIRECT("'["&amp;G904&amp;"]"&amp;E904&amp;"'!"&amp;$AH$2),OR(VALUE(I904)=INDIRECT("'["&amp;G904&amp;"]"&amp;E904&amp;"'!"&amp;$AB$2))),INDIRECT("'["&amp;G904&amp;"]"&amp;E904&amp;"'!"&amp;$AB$3),0)</f>
        <v>#VALUE!</v>
      </c>
      <c r="Q904" s="34" t="e" cm="1">
        <f t="array" aca="1" ref="Q904" ca="1">IF(AND(G904=INDIRECT("'["&amp;G904&amp;"]"&amp;E904&amp;"'!"&amp;$AH$2),OR(VALUE(I904)=INDIRECT("'["&amp;G904&amp;"]"&amp;E904&amp;"'!"&amp;$AC$2))),INDIRECT("'["&amp;G904&amp;"]"&amp;E904&amp;"'!"&amp;$AC$3),0)</f>
        <v>#VALUE!</v>
      </c>
      <c r="R904" s="34" t="e" cm="1">
        <f t="array" aca="1" ref="R904" ca="1">IF(AND(G904=INDIRECT("'["&amp;G904&amp;"]"&amp;E904&amp;"'!"&amp;$AH$2),OR(I904=INDIRECT("'["&amp;G904&amp;"]"&amp;E904&amp;"'!"&amp;$AD$2))),INDIRECT("'["&amp;G904&amp;"]"&amp;E904&amp;"'!"&amp;$AD$3),0)</f>
        <v>#VALUE!</v>
      </c>
      <c r="S904" s="34" t="e" cm="1">
        <f t="array" aca="1" ref="S904" ca="1">IF(AND(G904=INDIRECT("'["&amp;G904&amp;"]"&amp;E904&amp;"'!"&amp;$AH$2),OR(I904=INDIRECT("'["&amp;G904&amp;"]"&amp;E904&amp;"'!"&amp;$AE$2))),INDIRECT("'["&amp;G904&amp;"]"&amp;E904&amp;"'!"&amp;$AE$3),0)</f>
        <v>#VALUE!</v>
      </c>
      <c r="T904" s="35" t="e" cm="1">
        <f t="array" aca="1" ref="T904" ca="1">IF(AND(G904=INDIRECT("'["&amp;G904&amp;"]"&amp;E904&amp;"'!"&amp;$AH$2),OR(I904=INDIRECT("'["&amp;G904&amp;"]"&amp;E904&amp;"'!"&amp;$AF$2))),INDIRECT("'["&amp;G904&amp;"]"&amp;E904&amp;"'!"&amp;$AF$3),0)</f>
        <v>#VALUE!</v>
      </c>
      <c r="U904" s="34" t="e" cm="1">
        <f t="array" aca="1" ref="U904" ca="1">IF(AND(G904=INDIRECT("'["&amp;G904&amp;"]"&amp;E904&amp;"'!"&amp;$AH$2),OR(I904=INDIRECT("'["&amp;G904&amp;"]"&amp;E904&amp;"'!"&amp;$AG$2))),INDIRECT("'["&amp;G904&amp;"]"&amp;E904&amp;"'!"&amp;$AG$3),0)</f>
        <v>#VALUE!</v>
      </c>
      <c r="V904" s="25" t="str">
        <f t="shared" si="242"/>
        <v/>
      </c>
      <c r="W904" s="36" t="e" cm="1">
        <f t="array" aca="1" ref="W904" ca="1">IF(AND(G904=INDIRECT("'["&amp;G904&amp;"]"&amp;E904&amp;"'!"&amp;$AH$2),OR(V904=INDIRECT("'["&amp;G904&amp;"]"&amp;E904&amp;"'!"&amp;$AI$2))),INDIRECT("'["&amp;G904&amp;"]"&amp;E904&amp;"'!"&amp;$AI$3),0)</f>
        <v>#VALUE!</v>
      </c>
      <c r="AJ904" s="25">
        <v>1</v>
      </c>
      <c r="AK904" s="38">
        <f t="shared" ca="1" si="243"/>
        <v>0</v>
      </c>
      <c r="AL904" s="38">
        <f t="shared" ca="1" si="244"/>
        <v>0</v>
      </c>
      <c r="AM904" s="54" t="str">
        <f t="shared" ca="1" si="245"/>
        <v/>
      </c>
      <c r="AN904" s="25" t="e">
        <f t="shared" ca="1" si="246"/>
        <v>#VALUE!</v>
      </c>
      <c r="AO904" s="25" t="e">
        <f t="shared" ca="1" si="247"/>
        <v>#VALUE!</v>
      </c>
      <c r="AQ904" s="46" t="str">
        <f ca="1">IF(AND(C904&lt;&gt;0, C905=0), SUM($C$2:C904)-SUM($AQ$1:AQ903), "")</f>
        <v/>
      </c>
      <c r="AR904" s="46" t="str">
        <f ca="1">IF(AND(AK904&lt;&gt;0, AK905=0), SUM($AK$2:AK904)-SUM($AR$1:AR903), "")</f>
        <v/>
      </c>
    </row>
    <row r="905" spans="2:44" ht="13.15" customHeight="1">
      <c r="B905" s="68" t="str">
        <f t="shared" si="233"/>
        <v/>
      </c>
      <c r="C905" s="55" cm="1">
        <f t="array" aca="1" ref="C905" ca="1">SUM(IF(ISNUMBER(M905:U905),M905:U905,""))</f>
        <v>0</v>
      </c>
      <c r="D905" s="25" t="str">
        <f t="shared" si="234"/>
        <v/>
      </c>
      <c r="E905" s="25" t="e">
        <f t="shared" si="235"/>
        <v>#VALUE!</v>
      </c>
      <c r="F905" s="25" t="str">
        <f t="shared" si="236"/>
        <v/>
      </c>
      <c r="G905" s="25" t="str">
        <f t="shared" si="237"/>
        <v>.xlsx</v>
      </c>
      <c r="H905" s="29" t="e" cm="1">
        <f t="array" aca="1" ref="H905" ca="1">IF(AND(VALUE(E905)=INDIRECT("'["&amp;G905&amp;"]"&amp;E905&amp;"'!"&amp;$X$2),G905=INDIRECT("'["&amp;G905&amp;"]"&amp;E905&amp;"'!"&amp;$X$3)),INDIRECT("'["&amp;G905&amp;"]"&amp;E905&amp;"'!"&amp;$X$1),0)</f>
        <v>#VALUE!</v>
      </c>
      <c r="I905" s="25" t="str">
        <f t="shared" si="238"/>
        <v/>
      </c>
      <c r="J905" s="32" t="str">
        <f t="shared" si="239"/>
        <v/>
      </c>
      <c r="K905" s="25" t="str">
        <f t="shared" si="240"/>
        <v/>
      </c>
      <c r="L905" s="25" t="str">
        <f t="shared" si="241"/>
        <v/>
      </c>
      <c r="M905" s="33" t="e" cm="1">
        <f t="array" aca="1" ref="M905" ca="1">IF(AND(J905=INDIRECT("'["&amp;G905&amp;"]"&amp;E905&amp;"'!"&amp;$Y$2),G905=INDIRECT("'["&amp;G905&amp;"]"&amp;E905&amp;"'!"&amp;$AH$2)),INDIRECT("'["&amp;G905&amp;"]"&amp;E905&amp;"'!"&amp;$Y$3),0)</f>
        <v>#VALUE!</v>
      </c>
      <c r="N905" s="34" t="e" cm="1">
        <f t="array" aca="1" ref="N905" ca="1">IF(AND(G905=INDIRECT("'["&amp;G905&amp;"]"&amp;E905&amp;"'!"&amp;$AH$2),OR(K905=INDIRECT("'["&amp;G905&amp;"]"&amp;E905&amp;"'!"&amp;$Z$2))),INDIRECT("'["&amp;G905&amp;"]"&amp;E905&amp;"'!"&amp;$Z$3),0)</f>
        <v>#VALUE!</v>
      </c>
      <c r="O905" s="34" t="e" cm="1">
        <f t="array" aca="1" ref="O905" ca="1">IF(AND(G905=INDIRECT("'["&amp;G905&amp;"]"&amp;E905&amp;"'!"&amp;$AH$2),OR(L905=INDIRECT("'["&amp;G905&amp;"]"&amp;E905&amp;"'!"&amp;$AA$2))),INDIRECT("'["&amp;G905&amp;"]"&amp;E905&amp;"'!"&amp;$AA$3),0)</f>
        <v>#VALUE!</v>
      </c>
      <c r="P905" s="34" t="e" cm="1">
        <f t="array" aca="1" ref="P905" ca="1">IF(AND(G905=INDIRECT("'["&amp;G905&amp;"]"&amp;E905&amp;"'!"&amp;$AH$2),OR(VALUE(I905)=INDIRECT("'["&amp;G905&amp;"]"&amp;E905&amp;"'!"&amp;$AB$2))),INDIRECT("'["&amp;G905&amp;"]"&amp;E905&amp;"'!"&amp;$AB$3),0)</f>
        <v>#VALUE!</v>
      </c>
      <c r="Q905" s="34" t="e" cm="1">
        <f t="array" aca="1" ref="Q905" ca="1">IF(AND(G905=INDIRECT("'["&amp;G905&amp;"]"&amp;E905&amp;"'!"&amp;$AH$2),OR(VALUE(I905)=INDIRECT("'["&amp;G905&amp;"]"&amp;E905&amp;"'!"&amp;$AC$2))),INDIRECT("'["&amp;G905&amp;"]"&amp;E905&amp;"'!"&amp;$AC$3),0)</f>
        <v>#VALUE!</v>
      </c>
      <c r="R905" s="34" t="e" cm="1">
        <f t="array" aca="1" ref="R905" ca="1">IF(AND(G905=INDIRECT("'["&amp;G905&amp;"]"&amp;E905&amp;"'!"&amp;$AH$2),OR(I905=INDIRECT("'["&amp;G905&amp;"]"&amp;E905&amp;"'!"&amp;$AD$2))),INDIRECT("'["&amp;G905&amp;"]"&amp;E905&amp;"'!"&amp;$AD$3),0)</f>
        <v>#VALUE!</v>
      </c>
      <c r="S905" s="34" t="e" cm="1">
        <f t="array" aca="1" ref="S905" ca="1">IF(AND(G905=INDIRECT("'["&amp;G905&amp;"]"&amp;E905&amp;"'!"&amp;$AH$2),OR(I905=INDIRECT("'["&amp;G905&amp;"]"&amp;E905&amp;"'!"&amp;$AE$2))),INDIRECT("'["&amp;G905&amp;"]"&amp;E905&amp;"'!"&amp;$AE$3),0)</f>
        <v>#VALUE!</v>
      </c>
      <c r="T905" s="35" t="e" cm="1">
        <f t="array" aca="1" ref="T905" ca="1">IF(AND(G905=INDIRECT("'["&amp;G905&amp;"]"&amp;E905&amp;"'!"&amp;$AH$2),OR(I905=INDIRECT("'["&amp;G905&amp;"]"&amp;E905&amp;"'!"&amp;$AF$2))),INDIRECT("'["&amp;G905&amp;"]"&amp;E905&amp;"'!"&amp;$AF$3),0)</f>
        <v>#VALUE!</v>
      </c>
      <c r="U905" s="34" t="e" cm="1">
        <f t="array" aca="1" ref="U905" ca="1">IF(AND(G905=INDIRECT("'["&amp;G905&amp;"]"&amp;E905&amp;"'!"&amp;$AH$2),OR(I905=INDIRECT("'["&amp;G905&amp;"]"&amp;E905&amp;"'!"&amp;$AG$2))),INDIRECT("'["&amp;G905&amp;"]"&amp;E905&amp;"'!"&amp;$AG$3),0)</f>
        <v>#VALUE!</v>
      </c>
      <c r="V905" s="25" t="str">
        <f t="shared" si="242"/>
        <v/>
      </c>
      <c r="W905" s="36" t="e" cm="1">
        <f t="array" aca="1" ref="W905" ca="1">IF(AND(G905=INDIRECT("'["&amp;G905&amp;"]"&amp;E905&amp;"'!"&amp;$AH$2),OR(V905=INDIRECT("'["&amp;G905&amp;"]"&amp;E905&amp;"'!"&amp;$AI$2))),INDIRECT("'["&amp;G905&amp;"]"&amp;E905&amp;"'!"&amp;$AI$3),0)</f>
        <v>#VALUE!</v>
      </c>
      <c r="AJ905" s="25">
        <v>1</v>
      </c>
      <c r="AK905" s="38">
        <f t="shared" ca="1" si="243"/>
        <v>0</v>
      </c>
      <c r="AL905" s="38">
        <f t="shared" ca="1" si="244"/>
        <v>0</v>
      </c>
      <c r="AM905" s="54" t="str">
        <f t="shared" ca="1" si="245"/>
        <v/>
      </c>
      <c r="AN905" s="25" t="e">
        <f t="shared" ca="1" si="246"/>
        <v>#VALUE!</v>
      </c>
      <c r="AO905" s="25" t="e">
        <f t="shared" ca="1" si="247"/>
        <v>#VALUE!</v>
      </c>
      <c r="AQ905" s="46" t="str">
        <f ca="1">IF(AND(C905&lt;&gt;0, C906=0), SUM($C$2:C905)-SUM($AQ$1:AQ904), "")</f>
        <v/>
      </c>
      <c r="AR905" s="46" t="str">
        <f ca="1">IF(AND(AK905&lt;&gt;0, AK906=0), SUM($AK$2:AK905)-SUM($AR$1:AR904), "")</f>
        <v/>
      </c>
    </row>
    <row r="906" spans="2:44" ht="13.15" customHeight="1">
      <c r="B906" s="68" t="str">
        <f t="shared" si="233"/>
        <v/>
      </c>
      <c r="C906" s="55" cm="1">
        <f t="array" aca="1" ref="C906" ca="1">SUM(IF(ISNUMBER(M906:U906),M906:U906,""))</f>
        <v>0</v>
      </c>
      <c r="D906" s="25" t="str">
        <f t="shared" si="234"/>
        <v/>
      </c>
      <c r="E906" s="25" t="e">
        <f t="shared" si="235"/>
        <v>#VALUE!</v>
      </c>
      <c r="F906" s="25" t="str">
        <f t="shared" si="236"/>
        <v/>
      </c>
      <c r="G906" s="25" t="str">
        <f t="shared" si="237"/>
        <v>.xlsx</v>
      </c>
      <c r="H906" s="29" t="e" cm="1">
        <f t="array" aca="1" ref="H906" ca="1">IF(AND(VALUE(E906)=INDIRECT("'["&amp;G906&amp;"]"&amp;E906&amp;"'!"&amp;$X$2),G906=INDIRECT("'["&amp;G906&amp;"]"&amp;E906&amp;"'!"&amp;$X$3)),INDIRECT("'["&amp;G906&amp;"]"&amp;E906&amp;"'!"&amp;$X$1),0)</f>
        <v>#VALUE!</v>
      </c>
      <c r="I906" s="25" t="str">
        <f t="shared" si="238"/>
        <v/>
      </c>
      <c r="J906" s="32" t="str">
        <f t="shared" si="239"/>
        <v/>
      </c>
      <c r="K906" s="25" t="str">
        <f t="shared" si="240"/>
        <v/>
      </c>
      <c r="L906" s="25" t="str">
        <f t="shared" si="241"/>
        <v/>
      </c>
      <c r="M906" s="33" t="e" cm="1">
        <f t="array" aca="1" ref="M906" ca="1">IF(AND(J906=INDIRECT("'["&amp;G906&amp;"]"&amp;E906&amp;"'!"&amp;$Y$2),G906=INDIRECT("'["&amp;G906&amp;"]"&amp;E906&amp;"'!"&amp;$AH$2)),INDIRECT("'["&amp;G906&amp;"]"&amp;E906&amp;"'!"&amp;$Y$3),0)</f>
        <v>#VALUE!</v>
      </c>
      <c r="N906" s="34" t="e" cm="1">
        <f t="array" aca="1" ref="N906" ca="1">IF(AND(G906=INDIRECT("'["&amp;G906&amp;"]"&amp;E906&amp;"'!"&amp;$AH$2),OR(K906=INDIRECT("'["&amp;G906&amp;"]"&amp;E906&amp;"'!"&amp;$Z$2))),INDIRECT("'["&amp;G906&amp;"]"&amp;E906&amp;"'!"&amp;$Z$3),0)</f>
        <v>#VALUE!</v>
      </c>
      <c r="O906" s="34" t="e" cm="1">
        <f t="array" aca="1" ref="O906" ca="1">IF(AND(G906=INDIRECT("'["&amp;G906&amp;"]"&amp;E906&amp;"'!"&amp;$AH$2),OR(L906=INDIRECT("'["&amp;G906&amp;"]"&amp;E906&amp;"'!"&amp;$AA$2))),INDIRECT("'["&amp;G906&amp;"]"&amp;E906&amp;"'!"&amp;$AA$3),0)</f>
        <v>#VALUE!</v>
      </c>
      <c r="P906" s="34" t="e" cm="1">
        <f t="array" aca="1" ref="P906" ca="1">IF(AND(G906=INDIRECT("'["&amp;G906&amp;"]"&amp;E906&amp;"'!"&amp;$AH$2),OR(VALUE(I906)=INDIRECT("'["&amp;G906&amp;"]"&amp;E906&amp;"'!"&amp;$AB$2))),INDIRECT("'["&amp;G906&amp;"]"&amp;E906&amp;"'!"&amp;$AB$3),0)</f>
        <v>#VALUE!</v>
      </c>
      <c r="Q906" s="34" t="e" cm="1">
        <f t="array" aca="1" ref="Q906" ca="1">IF(AND(G906=INDIRECT("'["&amp;G906&amp;"]"&amp;E906&amp;"'!"&amp;$AH$2),OR(VALUE(I906)=INDIRECT("'["&amp;G906&amp;"]"&amp;E906&amp;"'!"&amp;$AC$2))),INDIRECT("'["&amp;G906&amp;"]"&amp;E906&amp;"'!"&amp;$AC$3),0)</f>
        <v>#VALUE!</v>
      </c>
      <c r="R906" s="34" t="e" cm="1">
        <f t="array" aca="1" ref="R906" ca="1">IF(AND(G906=INDIRECT("'["&amp;G906&amp;"]"&amp;E906&amp;"'!"&amp;$AH$2),OR(I906=INDIRECT("'["&amp;G906&amp;"]"&amp;E906&amp;"'!"&amp;$AD$2))),INDIRECT("'["&amp;G906&amp;"]"&amp;E906&amp;"'!"&amp;$AD$3),0)</f>
        <v>#VALUE!</v>
      </c>
      <c r="S906" s="34" t="e" cm="1">
        <f t="array" aca="1" ref="S906" ca="1">IF(AND(G906=INDIRECT("'["&amp;G906&amp;"]"&amp;E906&amp;"'!"&amp;$AH$2),OR(I906=INDIRECT("'["&amp;G906&amp;"]"&amp;E906&amp;"'!"&amp;$AE$2))),INDIRECT("'["&amp;G906&amp;"]"&amp;E906&amp;"'!"&amp;$AE$3),0)</f>
        <v>#VALUE!</v>
      </c>
      <c r="T906" s="35" t="e" cm="1">
        <f t="array" aca="1" ref="T906" ca="1">IF(AND(G906=INDIRECT("'["&amp;G906&amp;"]"&amp;E906&amp;"'!"&amp;$AH$2),OR(I906=INDIRECT("'["&amp;G906&amp;"]"&amp;E906&amp;"'!"&amp;$AF$2))),INDIRECT("'["&amp;G906&amp;"]"&amp;E906&amp;"'!"&amp;$AF$3),0)</f>
        <v>#VALUE!</v>
      </c>
      <c r="U906" s="34" t="e" cm="1">
        <f t="array" aca="1" ref="U906" ca="1">IF(AND(G906=INDIRECT("'["&amp;G906&amp;"]"&amp;E906&amp;"'!"&amp;$AH$2),OR(I906=INDIRECT("'["&amp;G906&amp;"]"&amp;E906&amp;"'!"&amp;$AG$2))),INDIRECT("'["&amp;G906&amp;"]"&amp;E906&amp;"'!"&amp;$AG$3),0)</f>
        <v>#VALUE!</v>
      </c>
      <c r="V906" s="25" t="str">
        <f t="shared" si="242"/>
        <v/>
      </c>
      <c r="W906" s="36" t="e" cm="1">
        <f t="array" aca="1" ref="W906" ca="1">IF(AND(G906=INDIRECT("'["&amp;G906&amp;"]"&amp;E906&amp;"'!"&amp;$AH$2),OR(V906=INDIRECT("'["&amp;G906&amp;"]"&amp;E906&amp;"'!"&amp;$AI$2))),INDIRECT("'["&amp;G906&amp;"]"&amp;E906&amp;"'!"&amp;$AI$3),0)</f>
        <v>#VALUE!</v>
      </c>
      <c r="AJ906" s="25">
        <v>1</v>
      </c>
      <c r="AK906" s="38">
        <f t="shared" ca="1" si="243"/>
        <v>0</v>
      </c>
      <c r="AL906" s="38">
        <f t="shared" ca="1" si="244"/>
        <v>0</v>
      </c>
      <c r="AM906" s="54" t="str">
        <f t="shared" ca="1" si="245"/>
        <v/>
      </c>
      <c r="AN906" s="25" t="e">
        <f t="shared" ca="1" si="246"/>
        <v>#VALUE!</v>
      </c>
      <c r="AO906" s="25" t="e">
        <f t="shared" ca="1" si="247"/>
        <v>#VALUE!</v>
      </c>
      <c r="AQ906" s="46" t="str">
        <f ca="1">IF(AND(C906&lt;&gt;0, C907=0), SUM($C$2:C906)-SUM($AQ$1:AQ905), "")</f>
        <v/>
      </c>
      <c r="AR906" s="46" t="str">
        <f ca="1">IF(AND(AK906&lt;&gt;0, AK907=0), SUM($AK$2:AK906)-SUM($AR$1:AR905), "")</f>
        <v/>
      </c>
    </row>
    <row r="907" spans="2:44" ht="13.15" customHeight="1">
      <c r="B907" s="68" t="str">
        <f t="shared" si="233"/>
        <v/>
      </c>
      <c r="C907" s="55" cm="1">
        <f t="array" aca="1" ref="C907" ca="1">SUM(IF(ISNUMBER(M907:U907),M907:U907,""))</f>
        <v>0</v>
      </c>
      <c r="D907" s="25" t="str">
        <f t="shared" si="234"/>
        <v/>
      </c>
      <c r="E907" s="25" t="e">
        <f t="shared" si="235"/>
        <v>#VALUE!</v>
      </c>
      <c r="F907" s="25" t="str">
        <f t="shared" si="236"/>
        <v/>
      </c>
      <c r="G907" s="25" t="str">
        <f t="shared" si="237"/>
        <v>.xlsx</v>
      </c>
      <c r="H907" s="29" t="e" cm="1">
        <f t="array" aca="1" ref="H907" ca="1">IF(AND(VALUE(E907)=INDIRECT("'["&amp;G907&amp;"]"&amp;E907&amp;"'!"&amp;$X$2),G907=INDIRECT("'["&amp;G907&amp;"]"&amp;E907&amp;"'!"&amp;$X$3)),INDIRECT("'["&amp;G907&amp;"]"&amp;E907&amp;"'!"&amp;$X$1),0)</f>
        <v>#VALUE!</v>
      </c>
      <c r="I907" s="25" t="str">
        <f t="shared" si="238"/>
        <v/>
      </c>
      <c r="J907" s="32" t="str">
        <f t="shared" si="239"/>
        <v/>
      </c>
      <c r="K907" s="25" t="str">
        <f t="shared" si="240"/>
        <v/>
      </c>
      <c r="L907" s="25" t="str">
        <f t="shared" si="241"/>
        <v/>
      </c>
      <c r="M907" s="33" t="e" cm="1">
        <f t="array" aca="1" ref="M907" ca="1">IF(AND(J907=INDIRECT("'["&amp;G907&amp;"]"&amp;E907&amp;"'!"&amp;$Y$2),G907=INDIRECT("'["&amp;G907&amp;"]"&amp;E907&amp;"'!"&amp;$AH$2)),INDIRECT("'["&amp;G907&amp;"]"&amp;E907&amp;"'!"&amp;$Y$3),0)</f>
        <v>#VALUE!</v>
      </c>
      <c r="N907" s="34" t="e" cm="1">
        <f t="array" aca="1" ref="N907" ca="1">IF(AND(G907=INDIRECT("'["&amp;G907&amp;"]"&amp;E907&amp;"'!"&amp;$AH$2),OR(K907=INDIRECT("'["&amp;G907&amp;"]"&amp;E907&amp;"'!"&amp;$Z$2))),INDIRECT("'["&amp;G907&amp;"]"&amp;E907&amp;"'!"&amp;$Z$3),0)</f>
        <v>#VALUE!</v>
      </c>
      <c r="O907" s="34" t="e" cm="1">
        <f t="array" aca="1" ref="O907" ca="1">IF(AND(G907=INDIRECT("'["&amp;G907&amp;"]"&amp;E907&amp;"'!"&amp;$AH$2),OR(L907=INDIRECT("'["&amp;G907&amp;"]"&amp;E907&amp;"'!"&amp;$AA$2))),INDIRECT("'["&amp;G907&amp;"]"&amp;E907&amp;"'!"&amp;$AA$3),0)</f>
        <v>#VALUE!</v>
      </c>
      <c r="P907" s="34" t="e" cm="1">
        <f t="array" aca="1" ref="P907" ca="1">IF(AND(G907=INDIRECT("'["&amp;G907&amp;"]"&amp;E907&amp;"'!"&amp;$AH$2),OR(VALUE(I907)=INDIRECT("'["&amp;G907&amp;"]"&amp;E907&amp;"'!"&amp;$AB$2))),INDIRECT("'["&amp;G907&amp;"]"&amp;E907&amp;"'!"&amp;$AB$3),0)</f>
        <v>#VALUE!</v>
      </c>
      <c r="Q907" s="34" t="e" cm="1">
        <f t="array" aca="1" ref="Q907" ca="1">IF(AND(G907=INDIRECT("'["&amp;G907&amp;"]"&amp;E907&amp;"'!"&amp;$AH$2),OR(VALUE(I907)=INDIRECT("'["&amp;G907&amp;"]"&amp;E907&amp;"'!"&amp;$AC$2))),INDIRECT("'["&amp;G907&amp;"]"&amp;E907&amp;"'!"&amp;$AC$3),0)</f>
        <v>#VALUE!</v>
      </c>
      <c r="R907" s="34" t="e" cm="1">
        <f t="array" aca="1" ref="R907" ca="1">IF(AND(G907=INDIRECT("'["&amp;G907&amp;"]"&amp;E907&amp;"'!"&amp;$AH$2),OR(I907=INDIRECT("'["&amp;G907&amp;"]"&amp;E907&amp;"'!"&amp;$AD$2))),INDIRECT("'["&amp;G907&amp;"]"&amp;E907&amp;"'!"&amp;$AD$3),0)</f>
        <v>#VALUE!</v>
      </c>
      <c r="S907" s="34" t="e" cm="1">
        <f t="array" aca="1" ref="S907" ca="1">IF(AND(G907=INDIRECT("'["&amp;G907&amp;"]"&amp;E907&amp;"'!"&amp;$AH$2),OR(I907=INDIRECT("'["&amp;G907&amp;"]"&amp;E907&amp;"'!"&amp;$AE$2))),INDIRECT("'["&amp;G907&amp;"]"&amp;E907&amp;"'!"&amp;$AE$3),0)</f>
        <v>#VALUE!</v>
      </c>
      <c r="T907" s="35" t="e" cm="1">
        <f t="array" aca="1" ref="T907" ca="1">IF(AND(G907=INDIRECT("'["&amp;G907&amp;"]"&amp;E907&amp;"'!"&amp;$AH$2),OR(I907=INDIRECT("'["&amp;G907&amp;"]"&amp;E907&amp;"'!"&amp;$AF$2))),INDIRECT("'["&amp;G907&amp;"]"&amp;E907&amp;"'!"&amp;$AF$3),0)</f>
        <v>#VALUE!</v>
      </c>
      <c r="U907" s="34" t="e" cm="1">
        <f t="array" aca="1" ref="U907" ca="1">IF(AND(G907=INDIRECT("'["&amp;G907&amp;"]"&amp;E907&amp;"'!"&amp;$AH$2),OR(I907=INDIRECT("'["&amp;G907&amp;"]"&amp;E907&amp;"'!"&amp;$AG$2))),INDIRECT("'["&amp;G907&amp;"]"&amp;E907&amp;"'!"&amp;$AG$3),0)</f>
        <v>#VALUE!</v>
      </c>
      <c r="V907" s="25" t="str">
        <f t="shared" si="242"/>
        <v/>
      </c>
      <c r="W907" s="36" t="e" cm="1">
        <f t="array" aca="1" ref="W907" ca="1">IF(AND(G907=INDIRECT("'["&amp;G907&amp;"]"&amp;E907&amp;"'!"&amp;$AH$2),OR(V907=INDIRECT("'["&amp;G907&amp;"]"&amp;E907&amp;"'!"&amp;$AI$2))),INDIRECT("'["&amp;G907&amp;"]"&amp;E907&amp;"'!"&amp;$AI$3),0)</f>
        <v>#VALUE!</v>
      </c>
      <c r="AJ907" s="25">
        <v>1</v>
      </c>
      <c r="AK907" s="38">
        <f t="shared" ca="1" si="243"/>
        <v>0</v>
      </c>
      <c r="AL907" s="38">
        <f t="shared" ca="1" si="244"/>
        <v>0</v>
      </c>
      <c r="AM907" s="54" t="str">
        <f t="shared" ca="1" si="245"/>
        <v/>
      </c>
      <c r="AN907" s="25" t="e">
        <f t="shared" ca="1" si="246"/>
        <v>#VALUE!</v>
      </c>
      <c r="AO907" s="25" t="e">
        <f t="shared" ca="1" si="247"/>
        <v>#VALUE!</v>
      </c>
      <c r="AQ907" s="46" t="str">
        <f ca="1">IF(AND(C907&lt;&gt;0, C908=0), SUM($C$2:C907)-SUM($AQ$1:AQ906), "")</f>
        <v/>
      </c>
      <c r="AR907" s="46" t="str">
        <f ca="1">IF(AND(AK907&lt;&gt;0, AK908=0), SUM($AK$2:AK907)-SUM($AR$1:AR906), "")</f>
        <v/>
      </c>
    </row>
    <row r="908" spans="2:44" ht="13.15" customHeight="1">
      <c r="B908" s="68" t="str">
        <f t="shared" si="233"/>
        <v/>
      </c>
      <c r="C908" s="55" cm="1">
        <f t="array" aca="1" ref="C908" ca="1">SUM(IF(ISNUMBER(M908:U908),M908:U908,""))</f>
        <v>0</v>
      </c>
      <c r="D908" s="25" t="str">
        <f t="shared" si="234"/>
        <v/>
      </c>
      <c r="E908" s="25" t="e">
        <f t="shared" si="235"/>
        <v>#VALUE!</v>
      </c>
      <c r="F908" s="25" t="str">
        <f t="shared" si="236"/>
        <v/>
      </c>
      <c r="G908" s="25" t="str">
        <f t="shared" si="237"/>
        <v>.xlsx</v>
      </c>
      <c r="H908" s="29" t="e" cm="1">
        <f t="array" aca="1" ref="H908" ca="1">IF(AND(VALUE(E908)=INDIRECT("'["&amp;G908&amp;"]"&amp;E908&amp;"'!"&amp;$X$2),G908=INDIRECT("'["&amp;G908&amp;"]"&amp;E908&amp;"'!"&amp;$X$3)),INDIRECT("'["&amp;G908&amp;"]"&amp;E908&amp;"'!"&amp;$X$1),0)</f>
        <v>#VALUE!</v>
      </c>
      <c r="I908" s="25" t="str">
        <f t="shared" si="238"/>
        <v/>
      </c>
      <c r="J908" s="32" t="str">
        <f t="shared" si="239"/>
        <v/>
      </c>
      <c r="K908" s="25" t="str">
        <f t="shared" si="240"/>
        <v/>
      </c>
      <c r="L908" s="25" t="str">
        <f t="shared" si="241"/>
        <v/>
      </c>
      <c r="M908" s="33" t="e" cm="1">
        <f t="array" aca="1" ref="M908" ca="1">IF(AND(J908=INDIRECT("'["&amp;G908&amp;"]"&amp;E908&amp;"'!"&amp;$Y$2),G908=INDIRECT("'["&amp;G908&amp;"]"&amp;E908&amp;"'!"&amp;$AH$2)),INDIRECT("'["&amp;G908&amp;"]"&amp;E908&amp;"'!"&amp;$Y$3),0)</f>
        <v>#VALUE!</v>
      </c>
      <c r="N908" s="34" t="e" cm="1">
        <f t="array" aca="1" ref="N908" ca="1">IF(AND(G908=INDIRECT("'["&amp;G908&amp;"]"&amp;E908&amp;"'!"&amp;$AH$2),OR(K908=INDIRECT("'["&amp;G908&amp;"]"&amp;E908&amp;"'!"&amp;$Z$2))),INDIRECT("'["&amp;G908&amp;"]"&amp;E908&amp;"'!"&amp;$Z$3),0)</f>
        <v>#VALUE!</v>
      </c>
      <c r="O908" s="34" t="e" cm="1">
        <f t="array" aca="1" ref="O908" ca="1">IF(AND(G908=INDIRECT("'["&amp;G908&amp;"]"&amp;E908&amp;"'!"&amp;$AH$2),OR(L908=INDIRECT("'["&amp;G908&amp;"]"&amp;E908&amp;"'!"&amp;$AA$2))),INDIRECT("'["&amp;G908&amp;"]"&amp;E908&amp;"'!"&amp;$AA$3),0)</f>
        <v>#VALUE!</v>
      </c>
      <c r="P908" s="34" t="e" cm="1">
        <f t="array" aca="1" ref="P908" ca="1">IF(AND(G908=INDIRECT("'["&amp;G908&amp;"]"&amp;E908&amp;"'!"&amp;$AH$2),OR(VALUE(I908)=INDIRECT("'["&amp;G908&amp;"]"&amp;E908&amp;"'!"&amp;$AB$2))),INDIRECT("'["&amp;G908&amp;"]"&amp;E908&amp;"'!"&amp;$AB$3),0)</f>
        <v>#VALUE!</v>
      </c>
      <c r="Q908" s="34" t="e" cm="1">
        <f t="array" aca="1" ref="Q908" ca="1">IF(AND(G908=INDIRECT("'["&amp;G908&amp;"]"&amp;E908&amp;"'!"&amp;$AH$2),OR(VALUE(I908)=INDIRECT("'["&amp;G908&amp;"]"&amp;E908&amp;"'!"&amp;$AC$2))),INDIRECT("'["&amp;G908&amp;"]"&amp;E908&amp;"'!"&amp;$AC$3),0)</f>
        <v>#VALUE!</v>
      </c>
      <c r="R908" s="34" t="e" cm="1">
        <f t="array" aca="1" ref="R908" ca="1">IF(AND(G908=INDIRECT("'["&amp;G908&amp;"]"&amp;E908&amp;"'!"&amp;$AH$2),OR(I908=INDIRECT("'["&amp;G908&amp;"]"&amp;E908&amp;"'!"&amp;$AD$2))),INDIRECT("'["&amp;G908&amp;"]"&amp;E908&amp;"'!"&amp;$AD$3),0)</f>
        <v>#VALUE!</v>
      </c>
      <c r="S908" s="34" t="e" cm="1">
        <f t="array" aca="1" ref="S908" ca="1">IF(AND(G908=INDIRECT("'["&amp;G908&amp;"]"&amp;E908&amp;"'!"&amp;$AH$2),OR(I908=INDIRECT("'["&amp;G908&amp;"]"&amp;E908&amp;"'!"&amp;$AE$2))),INDIRECT("'["&amp;G908&amp;"]"&amp;E908&amp;"'!"&amp;$AE$3),0)</f>
        <v>#VALUE!</v>
      </c>
      <c r="T908" s="35" t="e" cm="1">
        <f t="array" aca="1" ref="T908" ca="1">IF(AND(G908=INDIRECT("'["&amp;G908&amp;"]"&amp;E908&amp;"'!"&amp;$AH$2),OR(I908=INDIRECT("'["&amp;G908&amp;"]"&amp;E908&amp;"'!"&amp;$AF$2))),INDIRECT("'["&amp;G908&amp;"]"&amp;E908&amp;"'!"&amp;$AF$3),0)</f>
        <v>#VALUE!</v>
      </c>
      <c r="U908" s="34" t="e" cm="1">
        <f t="array" aca="1" ref="U908" ca="1">IF(AND(G908=INDIRECT("'["&amp;G908&amp;"]"&amp;E908&amp;"'!"&amp;$AH$2),OR(I908=INDIRECT("'["&amp;G908&amp;"]"&amp;E908&amp;"'!"&amp;$AG$2))),INDIRECT("'["&amp;G908&amp;"]"&amp;E908&amp;"'!"&amp;$AG$3),0)</f>
        <v>#VALUE!</v>
      </c>
      <c r="V908" s="25" t="str">
        <f t="shared" si="242"/>
        <v/>
      </c>
      <c r="W908" s="36" t="e" cm="1">
        <f t="array" aca="1" ref="W908" ca="1">IF(AND(G908=INDIRECT("'["&amp;G908&amp;"]"&amp;E908&amp;"'!"&amp;$AH$2),OR(V908=INDIRECT("'["&amp;G908&amp;"]"&amp;E908&amp;"'!"&amp;$AI$2))),INDIRECT("'["&amp;G908&amp;"]"&amp;E908&amp;"'!"&amp;$AI$3),0)</f>
        <v>#VALUE!</v>
      </c>
      <c r="AJ908" s="25">
        <v>1</v>
      </c>
      <c r="AK908" s="38">
        <f t="shared" ca="1" si="243"/>
        <v>0</v>
      </c>
      <c r="AL908" s="38">
        <f t="shared" ca="1" si="244"/>
        <v>0</v>
      </c>
      <c r="AM908" s="54" t="str">
        <f t="shared" ca="1" si="245"/>
        <v/>
      </c>
      <c r="AN908" s="25" t="e">
        <f t="shared" ca="1" si="246"/>
        <v>#VALUE!</v>
      </c>
      <c r="AO908" s="25" t="e">
        <f t="shared" ca="1" si="247"/>
        <v>#VALUE!</v>
      </c>
      <c r="AQ908" s="46" t="str">
        <f ca="1">IF(AND(C908&lt;&gt;0, C909=0), SUM($C$2:C908)-SUM($AQ$1:AQ907), "")</f>
        <v/>
      </c>
      <c r="AR908" s="46" t="str">
        <f ca="1">IF(AND(AK908&lt;&gt;0, AK909=0), SUM($AK$2:AK908)-SUM($AR$1:AR907), "")</f>
        <v/>
      </c>
    </row>
    <row r="909" spans="2:44" ht="13.15" customHeight="1">
      <c r="B909" s="68" t="str">
        <f t="shared" si="233"/>
        <v/>
      </c>
      <c r="C909" s="55" cm="1">
        <f t="array" aca="1" ref="C909" ca="1">SUM(IF(ISNUMBER(M909:U909),M909:U909,""))</f>
        <v>0</v>
      </c>
      <c r="D909" s="25" t="str">
        <f t="shared" si="234"/>
        <v/>
      </c>
      <c r="E909" s="25" t="e">
        <f t="shared" si="235"/>
        <v>#VALUE!</v>
      </c>
      <c r="F909" s="25" t="str">
        <f t="shared" si="236"/>
        <v/>
      </c>
      <c r="G909" s="25" t="str">
        <f t="shared" si="237"/>
        <v>.xlsx</v>
      </c>
      <c r="H909" s="29" t="e" cm="1">
        <f t="array" aca="1" ref="H909" ca="1">IF(AND(VALUE(E909)=INDIRECT("'["&amp;G909&amp;"]"&amp;E909&amp;"'!"&amp;$X$2),G909=INDIRECT("'["&amp;G909&amp;"]"&amp;E909&amp;"'!"&amp;$X$3)),INDIRECT("'["&amp;G909&amp;"]"&amp;E909&amp;"'!"&amp;$X$1),0)</f>
        <v>#VALUE!</v>
      </c>
      <c r="I909" s="25" t="str">
        <f t="shared" si="238"/>
        <v/>
      </c>
      <c r="J909" s="32" t="str">
        <f t="shared" si="239"/>
        <v/>
      </c>
      <c r="K909" s="25" t="str">
        <f t="shared" si="240"/>
        <v/>
      </c>
      <c r="L909" s="25" t="str">
        <f t="shared" si="241"/>
        <v/>
      </c>
      <c r="M909" s="33" t="e" cm="1">
        <f t="array" aca="1" ref="M909" ca="1">IF(AND(J909=INDIRECT("'["&amp;G909&amp;"]"&amp;E909&amp;"'!"&amp;$Y$2),G909=INDIRECT("'["&amp;G909&amp;"]"&amp;E909&amp;"'!"&amp;$AH$2)),INDIRECT("'["&amp;G909&amp;"]"&amp;E909&amp;"'!"&amp;$Y$3),0)</f>
        <v>#VALUE!</v>
      </c>
      <c r="N909" s="34" t="e" cm="1">
        <f t="array" aca="1" ref="N909" ca="1">IF(AND(G909=INDIRECT("'["&amp;G909&amp;"]"&amp;E909&amp;"'!"&amp;$AH$2),OR(K909=INDIRECT("'["&amp;G909&amp;"]"&amp;E909&amp;"'!"&amp;$Z$2))),INDIRECT("'["&amp;G909&amp;"]"&amp;E909&amp;"'!"&amp;$Z$3),0)</f>
        <v>#VALUE!</v>
      </c>
      <c r="O909" s="34" t="e" cm="1">
        <f t="array" aca="1" ref="O909" ca="1">IF(AND(G909=INDIRECT("'["&amp;G909&amp;"]"&amp;E909&amp;"'!"&amp;$AH$2),OR(L909=INDIRECT("'["&amp;G909&amp;"]"&amp;E909&amp;"'!"&amp;$AA$2))),INDIRECT("'["&amp;G909&amp;"]"&amp;E909&amp;"'!"&amp;$AA$3),0)</f>
        <v>#VALUE!</v>
      </c>
      <c r="P909" s="34" t="e" cm="1">
        <f t="array" aca="1" ref="P909" ca="1">IF(AND(G909=INDIRECT("'["&amp;G909&amp;"]"&amp;E909&amp;"'!"&amp;$AH$2),OR(VALUE(I909)=INDIRECT("'["&amp;G909&amp;"]"&amp;E909&amp;"'!"&amp;$AB$2))),INDIRECT("'["&amp;G909&amp;"]"&amp;E909&amp;"'!"&amp;$AB$3),0)</f>
        <v>#VALUE!</v>
      </c>
      <c r="Q909" s="34" t="e" cm="1">
        <f t="array" aca="1" ref="Q909" ca="1">IF(AND(G909=INDIRECT("'["&amp;G909&amp;"]"&amp;E909&amp;"'!"&amp;$AH$2),OR(VALUE(I909)=INDIRECT("'["&amp;G909&amp;"]"&amp;E909&amp;"'!"&amp;$AC$2))),INDIRECT("'["&amp;G909&amp;"]"&amp;E909&amp;"'!"&amp;$AC$3),0)</f>
        <v>#VALUE!</v>
      </c>
      <c r="R909" s="34" t="e" cm="1">
        <f t="array" aca="1" ref="R909" ca="1">IF(AND(G909=INDIRECT("'["&amp;G909&amp;"]"&amp;E909&amp;"'!"&amp;$AH$2),OR(I909=INDIRECT("'["&amp;G909&amp;"]"&amp;E909&amp;"'!"&amp;$AD$2))),INDIRECT("'["&amp;G909&amp;"]"&amp;E909&amp;"'!"&amp;$AD$3),0)</f>
        <v>#VALUE!</v>
      </c>
      <c r="S909" s="34" t="e" cm="1">
        <f t="array" aca="1" ref="S909" ca="1">IF(AND(G909=INDIRECT("'["&amp;G909&amp;"]"&amp;E909&amp;"'!"&amp;$AH$2),OR(I909=INDIRECT("'["&amp;G909&amp;"]"&amp;E909&amp;"'!"&amp;$AE$2))),INDIRECT("'["&amp;G909&amp;"]"&amp;E909&amp;"'!"&amp;$AE$3),0)</f>
        <v>#VALUE!</v>
      </c>
      <c r="T909" s="35" t="e" cm="1">
        <f t="array" aca="1" ref="T909" ca="1">IF(AND(G909=INDIRECT("'["&amp;G909&amp;"]"&amp;E909&amp;"'!"&amp;$AH$2),OR(I909=INDIRECT("'["&amp;G909&amp;"]"&amp;E909&amp;"'!"&amp;$AF$2))),INDIRECT("'["&amp;G909&amp;"]"&amp;E909&amp;"'!"&amp;$AF$3),0)</f>
        <v>#VALUE!</v>
      </c>
      <c r="U909" s="34" t="e" cm="1">
        <f t="array" aca="1" ref="U909" ca="1">IF(AND(G909=INDIRECT("'["&amp;G909&amp;"]"&amp;E909&amp;"'!"&amp;$AH$2),OR(I909=INDIRECT("'["&amp;G909&amp;"]"&amp;E909&amp;"'!"&amp;$AG$2))),INDIRECT("'["&amp;G909&amp;"]"&amp;E909&amp;"'!"&amp;$AG$3),0)</f>
        <v>#VALUE!</v>
      </c>
      <c r="V909" s="25" t="str">
        <f t="shared" si="242"/>
        <v/>
      </c>
      <c r="W909" s="36" t="e" cm="1">
        <f t="array" aca="1" ref="W909" ca="1">IF(AND(G909=INDIRECT("'["&amp;G909&amp;"]"&amp;E909&amp;"'!"&amp;$AH$2),OR(V909=INDIRECT("'["&amp;G909&amp;"]"&amp;E909&amp;"'!"&amp;$AI$2))),INDIRECT("'["&amp;G909&amp;"]"&amp;E909&amp;"'!"&amp;$AI$3),0)</f>
        <v>#VALUE!</v>
      </c>
      <c r="AJ909" s="25">
        <v>1</v>
      </c>
      <c r="AK909" s="38">
        <f t="shared" ca="1" si="243"/>
        <v>0</v>
      </c>
      <c r="AL909" s="38">
        <f t="shared" ca="1" si="244"/>
        <v>0</v>
      </c>
      <c r="AM909" s="54" t="str">
        <f t="shared" ca="1" si="245"/>
        <v/>
      </c>
      <c r="AN909" s="25" t="e">
        <f t="shared" ca="1" si="246"/>
        <v>#VALUE!</v>
      </c>
      <c r="AO909" s="25" t="e">
        <f t="shared" ca="1" si="247"/>
        <v>#VALUE!</v>
      </c>
      <c r="AQ909" s="46" t="str">
        <f ca="1">IF(AND(C909&lt;&gt;0, C910=0), SUM($C$2:C909)-SUM($AQ$1:AQ908), "")</f>
        <v/>
      </c>
      <c r="AR909" s="46" t="str">
        <f ca="1">IF(AND(AK909&lt;&gt;0, AK910=0), SUM($AK$2:AK909)-SUM($AR$1:AR908), "")</f>
        <v/>
      </c>
    </row>
    <row r="910" spans="2:44" ht="13.15" customHeight="1">
      <c r="B910" s="68" t="str">
        <f t="shared" si="233"/>
        <v/>
      </c>
      <c r="C910" s="55" cm="1">
        <f t="array" aca="1" ref="C910" ca="1">SUM(IF(ISNUMBER(M910:U910),M910:U910,""))</f>
        <v>0</v>
      </c>
      <c r="D910" s="25" t="str">
        <f t="shared" si="234"/>
        <v/>
      </c>
      <c r="E910" s="25" t="e">
        <f t="shared" si="235"/>
        <v>#VALUE!</v>
      </c>
      <c r="F910" s="25" t="str">
        <f t="shared" si="236"/>
        <v/>
      </c>
      <c r="G910" s="25" t="str">
        <f t="shared" si="237"/>
        <v>.xlsx</v>
      </c>
      <c r="H910" s="29" t="e" cm="1">
        <f t="array" aca="1" ref="H910" ca="1">IF(AND(VALUE(E910)=INDIRECT("'["&amp;G910&amp;"]"&amp;E910&amp;"'!"&amp;$X$2),G910=INDIRECT("'["&amp;G910&amp;"]"&amp;E910&amp;"'!"&amp;$X$3)),INDIRECT("'["&amp;G910&amp;"]"&amp;E910&amp;"'!"&amp;$X$1),0)</f>
        <v>#VALUE!</v>
      </c>
      <c r="I910" s="25" t="str">
        <f t="shared" si="238"/>
        <v/>
      </c>
      <c r="J910" s="32" t="str">
        <f t="shared" si="239"/>
        <v/>
      </c>
      <c r="K910" s="25" t="str">
        <f t="shared" si="240"/>
        <v/>
      </c>
      <c r="L910" s="25" t="str">
        <f t="shared" si="241"/>
        <v/>
      </c>
      <c r="M910" s="33" t="e" cm="1">
        <f t="array" aca="1" ref="M910" ca="1">IF(AND(J910=INDIRECT("'["&amp;G910&amp;"]"&amp;E910&amp;"'!"&amp;$Y$2),G910=INDIRECT("'["&amp;G910&amp;"]"&amp;E910&amp;"'!"&amp;$AH$2)),INDIRECT("'["&amp;G910&amp;"]"&amp;E910&amp;"'!"&amp;$Y$3),0)</f>
        <v>#VALUE!</v>
      </c>
      <c r="N910" s="34" t="e" cm="1">
        <f t="array" aca="1" ref="N910" ca="1">IF(AND(G910=INDIRECT("'["&amp;G910&amp;"]"&amp;E910&amp;"'!"&amp;$AH$2),OR(K910=INDIRECT("'["&amp;G910&amp;"]"&amp;E910&amp;"'!"&amp;$Z$2))),INDIRECT("'["&amp;G910&amp;"]"&amp;E910&amp;"'!"&amp;$Z$3),0)</f>
        <v>#VALUE!</v>
      </c>
      <c r="O910" s="34" t="e" cm="1">
        <f t="array" aca="1" ref="O910" ca="1">IF(AND(G910=INDIRECT("'["&amp;G910&amp;"]"&amp;E910&amp;"'!"&amp;$AH$2),OR(L910=INDIRECT("'["&amp;G910&amp;"]"&amp;E910&amp;"'!"&amp;$AA$2))),INDIRECT("'["&amp;G910&amp;"]"&amp;E910&amp;"'!"&amp;$AA$3),0)</f>
        <v>#VALUE!</v>
      </c>
      <c r="P910" s="34" t="e" cm="1">
        <f t="array" aca="1" ref="P910" ca="1">IF(AND(G910=INDIRECT("'["&amp;G910&amp;"]"&amp;E910&amp;"'!"&amp;$AH$2),OR(VALUE(I910)=INDIRECT("'["&amp;G910&amp;"]"&amp;E910&amp;"'!"&amp;$AB$2))),INDIRECT("'["&amp;G910&amp;"]"&amp;E910&amp;"'!"&amp;$AB$3),0)</f>
        <v>#VALUE!</v>
      </c>
      <c r="Q910" s="34" t="e" cm="1">
        <f t="array" aca="1" ref="Q910" ca="1">IF(AND(G910=INDIRECT("'["&amp;G910&amp;"]"&amp;E910&amp;"'!"&amp;$AH$2),OR(VALUE(I910)=INDIRECT("'["&amp;G910&amp;"]"&amp;E910&amp;"'!"&amp;$AC$2))),INDIRECT("'["&amp;G910&amp;"]"&amp;E910&amp;"'!"&amp;$AC$3),0)</f>
        <v>#VALUE!</v>
      </c>
      <c r="R910" s="34" t="e" cm="1">
        <f t="array" aca="1" ref="R910" ca="1">IF(AND(G910=INDIRECT("'["&amp;G910&amp;"]"&amp;E910&amp;"'!"&amp;$AH$2),OR(I910=INDIRECT("'["&amp;G910&amp;"]"&amp;E910&amp;"'!"&amp;$AD$2))),INDIRECT("'["&amp;G910&amp;"]"&amp;E910&amp;"'!"&amp;$AD$3),0)</f>
        <v>#VALUE!</v>
      </c>
      <c r="S910" s="34" t="e" cm="1">
        <f t="array" aca="1" ref="S910" ca="1">IF(AND(G910=INDIRECT("'["&amp;G910&amp;"]"&amp;E910&amp;"'!"&amp;$AH$2),OR(I910=INDIRECT("'["&amp;G910&amp;"]"&amp;E910&amp;"'!"&amp;$AE$2))),INDIRECT("'["&amp;G910&amp;"]"&amp;E910&amp;"'!"&amp;$AE$3),0)</f>
        <v>#VALUE!</v>
      </c>
      <c r="T910" s="35" t="e" cm="1">
        <f t="array" aca="1" ref="T910" ca="1">IF(AND(G910=INDIRECT("'["&amp;G910&amp;"]"&amp;E910&amp;"'!"&amp;$AH$2),OR(I910=INDIRECT("'["&amp;G910&amp;"]"&amp;E910&amp;"'!"&amp;$AF$2))),INDIRECT("'["&amp;G910&amp;"]"&amp;E910&amp;"'!"&amp;$AF$3),0)</f>
        <v>#VALUE!</v>
      </c>
      <c r="U910" s="34" t="e" cm="1">
        <f t="array" aca="1" ref="U910" ca="1">IF(AND(G910=INDIRECT("'["&amp;G910&amp;"]"&amp;E910&amp;"'!"&amp;$AH$2),OR(I910=INDIRECT("'["&amp;G910&amp;"]"&amp;E910&amp;"'!"&amp;$AG$2))),INDIRECT("'["&amp;G910&amp;"]"&amp;E910&amp;"'!"&amp;$AG$3),0)</f>
        <v>#VALUE!</v>
      </c>
      <c r="V910" s="25" t="str">
        <f t="shared" si="242"/>
        <v/>
      </c>
      <c r="W910" s="36" t="e" cm="1">
        <f t="array" aca="1" ref="W910" ca="1">IF(AND(G910=INDIRECT("'["&amp;G910&amp;"]"&amp;E910&amp;"'!"&amp;$AH$2),OR(V910=INDIRECT("'["&amp;G910&amp;"]"&amp;E910&amp;"'!"&amp;$AI$2))),INDIRECT("'["&amp;G910&amp;"]"&amp;E910&amp;"'!"&amp;$AI$3),0)</f>
        <v>#VALUE!</v>
      </c>
      <c r="AJ910" s="25">
        <v>1</v>
      </c>
      <c r="AK910" s="38">
        <f t="shared" ca="1" si="243"/>
        <v>0</v>
      </c>
      <c r="AL910" s="38">
        <f t="shared" ca="1" si="244"/>
        <v>0</v>
      </c>
      <c r="AM910" s="54" t="str">
        <f t="shared" ca="1" si="245"/>
        <v/>
      </c>
      <c r="AN910" s="25" t="e">
        <f t="shared" ca="1" si="246"/>
        <v>#VALUE!</v>
      </c>
      <c r="AO910" s="25" t="e">
        <f t="shared" ca="1" si="247"/>
        <v>#VALUE!</v>
      </c>
      <c r="AQ910" s="46" t="str">
        <f ca="1">IF(AND(C910&lt;&gt;0, C911=0), SUM($C$2:C910)-SUM($AQ$1:AQ909), "")</f>
        <v/>
      </c>
      <c r="AR910" s="46" t="str">
        <f ca="1">IF(AND(AK910&lt;&gt;0, AK911=0), SUM($AK$2:AK910)-SUM($AR$1:AR909), "")</f>
        <v/>
      </c>
    </row>
    <row r="911" spans="2:44" ht="13.15" customHeight="1">
      <c r="B911" s="68" t="str">
        <f t="shared" si="233"/>
        <v/>
      </c>
      <c r="C911" s="55" cm="1">
        <f t="array" aca="1" ref="C911" ca="1">SUM(IF(ISNUMBER(M911:U911),M911:U911,""))</f>
        <v>0</v>
      </c>
      <c r="D911" s="25" t="str">
        <f t="shared" si="234"/>
        <v/>
      </c>
      <c r="E911" s="25" t="e">
        <f t="shared" si="235"/>
        <v>#VALUE!</v>
      </c>
      <c r="F911" s="25" t="str">
        <f t="shared" si="236"/>
        <v/>
      </c>
      <c r="G911" s="25" t="str">
        <f t="shared" si="237"/>
        <v>.xlsx</v>
      </c>
      <c r="H911" s="29" t="e" cm="1">
        <f t="array" aca="1" ref="H911" ca="1">IF(AND(VALUE(E911)=INDIRECT("'["&amp;G911&amp;"]"&amp;E911&amp;"'!"&amp;$X$2),G911=INDIRECT("'["&amp;G911&amp;"]"&amp;E911&amp;"'!"&amp;$X$3)),INDIRECT("'["&amp;G911&amp;"]"&amp;E911&amp;"'!"&amp;$X$1),0)</f>
        <v>#VALUE!</v>
      </c>
      <c r="I911" s="25" t="str">
        <f t="shared" si="238"/>
        <v/>
      </c>
      <c r="J911" s="32" t="str">
        <f t="shared" si="239"/>
        <v/>
      </c>
      <c r="K911" s="25" t="str">
        <f t="shared" si="240"/>
        <v/>
      </c>
      <c r="L911" s="25" t="str">
        <f t="shared" si="241"/>
        <v/>
      </c>
      <c r="M911" s="33" t="e" cm="1">
        <f t="array" aca="1" ref="M911" ca="1">IF(AND(J911=INDIRECT("'["&amp;G911&amp;"]"&amp;E911&amp;"'!"&amp;$Y$2),G911=INDIRECT("'["&amp;G911&amp;"]"&amp;E911&amp;"'!"&amp;$AH$2)),INDIRECT("'["&amp;G911&amp;"]"&amp;E911&amp;"'!"&amp;$Y$3),0)</f>
        <v>#VALUE!</v>
      </c>
      <c r="N911" s="34" t="e" cm="1">
        <f t="array" aca="1" ref="N911" ca="1">IF(AND(G911=INDIRECT("'["&amp;G911&amp;"]"&amp;E911&amp;"'!"&amp;$AH$2),OR(K911=INDIRECT("'["&amp;G911&amp;"]"&amp;E911&amp;"'!"&amp;$Z$2))),INDIRECT("'["&amp;G911&amp;"]"&amp;E911&amp;"'!"&amp;$Z$3),0)</f>
        <v>#VALUE!</v>
      </c>
      <c r="O911" s="34" t="e" cm="1">
        <f t="array" aca="1" ref="O911" ca="1">IF(AND(G911=INDIRECT("'["&amp;G911&amp;"]"&amp;E911&amp;"'!"&amp;$AH$2),OR(L911=INDIRECT("'["&amp;G911&amp;"]"&amp;E911&amp;"'!"&amp;$AA$2))),INDIRECT("'["&amp;G911&amp;"]"&amp;E911&amp;"'!"&amp;$AA$3),0)</f>
        <v>#VALUE!</v>
      </c>
      <c r="P911" s="34" t="e" cm="1">
        <f t="array" aca="1" ref="P911" ca="1">IF(AND(G911=INDIRECT("'["&amp;G911&amp;"]"&amp;E911&amp;"'!"&amp;$AH$2),OR(VALUE(I911)=INDIRECT("'["&amp;G911&amp;"]"&amp;E911&amp;"'!"&amp;$AB$2))),INDIRECT("'["&amp;G911&amp;"]"&amp;E911&amp;"'!"&amp;$AB$3),0)</f>
        <v>#VALUE!</v>
      </c>
      <c r="Q911" s="34" t="e" cm="1">
        <f t="array" aca="1" ref="Q911" ca="1">IF(AND(G911=INDIRECT("'["&amp;G911&amp;"]"&amp;E911&amp;"'!"&amp;$AH$2),OR(VALUE(I911)=INDIRECT("'["&amp;G911&amp;"]"&amp;E911&amp;"'!"&amp;$AC$2))),INDIRECT("'["&amp;G911&amp;"]"&amp;E911&amp;"'!"&amp;$AC$3),0)</f>
        <v>#VALUE!</v>
      </c>
      <c r="R911" s="34" t="e" cm="1">
        <f t="array" aca="1" ref="R911" ca="1">IF(AND(G911=INDIRECT("'["&amp;G911&amp;"]"&amp;E911&amp;"'!"&amp;$AH$2),OR(I911=INDIRECT("'["&amp;G911&amp;"]"&amp;E911&amp;"'!"&amp;$AD$2))),INDIRECT("'["&amp;G911&amp;"]"&amp;E911&amp;"'!"&amp;$AD$3),0)</f>
        <v>#VALUE!</v>
      </c>
      <c r="S911" s="34" t="e" cm="1">
        <f t="array" aca="1" ref="S911" ca="1">IF(AND(G911=INDIRECT("'["&amp;G911&amp;"]"&amp;E911&amp;"'!"&amp;$AH$2),OR(I911=INDIRECT("'["&amp;G911&amp;"]"&amp;E911&amp;"'!"&amp;$AE$2))),INDIRECT("'["&amp;G911&amp;"]"&amp;E911&amp;"'!"&amp;$AE$3),0)</f>
        <v>#VALUE!</v>
      </c>
      <c r="T911" s="35" t="e" cm="1">
        <f t="array" aca="1" ref="T911" ca="1">IF(AND(G911=INDIRECT("'["&amp;G911&amp;"]"&amp;E911&amp;"'!"&amp;$AH$2),OR(I911=INDIRECT("'["&amp;G911&amp;"]"&amp;E911&amp;"'!"&amp;$AF$2))),INDIRECT("'["&amp;G911&amp;"]"&amp;E911&amp;"'!"&amp;$AF$3),0)</f>
        <v>#VALUE!</v>
      </c>
      <c r="U911" s="34" t="e" cm="1">
        <f t="array" aca="1" ref="U911" ca="1">IF(AND(G911=INDIRECT("'["&amp;G911&amp;"]"&amp;E911&amp;"'!"&amp;$AH$2),OR(I911=INDIRECT("'["&amp;G911&amp;"]"&amp;E911&amp;"'!"&amp;$AG$2))),INDIRECT("'["&amp;G911&amp;"]"&amp;E911&amp;"'!"&amp;$AG$3),0)</f>
        <v>#VALUE!</v>
      </c>
      <c r="V911" s="25" t="str">
        <f t="shared" si="242"/>
        <v/>
      </c>
      <c r="W911" s="36" t="e" cm="1">
        <f t="array" aca="1" ref="W911" ca="1">IF(AND(G911=INDIRECT("'["&amp;G911&amp;"]"&amp;E911&amp;"'!"&amp;$AH$2),OR(V911=INDIRECT("'["&amp;G911&amp;"]"&amp;E911&amp;"'!"&amp;$AI$2))),INDIRECT("'["&amp;G911&amp;"]"&amp;E911&amp;"'!"&amp;$AI$3),0)</f>
        <v>#VALUE!</v>
      </c>
      <c r="AJ911" s="25">
        <v>1</v>
      </c>
      <c r="AK911" s="38">
        <f t="shared" ca="1" si="243"/>
        <v>0</v>
      </c>
      <c r="AL911" s="38">
        <f t="shared" ca="1" si="244"/>
        <v>0</v>
      </c>
      <c r="AM911" s="54" t="str">
        <f t="shared" ca="1" si="245"/>
        <v/>
      </c>
      <c r="AN911" s="25" t="e">
        <f t="shared" ca="1" si="246"/>
        <v>#VALUE!</v>
      </c>
      <c r="AO911" s="25" t="e">
        <f t="shared" ca="1" si="247"/>
        <v>#VALUE!</v>
      </c>
      <c r="AQ911" s="46" t="str">
        <f ca="1">IF(AND(C911&lt;&gt;0, C912=0), SUM($C$2:C911)-SUM($AQ$1:AQ910), "")</f>
        <v/>
      </c>
      <c r="AR911" s="46" t="str">
        <f ca="1">IF(AND(AK911&lt;&gt;0, AK912=0), SUM($AK$2:AK911)-SUM($AR$1:AR910), "")</f>
        <v/>
      </c>
    </row>
    <row r="912" spans="2:44" ht="13.15" customHeight="1">
      <c r="B912" s="68" t="str">
        <f t="shared" si="233"/>
        <v/>
      </c>
      <c r="C912" s="55" cm="1">
        <f t="array" aca="1" ref="C912" ca="1">SUM(IF(ISNUMBER(M912:U912),M912:U912,""))</f>
        <v>0</v>
      </c>
      <c r="D912" s="25" t="str">
        <f t="shared" si="234"/>
        <v/>
      </c>
      <c r="E912" s="25" t="e">
        <f t="shared" si="235"/>
        <v>#VALUE!</v>
      </c>
      <c r="F912" s="25" t="str">
        <f t="shared" si="236"/>
        <v/>
      </c>
      <c r="G912" s="25" t="str">
        <f t="shared" si="237"/>
        <v>.xlsx</v>
      </c>
      <c r="H912" s="29" t="e" cm="1">
        <f t="array" aca="1" ref="H912" ca="1">IF(AND(VALUE(E912)=INDIRECT("'["&amp;G912&amp;"]"&amp;E912&amp;"'!"&amp;$X$2),G912=INDIRECT("'["&amp;G912&amp;"]"&amp;E912&amp;"'!"&amp;$X$3)),INDIRECT("'["&amp;G912&amp;"]"&amp;E912&amp;"'!"&amp;$X$1),0)</f>
        <v>#VALUE!</v>
      </c>
      <c r="I912" s="25" t="str">
        <f t="shared" si="238"/>
        <v/>
      </c>
      <c r="J912" s="32" t="str">
        <f t="shared" si="239"/>
        <v/>
      </c>
      <c r="K912" s="25" t="str">
        <f t="shared" si="240"/>
        <v/>
      </c>
      <c r="L912" s="25" t="str">
        <f t="shared" si="241"/>
        <v/>
      </c>
      <c r="M912" s="33" t="e" cm="1">
        <f t="array" aca="1" ref="M912" ca="1">IF(AND(J912=INDIRECT("'["&amp;G912&amp;"]"&amp;E912&amp;"'!"&amp;$Y$2),G912=INDIRECT("'["&amp;G912&amp;"]"&amp;E912&amp;"'!"&amp;$AH$2)),INDIRECT("'["&amp;G912&amp;"]"&amp;E912&amp;"'!"&amp;$Y$3),0)</f>
        <v>#VALUE!</v>
      </c>
      <c r="N912" s="34" t="e" cm="1">
        <f t="array" aca="1" ref="N912" ca="1">IF(AND(G912=INDIRECT("'["&amp;G912&amp;"]"&amp;E912&amp;"'!"&amp;$AH$2),OR(K912=INDIRECT("'["&amp;G912&amp;"]"&amp;E912&amp;"'!"&amp;$Z$2))),INDIRECT("'["&amp;G912&amp;"]"&amp;E912&amp;"'!"&amp;$Z$3),0)</f>
        <v>#VALUE!</v>
      </c>
      <c r="O912" s="34" t="e" cm="1">
        <f t="array" aca="1" ref="O912" ca="1">IF(AND(G912=INDIRECT("'["&amp;G912&amp;"]"&amp;E912&amp;"'!"&amp;$AH$2),OR(L912=INDIRECT("'["&amp;G912&amp;"]"&amp;E912&amp;"'!"&amp;$AA$2))),INDIRECT("'["&amp;G912&amp;"]"&amp;E912&amp;"'!"&amp;$AA$3),0)</f>
        <v>#VALUE!</v>
      </c>
      <c r="P912" s="34" t="e" cm="1">
        <f t="array" aca="1" ref="P912" ca="1">IF(AND(G912=INDIRECT("'["&amp;G912&amp;"]"&amp;E912&amp;"'!"&amp;$AH$2),OR(VALUE(I912)=INDIRECT("'["&amp;G912&amp;"]"&amp;E912&amp;"'!"&amp;$AB$2))),INDIRECT("'["&amp;G912&amp;"]"&amp;E912&amp;"'!"&amp;$AB$3),0)</f>
        <v>#VALUE!</v>
      </c>
      <c r="Q912" s="34" t="e" cm="1">
        <f t="array" aca="1" ref="Q912" ca="1">IF(AND(G912=INDIRECT("'["&amp;G912&amp;"]"&amp;E912&amp;"'!"&amp;$AH$2),OR(VALUE(I912)=INDIRECT("'["&amp;G912&amp;"]"&amp;E912&amp;"'!"&amp;$AC$2))),INDIRECT("'["&amp;G912&amp;"]"&amp;E912&amp;"'!"&amp;$AC$3),0)</f>
        <v>#VALUE!</v>
      </c>
      <c r="R912" s="34" t="e" cm="1">
        <f t="array" aca="1" ref="R912" ca="1">IF(AND(G912=INDIRECT("'["&amp;G912&amp;"]"&amp;E912&amp;"'!"&amp;$AH$2),OR(I912=INDIRECT("'["&amp;G912&amp;"]"&amp;E912&amp;"'!"&amp;$AD$2))),INDIRECT("'["&amp;G912&amp;"]"&amp;E912&amp;"'!"&amp;$AD$3),0)</f>
        <v>#VALUE!</v>
      </c>
      <c r="S912" s="34" t="e" cm="1">
        <f t="array" aca="1" ref="S912" ca="1">IF(AND(G912=INDIRECT("'["&amp;G912&amp;"]"&amp;E912&amp;"'!"&amp;$AH$2),OR(I912=INDIRECT("'["&amp;G912&amp;"]"&amp;E912&amp;"'!"&amp;$AE$2))),INDIRECT("'["&amp;G912&amp;"]"&amp;E912&amp;"'!"&amp;$AE$3),0)</f>
        <v>#VALUE!</v>
      </c>
      <c r="T912" s="35" t="e" cm="1">
        <f t="array" aca="1" ref="T912" ca="1">IF(AND(G912=INDIRECT("'["&amp;G912&amp;"]"&amp;E912&amp;"'!"&amp;$AH$2),OR(I912=INDIRECT("'["&amp;G912&amp;"]"&amp;E912&amp;"'!"&amp;$AF$2))),INDIRECT("'["&amp;G912&amp;"]"&amp;E912&amp;"'!"&amp;$AF$3),0)</f>
        <v>#VALUE!</v>
      </c>
      <c r="U912" s="34" t="e" cm="1">
        <f t="array" aca="1" ref="U912" ca="1">IF(AND(G912=INDIRECT("'["&amp;G912&amp;"]"&amp;E912&amp;"'!"&amp;$AH$2),OR(I912=INDIRECT("'["&amp;G912&amp;"]"&amp;E912&amp;"'!"&amp;$AG$2))),INDIRECT("'["&amp;G912&amp;"]"&amp;E912&amp;"'!"&amp;$AG$3),0)</f>
        <v>#VALUE!</v>
      </c>
      <c r="V912" s="25" t="str">
        <f t="shared" si="242"/>
        <v/>
      </c>
      <c r="W912" s="36" t="e" cm="1">
        <f t="array" aca="1" ref="W912" ca="1">IF(AND(G912=INDIRECT("'["&amp;G912&amp;"]"&amp;E912&amp;"'!"&amp;$AH$2),OR(V912=INDIRECT("'["&amp;G912&amp;"]"&amp;E912&amp;"'!"&amp;$AI$2))),INDIRECT("'["&amp;G912&amp;"]"&amp;E912&amp;"'!"&amp;$AI$3),0)</f>
        <v>#VALUE!</v>
      </c>
      <c r="AJ912" s="25">
        <v>1</v>
      </c>
      <c r="AK912" s="38">
        <f t="shared" ca="1" si="243"/>
        <v>0</v>
      </c>
      <c r="AL912" s="38">
        <f t="shared" ca="1" si="244"/>
        <v>0</v>
      </c>
      <c r="AM912" s="54" t="str">
        <f t="shared" ca="1" si="245"/>
        <v/>
      </c>
      <c r="AN912" s="25" t="e">
        <f t="shared" ca="1" si="246"/>
        <v>#VALUE!</v>
      </c>
      <c r="AO912" s="25" t="e">
        <f t="shared" ca="1" si="247"/>
        <v>#VALUE!</v>
      </c>
      <c r="AQ912" s="46" t="str">
        <f ca="1">IF(AND(C912&lt;&gt;0, C913=0), SUM($C$2:C912)-SUM($AQ$1:AQ911), "")</f>
        <v/>
      </c>
      <c r="AR912" s="46" t="str">
        <f ca="1">IF(AND(AK912&lt;&gt;0, AK913=0), SUM($AK$2:AK912)-SUM($AR$1:AR911), "")</f>
        <v/>
      </c>
    </row>
    <row r="913" spans="2:44" ht="13.15" customHeight="1">
      <c r="B913" s="68" t="str">
        <f t="shared" si="233"/>
        <v/>
      </c>
      <c r="C913" s="55" cm="1">
        <f t="array" aca="1" ref="C913" ca="1">SUM(IF(ISNUMBER(M913:U913),M913:U913,""))</f>
        <v>0</v>
      </c>
      <c r="D913" s="25" t="str">
        <f t="shared" si="234"/>
        <v/>
      </c>
      <c r="E913" s="25" t="e">
        <f t="shared" si="235"/>
        <v>#VALUE!</v>
      </c>
      <c r="F913" s="25" t="str">
        <f t="shared" si="236"/>
        <v/>
      </c>
      <c r="G913" s="25" t="str">
        <f t="shared" si="237"/>
        <v>.xlsx</v>
      </c>
      <c r="H913" s="29" t="e" cm="1">
        <f t="array" aca="1" ref="H913" ca="1">IF(AND(VALUE(E913)=INDIRECT("'["&amp;G913&amp;"]"&amp;E913&amp;"'!"&amp;$X$2),G913=INDIRECT("'["&amp;G913&amp;"]"&amp;E913&amp;"'!"&amp;$X$3)),INDIRECT("'["&amp;G913&amp;"]"&amp;E913&amp;"'!"&amp;$X$1),0)</f>
        <v>#VALUE!</v>
      </c>
      <c r="I913" s="25" t="str">
        <f t="shared" si="238"/>
        <v/>
      </c>
      <c r="J913" s="32" t="str">
        <f t="shared" si="239"/>
        <v/>
      </c>
      <c r="K913" s="25" t="str">
        <f t="shared" si="240"/>
        <v/>
      </c>
      <c r="L913" s="25" t="str">
        <f t="shared" si="241"/>
        <v/>
      </c>
      <c r="M913" s="33" t="e" cm="1">
        <f t="array" aca="1" ref="M913" ca="1">IF(AND(J913=INDIRECT("'["&amp;G913&amp;"]"&amp;E913&amp;"'!"&amp;$Y$2),G913=INDIRECT("'["&amp;G913&amp;"]"&amp;E913&amp;"'!"&amp;$AH$2)),INDIRECT("'["&amp;G913&amp;"]"&amp;E913&amp;"'!"&amp;$Y$3),0)</f>
        <v>#VALUE!</v>
      </c>
      <c r="N913" s="34" t="e" cm="1">
        <f t="array" aca="1" ref="N913" ca="1">IF(AND(G913=INDIRECT("'["&amp;G913&amp;"]"&amp;E913&amp;"'!"&amp;$AH$2),OR(K913=INDIRECT("'["&amp;G913&amp;"]"&amp;E913&amp;"'!"&amp;$Z$2))),INDIRECT("'["&amp;G913&amp;"]"&amp;E913&amp;"'!"&amp;$Z$3),0)</f>
        <v>#VALUE!</v>
      </c>
      <c r="O913" s="34" t="e" cm="1">
        <f t="array" aca="1" ref="O913" ca="1">IF(AND(G913=INDIRECT("'["&amp;G913&amp;"]"&amp;E913&amp;"'!"&amp;$AH$2),OR(L913=INDIRECT("'["&amp;G913&amp;"]"&amp;E913&amp;"'!"&amp;$AA$2))),INDIRECT("'["&amp;G913&amp;"]"&amp;E913&amp;"'!"&amp;$AA$3),0)</f>
        <v>#VALUE!</v>
      </c>
      <c r="P913" s="34" t="e" cm="1">
        <f t="array" aca="1" ref="P913" ca="1">IF(AND(G913=INDIRECT("'["&amp;G913&amp;"]"&amp;E913&amp;"'!"&amp;$AH$2),OR(VALUE(I913)=INDIRECT("'["&amp;G913&amp;"]"&amp;E913&amp;"'!"&amp;$AB$2))),INDIRECT("'["&amp;G913&amp;"]"&amp;E913&amp;"'!"&amp;$AB$3),0)</f>
        <v>#VALUE!</v>
      </c>
      <c r="Q913" s="34" t="e" cm="1">
        <f t="array" aca="1" ref="Q913" ca="1">IF(AND(G913=INDIRECT("'["&amp;G913&amp;"]"&amp;E913&amp;"'!"&amp;$AH$2),OR(VALUE(I913)=INDIRECT("'["&amp;G913&amp;"]"&amp;E913&amp;"'!"&amp;$AC$2))),INDIRECT("'["&amp;G913&amp;"]"&amp;E913&amp;"'!"&amp;$AC$3),0)</f>
        <v>#VALUE!</v>
      </c>
      <c r="R913" s="34" t="e" cm="1">
        <f t="array" aca="1" ref="R913" ca="1">IF(AND(G913=INDIRECT("'["&amp;G913&amp;"]"&amp;E913&amp;"'!"&amp;$AH$2),OR(I913=INDIRECT("'["&amp;G913&amp;"]"&amp;E913&amp;"'!"&amp;$AD$2))),INDIRECT("'["&amp;G913&amp;"]"&amp;E913&amp;"'!"&amp;$AD$3),0)</f>
        <v>#VALUE!</v>
      </c>
      <c r="S913" s="34" t="e" cm="1">
        <f t="array" aca="1" ref="S913" ca="1">IF(AND(G913=INDIRECT("'["&amp;G913&amp;"]"&amp;E913&amp;"'!"&amp;$AH$2),OR(I913=INDIRECT("'["&amp;G913&amp;"]"&amp;E913&amp;"'!"&amp;$AE$2))),INDIRECT("'["&amp;G913&amp;"]"&amp;E913&amp;"'!"&amp;$AE$3),0)</f>
        <v>#VALUE!</v>
      </c>
      <c r="T913" s="35" t="e" cm="1">
        <f t="array" aca="1" ref="T913" ca="1">IF(AND(G913=INDIRECT("'["&amp;G913&amp;"]"&amp;E913&amp;"'!"&amp;$AH$2),OR(I913=INDIRECT("'["&amp;G913&amp;"]"&amp;E913&amp;"'!"&amp;$AF$2))),INDIRECT("'["&amp;G913&amp;"]"&amp;E913&amp;"'!"&amp;$AF$3),0)</f>
        <v>#VALUE!</v>
      </c>
      <c r="U913" s="34" t="e" cm="1">
        <f t="array" aca="1" ref="U913" ca="1">IF(AND(G913=INDIRECT("'["&amp;G913&amp;"]"&amp;E913&amp;"'!"&amp;$AH$2),OR(I913=INDIRECT("'["&amp;G913&amp;"]"&amp;E913&amp;"'!"&amp;$AG$2))),INDIRECT("'["&amp;G913&amp;"]"&amp;E913&amp;"'!"&amp;$AG$3),0)</f>
        <v>#VALUE!</v>
      </c>
      <c r="V913" s="25" t="str">
        <f t="shared" si="242"/>
        <v/>
      </c>
      <c r="W913" s="36" t="e" cm="1">
        <f t="array" aca="1" ref="W913" ca="1">IF(AND(G913=INDIRECT("'["&amp;G913&amp;"]"&amp;E913&amp;"'!"&amp;$AH$2),OR(V913=INDIRECT("'["&amp;G913&amp;"]"&amp;E913&amp;"'!"&amp;$AI$2))),INDIRECT("'["&amp;G913&amp;"]"&amp;E913&amp;"'!"&amp;$AI$3),0)</f>
        <v>#VALUE!</v>
      </c>
      <c r="AJ913" s="25">
        <v>1</v>
      </c>
      <c r="AK913" s="38">
        <f t="shared" ca="1" si="243"/>
        <v>0</v>
      </c>
      <c r="AL913" s="38">
        <f t="shared" ca="1" si="244"/>
        <v>0</v>
      </c>
      <c r="AM913" s="54" t="str">
        <f t="shared" ca="1" si="245"/>
        <v/>
      </c>
      <c r="AN913" s="25" t="e">
        <f t="shared" ca="1" si="246"/>
        <v>#VALUE!</v>
      </c>
      <c r="AO913" s="25" t="e">
        <f t="shared" ca="1" si="247"/>
        <v>#VALUE!</v>
      </c>
      <c r="AQ913" s="46" t="str">
        <f ca="1">IF(AND(C913&lt;&gt;0, C914=0), SUM($C$2:C913)-SUM($AQ$1:AQ912), "")</f>
        <v/>
      </c>
      <c r="AR913" s="46" t="str">
        <f ca="1">IF(AND(AK913&lt;&gt;0, AK914=0), SUM($AK$2:AK913)-SUM($AR$1:AR912), "")</f>
        <v/>
      </c>
    </row>
    <row r="914" spans="2:44" ht="13.15" customHeight="1">
      <c r="B914" s="68" t="str">
        <f t="shared" si="233"/>
        <v/>
      </c>
      <c r="C914" s="55" cm="1">
        <f t="array" aca="1" ref="C914" ca="1">SUM(IF(ISNUMBER(M914:U914),M914:U914,""))</f>
        <v>0</v>
      </c>
      <c r="D914" s="25" t="str">
        <f t="shared" si="234"/>
        <v/>
      </c>
      <c r="E914" s="25" t="e">
        <f t="shared" si="235"/>
        <v>#VALUE!</v>
      </c>
      <c r="F914" s="25" t="str">
        <f t="shared" si="236"/>
        <v/>
      </c>
      <c r="G914" s="25" t="str">
        <f t="shared" si="237"/>
        <v>.xlsx</v>
      </c>
      <c r="H914" s="29" t="e" cm="1">
        <f t="array" aca="1" ref="H914" ca="1">IF(AND(VALUE(E914)=INDIRECT("'["&amp;G914&amp;"]"&amp;E914&amp;"'!"&amp;$X$2),G914=INDIRECT("'["&amp;G914&amp;"]"&amp;E914&amp;"'!"&amp;$X$3)),INDIRECT("'["&amp;G914&amp;"]"&amp;E914&amp;"'!"&amp;$X$1),0)</f>
        <v>#VALUE!</v>
      </c>
      <c r="I914" s="25" t="str">
        <f t="shared" si="238"/>
        <v/>
      </c>
      <c r="J914" s="32" t="str">
        <f t="shared" si="239"/>
        <v/>
      </c>
      <c r="K914" s="25" t="str">
        <f t="shared" si="240"/>
        <v/>
      </c>
      <c r="L914" s="25" t="str">
        <f t="shared" si="241"/>
        <v/>
      </c>
      <c r="M914" s="33" t="e" cm="1">
        <f t="array" aca="1" ref="M914" ca="1">IF(AND(J914=INDIRECT("'["&amp;G914&amp;"]"&amp;E914&amp;"'!"&amp;$Y$2),G914=INDIRECT("'["&amp;G914&amp;"]"&amp;E914&amp;"'!"&amp;$AH$2)),INDIRECT("'["&amp;G914&amp;"]"&amp;E914&amp;"'!"&amp;$Y$3),0)</f>
        <v>#VALUE!</v>
      </c>
      <c r="N914" s="34" t="e" cm="1">
        <f t="array" aca="1" ref="N914" ca="1">IF(AND(G914=INDIRECT("'["&amp;G914&amp;"]"&amp;E914&amp;"'!"&amp;$AH$2),OR(K914=INDIRECT("'["&amp;G914&amp;"]"&amp;E914&amp;"'!"&amp;$Z$2))),INDIRECT("'["&amp;G914&amp;"]"&amp;E914&amp;"'!"&amp;$Z$3),0)</f>
        <v>#VALUE!</v>
      </c>
      <c r="O914" s="34" t="e" cm="1">
        <f t="array" aca="1" ref="O914" ca="1">IF(AND(G914=INDIRECT("'["&amp;G914&amp;"]"&amp;E914&amp;"'!"&amp;$AH$2),OR(L914=INDIRECT("'["&amp;G914&amp;"]"&amp;E914&amp;"'!"&amp;$AA$2))),INDIRECT("'["&amp;G914&amp;"]"&amp;E914&amp;"'!"&amp;$AA$3),0)</f>
        <v>#VALUE!</v>
      </c>
      <c r="P914" s="34" t="e" cm="1">
        <f t="array" aca="1" ref="P914" ca="1">IF(AND(G914=INDIRECT("'["&amp;G914&amp;"]"&amp;E914&amp;"'!"&amp;$AH$2),OR(VALUE(I914)=INDIRECT("'["&amp;G914&amp;"]"&amp;E914&amp;"'!"&amp;$AB$2))),INDIRECT("'["&amp;G914&amp;"]"&amp;E914&amp;"'!"&amp;$AB$3),0)</f>
        <v>#VALUE!</v>
      </c>
      <c r="Q914" s="34" t="e" cm="1">
        <f t="array" aca="1" ref="Q914" ca="1">IF(AND(G914=INDIRECT("'["&amp;G914&amp;"]"&amp;E914&amp;"'!"&amp;$AH$2),OR(VALUE(I914)=INDIRECT("'["&amp;G914&amp;"]"&amp;E914&amp;"'!"&amp;$AC$2))),INDIRECT("'["&amp;G914&amp;"]"&amp;E914&amp;"'!"&amp;$AC$3),0)</f>
        <v>#VALUE!</v>
      </c>
      <c r="R914" s="34" t="e" cm="1">
        <f t="array" aca="1" ref="R914" ca="1">IF(AND(G914=INDIRECT("'["&amp;G914&amp;"]"&amp;E914&amp;"'!"&amp;$AH$2),OR(I914=INDIRECT("'["&amp;G914&amp;"]"&amp;E914&amp;"'!"&amp;$AD$2))),INDIRECT("'["&amp;G914&amp;"]"&amp;E914&amp;"'!"&amp;$AD$3),0)</f>
        <v>#VALUE!</v>
      </c>
      <c r="S914" s="34" t="e" cm="1">
        <f t="array" aca="1" ref="S914" ca="1">IF(AND(G914=INDIRECT("'["&amp;G914&amp;"]"&amp;E914&amp;"'!"&amp;$AH$2),OR(I914=INDIRECT("'["&amp;G914&amp;"]"&amp;E914&amp;"'!"&amp;$AE$2))),INDIRECT("'["&amp;G914&amp;"]"&amp;E914&amp;"'!"&amp;$AE$3),0)</f>
        <v>#VALUE!</v>
      </c>
      <c r="T914" s="35" t="e" cm="1">
        <f t="array" aca="1" ref="T914" ca="1">IF(AND(G914=INDIRECT("'["&amp;G914&amp;"]"&amp;E914&amp;"'!"&amp;$AH$2),OR(I914=INDIRECT("'["&amp;G914&amp;"]"&amp;E914&amp;"'!"&amp;$AF$2))),INDIRECT("'["&amp;G914&amp;"]"&amp;E914&amp;"'!"&amp;$AF$3),0)</f>
        <v>#VALUE!</v>
      </c>
      <c r="U914" s="34" t="e" cm="1">
        <f t="array" aca="1" ref="U914" ca="1">IF(AND(G914=INDIRECT("'["&amp;G914&amp;"]"&amp;E914&amp;"'!"&amp;$AH$2),OR(I914=INDIRECT("'["&amp;G914&amp;"]"&amp;E914&amp;"'!"&amp;$AG$2))),INDIRECT("'["&amp;G914&amp;"]"&amp;E914&amp;"'!"&amp;$AG$3),0)</f>
        <v>#VALUE!</v>
      </c>
      <c r="V914" s="25" t="str">
        <f t="shared" si="242"/>
        <v/>
      </c>
      <c r="W914" s="36" t="e" cm="1">
        <f t="array" aca="1" ref="W914" ca="1">IF(AND(G914=INDIRECT("'["&amp;G914&amp;"]"&amp;E914&amp;"'!"&amp;$AH$2),OR(V914=INDIRECT("'["&amp;G914&amp;"]"&amp;E914&amp;"'!"&amp;$AI$2))),INDIRECT("'["&amp;G914&amp;"]"&amp;E914&amp;"'!"&amp;$AI$3),0)</f>
        <v>#VALUE!</v>
      </c>
      <c r="AJ914" s="25">
        <v>1</v>
      </c>
      <c r="AK914" s="38">
        <f t="shared" ca="1" si="243"/>
        <v>0</v>
      </c>
      <c r="AL914" s="38">
        <f t="shared" ca="1" si="244"/>
        <v>0</v>
      </c>
      <c r="AM914" s="54" t="str">
        <f t="shared" ca="1" si="245"/>
        <v/>
      </c>
      <c r="AN914" s="25" t="e">
        <f t="shared" ca="1" si="246"/>
        <v>#VALUE!</v>
      </c>
      <c r="AO914" s="25" t="e">
        <f t="shared" ca="1" si="247"/>
        <v>#VALUE!</v>
      </c>
      <c r="AQ914" s="46" t="str">
        <f ca="1">IF(AND(C914&lt;&gt;0, C915=0), SUM($C$2:C914)-SUM($AQ$1:AQ913), "")</f>
        <v/>
      </c>
      <c r="AR914" s="46" t="str">
        <f ca="1">IF(AND(AK914&lt;&gt;0, AK915=0), SUM($AK$2:AK914)-SUM($AR$1:AR913), "")</f>
        <v/>
      </c>
    </row>
    <row r="915" spans="2:44" ht="13.15" customHeight="1">
      <c r="B915" s="68" t="str">
        <f t="shared" si="233"/>
        <v/>
      </c>
      <c r="C915" s="55" cm="1">
        <f t="array" aca="1" ref="C915" ca="1">SUM(IF(ISNUMBER(M915:U915),M915:U915,""))</f>
        <v>0</v>
      </c>
      <c r="D915" s="25" t="str">
        <f t="shared" si="234"/>
        <v/>
      </c>
      <c r="E915" s="25" t="e">
        <f t="shared" si="235"/>
        <v>#VALUE!</v>
      </c>
      <c r="F915" s="25" t="str">
        <f t="shared" si="236"/>
        <v/>
      </c>
      <c r="G915" s="25" t="str">
        <f t="shared" si="237"/>
        <v>.xlsx</v>
      </c>
      <c r="H915" s="29" t="e" cm="1">
        <f t="array" aca="1" ref="H915" ca="1">IF(AND(VALUE(E915)=INDIRECT("'["&amp;G915&amp;"]"&amp;E915&amp;"'!"&amp;$X$2),G915=INDIRECT("'["&amp;G915&amp;"]"&amp;E915&amp;"'!"&amp;$X$3)),INDIRECT("'["&amp;G915&amp;"]"&amp;E915&amp;"'!"&amp;$X$1),0)</f>
        <v>#VALUE!</v>
      </c>
      <c r="I915" s="25" t="str">
        <f t="shared" si="238"/>
        <v/>
      </c>
      <c r="J915" s="32" t="str">
        <f t="shared" si="239"/>
        <v/>
      </c>
      <c r="K915" s="25" t="str">
        <f t="shared" si="240"/>
        <v/>
      </c>
      <c r="L915" s="25" t="str">
        <f t="shared" si="241"/>
        <v/>
      </c>
      <c r="M915" s="33" t="e" cm="1">
        <f t="array" aca="1" ref="M915" ca="1">IF(AND(J915=INDIRECT("'["&amp;G915&amp;"]"&amp;E915&amp;"'!"&amp;$Y$2),G915=INDIRECT("'["&amp;G915&amp;"]"&amp;E915&amp;"'!"&amp;$AH$2)),INDIRECT("'["&amp;G915&amp;"]"&amp;E915&amp;"'!"&amp;$Y$3),0)</f>
        <v>#VALUE!</v>
      </c>
      <c r="N915" s="34" t="e" cm="1">
        <f t="array" aca="1" ref="N915" ca="1">IF(AND(G915=INDIRECT("'["&amp;G915&amp;"]"&amp;E915&amp;"'!"&amp;$AH$2),OR(K915=INDIRECT("'["&amp;G915&amp;"]"&amp;E915&amp;"'!"&amp;$Z$2))),INDIRECT("'["&amp;G915&amp;"]"&amp;E915&amp;"'!"&amp;$Z$3),0)</f>
        <v>#VALUE!</v>
      </c>
      <c r="O915" s="34" t="e" cm="1">
        <f t="array" aca="1" ref="O915" ca="1">IF(AND(G915=INDIRECT("'["&amp;G915&amp;"]"&amp;E915&amp;"'!"&amp;$AH$2),OR(L915=INDIRECT("'["&amp;G915&amp;"]"&amp;E915&amp;"'!"&amp;$AA$2))),INDIRECT("'["&amp;G915&amp;"]"&amp;E915&amp;"'!"&amp;$AA$3),0)</f>
        <v>#VALUE!</v>
      </c>
      <c r="P915" s="34" t="e" cm="1">
        <f t="array" aca="1" ref="P915" ca="1">IF(AND(G915=INDIRECT("'["&amp;G915&amp;"]"&amp;E915&amp;"'!"&amp;$AH$2),OR(VALUE(I915)=INDIRECT("'["&amp;G915&amp;"]"&amp;E915&amp;"'!"&amp;$AB$2))),INDIRECT("'["&amp;G915&amp;"]"&amp;E915&amp;"'!"&amp;$AB$3),0)</f>
        <v>#VALUE!</v>
      </c>
      <c r="Q915" s="34" t="e" cm="1">
        <f t="array" aca="1" ref="Q915" ca="1">IF(AND(G915=INDIRECT("'["&amp;G915&amp;"]"&amp;E915&amp;"'!"&amp;$AH$2),OR(VALUE(I915)=INDIRECT("'["&amp;G915&amp;"]"&amp;E915&amp;"'!"&amp;$AC$2))),INDIRECT("'["&amp;G915&amp;"]"&amp;E915&amp;"'!"&amp;$AC$3),0)</f>
        <v>#VALUE!</v>
      </c>
      <c r="R915" s="34" t="e" cm="1">
        <f t="array" aca="1" ref="R915" ca="1">IF(AND(G915=INDIRECT("'["&amp;G915&amp;"]"&amp;E915&amp;"'!"&amp;$AH$2),OR(I915=INDIRECT("'["&amp;G915&amp;"]"&amp;E915&amp;"'!"&amp;$AD$2))),INDIRECT("'["&amp;G915&amp;"]"&amp;E915&amp;"'!"&amp;$AD$3),0)</f>
        <v>#VALUE!</v>
      </c>
      <c r="S915" s="34" t="e" cm="1">
        <f t="array" aca="1" ref="S915" ca="1">IF(AND(G915=INDIRECT("'["&amp;G915&amp;"]"&amp;E915&amp;"'!"&amp;$AH$2),OR(I915=INDIRECT("'["&amp;G915&amp;"]"&amp;E915&amp;"'!"&amp;$AE$2))),INDIRECT("'["&amp;G915&amp;"]"&amp;E915&amp;"'!"&amp;$AE$3),0)</f>
        <v>#VALUE!</v>
      </c>
      <c r="T915" s="35" t="e" cm="1">
        <f t="array" aca="1" ref="T915" ca="1">IF(AND(G915=INDIRECT("'["&amp;G915&amp;"]"&amp;E915&amp;"'!"&amp;$AH$2),OR(I915=INDIRECT("'["&amp;G915&amp;"]"&amp;E915&amp;"'!"&amp;$AF$2))),INDIRECT("'["&amp;G915&amp;"]"&amp;E915&amp;"'!"&amp;$AF$3),0)</f>
        <v>#VALUE!</v>
      </c>
      <c r="U915" s="34" t="e" cm="1">
        <f t="array" aca="1" ref="U915" ca="1">IF(AND(G915=INDIRECT("'["&amp;G915&amp;"]"&amp;E915&amp;"'!"&amp;$AH$2),OR(I915=INDIRECT("'["&amp;G915&amp;"]"&amp;E915&amp;"'!"&amp;$AG$2))),INDIRECT("'["&amp;G915&amp;"]"&amp;E915&amp;"'!"&amp;$AG$3),0)</f>
        <v>#VALUE!</v>
      </c>
      <c r="V915" s="25" t="str">
        <f t="shared" si="242"/>
        <v/>
      </c>
      <c r="W915" s="36" t="e" cm="1">
        <f t="array" aca="1" ref="W915" ca="1">IF(AND(G915=INDIRECT("'["&amp;G915&amp;"]"&amp;E915&amp;"'!"&amp;$AH$2),OR(V915=INDIRECT("'["&amp;G915&amp;"]"&amp;E915&amp;"'!"&amp;$AI$2))),INDIRECT("'["&amp;G915&amp;"]"&amp;E915&amp;"'!"&amp;$AI$3),0)</f>
        <v>#VALUE!</v>
      </c>
      <c r="AJ915" s="25">
        <v>1</v>
      </c>
      <c r="AK915" s="38">
        <f t="shared" ca="1" si="243"/>
        <v>0</v>
      </c>
      <c r="AL915" s="38">
        <f t="shared" ca="1" si="244"/>
        <v>0</v>
      </c>
      <c r="AM915" s="54" t="str">
        <f t="shared" ca="1" si="245"/>
        <v/>
      </c>
      <c r="AN915" s="25" t="e">
        <f t="shared" ca="1" si="246"/>
        <v>#VALUE!</v>
      </c>
      <c r="AO915" s="25" t="e">
        <f t="shared" ca="1" si="247"/>
        <v>#VALUE!</v>
      </c>
      <c r="AQ915" s="46" t="str">
        <f ca="1">IF(AND(C915&lt;&gt;0, C916=0), SUM($C$2:C915)-SUM($AQ$1:AQ914), "")</f>
        <v/>
      </c>
      <c r="AR915" s="46" t="str">
        <f ca="1">IF(AND(AK915&lt;&gt;0, AK916=0), SUM($AK$2:AK915)-SUM($AR$1:AR914), "")</f>
        <v/>
      </c>
    </row>
    <row r="916" spans="2:44" ht="13.15" customHeight="1">
      <c r="B916" s="68" t="str">
        <f t="shared" si="233"/>
        <v/>
      </c>
      <c r="C916" s="55" cm="1">
        <f t="array" aca="1" ref="C916" ca="1">SUM(IF(ISNUMBER(M916:U916),M916:U916,""))</f>
        <v>0</v>
      </c>
      <c r="D916" s="25" t="str">
        <f t="shared" si="234"/>
        <v/>
      </c>
      <c r="E916" s="25" t="e">
        <f t="shared" si="235"/>
        <v>#VALUE!</v>
      </c>
      <c r="F916" s="25" t="str">
        <f t="shared" si="236"/>
        <v/>
      </c>
      <c r="G916" s="25" t="str">
        <f t="shared" si="237"/>
        <v>.xlsx</v>
      </c>
      <c r="H916" s="29" t="e" cm="1">
        <f t="array" aca="1" ref="H916" ca="1">IF(AND(VALUE(E916)=INDIRECT("'["&amp;G916&amp;"]"&amp;E916&amp;"'!"&amp;$X$2),G916=INDIRECT("'["&amp;G916&amp;"]"&amp;E916&amp;"'!"&amp;$X$3)),INDIRECT("'["&amp;G916&amp;"]"&amp;E916&amp;"'!"&amp;$X$1),0)</f>
        <v>#VALUE!</v>
      </c>
      <c r="I916" s="25" t="str">
        <f t="shared" si="238"/>
        <v/>
      </c>
      <c r="J916" s="32" t="str">
        <f t="shared" si="239"/>
        <v/>
      </c>
      <c r="K916" s="25" t="str">
        <f t="shared" si="240"/>
        <v/>
      </c>
      <c r="L916" s="25" t="str">
        <f t="shared" si="241"/>
        <v/>
      </c>
      <c r="M916" s="33" t="e" cm="1">
        <f t="array" aca="1" ref="M916" ca="1">IF(AND(J916=INDIRECT("'["&amp;G916&amp;"]"&amp;E916&amp;"'!"&amp;$Y$2),G916=INDIRECT("'["&amp;G916&amp;"]"&amp;E916&amp;"'!"&amp;$AH$2)),INDIRECT("'["&amp;G916&amp;"]"&amp;E916&amp;"'!"&amp;$Y$3),0)</f>
        <v>#VALUE!</v>
      </c>
      <c r="N916" s="34" t="e" cm="1">
        <f t="array" aca="1" ref="N916" ca="1">IF(AND(G916=INDIRECT("'["&amp;G916&amp;"]"&amp;E916&amp;"'!"&amp;$AH$2),OR(K916=INDIRECT("'["&amp;G916&amp;"]"&amp;E916&amp;"'!"&amp;$Z$2))),INDIRECT("'["&amp;G916&amp;"]"&amp;E916&amp;"'!"&amp;$Z$3),0)</f>
        <v>#VALUE!</v>
      </c>
      <c r="O916" s="34" t="e" cm="1">
        <f t="array" aca="1" ref="O916" ca="1">IF(AND(G916=INDIRECT("'["&amp;G916&amp;"]"&amp;E916&amp;"'!"&amp;$AH$2),OR(L916=INDIRECT("'["&amp;G916&amp;"]"&amp;E916&amp;"'!"&amp;$AA$2))),INDIRECT("'["&amp;G916&amp;"]"&amp;E916&amp;"'!"&amp;$AA$3),0)</f>
        <v>#VALUE!</v>
      </c>
      <c r="P916" s="34" t="e" cm="1">
        <f t="array" aca="1" ref="P916" ca="1">IF(AND(G916=INDIRECT("'["&amp;G916&amp;"]"&amp;E916&amp;"'!"&amp;$AH$2),OR(VALUE(I916)=INDIRECT("'["&amp;G916&amp;"]"&amp;E916&amp;"'!"&amp;$AB$2))),INDIRECT("'["&amp;G916&amp;"]"&amp;E916&amp;"'!"&amp;$AB$3),0)</f>
        <v>#VALUE!</v>
      </c>
      <c r="Q916" s="34" t="e" cm="1">
        <f t="array" aca="1" ref="Q916" ca="1">IF(AND(G916=INDIRECT("'["&amp;G916&amp;"]"&amp;E916&amp;"'!"&amp;$AH$2),OR(VALUE(I916)=INDIRECT("'["&amp;G916&amp;"]"&amp;E916&amp;"'!"&amp;$AC$2))),INDIRECT("'["&amp;G916&amp;"]"&amp;E916&amp;"'!"&amp;$AC$3),0)</f>
        <v>#VALUE!</v>
      </c>
      <c r="R916" s="34" t="e" cm="1">
        <f t="array" aca="1" ref="R916" ca="1">IF(AND(G916=INDIRECT("'["&amp;G916&amp;"]"&amp;E916&amp;"'!"&amp;$AH$2),OR(I916=INDIRECT("'["&amp;G916&amp;"]"&amp;E916&amp;"'!"&amp;$AD$2))),INDIRECT("'["&amp;G916&amp;"]"&amp;E916&amp;"'!"&amp;$AD$3),0)</f>
        <v>#VALUE!</v>
      </c>
      <c r="S916" s="34" t="e" cm="1">
        <f t="array" aca="1" ref="S916" ca="1">IF(AND(G916=INDIRECT("'["&amp;G916&amp;"]"&amp;E916&amp;"'!"&amp;$AH$2),OR(I916=INDIRECT("'["&amp;G916&amp;"]"&amp;E916&amp;"'!"&amp;$AE$2))),INDIRECT("'["&amp;G916&amp;"]"&amp;E916&amp;"'!"&amp;$AE$3),0)</f>
        <v>#VALUE!</v>
      </c>
      <c r="T916" s="35" t="e" cm="1">
        <f t="array" aca="1" ref="T916" ca="1">IF(AND(G916=INDIRECT("'["&amp;G916&amp;"]"&amp;E916&amp;"'!"&amp;$AH$2),OR(I916=INDIRECT("'["&amp;G916&amp;"]"&amp;E916&amp;"'!"&amp;$AF$2))),INDIRECT("'["&amp;G916&amp;"]"&amp;E916&amp;"'!"&amp;$AF$3),0)</f>
        <v>#VALUE!</v>
      </c>
      <c r="U916" s="34" t="e" cm="1">
        <f t="array" aca="1" ref="U916" ca="1">IF(AND(G916=INDIRECT("'["&amp;G916&amp;"]"&amp;E916&amp;"'!"&amp;$AH$2),OR(I916=INDIRECT("'["&amp;G916&amp;"]"&amp;E916&amp;"'!"&amp;$AG$2))),INDIRECT("'["&amp;G916&amp;"]"&amp;E916&amp;"'!"&amp;$AG$3),0)</f>
        <v>#VALUE!</v>
      </c>
      <c r="V916" s="25" t="str">
        <f t="shared" si="242"/>
        <v/>
      </c>
      <c r="W916" s="36" t="e" cm="1">
        <f t="array" aca="1" ref="W916" ca="1">IF(AND(G916=INDIRECT("'["&amp;G916&amp;"]"&amp;E916&amp;"'!"&amp;$AH$2),OR(V916=INDIRECT("'["&amp;G916&amp;"]"&amp;E916&amp;"'!"&amp;$AI$2))),INDIRECT("'["&amp;G916&amp;"]"&amp;E916&amp;"'!"&amp;$AI$3),0)</f>
        <v>#VALUE!</v>
      </c>
      <c r="AJ916" s="25">
        <v>1</v>
      </c>
      <c r="AK916" s="38">
        <f t="shared" ca="1" si="243"/>
        <v>0</v>
      </c>
      <c r="AL916" s="38">
        <f t="shared" ca="1" si="244"/>
        <v>0</v>
      </c>
      <c r="AM916" s="54" t="str">
        <f t="shared" ca="1" si="245"/>
        <v/>
      </c>
      <c r="AN916" s="25" t="e">
        <f t="shared" ca="1" si="246"/>
        <v>#VALUE!</v>
      </c>
      <c r="AO916" s="25" t="e">
        <f t="shared" ca="1" si="247"/>
        <v>#VALUE!</v>
      </c>
      <c r="AQ916" s="46" t="str">
        <f ca="1">IF(AND(C916&lt;&gt;0, C917=0), SUM($C$2:C916)-SUM($AQ$1:AQ915), "")</f>
        <v/>
      </c>
      <c r="AR916" s="46" t="str">
        <f ca="1">IF(AND(AK916&lt;&gt;0, AK917=0), SUM($AK$2:AK916)-SUM($AR$1:AR915), "")</f>
        <v/>
      </c>
    </row>
    <row r="917" spans="2:44" ht="13.15" customHeight="1">
      <c r="B917" s="68" t="str">
        <f t="shared" si="233"/>
        <v/>
      </c>
      <c r="C917" s="55" cm="1">
        <f t="array" aca="1" ref="C917" ca="1">SUM(IF(ISNUMBER(M917:U917),M917:U917,""))</f>
        <v>0</v>
      </c>
      <c r="D917" s="25" t="str">
        <f t="shared" si="234"/>
        <v/>
      </c>
      <c r="E917" s="25" t="e">
        <f t="shared" si="235"/>
        <v>#VALUE!</v>
      </c>
      <c r="F917" s="25" t="str">
        <f t="shared" si="236"/>
        <v/>
      </c>
      <c r="G917" s="25" t="str">
        <f t="shared" si="237"/>
        <v>.xlsx</v>
      </c>
      <c r="H917" s="29" t="e" cm="1">
        <f t="array" aca="1" ref="H917" ca="1">IF(AND(VALUE(E917)=INDIRECT("'["&amp;G917&amp;"]"&amp;E917&amp;"'!"&amp;$X$2),G917=INDIRECT("'["&amp;G917&amp;"]"&amp;E917&amp;"'!"&amp;$X$3)),INDIRECT("'["&amp;G917&amp;"]"&amp;E917&amp;"'!"&amp;$X$1),0)</f>
        <v>#VALUE!</v>
      </c>
      <c r="I917" s="25" t="str">
        <f t="shared" si="238"/>
        <v/>
      </c>
      <c r="J917" s="32" t="str">
        <f t="shared" si="239"/>
        <v/>
      </c>
      <c r="K917" s="25" t="str">
        <f t="shared" si="240"/>
        <v/>
      </c>
      <c r="L917" s="25" t="str">
        <f t="shared" si="241"/>
        <v/>
      </c>
      <c r="M917" s="33" t="e" cm="1">
        <f t="array" aca="1" ref="M917" ca="1">IF(AND(J917=INDIRECT("'["&amp;G917&amp;"]"&amp;E917&amp;"'!"&amp;$Y$2),G917=INDIRECT("'["&amp;G917&amp;"]"&amp;E917&amp;"'!"&amp;$AH$2)),INDIRECT("'["&amp;G917&amp;"]"&amp;E917&amp;"'!"&amp;$Y$3),0)</f>
        <v>#VALUE!</v>
      </c>
      <c r="N917" s="34" t="e" cm="1">
        <f t="array" aca="1" ref="N917" ca="1">IF(AND(G917=INDIRECT("'["&amp;G917&amp;"]"&amp;E917&amp;"'!"&amp;$AH$2),OR(K917=INDIRECT("'["&amp;G917&amp;"]"&amp;E917&amp;"'!"&amp;$Z$2))),INDIRECT("'["&amp;G917&amp;"]"&amp;E917&amp;"'!"&amp;$Z$3),0)</f>
        <v>#VALUE!</v>
      </c>
      <c r="O917" s="34" t="e" cm="1">
        <f t="array" aca="1" ref="O917" ca="1">IF(AND(G917=INDIRECT("'["&amp;G917&amp;"]"&amp;E917&amp;"'!"&amp;$AH$2),OR(L917=INDIRECT("'["&amp;G917&amp;"]"&amp;E917&amp;"'!"&amp;$AA$2))),INDIRECT("'["&amp;G917&amp;"]"&amp;E917&amp;"'!"&amp;$AA$3),0)</f>
        <v>#VALUE!</v>
      </c>
      <c r="P917" s="34" t="e" cm="1">
        <f t="array" aca="1" ref="P917" ca="1">IF(AND(G917=INDIRECT("'["&amp;G917&amp;"]"&amp;E917&amp;"'!"&amp;$AH$2),OR(VALUE(I917)=INDIRECT("'["&amp;G917&amp;"]"&amp;E917&amp;"'!"&amp;$AB$2))),INDIRECT("'["&amp;G917&amp;"]"&amp;E917&amp;"'!"&amp;$AB$3),0)</f>
        <v>#VALUE!</v>
      </c>
      <c r="Q917" s="34" t="e" cm="1">
        <f t="array" aca="1" ref="Q917" ca="1">IF(AND(G917=INDIRECT("'["&amp;G917&amp;"]"&amp;E917&amp;"'!"&amp;$AH$2),OR(VALUE(I917)=INDIRECT("'["&amp;G917&amp;"]"&amp;E917&amp;"'!"&amp;$AC$2))),INDIRECT("'["&amp;G917&amp;"]"&amp;E917&amp;"'!"&amp;$AC$3),0)</f>
        <v>#VALUE!</v>
      </c>
      <c r="R917" s="34" t="e" cm="1">
        <f t="array" aca="1" ref="R917" ca="1">IF(AND(G917=INDIRECT("'["&amp;G917&amp;"]"&amp;E917&amp;"'!"&amp;$AH$2),OR(I917=INDIRECT("'["&amp;G917&amp;"]"&amp;E917&amp;"'!"&amp;$AD$2))),INDIRECT("'["&amp;G917&amp;"]"&amp;E917&amp;"'!"&amp;$AD$3),0)</f>
        <v>#VALUE!</v>
      </c>
      <c r="S917" s="34" t="e" cm="1">
        <f t="array" aca="1" ref="S917" ca="1">IF(AND(G917=INDIRECT("'["&amp;G917&amp;"]"&amp;E917&amp;"'!"&amp;$AH$2),OR(I917=INDIRECT("'["&amp;G917&amp;"]"&amp;E917&amp;"'!"&amp;$AE$2))),INDIRECT("'["&amp;G917&amp;"]"&amp;E917&amp;"'!"&amp;$AE$3),0)</f>
        <v>#VALUE!</v>
      </c>
      <c r="T917" s="35" t="e" cm="1">
        <f t="array" aca="1" ref="T917" ca="1">IF(AND(G917=INDIRECT("'["&amp;G917&amp;"]"&amp;E917&amp;"'!"&amp;$AH$2),OR(I917=INDIRECT("'["&amp;G917&amp;"]"&amp;E917&amp;"'!"&amp;$AF$2))),INDIRECT("'["&amp;G917&amp;"]"&amp;E917&amp;"'!"&amp;$AF$3),0)</f>
        <v>#VALUE!</v>
      </c>
      <c r="U917" s="34" t="e" cm="1">
        <f t="array" aca="1" ref="U917" ca="1">IF(AND(G917=INDIRECT("'["&amp;G917&amp;"]"&amp;E917&amp;"'!"&amp;$AH$2),OR(I917=INDIRECT("'["&amp;G917&amp;"]"&amp;E917&amp;"'!"&amp;$AG$2))),INDIRECT("'["&amp;G917&amp;"]"&amp;E917&amp;"'!"&amp;$AG$3),0)</f>
        <v>#VALUE!</v>
      </c>
      <c r="V917" s="25" t="str">
        <f t="shared" si="242"/>
        <v/>
      </c>
      <c r="W917" s="36" t="e" cm="1">
        <f t="array" aca="1" ref="W917" ca="1">IF(AND(G917=INDIRECT("'["&amp;G917&amp;"]"&amp;E917&amp;"'!"&amp;$AH$2),OR(V917=INDIRECT("'["&amp;G917&amp;"]"&amp;E917&amp;"'!"&amp;$AI$2))),INDIRECT("'["&amp;G917&amp;"]"&amp;E917&amp;"'!"&amp;$AI$3),0)</f>
        <v>#VALUE!</v>
      </c>
      <c r="AJ917" s="25">
        <v>1</v>
      </c>
      <c r="AK917" s="38">
        <f t="shared" ca="1" si="243"/>
        <v>0</v>
      </c>
      <c r="AL917" s="38">
        <f t="shared" ca="1" si="244"/>
        <v>0</v>
      </c>
      <c r="AM917" s="54" t="str">
        <f t="shared" ca="1" si="245"/>
        <v/>
      </c>
      <c r="AN917" s="25" t="e">
        <f t="shared" ca="1" si="246"/>
        <v>#VALUE!</v>
      </c>
      <c r="AO917" s="25" t="e">
        <f t="shared" ca="1" si="247"/>
        <v>#VALUE!</v>
      </c>
      <c r="AQ917" s="46" t="str">
        <f ca="1">IF(AND(C917&lt;&gt;0, C918=0), SUM($C$2:C917)-SUM($AQ$1:AQ916), "")</f>
        <v/>
      </c>
      <c r="AR917" s="46" t="str">
        <f ca="1">IF(AND(AK917&lt;&gt;0, AK918=0), SUM($AK$2:AK917)-SUM($AR$1:AR916), "")</f>
        <v/>
      </c>
    </row>
    <row r="918" spans="2:44" ht="13.15" customHeight="1">
      <c r="B918" s="68" t="str">
        <f t="shared" si="233"/>
        <v/>
      </c>
      <c r="C918" s="55" cm="1">
        <f t="array" aca="1" ref="C918" ca="1">SUM(IF(ISNUMBER(M918:U918),M918:U918,""))</f>
        <v>0</v>
      </c>
      <c r="D918" s="25" t="str">
        <f t="shared" si="234"/>
        <v/>
      </c>
      <c r="E918" s="25" t="e">
        <f t="shared" si="235"/>
        <v>#VALUE!</v>
      </c>
      <c r="F918" s="25" t="str">
        <f t="shared" si="236"/>
        <v/>
      </c>
      <c r="G918" s="25" t="str">
        <f t="shared" si="237"/>
        <v>.xlsx</v>
      </c>
      <c r="H918" s="29" t="e" cm="1">
        <f t="array" aca="1" ref="H918" ca="1">IF(AND(VALUE(E918)=INDIRECT("'["&amp;G918&amp;"]"&amp;E918&amp;"'!"&amp;$X$2),G918=INDIRECT("'["&amp;G918&amp;"]"&amp;E918&amp;"'!"&amp;$X$3)),INDIRECT("'["&amp;G918&amp;"]"&amp;E918&amp;"'!"&amp;$X$1),0)</f>
        <v>#VALUE!</v>
      </c>
      <c r="I918" s="25" t="str">
        <f t="shared" si="238"/>
        <v/>
      </c>
      <c r="J918" s="32" t="str">
        <f t="shared" si="239"/>
        <v/>
      </c>
      <c r="K918" s="25" t="str">
        <f t="shared" si="240"/>
        <v/>
      </c>
      <c r="L918" s="25" t="str">
        <f t="shared" si="241"/>
        <v/>
      </c>
      <c r="M918" s="33" t="e" cm="1">
        <f t="array" aca="1" ref="M918" ca="1">IF(AND(J918=INDIRECT("'["&amp;G918&amp;"]"&amp;E918&amp;"'!"&amp;$Y$2),G918=INDIRECT("'["&amp;G918&amp;"]"&amp;E918&amp;"'!"&amp;$AH$2)),INDIRECT("'["&amp;G918&amp;"]"&amp;E918&amp;"'!"&amp;$Y$3),0)</f>
        <v>#VALUE!</v>
      </c>
      <c r="N918" s="34" t="e" cm="1">
        <f t="array" aca="1" ref="N918" ca="1">IF(AND(G918=INDIRECT("'["&amp;G918&amp;"]"&amp;E918&amp;"'!"&amp;$AH$2),OR(K918=INDIRECT("'["&amp;G918&amp;"]"&amp;E918&amp;"'!"&amp;$Z$2))),INDIRECT("'["&amp;G918&amp;"]"&amp;E918&amp;"'!"&amp;$Z$3),0)</f>
        <v>#VALUE!</v>
      </c>
      <c r="O918" s="34" t="e" cm="1">
        <f t="array" aca="1" ref="O918" ca="1">IF(AND(G918=INDIRECT("'["&amp;G918&amp;"]"&amp;E918&amp;"'!"&amp;$AH$2),OR(L918=INDIRECT("'["&amp;G918&amp;"]"&amp;E918&amp;"'!"&amp;$AA$2))),INDIRECT("'["&amp;G918&amp;"]"&amp;E918&amp;"'!"&amp;$AA$3),0)</f>
        <v>#VALUE!</v>
      </c>
      <c r="P918" s="34" t="e" cm="1">
        <f t="array" aca="1" ref="P918" ca="1">IF(AND(G918=INDIRECT("'["&amp;G918&amp;"]"&amp;E918&amp;"'!"&amp;$AH$2),OR(VALUE(I918)=INDIRECT("'["&amp;G918&amp;"]"&amp;E918&amp;"'!"&amp;$AB$2))),INDIRECT("'["&amp;G918&amp;"]"&amp;E918&amp;"'!"&amp;$AB$3),0)</f>
        <v>#VALUE!</v>
      </c>
      <c r="Q918" s="34" t="e" cm="1">
        <f t="array" aca="1" ref="Q918" ca="1">IF(AND(G918=INDIRECT("'["&amp;G918&amp;"]"&amp;E918&amp;"'!"&amp;$AH$2),OR(VALUE(I918)=INDIRECT("'["&amp;G918&amp;"]"&amp;E918&amp;"'!"&amp;$AC$2))),INDIRECT("'["&amp;G918&amp;"]"&amp;E918&amp;"'!"&amp;$AC$3),0)</f>
        <v>#VALUE!</v>
      </c>
      <c r="R918" s="34" t="e" cm="1">
        <f t="array" aca="1" ref="R918" ca="1">IF(AND(G918=INDIRECT("'["&amp;G918&amp;"]"&amp;E918&amp;"'!"&amp;$AH$2),OR(I918=INDIRECT("'["&amp;G918&amp;"]"&amp;E918&amp;"'!"&amp;$AD$2))),INDIRECT("'["&amp;G918&amp;"]"&amp;E918&amp;"'!"&amp;$AD$3),0)</f>
        <v>#VALUE!</v>
      </c>
      <c r="S918" s="34" t="e" cm="1">
        <f t="array" aca="1" ref="S918" ca="1">IF(AND(G918=INDIRECT("'["&amp;G918&amp;"]"&amp;E918&amp;"'!"&amp;$AH$2),OR(I918=INDIRECT("'["&amp;G918&amp;"]"&amp;E918&amp;"'!"&amp;$AE$2))),INDIRECT("'["&amp;G918&amp;"]"&amp;E918&amp;"'!"&amp;$AE$3),0)</f>
        <v>#VALUE!</v>
      </c>
      <c r="T918" s="35" t="e" cm="1">
        <f t="array" aca="1" ref="T918" ca="1">IF(AND(G918=INDIRECT("'["&amp;G918&amp;"]"&amp;E918&amp;"'!"&amp;$AH$2),OR(I918=INDIRECT("'["&amp;G918&amp;"]"&amp;E918&amp;"'!"&amp;$AF$2))),INDIRECT("'["&amp;G918&amp;"]"&amp;E918&amp;"'!"&amp;$AF$3),0)</f>
        <v>#VALUE!</v>
      </c>
      <c r="U918" s="34" t="e" cm="1">
        <f t="array" aca="1" ref="U918" ca="1">IF(AND(G918=INDIRECT("'["&amp;G918&amp;"]"&amp;E918&amp;"'!"&amp;$AH$2),OR(I918=INDIRECT("'["&amp;G918&amp;"]"&amp;E918&amp;"'!"&amp;$AG$2))),INDIRECT("'["&amp;G918&amp;"]"&amp;E918&amp;"'!"&amp;$AG$3),0)</f>
        <v>#VALUE!</v>
      </c>
      <c r="V918" s="25" t="str">
        <f t="shared" si="242"/>
        <v/>
      </c>
      <c r="W918" s="36" t="e" cm="1">
        <f t="array" aca="1" ref="W918" ca="1">IF(AND(G918=INDIRECT("'["&amp;G918&amp;"]"&amp;E918&amp;"'!"&amp;$AH$2),OR(V918=INDIRECT("'["&amp;G918&amp;"]"&amp;E918&amp;"'!"&amp;$AI$2))),INDIRECT("'["&amp;G918&amp;"]"&amp;E918&amp;"'!"&amp;$AI$3),0)</f>
        <v>#VALUE!</v>
      </c>
      <c r="AJ918" s="25">
        <v>1</v>
      </c>
      <c r="AK918" s="38">
        <f t="shared" ca="1" si="243"/>
        <v>0</v>
      </c>
      <c r="AL918" s="38">
        <f t="shared" ca="1" si="244"/>
        <v>0</v>
      </c>
      <c r="AM918" s="54" t="str">
        <f t="shared" ca="1" si="245"/>
        <v/>
      </c>
      <c r="AN918" s="25" t="e">
        <f t="shared" ca="1" si="246"/>
        <v>#VALUE!</v>
      </c>
      <c r="AO918" s="25" t="e">
        <f t="shared" ca="1" si="247"/>
        <v>#VALUE!</v>
      </c>
      <c r="AQ918" s="46" t="str">
        <f ca="1">IF(AND(C918&lt;&gt;0, C919=0), SUM($C$2:C918)-SUM($AQ$1:AQ917), "")</f>
        <v/>
      </c>
      <c r="AR918" s="46" t="str">
        <f ca="1">IF(AND(AK918&lt;&gt;0, AK919=0), SUM($AK$2:AK918)-SUM($AR$1:AR917), "")</f>
        <v/>
      </c>
    </row>
    <row r="919" spans="2:44" ht="13.15" customHeight="1">
      <c r="B919" s="68" t="str">
        <f t="shared" si="233"/>
        <v/>
      </c>
      <c r="C919" s="55" cm="1">
        <f t="array" aca="1" ref="C919" ca="1">SUM(IF(ISNUMBER(M919:U919),M919:U919,""))</f>
        <v>0</v>
      </c>
      <c r="D919" s="25" t="str">
        <f t="shared" si="234"/>
        <v/>
      </c>
      <c r="E919" s="25" t="e">
        <f t="shared" si="235"/>
        <v>#VALUE!</v>
      </c>
      <c r="F919" s="25" t="str">
        <f t="shared" si="236"/>
        <v/>
      </c>
      <c r="G919" s="25" t="str">
        <f t="shared" si="237"/>
        <v>.xlsx</v>
      </c>
      <c r="H919" s="29" t="e" cm="1">
        <f t="array" aca="1" ref="H919" ca="1">IF(AND(VALUE(E919)=INDIRECT("'["&amp;G919&amp;"]"&amp;E919&amp;"'!"&amp;$X$2),G919=INDIRECT("'["&amp;G919&amp;"]"&amp;E919&amp;"'!"&amp;$X$3)),INDIRECT("'["&amp;G919&amp;"]"&amp;E919&amp;"'!"&amp;$X$1),0)</f>
        <v>#VALUE!</v>
      </c>
      <c r="I919" s="25" t="str">
        <f t="shared" si="238"/>
        <v/>
      </c>
      <c r="J919" s="32" t="str">
        <f t="shared" si="239"/>
        <v/>
      </c>
      <c r="K919" s="25" t="str">
        <f t="shared" si="240"/>
        <v/>
      </c>
      <c r="L919" s="25" t="str">
        <f t="shared" si="241"/>
        <v/>
      </c>
      <c r="M919" s="33" t="e" cm="1">
        <f t="array" aca="1" ref="M919" ca="1">IF(AND(J919=INDIRECT("'["&amp;G919&amp;"]"&amp;E919&amp;"'!"&amp;$Y$2),G919=INDIRECT("'["&amp;G919&amp;"]"&amp;E919&amp;"'!"&amp;$AH$2)),INDIRECT("'["&amp;G919&amp;"]"&amp;E919&amp;"'!"&amp;$Y$3),0)</f>
        <v>#VALUE!</v>
      </c>
      <c r="N919" s="34" t="e" cm="1">
        <f t="array" aca="1" ref="N919" ca="1">IF(AND(G919=INDIRECT("'["&amp;G919&amp;"]"&amp;E919&amp;"'!"&amp;$AH$2),OR(K919=INDIRECT("'["&amp;G919&amp;"]"&amp;E919&amp;"'!"&amp;$Z$2))),INDIRECT("'["&amp;G919&amp;"]"&amp;E919&amp;"'!"&amp;$Z$3),0)</f>
        <v>#VALUE!</v>
      </c>
      <c r="O919" s="34" t="e" cm="1">
        <f t="array" aca="1" ref="O919" ca="1">IF(AND(G919=INDIRECT("'["&amp;G919&amp;"]"&amp;E919&amp;"'!"&amp;$AH$2),OR(L919=INDIRECT("'["&amp;G919&amp;"]"&amp;E919&amp;"'!"&amp;$AA$2))),INDIRECT("'["&amp;G919&amp;"]"&amp;E919&amp;"'!"&amp;$AA$3),0)</f>
        <v>#VALUE!</v>
      </c>
      <c r="P919" s="34" t="e" cm="1">
        <f t="array" aca="1" ref="P919" ca="1">IF(AND(G919=INDIRECT("'["&amp;G919&amp;"]"&amp;E919&amp;"'!"&amp;$AH$2),OR(VALUE(I919)=INDIRECT("'["&amp;G919&amp;"]"&amp;E919&amp;"'!"&amp;$AB$2))),INDIRECT("'["&amp;G919&amp;"]"&amp;E919&amp;"'!"&amp;$AB$3),0)</f>
        <v>#VALUE!</v>
      </c>
      <c r="Q919" s="34" t="e" cm="1">
        <f t="array" aca="1" ref="Q919" ca="1">IF(AND(G919=INDIRECT("'["&amp;G919&amp;"]"&amp;E919&amp;"'!"&amp;$AH$2),OR(VALUE(I919)=INDIRECT("'["&amp;G919&amp;"]"&amp;E919&amp;"'!"&amp;$AC$2))),INDIRECT("'["&amp;G919&amp;"]"&amp;E919&amp;"'!"&amp;$AC$3),0)</f>
        <v>#VALUE!</v>
      </c>
      <c r="R919" s="34" t="e" cm="1">
        <f t="array" aca="1" ref="R919" ca="1">IF(AND(G919=INDIRECT("'["&amp;G919&amp;"]"&amp;E919&amp;"'!"&amp;$AH$2),OR(I919=INDIRECT("'["&amp;G919&amp;"]"&amp;E919&amp;"'!"&amp;$AD$2))),INDIRECT("'["&amp;G919&amp;"]"&amp;E919&amp;"'!"&amp;$AD$3),0)</f>
        <v>#VALUE!</v>
      </c>
      <c r="S919" s="34" t="e" cm="1">
        <f t="array" aca="1" ref="S919" ca="1">IF(AND(G919=INDIRECT("'["&amp;G919&amp;"]"&amp;E919&amp;"'!"&amp;$AH$2),OR(I919=INDIRECT("'["&amp;G919&amp;"]"&amp;E919&amp;"'!"&amp;$AE$2))),INDIRECT("'["&amp;G919&amp;"]"&amp;E919&amp;"'!"&amp;$AE$3),0)</f>
        <v>#VALUE!</v>
      </c>
      <c r="T919" s="35" t="e" cm="1">
        <f t="array" aca="1" ref="T919" ca="1">IF(AND(G919=INDIRECT("'["&amp;G919&amp;"]"&amp;E919&amp;"'!"&amp;$AH$2),OR(I919=INDIRECT("'["&amp;G919&amp;"]"&amp;E919&amp;"'!"&amp;$AF$2))),INDIRECT("'["&amp;G919&amp;"]"&amp;E919&amp;"'!"&amp;$AF$3),0)</f>
        <v>#VALUE!</v>
      </c>
      <c r="U919" s="34" t="e" cm="1">
        <f t="array" aca="1" ref="U919" ca="1">IF(AND(G919=INDIRECT("'["&amp;G919&amp;"]"&amp;E919&amp;"'!"&amp;$AH$2),OR(I919=INDIRECT("'["&amp;G919&amp;"]"&amp;E919&amp;"'!"&amp;$AG$2))),INDIRECT("'["&amp;G919&amp;"]"&amp;E919&amp;"'!"&amp;$AG$3),0)</f>
        <v>#VALUE!</v>
      </c>
      <c r="V919" s="25" t="str">
        <f t="shared" si="242"/>
        <v/>
      </c>
      <c r="W919" s="36" t="e" cm="1">
        <f t="array" aca="1" ref="W919" ca="1">IF(AND(G919=INDIRECT("'["&amp;G919&amp;"]"&amp;E919&amp;"'!"&amp;$AH$2),OR(V919=INDIRECT("'["&amp;G919&amp;"]"&amp;E919&amp;"'!"&amp;$AI$2))),INDIRECT("'["&amp;G919&amp;"]"&amp;E919&amp;"'!"&amp;$AI$3),0)</f>
        <v>#VALUE!</v>
      </c>
      <c r="AJ919" s="25">
        <v>1</v>
      </c>
      <c r="AK919" s="38">
        <f t="shared" ca="1" si="243"/>
        <v>0</v>
      </c>
      <c r="AL919" s="38">
        <f t="shared" ca="1" si="244"/>
        <v>0</v>
      </c>
      <c r="AM919" s="54" t="str">
        <f t="shared" ca="1" si="245"/>
        <v/>
      </c>
      <c r="AN919" s="25" t="e">
        <f t="shared" ca="1" si="246"/>
        <v>#VALUE!</v>
      </c>
      <c r="AO919" s="25" t="e">
        <f t="shared" ca="1" si="247"/>
        <v>#VALUE!</v>
      </c>
      <c r="AQ919" s="46" t="str">
        <f ca="1">IF(AND(C919&lt;&gt;0, C920=0), SUM($C$2:C919)-SUM($AQ$1:AQ918), "")</f>
        <v/>
      </c>
      <c r="AR919" s="46" t="str">
        <f ca="1">IF(AND(AK919&lt;&gt;0, AK920=0), SUM($AK$2:AK919)-SUM($AR$1:AR918), "")</f>
        <v/>
      </c>
    </row>
    <row r="920" spans="2:44" ht="13.15" customHeight="1">
      <c r="B920" s="68" t="str">
        <f t="shared" si="233"/>
        <v/>
      </c>
      <c r="C920" s="55" cm="1">
        <f t="array" aca="1" ref="C920" ca="1">SUM(IF(ISNUMBER(M920:U920),M920:U920,""))</f>
        <v>0</v>
      </c>
      <c r="D920" s="25" t="str">
        <f t="shared" si="234"/>
        <v/>
      </c>
      <c r="E920" s="25" t="e">
        <f t="shared" si="235"/>
        <v>#VALUE!</v>
      </c>
      <c r="F920" s="25" t="str">
        <f t="shared" si="236"/>
        <v/>
      </c>
      <c r="G920" s="25" t="str">
        <f t="shared" si="237"/>
        <v>.xlsx</v>
      </c>
      <c r="H920" s="29" t="e" cm="1">
        <f t="array" aca="1" ref="H920" ca="1">IF(AND(VALUE(E920)=INDIRECT("'["&amp;G920&amp;"]"&amp;E920&amp;"'!"&amp;$X$2),G920=INDIRECT("'["&amp;G920&amp;"]"&amp;E920&amp;"'!"&amp;$X$3)),INDIRECT("'["&amp;G920&amp;"]"&amp;E920&amp;"'!"&amp;$X$1),0)</f>
        <v>#VALUE!</v>
      </c>
      <c r="I920" s="25" t="str">
        <f t="shared" si="238"/>
        <v/>
      </c>
      <c r="J920" s="32" t="str">
        <f t="shared" si="239"/>
        <v/>
      </c>
      <c r="K920" s="25" t="str">
        <f t="shared" si="240"/>
        <v/>
      </c>
      <c r="L920" s="25" t="str">
        <f t="shared" si="241"/>
        <v/>
      </c>
      <c r="M920" s="33" t="e" cm="1">
        <f t="array" aca="1" ref="M920" ca="1">IF(AND(J920=INDIRECT("'["&amp;G920&amp;"]"&amp;E920&amp;"'!"&amp;$Y$2),G920=INDIRECT("'["&amp;G920&amp;"]"&amp;E920&amp;"'!"&amp;$AH$2)),INDIRECT("'["&amp;G920&amp;"]"&amp;E920&amp;"'!"&amp;$Y$3),0)</f>
        <v>#VALUE!</v>
      </c>
      <c r="N920" s="34" t="e" cm="1">
        <f t="array" aca="1" ref="N920" ca="1">IF(AND(G920=INDIRECT("'["&amp;G920&amp;"]"&amp;E920&amp;"'!"&amp;$AH$2),OR(K920=INDIRECT("'["&amp;G920&amp;"]"&amp;E920&amp;"'!"&amp;$Z$2))),INDIRECT("'["&amp;G920&amp;"]"&amp;E920&amp;"'!"&amp;$Z$3),0)</f>
        <v>#VALUE!</v>
      </c>
      <c r="O920" s="34" t="e" cm="1">
        <f t="array" aca="1" ref="O920" ca="1">IF(AND(G920=INDIRECT("'["&amp;G920&amp;"]"&amp;E920&amp;"'!"&amp;$AH$2),OR(L920=INDIRECT("'["&amp;G920&amp;"]"&amp;E920&amp;"'!"&amp;$AA$2))),INDIRECT("'["&amp;G920&amp;"]"&amp;E920&amp;"'!"&amp;$AA$3),0)</f>
        <v>#VALUE!</v>
      </c>
      <c r="P920" s="34" t="e" cm="1">
        <f t="array" aca="1" ref="P920" ca="1">IF(AND(G920=INDIRECT("'["&amp;G920&amp;"]"&amp;E920&amp;"'!"&amp;$AH$2),OR(VALUE(I920)=INDIRECT("'["&amp;G920&amp;"]"&amp;E920&amp;"'!"&amp;$AB$2))),INDIRECT("'["&amp;G920&amp;"]"&amp;E920&amp;"'!"&amp;$AB$3),0)</f>
        <v>#VALUE!</v>
      </c>
      <c r="Q920" s="34" t="e" cm="1">
        <f t="array" aca="1" ref="Q920" ca="1">IF(AND(G920=INDIRECT("'["&amp;G920&amp;"]"&amp;E920&amp;"'!"&amp;$AH$2),OR(VALUE(I920)=INDIRECT("'["&amp;G920&amp;"]"&amp;E920&amp;"'!"&amp;$AC$2))),INDIRECT("'["&amp;G920&amp;"]"&amp;E920&amp;"'!"&amp;$AC$3),0)</f>
        <v>#VALUE!</v>
      </c>
      <c r="R920" s="34" t="e" cm="1">
        <f t="array" aca="1" ref="R920" ca="1">IF(AND(G920=INDIRECT("'["&amp;G920&amp;"]"&amp;E920&amp;"'!"&amp;$AH$2),OR(I920=INDIRECT("'["&amp;G920&amp;"]"&amp;E920&amp;"'!"&amp;$AD$2))),INDIRECT("'["&amp;G920&amp;"]"&amp;E920&amp;"'!"&amp;$AD$3),0)</f>
        <v>#VALUE!</v>
      </c>
      <c r="S920" s="34" t="e" cm="1">
        <f t="array" aca="1" ref="S920" ca="1">IF(AND(G920=INDIRECT("'["&amp;G920&amp;"]"&amp;E920&amp;"'!"&amp;$AH$2),OR(I920=INDIRECT("'["&amp;G920&amp;"]"&amp;E920&amp;"'!"&amp;$AE$2))),INDIRECT("'["&amp;G920&amp;"]"&amp;E920&amp;"'!"&amp;$AE$3),0)</f>
        <v>#VALUE!</v>
      </c>
      <c r="T920" s="35" t="e" cm="1">
        <f t="array" aca="1" ref="T920" ca="1">IF(AND(G920=INDIRECT("'["&amp;G920&amp;"]"&amp;E920&amp;"'!"&amp;$AH$2),OR(I920=INDIRECT("'["&amp;G920&amp;"]"&amp;E920&amp;"'!"&amp;$AF$2))),INDIRECT("'["&amp;G920&amp;"]"&amp;E920&amp;"'!"&amp;$AF$3),0)</f>
        <v>#VALUE!</v>
      </c>
      <c r="U920" s="34" t="e" cm="1">
        <f t="array" aca="1" ref="U920" ca="1">IF(AND(G920=INDIRECT("'["&amp;G920&amp;"]"&amp;E920&amp;"'!"&amp;$AH$2),OR(I920=INDIRECT("'["&amp;G920&amp;"]"&amp;E920&amp;"'!"&amp;$AG$2))),INDIRECT("'["&amp;G920&amp;"]"&amp;E920&amp;"'!"&amp;$AG$3),0)</f>
        <v>#VALUE!</v>
      </c>
      <c r="V920" s="25" t="str">
        <f t="shared" si="242"/>
        <v/>
      </c>
      <c r="W920" s="36" t="e" cm="1">
        <f t="array" aca="1" ref="W920" ca="1">IF(AND(G920=INDIRECT("'["&amp;G920&amp;"]"&amp;E920&amp;"'!"&amp;$AH$2),OR(V920=INDIRECT("'["&amp;G920&amp;"]"&amp;E920&amp;"'!"&amp;$AI$2))),INDIRECT("'["&amp;G920&amp;"]"&amp;E920&amp;"'!"&amp;$AI$3),0)</f>
        <v>#VALUE!</v>
      </c>
      <c r="AJ920" s="25">
        <v>1</v>
      </c>
      <c r="AK920" s="38">
        <f t="shared" ca="1" si="243"/>
        <v>0</v>
      </c>
      <c r="AL920" s="38">
        <f t="shared" ca="1" si="244"/>
        <v>0</v>
      </c>
      <c r="AM920" s="54" t="str">
        <f t="shared" ca="1" si="245"/>
        <v/>
      </c>
      <c r="AN920" s="25" t="e">
        <f t="shared" ca="1" si="246"/>
        <v>#VALUE!</v>
      </c>
      <c r="AO920" s="25" t="e">
        <f t="shared" ca="1" si="247"/>
        <v>#VALUE!</v>
      </c>
      <c r="AQ920" s="46" t="str">
        <f ca="1">IF(AND(C920&lt;&gt;0, C921=0), SUM($C$2:C920)-SUM($AQ$1:AQ919), "")</f>
        <v/>
      </c>
      <c r="AR920" s="46" t="str">
        <f ca="1">IF(AND(AK920&lt;&gt;0, AK921=0), SUM($AK$2:AK920)-SUM($AR$1:AR919), "")</f>
        <v/>
      </c>
    </row>
    <row r="921" spans="2:44" ht="13.15" customHeight="1">
      <c r="B921" s="68" t="str">
        <f t="shared" si="233"/>
        <v/>
      </c>
      <c r="C921" s="55" cm="1">
        <f t="array" aca="1" ref="C921" ca="1">SUM(IF(ISNUMBER(M921:U921),M921:U921,""))</f>
        <v>0</v>
      </c>
      <c r="D921" s="25" t="str">
        <f t="shared" si="234"/>
        <v/>
      </c>
      <c r="E921" s="25" t="e">
        <f t="shared" si="235"/>
        <v>#VALUE!</v>
      </c>
      <c r="F921" s="25" t="str">
        <f t="shared" si="236"/>
        <v/>
      </c>
      <c r="G921" s="25" t="str">
        <f t="shared" si="237"/>
        <v>.xlsx</v>
      </c>
      <c r="H921" s="29" t="e" cm="1">
        <f t="array" aca="1" ref="H921" ca="1">IF(AND(VALUE(E921)=INDIRECT("'["&amp;G921&amp;"]"&amp;E921&amp;"'!"&amp;$X$2),G921=INDIRECT("'["&amp;G921&amp;"]"&amp;E921&amp;"'!"&amp;$X$3)),INDIRECT("'["&amp;G921&amp;"]"&amp;E921&amp;"'!"&amp;$X$1),0)</f>
        <v>#VALUE!</v>
      </c>
      <c r="I921" s="25" t="str">
        <f t="shared" si="238"/>
        <v/>
      </c>
      <c r="J921" s="32" t="str">
        <f t="shared" si="239"/>
        <v/>
      </c>
      <c r="K921" s="25" t="str">
        <f t="shared" si="240"/>
        <v/>
      </c>
      <c r="L921" s="25" t="str">
        <f t="shared" si="241"/>
        <v/>
      </c>
      <c r="M921" s="33" t="e" cm="1">
        <f t="array" aca="1" ref="M921" ca="1">IF(AND(J921=INDIRECT("'["&amp;G921&amp;"]"&amp;E921&amp;"'!"&amp;$Y$2),G921=INDIRECT("'["&amp;G921&amp;"]"&amp;E921&amp;"'!"&amp;$AH$2)),INDIRECT("'["&amp;G921&amp;"]"&amp;E921&amp;"'!"&amp;$Y$3),0)</f>
        <v>#VALUE!</v>
      </c>
      <c r="N921" s="34" t="e" cm="1">
        <f t="array" aca="1" ref="N921" ca="1">IF(AND(G921=INDIRECT("'["&amp;G921&amp;"]"&amp;E921&amp;"'!"&amp;$AH$2),OR(K921=INDIRECT("'["&amp;G921&amp;"]"&amp;E921&amp;"'!"&amp;$Z$2))),INDIRECT("'["&amp;G921&amp;"]"&amp;E921&amp;"'!"&amp;$Z$3),0)</f>
        <v>#VALUE!</v>
      </c>
      <c r="O921" s="34" t="e" cm="1">
        <f t="array" aca="1" ref="O921" ca="1">IF(AND(G921=INDIRECT("'["&amp;G921&amp;"]"&amp;E921&amp;"'!"&amp;$AH$2),OR(L921=INDIRECT("'["&amp;G921&amp;"]"&amp;E921&amp;"'!"&amp;$AA$2))),INDIRECT("'["&amp;G921&amp;"]"&amp;E921&amp;"'!"&amp;$AA$3),0)</f>
        <v>#VALUE!</v>
      </c>
      <c r="P921" s="34" t="e" cm="1">
        <f t="array" aca="1" ref="P921" ca="1">IF(AND(G921=INDIRECT("'["&amp;G921&amp;"]"&amp;E921&amp;"'!"&amp;$AH$2),OR(VALUE(I921)=INDIRECT("'["&amp;G921&amp;"]"&amp;E921&amp;"'!"&amp;$AB$2))),INDIRECT("'["&amp;G921&amp;"]"&amp;E921&amp;"'!"&amp;$AB$3),0)</f>
        <v>#VALUE!</v>
      </c>
      <c r="Q921" s="34" t="e" cm="1">
        <f t="array" aca="1" ref="Q921" ca="1">IF(AND(G921=INDIRECT("'["&amp;G921&amp;"]"&amp;E921&amp;"'!"&amp;$AH$2),OR(VALUE(I921)=INDIRECT("'["&amp;G921&amp;"]"&amp;E921&amp;"'!"&amp;$AC$2))),INDIRECT("'["&amp;G921&amp;"]"&amp;E921&amp;"'!"&amp;$AC$3),0)</f>
        <v>#VALUE!</v>
      </c>
      <c r="R921" s="34" t="e" cm="1">
        <f t="array" aca="1" ref="R921" ca="1">IF(AND(G921=INDIRECT("'["&amp;G921&amp;"]"&amp;E921&amp;"'!"&amp;$AH$2),OR(I921=INDIRECT("'["&amp;G921&amp;"]"&amp;E921&amp;"'!"&amp;$AD$2))),INDIRECT("'["&amp;G921&amp;"]"&amp;E921&amp;"'!"&amp;$AD$3),0)</f>
        <v>#VALUE!</v>
      </c>
      <c r="S921" s="34" t="e" cm="1">
        <f t="array" aca="1" ref="S921" ca="1">IF(AND(G921=INDIRECT("'["&amp;G921&amp;"]"&amp;E921&amp;"'!"&amp;$AH$2),OR(I921=INDIRECT("'["&amp;G921&amp;"]"&amp;E921&amp;"'!"&amp;$AE$2))),INDIRECT("'["&amp;G921&amp;"]"&amp;E921&amp;"'!"&amp;$AE$3),0)</f>
        <v>#VALUE!</v>
      </c>
      <c r="T921" s="35" t="e" cm="1">
        <f t="array" aca="1" ref="T921" ca="1">IF(AND(G921=INDIRECT("'["&amp;G921&amp;"]"&amp;E921&amp;"'!"&amp;$AH$2),OR(I921=INDIRECT("'["&amp;G921&amp;"]"&amp;E921&amp;"'!"&amp;$AF$2))),INDIRECT("'["&amp;G921&amp;"]"&amp;E921&amp;"'!"&amp;$AF$3),0)</f>
        <v>#VALUE!</v>
      </c>
      <c r="U921" s="34" t="e" cm="1">
        <f t="array" aca="1" ref="U921" ca="1">IF(AND(G921=INDIRECT("'["&amp;G921&amp;"]"&amp;E921&amp;"'!"&amp;$AH$2),OR(I921=INDIRECT("'["&amp;G921&amp;"]"&amp;E921&amp;"'!"&amp;$AG$2))),INDIRECT("'["&amp;G921&amp;"]"&amp;E921&amp;"'!"&amp;$AG$3),0)</f>
        <v>#VALUE!</v>
      </c>
      <c r="V921" s="25" t="str">
        <f t="shared" si="242"/>
        <v/>
      </c>
      <c r="W921" s="36" t="e" cm="1">
        <f t="array" aca="1" ref="W921" ca="1">IF(AND(G921=INDIRECT("'["&amp;G921&amp;"]"&amp;E921&amp;"'!"&amp;$AH$2),OR(V921=INDIRECT("'["&amp;G921&amp;"]"&amp;E921&amp;"'!"&amp;$AI$2))),INDIRECT("'["&amp;G921&amp;"]"&amp;E921&amp;"'!"&amp;$AI$3),0)</f>
        <v>#VALUE!</v>
      </c>
      <c r="AJ921" s="25">
        <v>1</v>
      </c>
      <c r="AK921" s="38">
        <f t="shared" ca="1" si="243"/>
        <v>0</v>
      </c>
      <c r="AL921" s="38">
        <f t="shared" ca="1" si="244"/>
        <v>0</v>
      </c>
      <c r="AM921" s="54" t="str">
        <f t="shared" ca="1" si="245"/>
        <v/>
      </c>
      <c r="AN921" s="25" t="e">
        <f t="shared" ca="1" si="246"/>
        <v>#VALUE!</v>
      </c>
      <c r="AO921" s="25" t="e">
        <f t="shared" ca="1" si="247"/>
        <v>#VALUE!</v>
      </c>
      <c r="AQ921" s="46" t="str">
        <f ca="1">IF(AND(C921&lt;&gt;0, C922=0), SUM($C$2:C921)-SUM($AQ$1:AQ920), "")</f>
        <v/>
      </c>
      <c r="AR921" s="46" t="str">
        <f ca="1">IF(AND(AK921&lt;&gt;0, AK922=0), SUM($AK$2:AK921)-SUM($AR$1:AR920), "")</f>
        <v/>
      </c>
    </row>
    <row r="922" spans="2:44" ht="13.15" customHeight="1">
      <c r="B922" s="68" t="str">
        <f t="shared" si="233"/>
        <v/>
      </c>
      <c r="C922" s="55" cm="1">
        <f t="array" aca="1" ref="C922" ca="1">SUM(IF(ISNUMBER(M922:U922),M922:U922,""))</f>
        <v>0</v>
      </c>
      <c r="D922" s="25" t="str">
        <f t="shared" si="234"/>
        <v/>
      </c>
      <c r="E922" s="25" t="e">
        <f t="shared" si="235"/>
        <v>#VALUE!</v>
      </c>
      <c r="F922" s="25" t="str">
        <f t="shared" si="236"/>
        <v/>
      </c>
      <c r="G922" s="25" t="str">
        <f t="shared" si="237"/>
        <v>.xlsx</v>
      </c>
      <c r="H922" s="29" t="e" cm="1">
        <f t="array" aca="1" ref="H922" ca="1">IF(AND(VALUE(E922)=INDIRECT("'["&amp;G922&amp;"]"&amp;E922&amp;"'!"&amp;$X$2),G922=INDIRECT("'["&amp;G922&amp;"]"&amp;E922&amp;"'!"&amp;$X$3)),INDIRECT("'["&amp;G922&amp;"]"&amp;E922&amp;"'!"&amp;$X$1),0)</f>
        <v>#VALUE!</v>
      </c>
      <c r="I922" s="25" t="str">
        <f t="shared" si="238"/>
        <v/>
      </c>
      <c r="J922" s="32" t="str">
        <f t="shared" si="239"/>
        <v/>
      </c>
      <c r="K922" s="25" t="str">
        <f t="shared" si="240"/>
        <v/>
      </c>
      <c r="L922" s="25" t="str">
        <f t="shared" si="241"/>
        <v/>
      </c>
      <c r="M922" s="33" t="e" cm="1">
        <f t="array" aca="1" ref="M922" ca="1">IF(AND(J922=INDIRECT("'["&amp;G922&amp;"]"&amp;E922&amp;"'!"&amp;$Y$2),G922=INDIRECT("'["&amp;G922&amp;"]"&amp;E922&amp;"'!"&amp;$AH$2)),INDIRECT("'["&amp;G922&amp;"]"&amp;E922&amp;"'!"&amp;$Y$3),0)</f>
        <v>#VALUE!</v>
      </c>
      <c r="N922" s="34" t="e" cm="1">
        <f t="array" aca="1" ref="N922" ca="1">IF(AND(G922=INDIRECT("'["&amp;G922&amp;"]"&amp;E922&amp;"'!"&amp;$AH$2),OR(K922=INDIRECT("'["&amp;G922&amp;"]"&amp;E922&amp;"'!"&amp;$Z$2))),INDIRECT("'["&amp;G922&amp;"]"&amp;E922&amp;"'!"&amp;$Z$3),0)</f>
        <v>#VALUE!</v>
      </c>
      <c r="O922" s="34" t="e" cm="1">
        <f t="array" aca="1" ref="O922" ca="1">IF(AND(G922=INDIRECT("'["&amp;G922&amp;"]"&amp;E922&amp;"'!"&amp;$AH$2),OR(L922=INDIRECT("'["&amp;G922&amp;"]"&amp;E922&amp;"'!"&amp;$AA$2))),INDIRECT("'["&amp;G922&amp;"]"&amp;E922&amp;"'!"&amp;$AA$3),0)</f>
        <v>#VALUE!</v>
      </c>
      <c r="P922" s="34" t="e" cm="1">
        <f t="array" aca="1" ref="P922" ca="1">IF(AND(G922=INDIRECT("'["&amp;G922&amp;"]"&amp;E922&amp;"'!"&amp;$AH$2),OR(VALUE(I922)=INDIRECT("'["&amp;G922&amp;"]"&amp;E922&amp;"'!"&amp;$AB$2))),INDIRECT("'["&amp;G922&amp;"]"&amp;E922&amp;"'!"&amp;$AB$3),0)</f>
        <v>#VALUE!</v>
      </c>
      <c r="Q922" s="34" t="e" cm="1">
        <f t="array" aca="1" ref="Q922" ca="1">IF(AND(G922=INDIRECT("'["&amp;G922&amp;"]"&amp;E922&amp;"'!"&amp;$AH$2),OR(VALUE(I922)=INDIRECT("'["&amp;G922&amp;"]"&amp;E922&amp;"'!"&amp;$AC$2))),INDIRECT("'["&amp;G922&amp;"]"&amp;E922&amp;"'!"&amp;$AC$3),0)</f>
        <v>#VALUE!</v>
      </c>
      <c r="R922" s="34" t="e" cm="1">
        <f t="array" aca="1" ref="R922" ca="1">IF(AND(G922=INDIRECT("'["&amp;G922&amp;"]"&amp;E922&amp;"'!"&amp;$AH$2),OR(I922=INDIRECT("'["&amp;G922&amp;"]"&amp;E922&amp;"'!"&amp;$AD$2))),INDIRECT("'["&amp;G922&amp;"]"&amp;E922&amp;"'!"&amp;$AD$3),0)</f>
        <v>#VALUE!</v>
      </c>
      <c r="S922" s="34" t="e" cm="1">
        <f t="array" aca="1" ref="S922" ca="1">IF(AND(G922=INDIRECT("'["&amp;G922&amp;"]"&amp;E922&amp;"'!"&amp;$AH$2),OR(I922=INDIRECT("'["&amp;G922&amp;"]"&amp;E922&amp;"'!"&amp;$AE$2))),INDIRECT("'["&amp;G922&amp;"]"&amp;E922&amp;"'!"&amp;$AE$3),0)</f>
        <v>#VALUE!</v>
      </c>
      <c r="T922" s="35" t="e" cm="1">
        <f t="array" aca="1" ref="T922" ca="1">IF(AND(G922=INDIRECT("'["&amp;G922&amp;"]"&amp;E922&amp;"'!"&amp;$AH$2),OR(I922=INDIRECT("'["&amp;G922&amp;"]"&amp;E922&amp;"'!"&amp;$AF$2))),INDIRECT("'["&amp;G922&amp;"]"&amp;E922&amp;"'!"&amp;$AF$3),0)</f>
        <v>#VALUE!</v>
      </c>
      <c r="U922" s="34" t="e" cm="1">
        <f t="array" aca="1" ref="U922" ca="1">IF(AND(G922=INDIRECT("'["&amp;G922&amp;"]"&amp;E922&amp;"'!"&amp;$AH$2),OR(I922=INDIRECT("'["&amp;G922&amp;"]"&amp;E922&amp;"'!"&amp;$AG$2))),INDIRECT("'["&amp;G922&amp;"]"&amp;E922&amp;"'!"&amp;$AG$3),0)</f>
        <v>#VALUE!</v>
      </c>
      <c r="V922" s="25" t="str">
        <f t="shared" si="242"/>
        <v/>
      </c>
      <c r="W922" s="36" t="e" cm="1">
        <f t="array" aca="1" ref="W922" ca="1">IF(AND(G922=INDIRECT("'["&amp;G922&amp;"]"&amp;E922&amp;"'!"&amp;$AH$2),OR(V922=INDIRECT("'["&amp;G922&amp;"]"&amp;E922&amp;"'!"&amp;$AI$2))),INDIRECT("'["&amp;G922&amp;"]"&amp;E922&amp;"'!"&amp;$AI$3),0)</f>
        <v>#VALUE!</v>
      </c>
      <c r="AJ922" s="25">
        <v>1</v>
      </c>
      <c r="AK922" s="38">
        <f t="shared" ca="1" si="243"/>
        <v>0</v>
      </c>
      <c r="AL922" s="38">
        <f t="shared" ca="1" si="244"/>
        <v>0</v>
      </c>
      <c r="AM922" s="54" t="str">
        <f t="shared" ca="1" si="245"/>
        <v/>
      </c>
      <c r="AN922" s="25" t="e">
        <f t="shared" ca="1" si="246"/>
        <v>#VALUE!</v>
      </c>
      <c r="AO922" s="25" t="e">
        <f t="shared" ca="1" si="247"/>
        <v>#VALUE!</v>
      </c>
      <c r="AQ922" s="46" t="str">
        <f ca="1">IF(AND(C922&lt;&gt;0, C923=0), SUM($C$2:C922)-SUM($AQ$1:AQ921), "")</f>
        <v/>
      </c>
      <c r="AR922" s="46" t="str">
        <f ca="1">IF(AND(AK922&lt;&gt;0, AK923=0), SUM($AK$2:AK922)-SUM($AR$1:AR921), "")</f>
        <v/>
      </c>
    </row>
    <row r="923" spans="2:44" ht="13.15" customHeight="1">
      <c r="B923" s="68" t="str">
        <f t="shared" si="233"/>
        <v/>
      </c>
      <c r="C923" s="55" cm="1">
        <f t="array" aca="1" ref="C923" ca="1">SUM(IF(ISNUMBER(M923:U923),M923:U923,""))</f>
        <v>0</v>
      </c>
      <c r="D923" s="25" t="str">
        <f t="shared" si="234"/>
        <v/>
      </c>
      <c r="E923" s="25" t="e">
        <f t="shared" si="235"/>
        <v>#VALUE!</v>
      </c>
      <c r="F923" s="25" t="str">
        <f t="shared" si="236"/>
        <v/>
      </c>
      <c r="G923" s="25" t="str">
        <f t="shared" si="237"/>
        <v>.xlsx</v>
      </c>
      <c r="H923" s="29" t="e" cm="1">
        <f t="array" aca="1" ref="H923" ca="1">IF(AND(VALUE(E923)=INDIRECT("'["&amp;G923&amp;"]"&amp;E923&amp;"'!"&amp;$X$2),G923=INDIRECT("'["&amp;G923&amp;"]"&amp;E923&amp;"'!"&amp;$X$3)),INDIRECT("'["&amp;G923&amp;"]"&amp;E923&amp;"'!"&amp;$X$1),0)</f>
        <v>#VALUE!</v>
      </c>
      <c r="I923" s="25" t="str">
        <f t="shared" si="238"/>
        <v/>
      </c>
      <c r="J923" s="32" t="str">
        <f t="shared" si="239"/>
        <v/>
      </c>
      <c r="K923" s="25" t="str">
        <f t="shared" si="240"/>
        <v/>
      </c>
      <c r="L923" s="25" t="str">
        <f t="shared" si="241"/>
        <v/>
      </c>
      <c r="M923" s="33" t="e" cm="1">
        <f t="array" aca="1" ref="M923" ca="1">IF(AND(J923=INDIRECT("'["&amp;G923&amp;"]"&amp;E923&amp;"'!"&amp;$Y$2),G923=INDIRECT("'["&amp;G923&amp;"]"&amp;E923&amp;"'!"&amp;$AH$2)),INDIRECT("'["&amp;G923&amp;"]"&amp;E923&amp;"'!"&amp;$Y$3),0)</f>
        <v>#VALUE!</v>
      </c>
      <c r="N923" s="34" t="e" cm="1">
        <f t="array" aca="1" ref="N923" ca="1">IF(AND(G923=INDIRECT("'["&amp;G923&amp;"]"&amp;E923&amp;"'!"&amp;$AH$2),OR(K923=INDIRECT("'["&amp;G923&amp;"]"&amp;E923&amp;"'!"&amp;$Z$2))),INDIRECT("'["&amp;G923&amp;"]"&amp;E923&amp;"'!"&amp;$Z$3),0)</f>
        <v>#VALUE!</v>
      </c>
      <c r="O923" s="34" t="e" cm="1">
        <f t="array" aca="1" ref="O923" ca="1">IF(AND(G923=INDIRECT("'["&amp;G923&amp;"]"&amp;E923&amp;"'!"&amp;$AH$2),OR(L923=INDIRECT("'["&amp;G923&amp;"]"&amp;E923&amp;"'!"&amp;$AA$2))),INDIRECT("'["&amp;G923&amp;"]"&amp;E923&amp;"'!"&amp;$AA$3),0)</f>
        <v>#VALUE!</v>
      </c>
      <c r="P923" s="34" t="e" cm="1">
        <f t="array" aca="1" ref="P923" ca="1">IF(AND(G923=INDIRECT("'["&amp;G923&amp;"]"&amp;E923&amp;"'!"&amp;$AH$2),OR(VALUE(I923)=INDIRECT("'["&amp;G923&amp;"]"&amp;E923&amp;"'!"&amp;$AB$2))),INDIRECT("'["&amp;G923&amp;"]"&amp;E923&amp;"'!"&amp;$AB$3),0)</f>
        <v>#VALUE!</v>
      </c>
      <c r="Q923" s="34" t="e" cm="1">
        <f t="array" aca="1" ref="Q923" ca="1">IF(AND(G923=INDIRECT("'["&amp;G923&amp;"]"&amp;E923&amp;"'!"&amp;$AH$2),OR(VALUE(I923)=INDIRECT("'["&amp;G923&amp;"]"&amp;E923&amp;"'!"&amp;$AC$2))),INDIRECT("'["&amp;G923&amp;"]"&amp;E923&amp;"'!"&amp;$AC$3),0)</f>
        <v>#VALUE!</v>
      </c>
      <c r="R923" s="34" t="e" cm="1">
        <f t="array" aca="1" ref="R923" ca="1">IF(AND(G923=INDIRECT("'["&amp;G923&amp;"]"&amp;E923&amp;"'!"&amp;$AH$2),OR(I923=INDIRECT("'["&amp;G923&amp;"]"&amp;E923&amp;"'!"&amp;$AD$2))),INDIRECT("'["&amp;G923&amp;"]"&amp;E923&amp;"'!"&amp;$AD$3),0)</f>
        <v>#VALUE!</v>
      </c>
      <c r="S923" s="34" t="e" cm="1">
        <f t="array" aca="1" ref="S923" ca="1">IF(AND(G923=INDIRECT("'["&amp;G923&amp;"]"&amp;E923&amp;"'!"&amp;$AH$2),OR(I923=INDIRECT("'["&amp;G923&amp;"]"&amp;E923&amp;"'!"&amp;$AE$2))),INDIRECT("'["&amp;G923&amp;"]"&amp;E923&amp;"'!"&amp;$AE$3),0)</f>
        <v>#VALUE!</v>
      </c>
      <c r="T923" s="35" t="e" cm="1">
        <f t="array" aca="1" ref="T923" ca="1">IF(AND(G923=INDIRECT("'["&amp;G923&amp;"]"&amp;E923&amp;"'!"&amp;$AH$2),OR(I923=INDIRECT("'["&amp;G923&amp;"]"&amp;E923&amp;"'!"&amp;$AF$2))),INDIRECT("'["&amp;G923&amp;"]"&amp;E923&amp;"'!"&amp;$AF$3),0)</f>
        <v>#VALUE!</v>
      </c>
      <c r="U923" s="34" t="e" cm="1">
        <f t="array" aca="1" ref="U923" ca="1">IF(AND(G923=INDIRECT("'["&amp;G923&amp;"]"&amp;E923&amp;"'!"&amp;$AH$2),OR(I923=INDIRECT("'["&amp;G923&amp;"]"&amp;E923&amp;"'!"&amp;$AG$2))),INDIRECT("'["&amp;G923&amp;"]"&amp;E923&amp;"'!"&amp;$AG$3),0)</f>
        <v>#VALUE!</v>
      </c>
      <c r="V923" s="25" t="str">
        <f t="shared" si="242"/>
        <v/>
      </c>
      <c r="W923" s="36" t="e" cm="1">
        <f t="array" aca="1" ref="W923" ca="1">IF(AND(G923=INDIRECT("'["&amp;G923&amp;"]"&amp;E923&amp;"'!"&amp;$AH$2),OR(V923=INDIRECT("'["&amp;G923&amp;"]"&amp;E923&amp;"'!"&amp;$AI$2))),INDIRECT("'["&amp;G923&amp;"]"&amp;E923&amp;"'!"&amp;$AI$3),0)</f>
        <v>#VALUE!</v>
      </c>
      <c r="AJ923" s="25">
        <v>1</v>
      </c>
      <c r="AK923" s="38">
        <f t="shared" ca="1" si="243"/>
        <v>0</v>
      </c>
      <c r="AL923" s="38">
        <f t="shared" ca="1" si="244"/>
        <v>0</v>
      </c>
      <c r="AM923" s="54" t="str">
        <f t="shared" ca="1" si="245"/>
        <v/>
      </c>
      <c r="AN923" s="25" t="e">
        <f t="shared" ca="1" si="246"/>
        <v>#VALUE!</v>
      </c>
      <c r="AO923" s="25" t="e">
        <f t="shared" ca="1" si="247"/>
        <v>#VALUE!</v>
      </c>
      <c r="AQ923" s="46" t="str">
        <f ca="1">IF(AND(C923&lt;&gt;0, C924=0), SUM($C$2:C923)-SUM($AQ$1:AQ922), "")</f>
        <v/>
      </c>
      <c r="AR923" s="46" t="str">
        <f ca="1">IF(AND(AK923&lt;&gt;0, AK924=0), SUM($AK$2:AK923)-SUM($AR$1:AR922), "")</f>
        <v/>
      </c>
    </row>
    <row r="924" spans="2:44" ht="13.15" customHeight="1">
      <c r="B924" s="68" t="str">
        <f t="shared" si="233"/>
        <v/>
      </c>
      <c r="C924" s="55" cm="1">
        <f t="array" aca="1" ref="C924" ca="1">SUM(IF(ISNUMBER(M924:U924),M924:U924,""))</f>
        <v>0</v>
      </c>
      <c r="D924" s="25" t="str">
        <f t="shared" si="234"/>
        <v/>
      </c>
      <c r="E924" s="25" t="e">
        <f t="shared" si="235"/>
        <v>#VALUE!</v>
      </c>
      <c r="F924" s="25" t="str">
        <f t="shared" si="236"/>
        <v/>
      </c>
      <c r="G924" s="25" t="str">
        <f t="shared" si="237"/>
        <v>.xlsx</v>
      </c>
      <c r="H924" s="29" t="e" cm="1">
        <f t="array" aca="1" ref="H924" ca="1">IF(AND(VALUE(E924)=INDIRECT("'["&amp;G924&amp;"]"&amp;E924&amp;"'!"&amp;$X$2),G924=INDIRECT("'["&amp;G924&amp;"]"&amp;E924&amp;"'!"&amp;$X$3)),INDIRECT("'["&amp;G924&amp;"]"&amp;E924&amp;"'!"&amp;$X$1),0)</f>
        <v>#VALUE!</v>
      </c>
      <c r="I924" s="25" t="str">
        <f t="shared" si="238"/>
        <v/>
      </c>
      <c r="J924" s="32" t="str">
        <f t="shared" si="239"/>
        <v/>
      </c>
      <c r="K924" s="25" t="str">
        <f t="shared" si="240"/>
        <v/>
      </c>
      <c r="L924" s="25" t="str">
        <f t="shared" si="241"/>
        <v/>
      </c>
      <c r="M924" s="33" t="e" cm="1">
        <f t="array" aca="1" ref="M924" ca="1">IF(AND(J924=INDIRECT("'["&amp;G924&amp;"]"&amp;E924&amp;"'!"&amp;$Y$2),G924=INDIRECT("'["&amp;G924&amp;"]"&amp;E924&amp;"'!"&amp;$AH$2)),INDIRECT("'["&amp;G924&amp;"]"&amp;E924&amp;"'!"&amp;$Y$3),0)</f>
        <v>#VALUE!</v>
      </c>
      <c r="N924" s="34" t="e" cm="1">
        <f t="array" aca="1" ref="N924" ca="1">IF(AND(G924=INDIRECT("'["&amp;G924&amp;"]"&amp;E924&amp;"'!"&amp;$AH$2),OR(K924=INDIRECT("'["&amp;G924&amp;"]"&amp;E924&amp;"'!"&amp;$Z$2))),INDIRECT("'["&amp;G924&amp;"]"&amp;E924&amp;"'!"&amp;$Z$3),0)</f>
        <v>#VALUE!</v>
      </c>
      <c r="O924" s="34" t="e" cm="1">
        <f t="array" aca="1" ref="O924" ca="1">IF(AND(G924=INDIRECT("'["&amp;G924&amp;"]"&amp;E924&amp;"'!"&amp;$AH$2),OR(L924=INDIRECT("'["&amp;G924&amp;"]"&amp;E924&amp;"'!"&amp;$AA$2))),INDIRECT("'["&amp;G924&amp;"]"&amp;E924&amp;"'!"&amp;$AA$3),0)</f>
        <v>#VALUE!</v>
      </c>
      <c r="P924" s="34" t="e" cm="1">
        <f t="array" aca="1" ref="P924" ca="1">IF(AND(G924=INDIRECT("'["&amp;G924&amp;"]"&amp;E924&amp;"'!"&amp;$AH$2),OR(VALUE(I924)=INDIRECT("'["&amp;G924&amp;"]"&amp;E924&amp;"'!"&amp;$AB$2))),INDIRECT("'["&amp;G924&amp;"]"&amp;E924&amp;"'!"&amp;$AB$3),0)</f>
        <v>#VALUE!</v>
      </c>
      <c r="Q924" s="34" t="e" cm="1">
        <f t="array" aca="1" ref="Q924" ca="1">IF(AND(G924=INDIRECT("'["&amp;G924&amp;"]"&amp;E924&amp;"'!"&amp;$AH$2),OR(VALUE(I924)=INDIRECT("'["&amp;G924&amp;"]"&amp;E924&amp;"'!"&amp;$AC$2))),INDIRECT("'["&amp;G924&amp;"]"&amp;E924&amp;"'!"&amp;$AC$3),0)</f>
        <v>#VALUE!</v>
      </c>
      <c r="R924" s="34" t="e" cm="1">
        <f t="array" aca="1" ref="R924" ca="1">IF(AND(G924=INDIRECT("'["&amp;G924&amp;"]"&amp;E924&amp;"'!"&amp;$AH$2),OR(I924=INDIRECT("'["&amp;G924&amp;"]"&amp;E924&amp;"'!"&amp;$AD$2))),INDIRECT("'["&amp;G924&amp;"]"&amp;E924&amp;"'!"&amp;$AD$3),0)</f>
        <v>#VALUE!</v>
      </c>
      <c r="S924" s="34" t="e" cm="1">
        <f t="array" aca="1" ref="S924" ca="1">IF(AND(G924=INDIRECT("'["&amp;G924&amp;"]"&amp;E924&amp;"'!"&amp;$AH$2),OR(I924=INDIRECT("'["&amp;G924&amp;"]"&amp;E924&amp;"'!"&amp;$AE$2))),INDIRECT("'["&amp;G924&amp;"]"&amp;E924&amp;"'!"&amp;$AE$3),0)</f>
        <v>#VALUE!</v>
      </c>
      <c r="T924" s="35" t="e" cm="1">
        <f t="array" aca="1" ref="T924" ca="1">IF(AND(G924=INDIRECT("'["&amp;G924&amp;"]"&amp;E924&amp;"'!"&amp;$AH$2),OR(I924=INDIRECT("'["&amp;G924&amp;"]"&amp;E924&amp;"'!"&amp;$AF$2))),INDIRECT("'["&amp;G924&amp;"]"&amp;E924&amp;"'!"&amp;$AF$3),0)</f>
        <v>#VALUE!</v>
      </c>
      <c r="U924" s="34" t="e" cm="1">
        <f t="array" aca="1" ref="U924" ca="1">IF(AND(G924=INDIRECT("'["&amp;G924&amp;"]"&amp;E924&amp;"'!"&amp;$AH$2),OR(I924=INDIRECT("'["&amp;G924&amp;"]"&amp;E924&amp;"'!"&amp;$AG$2))),INDIRECT("'["&amp;G924&amp;"]"&amp;E924&amp;"'!"&amp;$AG$3),0)</f>
        <v>#VALUE!</v>
      </c>
      <c r="V924" s="25" t="str">
        <f t="shared" si="242"/>
        <v/>
      </c>
      <c r="W924" s="36" t="e" cm="1">
        <f t="array" aca="1" ref="W924" ca="1">IF(AND(G924=INDIRECT("'["&amp;G924&amp;"]"&amp;E924&amp;"'!"&amp;$AH$2),OR(V924=INDIRECT("'["&amp;G924&amp;"]"&amp;E924&amp;"'!"&amp;$AI$2))),INDIRECT("'["&amp;G924&amp;"]"&amp;E924&amp;"'!"&amp;$AI$3),0)</f>
        <v>#VALUE!</v>
      </c>
      <c r="AJ924" s="25">
        <v>1</v>
      </c>
      <c r="AK924" s="38">
        <f t="shared" ca="1" si="243"/>
        <v>0</v>
      </c>
      <c r="AL924" s="38">
        <f t="shared" ca="1" si="244"/>
        <v>0</v>
      </c>
      <c r="AM924" s="54" t="str">
        <f t="shared" ca="1" si="245"/>
        <v/>
      </c>
      <c r="AN924" s="25" t="e">
        <f t="shared" ca="1" si="246"/>
        <v>#VALUE!</v>
      </c>
      <c r="AO924" s="25" t="e">
        <f t="shared" ca="1" si="247"/>
        <v>#VALUE!</v>
      </c>
      <c r="AQ924" s="46" t="str">
        <f ca="1">IF(AND(C924&lt;&gt;0, C925=0), SUM($C$2:C924)-SUM($AQ$1:AQ923), "")</f>
        <v/>
      </c>
      <c r="AR924" s="46" t="str">
        <f ca="1">IF(AND(AK924&lt;&gt;0, AK925=0), SUM($AK$2:AK924)-SUM($AR$1:AR923), "")</f>
        <v/>
      </c>
    </row>
    <row r="925" spans="2:44" ht="13.15" customHeight="1">
      <c r="B925" s="68" t="str">
        <f t="shared" si="233"/>
        <v/>
      </c>
      <c r="C925" s="55" cm="1">
        <f t="array" aca="1" ref="C925" ca="1">SUM(IF(ISNUMBER(M925:U925),M925:U925,""))</f>
        <v>0</v>
      </c>
      <c r="D925" s="25" t="str">
        <f t="shared" si="234"/>
        <v/>
      </c>
      <c r="E925" s="25" t="e">
        <f t="shared" si="235"/>
        <v>#VALUE!</v>
      </c>
      <c r="F925" s="25" t="str">
        <f t="shared" si="236"/>
        <v/>
      </c>
      <c r="G925" s="25" t="str">
        <f t="shared" si="237"/>
        <v>.xlsx</v>
      </c>
      <c r="H925" s="29" t="e" cm="1">
        <f t="array" aca="1" ref="H925" ca="1">IF(AND(VALUE(E925)=INDIRECT("'["&amp;G925&amp;"]"&amp;E925&amp;"'!"&amp;$X$2),G925=INDIRECT("'["&amp;G925&amp;"]"&amp;E925&amp;"'!"&amp;$X$3)),INDIRECT("'["&amp;G925&amp;"]"&amp;E925&amp;"'!"&amp;$X$1),0)</f>
        <v>#VALUE!</v>
      </c>
      <c r="I925" s="25" t="str">
        <f t="shared" si="238"/>
        <v/>
      </c>
      <c r="J925" s="32" t="str">
        <f t="shared" si="239"/>
        <v/>
      </c>
      <c r="K925" s="25" t="str">
        <f t="shared" si="240"/>
        <v/>
      </c>
      <c r="L925" s="25" t="str">
        <f t="shared" si="241"/>
        <v/>
      </c>
      <c r="M925" s="33" t="e" cm="1">
        <f t="array" aca="1" ref="M925" ca="1">IF(AND(J925=INDIRECT("'["&amp;G925&amp;"]"&amp;E925&amp;"'!"&amp;$Y$2),G925=INDIRECT("'["&amp;G925&amp;"]"&amp;E925&amp;"'!"&amp;$AH$2)),INDIRECT("'["&amp;G925&amp;"]"&amp;E925&amp;"'!"&amp;$Y$3),0)</f>
        <v>#VALUE!</v>
      </c>
      <c r="N925" s="34" t="e" cm="1">
        <f t="array" aca="1" ref="N925" ca="1">IF(AND(G925=INDIRECT("'["&amp;G925&amp;"]"&amp;E925&amp;"'!"&amp;$AH$2),OR(K925=INDIRECT("'["&amp;G925&amp;"]"&amp;E925&amp;"'!"&amp;$Z$2))),INDIRECT("'["&amp;G925&amp;"]"&amp;E925&amp;"'!"&amp;$Z$3),0)</f>
        <v>#VALUE!</v>
      </c>
      <c r="O925" s="34" t="e" cm="1">
        <f t="array" aca="1" ref="O925" ca="1">IF(AND(G925=INDIRECT("'["&amp;G925&amp;"]"&amp;E925&amp;"'!"&amp;$AH$2),OR(L925=INDIRECT("'["&amp;G925&amp;"]"&amp;E925&amp;"'!"&amp;$AA$2))),INDIRECT("'["&amp;G925&amp;"]"&amp;E925&amp;"'!"&amp;$AA$3),0)</f>
        <v>#VALUE!</v>
      </c>
      <c r="P925" s="34" t="e" cm="1">
        <f t="array" aca="1" ref="P925" ca="1">IF(AND(G925=INDIRECT("'["&amp;G925&amp;"]"&amp;E925&amp;"'!"&amp;$AH$2),OR(VALUE(I925)=INDIRECT("'["&amp;G925&amp;"]"&amp;E925&amp;"'!"&amp;$AB$2))),INDIRECT("'["&amp;G925&amp;"]"&amp;E925&amp;"'!"&amp;$AB$3),0)</f>
        <v>#VALUE!</v>
      </c>
      <c r="Q925" s="34" t="e" cm="1">
        <f t="array" aca="1" ref="Q925" ca="1">IF(AND(G925=INDIRECT("'["&amp;G925&amp;"]"&amp;E925&amp;"'!"&amp;$AH$2),OR(VALUE(I925)=INDIRECT("'["&amp;G925&amp;"]"&amp;E925&amp;"'!"&amp;$AC$2))),INDIRECT("'["&amp;G925&amp;"]"&amp;E925&amp;"'!"&amp;$AC$3),0)</f>
        <v>#VALUE!</v>
      </c>
      <c r="R925" s="34" t="e" cm="1">
        <f t="array" aca="1" ref="R925" ca="1">IF(AND(G925=INDIRECT("'["&amp;G925&amp;"]"&amp;E925&amp;"'!"&amp;$AH$2),OR(I925=INDIRECT("'["&amp;G925&amp;"]"&amp;E925&amp;"'!"&amp;$AD$2))),INDIRECT("'["&amp;G925&amp;"]"&amp;E925&amp;"'!"&amp;$AD$3),0)</f>
        <v>#VALUE!</v>
      </c>
      <c r="S925" s="34" t="e" cm="1">
        <f t="array" aca="1" ref="S925" ca="1">IF(AND(G925=INDIRECT("'["&amp;G925&amp;"]"&amp;E925&amp;"'!"&amp;$AH$2),OR(I925=INDIRECT("'["&amp;G925&amp;"]"&amp;E925&amp;"'!"&amp;$AE$2))),INDIRECT("'["&amp;G925&amp;"]"&amp;E925&amp;"'!"&amp;$AE$3),0)</f>
        <v>#VALUE!</v>
      </c>
      <c r="T925" s="35" t="e" cm="1">
        <f t="array" aca="1" ref="T925" ca="1">IF(AND(G925=INDIRECT("'["&amp;G925&amp;"]"&amp;E925&amp;"'!"&amp;$AH$2),OR(I925=INDIRECT("'["&amp;G925&amp;"]"&amp;E925&amp;"'!"&amp;$AF$2))),INDIRECT("'["&amp;G925&amp;"]"&amp;E925&amp;"'!"&amp;$AF$3),0)</f>
        <v>#VALUE!</v>
      </c>
      <c r="U925" s="34" t="e" cm="1">
        <f t="array" aca="1" ref="U925" ca="1">IF(AND(G925=INDIRECT("'["&amp;G925&amp;"]"&amp;E925&amp;"'!"&amp;$AH$2),OR(I925=INDIRECT("'["&amp;G925&amp;"]"&amp;E925&amp;"'!"&amp;$AG$2))),INDIRECT("'["&amp;G925&amp;"]"&amp;E925&amp;"'!"&amp;$AG$3),0)</f>
        <v>#VALUE!</v>
      </c>
      <c r="V925" s="25" t="str">
        <f t="shared" si="242"/>
        <v/>
      </c>
      <c r="W925" s="36" t="e" cm="1">
        <f t="array" aca="1" ref="W925" ca="1">IF(AND(G925=INDIRECT("'["&amp;G925&amp;"]"&amp;E925&amp;"'!"&amp;$AH$2),OR(V925=INDIRECT("'["&amp;G925&amp;"]"&amp;E925&amp;"'!"&amp;$AI$2))),INDIRECT("'["&amp;G925&amp;"]"&amp;E925&amp;"'!"&amp;$AI$3),0)</f>
        <v>#VALUE!</v>
      </c>
      <c r="AJ925" s="25">
        <v>1</v>
      </c>
      <c r="AK925" s="38">
        <f t="shared" ca="1" si="243"/>
        <v>0</v>
      </c>
      <c r="AL925" s="38">
        <f t="shared" ca="1" si="244"/>
        <v>0</v>
      </c>
      <c r="AM925" s="54" t="str">
        <f t="shared" ca="1" si="245"/>
        <v/>
      </c>
      <c r="AN925" s="25" t="e">
        <f t="shared" ca="1" si="246"/>
        <v>#VALUE!</v>
      </c>
      <c r="AO925" s="25" t="e">
        <f t="shared" ca="1" si="247"/>
        <v>#VALUE!</v>
      </c>
      <c r="AQ925" s="46" t="str">
        <f ca="1">IF(AND(C925&lt;&gt;0, C926=0), SUM($C$2:C925)-SUM($AQ$1:AQ924), "")</f>
        <v/>
      </c>
      <c r="AR925" s="46" t="str">
        <f ca="1">IF(AND(AK925&lt;&gt;0, AK926=0), SUM($AK$2:AK925)-SUM($AR$1:AR924), "")</f>
        <v/>
      </c>
    </row>
    <row r="926" spans="2:44" ht="13.15" customHeight="1">
      <c r="B926" s="68" t="str">
        <f t="shared" si="233"/>
        <v/>
      </c>
      <c r="C926" s="55" cm="1">
        <f t="array" aca="1" ref="C926" ca="1">SUM(IF(ISNUMBER(M926:U926),M926:U926,""))</f>
        <v>0</v>
      </c>
      <c r="D926" s="25" t="str">
        <f t="shared" si="234"/>
        <v/>
      </c>
      <c r="E926" s="25" t="e">
        <f t="shared" si="235"/>
        <v>#VALUE!</v>
      </c>
      <c r="F926" s="25" t="str">
        <f t="shared" si="236"/>
        <v/>
      </c>
      <c r="G926" s="25" t="str">
        <f t="shared" si="237"/>
        <v>.xlsx</v>
      </c>
      <c r="H926" s="29" t="e" cm="1">
        <f t="array" aca="1" ref="H926" ca="1">IF(AND(VALUE(E926)=INDIRECT("'["&amp;G926&amp;"]"&amp;E926&amp;"'!"&amp;$X$2),G926=INDIRECT("'["&amp;G926&amp;"]"&amp;E926&amp;"'!"&amp;$X$3)),INDIRECT("'["&amp;G926&amp;"]"&amp;E926&amp;"'!"&amp;$X$1),0)</f>
        <v>#VALUE!</v>
      </c>
      <c r="I926" s="25" t="str">
        <f t="shared" si="238"/>
        <v/>
      </c>
      <c r="J926" s="32" t="str">
        <f t="shared" si="239"/>
        <v/>
      </c>
      <c r="K926" s="25" t="str">
        <f t="shared" si="240"/>
        <v/>
      </c>
      <c r="L926" s="25" t="str">
        <f t="shared" si="241"/>
        <v/>
      </c>
      <c r="M926" s="33" t="e" cm="1">
        <f t="array" aca="1" ref="M926" ca="1">IF(AND(J926=INDIRECT("'["&amp;G926&amp;"]"&amp;E926&amp;"'!"&amp;$Y$2),G926=INDIRECT("'["&amp;G926&amp;"]"&amp;E926&amp;"'!"&amp;$AH$2)),INDIRECT("'["&amp;G926&amp;"]"&amp;E926&amp;"'!"&amp;$Y$3),0)</f>
        <v>#VALUE!</v>
      </c>
      <c r="N926" s="34" t="e" cm="1">
        <f t="array" aca="1" ref="N926" ca="1">IF(AND(G926=INDIRECT("'["&amp;G926&amp;"]"&amp;E926&amp;"'!"&amp;$AH$2),OR(K926=INDIRECT("'["&amp;G926&amp;"]"&amp;E926&amp;"'!"&amp;$Z$2))),INDIRECT("'["&amp;G926&amp;"]"&amp;E926&amp;"'!"&amp;$Z$3),0)</f>
        <v>#VALUE!</v>
      </c>
      <c r="O926" s="34" t="e" cm="1">
        <f t="array" aca="1" ref="O926" ca="1">IF(AND(G926=INDIRECT("'["&amp;G926&amp;"]"&amp;E926&amp;"'!"&amp;$AH$2),OR(L926=INDIRECT("'["&amp;G926&amp;"]"&amp;E926&amp;"'!"&amp;$AA$2))),INDIRECT("'["&amp;G926&amp;"]"&amp;E926&amp;"'!"&amp;$AA$3),0)</f>
        <v>#VALUE!</v>
      </c>
      <c r="P926" s="34" t="e" cm="1">
        <f t="array" aca="1" ref="P926" ca="1">IF(AND(G926=INDIRECT("'["&amp;G926&amp;"]"&amp;E926&amp;"'!"&amp;$AH$2),OR(VALUE(I926)=INDIRECT("'["&amp;G926&amp;"]"&amp;E926&amp;"'!"&amp;$AB$2))),INDIRECT("'["&amp;G926&amp;"]"&amp;E926&amp;"'!"&amp;$AB$3),0)</f>
        <v>#VALUE!</v>
      </c>
      <c r="Q926" s="34" t="e" cm="1">
        <f t="array" aca="1" ref="Q926" ca="1">IF(AND(G926=INDIRECT("'["&amp;G926&amp;"]"&amp;E926&amp;"'!"&amp;$AH$2),OR(VALUE(I926)=INDIRECT("'["&amp;G926&amp;"]"&amp;E926&amp;"'!"&amp;$AC$2))),INDIRECT("'["&amp;G926&amp;"]"&amp;E926&amp;"'!"&amp;$AC$3),0)</f>
        <v>#VALUE!</v>
      </c>
      <c r="R926" s="34" t="e" cm="1">
        <f t="array" aca="1" ref="R926" ca="1">IF(AND(G926=INDIRECT("'["&amp;G926&amp;"]"&amp;E926&amp;"'!"&amp;$AH$2),OR(I926=INDIRECT("'["&amp;G926&amp;"]"&amp;E926&amp;"'!"&amp;$AD$2))),INDIRECT("'["&amp;G926&amp;"]"&amp;E926&amp;"'!"&amp;$AD$3),0)</f>
        <v>#VALUE!</v>
      </c>
      <c r="S926" s="34" t="e" cm="1">
        <f t="array" aca="1" ref="S926" ca="1">IF(AND(G926=INDIRECT("'["&amp;G926&amp;"]"&amp;E926&amp;"'!"&amp;$AH$2),OR(I926=INDIRECT("'["&amp;G926&amp;"]"&amp;E926&amp;"'!"&amp;$AE$2))),INDIRECT("'["&amp;G926&amp;"]"&amp;E926&amp;"'!"&amp;$AE$3),0)</f>
        <v>#VALUE!</v>
      </c>
      <c r="T926" s="35" t="e" cm="1">
        <f t="array" aca="1" ref="T926" ca="1">IF(AND(G926=INDIRECT("'["&amp;G926&amp;"]"&amp;E926&amp;"'!"&amp;$AH$2),OR(I926=INDIRECT("'["&amp;G926&amp;"]"&amp;E926&amp;"'!"&amp;$AF$2))),INDIRECT("'["&amp;G926&amp;"]"&amp;E926&amp;"'!"&amp;$AF$3),0)</f>
        <v>#VALUE!</v>
      </c>
      <c r="U926" s="34" t="e" cm="1">
        <f t="array" aca="1" ref="U926" ca="1">IF(AND(G926=INDIRECT("'["&amp;G926&amp;"]"&amp;E926&amp;"'!"&amp;$AH$2),OR(I926=INDIRECT("'["&amp;G926&amp;"]"&amp;E926&amp;"'!"&amp;$AG$2))),INDIRECT("'["&amp;G926&amp;"]"&amp;E926&amp;"'!"&amp;$AG$3),0)</f>
        <v>#VALUE!</v>
      </c>
      <c r="V926" s="25" t="str">
        <f t="shared" si="242"/>
        <v/>
      </c>
      <c r="W926" s="36" t="e" cm="1">
        <f t="array" aca="1" ref="W926" ca="1">IF(AND(G926=INDIRECT("'["&amp;G926&amp;"]"&amp;E926&amp;"'!"&amp;$AH$2),OR(V926=INDIRECT("'["&amp;G926&amp;"]"&amp;E926&amp;"'!"&amp;$AI$2))),INDIRECT("'["&amp;G926&amp;"]"&amp;E926&amp;"'!"&amp;$AI$3),0)</f>
        <v>#VALUE!</v>
      </c>
      <c r="AJ926" s="25">
        <v>1</v>
      </c>
      <c r="AK926" s="38">
        <f t="shared" ca="1" si="243"/>
        <v>0</v>
      </c>
      <c r="AL926" s="38">
        <f t="shared" ca="1" si="244"/>
        <v>0</v>
      </c>
      <c r="AM926" s="54" t="str">
        <f t="shared" ca="1" si="245"/>
        <v/>
      </c>
      <c r="AN926" s="25" t="e">
        <f t="shared" ca="1" si="246"/>
        <v>#VALUE!</v>
      </c>
      <c r="AO926" s="25" t="e">
        <f t="shared" ca="1" si="247"/>
        <v>#VALUE!</v>
      </c>
      <c r="AQ926" s="46" t="str">
        <f ca="1">IF(AND(C926&lt;&gt;0, C927=0), SUM($C$2:C926)-SUM($AQ$1:AQ925), "")</f>
        <v/>
      </c>
      <c r="AR926" s="46" t="str">
        <f ca="1">IF(AND(AK926&lt;&gt;0, AK927=0), SUM($AK$2:AK926)-SUM($AR$1:AR925), "")</f>
        <v/>
      </c>
    </row>
    <row r="927" spans="2:44" ht="13.15" customHeight="1">
      <c r="B927" s="68" t="str">
        <f t="shared" si="233"/>
        <v/>
      </c>
      <c r="C927" s="55" cm="1">
        <f t="array" aca="1" ref="C927" ca="1">SUM(IF(ISNUMBER(M927:U927),M927:U927,""))</f>
        <v>0</v>
      </c>
      <c r="D927" s="25" t="str">
        <f t="shared" si="234"/>
        <v/>
      </c>
      <c r="E927" s="25" t="e">
        <f t="shared" si="235"/>
        <v>#VALUE!</v>
      </c>
      <c r="F927" s="25" t="str">
        <f t="shared" si="236"/>
        <v/>
      </c>
      <c r="G927" s="25" t="str">
        <f t="shared" si="237"/>
        <v>.xlsx</v>
      </c>
      <c r="H927" s="29" t="e" cm="1">
        <f t="array" aca="1" ref="H927" ca="1">IF(AND(VALUE(E927)=INDIRECT("'["&amp;G927&amp;"]"&amp;E927&amp;"'!"&amp;$X$2),G927=INDIRECT("'["&amp;G927&amp;"]"&amp;E927&amp;"'!"&amp;$X$3)),INDIRECT("'["&amp;G927&amp;"]"&amp;E927&amp;"'!"&amp;$X$1),0)</f>
        <v>#VALUE!</v>
      </c>
      <c r="I927" s="25" t="str">
        <f t="shared" si="238"/>
        <v/>
      </c>
      <c r="J927" s="32" t="str">
        <f t="shared" si="239"/>
        <v/>
      </c>
      <c r="K927" s="25" t="str">
        <f t="shared" si="240"/>
        <v/>
      </c>
      <c r="L927" s="25" t="str">
        <f t="shared" si="241"/>
        <v/>
      </c>
      <c r="M927" s="33" t="e" cm="1">
        <f t="array" aca="1" ref="M927" ca="1">IF(AND(J927=INDIRECT("'["&amp;G927&amp;"]"&amp;E927&amp;"'!"&amp;$Y$2),G927=INDIRECT("'["&amp;G927&amp;"]"&amp;E927&amp;"'!"&amp;$AH$2)),INDIRECT("'["&amp;G927&amp;"]"&amp;E927&amp;"'!"&amp;$Y$3),0)</f>
        <v>#VALUE!</v>
      </c>
      <c r="N927" s="34" t="e" cm="1">
        <f t="array" aca="1" ref="N927" ca="1">IF(AND(G927=INDIRECT("'["&amp;G927&amp;"]"&amp;E927&amp;"'!"&amp;$AH$2),OR(K927=INDIRECT("'["&amp;G927&amp;"]"&amp;E927&amp;"'!"&amp;$Z$2))),INDIRECT("'["&amp;G927&amp;"]"&amp;E927&amp;"'!"&amp;$Z$3),0)</f>
        <v>#VALUE!</v>
      </c>
      <c r="O927" s="34" t="e" cm="1">
        <f t="array" aca="1" ref="O927" ca="1">IF(AND(G927=INDIRECT("'["&amp;G927&amp;"]"&amp;E927&amp;"'!"&amp;$AH$2),OR(L927=INDIRECT("'["&amp;G927&amp;"]"&amp;E927&amp;"'!"&amp;$AA$2))),INDIRECT("'["&amp;G927&amp;"]"&amp;E927&amp;"'!"&amp;$AA$3),0)</f>
        <v>#VALUE!</v>
      </c>
      <c r="P927" s="34" t="e" cm="1">
        <f t="array" aca="1" ref="P927" ca="1">IF(AND(G927=INDIRECT("'["&amp;G927&amp;"]"&amp;E927&amp;"'!"&amp;$AH$2),OR(VALUE(I927)=INDIRECT("'["&amp;G927&amp;"]"&amp;E927&amp;"'!"&amp;$AB$2))),INDIRECT("'["&amp;G927&amp;"]"&amp;E927&amp;"'!"&amp;$AB$3),0)</f>
        <v>#VALUE!</v>
      </c>
      <c r="Q927" s="34" t="e" cm="1">
        <f t="array" aca="1" ref="Q927" ca="1">IF(AND(G927=INDIRECT("'["&amp;G927&amp;"]"&amp;E927&amp;"'!"&amp;$AH$2),OR(VALUE(I927)=INDIRECT("'["&amp;G927&amp;"]"&amp;E927&amp;"'!"&amp;$AC$2))),INDIRECT("'["&amp;G927&amp;"]"&amp;E927&amp;"'!"&amp;$AC$3),0)</f>
        <v>#VALUE!</v>
      </c>
      <c r="R927" s="34" t="e" cm="1">
        <f t="array" aca="1" ref="R927" ca="1">IF(AND(G927=INDIRECT("'["&amp;G927&amp;"]"&amp;E927&amp;"'!"&amp;$AH$2),OR(I927=INDIRECT("'["&amp;G927&amp;"]"&amp;E927&amp;"'!"&amp;$AD$2))),INDIRECT("'["&amp;G927&amp;"]"&amp;E927&amp;"'!"&amp;$AD$3),0)</f>
        <v>#VALUE!</v>
      </c>
      <c r="S927" s="34" t="e" cm="1">
        <f t="array" aca="1" ref="S927" ca="1">IF(AND(G927=INDIRECT("'["&amp;G927&amp;"]"&amp;E927&amp;"'!"&amp;$AH$2),OR(I927=INDIRECT("'["&amp;G927&amp;"]"&amp;E927&amp;"'!"&amp;$AE$2))),INDIRECT("'["&amp;G927&amp;"]"&amp;E927&amp;"'!"&amp;$AE$3),0)</f>
        <v>#VALUE!</v>
      </c>
      <c r="T927" s="35" t="e" cm="1">
        <f t="array" aca="1" ref="T927" ca="1">IF(AND(G927=INDIRECT("'["&amp;G927&amp;"]"&amp;E927&amp;"'!"&amp;$AH$2),OR(I927=INDIRECT("'["&amp;G927&amp;"]"&amp;E927&amp;"'!"&amp;$AF$2))),INDIRECT("'["&amp;G927&amp;"]"&amp;E927&amp;"'!"&amp;$AF$3),0)</f>
        <v>#VALUE!</v>
      </c>
      <c r="U927" s="34" t="e" cm="1">
        <f t="array" aca="1" ref="U927" ca="1">IF(AND(G927=INDIRECT("'["&amp;G927&amp;"]"&amp;E927&amp;"'!"&amp;$AH$2),OR(I927=INDIRECT("'["&amp;G927&amp;"]"&amp;E927&amp;"'!"&amp;$AG$2))),INDIRECT("'["&amp;G927&amp;"]"&amp;E927&amp;"'!"&amp;$AG$3),0)</f>
        <v>#VALUE!</v>
      </c>
      <c r="V927" s="25" t="str">
        <f t="shared" si="242"/>
        <v/>
      </c>
      <c r="W927" s="36" t="e" cm="1">
        <f t="array" aca="1" ref="W927" ca="1">IF(AND(G927=INDIRECT("'["&amp;G927&amp;"]"&amp;E927&amp;"'!"&amp;$AH$2),OR(V927=INDIRECT("'["&amp;G927&amp;"]"&amp;E927&amp;"'!"&amp;$AI$2))),INDIRECT("'["&amp;G927&amp;"]"&amp;E927&amp;"'!"&amp;$AI$3),0)</f>
        <v>#VALUE!</v>
      </c>
      <c r="AJ927" s="25">
        <v>1</v>
      </c>
      <c r="AK927" s="38">
        <f t="shared" ca="1" si="243"/>
        <v>0</v>
      </c>
      <c r="AL927" s="38">
        <f t="shared" ca="1" si="244"/>
        <v>0</v>
      </c>
      <c r="AM927" s="54" t="str">
        <f t="shared" ca="1" si="245"/>
        <v/>
      </c>
      <c r="AN927" s="25" t="e">
        <f t="shared" ca="1" si="246"/>
        <v>#VALUE!</v>
      </c>
      <c r="AO927" s="25" t="e">
        <f t="shared" ca="1" si="247"/>
        <v>#VALUE!</v>
      </c>
      <c r="AQ927" s="46" t="str">
        <f ca="1">IF(AND(C927&lt;&gt;0, C928=0), SUM($C$2:C927)-SUM($AQ$1:AQ926), "")</f>
        <v/>
      </c>
      <c r="AR927" s="46" t="str">
        <f ca="1">IF(AND(AK927&lt;&gt;0, AK928=0), SUM($AK$2:AK927)-SUM($AR$1:AR926), "")</f>
        <v/>
      </c>
    </row>
    <row r="928" spans="2:44" ht="13.15" customHeight="1">
      <c r="B928" s="68" t="str">
        <f t="shared" si="233"/>
        <v/>
      </c>
      <c r="C928" s="55" cm="1">
        <f t="array" aca="1" ref="C928" ca="1">SUM(IF(ISNUMBER(M928:U928),M928:U928,""))</f>
        <v>0</v>
      </c>
      <c r="D928" s="25" t="str">
        <f t="shared" si="234"/>
        <v/>
      </c>
      <c r="E928" s="25" t="e">
        <f t="shared" si="235"/>
        <v>#VALUE!</v>
      </c>
      <c r="F928" s="25" t="str">
        <f t="shared" si="236"/>
        <v/>
      </c>
      <c r="G928" s="25" t="str">
        <f t="shared" si="237"/>
        <v>.xlsx</v>
      </c>
      <c r="H928" s="29" t="e" cm="1">
        <f t="array" aca="1" ref="H928" ca="1">IF(AND(VALUE(E928)=INDIRECT("'["&amp;G928&amp;"]"&amp;E928&amp;"'!"&amp;$X$2),G928=INDIRECT("'["&amp;G928&amp;"]"&amp;E928&amp;"'!"&amp;$X$3)),INDIRECT("'["&amp;G928&amp;"]"&amp;E928&amp;"'!"&amp;$X$1),0)</f>
        <v>#VALUE!</v>
      </c>
      <c r="I928" s="25" t="str">
        <f t="shared" si="238"/>
        <v/>
      </c>
      <c r="J928" s="32" t="str">
        <f t="shared" si="239"/>
        <v/>
      </c>
      <c r="K928" s="25" t="str">
        <f t="shared" si="240"/>
        <v/>
      </c>
      <c r="L928" s="25" t="str">
        <f t="shared" si="241"/>
        <v/>
      </c>
      <c r="M928" s="33" t="e" cm="1">
        <f t="array" aca="1" ref="M928" ca="1">IF(AND(J928=INDIRECT("'["&amp;G928&amp;"]"&amp;E928&amp;"'!"&amp;$Y$2),G928=INDIRECT("'["&amp;G928&amp;"]"&amp;E928&amp;"'!"&amp;$AH$2)),INDIRECT("'["&amp;G928&amp;"]"&amp;E928&amp;"'!"&amp;$Y$3),0)</f>
        <v>#VALUE!</v>
      </c>
      <c r="N928" s="34" t="e" cm="1">
        <f t="array" aca="1" ref="N928" ca="1">IF(AND(G928=INDIRECT("'["&amp;G928&amp;"]"&amp;E928&amp;"'!"&amp;$AH$2),OR(K928=INDIRECT("'["&amp;G928&amp;"]"&amp;E928&amp;"'!"&amp;$Z$2))),INDIRECT("'["&amp;G928&amp;"]"&amp;E928&amp;"'!"&amp;$Z$3),0)</f>
        <v>#VALUE!</v>
      </c>
      <c r="O928" s="34" t="e" cm="1">
        <f t="array" aca="1" ref="O928" ca="1">IF(AND(G928=INDIRECT("'["&amp;G928&amp;"]"&amp;E928&amp;"'!"&amp;$AH$2),OR(L928=INDIRECT("'["&amp;G928&amp;"]"&amp;E928&amp;"'!"&amp;$AA$2))),INDIRECT("'["&amp;G928&amp;"]"&amp;E928&amp;"'!"&amp;$AA$3),0)</f>
        <v>#VALUE!</v>
      </c>
      <c r="P928" s="34" t="e" cm="1">
        <f t="array" aca="1" ref="P928" ca="1">IF(AND(G928=INDIRECT("'["&amp;G928&amp;"]"&amp;E928&amp;"'!"&amp;$AH$2),OR(VALUE(I928)=INDIRECT("'["&amp;G928&amp;"]"&amp;E928&amp;"'!"&amp;$AB$2))),INDIRECT("'["&amp;G928&amp;"]"&amp;E928&amp;"'!"&amp;$AB$3),0)</f>
        <v>#VALUE!</v>
      </c>
      <c r="Q928" s="34" t="e" cm="1">
        <f t="array" aca="1" ref="Q928" ca="1">IF(AND(G928=INDIRECT("'["&amp;G928&amp;"]"&amp;E928&amp;"'!"&amp;$AH$2),OR(VALUE(I928)=INDIRECT("'["&amp;G928&amp;"]"&amp;E928&amp;"'!"&amp;$AC$2))),INDIRECT("'["&amp;G928&amp;"]"&amp;E928&amp;"'!"&amp;$AC$3),0)</f>
        <v>#VALUE!</v>
      </c>
      <c r="R928" s="34" t="e" cm="1">
        <f t="array" aca="1" ref="R928" ca="1">IF(AND(G928=INDIRECT("'["&amp;G928&amp;"]"&amp;E928&amp;"'!"&amp;$AH$2),OR(I928=INDIRECT("'["&amp;G928&amp;"]"&amp;E928&amp;"'!"&amp;$AD$2))),INDIRECT("'["&amp;G928&amp;"]"&amp;E928&amp;"'!"&amp;$AD$3),0)</f>
        <v>#VALUE!</v>
      </c>
      <c r="S928" s="34" t="e" cm="1">
        <f t="array" aca="1" ref="S928" ca="1">IF(AND(G928=INDIRECT("'["&amp;G928&amp;"]"&amp;E928&amp;"'!"&amp;$AH$2),OR(I928=INDIRECT("'["&amp;G928&amp;"]"&amp;E928&amp;"'!"&amp;$AE$2))),INDIRECT("'["&amp;G928&amp;"]"&amp;E928&amp;"'!"&amp;$AE$3),0)</f>
        <v>#VALUE!</v>
      </c>
      <c r="T928" s="35" t="e" cm="1">
        <f t="array" aca="1" ref="T928" ca="1">IF(AND(G928=INDIRECT("'["&amp;G928&amp;"]"&amp;E928&amp;"'!"&amp;$AH$2),OR(I928=INDIRECT("'["&amp;G928&amp;"]"&amp;E928&amp;"'!"&amp;$AF$2))),INDIRECT("'["&amp;G928&amp;"]"&amp;E928&amp;"'!"&amp;$AF$3),0)</f>
        <v>#VALUE!</v>
      </c>
      <c r="U928" s="34" t="e" cm="1">
        <f t="array" aca="1" ref="U928" ca="1">IF(AND(G928=INDIRECT("'["&amp;G928&amp;"]"&amp;E928&amp;"'!"&amp;$AH$2),OR(I928=INDIRECT("'["&amp;G928&amp;"]"&amp;E928&amp;"'!"&amp;$AG$2))),INDIRECT("'["&amp;G928&amp;"]"&amp;E928&amp;"'!"&amp;$AG$3),0)</f>
        <v>#VALUE!</v>
      </c>
      <c r="V928" s="25" t="str">
        <f t="shared" si="242"/>
        <v/>
      </c>
      <c r="W928" s="36" t="e" cm="1">
        <f t="array" aca="1" ref="W928" ca="1">IF(AND(G928=INDIRECT("'["&amp;G928&amp;"]"&amp;E928&amp;"'!"&amp;$AH$2),OR(V928=INDIRECT("'["&amp;G928&amp;"]"&amp;E928&amp;"'!"&amp;$AI$2))),INDIRECT("'["&amp;G928&amp;"]"&amp;E928&amp;"'!"&amp;$AI$3),0)</f>
        <v>#VALUE!</v>
      </c>
      <c r="AJ928" s="25">
        <v>1</v>
      </c>
      <c r="AK928" s="38">
        <f t="shared" ca="1" si="243"/>
        <v>0</v>
      </c>
      <c r="AL928" s="38">
        <f t="shared" ca="1" si="244"/>
        <v>0</v>
      </c>
      <c r="AM928" s="54" t="str">
        <f t="shared" ca="1" si="245"/>
        <v/>
      </c>
      <c r="AN928" s="25" t="e">
        <f t="shared" ca="1" si="246"/>
        <v>#VALUE!</v>
      </c>
      <c r="AO928" s="25" t="e">
        <f t="shared" ca="1" si="247"/>
        <v>#VALUE!</v>
      </c>
      <c r="AQ928" s="46" t="str">
        <f ca="1">IF(AND(C928&lt;&gt;0, C929=0), SUM($C$2:C928)-SUM($AQ$1:AQ927), "")</f>
        <v/>
      </c>
      <c r="AR928" s="46" t="str">
        <f ca="1">IF(AND(AK928&lt;&gt;0, AK929=0), SUM($AK$2:AK928)-SUM($AR$1:AR927), "")</f>
        <v/>
      </c>
    </row>
    <row r="929" spans="2:44" ht="13.15" customHeight="1">
      <c r="B929" s="68" t="str">
        <f t="shared" si="233"/>
        <v/>
      </c>
      <c r="C929" s="55" cm="1">
        <f t="array" aca="1" ref="C929" ca="1">SUM(IF(ISNUMBER(M929:U929),M929:U929,""))</f>
        <v>0</v>
      </c>
      <c r="D929" s="25" t="str">
        <f t="shared" si="234"/>
        <v/>
      </c>
      <c r="E929" s="25" t="e">
        <f t="shared" si="235"/>
        <v>#VALUE!</v>
      </c>
      <c r="F929" s="25" t="str">
        <f t="shared" si="236"/>
        <v/>
      </c>
      <c r="G929" s="25" t="str">
        <f t="shared" si="237"/>
        <v>.xlsx</v>
      </c>
      <c r="H929" s="29" t="e" cm="1">
        <f t="array" aca="1" ref="H929" ca="1">IF(AND(VALUE(E929)=INDIRECT("'["&amp;G929&amp;"]"&amp;E929&amp;"'!"&amp;$X$2),G929=INDIRECT("'["&amp;G929&amp;"]"&amp;E929&amp;"'!"&amp;$X$3)),INDIRECT("'["&amp;G929&amp;"]"&amp;E929&amp;"'!"&amp;$X$1),0)</f>
        <v>#VALUE!</v>
      </c>
      <c r="I929" s="25" t="str">
        <f t="shared" si="238"/>
        <v/>
      </c>
      <c r="J929" s="32" t="str">
        <f t="shared" si="239"/>
        <v/>
      </c>
      <c r="K929" s="25" t="str">
        <f t="shared" si="240"/>
        <v/>
      </c>
      <c r="L929" s="25" t="str">
        <f t="shared" si="241"/>
        <v/>
      </c>
      <c r="M929" s="33" t="e" cm="1">
        <f t="array" aca="1" ref="M929" ca="1">IF(AND(J929=INDIRECT("'["&amp;G929&amp;"]"&amp;E929&amp;"'!"&amp;$Y$2),G929=INDIRECT("'["&amp;G929&amp;"]"&amp;E929&amp;"'!"&amp;$AH$2)),INDIRECT("'["&amp;G929&amp;"]"&amp;E929&amp;"'!"&amp;$Y$3),0)</f>
        <v>#VALUE!</v>
      </c>
      <c r="N929" s="34" t="e" cm="1">
        <f t="array" aca="1" ref="N929" ca="1">IF(AND(G929=INDIRECT("'["&amp;G929&amp;"]"&amp;E929&amp;"'!"&amp;$AH$2),OR(K929=INDIRECT("'["&amp;G929&amp;"]"&amp;E929&amp;"'!"&amp;$Z$2))),INDIRECT("'["&amp;G929&amp;"]"&amp;E929&amp;"'!"&amp;$Z$3),0)</f>
        <v>#VALUE!</v>
      </c>
      <c r="O929" s="34" t="e" cm="1">
        <f t="array" aca="1" ref="O929" ca="1">IF(AND(G929=INDIRECT("'["&amp;G929&amp;"]"&amp;E929&amp;"'!"&amp;$AH$2),OR(L929=INDIRECT("'["&amp;G929&amp;"]"&amp;E929&amp;"'!"&amp;$AA$2))),INDIRECT("'["&amp;G929&amp;"]"&amp;E929&amp;"'!"&amp;$AA$3),0)</f>
        <v>#VALUE!</v>
      </c>
      <c r="P929" s="34" t="e" cm="1">
        <f t="array" aca="1" ref="P929" ca="1">IF(AND(G929=INDIRECT("'["&amp;G929&amp;"]"&amp;E929&amp;"'!"&amp;$AH$2),OR(VALUE(I929)=INDIRECT("'["&amp;G929&amp;"]"&amp;E929&amp;"'!"&amp;$AB$2))),INDIRECT("'["&amp;G929&amp;"]"&amp;E929&amp;"'!"&amp;$AB$3),0)</f>
        <v>#VALUE!</v>
      </c>
      <c r="Q929" s="34" t="e" cm="1">
        <f t="array" aca="1" ref="Q929" ca="1">IF(AND(G929=INDIRECT("'["&amp;G929&amp;"]"&amp;E929&amp;"'!"&amp;$AH$2),OR(VALUE(I929)=INDIRECT("'["&amp;G929&amp;"]"&amp;E929&amp;"'!"&amp;$AC$2))),INDIRECT("'["&amp;G929&amp;"]"&amp;E929&amp;"'!"&amp;$AC$3),0)</f>
        <v>#VALUE!</v>
      </c>
      <c r="R929" s="34" t="e" cm="1">
        <f t="array" aca="1" ref="R929" ca="1">IF(AND(G929=INDIRECT("'["&amp;G929&amp;"]"&amp;E929&amp;"'!"&amp;$AH$2),OR(I929=INDIRECT("'["&amp;G929&amp;"]"&amp;E929&amp;"'!"&amp;$AD$2))),INDIRECT("'["&amp;G929&amp;"]"&amp;E929&amp;"'!"&amp;$AD$3),0)</f>
        <v>#VALUE!</v>
      </c>
      <c r="S929" s="34" t="e" cm="1">
        <f t="array" aca="1" ref="S929" ca="1">IF(AND(G929=INDIRECT("'["&amp;G929&amp;"]"&amp;E929&amp;"'!"&amp;$AH$2),OR(I929=INDIRECT("'["&amp;G929&amp;"]"&amp;E929&amp;"'!"&amp;$AE$2))),INDIRECT("'["&amp;G929&amp;"]"&amp;E929&amp;"'!"&amp;$AE$3),0)</f>
        <v>#VALUE!</v>
      </c>
      <c r="T929" s="35" t="e" cm="1">
        <f t="array" aca="1" ref="T929" ca="1">IF(AND(G929=INDIRECT("'["&amp;G929&amp;"]"&amp;E929&amp;"'!"&amp;$AH$2),OR(I929=INDIRECT("'["&amp;G929&amp;"]"&amp;E929&amp;"'!"&amp;$AF$2))),INDIRECT("'["&amp;G929&amp;"]"&amp;E929&amp;"'!"&amp;$AF$3),0)</f>
        <v>#VALUE!</v>
      </c>
      <c r="U929" s="34" t="e" cm="1">
        <f t="array" aca="1" ref="U929" ca="1">IF(AND(G929=INDIRECT("'["&amp;G929&amp;"]"&amp;E929&amp;"'!"&amp;$AH$2),OR(I929=INDIRECT("'["&amp;G929&amp;"]"&amp;E929&amp;"'!"&amp;$AG$2))),INDIRECT("'["&amp;G929&amp;"]"&amp;E929&amp;"'!"&amp;$AG$3),0)</f>
        <v>#VALUE!</v>
      </c>
      <c r="V929" s="25" t="str">
        <f t="shared" si="242"/>
        <v/>
      </c>
      <c r="W929" s="36" t="e" cm="1">
        <f t="array" aca="1" ref="W929" ca="1">IF(AND(G929=INDIRECT("'["&amp;G929&amp;"]"&amp;E929&amp;"'!"&amp;$AH$2),OR(V929=INDIRECT("'["&amp;G929&amp;"]"&amp;E929&amp;"'!"&amp;$AI$2))),INDIRECT("'["&amp;G929&amp;"]"&amp;E929&amp;"'!"&amp;$AI$3),0)</f>
        <v>#VALUE!</v>
      </c>
      <c r="AJ929" s="25">
        <v>1</v>
      </c>
      <c r="AK929" s="38">
        <f t="shared" ca="1" si="243"/>
        <v>0</v>
      </c>
      <c r="AL929" s="38">
        <f t="shared" ca="1" si="244"/>
        <v>0</v>
      </c>
      <c r="AM929" s="54" t="str">
        <f t="shared" ca="1" si="245"/>
        <v/>
      </c>
      <c r="AN929" s="25" t="e">
        <f t="shared" ca="1" si="246"/>
        <v>#VALUE!</v>
      </c>
      <c r="AO929" s="25" t="e">
        <f t="shared" ca="1" si="247"/>
        <v>#VALUE!</v>
      </c>
      <c r="AQ929" s="46" t="str">
        <f ca="1">IF(AND(C929&lt;&gt;0, C930=0), SUM($C$2:C929)-SUM($AQ$1:AQ928), "")</f>
        <v/>
      </c>
      <c r="AR929" s="46" t="str">
        <f ca="1">IF(AND(AK929&lt;&gt;0, AK930=0), SUM($AK$2:AK929)-SUM($AR$1:AR928), "")</f>
        <v/>
      </c>
    </row>
    <row r="930" spans="2:44" ht="13.15" customHeight="1">
      <c r="B930" s="68" t="str">
        <f t="shared" si="233"/>
        <v/>
      </c>
      <c r="C930" s="55" cm="1">
        <f t="array" aca="1" ref="C930" ca="1">SUM(IF(ISNUMBER(M930:U930),M930:U930,""))</f>
        <v>0</v>
      </c>
      <c r="D930" s="25" t="str">
        <f t="shared" si="234"/>
        <v/>
      </c>
      <c r="E930" s="25" t="e">
        <f t="shared" si="235"/>
        <v>#VALUE!</v>
      </c>
      <c r="F930" s="25" t="str">
        <f t="shared" si="236"/>
        <v/>
      </c>
      <c r="G930" s="25" t="str">
        <f t="shared" si="237"/>
        <v>.xlsx</v>
      </c>
      <c r="H930" s="29" t="e" cm="1">
        <f t="array" aca="1" ref="H930" ca="1">IF(AND(VALUE(E930)=INDIRECT("'["&amp;G930&amp;"]"&amp;E930&amp;"'!"&amp;$X$2),G930=INDIRECT("'["&amp;G930&amp;"]"&amp;E930&amp;"'!"&amp;$X$3)),INDIRECT("'["&amp;G930&amp;"]"&amp;E930&amp;"'!"&amp;$X$1),0)</f>
        <v>#VALUE!</v>
      </c>
      <c r="I930" s="25" t="str">
        <f t="shared" si="238"/>
        <v/>
      </c>
      <c r="J930" s="32" t="str">
        <f t="shared" si="239"/>
        <v/>
      </c>
      <c r="K930" s="25" t="str">
        <f t="shared" si="240"/>
        <v/>
      </c>
      <c r="L930" s="25" t="str">
        <f t="shared" si="241"/>
        <v/>
      </c>
      <c r="M930" s="33" t="e" cm="1">
        <f t="array" aca="1" ref="M930" ca="1">IF(AND(J930=INDIRECT("'["&amp;G930&amp;"]"&amp;E930&amp;"'!"&amp;$Y$2),G930=INDIRECT("'["&amp;G930&amp;"]"&amp;E930&amp;"'!"&amp;$AH$2)),INDIRECT("'["&amp;G930&amp;"]"&amp;E930&amp;"'!"&amp;$Y$3),0)</f>
        <v>#VALUE!</v>
      </c>
      <c r="N930" s="34" t="e" cm="1">
        <f t="array" aca="1" ref="N930" ca="1">IF(AND(G930=INDIRECT("'["&amp;G930&amp;"]"&amp;E930&amp;"'!"&amp;$AH$2),OR(K930=INDIRECT("'["&amp;G930&amp;"]"&amp;E930&amp;"'!"&amp;$Z$2))),INDIRECT("'["&amp;G930&amp;"]"&amp;E930&amp;"'!"&amp;$Z$3),0)</f>
        <v>#VALUE!</v>
      </c>
      <c r="O930" s="34" t="e" cm="1">
        <f t="array" aca="1" ref="O930" ca="1">IF(AND(G930=INDIRECT("'["&amp;G930&amp;"]"&amp;E930&amp;"'!"&amp;$AH$2),OR(L930=INDIRECT("'["&amp;G930&amp;"]"&amp;E930&amp;"'!"&amp;$AA$2))),INDIRECT("'["&amp;G930&amp;"]"&amp;E930&amp;"'!"&amp;$AA$3),0)</f>
        <v>#VALUE!</v>
      </c>
      <c r="P930" s="34" t="e" cm="1">
        <f t="array" aca="1" ref="P930" ca="1">IF(AND(G930=INDIRECT("'["&amp;G930&amp;"]"&amp;E930&amp;"'!"&amp;$AH$2),OR(VALUE(I930)=INDIRECT("'["&amp;G930&amp;"]"&amp;E930&amp;"'!"&amp;$AB$2))),INDIRECT("'["&amp;G930&amp;"]"&amp;E930&amp;"'!"&amp;$AB$3),0)</f>
        <v>#VALUE!</v>
      </c>
      <c r="Q930" s="34" t="e" cm="1">
        <f t="array" aca="1" ref="Q930" ca="1">IF(AND(G930=INDIRECT("'["&amp;G930&amp;"]"&amp;E930&amp;"'!"&amp;$AH$2),OR(VALUE(I930)=INDIRECT("'["&amp;G930&amp;"]"&amp;E930&amp;"'!"&amp;$AC$2))),INDIRECT("'["&amp;G930&amp;"]"&amp;E930&amp;"'!"&amp;$AC$3),0)</f>
        <v>#VALUE!</v>
      </c>
      <c r="R930" s="34" t="e" cm="1">
        <f t="array" aca="1" ref="R930" ca="1">IF(AND(G930=INDIRECT("'["&amp;G930&amp;"]"&amp;E930&amp;"'!"&amp;$AH$2),OR(I930=INDIRECT("'["&amp;G930&amp;"]"&amp;E930&amp;"'!"&amp;$AD$2))),INDIRECT("'["&amp;G930&amp;"]"&amp;E930&amp;"'!"&amp;$AD$3),0)</f>
        <v>#VALUE!</v>
      </c>
      <c r="S930" s="34" t="e" cm="1">
        <f t="array" aca="1" ref="S930" ca="1">IF(AND(G930=INDIRECT("'["&amp;G930&amp;"]"&amp;E930&amp;"'!"&amp;$AH$2),OR(I930=INDIRECT("'["&amp;G930&amp;"]"&amp;E930&amp;"'!"&amp;$AE$2))),INDIRECT("'["&amp;G930&amp;"]"&amp;E930&amp;"'!"&amp;$AE$3),0)</f>
        <v>#VALUE!</v>
      </c>
      <c r="T930" s="35" t="e" cm="1">
        <f t="array" aca="1" ref="T930" ca="1">IF(AND(G930=INDIRECT("'["&amp;G930&amp;"]"&amp;E930&amp;"'!"&amp;$AH$2),OR(I930=INDIRECT("'["&amp;G930&amp;"]"&amp;E930&amp;"'!"&amp;$AF$2))),INDIRECT("'["&amp;G930&amp;"]"&amp;E930&amp;"'!"&amp;$AF$3),0)</f>
        <v>#VALUE!</v>
      </c>
      <c r="U930" s="34" t="e" cm="1">
        <f t="array" aca="1" ref="U930" ca="1">IF(AND(G930=INDIRECT("'["&amp;G930&amp;"]"&amp;E930&amp;"'!"&amp;$AH$2),OR(I930=INDIRECT("'["&amp;G930&amp;"]"&amp;E930&amp;"'!"&amp;$AG$2))),INDIRECT("'["&amp;G930&amp;"]"&amp;E930&amp;"'!"&amp;$AG$3),0)</f>
        <v>#VALUE!</v>
      </c>
      <c r="V930" s="25" t="str">
        <f t="shared" si="242"/>
        <v/>
      </c>
      <c r="W930" s="36" t="e" cm="1">
        <f t="array" aca="1" ref="W930" ca="1">IF(AND(G930=INDIRECT("'["&amp;G930&amp;"]"&amp;E930&amp;"'!"&amp;$AH$2),OR(V930=INDIRECT("'["&amp;G930&amp;"]"&amp;E930&amp;"'!"&amp;$AI$2))),INDIRECT("'["&amp;G930&amp;"]"&amp;E930&amp;"'!"&amp;$AI$3),0)</f>
        <v>#VALUE!</v>
      </c>
      <c r="AJ930" s="25">
        <v>1</v>
      </c>
      <c r="AK930" s="38">
        <f t="shared" ca="1" si="243"/>
        <v>0</v>
      </c>
      <c r="AL930" s="38">
        <f t="shared" ca="1" si="244"/>
        <v>0</v>
      </c>
      <c r="AM930" s="54" t="str">
        <f t="shared" ca="1" si="245"/>
        <v/>
      </c>
      <c r="AN930" s="25" t="e">
        <f t="shared" ca="1" si="246"/>
        <v>#VALUE!</v>
      </c>
      <c r="AO930" s="25" t="e">
        <f t="shared" ca="1" si="247"/>
        <v>#VALUE!</v>
      </c>
      <c r="AQ930" s="46" t="str">
        <f ca="1">IF(AND(C930&lt;&gt;0, C931=0), SUM($C$2:C930)-SUM($AQ$1:AQ929), "")</f>
        <v/>
      </c>
      <c r="AR930" s="46" t="str">
        <f ca="1">IF(AND(AK930&lt;&gt;0, AK931=0), SUM($AK$2:AK930)-SUM($AR$1:AR929), "")</f>
        <v/>
      </c>
    </row>
    <row r="931" spans="2:44" ht="13.15" customHeight="1">
      <c r="B931" s="68" t="str">
        <f t="shared" si="233"/>
        <v/>
      </c>
      <c r="C931" s="55" cm="1">
        <f t="array" aca="1" ref="C931" ca="1">SUM(IF(ISNUMBER(M931:U931),M931:U931,""))</f>
        <v>0</v>
      </c>
      <c r="D931" s="25" t="str">
        <f t="shared" si="234"/>
        <v/>
      </c>
      <c r="E931" s="25" t="e">
        <f t="shared" si="235"/>
        <v>#VALUE!</v>
      </c>
      <c r="F931" s="25" t="str">
        <f t="shared" si="236"/>
        <v/>
      </c>
      <c r="G931" s="25" t="str">
        <f t="shared" si="237"/>
        <v>.xlsx</v>
      </c>
      <c r="H931" s="29" t="e" cm="1">
        <f t="array" aca="1" ref="H931" ca="1">IF(AND(VALUE(E931)=INDIRECT("'["&amp;G931&amp;"]"&amp;E931&amp;"'!"&amp;$X$2),G931=INDIRECT("'["&amp;G931&amp;"]"&amp;E931&amp;"'!"&amp;$X$3)),INDIRECT("'["&amp;G931&amp;"]"&amp;E931&amp;"'!"&amp;$X$1),0)</f>
        <v>#VALUE!</v>
      </c>
      <c r="I931" s="25" t="str">
        <f t="shared" si="238"/>
        <v/>
      </c>
      <c r="J931" s="32" t="str">
        <f t="shared" si="239"/>
        <v/>
      </c>
      <c r="K931" s="25" t="str">
        <f t="shared" si="240"/>
        <v/>
      </c>
      <c r="L931" s="25" t="str">
        <f t="shared" si="241"/>
        <v/>
      </c>
      <c r="M931" s="33" t="e" cm="1">
        <f t="array" aca="1" ref="M931" ca="1">IF(AND(J931=INDIRECT("'["&amp;G931&amp;"]"&amp;E931&amp;"'!"&amp;$Y$2),G931=INDIRECT("'["&amp;G931&amp;"]"&amp;E931&amp;"'!"&amp;$AH$2)),INDIRECT("'["&amp;G931&amp;"]"&amp;E931&amp;"'!"&amp;$Y$3),0)</f>
        <v>#VALUE!</v>
      </c>
      <c r="N931" s="34" t="e" cm="1">
        <f t="array" aca="1" ref="N931" ca="1">IF(AND(G931=INDIRECT("'["&amp;G931&amp;"]"&amp;E931&amp;"'!"&amp;$AH$2),OR(K931=INDIRECT("'["&amp;G931&amp;"]"&amp;E931&amp;"'!"&amp;$Z$2))),INDIRECT("'["&amp;G931&amp;"]"&amp;E931&amp;"'!"&amp;$Z$3),0)</f>
        <v>#VALUE!</v>
      </c>
      <c r="O931" s="34" t="e" cm="1">
        <f t="array" aca="1" ref="O931" ca="1">IF(AND(G931=INDIRECT("'["&amp;G931&amp;"]"&amp;E931&amp;"'!"&amp;$AH$2),OR(L931=INDIRECT("'["&amp;G931&amp;"]"&amp;E931&amp;"'!"&amp;$AA$2))),INDIRECT("'["&amp;G931&amp;"]"&amp;E931&amp;"'!"&amp;$AA$3),0)</f>
        <v>#VALUE!</v>
      </c>
      <c r="P931" s="34" t="e" cm="1">
        <f t="array" aca="1" ref="P931" ca="1">IF(AND(G931=INDIRECT("'["&amp;G931&amp;"]"&amp;E931&amp;"'!"&amp;$AH$2),OR(VALUE(I931)=INDIRECT("'["&amp;G931&amp;"]"&amp;E931&amp;"'!"&amp;$AB$2))),INDIRECT("'["&amp;G931&amp;"]"&amp;E931&amp;"'!"&amp;$AB$3),0)</f>
        <v>#VALUE!</v>
      </c>
      <c r="Q931" s="34" t="e" cm="1">
        <f t="array" aca="1" ref="Q931" ca="1">IF(AND(G931=INDIRECT("'["&amp;G931&amp;"]"&amp;E931&amp;"'!"&amp;$AH$2),OR(VALUE(I931)=INDIRECT("'["&amp;G931&amp;"]"&amp;E931&amp;"'!"&amp;$AC$2))),INDIRECT("'["&amp;G931&amp;"]"&amp;E931&amp;"'!"&amp;$AC$3),0)</f>
        <v>#VALUE!</v>
      </c>
      <c r="R931" s="34" t="e" cm="1">
        <f t="array" aca="1" ref="R931" ca="1">IF(AND(G931=INDIRECT("'["&amp;G931&amp;"]"&amp;E931&amp;"'!"&amp;$AH$2),OR(I931=INDIRECT("'["&amp;G931&amp;"]"&amp;E931&amp;"'!"&amp;$AD$2))),INDIRECT("'["&amp;G931&amp;"]"&amp;E931&amp;"'!"&amp;$AD$3),0)</f>
        <v>#VALUE!</v>
      </c>
      <c r="S931" s="34" t="e" cm="1">
        <f t="array" aca="1" ref="S931" ca="1">IF(AND(G931=INDIRECT("'["&amp;G931&amp;"]"&amp;E931&amp;"'!"&amp;$AH$2),OR(I931=INDIRECT("'["&amp;G931&amp;"]"&amp;E931&amp;"'!"&amp;$AE$2))),INDIRECT("'["&amp;G931&amp;"]"&amp;E931&amp;"'!"&amp;$AE$3),0)</f>
        <v>#VALUE!</v>
      </c>
      <c r="T931" s="35" t="e" cm="1">
        <f t="array" aca="1" ref="T931" ca="1">IF(AND(G931=INDIRECT("'["&amp;G931&amp;"]"&amp;E931&amp;"'!"&amp;$AH$2),OR(I931=INDIRECT("'["&amp;G931&amp;"]"&amp;E931&amp;"'!"&amp;$AF$2))),INDIRECT("'["&amp;G931&amp;"]"&amp;E931&amp;"'!"&amp;$AF$3),0)</f>
        <v>#VALUE!</v>
      </c>
      <c r="U931" s="34" t="e" cm="1">
        <f t="array" aca="1" ref="U931" ca="1">IF(AND(G931=INDIRECT("'["&amp;G931&amp;"]"&amp;E931&amp;"'!"&amp;$AH$2),OR(I931=INDIRECT("'["&amp;G931&amp;"]"&amp;E931&amp;"'!"&amp;$AG$2))),INDIRECT("'["&amp;G931&amp;"]"&amp;E931&amp;"'!"&amp;$AG$3),0)</f>
        <v>#VALUE!</v>
      </c>
      <c r="V931" s="25" t="str">
        <f t="shared" si="242"/>
        <v/>
      </c>
      <c r="W931" s="36" t="e" cm="1">
        <f t="array" aca="1" ref="W931" ca="1">IF(AND(G931=INDIRECT("'["&amp;G931&amp;"]"&amp;E931&amp;"'!"&amp;$AH$2),OR(V931=INDIRECT("'["&amp;G931&amp;"]"&amp;E931&amp;"'!"&amp;$AI$2))),INDIRECT("'["&amp;G931&amp;"]"&amp;E931&amp;"'!"&amp;$AI$3),0)</f>
        <v>#VALUE!</v>
      </c>
      <c r="AJ931" s="25">
        <v>1</v>
      </c>
      <c r="AK931" s="38">
        <f t="shared" ca="1" si="243"/>
        <v>0</v>
      </c>
      <c r="AL931" s="38">
        <f t="shared" ca="1" si="244"/>
        <v>0</v>
      </c>
      <c r="AM931" s="54" t="str">
        <f t="shared" ca="1" si="245"/>
        <v/>
      </c>
      <c r="AN931" s="25" t="e">
        <f t="shared" ca="1" si="246"/>
        <v>#VALUE!</v>
      </c>
      <c r="AO931" s="25" t="e">
        <f t="shared" ca="1" si="247"/>
        <v>#VALUE!</v>
      </c>
      <c r="AQ931" s="46" t="str">
        <f ca="1">IF(AND(C931&lt;&gt;0, C932=0), SUM($C$2:C931)-SUM($AQ$1:AQ930), "")</f>
        <v/>
      </c>
      <c r="AR931" s="46" t="str">
        <f ca="1">IF(AND(AK931&lt;&gt;0, AK932=0), SUM($AK$2:AK931)-SUM($AR$1:AR930), "")</f>
        <v/>
      </c>
    </row>
    <row r="932" spans="2:44" ht="13.15" customHeight="1">
      <c r="B932" s="68" t="str">
        <f t="shared" si="233"/>
        <v/>
      </c>
      <c r="C932" s="55" cm="1">
        <f t="array" aca="1" ref="C932" ca="1">SUM(IF(ISNUMBER(M932:U932),M932:U932,""))</f>
        <v>0</v>
      </c>
      <c r="D932" s="25" t="str">
        <f t="shared" si="234"/>
        <v/>
      </c>
      <c r="E932" s="25" t="e">
        <f t="shared" si="235"/>
        <v>#VALUE!</v>
      </c>
      <c r="F932" s="25" t="str">
        <f t="shared" si="236"/>
        <v/>
      </c>
      <c r="G932" s="25" t="str">
        <f t="shared" si="237"/>
        <v>.xlsx</v>
      </c>
      <c r="H932" s="29" t="e" cm="1">
        <f t="array" aca="1" ref="H932" ca="1">IF(AND(VALUE(E932)=INDIRECT("'["&amp;G932&amp;"]"&amp;E932&amp;"'!"&amp;$X$2),G932=INDIRECT("'["&amp;G932&amp;"]"&amp;E932&amp;"'!"&amp;$X$3)),INDIRECT("'["&amp;G932&amp;"]"&amp;E932&amp;"'!"&amp;$X$1),0)</f>
        <v>#VALUE!</v>
      </c>
      <c r="I932" s="25" t="str">
        <f t="shared" si="238"/>
        <v/>
      </c>
      <c r="J932" s="32" t="str">
        <f t="shared" si="239"/>
        <v/>
      </c>
      <c r="K932" s="25" t="str">
        <f t="shared" si="240"/>
        <v/>
      </c>
      <c r="L932" s="25" t="str">
        <f t="shared" si="241"/>
        <v/>
      </c>
      <c r="M932" s="33" t="e" cm="1">
        <f t="array" aca="1" ref="M932" ca="1">IF(AND(J932=INDIRECT("'["&amp;G932&amp;"]"&amp;E932&amp;"'!"&amp;$Y$2),G932=INDIRECT("'["&amp;G932&amp;"]"&amp;E932&amp;"'!"&amp;$AH$2)),INDIRECT("'["&amp;G932&amp;"]"&amp;E932&amp;"'!"&amp;$Y$3),0)</f>
        <v>#VALUE!</v>
      </c>
      <c r="N932" s="34" t="e" cm="1">
        <f t="array" aca="1" ref="N932" ca="1">IF(AND(G932=INDIRECT("'["&amp;G932&amp;"]"&amp;E932&amp;"'!"&amp;$AH$2),OR(K932=INDIRECT("'["&amp;G932&amp;"]"&amp;E932&amp;"'!"&amp;$Z$2))),INDIRECT("'["&amp;G932&amp;"]"&amp;E932&amp;"'!"&amp;$Z$3),0)</f>
        <v>#VALUE!</v>
      </c>
      <c r="O932" s="34" t="e" cm="1">
        <f t="array" aca="1" ref="O932" ca="1">IF(AND(G932=INDIRECT("'["&amp;G932&amp;"]"&amp;E932&amp;"'!"&amp;$AH$2),OR(L932=INDIRECT("'["&amp;G932&amp;"]"&amp;E932&amp;"'!"&amp;$AA$2))),INDIRECT("'["&amp;G932&amp;"]"&amp;E932&amp;"'!"&amp;$AA$3),0)</f>
        <v>#VALUE!</v>
      </c>
      <c r="P932" s="34" t="e" cm="1">
        <f t="array" aca="1" ref="P932" ca="1">IF(AND(G932=INDIRECT("'["&amp;G932&amp;"]"&amp;E932&amp;"'!"&amp;$AH$2),OR(VALUE(I932)=INDIRECT("'["&amp;G932&amp;"]"&amp;E932&amp;"'!"&amp;$AB$2))),INDIRECT("'["&amp;G932&amp;"]"&amp;E932&amp;"'!"&amp;$AB$3),0)</f>
        <v>#VALUE!</v>
      </c>
      <c r="Q932" s="34" t="e" cm="1">
        <f t="array" aca="1" ref="Q932" ca="1">IF(AND(G932=INDIRECT("'["&amp;G932&amp;"]"&amp;E932&amp;"'!"&amp;$AH$2),OR(VALUE(I932)=INDIRECT("'["&amp;G932&amp;"]"&amp;E932&amp;"'!"&amp;$AC$2))),INDIRECT("'["&amp;G932&amp;"]"&amp;E932&amp;"'!"&amp;$AC$3),0)</f>
        <v>#VALUE!</v>
      </c>
      <c r="R932" s="34" t="e" cm="1">
        <f t="array" aca="1" ref="R932" ca="1">IF(AND(G932=INDIRECT("'["&amp;G932&amp;"]"&amp;E932&amp;"'!"&amp;$AH$2),OR(I932=INDIRECT("'["&amp;G932&amp;"]"&amp;E932&amp;"'!"&amp;$AD$2))),INDIRECT("'["&amp;G932&amp;"]"&amp;E932&amp;"'!"&amp;$AD$3),0)</f>
        <v>#VALUE!</v>
      </c>
      <c r="S932" s="34" t="e" cm="1">
        <f t="array" aca="1" ref="S932" ca="1">IF(AND(G932=INDIRECT("'["&amp;G932&amp;"]"&amp;E932&amp;"'!"&amp;$AH$2),OR(I932=INDIRECT("'["&amp;G932&amp;"]"&amp;E932&amp;"'!"&amp;$AE$2))),INDIRECT("'["&amp;G932&amp;"]"&amp;E932&amp;"'!"&amp;$AE$3),0)</f>
        <v>#VALUE!</v>
      </c>
      <c r="T932" s="35" t="e" cm="1">
        <f t="array" aca="1" ref="T932" ca="1">IF(AND(G932=INDIRECT("'["&amp;G932&amp;"]"&amp;E932&amp;"'!"&amp;$AH$2),OR(I932=INDIRECT("'["&amp;G932&amp;"]"&amp;E932&amp;"'!"&amp;$AF$2))),INDIRECT("'["&amp;G932&amp;"]"&amp;E932&amp;"'!"&amp;$AF$3),0)</f>
        <v>#VALUE!</v>
      </c>
      <c r="U932" s="34" t="e" cm="1">
        <f t="array" aca="1" ref="U932" ca="1">IF(AND(G932=INDIRECT("'["&amp;G932&amp;"]"&amp;E932&amp;"'!"&amp;$AH$2),OR(I932=INDIRECT("'["&amp;G932&amp;"]"&amp;E932&amp;"'!"&amp;$AG$2))),INDIRECT("'["&amp;G932&amp;"]"&amp;E932&amp;"'!"&amp;$AG$3),0)</f>
        <v>#VALUE!</v>
      </c>
      <c r="V932" s="25" t="str">
        <f t="shared" si="242"/>
        <v/>
      </c>
      <c r="W932" s="36" t="e" cm="1">
        <f t="array" aca="1" ref="W932" ca="1">IF(AND(G932=INDIRECT("'["&amp;G932&amp;"]"&amp;E932&amp;"'!"&amp;$AH$2),OR(V932=INDIRECT("'["&amp;G932&amp;"]"&amp;E932&amp;"'!"&amp;$AI$2))),INDIRECT("'["&amp;G932&amp;"]"&amp;E932&amp;"'!"&amp;$AI$3),0)</f>
        <v>#VALUE!</v>
      </c>
      <c r="AJ932" s="25">
        <v>1</v>
      </c>
      <c r="AK932" s="38">
        <f t="shared" ca="1" si="243"/>
        <v>0</v>
      </c>
      <c r="AL932" s="38">
        <f t="shared" ca="1" si="244"/>
        <v>0</v>
      </c>
      <c r="AM932" s="54" t="str">
        <f t="shared" ca="1" si="245"/>
        <v/>
      </c>
      <c r="AN932" s="25" t="e">
        <f t="shared" ca="1" si="246"/>
        <v>#VALUE!</v>
      </c>
      <c r="AO932" s="25" t="e">
        <f t="shared" ca="1" si="247"/>
        <v>#VALUE!</v>
      </c>
      <c r="AQ932" s="46" t="str">
        <f ca="1">IF(AND(C932&lt;&gt;0, C933=0), SUM($C$2:C932)-SUM($AQ$1:AQ931), "")</f>
        <v/>
      </c>
      <c r="AR932" s="46" t="str">
        <f ca="1">IF(AND(AK932&lt;&gt;0, AK933=0), SUM($AK$2:AK932)-SUM($AR$1:AR931), "")</f>
        <v/>
      </c>
    </row>
    <row r="933" spans="2:44" ht="13.15" customHeight="1">
      <c r="B933" s="68" t="str">
        <f t="shared" si="233"/>
        <v/>
      </c>
      <c r="C933" s="55" cm="1">
        <f t="array" aca="1" ref="C933" ca="1">SUM(IF(ISNUMBER(M933:U933),M933:U933,""))</f>
        <v>0</v>
      </c>
      <c r="D933" s="25" t="str">
        <f t="shared" si="234"/>
        <v/>
      </c>
      <c r="E933" s="25" t="e">
        <f t="shared" si="235"/>
        <v>#VALUE!</v>
      </c>
      <c r="F933" s="25" t="str">
        <f t="shared" si="236"/>
        <v/>
      </c>
      <c r="G933" s="25" t="str">
        <f t="shared" si="237"/>
        <v>.xlsx</v>
      </c>
      <c r="H933" s="29" t="e" cm="1">
        <f t="array" aca="1" ref="H933" ca="1">IF(AND(VALUE(E933)=INDIRECT("'["&amp;G933&amp;"]"&amp;E933&amp;"'!"&amp;$X$2),G933=INDIRECT("'["&amp;G933&amp;"]"&amp;E933&amp;"'!"&amp;$X$3)),INDIRECT("'["&amp;G933&amp;"]"&amp;E933&amp;"'!"&amp;$X$1),0)</f>
        <v>#VALUE!</v>
      </c>
      <c r="I933" s="25" t="str">
        <f t="shared" si="238"/>
        <v/>
      </c>
      <c r="J933" s="32" t="str">
        <f t="shared" si="239"/>
        <v/>
      </c>
      <c r="K933" s="25" t="str">
        <f t="shared" si="240"/>
        <v/>
      </c>
      <c r="L933" s="25" t="str">
        <f t="shared" si="241"/>
        <v/>
      </c>
      <c r="M933" s="33" t="e" cm="1">
        <f t="array" aca="1" ref="M933" ca="1">IF(AND(J933=INDIRECT("'["&amp;G933&amp;"]"&amp;E933&amp;"'!"&amp;$Y$2),G933=INDIRECT("'["&amp;G933&amp;"]"&amp;E933&amp;"'!"&amp;$AH$2)),INDIRECT("'["&amp;G933&amp;"]"&amp;E933&amp;"'!"&amp;$Y$3),0)</f>
        <v>#VALUE!</v>
      </c>
      <c r="N933" s="34" t="e" cm="1">
        <f t="array" aca="1" ref="N933" ca="1">IF(AND(G933=INDIRECT("'["&amp;G933&amp;"]"&amp;E933&amp;"'!"&amp;$AH$2),OR(K933=INDIRECT("'["&amp;G933&amp;"]"&amp;E933&amp;"'!"&amp;$Z$2))),INDIRECT("'["&amp;G933&amp;"]"&amp;E933&amp;"'!"&amp;$Z$3),0)</f>
        <v>#VALUE!</v>
      </c>
      <c r="O933" s="34" t="e" cm="1">
        <f t="array" aca="1" ref="O933" ca="1">IF(AND(G933=INDIRECT("'["&amp;G933&amp;"]"&amp;E933&amp;"'!"&amp;$AH$2),OR(L933=INDIRECT("'["&amp;G933&amp;"]"&amp;E933&amp;"'!"&amp;$AA$2))),INDIRECT("'["&amp;G933&amp;"]"&amp;E933&amp;"'!"&amp;$AA$3),0)</f>
        <v>#VALUE!</v>
      </c>
      <c r="P933" s="34" t="e" cm="1">
        <f t="array" aca="1" ref="P933" ca="1">IF(AND(G933=INDIRECT("'["&amp;G933&amp;"]"&amp;E933&amp;"'!"&amp;$AH$2),OR(VALUE(I933)=INDIRECT("'["&amp;G933&amp;"]"&amp;E933&amp;"'!"&amp;$AB$2))),INDIRECT("'["&amp;G933&amp;"]"&amp;E933&amp;"'!"&amp;$AB$3),0)</f>
        <v>#VALUE!</v>
      </c>
      <c r="Q933" s="34" t="e" cm="1">
        <f t="array" aca="1" ref="Q933" ca="1">IF(AND(G933=INDIRECT("'["&amp;G933&amp;"]"&amp;E933&amp;"'!"&amp;$AH$2),OR(VALUE(I933)=INDIRECT("'["&amp;G933&amp;"]"&amp;E933&amp;"'!"&amp;$AC$2))),INDIRECT("'["&amp;G933&amp;"]"&amp;E933&amp;"'!"&amp;$AC$3),0)</f>
        <v>#VALUE!</v>
      </c>
      <c r="R933" s="34" t="e" cm="1">
        <f t="array" aca="1" ref="R933" ca="1">IF(AND(G933=INDIRECT("'["&amp;G933&amp;"]"&amp;E933&amp;"'!"&amp;$AH$2),OR(I933=INDIRECT("'["&amp;G933&amp;"]"&amp;E933&amp;"'!"&amp;$AD$2))),INDIRECT("'["&amp;G933&amp;"]"&amp;E933&amp;"'!"&amp;$AD$3),0)</f>
        <v>#VALUE!</v>
      </c>
      <c r="S933" s="34" t="e" cm="1">
        <f t="array" aca="1" ref="S933" ca="1">IF(AND(G933=INDIRECT("'["&amp;G933&amp;"]"&amp;E933&amp;"'!"&amp;$AH$2),OR(I933=INDIRECT("'["&amp;G933&amp;"]"&amp;E933&amp;"'!"&amp;$AE$2))),INDIRECT("'["&amp;G933&amp;"]"&amp;E933&amp;"'!"&amp;$AE$3),0)</f>
        <v>#VALUE!</v>
      </c>
      <c r="T933" s="35" t="e" cm="1">
        <f t="array" aca="1" ref="T933" ca="1">IF(AND(G933=INDIRECT("'["&amp;G933&amp;"]"&amp;E933&amp;"'!"&amp;$AH$2),OR(I933=INDIRECT("'["&amp;G933&amp;"]"&amp;E933&amp;"'!"&amp;$AF$2))),INDIRECT("'["&amp;G933&amp;"]"&amp;E933&amp;"'!"&amp;$AF$3),0)</f>
        <v>#VALUE!</v>
      </c>
      <c r="U933" s="34" t="e" cm="1">
        <f t="array" aca="1" ref="U933" ca="1">IF(AND(G933=INDIRECT("'["&amp;G933&amp;"]"&amp;E933&amp;"'!"&amp;$AH$2),OR(I933=INDIRECT("'["&amp;G933&amp;"]"&amp;E933&amp;"'!"&amp;$AG$2))),INDIRECT("'["&amp;G933&amp;"]"&amp;E933&amp;"'!"&amp;$AG$3),0)</f>
        <v>#VALUE!</v>
      </c>
      <c r="V933" s="25" t="str">
        <f t="shared" si="242"/>
        <v/>
      </c>
      <c r="W933" s="36" t="e" cm="1">
        <f t="array" aca="1" ref="W933" ca="1">IF(AND(G933=INDIRECT("'["&amp;G933&amp;"]"&amp;E933&amp;"'!"&amp;$AH$2),OR(V933=INDIRECT("'["&amp;G933&amp;"]"&amp;E933&amp;"'!"&amp;$AI$2))),INDIRECT("'["&amp;G933&amp;"]"&amp;E933&amp;"'!"&amp;$AI$3),0)</f>
        <v>#VALUE!</v>
      </c>
      <c r="AJ933" s="25">
        <v>1</v>
      </c>
      <c r="AK933" s="38">
        <f t="shared" ca="1" si="243"/>
        <v>0</v>
      </c>
      <c r="AL933" s="38">
        <f t="shared" ca="1" si="244"/>
        <v>0</v>
      </c>
      <c r="AM933" s="54" t="str">
        <f t="shared" ca="1" si="245"/>
        <v/>
      </c>
      <c r="AN933" s="25" t="e">
        <f t="shared" ca="1" si="246"/>
        <v>#VALUE!</v>
      </c>
      <c r="AO933" s="25" t="e">
        <f t="shared" ca="1" si="247"/>
        <v>#VALUE!</v>
      </c>
      <c r="AQ933" s="46" t="str">
        <f ca="1">IF(AND(C933&lt;&gt;0, C934=0), SUM($C$2:C933)-SUM($AQ$1:AQ932), "")</f>
        <v/>
      </c>
      <c r="AR933" s="46" t="str">
        <f ca="1">IF(AND(AK933&lt;&gt;0, AK934=0), SUM($AK$2:AK933)-SUM($AR$1:AR932), "")</f>
        <v/>
      </c>
    </row>
    <row r="934" spans="2:44" ht="13.15" customHeight="1">
      <c r="B934" s="68" t="str">
        <f t="shared" si="233"/>
        <v/>
      </c>
      <c r="C934" s="55" cm="1">
        <f t="array" aca="1" ref="C934" ca="1">SUM(IF(ISNUMBER(M934:U934),M934:U934,""))</f>
        <v>0</v>
      </c>
      <c r="D934" s="25" t="str">
        <f t="shared" si="234"/>
        <v/>
      </c>
      <c r="E934" s="25" t="e">
        <f t="shared" si="235"/>
        <v>#VALUE!</v>
      </c>
      <c r="F934" s="25" t="str">
        <f t="shared" si="236"/>
        <v/>
      </c>
      <c r="G934" s="25" t="str">
        <f t="shared" si="237"/>
        <v>.xlsx</v>
      </c>
      <c r="H934" s="29" t="e" cm="1">
        <f t="array" aca="1" ref="H934" ca="1">IF(AND(VALUE(E934)=INDIRECT("'["&amp;G934&amp;"]"&amp;E934&amp;"'!"&amp;$X$2),G934=INDIRECT("'["&amp;G934&amp;"]"&amp;E934&amp;"'!"&amp;$X$3)),INDIRECT("'["&amp;G934&amp;"]"&amp;E934&amp;"'!"&amp;$X$1),0)</f>
        <v>#VALUE!</v>
      </c>
      <c r="I934" s="25" t="str">
        <f t="shared" si="238"/>
        <v/>
      </c>
      <c r="J934" s="32" t="str">
        <f t="shared" si="239"/>
        <v/>
      </c>
      <c r="K934" s="25" t="str">
        <f t="shared" si="240"/>
        <v/>
      </c>
      <c r="L934" s="25" t="str">
        <f t="shared" si="241"/>
        <v/>
      </c>
      <c r="M934" s="33" t="e" cm="1">
        <f t="array" aca="1" ref="M934" ca="1">IF(AND(J934=INDIRECT("'["&amp;G934&amp;"]"&amp;E934&amp;"'!"&amp;$Y$2),G934=INDIRECT("'["&amp;G934&amp;"]"&amp;E934&amp;"'!"&amp;$AH$2)),INDIRECT("'["&amp;G934&amp;"]"&amp;E934&amp;"'!"&amp;$Y$3),0)</f>
        <v>#VALUE!</v>
      </c>
      <c r="N934" s="34" t="e" cm="1">
        <f t="array" aca="1" ref="N934" ca="1">IF(AND(G934=INDIRECT("'["&amp;G934&amp;"]"&amp;E934&amp;"'!"&amp;$AH$2),OR(K934=INDIRECT("'["&amp;G934&amp;"]"&amp;E934&amp;"'!"&amp;$Z$2))),INDIRECT("'["&amp;G934&amp;"]"&amp;E934&amp;"'!"&amp;$Z$3),0)</f>
        <v>#VALUE!</v>
      </c>
      <c r="O934" s="34" t="e" cm="1">
        <f t="array" aca="1" ref="O934" ca="1">IF(AND(G934=INDIRECT("'["&amp;G934&amp;"]"&amp;E934&amp;"'!"&amp;$AH$2),OR(L934=INDIRECT("'["&amp;G934&amp;"]"&amp;E934&amp;"'!"&amp;$AA$2))),INDIRECT("'["&amp;G934&amp;"]"&amp;E934&amp;"'!"&amp;$AA$3),0)</f>
        <v>#VALUE!</v>
      </c>
      <c r="P934" s="34" t="e" cm="1">
        <f t="array" aca="1" ref="P934" ca="1">IF(AND(G934=INDIRECT("'["&amp;G934&amp;"]"&amp;E934&amp;"'!"&amp;$AH$2),OR(VALUE(I934)=INDIRECT("'["&amp;G934&amp;"]"&amp;E934&amp;"'!"&amp;$AB$2))),INDIRECT("'["&amp;G934&amp;"]"&amp;E934&amp;"'!"&amp;$AB$3),0)</f>
        <v>#VALUE!</v>
      </c>
      <c r="Q934" s="34" t="e" cm="1">
        <f t="array" aca="1" ref="Q934" ca="1">IF(AND(G934=INDIRECT("'["&amp;G934&amp;"]"&amp;E934&amp;"'!"&amp;$AH$2),OR(VALUE(I934)=INDIRECT("'["&amp;G934&amp;"]"&amp;E934&amp;"'!"&amp;$AC$2))),INDIRECT("'["&amp;G934&amp;"]"&amp;E934&amp;"'!"&amp;$AC$3),0)</f>
        <v>#VALUE!</v>
      </c>
      <c r="R934" s="34" t="e" cm="1">
        <f t="array" aca="1" ref="R934" ca="1">IF(AND(G934=INDIRECT("'["&amp;G934&amp;"]"&amp;E934&amp;"'!"&amp;$AH$2),OR(I934=INDIRECT("'["&amp;G934&amp;"]"&amp;E934&amp;"'!"&amp;$AD$2))),INDIRECT("'["&amp;G934&amp;"]"&amp;E934&amp;"'!"&amp;$AD$3),0)</f>
        <v>#VALUE!</v>
      </c>
      <c r="S934" s="34" t="e" cm="1">
        <f t="array" aca="1" ref="S934" ca="1">IF(AND(G934=INDIRECT("'["&amp;G934&amp;"]"&amp;E934&amp;"'!"&amp;$AH$2),OR(I934=INDIRECT("'["&amp;G934&amp;"]"&amp;E934&amp;"'!"&amp;$AE$2))),INDIRECT("'["&amp;G934&amp;"]"&amp;E934&amp;"'!"&amp;$AE$3),0)</f>
        <v>#VALUE!</v>
      </c>
      <c r="T934" s="35" t="e" cm="1">
        <f t="array" aca="1" ref="T934" ca="1">IF(AND(G934=INDIRECT("'["&amp;G934&amp;"]"&amp;E934&amp;"'!"&amp;$AH$2),OR(I934=INDIRECT("'["&amp;G934&amp;"]"&amp;E934&amp;"'!"&amp;$AF$2))),INDIRECT("'["&amp;G934&amp;"]"&amp;E934&amp;"'!"&amp;$AF$3),0)</f>
        <v>#VALUE!</v>
      </c>
      <c r="U934" s="34" t="e" cm="1">
        <f t="array" aca="1" ref="U934" ca="1">IF(AND(G934=INDIRECT("'["&amp;G934&amp;"]"&amp;E934&amp;"'!"&amp;$AH$2),OR(I934=INDIRECT("'["&amp;G934&amp;"]"&amp;E934&amp;"'!"&amp;$AG$2))),INDIRECT("'["&amp;G934&amp;"]"&amp;E934&amp;"'!"&amp;$AG$3),0)</f>
        <v>#VALUE!</v>
      </c>
      <c r="V934" s="25" t="str">
        <f t="shared" si="242"/>
        <v/>
      </c>
      <c r="W934" s="36" t="e" cm="1">
        <f t="array" aca="1" ref="W934" ca="1">IF(AND(G934=INDIRECT("'["&amp;G934&amp;"]"&amp;E934&amp;"'!"&amp;$AH$2),OR(V934=INDIRECT("'["&amp;G934&amp;"]"&amp;E934&amp;"'!"&amp;$AI$2))),INDIRECT("'["&amp;G934&amp;"]"&amp;E934&amp;"'!"&amp;$AI$3),0)</f>
        <v>#VALUE!</v>
      </c>
      <c r="AJ934" s="25">
        <v>1</v>
      </c>
      <c r="AK934" s="38">
        <f t="shared" ca="1" si="243"/>
        <v>0</v>
      </c>
      <c r="AL934" s="38">
        <f t="shared" ca="1" si="244"/>
        <v>0</v>
      </c>
      <c r="AM934" s="54" t="str">
        <f t="shared" ca="1" si="245"/>
        <v/>
      </c>
      <c r="AN934" s="25" t="e">
        <f t="shared" ca="1" si="246"/>
        <v>#VALUE!</v>
      </c>
      <c r="AO934" s="25" t="e">
        <f t="shared" ca="1" si="247"/>
        <v>#VALUE!</v>
      </c>
      <c r="AQ934" s="46" t="str">
        <f ca="1">IF(AND(C934&lt;&gt;0, C935=0), SUM($C$2:C934)-SUM($AQ$1:AQ933), "")</f>
        <v/>
      </c>
      <c r="AR934" s="46" t="str">
        <f ca="1">IF(AND(AK934&lt;&gt;0, AK935=0), SUM($AK$2:AK934)-SUM($AR$1:AR933), "")</f>
        <v/>
      </c>
    </row>
    <row r="935" spans="2:44" ht="13.15" customHeight="1">
      <c r="B935" s="68" t="str">
        <f t="shared" si="233"/>
        <v/>
      </c>
      <c r="C935" s="55" cm="1">
        <f t="array" aca="1" ref="C935" ca="1">SUM(IF(ISNUMBER(M935:U935),M935:U935,""))</f>
        <v>0</v>
      </c>
      <c r="D935" s="25" t="str">
        <f t="shared" si="234"/>
        <v/>
      </c>
      <c r="E935" s="25" t="e">
        <f t="shared" si="235"/>
        <v>#VALUE!</v>
      </c>
      <c r="F935" s="25" t="str">
        <f t="shared" si="236"/>
        <v/>
      </c>
      <c r="G935" s="25" t="str">
        <f t="shared" si="237"/>
        <v>.xlsx</v>
      </c>
      <c r="H935" s="29" t="e" cm="1">
        <f t="array" aca="1" ref="H935" ca="1">IF(AND(VALUE(E935)=INDIRECT("'["&amp;G935&amp;"]"&amp;E935&amp;"'!"&amp;$X$2),G935=INDIRECT("'["&amp;G935&amp;"]"&amp;E935&amp;"'!"&amp;$X$3)),INDIRECT("'["&amp;G935&amp;"]"&amp;E935&amp;"'!"&amp;$X$1),0)</f>
        <v>#VALUE!</v>
      </c>
      <c r="I935" s="25" t="str">
        <f t="shared" si="238"/>
        <v/>
      </c>
      <c r="J935" s="32" t="str">
        <f t="shared" si="239"/>
        <v/>
      </c>
      <c r="K935" s="25" t="str">
        <f t="shared" si="240"/>
        <v/>
      </c>
      <c r="L935" s="25" t="str">
        <f t="shared" si="241"/>
        <v/>
      </c>
      <c r="M935" s="33" t="e" cm="1">
        <f t="array" aca="1" ref="M935" ca="1">IF(AND(J935=INDIRECT("'["&amp;G935&amp;"]"&amp;E935&amp;"'!"&amp;$Y$2),G935=INDIRECT("'["&amp;G935&amp;"]"&amp;E935&amp;"'!"&amp;$AH$2)),INDIRECT("'["&amp;G935&amp;"]"&amp;E935&amp;"'!"&amp;$Y$3),0)</f>
        <v>#VALUE!</v>
      </c>
      <c r="N935" s="34" t="e" cm="1">
        <f t="array" aca="1" ref="N935" ca="1">IF(AND(G935=INDIRECT("'["&amp;G935&amp;"]"&amp;E935&amp;"'!"&amp;$AH$2),OR(K935=INDIRECT("'["&amp;G935&amp;"]"&amp;E935&amp;"'!"&amp;$Z$2))),INDIRECT("'["&amp;G935&amp;"]"&amp;E935&amp;"'!"&amp;$Z$3),0)</f>
        <v>#VALUE!</v>
      </c>
      <c r="O935" s="34" t="e" cm="1">
        <f t="array" aca="1" ref="O935" ca="1">IF(AND(G935=INDIRECT("'["&amp;G935&amp;"]"&amp;E935&amp;"'!"&amp;$AH$2),OR(L935=INDIRECT("'["&amp;G935&amp;"]"&amp;E935&amp;"'!"&amp;$AA$2))),INDIRECT("'["&amp;G935&amp;"]"&amp;E935&amp;"'!"&amp;$AA$3),0)</f>
        <v>#VALUE!</v>
      </c>
      <c r="P935" s="34" t="e" cm="1">
        <f t="array" aca="1" ref="P935" ca="1">IF(AND(G935=INDIRECT("'["&amp;G935&amp;"]"&amp;E935&amp;"'!"&amp;$AH$2),OR(VALUE(I935)=INDIRECT("'["&amp;G935&amp;"]"&amp;E935&amp;"'!"&amp;$AB$2))),INDIRECT("'["&amp;G935&amp;"]"&amp;E935&amp;"'!"&amp;$AB$3),0)</f>
        <v>#VALUE!</v>
      </c>
      <c r="Q935" s="34" t="e" cm="1">
        <f t="array" aca="1" ref="Q935" ca="1">IF(AND(G935=INDIRECT("'["&amp;G935&amp;"]"&amp;E935&amp;"'!"&amp;$AH$2),OR(VALUE(I935)=INDIRECT("'["&amp;G935&amp;"]"&amp;E935&amp;"'!"&amp;$AC$2))),INDIRECT("'["&amp;G935&amp;"]"&amp;E935&amp;"'!"&amp;$AC$3),0)</f>
        <v>#VALUE!</v>
      </c>
      <c r="R935" s="34" t="e" cm="1">
        <f t="array" aca="1" ref="R935" ca="1">IF(AND(G935=INDIRECT("'["&amp;G935&amp;"]"&amp;E935&amp;"'!"&amp;$AH$2),OR(I935=INDIRECT("'["&amp;G935&amp;"]"&amp;E935&amp;"'!"&amp;$AD$2))),INDIRECT("'["&amp;G935&amp;"]"&amp;E935&amp;"'!"&amp;$AD$3),0)</f>
        <v>#VALUE!</v>
      </c>
      <c r="S935" s="34" t="e" cm="1">
        <f t="array" aca="1" ref="S935" ca="1">IF(AND(G935=INDIRECT("'["&amp;G935&amp;"]"&amp;E935&amp;"'!"&amp;$AH$2),OR(I935=INDIRECT("'["&amp;G935&amp;"]"&amp;E935&amp;"'!"&amp;$AE$2))),INDIRECT("'["&amp;G935&amp;"]"&amp;E935&amp;"'!"&amp;$AE$3),0)</f>
        <v>#VALUE!</v>
      </c>
      <c r="T935" s="35" t="e" cm="1">
        <f t="array" aca="1" ref="T935" ca="1">IF(AND(G935=INDIRECT("'["&amp;G935&amp;"]"&amp;E935&amp;"'!"&amp;$AH$2),OR(I935=INDIRECT("'["&amp;G935&amp;"]"&amp;E935&amp;"'!"&amp;$AF$2))),INDIRECT("'["&amp;G935&amp;"]"&amp;E935&amp;"'!"&amp;$AF$3),0)</f>
        <v>#VALUE!</v>
      </c>
      <c r="U935" s="34" t="e" cm="1">
        <f t="array" aca="1" ref="U935" ca="1">IF(AND(G935=INDIRECT("'["&amp;G935&amp;"]"&amp;E935&amp;"'!"&amp;$AH$2),OR(I935=INDIRECT("'["&amp;G935&amp;"]"&amp;E935&amp;"'!"&amp;$AG$2))),INDIRECT("'["&amp;G935&amp;"]"&amp;E935&amp;"'!"&amp;$AG$3),0)</f>
        <v>#VALUE!</v>
      </c>
      <c r="V935" s="25" t="str">
        <f t="shared" si="242"/>
        <v/>
      </c>
      <c r="W935" s="36" t="e" cm="1">
        <f t="array" aca="1" ref="W935" ca="1">IF(AND(G935=INDIRECT("'["&amp;G935&amp;"]"&amp;E935&amp;"'!"&amp;$AH$2),OR(V935=INDIRECT("'["&amp;G935&amp;"]"&amp;E935&amp;"'!"&amp;$AI$2))),INDIRECT("'["&amp;G935&amp;"]"&amp;E935&amp;"'!"&amp;$AI$3),0)</f>
        <v>#VALUE!</v>
      </c>
      <c r="AJ935" s="25">
        <v>1</v>
      </c>
      <c r="AK935" s="38">
        <f t="shared" ca="1" si="243"/>
        <v>0</v>
      </c>
      <c r="AL935" s="38">
        <f t="shared" ca="1" si="244"/>
        <v>0</v>
      </c>
      <c r="AM935" s="54" t="str">
        <f t="shared" ca="1" si="245"/>
        <v/>
      </c>
      <c r="AN935" s="25" t="e">
        <f t="shared" ca="1" si="246"/>
        <v>#VALUE!</v>
      </c>
      <c r="AO935" s="25" t="e">
        <f t="shared" ca="1" si="247"/>
        <v>#VALUE!</v>
      </c>
      <c r="AQ935" s="46" t="str">
        <f ca="1">IF(AND(C935&lt;&gt;0, C936=0), SUM($C$2:C935)-SUM($AQ$1:AQ934), "")</f>
        <v/>
      </c>
      <c r="AR935" s="46" t="str">
        <f ca="1">IF(AND(AK935&lt;&gt;0, AK936=0), SUM($AK$2:AK935)-SUM($AR$1:AR934), "")</f>
        <v/>
      </c>
    </row>
    <row r="936" spans="2:44" ht="13.15" customHeight="1">
      <c r="B936" s="68" t="str">
        <f t="shared" si="233"/>
        <v/>
      </c>
      <c r="C936" s="55" cm="1">
        <f t="array" aca="1" ref="C936" ca="1">SUM(IF(ISNUMBER(M936:U936),M936:U936,""))</f>
        <v>0</v>
      </c>
      <c r="D936" s="25" t="str">
        <f t="shared" si="234"/>
        <v/>
      </c>
      <c r="E936" s="25" t="e">
        <f t="shared" si="235"/>
        <v>#VALUE!</v>
      </c>
      <c r="F936" s="25" t="str">
        <f t="shared" si="236"/>
        <v/>
      </c>
      <c r="G936" s="25" t="str">
        <f t="shared" si="237"/>
        <v>.xlsx</v>
      </c>
      <c r="H936" s="29" t="e" cm="1">
        <f t="array" aca="1" ref="H936" ca="1">IF(AND(VALUE(E936)=INDIRECT("'["&amp;G936&amp;"]"&amp;E936&amp;"'!"&amp;$X$2),G936=INDIRECT("'["&amp;G936&amp;"]"&amp;E936&amp;"'!"&amp;$X$3)),INDIRECT("'["&amp;G936&amp;"]"&amp;E936&amp;"'!"&amp;$X$1),0)</f>
        <v>#VALUE!</v>
      </c>
      <c r="I936" s="25" t="str">
        <f t="shared" si="238"/>
        <v/>
      </c>
      <c r="J936" s="32" t="str">
        <f t="shared" si="239"/>
        <v/>
      </c>
      <c r="K936" s="25" t="str">
        <f t="shared" si="240"/>
        <v/>
      </c>
      <c r="L936" s="25" t="str">
        <f t="shared" si="241"/>
        <v/>
      </c>
      <c r="M936" s="33" t="e" cm="1">
        <f t="array" aca="1" ref="M936" ca="1">IF(AND(J936=INDIRECT("'["&amp;G936&amp;"]"&amp;E936&amp;"'!"&amp;$Y$2),G936=INDIRECT("'["&amp;G936&amp;"]"&amp;E936&amp;"'!"&amp;$AH$2)),INDIRECT("'["&amp;G936&amp;"]"&amp;E936&amp;"'!"&amp;$Y$3),0)</f>
        <v>#VALUE!</v>
      </c>
      <c r="N936" s="34" t="e" cm="1">
        <f t="array" aca="1" ref="N936" ca="1">IF(AND(G936=INDIRECT("'["&amp;G936&amp;"]"&amp;E936&amp;"'!"&amp;$AH$2),OR(K936=INDIRECT("'["&amp;G936&amp;"]"&amp;E936&amp;"'!"&amp;$Z$2))),INDIRECT("'["&amp;G936&amp;"]"&amp;E936&amp;"'!"&amp;$Z$3),0)</f>
        <v>#VALUE!</v>
      </c>
      <c r="O936" s="34" t="e" cm="1">
        <f t="array" aca="1" ref="O936" ca="1">IF(AND(G936=INDIRECT("'["&amp;G936&amp;"]"&amp;E936&amp;"'!"&amp;$AH$2),OR(L936=INDIRECT("'["&amp;G936&amp;"]"&amp;E936&amp;"'!"&amp;$AA$2))),INDIRECT("'["&amp;G936&amp;"]"&amp;E936&amp;"'!"&amp;$AA$3),0)</f>
        <v>#VALUE!</v>
      </c>
      <c r="P936" s="34" t="e" cm="1">
        <f t="array" aca="1" ref="P936" ca="1">IF(AND(G936=INDIRECT("'["&amp;G936&amp;"]"&amp;E936&amp;"'!"&amp;$AH$2),OR(VALUE(I936)=INDIRECT("'["&amp;G936&amp;"]"&amp;E936&amp;"'!"&amp;$AB$2))),INDIRECT("'["&amp;G936&amp;"]"&amp;E936&amp;"'!"&amp;$AB$3),0)</f>
        <v>#VALUE!</v>
      </c>
      <c r="Q936" s="34" t="e" cm="1">
        <f t="array" aca="1" ref="Q936" ca="1">IF(AND(G936=INDIRECT("'["&amp;G936&amp;"]"&amp;E936&amp;"'!"&amp;$AH$2),OR(VALUE(I936)=INDIRECT("'["&amp;G936&amp;"]"&amp;E936&amp;"'!"&amp;$AC$2))),INDIRECT("'["&amp;G936&amp;"]"&amp;E936&amp;"'!"&amp;$AC$3),0)</f>
        <v>#VALUE!</v>
      </c>
      <c r="R936" s="34" t="e" cm="1">
        <f t="array" aca="1" ref="R936" ca="1">IF(AND(G936=INDIRECT("'["&amp;G936&amp;"]"&amp;E936&amp;"'!"&amp;$AH$2),OR(I936=INDIRECT("'["&amp;G936&amp;"]"&amp;E936&amp;"'!"&amp;$AD$2))),INDIRECT("'["&amp;G936&amp;"]"&amp;E936&amp;"'!"&amp;$AD$3),0)</f>
        <v>#VALUE!</v>
      </c>
      <c r="S936" s="34" t="e" cm="1">
        <f t="array" aca="1" ref="S936" ca="1">IF(AND(G936=INDIRECT("'["&amp;G936&amp;"]"&amp;E936&amp;"'!"&amp;$AH$2),OR(I936=INDIRECT("'["&amp;G936&amp;"]"&amp;E936&amp;"'!"&amp;$AE$2))),INDIRECT("'["&amp;G936&amp;"]"&amp;E936&amp;"'!"&amp;$AE$3),0)</f>
        <v>#VALUE!</v>
      </c>
      <c r="T936" s="35" t="e" cm="1">
        <f t="array" aca="1" ref="T936" ca="1">IF(AND(G936=INDIRECT("'["&amp;G936&amp;"]"&amp;E936&amp;"'!"&amp;$AH$2),OR(I936=INDIRECT("'["&amp;G936&amp;"]"&amp;E936&amp;"'!"&amp;$AF$2))),INDIRECT("'["&amp;G936&amp;"]"&amp;E936&amp;"'!"&amp;$AF$3),0)</f>
        <v>#VALUE!</v>
      </c>
      <c r="U936" s="34" t="e" cm="1">
        <f t="array" aca="1" ref="U936" ca="1">IF(AND(G936=INDIRECT("'["&amp;G936&amp;"]"&amp;E936&amp;"'!"&amp;$AH$2),OR(I936=INDIRECT("'["&amp;G936&amp;"]"&amp;E936&amp;"'!"&amp;$AG$2))),INDIRECT("'["&amp;G936&amp;"]"&amp;E936&amp;"'!"&amp;$AG$3),0)</f>
        <v>#VALUE!</v>
      </c>
      <c r="V936" s="25" t="str">
        <f t="shared" si="242"/>
        <v/>
      </c>
      <c r="W936" s="36" t="e" cm="1">
        <f t="array" aca="1" ref="W936" ca="1">IF(AND(G936=INDIRECT("'["&amp;G936&amp;"]"&amp;E936&amp;"'!"&amp;$AH$2),OR(V936=INDIRECT("'["&amp;G936&amp;"]"&amp;E936&amp;"'!"&amp;$AI$2))),INDIRECT("'["&amp;G936&amp;"]"&amp;E936&amp;"'!"&amp;$AI$3),0)</f>
        <v>#VALUE!</v>
      </c>
      <c r="AJ936" s="25">
        <v>1</v>
      </c>
      <c r="AK936" s="38">
        <f t="shared" ca="1" si="243"/>
        <v>0</v>
      </c>
      <c r="AL936" s="38">
        <f t="shared" ca="1" si="244"/>
        <v>0</v>
      </c>
      <c r="AM936" s="54" t="str">
        <f t="shared" ca="1" si="245"/>
        <v/>
      </c>
      <c r="AN936" s="25" t="e">
        <f t="shared" ca="1" si="246"/>
        <v>#VALUE!</v>
      </c>
      <c r="AO936" s="25" t="e">
        <f t="shared" ca="1" si="247"/>
        <v>#VALUE!</v>
      </c>
      <c r="AQ936" s="46" t="str">
        <f ca="1">IF(AND(C936&lt;&gt;0, C937=0), SUM($C$2:C936)-SUM($AQ$1:AQ935), "")</f>
        <v/>
      </c>
      <c r="AR936" s="46" t="str">
        <f ca="1">IF(AND(AK936&lt;&gt;0, AK937=0), SUM($AK$2:AK936)-SUM($AR$1:AR935), "")</f>
        <v/>
      </c>
    </row>
    <row r="937" spans="2:44" ht="13.15" customHeight="1">
      <c r="B937" s="68" t="str">
        <f t="shared" si="233"/>
        <v/>
      </c>
      <c r="C937" s="55" cm="1">
        <f t="array" aca="1" ref="C937" ca="1">SUM(IF(ISNUMBER(M937:U937),M937:U937,""))</f>
        <v>0</v>
      </c>
      <c r="D937" s="25" t="str">
        <f t="shared" si="234"/>
        <v/>
      </c>
      <c r="E937" s="25" t="e">
        <f t="shared" si="235"/>
        <v>#VALUE!</v>
      </c>
      <c r="F937" s="25" t="str">
        <f t="shared" si="236"/>
        <v/>
      </c>
      <c r="G937" s="25" t="str">
        <f t="shared" si="237"/>
        <v>.xlsx</v>
      </c>
      <c r="H937" s="29" t="e" cm="1">
        <f t="array" aca="1" ref="H937" ca="1">IF(AND(VALUE(E937)=INDIRECT("'["&amp;G937&amp;"]"&amp;E937&amp;"'!"&amp;$X$2),G937=INDIRECT("'["&amp;G937&amp;"]"&amp;E937&amp;"'!"&amp;$X$3)),INDIRECT("'["&amp;G937&amp;"]"&amp;E937&amp;"'!"&amp;$X$1),0)</f>
        <v>#VALUE!</v>
      </c>
      <c r="I937" s="25" t="str">
        <f t="shared" si="238"/>
        <v/>
      </c>
      <c r="J937" s="32" t="str">
        <f t="shared" si="239"/>
        <v/>
      </c>
      <c r="K937" s="25" t="str">
        <f t="shared" si="240"/>
        <v/>
      </c>
      <c r="L937" s="25" t="str">
        <f t="shared" si="241"/>
        <v/>
      </c>
      <c r="M937" s="33" t="e" cm="1">
        <f t="array" aca="1" ref="M937" ca="1">IF(AND(J937=INDIRECT("'["&amp;G937&amp;"]"&amp;E937&amp;"'!"&amp;$Y$2),G937=INDIRECT("'["&amp;G937&amp;"]"&amp;E937&amp;"'!"&amp;$AH$2)),INDIRECT("'["&amp;G937&amp;"]"&amp;E937&amp;"'!"&amp;$Y$3),0)</f>
        <v>#VALUE!</v>
      </c>
      <c r="N937" s="34" t="e" cm="1">
        <f t="array" aca="1" ref="N937" ca="1">IF(AND(G937=INDIRECT("'["&amp;G937&amp;"]"&amp;E937&amp;"'!"&amp;$AH$2),OR(K937=INDIRECT("'["&amp;G937&amp;"]"&amp;E937&amp;"'!"&amp;$Z$2))),INDIRECT("'["&amp;G937&amp;"]"&amp;E937&amp;"'!"&amp;$Z$3),0)</f>
        <v>#VALUE!</v>
      </c>
      <c r="O937" s="34" t="e" cm="1">
        <f t="array" aca="1" ref="O937" ca="1">IF(AND(G937=INDIRECT("'["&amp;G937&amp;"]"&amp;E937&amp;"'!"&amp;$AH$2),OR(L937=INDIRECT("'["&amp;G937&amp;"]"&amp;E937&amp;"'!"&amp;$AA$2))),INDIRECT("'["&amp;G937&amp;"]"&amp;E937&amp;"'!"&amp;$AA$3),0)</f>
        <v>#VALUE!</v>
      </c>
      <c r="P937" s="34" t="e" cm="1">
        <f t="array" aca="1" ref="P937" ca="1">IF(AND(G937=INDIRECT("'["&amp;G937&amp;"]"&amp;E937&amp;"'!"&amp;$AH$2),OR(VALUE(I937)=INDIRECT("'["&amp;G937&amp;"]"&amp;E937&amp;"'!"&amp;$AB$2))),INDIRECT("'["&amp;G937&amp;"]"&amp;E937&amp;"'!"&amp;$AB$3),0)</f>
        <v>#VALUE!</v>
      </c>
      <c r="Q937" s="34" t="e" cm="1">
        <f t="array" aca="1" ref="Q937" ca="1">IF(AND(G937=INDIRECT("'["&amp;G937&amp;"]"&amp;E937&amp;"'!"&amp;$AH$2),OR(VALUE(I937)=INDIRECT("'["&amp;G937&amp;"]"&amp;E937&amp;"'!"&amp;$AC$2))),INDIRECT("'["&amp;G937&amp;"]"&amp;E937&amp;"'!"&amp;$AC$3),0)</f>
        <v>#VALUE!</v>
      </c>
      <c r="R937" s="34" t="e" cm="1">
        <f t="array" aca="1" ref="R937" ca="1">IF(AND(G937=INDIRECT("'["&amp;G937&amp;"]"&amp;E937&amp;"'!"&amp;$AH$2),OR(I937=INDIRECT("'["&amp;G937&amp;"]"&amp;E937&amp;"'!"&amp;$AD$2))),INDIRECT("'["&amp;G937&amp;"]"&amp;E937&amp;"'!"&amp;$AD$3),0)</f>
        <v>#VALUE!</v>
      </c>
      <c r="S937" s="34" t="e" cm="1">
        <f t="array" aca="1" ref="S937" ca="1">IF(AND(G937=INDIRECT("'["&amp;G937&amp;"]"&amp;E937&amp;"'!"&amp;$AH$2),OR(I937=INDIRECT("'["&amp;G937&amp;"]"&amp;E937&amp;"'!"&amp;$AE$2))),INDIRECT("'["&amp;G937&amp;"]"&amp;E937&amp;"'!"&amp;$AE$3),0)</f>
        <v>#VALUE!</v>
      </c>
      <c r="T937" s="35" t="e" cm="1">
        <f t="array" aca="1" ref="T937" ca="1">IF(AND(G937=INDIRECT("'["&amp;G937&amp;"]"&amp;E937&amp;"'!"&amp;$AH$2),OR(I937=INDIRECT("'["&amp;G937&amp;"]"&amp;E937&amp;"'!"&amp;$AF$2))),INDIRECT("'["&amp;G937&amp;"]"&amp;E937&amp;"'!"&amp;$AF$3),0)</f>
        <v>#VALUE!</v>
      </c>
      <c r="U937" s="34" t="e" cm="1">
        <f t="array" aca="1" ref="U937" ca="1">IF(AND(G937=INDIRECT("'["&amp;G937&amp;"]"&amp;E937&amp;"'!"&amp;$AH$2),OR(I937=INDIRECT("'["&amp;G937&amp;"]"&amp;E937&amp;"'!"&amp;$AG$2))),INDIRECT("'["&amp;G937&amp;"]"&amp;E937&amp;"'!"&amp;$AG$3),0)</f>
        <v>#VALUE!</v>
      </c>
      <c r="V937" s="25" t="str">
        <f t="shared" si="242"/>
        <v/>
      </c>
      <c r="W937" s="36" t="e" cm="1">
        <f t="array" aca="1" ref="W937" ca="1">IF(AND(G937=INDIRECT("'["&amp;G937&amp;"]"&amp;E937&amp;"'!"&amp;$AH$2),OR(V937=INDIRECT("'["&amp;G937&amp;"]"&amp;E937&amp;"'!"&amp;$AI$2))),INDIRECT("'["&amp;G937&amp;"]"&amp;E937&amp;"'!"&amp;$AI$3),0)</f>
        <v>#VALUE!</v>
      </c>
      <c r="AJ937" s="25">
        <v>1</v>
      </c>
      <c r="AK937" s="38">
        <f t="shared" ca="1" si="243"/>
        <v>0</v>
      </c>
      <c r="AL937" s="38">
        <f t="shared" ca="1" si="244"/>
        <v>0</v>
      </c>
      <c r="AM937" s="54" t="str">
        <f t="shared" ca="1" si="245"/>
        <v/>
      </c>
      <c r="AN937" s="25" t="e">
        <f t="shared" ca="1" si="246"/>
        <v>#VALUE!</v>
      </c>
      <c r="AO937" s="25" t="e">
        <f t="shared" ca="1" si="247"/>
        <v>#VALUE!</v>
      </c>
      <c r="AQ937" s="46" t="str">
        <f ca="1">IF(AND(C937&lt;&gt;0, C938=0), SUM($C$2:C937)-SUM($AQ$1:AQ936), "")</f>
        <v/>
      </c>
      <c r="AR937" s="46" t="str">
        <f ca="1">IF(AND(AK937&lt;&gt;0, AK938=0), SUM($AK$2:AK937)-SUM($AR$1:AR936), "")</f>
        <v/>
      </c>
    </row>
    <row r="938" spans="2:44" ht="13.15" customHeight="1">
      <c r="B938" s="68" t="str">
        <f t="shared" si="233"/>
        <v/>
      </c>
      <c r="C938" s="55" cm="1">
        <f t="array" aca="1" ref="C938" ca="1">SUM(IF(ISNUMBER(M938:U938),M938:U938,""))</f>
        <v>0</v>
      </c>
      <c r="D938" s="25" t="str">
        <f t="shared" si="234"/>
        <v/>
      </c>
      <c r="E938" s="25" t="e">
        <f t="shared" si="235"/>
        <v>#VALUE!</v>
      </c>
      <c r="F938" s="25" t="str">
        <f t="shared" si="236"/>
        <v/>
      </c>
      <c r="G938" s="25" t="str">
        <f t="shared" si="237"/>
        <v>.xlsx</v>
      </c>
      <c r="H938" s="29" t="e" cm="1">
        <f t="array" aca="1" ref="H938" ca="1">IF(AND(VALUE(E938)=INDIRECT("'["&amp;G938&amp;"]"&amp;E938&amp;"'!"&amp;$X$2),G938=INDIRECT("'["&amp;G938&amp;"]"&amp;E938&amp;"'!"&amp;$X$3)),INDIRECT("'["&amp;G938&amp;"]"&amp;E938&amp;"'!"&amp;$X$1),0)</f>
        <v>#VALUE!</v>
      </c>
      <c r="I938" s="25" t="str">
        <f t="shared" si="238"/>
        <v/>
      </c>
      <c r="J938" s="32" t="str">
        <f t="shared" si="239"/>
        <v/>
      </c>
      <c r="K938" s="25" t="str">
        <f t="shared" si="240"/>
        <v/>
      </c>
      <c r="L938" s="25" t="str">
        <f t="shared" si="241"/>
        <v/>
      </c>
      <c r="M938" s="33" t="e" cm="1">
        <f t="array" aca="1" ref="M938" ca="1">IF(AND(J938=INDIRECT("'["&amp;G938&amp;"]"&amp;E938&amp;"'!"&amp;$Y$2),G938=INDIRECT("'["&amp;G938&amp;"]"&amp;E938&amp;"'!"&amp;$AH$2)),INDIRECT("'["&amp;G938&amp;"]"&amp;E938&amp;"'!"&amp;$Y$3),0)</f>
        <v>#VALUE!</v>
      </c>
      <c r="N938" s="34" t="e" cm="1">
        <f t="array" aca="1" ref="N938" ca="1">IF(AND(G938=INDIRECT("'["&amp;G938&amp;"]"&amp;E938&amp;"'!"&amp;$AH$2),OR(K938=INDIRECT("'["&amp;G938&amp;"]"&amp;E938&amp;"'!"&amp;$Z$2))),INDIRECT("'["&amp;G938&amp;"]"&amp;E938&amp;"'!"&amp;$Z$3),0)</f>
        <v>#VALUE!</v>
      </c>
      <c r="O938" s="34" t="e" cm="1">
        <f t="array" aca="1" ref="O938" ca="1">IF(AND(G938=INDIRECT("'["&amp;G938&amp;"]"&amp;E938&amp;"'!"&amp;$AH$2),OR(L938=INDIRECT("'["&amp;G938&amp;"]"&amp;E938&amp;"'!"&amp;$AA$2))),INDIRECT("'["&amp;G938&amp;"]"&amp;E938&amp;"'!"&amp;$AA$3),0)</f>
        <v>#VALUE!</v>
      </c>
      <c r="P938" s="34" t="e" cm="1">
        <f t="array" aca="1" ref="P938" ca="1">IF(AND(G938=INDIRECT("'["&amp;G938&amp;"]"&amp;E938&amp;"'!"&amp;$AH$2),OR(VALUE(I938)=INDIRECT("'["&amp;G938&amp;"]"&amp;E938&amp;"'!"&amp;$AB$2))),INDIRECT("'["&amp;G938&amp;"]"&amp;E938&amp;"'!"&amp;$AB$3),0)</f>
        <v>#VALUE!</v>
      </c>
      <c r="Q938" s="34" t="e" cm="1">
        <f t="array" aca="1" ref="Q938" ca="1">IF(AND(G938=INDIRECT("'["&amp;G938&amp;"]"&amp;E938&amp;"'!"&amp;$AH$2),OR(VALUE(I938)=INDIRECT("'["&amp;G938&amp;"]"&amp;E938&amp;"'!"&amp;$AC$2))),INDIRECT("'["&amp;G938&amp;"]"&amp;E938&amp;"'!"&amp;$AC$3),0)</f>
        <v>#VALUE!</v>
      </c>
      <c r="R938" s="34" t="e" cm="1">
        <f t="array" aca="1" ref="R938" ca="1">IF(AND(G938=INDIRECT("'["&amp;G938&amp;"]"&amp;E938&amp;"'!"&amp;$AH$2),OR(I938=INDIRECT("'["&amp;G938&amp;"]"&amp;E938&amp;"'!"&amp;$AD$2))),INDIRECT("'["&amp;G938&amp;"]"&amp;E938&amp;"'!"&amp;$AD$3),0)</f>
        <v>#VALUE!</v>
      </c>
      <c r="S938" s="34" t="e" cm="1">
        <f t="array" aca="1" ref="S938" ca="1">IF(AND(G938=INDIRECT("'["&amp;G938&amp;"]"&amp;E938&amp;"'!"&amp;$AH$2),OR(I938=INDIRECT("'["&amp;G938&amp;"]"&amp;E938&amp;"'!"&amp;$AE$2))),INDIRECT("'["&amp;G938&amp;"]"&amp;E938&amp;"'!"&amp;$AE$3),0)</f>
        <v>#VALUE!</v>
      </c>
      <c r="T938" s="35" t="e" cm="1">
        <f t="array" aca="1" ref="T938" ca="1">IF(AND(G938=INDIRECT("'["&amp;G938&amp;"]"&amp;E938&amp;"'!"&amp;$AH$2),OR(I938=INDIRECT("'["&amp;G938&amp;"]"&amp;E938&amp;"'!"&amp;$AF$2))),INDIRECT("'["&amp;G938&amp;"]"&amp;E938&amp;"'!"&amp;$AF$3),0)</f>
        <v>#VALUE!</v>
      </c>
      <c r="U938" s="34" t="e" cm="1">
        <f t="array" aca="1" ref="U938" ca="1">IF(AND(G938=INDIRECT("'["&amp;G938&amp;"]"&amp;E938&amp;"'!"&amp;$AH$2),OR(I938=INDIRECT("'["&amp;G938&amp;"]"&amp;E938&amp;"'!"&amp;$AG$2))),INDIRECT("'["&amp;G938&amp;"]"&amp;E938&amp;"'!"&amp;$AG$3),0)</f>
        <v>#VALUE!</v>
      </c>
      <c r="V938" s="25" t="str">
        <f t="shared" si="242"/>
        <v/>
      </c>
      <c r="W938" s="36" t="e" cm="1">
        <f t="array" aca="1" ref="W938" ca="1">IF(AND(G938=INDIRECT("'["&amp;G938&amp;"]"&amp;E938&amp;"'!"&amp;$AH$2),OR(V938=INDIRECT("'["&amp;G938&amp;"]"&amp;E938&amp;"'!"&amp;$AI$2))),INDIRECT("'["&amp;G938&amp;"]"&amp;E938&amp;"'!"&amp;$AI$3),0)</f>
        <v>#VALUE!</v>
      </c>
      <c r="AJ938" s="25">
        <v>1</v>
      </c>
      <c r="AK938" s="38">
        <f t="shared" ca="1" si="243"/>
        <v>0</v>
      </c>
      <c r="AL938" s="38">
        <f t="shared" ca="1" si="244"/>
        <v>0</v>
      </c>
      <c r="AM938" s="54" t="str">
        <f t="shared" ca="1" si="245"/>
        <v/>
      </c>
      <c r="AN938" s="25" t="e">
        <f t="shared" ca="1" si="246"/>
        <v>#VALUE!</v>
      </c>
      <c r="AO938" s="25" t="e">
        <f t="shared" ca="1" si="247"/>
        <v>#VALUE!</v>
      </c>
      <c r="AQ938" s="46" t="str">
        <f ca="1">IF(AND(C938&lt;&gt;0, C939=0), SUM($C$2:C938)-SUM($AQ$1:AQ937), "")</f>
        <v/>
      </c>
      <c r="AR938" s="46" t="str">
        <f ca="1">IF(AND(AK938&lt;&gt;0, AK939=0), SUM($AK$2:AK938)-SUM($AR$1:AR937), "")</f>
        <v/>
      </c>
    </row>
    <row r="939" spans="2:44" ht="13.15" customHeight="1">
      <c r="B939" s="68" t="str">
        <f t="shared" si="233"/>
        <v/>
      </c>
      <c r="C939" s="55" cm="1">
        <f t="array" aca="1" ref="C939" ca="1">SUM(IF(ISNUMBER(M939:U939),M939:U939,""))</f>
        <v>0</v>
      </c>
      <c r="D939" s="25" t="str">
        <f t="shared" si="234"/>
        <v/>
      </c>
      <c r="E939" s="25" t="e">
        <f t="shared" si="235"/>
        <v>#VALUE!</v>
      </c>
      <c r="F939" s="25" t="str">
        <f t="shared" si="236"/>
        <v/>
      </c>
      <c r="G939" s="25" t="str">
        <f t="shared" si="237"/>
        <v>.xlsx</v>
      </c>
      <c r="H939" s="29" t="e" cm="1">
        <f t="array" aca="1" ref="H939" ca="1">IF(AND(VALUE(E939)=INDIRECT("'["&amp;G939&amp;"]"&amp;E939&amp;"'!"&amp;$X$2),G939=INDIRECT("'["&amp;G939&amp;"]"&amp;E939&amp;"'!"&amp;$X$3)),INDIRECT("'["&amp;G939&amp;"]"&amp;E939&amp;"'!"&amp;$X$1),0)</f>
        <v>#VALUE!</v>
      </c>
      <c r="I939" s="25" t="str">
        <f t="shared" si="238"/>
        <v/>
      </c>
      <c r="J939" s="32" t="str">
        <f t="shared" si="239"/>
        <v/>
      </c>
      <c r="K939" s="25" t="str">
        <f t="shared" si="240"/>
        <v/>
      </c>
      <c r="L939" s="25" t="str">
        <f t="shared" si="241"/>
        <v/>
      </c>
      <c r="M939" s="33" t="e" cm="1">
        <f t="array" aca="1" ref="M939" ca="1">IF(AND(J939=INDIRECT("'["&amp;G939&amp;"]"&amp;E939&amp;"'!"&amp;$Y$2),G939=INDIRECT("'["&amp;G939&amp;"]"&amp;E939&amp;"'!"&amp;$AH$2)),INDIRECT("'["&amp;G939&amp;"]"&amp;E939&amp;"'!"&amp;$Y$3),0)</f>
        <v>#VALUE!</v>
      </c>
      <c r="N939" s="34" t="e" cm="1">
        <f t="array" aca="1" ref="N939" ca="1">IF(AND(G939=INDIRECT("'["&amp;G939&amp;"]"&amp;E939&amp;"'!"&amp;$AH$2),OR(K939=INDIRECT("'["&amp;G939&amp;"]"&amp;E939&amp;"'!"&amp;$Z$2))),INDIRECT("'["&amp;G939&amp;"]"&amp;E939&amp;"'!"&amp;$Z$3),0)</f>
        <v>#VALUE!</v>
      </c>
      <c r="O939" s="34" t="e" cm="1">
        <f t="array" aca="1" ref="O939" ca="1">IF(AND(G939=INDIRECT("'["&amp;G939&amp;"]"&amp;E939&amp;"'!"&amp;$AH$2),OR(L939=INDIRECT("'["&amp;G939&amp;"]"&amp;E939&amp;"'!"&amp;$AA$2))),INDIRECT("'["&amp;G939&amp;"]"&amp;E939&amp;"'!"&amp;$AA$3),0)</f>
        <v>#VALUE!</v>
      </c>
      <c r="P939" s="34" t="e" cm="1">
        <f t="array" aca="1" ref="P939" ca="1">IF(AND(G939=INDIRECT("'["&amp;G939&amp;"]"&amp;E939&amp;"'!"&amp;$AH$2),OR(VALUE(I939)=INDIRECT("'["&amp;G939&amp;"]"&amp;E939&amp;"'!"&amp;$AB$2))),INDIRECT("'["&amp;G939&amp;"]"&amp;E939&amp;"'!"&amp;$AB$3),0)</f>
        <v>#VALUE!</v>
      </c>
      <c r="Q939" s="34" t="e" cm="1">
        <f t="array" aca="1" ref="Q939" ca="1">IF(AND(G939=INDIRECT("'["&amp;G939&amp;"]"&amp;E939&amp;"'!"&amp;$AH$2),OR(VALUE(I939)=INDIRECT("'["&amp;G939&amp;"]"&amp;E939&amp;"'!"&amp;$AC$2))),INDIRECT("'["&amp;G939&amp;"]"&amp;E939&amp;"'!"&amp;$AC$3),0)</f>
        <v>#VALUE!</v>
      </c>
      <c r="R939" s="34" t="e" cm="1">
        <f t="array" aca="1" ref="R939" ca="1">IF(AND(G939=INDIRECT("'["&amp;G939&amp;"]"&amp;E939&amp;"'!"&amp;$AH$2),OR(I939=INDIRECT("'["&amp;G939&amp;"]"&amp;E939&amp;"'!"&amp;$AD$2))),INDIRECT("'["&amp;G939&amp;"]"&amp;E939&amp;"'!"&amp;$AD$3),0)</f>
        <v>#VALUE!</v>
      </c>
      <c r="S939" s="34" t="e" cm="1">
        <f t="array" aca="1" ref="S939" ca="1">IF(AND(G939=INDIRECT("'["&amp;G939&amp;"]"&amp;E939&amp;"'!"&amp;$AH$2),OR(I939=INDIRECT("'["&amp;G939&amp;"]"&amp;E939&amp;"'!"&amp;$AE$2))),INDIRECT("'["&amp;G939&amp;"]"&amp;E939&amp;"'!"&amp;$AE$3),0)</f>
        <v>#VALUE!</v>
      </c>
      <c r="T939" s="35" t="e" cm="1">
        <f t="array" aca="1" ref="T939" ca="1">IF(AND(G939=INDIRECT("'["&amp;G939&amp;"]"&amp;E939&amp;"'!"&amp;$AH$2),OR(I939=INDIRECT("'["&amp;G939&amp;"]"&amp;E939&amp;"'!"&amp;$AF$2))),INDIRECT("'["&amp;G939&amp;"]"&amp;E939&amp;"'!"&amp;$AF$3),0)</f>
        <v>#VALUE!</v>
      </c>
      <c r="U939" s="34" t="e" cm="1">
        <f t="array" aca="1" ref="U939" ca="1">IF(AND(G939=INDIRECT("'["&amp;G939&amp;"]"&amp;E939&amp;"'!"&amp;$AH$2),OR(I939=INDIRECT("'["&amp;G939&amp;"]"&amp;E939&amp;"'!"&amp;$AG$2))),INDIRECT("'["&amp;G939&amp;"]"&amp;E939&amp;"'!"&amp;$AG$3),0)</f>
        <v>#VALUE!</v>
      </c>
      <c r="V939" s="25" t="str">
        <f t="shared" si="242"/>
        <v/>
      </c>
      <c r="W939" s="36" t="e" cm="1">
        <f t="array" aca="1" ref="W939" ca="1">IF(AND(G939=INDIRECT("'["&amp;G939&amp;"]"&amp;E939&amp;"'!"&amp;$AH$2),OR(V939=INDIRECT("'["&amp;G939&amp;"]"&amp;E939&amp;"'!"&amp;$AI$2))),INDIRECT("'["&amp;G939&amp;"]"&amp;E939&amp;"'!"&amp;$AI$3),0)</f>
        <v>#VALUE!</v>
      </c>
      <c r="AJ939" s="25">
        <v>1</v>
      </c>
      <c r="AK939" s="38">
        <f t="shared" ca="1" si="243"/>
        <v>0</v>
      </c>
      <c r="AL939" s="38">
        <f t="shared" ca="1" si="244"/>
        <v>0</v>
      </c>
      <c r="AM939" s="54" t="str">
        <f t="shared" ca="1" si="245"/>
        <v/>
      </c>
      <c r="AN939" s="25" t="e">
        <f t="shared" ca="1" si="246"/>
        <v>#VALUE!</v>
      </c>
      <c r="AO939" s="25" t="e">
        <f t="shared" ca="1" si="247"/>
        <v>#VALUE!</v>
      </c>
      <c r="AQ939" s="46" t="str">
        <f ca="1">IF(AND(C939&lt;&gt;0, C940=0), SUM($C$2:C939)-SUM($AQ$1:AQ938), "")</f>
        <v/>
      </c>
      <c r="AR939" s="46" t="str">
        <f ca="1">IF(AND(AK939&lt;&gt;0, AK940=0), SUM($AK$2:AK939)-SUM($AR$1:AR938), "")</f>
        <v/>
      </c>
    </row>
    <row r="940" spans="2:44" ht="13.15" customHeight="1">
      <c r="B940" s="68" t="str">
        <f t="shared" si="233"/>
        <v/>
      </c>
      <c r="C940" s="55" cm="1">
        <f t="array" aca="1" ref="C940" ca="1">SUM(IF(ISNUMBER(M940:U940),M940:U940,""))</f>
        <v>0</v>
      </c>
      <c r="D940" s="25" t="str">
        <f t="shared" si="234"/>
        <v/>
      </c>
      <c r="E940" s="25" t="e">
        <f t="shared" si="235"/>
        <v>#VALUE!</v>
      </c>
      <c r="F940" s="25" t="str">
        <f t="shared" si="236"/>
        <v/>
      </c>
      <c r="G940" s="25" t="str">
        <f t="shared" si="237"/>
        <v>.xlsx</v>
      </c>
      <c r="H940" s="29" t="e" cm="1">
        <f t="array" aca="1" ref="H940" ca="1">IF(AND(VALUE(E940)=INDIRECT("'["&amp;G940&amp;"]"&amp;E940&amp;"'!"&amp;$X$2),G940=INDIRECT("'["&amp;G940&amp;"]"&amp;E940&amp;"'!"&amp;$X$3)),INDIRECT("'["&amp;G940&amp;"]"&amp;E940&amp;"'!"&amp;$X$1),0)</f>
        <v>#VALUE!</v>
      </c>
      <c r="I940" s="25" t="str">
        <f t="shared" si="238"/>
        <v/>
      </c>
      <c r="J940" s="32" t="str">
        <f t="shared" si="239"/>
        <v/>
      </c>
      <c r="K940" s="25" t="str">
        <f t="shared" si="240"/>
        <v/>
      </c>
      <c r="L940" s="25" t="str">
        <f t="shared" si="241"/>
        <v/>
      </c>
      <c r="M940" s="33" t="e" cm="1">
        <f t="array" aca="1" ref="M940" ca="1">IF(AND(J940=INDIRECT("'["&amp;G940&amp;"]"&amp;E940&amp;"'!"&amp;$Y$2),G940=INDIRECT("'["&amp;G940&amp;"]"&amp;E940&amp;"'!"&amp;$AH$2)),INDIRECT("'["&amp;G940&amp;"]"&amp;E940&amp;"'!"&amp;$Y$3),0)</f>
        <v>#VALUE!</v>
      </c>
      <c r="N940" s="34" t="e" cm="1">
        <f t="array" aca="1" ref="N940" ca="1">IF(AND(G940=INDIRECT("'["&amp;G940&amp;"]"&amp;E940&amp;"'!"&amp;$AH$2),OR(K940=INDIRECT("'["&amp;G940&amp;"]"&amp;E940&amp;"'!"&amp;$Z$2))),INDIRECT("'["&amp;G940&amp;"]"&amp;E940&amp;"'!"&amp;$Z$3),0)</f>
        <v>#VALUE!</v>
      </c>
      <c r="O940" s="34" t="e" cm="1">
        <f t="array" aca="1" ref="O940" ca="1">IF(AND(G940=INDIRECT("'["&amp;G940&amp;"]"&amp;E940&amp;"'!"&amp;$AH$2),OR(L940=INDIRECT("'["&amp;G940&amp;"]"&amp;E940&amp;"'!"&amp;$AA$2))),INDIRECT("'["&amp;G940&amp;"]"&amp;E940&amp;"'!"&amp;$AA$3),0)</f>
        <v>#VALUE!</v>
      </c>
      <c r="P940" s="34" t="e" cm="1">
        <f t="array" aca="1" ref="P940" ca="1">IF(AND(G940=INDIRECT("'["&amp;G940&amp;"]"&amp;E940&amp;"'!"&amp;$AH$2),OR(VALUE(I940)=INDIRECT("'["&amp;G940&amp;"]"&amp;E940&amp;"'!"&amp;$AB$2))),INDIRECT("'["&amp;G940&amp;"]"&amp;E940&amp;"'!"&amp;$AB$3),0)</f>
        <v>#VALUE!</v>
      </c>
      <c r="Q940" s="34" t="e" cm="1">
        <f t="array" aca="1" ref="Q940" ca="1">IF(AND(G940=INDIRECT("'["&amp;G940&amp;"]"&amp;E940&amp;"'!"&amp;$AH$2),OR(VALUE(I940)=INDIRECT("'["&amp;G940&amp;"]"&amp;E940&amp;"'!"&amp;$AC$2))),INDIRECT("'["&amp;G940&amp;"]"&amp;E940&amp;"'!"&amp;$AC$3),0)</f>
        <v>#VALUE!</v>
      </c>
      <c r="R940" s="34" t="e" cm="1">
        <f t="array" aca="1" ref="R940" ca="1">IF(AND(G940=INDIRECT("'["&amp;G940&amp;"]"&amp;E940&amp;"'!"&amp;$AH$2),OR(I940=INDIRECT("'["&amp;G940&amp;"]"&amp;E940&amp;"'!"&amp;$AD$2))),INDIRECT("'["&amp;G940&amp;"]"&amp;E940&amp;"'!"&amp;$AD$3),0)</f>
        <v>#VALUE!</v>
      </c>
      <c r="S940" s="34" t="e" cm="1">
        <f t="array" aca="1" ref="S940" ca="1">IF(AND(G940=INDIRECT("'["&amp;G940&amp;"]"&amp;E940&amp;"'!"&amp;$AH$2),OR(I940=INDIRECT("'["&amp;G940&amp;"]"&amp;E940&amp;"'!"&amp;$AE$2))),INDIRECT("'["&amp;G940&amp;"]"&amp;E940&amp;"'!"&amp;$AE$3),0)</f>
        <v>#VALUE!</v>
      </c>
      <c r="T940" s="35" t="e" cm="1">
        <f t="array" aca="1" ref="T940" ca="1">IF(AND(G940=INDIRECT("'["&amp;G940&amp;"]"&amp;E940&amp;"'!"&amp;$AH$2),OR(I940=INDIRECT("'["&amp;G940&amp;"]"&amp;E940&amp;"'!"&amp;$AF$2))),INDIRECT("'["&amp;G940&amp;"]"&amp;E940&amp;"'!"&amp;$AF$3),0)</f>
        <v>#VALUE!</v>
      </c>
      <c r="U940" s="34" t="e" cm="1">
        <f t="array" aca="1" ref="U940" ca="1">IF(AND(G940=INDIRECT("'["&amp;G940&amp;"]"&amp;E940&amp;"'!"&amp;$AH$2),OR(I940=INDIRECT("'["&amp;G940&amp;"]"&amp;E940&amp;"'!"&amp;$AG$2))),INDIRECT("'["&amp;G940&amp;"]"&amp;E940&amp;"'!"&amp;$AG$3),0)</f>
        <v>#VALUE!</v>
      </c>
      <c r="V940" s="25" t="str">
        <f t="shared" si="242"/>
        <v/>
      </c>
      <c r="W940" s="36" t="e" cm="1">
        <f t="array" aca="1" ref="W940" ca="1">IF(AND(G940=INDIRECT("'["&amp;G940&amp;"]"&amp;E940&amp;"'!"&amp;$AH$2),OR(V940=INDIRECT("'["&amp;G940&amp;"]"&amp;E940&amp;"'!"&amp;$AI$2))),INDIRECT("'["&amp;G940&amp;"]"&amp;E940&amp;"'!"&amp;$AI$3),0)</f>
        <v>#VALUE!</v>
      </c>
      <c r="AJ940" s="25">
        <v>1</v>
      </c>
      <c r="AK940" s="38">
        <f t="shared" ca="1" si="243"/>
        <v>0</v>
      </c>
      <c r="AL940" s="38">
        <f t="shared" ca="1" si="244"/>
        <v>0</v>
      </c>
      <c r="AM940" s="54" t="str">
        <f t="shared" ca="1" si="245"/>
        <v/>
      </c>
      <c r="AN940" s="25" t="e">
        <f t="shared" ca="1" si="246"/>
        <v>#VALUE!</v>
      </c>
      <c r="AO940" s="25" t="e">
        <f t="shared" ca="1" si="247"/>
        <v>#VALUE!</v>
      </c>
      <c r="AQ940" s="46" t="str">
        <f ca="1">IF(AND(C940&lt;&gt;0, C941=0), SUM($C$2:C940)-SUM($AQ$1:AQ939), "")</f>
        <v/>
      </c>
      <c r="AR940" s="46" t="str">
        <f ca="1">IF(AND(AK940&lt;&gt;0, AK941=0), SUM($AK$2:AK940)-SUM($AR$1:AR939), "")</f>
        <v/>
      </c>
    </row>
    <row r="941" spans="2:44" ht="13.15" customHeight="1">
      <c r="B941" s="68" t="str">
        <f t="shared" si="233"/>
        <v/>
      </c>
      <c r="C941" s="55" cm="1">
        <f t="array" aca="1" ref="C941" ca="1">SUM(IF(ISNUMBER(M941:U941),M941:U941,""))</f>
        <v>0</v>
      </c>
      <c r="D941" s="25" t="str">
        <f t="shared" si="234"/>
        <v/>
      </c>
      <c r="E941" s="25" t="e">
        <f t="shared" si="235"/>
        <v>#VALUE!</v>
      </c>
      <c r="F941" s="25" t="str">
        <f t="shared" si="236"/>
        <v/>
      </c>
      <c r="G941" s="25" t="str">
        <f t="shared" si="237"/>
        <v>.xlsx</v>
      </c>
      <c r="H941" s="29" t="e" cm="1">
        <f t="array" aca="1" ref="H941" ca="1">IF(AND(VALUE(E941)=INDIRECT("'["&amp;G941&amp;"]"&amp;E941&amp;"'!"&amp;$X$2),G941=INDIRECT("'["&amp;G941&amp;"]"&amp;E941&amp;"'!"&amp;$X$3)),INDIRECT("'["&amp;G941&amp;"]"&amp;E941&amp;"'!"&amp;$X$1),0)</f>
        <v>#VALUE!</v>
      </c>
      <c r="I941" s="25" t="str">
        <f t="shared" si="238"/>
        <v/>
      </c>
      <c r="J941" s="32" t="str">
        <f t="shared" si="239"/>
        <v/>
      </c>
      <c r="K941" s="25" t="str">
        <f t="shared" si="240"/>
        <v/>
      </c>
      <c r="L941" s="25" t="str">
        <f t="shared" si="241"/>
        <v/>
      </c>
      <c r="M941" s="33" t="e" cm="1">
        <f t="array" aca="1" ref="M941" ca="1">IF(AND(J941=INDIRECT("'["&amp;G941&amp;"]"&amp;E941&amp;"'!"&amp;$Y$2),G941=INDIRECT("'["&amp;G941&amp;"]"&amp;E941&amp;"'!"&amp;$AH$2)),INDIRECT("'["&amp;G941&amp;"]"&amp;E941&amp;"'!"&amp;$Y$3),0)</f>
        <v>#VALUE!</v>
      </c>
      <c r="N941" s="34" t="e" cm="1">
        <f t="array" aca="1" ref="N941" ca="1">IF(AND(G941=INDIRECT("'["&amp;G941&amp;"]"&amp;E941&amp;"'!"&amp;$AH$2),OR(K941=INDIRECT("'["&amp;G941&amp;"]"&amp;E941&amp;"'!"&amp;$Z$2))),INDIRECT("'["&amp;G941&amp;"]"&amp;E941&amp;"'!"&amp;$Z$3),0)</f>
        <v>#VALUE!</v>
      </c>
      <c r="O941" s="34" t="e" cm="1">
        <f t="array" aca="1" ref="O941" ca="1">IF(AND(G941=INDIRECT("'["&amp;G941&amp;"]"&amp;E941&amp;"'!"&amp;$AH$2),OR(L941=INDIRECT("'["&amp;G941&amp;"]"&amp;E941&amp;"'!"&amp;$AA$2))),INDIRECT("'["&amp;G941&amp;"]"&amp;E941&amp;"'!"&amp;$AA$3),0)</f>
        <v>#VALUE!</v>
      </c>
      <c r="P941" s="34" t="e" cm="1">
        <f t="array" aca="1" ref="P941" ca="1">IF(AND(G941=INDIRECT("'["&amp;G941&amp;"]"&amp;E941&amp;"'!"&amp;$AH$2),OR(VALUE(I941)=INDIRECT("'["&amp;G941&amp;"]"&amp;E941&amp;"'!"&amp;$AB$2))),INDIRECT("'["&amp;G941&amp;"]"&amp;E941&amp;"'!"&amp;$AB$3),0)</f>
        <v>#VALUE!</v>
      </c>
      <c r="Q941" s="34" t="e" cm="1">
        <f t="array" aca="1" ref="Q941" ca="1">IF(AND(G941=INDIRECT("'["&amp;G941&amp;"]"&amp;E941&amp;"'!"&amp;$AH$2),OR(VALUE(I941)=INDIRECT("'["&amp;G941&amp;"]"&amp;E941&amp;"'!"&amp;$AC$2))),INDIRECT("'["&amp;G941&amp;"]"&amp;E941&amp;"'!"&amp;$AC$3),0)</f>
        <v>#VALUE!</v>
      </c>
      <c r="R941" s="34" t="e" cm="1">
        <f t="array" aca="1" ref="R941" ca="1">IF(AND(G941=INDIRECT("'["&amp;G941&amp;"]"&amp;E941&amp;"'!"&amp;$AH$2),OR(I941=INDIRECT("'["&amp;G941&amp;"]"&amp;E941&amp;"'!"&amp;$AD$2))),INDIRECT("'["&amp;G941&amp;"]"&amp;E941&amp;"'!"&amp;$AD$3),0)</f>
        <v>#VALUE!</v>
      </c>
      <c r="S941" s="34" t="e" cm="1">
        <f t="array" aca="1" ref="S941" ca="1">IF(AND(G941=INDIRECT("'["&amp;G941&amp;"]"&amp;E941&amp;"'!"&amp;$AH$2),OR(I941=INDIRECT("'["&amp;G941&amp;"]"&amp;E941&amp;"'!"&amp;$AE$2))),INDIRECT("'["&amp;G941&amp;"]"&amp;E941&amp;"'!"&amp;$AE$3),0)</f>
        <v>#VALUE!</v>
      </c>
      <c r="T941" s="35" t="e" cm="1">
        <f t="array" aca="1" ref="T941" ca="1">IF(AND(G941=INDIRECT("'["&amp;G941&amp;"]"&amp;E941&amp;"'!"&amp;$AH$2),OR(I941=INDIRECT("'["&amp;G941&amp;"]"&amp;E941&amp;"'!"&amp;$AF$2))),INDIRECT("'["&amp;G941&amp;"]"&amp;E941&amp;"'!"&amp;$AF$3),0)</f>
        <v>#VALUE!</v>
      </c>
      <c r="U941" s="34" t="e" cm="1">
        <f t="array" aca="1" ref="U941" ca="1">IF(AND(G941=INDIRECT("'["&amp;G941&amp;"]"&amp;E941&amp;"'!"&amp;$AH$2),OR(I941=INDIRECT("'["&amp;G941&amp;"]"&amp;E941&amp;"'!"&amp;$AG$2))),INDIRECT("'["&amp;G941&amp;"]"&amp;E941&amp;"'!"&amp;$AG$3),0)</f>
        <v>#VALUE!</v>
      </c>
      <c r="V941" s="25" t="str">
        <f t="shared" si="242"/>
        <v/>
      </c>
      <c r="W941" s="36" t="e" cm="1">
        <f t="array" aca="1" ref="W941" ca="1">IF(AND(G941=INDIRECT("'["&amp;G941&amp;"]"&amp;E941&amp;"'!"&amp;$AH$2),OR(V941=INDIRECT("'["&amp;G941&amp;"]"&amp;E941&amp;"'!"&amp;$AI$2))),INDIRECT("'["&amp;G941&amp;"]"&amp;E941&amp;"'!"&amp;$AI$3),0)</f>
        <v>#VALUE!</v>
      </c>
      <c r="AJ941" s="25">
        <v>1</v>
      </c>
      <c r="AK941" s="38">
        <f t="shared" ca="1" si="243"/>
        <v>0</v>
      </c>
      <c r="AL941" s="38">
        <f t="shared" ca="1" si="244"/>
        <v>0</v>
      </c>
      <c r="AM941" s="54" t="str">
        <f t="shared" ca="1" si="245"/>
        <v/>
      </c>
      <c r="AN941" s="25" t="e">
        <f t="shared" ca="1" si="246"/>
        <v>#VALUE!</v>
      </c>
      <c r="AO941" s="25" t="e">
        <f t="shared" ca="1" si="247"/>
        <v>#VALUE!</v>
      </c>
      <c r="AQ941" s="46" t="str">
        <f ca="1">IF(AND(C941&lt;&gt;0, C942=0), SUM($C$2:C941)-SUM($AQ$1:AQ940), "")</f>
        <v/>
      </c>
      <c r="AR941" s="46" t="str">
        <f ca="1">IF(AND(AK941&lt;&gt;0, AK942=0), SUM($AK$2:AK941)-SUM($AR$1:AR940), "")</f>
        <v/>
      </c>
    </row>
    <row r="942" spans="2:44" ht="13.15" customHeight="1">
      <c r="B942" s="68" t="str">
        <f t="shared" si="233"/>
        <v/>
      </c>
      <c r="C942" s="55" cm="1">
        <f t="array" aca="1" ref="C942" ca="1">SUM(IF(ISNUMBER(M942:U942),M942:U942,""))</f>
        <v>0</v>
      </c>
      <c r="D942" s="25" t="str">
        <f t="shared" si="234"/>
        <v/>
      </c>
      <c r="E942" s="25" t="e">
        <f t="shared" si="235"/>
        <v>#VALUE!</v>
      </c>
      <c r="F942" s="25" t="str">
        <f t="shared" si="236"/>
        <v/>
      </c>
      <c r="G942" s="25" t="str">
        <f t="shared" si="237"/>
        <v>.xlsx</v>
      </c>
      <c r="H942" s="29" t="e" cm="1">
        <f t="array" aca="1" ref="H942" ca="1">IF(AND(VALUE(E942)=INDIRECT("'["&amp;G942&amp;"]"&amp;E942&amp;"'!"&amp;$X$2),G942=INDIRECT("'["&amp;G942&amp;"]"&amp;E942&amp;"'!"&amp;$X$3)),INDIRECT("'["&amp;G942&amp;"]"&amp;E942&amp;"'!"&amp;$X$1),0)</f>
        <v>#VALUE!</v>
      </c>
      <c r="I942" s="25" t="str">
        <f t="shared" si="238"/>
        <v/>
      </c>
      <c r="J942" s="32" t="str">
        <f t="shared" si="239"/>
        <v/>
      </c>
      <c r="K942" s="25" t="str">
        <f t="shared" si="240"/>
        <v/>
      </c>
      <c r="L942" s="25" t="str">
        <f t="shared" si="241"/>
        <v/>
      </c>
      <c r="M942" s="33" t="e" cm="1">
        <f t="array" aca="1" ref="M942" ca="1">IF(AND(J942=INDIRECT("'["&amp;G942&amp;"]"&amp;E942&amp;"'!"&amp;$Y$2),G942=INDIRECT("'["&amp;G942&amp;"]"&amp;E942&amp;"'!"&amp;$AH$2)),INDIRECT("'["&amp;G942&amp;"]"&amp;E942&amp;"'!"&amp;$Y$3),0)</f>
        <v>#VALUE!</v>
      </c>
      <c r="N942" s="34" t="e" cm="1">
        <f t="array" aca="1" ref="N942" ca="1">IF(AND(G942=INDIRECT("'["&amp;G942&amp;"]"&amp;E942&amp;"'!"&amp;$AH$2),OR(K942=INDIRECT("'["&amp;G942&amp;"]"&amp;E942&amp;"'!"&amp;$Z$2))),INDIRECT("'["&amp;G942&amp;"]"&amp;E942&amp;"'!"&amp;$Z$3),0)</f>
        <v>#VALUE!</v>
      </c>
      <c r="O942" s="34" t="e" cm="1">
        <f t="array" aca="1" ref="O942" ca="1">IF(AND(G942=INDIRECT("'["&amp;G942&amp;"]"&amp;E942&amp;"'!"&amp;$AH$2),OR(L942=INDIRECT("'["&amp;G942&amp;"]"&amp;E942&amp;"'!"&amp;$AA$2))),INDIRECT("'["&amp;G942&amp;"]"&amp;E942&amp;"'!"&amp;$AA$3),0)</f>
        <v>#VALUE!</v>
      </c>
      <c r="P942" s="34" t="e" cm="1">
        <f t="array" aca="1" ref="P942" ca="1">IF(AND(G942=INDIRECT("'["&amp;G942&amp;"]"&amp;E942&amp;"'!"&amp;$AH$2),OR(VALUE(I942)=INDIRECT("'["&amp;G942&amp;"]"&amp;E942&amp;"'!"&amp;$AB$2))),INDIRECT("'["&amp;G942&amp;"]"&amp;E942&amp;"'!"&amp;$AB$3),0)</f>
        <v>#VALUE!</v>
      </c>
      <c r="Q942" s="34" t="e" cm="1">
        <f t="array" aca="1" ref="Q942" ca="1">IF(AND(G942=INDIRECT("'["&amp;G942&amp;"]"&amp;E942&amp;"'!"&amp;$AH$2),OR(VALUE(I942)=INDIRECT("'["&amp;G942&amp;"]"&amp;E942&amp;"'!"&amp;$AC$2))),INDIRECT("'["&amp;G942&amp;"]"&amp;E942&amp;"'!"&amp;$AC$3),0)</f>
        <v>#VALUE!</v>
      </c>
      <c r="R942" s="34" t="e" cm="1">
        <f t="array" aca="1" ref="R942" ca="1">IF(AND(G942=INDIRECT("'["&amp;G942&amp;"]"&amp;E942&amp;"'!"&amp;$AH$2),OR(I942=INDIRECT("'["&amp;G942&amp;"]"&amp;E942&amp;"'!"&amp;$AD$2))),INDIRECT("'["&amp;G942&amp;"]"&amp;E942&amp;"'!"&amp;$AD$3),0)</f>
        <v>#VALUE!</v>
      </c>
      <c r="S942" s="34" t="e" cm="1">
        <f t="array" aca="1" ref="S942" ca="1">IF(AND(G942=INDIRECT("'["&amp;G942&amp;"]"&amp;E942&amp;"'!"&amp;$AH$2),OR(I942=INDIRECT("'["&amp;G942&amp;"]"&amp;E942&amp;"'!"&amp;$AE$2))),INDIRECT("'["&amp;G942&amp;"]"&amp;E942&amp;"'!"&amp;$AE$3),0)</f>
        <v>#VALUE!</v>
      </c>
      <c r="T942" s="35" t="e" cm="1">
        <f t="array" aca="1" ref="T942" ca="1">IF(AND(G942=INDIRECT("'["&amp;G942&amp;"]"&amp;E942&amp;"'!"&amp;$AH$2),OR(I942=INDIRECT("'["&amp;G942&amp;"]"&amp;E942&amp;"'!"&amp;$AF$2))),INDIRECT("'["&amp;G942&amp;"]"&amp;E942&amp;"'!"&amp;$AF$3),0)</f>
        <v>#VALUE!</v>
      </c>
      <c r="U942" s="34" t="e" cm="1">
        <f t="array" aca="1" ref="U942" ca="1">IF(AND(G942=INDIRECT("'["&amp;G942&amp;"]"&amp;E942&amp;"'!"&amp;$AH$2),OR(I942=INDIRECT("'["&amp;G942&amp;"]"&amp;E942&amp;"'!"&amp;$AG$2))),INDIRECT("'["&amp;G942&amp;"]"&amp;E942&amp;"'!"&amp;$AG$3),0)</f>
        <v>#VALUE!</v>
      </c>
      <c r="V942" s="25" t="str">
        <f t="shared" si="242"/>
        <v/>
      </c>
      <c r="W942" s="36" t="e" cm="1">
        <f t="array" aca="1" ref="W942" ca="1">IF(AND(G942=INDIRECT("'["&amp;G942&amp;"]"&amp;E942&amp;"'!"&amp;$AH$2),OR(V942=INDIRECT("'["&amp;G942&amp;"]"&amp;E942&amp;"'!"&amp;$AI$2))),INDIRECT("'["&amp;G942&amp;"]"&amp;E942&amp;"'!"&amp;$AI$3),0)</f>
        <v>#VALUE!</v>
      </c>
      <c r="AJ942" s="25">
        <v>1</v>
      </c>
      <c r="AK942" s="38">
        <f t="shared" ca="1" si="243"/>
        <v>0</v>
      </c>
      <c r="AL942" s="38">
        <f t="shared" ca="1" si="244"/>
        <v>0</v>
      </c>
      <c r="AM942" s="54" t="str">
        <f t="shared" ca="1" si="245"/>
        <v/>
      </c>
      <c r="AN942" s="25" t="e">
        <f t="shared" ca="1" si="246"/>
        <v>#VALUE!</v>
      </c>
      <c r="AO942" s="25" t="e">
        <f t="shared" ca="1" si="247"/>
        <v>#VALUE!</v>
      </c>
      <c r="AQ942" s="46" t="str">
        <f ca="1">IF(AND(C942&lt;&gt;0, C943=0), SUM($C$2:C942)-SUM($AQ$1:AQ941), "")</f>
        <v/>
      </c>
      <c r="AR942" s="46" t="str">
        <f ca="1">IF(AND(AK942&lt;&gt;0, AK943=0), SUM($AK$2:AK942)-SUM($AR$1:AR941), "")</f>
        <v/>
      </c>
    </row>
    <row r="943" spans="2:44" ht="13.15" customHeight="1">
      <c r="B943" s="68" t="str">
        <f t="shared" si="233"/>
        <v/>
      </c>
      <c r="C943" s="55" cm="1">
        <f t="array" aca="1" ref="C943" ca="1">SUM(IF(ISNUMBER(M943:U943),M943:U943,""))</f>
        <v>0</v>
      </c>
      <c r="D943" s="25" t="str">
        <f t="shared" si="234"/>
        <v/>
      </c>
      <c r="E943" s="25" t="e">
        <f t="shared" si="235"/>
        <v>#VALUE!</v>
      </c>
      <c r="F943" s="25" t="str">
        <f t="shared" si="236"/>
        <v/>
      </c>
      <c r="G943" s="25" t="str">
        <f t="shared" si="237"/>
        <v>.xlsx</v>
      </c>
      <c r="H943" s="29" t="e" cm="1">
        <f t="array" aca="1" ref="H943" ca="1">IF(AND(VALUE(E943)=INDIRECT("'["&amp;G943&amp;"]"&amp;E943&amp;"'!"&amp;$X$2),G943=INDIRECT("'["&amp;G943&amp;"]"&amp;E943&amp;"'!"&amp;$X$3)),INDIRECT("'["&amp;G943&amp;"]"&amp;E943&amp;"'!"&amp;$X$1),0)</f>
        <v>#VALUE!</v>
      </c>
      <c r="I943" s="25" t="str">
        <f t="shared" si="238"/>
        <v/>
      </c>
      <c r="J943" s="32" t="str">
        <f t="shared" si="239"/>
        <v/>
      </c>
      <c r="K943" s="25" t="str">
        <f t="shared" si="240"/>
        <v/>
      </c>
      <c r="L943" s="25" t="str">
        <f t="shared" si="241"/>
        <v/>
      </c>
      <c r="M943" s="33" t="e" cm="1">
        <f t="array" aca="1" ref="M943" ca="1">IF(AND(J943=INDIRECT("'["&amp;G943&amp;"]"&amp;E943&amp;"'!"&amp;$Y$2),G943=INDIRECT("'["&amp;G943&amp;"]"&amp;E943&amp;"'!"&amp;$AH$2)),INDIRECT("'["&amp;G943&amp;"]"&amp;E943&amp;"'!"&amp;$Y$3),0)</f>
        <v>#VALUE!</v>
      </c>
      <c r="N943" s="34" t="e" cm="1">
        <f t="array" aca="1" ref="N943" ca="1">IF(AND(G943=INDIRECT("'["&amp;G943&amp;"]"&amp;E943&amp;"'!"&amp;$AH$2),OR(K943=INDIRECT("'["&amp;G943&amp;"]"&amp;E943&amp;"'!"&amp;$Z$2))),INDIRECT("'["&amp;G943&amp;"]"&amp;E943&amp;"'!"&amp;$Z$3),0)</f>
        <v>#VALUE!</v>
      </c>
      <c r="O943" s="34" t="e" cm="1">
        <f t="array" aca="1" ref="O943" ca="1">IF(AND(G943=INDIRECT("'["&amp;G943&amp;"]"&amp;E943&amp;"'!"&amp;$AH$2),OR(L943=INDIRECT("'["&amp;G943&amp;"]"&amp;E943&amp;"'!"&amp;$AA$2))),INDIRECT("'["&amp;G943&amp;"]"&amp;E943&amp;"'!"&amp;$AA$3),0)</f>
        <v>#VALUE!</v>
      </c>
      <c r="P943" s="34" t="e" cm="1">
        <f t="array" aca="1" ref="P943" ca="1">IF(AND(G943=INDIRECT("'["&amp;G943&amp;"]"&amp;E943&amp;"'!"&amp;$AH$2),OR(VALUE(I943)=INDIRECT("'["&amp;G943&amp;"]"&amp;E943&amp;"'!"&amp;$AB$2))),INDIRECT("'["&amp;G943&amp;"]"&amp;E943&amp;"'!"&amp;$AB$3),0)</f>
        <v>#VALUE!</v>
      </c>
      <c r="Q943" s="34" t="e" cm="1">
        <f t="array" aca="1" ref="Q943" ca="1">IF(AND(G943=INDIRECT("'["&amp;G943&amp;"]"&amp;E943&amp;"'!"&amp;$AH$2),OR(VALUE(I943)=INDIRECT("'["&amp;G943&amp;"]"&amp;E943&amp;"'!"&amp;$AC$2))),INDIRECT("'["&amp;G943&amp;"]"&amp;E943&amp;"'!"&amp;$AC$3),0)</f>
        <v>#VALUE!</v>
      </c>
      <c r="R943" s="34" t="e" cm="1">
        <f t="array" aca="1" ref="R943" ca="1">IF(AND(G943=INDIRECT("'["&amp;G943&amp;"]"&amp;E943&amp;"'!"&amp;$AH$2),OR(I943=INDIRECT("'["&amp;G943&amp;"]"&amp;E943&amp;"'!"&amp;$AD$2))),INDIRECT("'["&amp;G943&amp;"]"&amp;E943&amp;"'!"&amp;$AD$3),0)</f>
        <v>#VALUE!</v>
      </c>
      <c r="S943" s="34" t="e" cm="1">
        <f t="array" aca="1" ref="S943" ca="1">IF(AND(G943=INDIRECT("'["&amp;G943&amp;"]"&amp;E943&amp;"'!"&amp;$AH$2),OR(I943=INDIRECT("'["&amp;G943&amp;"]"&amp;E943&amp;"'!"&amp;$AE$2))),INDIRECT("'["&amp;G943&amp;"]"&amp;E943&amp;"'!"&amp;$AE$3),0)</f>
        <v>#VALUE!</v>
      </c>
      <c r="T943" s="35" t="e" cm="1">
        <f t="array" aca="1" ref="T943" ca="1">IF(AND(G943=INDIRECT("'["&amp;G943&amp;"]"&amp;E943&amp;"'!"&amp;$AH$2),OR(I943=INDIRECT("'["&amp;G943&amp;"]"&amp;E943&amp;"'!"&amp;$AF$2))),INDIRECT("'["&amp;G943&amp;"]"&amp;E943&amp;"'!"&amp;$AF$3),0)</f>
        <v>#VALUE!</v>
      </c>
      <c r="U943" s="34" t="e" cm="1">
        <f t="array" aca="1" ref="U943" ca="1">IF(AND(G943=INDIRECT("'["&amp;G943&amp;"]"&amp;E943&amp;"'!"&amp;$AH$2),OR(I943=INDIRECT("'["&amp;G943&amp;"]"&amp;E943&amp;"'!"&amp;$AG$2))),INDIRECT("'["&amp;G943&amp;"]"&amp;E943&amp;"'!"&amp;$AG$3),0)</f>
        <v>#VALUE!</v>
      </c>
      <c r="V943" s="25" t="str">
        <f t="shared" si="242"/>
        <v/>
      </c>
      <c r="W943" s="36" t="e" cm="1">
        <f t="array" aca="1" ref="W943" ca="1">IF(AND(G943=INDIRECT("'["&amp;G943&amp;"]"&amp;E943&amp;"'!"&amp;$AH$2),OR(V943=INDIRECT("'["&amp;G943&amp;"]"&amp;E943&amp;"'!"&amp;$AI$2))),INDIRECT("'["&amp;G943&amp;"]"&amp;E943&amp;"'!"&amp;$AI$3),0)</f>
        <v>#VALUE!</v>
      </c>
      <c r="AJ943" s="25">
        <v>1</v>
      </c>
      <c r="AK943" s="38">
        <f t="shared" ca="1" si="243"/>
        <v>0</v>
      </c>
      <c r="AL943" s="38">
        <f t="shared" ca="1" si="244"/>
        <v>0</v>
      </c>
      <c r="AM943" s="54" t="str">
        <f t="shared" ca="1" si="245"/>
        <v/>
      </c>
      <c r="AN943" s="25" t="e">
        <f t="shared" ca="1" si="246"/>
        <v>#VALUE!</v>
      </c>
      <c r="AO943" s="25" t="e">
        <f t="shared" ca="1" si="247"/>
        <v>#VALUE!</v>
      </c>
      <c r="AQ943" s="46" t="str">
        <f ca="1">IF(AND(C943&lt;&gt;0, C944=0), SUM($C$2:C943)-SUM($AQ$1:AQ942), "")</f>
        <v/>
      </c>
      <c r="AR943" s="46" t="str">
        <f ca="1">IF(AND(AK943&lt;&gt;0, AK944=0), SUM($AK$2:AK943)-SUM($AR$1:AR942), "")</f>
        <v/>
      </c>
    </row>
    <row r="944" spans="2:44" ht="13.15" customHeight="1">
      <c r="B944" s="68" t="str">
        <f t="shared" si="233"/>
        <v/>
      </c>
      <c r="C944" s="55" cm="1">
        <f t="array" aca="1" ref="C944" ca="1">SUM(IF(ISNUMBER(M944:U944),M944:U944,""))</f>
        <v>0</v>
      </c>
      <c r="D944" s="25" t="str">
        <f t="shared" si="234"/>
        <v/>
      </c>
      <c r="E944" s="25" t="e">
        <f t="shared" si="235"/>
        <v>#VALUE!</v>
      </c>
      <c r="F944" s="25" t="str">
        <f t="shared" si="236"/>
        <v/>
      </c>
      <c r="G944" s="25" t="str">
        <f t="shared" si="237"/>
        <v>.xlsx</v>
      </c>
      <c r="H944" s="29" t="e" cm="1">
        <f t="array" aca="1" ref="H944" ca="1">IF(AND(VALUE(E944)=INDIRECT("'["&amp;G944&amp;"]"&amp;E944&amp;"'!"&amp;$X$2),G944=INDIRECT("'["&amp;G944&amp;"]"&amp;E944&amp;"'!"&amp;$X$3)),INDIRECT("'["&amp;G944&amp;"]"&amp;E944&amp;"'!"&amp;$X$1),0)</f>
        <v>#VALUE!</v>
      </c>
      <c r="I944" s="25" t="str">
        <f t="shared" si="238"/>
        <v/>
      </c>
      <c r="J944" s="32" t="str">
        <f t="shared" si="239"/>
        <v/>
      </c>
      <c r="K944" s="25" t="str">
        <f t="shared" si="240"/>
        <v/>
      </c>
      <c r="L944" s="25" t="str">
        <f t="shared" si="241"/>
        <v/>
      </c>
      <c r="M944" s="33" t="e" cm="1">
        <f t="array" aca="1" ref="M944" ca="1">IF(AND(J944=INDIRECT("'["&amp;G944&amp;"]"&amp;E944&amp;"'!"&amp;$Y$2),G944=INDIRECT("'["&amp;G944&amp;"]"&amp;E944&amp;"'!"&amp;$AH$2)),INDIRECT("'["&amp;G944&amp;"]"&amp;E944&amp;"'!"&amp;$Y$3),0)</f>
        <v>#VALUE!</v>
      </c>
      <c r="N944" s="34" t="e" cm="1">
        <f t="array" aca="1" ref="N944" ca="1">IF(AND(G944=INDIRECT("'["&amp;G944&amp;"]"&amp;E944&amp;"'!"&amp;$AH$2),OR(K944=INDIRECT("'["&amp;G944&amp;"]"&amp;E944&amp;"'!"&amp;$Z$2))),INDIRECT("'["&amp;G944&amp;"]"&amp;E944&amp;"'!"&amp;$Z$3),0)</f>
        <v>#VALUE!</v>
      </c>
      <c r="O944" s="34" t="e" cm="1">
        <f t="array" aca="1" ref="O944" ca="1">IF(AND(G944=INDIRECT("'["&amp;G944&amp;"]"&amp;E944&amp;"'!"&amp;$AH$2),OR(L944=INDIRECT("'["&amp;G944&amp;"]"&amp;E944&amp;"'!"&amp;$AA$2))),INDIRECT("'["&amp;G944&amp;"]"&amp;E944&amp;"'!"&amp;$AA$3),0)</f>
        <v>#VALUE!</v>
      </c>
      <c r="P944" s="34" t="e" cm="1">
        <f t="array" aca="1" ref="P944" ca="1">IF(AND(G944=INDIRECT("'["&amp;G944&amp;"]"&amp;E944&amp;"'!"&amp;$AH$2),OR(VALUE(I944)=INDIRECT("'["&amp;G944&amp;"]"&amp;E944&amp;"'!"&amp;$AB$2))),INDIRECT("'["&amp;G944&amp;"]"&amp;E944&amp;"'!"&amp;$AB$3),0)</f>
        <v>#VALUE!</v>
      </c>
      <c r="Q944" s="34" t="e" cm="1">
        <f t="array" aca="1" ref="Q944" ca="1">IF(AND(G944=INDIRECT("'["&amp;G944&amp;"]"&amp;E944&amp;"'!"&amp;$AH$2),OR(VALUE(I944)=INDIRECT("'["&amp;G944&amp;"]"&amp;E944&amp;"'!"&amp;$AC$2))),INDIRECT("'["&amp;G944&amp;"]"&amp;E944&amp;"'!"&amp;$AC$3),0)</f>
        <v>#VALUE!</v>
      </c>
      <c r="R944" s="34" t="e" cm="1">
        <f t="array" aca="1" ref="R944" ca="1">IF(AND(G944=INDIRECT("'["&amp;G944&amp;"]"&amp;E944&amp;"'!"&amp;$AH$2),OR(I944=INDIRECT("'["&amp;G944&amp;"]"&amp;E944&amp;"'!"&amp;$AD$2))),INDIRECT("'["&amp;G944&amp;"]"&amp;E944&amp;"'!"&amp;$AD$3),0)</f>
        <v>#VALUE!</v>
      </c>
      <c r="S944" s="34" t="e" cm="1">
        <f t="array" aca="1" ref="S944" ca="1">IF(AND(G944=INDIRECT("'["&amp;G944&amp;"]"&amp;E944&amp;"'!"&amp;$AH$2),OR(I944=INDIRECT("'["&amp;G944&amp;"]"&amp;E944&amp;"'!"&amp;$AE$2))),INDIRECT("'["&amp;G944&amp;"]"&amp;E944&amp;"'!"&amp;$AE$3),0)</f>
        <v>#VALUE!</v>
      </c>
      <c r="T944" s="35" t="e" cm="1">
        <f t="array" aca="1" ref="T944" ca="1">IF(AND(G944=INDIRECT("'["&amp;G944&amp;"]"&amp;E944&amp;"'!"&amp;$AH$2),OR(I944=INDIRECT("'["&amp;G944&amp;"]"&amp;E944&amp;"'!"&amp;$AF$2))),INDIRECT("'["&amp;G944&amp;"]"&amp;E944&amp;"'!"&amp;$AF$3),0)</f>
        <v>#VALUE!</v>
      </c>
      <c r="U944" s="34" t="e" cm="1">
        <f t="array" aca="1" ref="U944" ca="1">IF(AND(G944=INDIRECT("'["&amp;G944&amp;"]"&amp;E944&amp;"'!"&amp;$AH$2),OR(I944=INDIRECT("'["&amp;G944&amp;"]"&amp;E944&amp;"'!"&amp;$AG$2))),INDIRECT("'["&amp;G944&amp;"]"&amp;E944&amp;"'!"&amp;$AG$3),0)</f>
        <v>#VALUE!</v>
      </c>
      <c r="V944" s="25" t="str">
        <f t="shared" si="242"/>
        <v/>
      </c>
      <c r="W944" s="36" t="e" cm="1">
        <f t="array" aca="1" ref="W944" ca="1">IF(AND(G944=INDIRECT("'["&amp;G944&amp;"]"&amp;E944&amp;"'!"&amp;$AH$2),OR(V944=INDIRECT("'["&amp;G944&amp;"]"&amp;E944&amp;"'!"&amp;$AI$2))),INDIRECT("'["&amp;G944&amp;"]"&amp;E944&amp;"'!"&amp;$AI$3),0)</f>
        <v>#VALUE!</v>
      </c>
      <c r="AJ944" s="25">
        <v>1</v>
      </c>
      <c r="AK944" s="38">
        <f t="shared" ca="1" si="243"/>
        <v>0</v>
      </c>
      <c r="AL944" s="38">
        <f t="shared" ca="1" si="244"/>
        <v>0</v>
      </c>
      <c r="AM944" s="54" t="str">
        <f t="shared" ca="1" si="245"/>
        <v/>
      </c>
      <c r="AN944" s="25" t="e">
        <f t="shared" ca="1" si="246"/>
        <v>#VALUE!</v>
      </c>
      <c r="AO944" s="25" t="e">
        <f t="shared" ca="1" si="247"/>
        <v>#VALUE!</v>
      </c>
      <c r="AQ944" s="46" t="str">
        <f ca="1">IF(AND(C944&lt;&gt;0, C945=0), SUM($C$2:C944)-SUM($AQ$1:AQ943), "")</f>
        <v/>
      </c>
      <c r="AR944" s="46" t="str">
        <f ca="1">IF(AND(AK944&lt;&gt;0, AK945=0), SUM($AK$2:AK944)-SUM($AR$1:AR943), "")</f>
        <v/>
      </c>
    </row>
    <row r="945" spans="2:44" ht="13.15" customHeight="1">
      <c r="B945" s="68" t="str">
        <f t="shared" si="233"/>
        <v/>
      </c>
      <c r="C945" s="55" cm="1">
        <f t="array" aca="1" ref="C945" ca="1">SUM(IF(ISNUMBER(M945:U945),M945:U945,""))</f>
        <v>0</v>
      </c>
      <c r="D945" s="25" t="str">
        <f t="shared" si="234"/>
        <v/>
      </c>
      <c r="E945" s="25" t="e">
        <f t="shared" si="235"/>
        <v>#VALUE!</v>
      </c>
      <c r="F945" s="25" t="str">
        <f t="shared" si="236"/>
        <v/>
      </c>
      <c r="G945" s="25" t="str">
        <f t="shared" si="237"/>
        <v>.xlsx</v>
      </c>
      <c r="H945" s="29" t="e" cm="1">
        <f t="array" aca="1" ref="H945" ca="1">IF(AND(VALUE(E945)=INDIRECT("'["&amp;G945&amp;"]"&amp;E945&amp;"'!"&amp;$X$2),G945=INDIRECT("'["&amp;G945&amp;"]"&amp;E945&amp;"'!"&amp;$X$3)),INDIRECT("'["&amp;G945&amp;"]"&amp;E945&amp;"'!"&amp;$X$1),0)</f>
        <v>#VALUE!</v>
      </c>
      <c r="I945" s="25" t="str">
        <f t="shared" si="238"/>
        <v/>
      </c>
      <c r="J945" s="32" t="str">
        <f t="shared" si="239"/>
        <v/>
      </c>
      <c r="K945" s="25" t="str">
        <f t="shared" si="240"/>
        <v/>
      </c>
      <c r="L945" s="25" t="str">
        <f t="shared" si="241"/>
        <v/>
      </c>
      <c r="M945" s="33" t="e" cm="1">
        <f t="array" aca="1" ref="M945" ca="1">IF(AND(J945=INDIRECT("'["&amp;G945&amp;"]"&amp;E945&amp;"'!"&amp;$Y$2),G945=INDIRECT("'["&amp;G945&amp;"]"&amp;E945&amp;"'!"&amp;$AH$2)),INDIRECT("'["&amp;G945&amp;"]"&amp;E945&amp;"'!"&amp;$Y$3),0)</f>
        <v>#VALUE!</v>
      </c>
      <c r="N945" s="34" t="e" cm="1">
        <f t="array" aca="1" ref="N945" ca="1">IF(AND(G945=INDIRECT("'["&amp;G945&amp;"]"&amp;E945&amp;"'!"&amp;$AH$2),OR(K945=INDIRECT("'["&amp;G945&amp;"]"&amp;E945&amp;"'!"&amp;$Z$2))),INDIRECT("'["&amp;G945&amp;"]"&amp;E945&amp;"'!"&amp;$Z$3),0)</f>
        <v>#VALUE!</v>
      </c>
      <c r="O945" s="34" t="e" cm="1">
        <f t="array" aca="1" ref="O945" ca="1">IF(AND(G945=INDIRECT("'["&amp;G945&amp;"]"&amp;E945&amp;"'!"&amp;$AH$2),OR(L945=INDIRECT("'["&amp;G945&amp;"]"&amp;E945&amp;"'!"&amp;$AA$2))),INDIRECT("'["&amp;G945&amp;"]"&amp;E945&amp;"'!"&amp;$AA$3),0)</f>
        <v>#VALUE!</v>
      </c>
      <c r="P945" s="34" t="e" cm="1">
        <f t="array" aca="1" ref="P945" ca="1">IF(AND(G945=INDIRECT("'["&amp;G945&amp;"]"&amp;E945&amp;"'!"&amp;$AH$2),OR(VALUE(I945)=INDIRECT("'["&amp;G945&amp;"]"&amp;E945&amp;"'!"&amp;$AB$2))),INDIRECT("'["&amp;G945&amp;"]"&amp;E945&amp;"'!"&amp;$AB$3),0)</f>
        <v>#VALUE!</v>
      </c>
      <c r="Q945" s="34" t="e" cm="1">
        <f t="array" aca="1" ref="Q945" ca="1">IF(AND(G945=INDIRECT("'["&amp;G945&amp;"]"&amp;E945&amp;"'!"&amp;$AH$2),OR(VALUE(I945)=INDIRECT("'["&amp;G945&amp;"]"&amp;E945&amp;"'!"&amp;$AC$2))),INDIRECT("'["&amp;G945&amp;"]"&amp;E945&amp;"'!"&amp;$AC$3),0)</f>
        <v>#VALUE!</v>
      </c>
      <c r="R945" s="34" t="e" cm="1">
        <f t="array" aca="1" ref="R945" ca="1">IF(AND(G945=INDIRECT("'["&amp;G945&amp;"]"&amp;E945&amp;"'!"&amp;$AH$2),OR(I945=INDIRECT("'["&amp;G945&amp;"]"&amp;E945&amp;"'!"&amp;$AD$2))),INDIRECT("'["&amp;G945&amp;"]"&amp;E945&amp;"'!"&amp;$AD$3),0)</f>
        <v>#VALUE!</v>
      </c>
      <c r="S945" s="34" t="e" cm="1">
        <f t="array" aca="1" ref="S945" ca="1">IF(AND(G945=INDIRECT("'["&amp;G945&amp;"]"&amp;E945&amp;"'!"&amp;$AH$2),OR(I945=INDIRECT("'["&amp;G945&amp;"]"&amp;E945&amp;"'!"&amp;$AE$2))),INDIRECT("'["&amp;G945&amp;"]"&amp;E945&amp;"'!"&amp;$AE$3),0)</f>
        <v>#VALUE!</v>
      </c>
      <c r="T945" s="35" t="e" cm="1">
        <f t="array" aca="1" ref="T945" ca="1">IF(AND(G945=INDIRECT("'["&amp;G945&amp;"]"&amp;E945&amp;"'!"&amp;$AH$2),OR(I945=INDIRECT("'["&amp;G945&amp;"]"&amp;E945&amp;"'!"&amp;$AF$2))),INDIRECT("'["&amp;G945&amp;"]"&amp;E945&amp;"'!"&amp;$AF$3),0)</f>
        <v>#VALUE!</v>
      </c>
      <c r="U945" s="34" t="e" cm="1">
        <f t="array" aca="1" ref="U945" ca="1">IF(AND(G945=INDIRECT("'["&amp;G945&amp;"]"&amp;E945&amp;"'!"&amp;$AH$2),OR(I945=INDIRECT("'["&amp;G945&amp;"]"&amp;E945&amp;"'!"&amp;$AG$2))),INDIRECT("'["&amp;G945&amp;"]"&amp;E945&amp;"'!"&amp;$AG$3),0)</f>
        <v>#VALUE!</v>
      </c>
      <c r="V945" s="25" t="str">
        <f t="shared" si="242"/>
        <v/>
      </c>
      <c r="W945" s="36" t="e" cm="1">
        <f t="array" aca="1" ref="W945" ca="1">IF(AND(G945=INDIRECT("'["&amp;G945&amp;"]"&amp;E945&amp;"'!"&amp;$AH$2),OR(V945=INDIRECT("'["&amp;G945&amp;"]"&amp;E945&amp;"'!"&amp;$AI$2))),INDIRECT("'["&amp;G945&amp;"]"&amp;E945&amp;"'!"&amp;$AI$3),0)</f>
        <v>#VALUE!</v>
      </c>
      <c r="AJ945" s="25">
        <v>1</v>
      </c>
      <c r="AK945" s="38">
        <f t="shared" ca="1" si="243"/>
        <v>0</v>
      </c>
      <c r="AL945" s="38">
        <f t="shared" ca="1" si="244"/>
        <v>0</v>
      </c>
      <c r="AM945" s="54" t="str">
        <f t="shared" ca="1" si="245"/>
        <v/>
      </c>
      <c r="AN945" s="25" t="e">
        <f t="shared" ca="1" si="246"/>
        <v>#VALUE!</v>
      </c>
      <c r="AO945" s="25" t="e">
        <f t="shared" ca="1" si="247"/>
        <v>#VALUE!</v>
      </c>
      <c r="AQ945" s="46" t="str">
        <f ca="1">IF(AND(C945&lt;&gt;0, C946=0), SUM($C$2:C945)-SUM($AQ$1:AQ944), "")</f>
        <v/>
      </c>
      <c r="AR945" s="46" t="str">
        <f ca="1">IF(AND(AK945&lt;&gt;0, AK946=0), SUM($AK$2:AK945)-SUM($AR$1:AR944), "")</f>
        <v/>
      </c>
    </row>
    <row r="946" spans="2:44" ht="13.15" customHeight="1">
      <c r="B946" s="68" t="str">
        <f t="shared" si="233"/>
        <v/>
      </c>
      <c r="C946" s="55" cm="1">
        <f t="array" aca="1" ref="C946" ca="1">SUM(IF(ISNUMBER(M946:U946),M946:U946,""))</f>
        <v>0</v>
      </c>
      <c r="D946" s="25" t="str">
        <f t="shared" si="234"/>
        <v/>
      </c>
      <c r="E946" s="25" t="e">
        <f t="shared" si="235"/>
        <v>#VALUE!</v>
      </c>
      <c r="F946" s="25" t="str">
        <f t="shared" si="236"/>
        <v/>
      </c>
      <c r="G946" s="25" t="str">
        <f t="shared" si="237"/>
        <v>.xlsx</v>
      </c>
      <c r="H946" s="29" t="e" cm="1">
        <f t="array" aca="1" ref="H946" ca="1">IF(AND(VALUE(E946)=INDIRECT("'["&amp;G946&amp;"]"&amp;E946&amp;"'!"&amp;$X$2),G946=INDIRECT("'["&amp;G946&amp;"]"&amp;E946&amp;"'!"&amp;$X$3)),INDIRECT("'["&amp;G946&amp;"]"&amp;E946&amp;"'!"&amp;$X$1),0)</f>
        <v>#VALUE!</v>
      </c>
      <c r="I946" s="25" t="str">
        <f t="shared" si="238"/>
        <v/>
      </c>
      <c r="J946" s="32" t="str">
        <f t="shared" si="239"/>
        <v/>
      </c>
      <c r="K946" s="25" t="str">
        <f t="shared" si="240"/>
        <v/>
      </c>
      <c r="L946" s="25" t="str">
        <f t="shared" si="241"/>
        <v/>
      </c>
      <c r="M946" s="33" t="e" cm="1">
        <f t="array" aca="1" ref="M946" ca="1">IF(AND(J946=INDIRECT("'["&amp;G946&amp;"]"&amp;E946&amp;"'!"&amp;$Y$2),G946=INDIRECT("'["&amp;G946&amp;"]"&amp;E946&amp;"'!"&amp;$AH$2)),INDIRECT("'["&amp;G946&amp;"]"&amp;E946&amp;"'!"&amp;$Y$3),0)</f>
        <v>#VALUE!</v>
      </c>
      <c r="N946" s="34" t="e" cm="1">
        <f t="array" aca="1" ref="N946" ca="1">IF(AND(G946=INDIRECT("'["&amp;G946&amp;"]"&amp;E946&amp;"'!"&amp;$AH$2),OR(K946=INDIRECT("'["&amp;G946&amp;"]"&amp;E946&amp;"'!"&amp;$Z$2))),INDIRECT("'["&amp;G946&amp;"]"&amp;E946&amp;"'!"&amp;$Z$3),0)</f>
        <v>#VALUE!</v>
      </c>
      <c r="O946" s="34" t="e" cm="1">
        <f t="array" aca="1" ref="O946" ca="1">IF(AND(G946=INDIRECT("'["&amp;G946&amp;"]"&amp;E946&amp;"'!"&amp;$AH$2),OR(L946=INDIRECT("'["&amp;G946&amp;"]"&amp;E946&amp;"'!"&amp;$AA$2))),INDIRECT("'["&amp;G946&amp;"]"&amp;E946&amp;"'!"&amp;$AA$3),0)</f>
        <v>#VALUE!</v>
      </c>
      <c r="P946" s="34" t="e" cm="1">
        <f t="array" aca="1" ref="P946" ca="1">IF(AND(G946=INDIRECT("'["&amp;G946&amp;"]"&amp;E946&amp;"'!"&amp;$AH$2),OR(VALUE(I946)=INDIRECT("'["&amp;G946&amp;"]"&amp;E946&amp;"'!"&amp;$AB$2))),INDIRECT("'["&amp;G946&amp;"]"&amp;E946&amp;"'!"&amp;$AB$3),0)</f>
        <v>#VALUE!</v>
      </c>
      <c r="Q946" s="34" t="e" cm="1">
        <f t="array" aca="1" ref="Q946" ca="1">IF(AND(G946=INDIRECT("'["&amp;G946&amp;"]"&amp;E946&amp;"'!"&amp;$AH$2),OR(VALUE(I946)=INDIRECT("'["&amp;G946&amp;"]"&amp;E946&amp;"'!"&amp;$AC$2))),INDIRECT("'["&amp;G946&amp;"]"&amp;E946&amp;"'!"&amp;$AC$3),0)</f>
        <v>#VALUE!</v>
      </c>
      <c r="R946" s="34" t="e" cm="1">
        <f t="array" aca="1" ref="R946" ca="1">IF(AND(G946=INDIRECT("'["&amp;G946&amp;"]"&amp;E946&amp;"'!"&amp;$AH$2),OR(I946=INDIRECT("'["&amp;G946&amp;"]"&amp;E946&amp;"'!"&amp;$AD$2))),INDIRECT("'["&amp;G946&amp;"]"&amp;E946&amp;"'!"&amp;$AD$3),0)</f>
        <v>#VALUE!</v>
      </c>
      <c r="S946" s="34" t="e" cm="1">
        <f t="array" aca="1" ref="S946" ca="1">IF(AND(G946=INDIRECT("'["&amp;G946&amp;"]"&amp;E946&amp;"'!"&amp;$AH$2),OR(I946=INDIRECT("'["&amp;G946&amp;"]"&amp;E946&amp;"'!"&amp;$AE$2))),INDIRECT("'["&amp;G946&amp;"]"&amp;E946&amp;"'!"&amp;$AE$3),0)</f>
        <v>#VALUE!</v>
      </c>
      <c r="T946" s="35" t="e" cm="1">
        <f t="array" aca="1" ref="T946" ca="1">IF(AND(G946=INDIRECT("'["&amp;G946&amp;"]"&amp;E946&amp;"'!"&amp;$AH$2),OR(I946=INDIRECT("'["&amp;G946&amp;"]"&amp;E946&amp;"'!"&amp;$AF$2))),INDIRECT("'["&amp;G946&amp;"]"&amp;E946&amp;"'!"&amp;$AF$3),0)</f>
        <v>#VALUE!</v>
      </c>
      <c r="U946" s="34" t="e" cm="1">
        <f t="array" aca="1" ref="U946" ca="1">IF(AND(G946=INDIRECT("'["&amp;G946&amp;"]"&amp;E946&amp;"'!"&amp;$AH$2),OR(I946=INDIRECT("'["&amp;G946&amp;"]"&amp;E946&amp;"'!"&amp;$AG$2))),INDIRECT("'["&amp;G946&amp;"]"&amp;E946&amp;"'!"&amp;$AG$3),0)</f>
        <v>#VALUE!</v>
      </c>
      <c r="V946" s="25" t="str">
        <f t="shared" si="242"/>
        <v/>
      </c>
      <c r="W946" s="36" t="e" cm="1">
        <f t="array" aca="1" ref="W946" ca="1">IF(AND(G946=INDIRECT("'["&amp;G946&amp;"]"&amp;E946&amp;"'!"&amp;$AH$2),OR(V946=INDIRECT("'["&amp;G946&amp;"]"&amp;E946&amp;"'!"&amp;$AI$2))),INDIRECT("'["&amp;G946&amp;"]"&amp;E946&amp;"'!"&amp;$AI$3),0)</f>
        <v>#VALUE!</v>
      </c>
      <c r="AJ946" s="25">
        <v>1</v>
      </c>
      <c r="AK946" s="38">
        <f t="shared" ca="1" si="243"/>
        <v>0</v>
      </c>
      <c r="AL946" s="38">
        <f t="shared" ca="1" si="244"/>
        <v>0</v>
      </c>
      <c r="AM946" s="54" t="str">
        <f t="shared" ca="1" si="245"/>
        <v/>
      </c>
      <c r="AN946" s="25" t="e">
        <f t="shared" ca="1" si="246"/>
        <v>#VALUE!</v>
      </c>
      <c r="AO946" s="25" t="e">
        <f t="shared" ca="1" si="247"/>
        <v>#VALUE!</v>
      </c>
      <c r="AQ946" s="46" t="str">
        <f ca="1">IF(AND(C946&lt;&gt;0, C947=0), SUM($C$2:C946)-SUM($AQ$1:AQ945), "")</f>
        <v/>
      </c>
      <c r="AR946" s="46" t="str">
        <f ca="1">IF(AND(AK946&lt;&gt;0, AK947=0), SUM($AK$2:AK946)-SUM($AR$1:AR945), "")</f>
        <v/>
      </c>
    </row>
    <row r="947" spans="2:44" ht="13.15" customHeight="1">
      <c r="B947" s="68" t="str">
        <f t="shared" si="233"/>
        <v/>
      </c>
      <c r="C947" s="55" cm="1">
        <f t="array" aca="1" ref="C947" ca="1">SUM(IF(ISNUMBER(M947:U947),M947:U947,""))</f>
        <v>0</v>
      </c>
      <c r="D947" s="25" t="str">
        <f t="shared" si="234"/>
        <v/>
      </c>
      <c r="E947" s="25" t="e">
        <f t="shared" si="235"/>
        <v>#VALUE!</v>
      </c>
      <c r="F947" s="25" t="str">
        <f t="shared" si="236"/>
        <v/>
      </c>
      <c r="G947" s="25" t="str">
        <f t="shared" si="237"/>
        <v>.xlsx</v>
      </c>
      <c r="H947" s="29" t="e" cm="1">
        <f t="array" aca="1" ref="H947" ca="1">IF(AND(VALUE(E947)=INDIRECT("'["&amp;G947&amp;"]"&amp;E947&amp;"'!"&amp;$X$2),G947=INDIRECT("'["&amp;G947&amp;"]"&amp;E947&amp;"'!"&amp;$X$3)),INDIRECT("'["&amp;G947&amp;"]"&amp;E947&amp;"'!"&amp;$X$1),0)</f>
        <v>#VALUE!</v>
      </c>
      <c r="I947" s="25" t="str">
        <f t="shared" si="238"/>
        <v/>
      </c>
      <c r="J947" s="32" t="str">
        <f t="shared" si="239"/>
        <v/>
      </c>
      <c r="K947" s="25" t="str">
        <f t="shared" si="240"/>
        <v/>
      </c>
      <c r="L947" s="25" t="str">
        <f t="shared" si="241"/>
        <v/>
      </c>
      <c r="M947" s="33" t="e" cm="1">
        <f t="array" aca="1" ref="M947" ca="1">IF(AND(J947=INDIRECT("'["&amp;G947&amp;"]"&amp;E947&amp;"'!"&amp;$Y$2),G947=INDIRECT("'["&amp;G947&amp;"]"&amp;E947&amp;"'!"&amp;$AH$2)),INDIRECT("'["&amp;G947&amp;"]"&amp;E947&amp;"'!"&amp;$Y$3),0)</f>
        <v>#VALUE!</v>
      </c>
      <c r="N947" s="34" t="e" cm="1">
        <f t="array" aca="1" ref="N947" ca="1">IF(AND(G947=INDIRECT("'["&amp;G947&amp;"]"&amp;E947&amp;"'!"&amp;$AH$2),OR(K947=INDIRECT("'["&amp;G947&amp;"]"&amp;E947&amp;"'!"&amp;$Z$2))),INDIRECT("'["&amp;G947&amp;"]"&amp;E947&amp;"'!"&amp;$Z$3),0)</f>
        <v>#VALUE!</v>
      </c>
      <c r="O947" s="34" t="e" cm="1">
        <f t="array" aca="1" ref="O947" ca="1">IF(AND(G947=INDIRECT("'["&amp;G947&amp;"]"&amp;E947&amp;"'!"&amp;$AH$2),OR(L947=INDIRECT("'["&amp;G947&amp;"]"&amp;E947&amp;"'!"&amp;$AA$2))),INDIRECT("'["&amp;G947&amp;"]"&amp;E947&amp;"'!"&amp;$AA$3),0)</f>
        <v>#VALUE!</v>
      </c>
      <c r="P947" s="34" t="e" cm="1">
        <f t="array" aca="1" ref="P947" ca="1">IF(AND(G947=INDIRECT("'["&amp;G947&amp;"]"&amp;E947&amp;"'!"&amp;$AH$2),OR(VALUE(I947)=INDIRECT("'["&amp;G947&amp;"]"&amp;E947&amp;"'!"&amp;$AB$2))),INDIRECT("'["&amp;G947&amp;"]"&amp;E947&amp;"'!"&amp;$AB$3),0)</f>
        <v>#VALUE!</v>
      </c>
      <c r="Q947" s="34" t="e" cm="1">
        <f t="array" aca="1" ref="Q947" ca="1">IF(AND(G947=INDIRECT("'["&amp;G947&amp;"]"&amp;E947&amp;"'!"&amp;$AH$2),OR(VALUE(I947)=INDIRECT("'["&amp;G947&amp;"]"&amp;E947&amp;"'!"&amp;$AC$2))),INDIRECT("'["&amp;G947&amp;"]"&amp;E947&amp;"'!"&amp;$AC$3),0)</f>
        <v>#VALUE!</v>
      </c>
      <c r="R947" s="34" t="e" cm="1">
        <f t="array" aca="1" ref="R947" ca="1">IF(AND(G947=INDIRECT("'["&amp;G947&amp;"]"&amp;E947&amp;"'!"&amp;$AH$2),OR(I947=INDIRECT("'["&amp;G947&amp;"]"&amp;E947&amp;"'!"&amp;$AD$2))),INDIRECT("'["&amp;G947&amp;"]"&amp;E947&amp;"'!"&amp;$AD$3),0)</f>
        <v>#VALUE!</v>
      </c>
      <c r="S947" s="34" t="e" cm="1">
        <f t="array" aca="1" ref="S947" ca="1">IF(AND(G947=INDIRECT("'["&amp;G947&amp;"]"&amp;E947&amp;"'!"&amp;$AH$2),OR(I947=INDIRECT("'["&amp;G947&amp;"]"&amp;E947&amp;"'!"&amp;$AE$2))),INDIRECT("'["&amp;G947&amp;"]"&amp;E947&amp;"'!"&amp;$AE$3),0)</f>
        <v>#VALUE!</v>
      </c>
      <c r="T947" s="35" t="e" cm="1">
        <f t="array" aca="1" ref="T947" ca="1">IF(AND(G947=INDIRECT("'["&amp;G947&amp;"]"&amp;E947&amp;"'!"&amp;$AH$2),OR(I947=INDIRECT("'["&amp;G947&amp;"]"&amp;E947&amp;"'!"&amp;$AF$2))),INDIRECT("'["&amp;G947&amp;"]"&amp;E947&amp;"'!"&amp;$AF$3),0)</f>
        <v>#VALUE!</v>
      </c>
      <c r="U947" s="34" t="e" cm="1">
        <f t="array" aca="1" ref="U947" ca="1">IF(AND(G947=INDIRECT("'["&amp;G947&amp;"]"&amp;E947&amp;"'!"&amp;$AH$2),OR(I947=INDIRECT("'["&amp;G947&amp;"]"&amp;E947&amp;"'!"&amp;$AG$2))),INDIRECT("'["&amp;G947&amp;"]"&amp;E947&amp;"'!"&amp;$AG$3),0)</f>
        <v>#VALUE!</v>
      </c>
      <c r="V947" s="25" t="str">
        <f t="shared" si="242"/>
        <v/>
      </c>
      <c r="W947" s="36" t="e" cm="1">
        <f t="array" aca="1" ref="W947" ca="1">IF(AND(G947=INDIRECT("'["&amp;G947&amp;"]"&amp;E947&amp;"'!"&amp;$AH$2),OR(V947=INDIRECT("'["&amp;G947&amp;"]"&amp;E947&amp;"'!"&amp;$AI$2))),INDIRECT("'["&amp;G947&amp;"]"&amp;E947&amp;"'!"&amp;$AI$3),0)</f>
        <v>#VALUE!</v>
      </c>
      <c r="AJ947" s="25">
        <v>1</v>
      </c>
      <c r="AK947" s="38">
        <f t="shared" ca="1" si="243"/>
        <v>0</v>
      </c>
      <c r="AL947" s="38">
        <f t="shared" ca="1" si="244"/>
        <v>0</v>
      </c>
      <c r="AM947" s="54" t="str">
        <f t="shared" ca="1" si="245"/>
        <v/>
      </c>
      <c r="AN947" s="25" t="e">
        <f t="shared" ca="1" si="246"/>
        <v>#VALUE!</v>
      </c>
      <c r="AO947" s="25" t="e">
        <f t="shared" ca="1" si="247"/>
        <v>#VALUE!</v>
      </c>
      <c r="AQ947" s="46" t="str">
        <f ca="1">IF(AND(C947&lt;&gt;0, C948=0), SUM($C$2:C947)-SUM($AQ$1:AQ946), "")</f>
        <v/>
      </c>
      <c r="AR947" s="46" t="str">
        <f ca="1">IF(AND(AK947&lt;&gt;0, AK948=0), SUM($AK$2:AK947)-SUM($AR$1:AR946), "")</f>
        <v/>
      </c>
    </row>
    <row r="948" spans="2:44" ht="13.15" customHeight="1">
      <c r="B948" s="68" t="str">
        <f t="shared" si="233"/>
        <v/>
      </c>
      <c r="C948" s="55" cm="1">
        <f t="array" aca="1" ref="C948" ca="1">SUM(IF(ISNUMBER(M948:U948),M948:U948,""))</f>
        <v>0</v>
      </c>
      <c r="D948" s="25" t="str">
        <f t="shared" si="234"/>
        <v/>
      </c>
      <c r="E948" s="25" t="e">
        <f t="shared" si="235"/>
        <v>#VALUE!</v>
      </c>
      <c r="F948" s="25" t="str">
        <f t="shared" si="236"/>
        <v/>
      </c>
      <c r="G948" s="25" t="str">
        <f t="shared" si="237"/>
        <v>.xlsx</v>
      </c>
      <c r="H948" s="29" t="e" cm="1">
        <f t="array" aca="1" ref="H948" ca="1">IF(AND(VALUE(E948)=INDIRECT("'["&amp;G948&amp;"]"&amp;E948&amp;"'!"&amp;$X$2),G948=INDIRECT("'["&amp;G948&amp;"]"&amp;E948&amp;"'!"&amp;$X$3)),INDIRECT("'["&amp;G948&amp;"]"&amp;E948&amp;"'!"&amp;$X$1),0)</f>
        <v>#VALUE!</v>
      </c>
      <c r="I948" s="25" t="str">
        <f t="shared" si="238"/>
        <v/>
      </c>
      <c r="J948" s="32" t="str">
        <f t="shared" si="239"/>
        <v/>
      </c>
      <c r="K948" s="25" t="str">
        <f t="shared" si="240"/>
        <v/>
      </c>
      <c r="L948" s="25" t="str">
        <f t="shared" si="241"/>
        <v/>
      </c>
      <c r="M948" s="33" t="e" cm="1">
        <f t="array" aca="1" ref="M948" ca="1">IF(AND(J948=INDIRECT("'["&amp;G948&amp;"]"&amp;E948&amp;"'!"&amp;$Y$2),G948=INDIRECT("'["&amp;G948&amp;"]"&amp;E948&amp;"'!"&amp;$AH$2)),INDIRECT("'["&amp;G948&amp;"]"&amp;E948&amp;"'!"&amp;$Y$3),0)</f>
        <v>#VALUE!</v>
      </c>
      <c r="N948" s="34" t="e" cm="1">
        <f t="array" aca="1" ref="N948" ca="1">IF(AND(G948=INDIRECT("'["&amp;G948&amp;"]"&amp;E948&amp;"'!"&amp;$AH$2),OR(K948=INDIRECT("'["&amp;G948&amp;"]"&amp;E948&amp;"'!"&amp;$Z$2))),INDIRECT("'["&amp;G948&amp;"]"&amp;E948&amp;"'!"&amp;$Z$3),0)</f>
        <v>#VALUE!</v>
      </c>
      <c r="O948" s="34" t="e" cm="1">
        <f t="array" aca="1" ref="O948" ca="1">IF(AND(G948=INDIRECT("'["&amp;G948&amp;"]"&amp;E948&amp;"'!"&amp;$AH$2),OR(L948=INDIRECT("'["&amp;G948&amp;"]"&amp;E948&amp;"'!"&amp;$AA$2))),INDIRECT("'["&amp;G948&amp;"]"&amp;E948&amp;"'!"&amp;$AA$3),0)</f>
        <v>#VALUE!</v>
      </c>
      <c r="P948" s="34" t="e" cm="1">
        <f t="array" aca="1" ref="P948" ca="1">IF(AND(G948=INDIRECT("'["&amp;G948&amp;"]"&amp;E948&amp;"'!"&amp;$AH$2),OR(VALUE(I948)=INDIRECT("'["&amp;G948&amp;"]"&amp;E948&amp;"'!"&amp;$AB$2))),INDIRECT("'["&amp;G948&amp;"]"&amp;E948&amp;"'!"&amp;$AB$3),0)</f>
        <v>#VALUE!</v>
      </c>
      <c r="Q948" s="34" t="e" cm="1">
        <f t="array" aca="1" ref="Q948" ca="1">IF(AND(G948=INDIRECT("'["&amp;G948&amp;"]"&amp;E948&amp;"'!"&amp;$AH$2),OR(VALUE(I948)=INDIRECT("'["&amp;G948&amp;"]"&amp;E948&amp;"'!"&amp;$AC$2))),INDIRECT("'["&amp;G948&amp;"]"&amp;E948&amp;"'!"&amp;$AC$3),0)</f>
        <v>#VALUE!</v>
      </c>
      <c r="R948" s="34" t="e" cm="1">
        <f t="array" aca="1" ref="R948" ca="1">IF(AND(G948=INDIRECT("'["&amp;G948&amp;"]"&amp;E948&amp;"'!"&amp;$AH$2),OR(I948=INDIRECT("'["&amp;G948&amp;"]"&amp;E948&amp;"'!"&amp;$AD$2))),INDIRECT("'["&amp;G948&amp;"]"&amp;E948&amp;"'!"&amp;$AD$3),0)</f>
        <v>#VALUE!</v>
      </c>
      <c r="S948" s="34" t="e" cm="1">
        <f t="array" aca="1" ref="S948" ca="1">IF(AND(G948=INDIRECT("'["&amp;G948&amp;"]"&amp;E948&amp;"'!"&amp;$AH$2),OR(I948=INDIRECT("'["&amp;G948&amp;"]"&amp;E948&amp;"'!"&amp;$AE$2))),INDIRECT("'["&amp;G948&amp;"]"&amp;E948&amp;"'!"&amp;$AE$3),0)</f>
        <v>#VALUE!</v>
      </c>
      <c r="T948" s="35" t="e" cm="1">
        <f t="array" aca="1" ref="T948" ca="1">IF(AND(G948=INDIRECT("'["&amp;G948&amp;"]"&amp;E948&amp;"'!"&amp;$AH$2),OR(I948=INDIRECT("'["&amp;G948&amp;"]"&amp;E948&amp;"'!"&amp;$AF$2))),INDIRECT("'["&amp;G948&amp;"]"&amp;E948&amp;"'!"&amp;$AF$3),0)</f>
        <v>#VALUE!</v>
      </c>
      <c r="U948" s="34" t="e" cm="1">
        <f t="array" aca="1" ref="U948" ca="1">IF(AND(G948=INDIRECT("'["&amp;G948&amp;"]"&amp;E948&amp;"'!"&amp;$AH$2),OR(I948=INDIRECT("'["&amp;G948&amp;"]"&amp;E948&amp;"'!"&amp;$AG$2))),INDIRECT("'["&amp;G948&amp;"]"&amp;E948&amp;"'!"&amp;$AG$3),0)</f>
        <v>#VALUE!</v>
      </c>
      <c r="V948" s="25" t="str">
        <f t="shared" si="242"/>
        <v/>
      </c>
      <c r="W948" s="36" t="e" cm="1">
        <f t="array" aca="1" ref="W948" ca="1">IF(AND(G948=INDIRECT("'["&amp;G948&amp;"]"&amp;E948&amp;"'!"&amp;$AH$2),OR(V948=INDIRECT("'["&amp;G948&amp;"]"&amp;E948&amp;"'!"&amp;$AI$2))),INDIRECT("'["&amp;G948&amp;"]"&amp;E948&amp;"'!"&amp;$AI$3),0)</f>
        <v>#VALUE!</v>
      </c>
      <c r="AJ948" s="25">
        <v>1</v>
      </c>
      <c r="AK948" s="38">
        <f t="shared" ca="1" si="243"/>
        <v>0</v>
      </c>
      <c r="AL948" s="38">
        <f t="shared" ca="1" si="244"/>
        <v>0</v>
      </c>
      <c r="AM948" s="54" t="str">
        <f t="shared" ca="1" si="245"/>
        <v/>
      </c>
      <c r="AN948" s="25" t="e">
        <f t="shared" ca="1" si="246"/>
        <v>#VALUE!</v>
      </c>
      <c r="AO948" s="25" t="e">
        <f t="shared" ca="1" si="247"/>
        <v>#VALUE!</v>
      </c>
      <c r="AQ948" s="46" t="str">
        <f ca="1">IF(AND(C948&lt;&gt;0, C949=0), SUM($C$2:C948)-SUM($AQ$1:AQ947), "")</f>
        <v/>
      </c>
      <c r="AR948" s="46" t="str">
        <f ca="1">IF(AND(AK948&lt;&gt;0, AK949=0), SUM($AK$2:AK948)-SUM($AR$1:AR947), "")</f>
        <v/>
      </c>
    </row>
    <row r="949" spans="2:44" ht="13.15" customHeight="1">
      <c r="B949" s="68" t="str">
        <f t="shared" ref="B949:B1000" si="248">LEFT(A949,15)</f>
        <v/>
      </c>
      <c r="C949" s="55" cm="1">
        <f t="array" aca="1" ref="C949" ca="1">SUM(IF(ISNUMBER(M949:U949),M949:U949,""))</f>
        <v>0</v>
      </c>
      <c r="D949" s="25" t="str">
        <f t="shared" ref="D949:D1000" si="249">MID(A949,4,2)</f>
        <v/>
      </c>
      <c r="E949" s="25" t="e">
        <f t="shared" ref="E949:E1000" si="250">IF(ISEVEN(D949),D949-1,VALUE(D949))</f>
        <v>#VALUE!</v>
      </c>
      <c r="F949" s="25" t="str">
        <f t="shared" ref="F949:F1000" si="251">LEFT(A949,2)</f>
        <v/>
      </c>
      <c r="G949" s="25" t="str">
        <f t="shared" ref="G949:G1000" si="252">CONCATENATE(F949,".xlsx")</f>
        <v>.xlsx</v>
      </c>
      <c r="H949" s="29" t="e" cm="1">
        <f t="array" aca="1" ref="H949" ca="1">IF(AND(VALUE(E949)=INDIRECT("'["&amp;G949&amp;"]"&amp;E949&amp;"'!"&amp;$X$2),G949=INDIRECT("'["&amp;G949&amp;"]"&amp;E949&amp;"'!"&amp;$X$3)),INDIRECT("'["&amp;G949&amp;"]"&amp;E949&amp;"'!"&amp;$X$1),0)</f>
        <v>#VALUE!</v>
      </c>
      <c r="I949" s="25" t="str">
        <f t="shared" ref="I949:I1000" si="253">MID(A949,10,6)</f>
        <v/>
      </c>
      <c r="J949" s="32" t="str">
        <f t="shared" ref="J949:J1000" si="254">RIGHT(I949,2)</f>
        <v/>
      </c>
      <c r="K949" s="25" t="str">
        <f t="shared" ref="K949:K1000" si="255">LEFT(I949,3)</f>
        <v/>
      </c>
      <c r="L949" s="25" t="str">
        <f t="shared" ref="L949:L1000" si="256">RIGHT(I949,3)</f>
        <v/>
      </c>
      <c r="M949" s="33" t="e" cm="1">
        <f t="array" aca="1" ref="M949" ca="1">IF(AND(J949=INDIRECT("'["&amp;G949&amp;"]"&amp;E949&amp;"'!"&amp;$Y$2),G949=INDIRECT("'["&amp;G949&amp;"]"&amp;E949&amp;"'!"&amp;$AH$2)),INDIRECT("'["&amp;G949&amp;"]"&amp;E949&amp;"'!"&amp;$Y$3),0)</f>
        <v>#VALUE!</v>
      </c>
      <c r="N949" s="34" t="e" cm="1">
        <f t="array" aca="1" ref="N949" ca="1">IF(AND(G949=INDIRECT("'["&amp;G949&amp;"]"&amp;E949&amp;"'!"&amp;$AH$2),OR(K949=INDIRECT("'["&amp;G949&amp;"]"&amp;E949&amp;"'!"&amp;$Z$2))),INDIRECT("'["&amp;G949&amp;"]"&amp;E949&amp;"'!"&amp;$Z$3),0)</f>
        <v>#VALUE!</v>
      </c>
      <c r="O949" s="34" t="e" cm="1">
        <f t="array" aca="1" ref="O949" ca="1">IF(AND(G949=INDIRECT("'["&amp;G949&amp;"]"&amp;E949&amp;"'!"&amp;$AH$2),OR(L949=INDIRECT("'["&amp;G949&amp;"]"&amp;E949&amp;"'!"&amp;$AA$2))),INDIRECT("'["&amp;G949&amp;"]"&amp;E949&amp;"'!"&amp;$AA$3),0)</f>
        <v>#VALUE!</v>
      </c>
      <c r="P949" s="34" t="e" cm="1">
        <f t="array" aca="1" ref="P949" ca="1">IF(AND(G949=INDIRECT("'["&amp;G949&amp;"]"&amp;E949&amp;"'!"&amp;$AH$2),OR(VALUE(I949)=INDIRECT("'["&amp;G949&amp;"]"&amp;E949&amp;"'!"&amp;$AB$2))),INDIRECT("'["&amp;G949&amp;"]"&amp;E949&amp;"'!"&amp;$AB$3),0)</f>
        <v>#VALUE!</v>
      </c>
      <c r="Q949" s="34" t="e" cm="1">
        <f t="array" aca="1" ref="Q949" ca="1">IF(AND(G949=INDIRECT("'["&amp;G949&amp;"]"&amp;E949&amp;"'!"&amp;$AH$2),OR(VALUE(I949)=INDIRECT("'["&amp;G949&amp;"]"&amp;E949&amp;"'!"&amp;$AC$2))),INDIRECT("'["&amp;G949&amp;"]"&amp;E949&amp;"'!"&amp;$AC$3),0)</f>
        <v>#VALUE!</v>
      </c>
      <c r="R949" s="34" t="e" cm="1">
        <f t="array" aca="1" ref="R949" ca="1">IF(AND(G949=INDIRECT("'["&amp;G949&amp;"]"&amp;E949&amp;"'!"&amp;$AH$2),OR(I949=INDIRECT("'["&amp;G949&amp;"]"&amp;E949&amp;"'!"&amp;$AD$2))),INDIRECT("'["&amp;G949&amp;"]"&amp;E949&amp;"'!"&amp;$AD$3),0)</f>
        <v>#VALUE!</v>
      </c>
      <c r="S949" s="34" t="e" cm="1">
        <f t="array" aca="1" ref="S949" ca="1">IF(AND(G949=INDIRECT("'["&amp;G949&amp;"]"&amp;E949&amp;"'!"&amp;$AH$2),OR(I949=INDIRECT("'["&amp;G949&amp;"]"&amp;E949&amp;"'!"&amp;$AE$2))),INDIRECT("'["&amp;G949&amp;"]"&amp;E949&amp;"'!"&amp;$AE$3),0)</f>
        <v>#VALUE!</v>
      </c>
      <c r="T949" s="35" t="e" cm="1">
        <f t="array" aca="1" ref="T949" ca="1">IF(AND(G949=INDIRECT("'["&amp;G949&amp;"]"&amp;E949&amp;"'!"&amp;$AH$2),OR(I949=INDIRECT("'["&amp;G949&amp;"]"&amp;E949&amp;"'!"&amp;$AF$2))),INDIRECT("'["&amp;G949&amp;"]"&amp;E949&amp;"'!"&amp;$AF$3),0)</f>
        <v>#VALUE!</v>
      </c>
      <c r="U949" s="34" t="e" cm="1">
        <f t="array" aca="1" ref="U949" ca="1">IF(AND(G949=INDIRECT("'["&amp;G949&amp;"]"&amp;E949&amp;"'!"&amp;$AH$2),OR(I949=INDIRECT("'["&amp;G949&amp;"]"&amp;E949&amp;"'!"&amp;$AG$2))),INDIRECT("'["&amp;G949&amp;"]"&amp;E949&amp;"'!"&amp;$AG$3),0)</f>
        <v>#VALUE!</v>
      </c>
      <c r="V949" s="25" t="str">
        <f t="shared" ref="V949:V1000" si="257">MID(B949,7,9)</f>
        <v/>
      </c>
      <c r="W949" s="36" t="e" cm="1">
        <f t="array" aca="1" ref="W949" ca="1">IF(AND(G949=INDIRECT("'["&amp;G949&amp;"]"&amp;E949&amp;"'!"&amp;$AH$2),OR(V949=INDIRECT("'["&amp;G949&amp;"]"&amp;E949&amp;"'!"&amp;$AI$2))),INDIRECT("'["&amp;G949&amp;"]"&amp;E949&amp;"'!"&amp;$AI$3),0)</f>
        <v>#VALUE!</v>
      </c>
      <c r="AJ949" s="25">
        <v>1</v>
      </c>
      <c r="AK949" s="38">
        <f t="shared" ref="AK949:AK1000" ca="1" si="258">(C949*AJ949%)</f>
        <v>0</v>
      </c>
      <c r="AL949" s="38">
        <f t="shared" ref="AL949:AL1000" ca="1" si="259">C949-AK949</f>
        <v>0</v>
      </c>
      <c r="AM949" s="54" t="str">
        <f t="shared" ref="AM949:AM1000" ca="1" si="260">IF(A949&lt;&gt;"",IF(AM949="",NOW(),AM949),"")</f>
        <v/>
      </c>
      <c r="AN949" s="25" t="e">
        <f t="shared" ref="AN949:AN1000" ca="1" si="261">IF(VALUE(N949),"/","")</f>
        <v>#VALUE!</v>
      </c>
      <c r="AO949" s="25" t="e">
        <f t="shared" ref="AO949:AO1000" ca="1" si="262">IF(VALUE(O949),"/","")</f>
        <v>#VALUE!</v>
      </c>
      <c r="AQ949" s="46" t="str">
        <f ca="1">IF(AND(C949&lt;&gt;0, C950=0), SUM($C$2:C949)-SUM($AQ$1:AQ948), "")</f>
        <v/>
      </c>
      <c r="AR949" s="46" t="str">
        <f ca="1">IF(AND(AK949&lt;&gt;0, AK950=0), SUM($AK$2:AK949)-SUM($AR$1:AR948), "")</f>
        <v/>
      </c>
    </row>
    <row r="950" spans="2:44" ht="13.15" customHeight="1">
      <c r="B950" s="68" t="str">
        <f t="shared" si="248"/>
        <v/>
      </c>
      <c r="C950" s="55" cm="1">
        <f t="array" aca="1" ref="C950" ca="1">SUM(IF(ISNUMBER(M950:U950),M950:U950,""))</f>
        <v>0</v>
      </c>
      <c r="D950" s="25" t="str">
        <f t="shared" si="249"/>
        <v/>
      </c>
      <c r="E950" s="25" t="e">
        <f t="shared" si="250"/>
        <v>#VALUE!</v>
      </c>
      <c r="F950" s="25" t="str">
        <f t="shared" si="251"/>
        <v/>
      </c>
      <c r="G950" s="25" t="str">
        <f t="shared" si="252"/>
        <v>.xlsx</v>
      </c>
      <c r="H950" s="29" t="e" cm="1">
        <f t="array" aca="1" ref="H950" ca="1">IF(AND(VALUE(E950)=INDIRECT("'["&amp;G950&amp;"]"&amp;E950&amp;"'!"&amp;$X$2),G950=INDIRECT("'["&amp;G950&amp;"]"&amp;E950&amp;"'!"&amp;$X$3)),INDIRECT("'["&amp;G950&amp;"]"&amp;E950&amp;"'!"&amp;$X$1),0)</f>
        <v>#VALUE!</v>
      </c>
      <c r="I950" s="25" t="str">
        <f t="shared" si="253"/>
        <v/>
      </c>
      <c r="J950" s="32" t="str">
        <f t="shared" si="254"/>
        <v/>
      </c>
      <c r="K950" s="25" t="str">
        <f t="shared" si="255"/>
        <v/>
      </c>
      <c r="L950" s="25" t="str">
        <f t="shared" si="256"/>
        <v/>
      </c>
      <c r="M950" s="33" t="e" cm="1">
        <f t="array" aca="1" ref="M950" ca="1">IF(AND(J950=INDIRECT("'["&amp;G950&amp;"]"&amp;E950&amp;"'!"&amp;$Y$2),G950=INDIRECT("'["&amp;G950&amp;"]"&amp;E950&amp;"'!"&amp;$AH$2)),INDIRECT("'["&amp;G950&amp;"]"&amp;E950&amp;"'!"&amp;$Y$3),0)</f>
        <v>#VALUE!</v>
      </c>
      <c r="N950" s="34" t="e" cm="1">
        <f t="array" aca="1" ref="N950" ca="1">IF(AND(G950=INDIRECT("'["&amp;G950&amp;"]"&amp;E950&amp;"'!"&amp;$AH$2),OR(K950=INDIRECT("'["&amp;G950&amp;"]"&amp;E950&amp;"'!"&amp;$Z$2))),INDIRECT("'["&amp;G950&amp;"]"&amp;E950&amp;"'!"&amp;$Z$3),0)</f>
        <v>#VALUE!</v>
      </c>
      <c r="O950" s="34" t="e" cm="1">
        <f t="array" aca="1" ref="O950" ca="1">IF(AND(G950=INDIRECT("'["&amp;G950&amp;"]"&amp;E950&amp;"'!"&amp;$AH$2),OR(L950=INDIRECT("'["&amp;G950&amp;"]"&amp;E950&amp;"'!"&amp;$AA$2))),INDIRECT("'["&amp;G950&amp;"]"&amp;E950&amp;"'!"&amp;$AA$3),0)</f>
        <v>#VALUE!</v>
      </c>
      <c r="P950" s="34" t="e" cm="1">
        <f t="array" aca="1" ref="P950" ca="1">IF(AND(G950=INDIRECT("'["&amp;G950&amp;"]"&amp;E950&amp;"'!"&amp;$AH$2),OR(VALUE(I950)=INDIRECT("'["&amp;G950&amp;"]"&amp;E950&amp;"'!"&amp;$AB$2))),INDIRECT("'["&amp;G950&amp;"]"&amp;E950&amp;"'!"&amp;$AB$3),0)</f>
        <v>#VALUE!</v>
      </c>
      <c r="Q950" s="34" t="e" cm="1">
        <f t="array" aca="1" ref="Q950" ca="1">IF(AND(G950=INDIRECT("'["&amp;G950&amp;"]"&amp;E950&amp;"'!"&amp;$AH$2),OR(VALUE(I950)=INDIRECT("'["&amp;G950&amp;"]"&amp;E950&amp;"'!"&amp;$AC$2))),INDIRECT("'["&amp;G950&amp;"]"&amp;E950&amp;"'!"&amp;$AC$3),0)</f>
        <v>#VALUE!</v>
      </c>
      <c r="R950" s="34" t="e" cm="1">
        <f t="array" aca="1" ref="R950" ca="1">IF(AND(G950=INDIRECT("'["&amp;G950&amp;"]"&amp;E950&amp;"'!"&amp;$AH$2),OR(I950=INDIRECT("'["&amp;G950&amp;"]"&amp;E950&amp;"'!"&amp;$AD$2))),INDIRECT("'["&amp;G950&amp;"]"&amp;E950&amp;"'!"&amp;$AD$3),0)</f>
        <v>#VALUE!</v>
      </c>
      <c r="S950" s="34" t="e" cm="1">
        <f t="array" aca="1" ref="S950" ca="1">IF(AND(G950=INDIRECT("'["&amp;G950&amp;"]"&amp;E950&amp;"'!"&amp;$AH$2),OR(I950=INDIRECT("'["&amp;G950&amp;"]"&amp;E950&amp;"'!"&amp;$AE$2))),INDIRECT("'["&amp;G950&amp;"]"&amp;E950&amp;"'!"&amp;$AE$3),0)</f>
        <v>#VALUE!</v>
      </c>
      <c r="T950" s="35" t="e" cm="1">
        <f t="array" aca="1" ref="T950" ca="1">IF(AND(G950=INDIRECT("'["&amp;G950&amp;"]"&amp;E950&amp;"'!"&amp;$AH$2),OR(I950=INDIRECT("'["&amp;G950&amp;"]"&amp;E950&amp;"'!"&amp;$AF$2))),INDIRECT("'["&amp;G950&amp;"]"&amp;E950&amp;"'!"&amp;$AF$3),0)</f>
        <v>#VALUE!</v>
      </c>
      <c r="U950" s="34" t="e" cm="1">
        <f t="array" aca="1" ref="U950" ca="1">IF(AND(G950=INDIRECT("'["&amp;G950&amp;"]"&amp;E950&amp;"'!"&amp;$AH$2),OR(I950=INDIRECT("'["&amp;G950&amp;"]"&amp;E950&amp;"'!"&amp;$AG$2))),INDIRECT("'["&amp;G950&amp;"]"&amp;E950&amp;"'!"&amp;$AG$3),0)</f>
        <v>#VALUE!</v>
      </c>
      <c r="V950" s="25" t="str">
        <f t="shared" si="257"/>
        <v/>
      </c>
      <c r="W950" s="36" t="e" cm="1">
        <f t="array" aca="1" ref="W950" ca="1">IF(AND(G950=INDIRECT("'["&amp;G950&amp;"]"&amp;E950&amp;"'!"&amp;$AH$2),OR(V950=INDIRECT("'["&amp;G950&amp;"]"&amp;E950&amp;"'!"&amp;$AI$2))),INDIRECT("'["&amp;G950&amp;"]"&amp;E950&amp;"'!"&amp;$AI$3),0)</f>
        <v>#VALUE!</v>
      </c>
      <c r="AJ950" s="25">
        <v>1</v>
      </c>
      <c r="AK950" s="38">
        <f t="shared" ca="1" si="258"/>
        <v>0</v>
      </c>
      <c r="AL950" s="38">
        <f t="shared" ca="1" si="259"/>
        <v>0</v>
      </c>
      <c r="AM950" s="54" t="str">
        <f t="shared" ca="1" si="260"/>
        <v/>
      </c>
      <c r="AN950" s="25" t="e">
        <f t="shared" ca="1" si="261"/>
        <v>#VALUE!</v>
      </c>
      <c r="AO950" s="25" t="e">
        <f t="shared" ca="1" si="262"/>
        <v>#VALUE!</v>
      </c>
      <c r="AQ950" s="46" t="str">
        <f ca="1">IF(AND(C950&lt;&gt;0, C951=0), SUM($C$2:C950)-SUM($AQ$1:AQ949), "")</f>
        <v/>
      </c>
      <c r="AR950" s="46" t="str">
        <f ca="1">IF(AND(AK950&lt;&gt;0, AK951=0), SUM($AK$2:AK950)-SUM($AR$1:AR949), "")</f>
        <v/>
      </c>
    </row>
    <row r="951" spans="2:44" ht="13.15" customHeight="1">
      <c r="B951" s="68" t="str">
        <f t="shared" si="248"/>
        <v/>
      </c>
      <c r="C951" s="55" cm="1">
        <f t="array" aca="1" ref="C951" ca="1">SUM(IF(ISNUMBER(M951:U951),M951:U951,""))</f>
        <v>0</v>
      </c>
      <c r="D951" s="25" t="str">
        <f t="shared" si="249"/>
        <v/>
      </c>
      <c r="E951" s="25" t="e">
        <f t="shared" si="250"/>
        <v>#VALUE!</v>
      </c>
      <c r="F951" s="25" t="str">
        <f t="shared" si="251"/>
        <v/>
      </c>
      <c r="G951" s="25" t="str">
        <f t="shared" si="252"/>
        <v>.xlsx</v>
      </c>
      <c r="H951" s="29" t="e" cm="1">
        <f t="array" aca="1" ref="H951" ca="1">IF(AND(VALUE(E951)=INDIRECT("'["&amp;G951&amp;"]"&amp;E951&amp;"'!"&amp;$X$2),G951=INDIRECT("'["&amp;G951&amp;"]"&amp;E951&amp;"'!"&amp;$X$3)),INDIRECT("'["&amp;G951&amp;"]"&amp;E951&amp;"'!"&amp;$X$1),0)</f>
        <v>#VALUE!</v>
      </c>
      <c r="I951" s="25" t="str">
        <f t="shared" si="253"/>
        <v/>
      </c>
      <c r="J951" s="32" t="str">
        <f t="shared" si="254"/>
        <v/>
      </c>
      <c r="K951" s="25" t="str">
        <f t="shared" si="255"/>
        <v/>
      </c>
      <c r="L951" s="25" t="str">
        <f t="shared" si="256"/>
        <v/>
      </c>
      <c r="M951" s="33" t="e" cm="1">
        <f t="array" aca="1" ref="M951" ca="1">IF(AND(J951=INDIRECT("'["&amp;G951&amp;"]"&amp;E951&amp;"'!"&amp;$Y$2),G951=INDIRECT("'["&amp;G951&amp;"]"&amp;E951&amp;"'!"&amp;$AH$2)),INDIRECT("'["&amp;G951&amp;"]"&amp;E951&amp;"'!"&amp;$Y$3),0)</f>
        <v>#VALUE!</v>
      </c>
      <c r="N951" s="34" t="e" cm="1">
        <f t="array" aca="1" ref="N951" ca="1">IF(AND(G951=INDIRECT("'["&amp;G951&amp;"]"&amp;E951&amp;"'!"&amp;$AH$2),OR(K951=INDIRECT("'["&amp;G951&amp;"]"&amp;E951&amp;"'!"&amp;$Z$2))),INDIRECT("'["&amp;G951&amp;"]"&amp;E951&amp;"'!"&amp;$Z$3),0)</f>
        <v>#VALUE!</v>
      </c>
      <c r="O951" s="34" t="e" cm="1">
        <f t="array" aca="1" ref="O951" ca="1">IF(AND(G951=INDIRECT("'["&amp;G951&amp;"]"&amp;E951&amp;"'!"&amp;$AH$2),OR(L951=INDIRECT("'["&amp;G951&amp;"]"&amp;E951&amp;"'!"&amp;$AA$2))),INDIRECT("'["&amp;G951&amp;"]"&amp;E951&amp;"'!"&amp;$AA$3),0)</f>
        <v>#VALUE!</v>
      </c>
      <c r="P951" s="34" t="e" cm="1">
        <f t="array" aca="1" ref="P951" ca="1">IF(AND(G951=INDIRECT("'["&amp;G951&amp;"]"&amp;E951&amp;"'!"&amp;$AH$2),OR(VALUE(I951)=INDIRECT("'["&amp;G951&amp;"]"&amp;E951&amp;"'!"&amp;$AB$2))),INDIRECT("'["&amp;G951&amp;"]"&amp;E951&amp;"'!"&amp;$AB$3),0)</f>
        <v>#VALUE!</v>
      </c>
      <c r="Q951" s="34" t="e" cm="1">
        <f t="array" aca="1" ref="Q951" ca="1">IF(AND(G951=INDIRECT("'["&amp;G951&amp;"]"&amp;E951&amp;"'!"&amp;$AH$2),OR(VALUE(I951)=INDIRECT("'["&amp;G951&amp;"]"&amp;E951&amp;"'!"&amp;$AC$2))),INDIRECT("'["&amp;G951&amp;"]"&amp;E951&amp;"'!"&amp;$AC$3),0)</f>
        <v>#VALUE!</v>
      </c>
      <c r="R951" s="34" t="e" cm="1">
        <f t="array" aca="1" ref="R951" ca="1">IF(AND(G951=INDIRECT("'["&amp;G951&amp;"]"&amp;E951&amp;"'!"&amp;$AH$2),OR(I951=INDIRECT("'["&amp;G951&amp;"]"&amp;E951&amp;"'!"&amp;$AD$2))),INDIRECT("'["&amp;G951&amp;"]"&amp;E951&amp;"'!"&amp;$AD$3),0)</f>
        <v>#VALUE!</v>
      </c>
      <c r="S951" s="34" t="e" cm="1">
        <f t="array" aca="1" ref="S951" ca="1">IF(AND(G951=INDIRECT("'["&amp;G951&amp;"]"&amp;E951&amp;"'!"&amp;$AH$2),OR(I951=INDIRECT("'["&amp;G951&amp;"]"&amp;E951&amp;"'!"&amp;$AE$2))),INDIRECT("'["&amp;G951&amp;"]"&amp;E951&amp;"'!"&amp;$AE$3),0)</f>
        <v>#VALUE!</v>
      </c>
      <c r="T951" s="35" t="e" cm="1">
        <f t="array" aca="1" ref="T951" ca="1">IF(AND(G951=INDIRECT("'["&amp;G951&amp;"]"&amp;E951&amp;"'!"&amp;$AH$2),OR(I951=INDIRECT("'["&amp;G951&amp;"]"&amp;E951&amp;"'!"&amp;$AF$2))),INDIRECT("'["&amp;G951&amp;"]"&amp;E951&amp;"'!"&amp;$AF$3),0)</f>
        <v>#VALUE!</v>
      </c>
      <c r="U951" s="34" t="e" cm="1">
        <f t="array" aca="1" ref="U951" ca="1">IF(AND(G951=INDIRECT("'["&amp;G951&amp;"]"&amp;E951&amp;"'!"&amp;$AH$2),OR(I951=INDIRECT("'["&amp;G951&amp;"]"&amp;E951&amp;"'!"&amp;$AG$2))),INDIRECT("'["&amp;G951&amp;"]"&amp;E951&amp;"'!"&amp;$AG$3),0)</f>
        <v>#VALUE!</v>
      </c>
      <c r="V951" s="25" t="str">
        <f t="shared" si="257"/>
        <v/>
      </c>
      <c r="W951" s="36" t="e" cm="1">
        <f t="array" aca="1" ref="W951" ca="1">IF(AND(G951=INDIRECT("'["&amp;G951&amp;"]"&amp;E951&amp;"'!"&amp;$AH$2),OR(V951=INDIRECT("'["&amp;G951&amp;"]"&amp;E951&amp;"'!"&amp;$AI$2))),INDIRECT("'["&amp;G951&amp;"]"&amp;E951&amp;"'!"&amp;$AI$3),0)</f>
        <v>#VALUE!</v>
      </c>
      <c r="AJ951" s="25">
        <v>1</v>
      </c>
      <c r="AK951" s="38">
        <f t="shared" ca="1" si="258"/>
        <v>0</v>
      </c>
      <c r="AL951" s="38">
        <f t="shared" ca="1" si="259"/>
        <v>0</v>
      </c>
      <c r="AM951" s="54" t="str">
        <f t="shared" ca="1" si="260"/>
        <v/>
      </c>
      <c r="AN951" s="25" t="e">
        <f t="shared" ca="1" si="261"/>
        <v>#VALUE!</v>
      </c>
      <c r="AO951" s="25" t="e">
        <f t="shared" ca="1" si="262"/>
        <v>#VALUE!</v>
      </c>
      <c r="AQ951" s="46" t="str">
        <f ca="1">IF(AND(C951&lt;&gt;0, C952=0), SUM($C$2:C951)-SUM($AQ$1:AQ950), "")</f>
        <v/>
      </c>
      <c r="AR951" s="46" t="str">
        <f ca="1">IF(AND(AK951&lt;&gt;0, AK952=0), SUM($AK$2:AK951)-SUM($AR$1:AR950), "")</f>
        <v/>
      </c>
    </row>
    <row r="952" spans="2:44" ht="13.15" customHeight="1">
      <c r="B952" s="68" t="str">
        <f t="shared" si="248"/>
        <v/>
      </c>
      <c r="C952" s="55" cm="1">
        <f t="array" aca="1" ref="C952" ca="1">SUM(IF(ISNUMBER(M952:U952),M952:U952,""))</f>
        <v>0</v>
      </c>
      <c r="D952" s="25" t="str">
        <f t="shared" si="249"/>
        <v/>
      </c>
      <c r="E952" s="25" t="e">
        <f t="shared" si="250"/>
        <v>#VALUE!</v>
      </c>
      <c r="F952" s="25" t="str">
        <f t="shared" si="251"/>
        <v/>
      </c>
      <c r="G952" s="25" t="str">
        <f t="shared" si="252"/>
        <v>.xlsx</v>
      </c>
      <c r="H952" s="29" t="e" cm="1">
        <f t="array" aca="1" ref="H952" ca="1">IF(AND(VALUE(E952)=INDIRECT("'["&amp;G952&amp;"]"&amp;E952&amp;"'!"&amp;$X$2),G952=INDIRECT("'["&amp;G952&amp;"]"&amp;E952&amp;"'!"&amp;$X$3)),INDIRECT("'["&amp;G952&amp;"]"&amp;E952&amp;"'!"&amp;$X$1),0)</f>
        <v>#VALUE!</v>
      </c>
      <c r="I952" s="25" t="str">
        <f t="shared" si="253"/>
        <v/>
      </c>
      <c r="J952" s="32" t="str">
        <f t="shared" si="254"/>
        <v/>
      </c>
      <c r="K952" s="25" t="str">
        <f t="shared" si="255"/>
        <v/>
      </c>
      <c r="L952" s="25" t="str">
        <f t="shared" si="256"/>
        <v/>
      </c>
      <c r="M952" s="33" t="e" cm="1">
        <f t="array" aca="1" ref="M952" ca="1">IF(AND(J952=INDIRECT("'["&amp;G952&amp;"]"&amp;E952&amp;"'!"&amp;$Y$2),G952=INDIRECT("'["&amp;G952&amp;"]"&amp;E952&amp;"'!"&amp;$AH$2)),INDIRECT("'["&amp;G952&amp;"]"&amp;E952&amp;"'!"&amp;$Y$3),0)</f>
        <v>#VALUE!</v>
      </c>
      <c r="N952" s="34" t="e" cm="1">
        <f t="array" aca="1" ref="N952" ca="1">IF(AND(G952=INDIRECT("'["&amp;G952&amp;"]"&amp;E952&amp;"'!"&amp;$AH$2),OR(K952=INDIRECT("'["&amp;G952&amp;"]"&amp;E952&amp;"'!"&amp;$Z$2))),INDIRECT("'["&amp;G952&amp;"]"&amp;E952&amp;"'!"&amp;$Z$3),0)</f>
        <v>#VALUE!</v>
      </c>
      <c r="O952" s="34" t="e" cm="1">
        <f t="array" aca="1" ref="O952" ca="1">IF(AND(G952=INDIRECT("'["&amp;G952&amp;"]"&amp;E952&amp;"'!"&amp;$AH$2),OR(L952=INDIRECT("'["&amp;G952&amp;"]"&amp;E952&amp;"'!"&amp;$AA$2))),INDIRECT("'["&amp;G952&amp;"]"&amp;E952&amp;"'!"&amp;$AA$3),0)</f>
        <v>#VALUE!</v>
      </c>
      <c r="P952" s="34" t="e" cm="1">
        <f t="array" aca="1" ref="P952" ca="1">IF(AND(G952=INDIRECT("'["&amp;G952&amp;"]"&amp;E952&amp;"'!"&amp;$AH$2),OR(VALUE(I952)=INDIRECT("'["&amp;G952&amp;"]"&amp;E952&amp;"'!"&amp;$AB$2))),INDIRECT("'["&amp;G952&amp;"]"&amp;E952&amp;"'!"&amp;$AB$3),0)</f>
        <v>#VALUE!</v>
      </c>
      <c r="Q952" s="34" t="e" cm="1">
        <f t="array" aca="1" ref="Q952" ca="1">IF(AND(G952=INDIRECT("'["&amp;G952&amp;"]"&amp;E952&amp;"'!"&amp;$AH$2),OR(VALUE(I952)=INDIRECT("'["&amp;G952&amp;"]"&amp;E952&amp;"'!"&amp;$AC$2))),INDIRECT("'["&amp;G952&amp;"]"&amp;E952&amp;"'!"&amp;$AC$3),0)</f>
        <v>#VALUE!</v>
      </c>
      <c r="R952" s="34" t="e" cm="1">
        <f t="array" aca="1" ref="R952" ca="1">IF(AND(G952=INDIRECT("'["&amp;G952&amp;"]"&amp;E952&amp;"'!"&amp;$AH$2),OR(I952=INDIRECT("'["&amp;G952&amp;"]"&amp;E952&amp;"'!"&amp;$AD$2))),INDIRECT("'["&amp;G952&amp;"]"&amp;E952&amp;"'!"&amp;$AD$3),0)</f>
        <v>#VALUE!</v>
      </c>
      <c r="S952" s="34" t="e" cm="1">
        <f t="array" aca="1" ref="S952" ca="1">IF(AND(G952=INDIRECT("'["&amp;G952&amp;"]"&amp;E952&amp;"'!"&amp;$AH$2),OR(I952=INDIRECT("'["&amp;G952&amp;"]"&amp;E952&amp;"'!"&amp;$AE$2))),INDIRECT("'["&amp;G952&amp;"]"&amp;E952&amp;"'!"&amp;$AE$3),0)</f>
        <v>#VALUE!</v>
      </c>
      <c r="T952" s="35" t="e" cm="1">
        <f t="array" aca="1" ref="T952" ca="1">IF(AND(G952=INDIRECT("'["&amp;G952&amp;"]"&amp;E952&amp;"'!"&amp;$AH$2),OR(I952=INDIRECT("'["&amp;G952&amp;"]"&amp;E952&amp;"'!"&amp;$AF$2))),INDIRECT("'["&amp;G952&amp;"]"&amp;E952&amp;"'!"&amp;$AF$3),0)</f>
        <v>#VALUE!</v>
      </c>
      <c r="U952" s="34" t="e" cm="1">
        <f t="array" aca="1" ref="U952" ca="1">IF(AND(G952=INDIRECT("'["&amp;G952&amp;"]"&amp;E952&amp;"'!"&amp;$AH$2),OR(I952=INDIRECT("'["&amp;G952&amp;"]"&amp;E952&amp;"'!"&amp;$AG$2))),INDIRECT("'["&amp;G952&amp;"]"&amp;E952&amp;"'!"&amp;$AG$3),0)</f>
        <v>#VALUE!</v>
      </c>
      <c r="V952" s="25" t="str">
        <f t="shared" si="257"/>
        <v/>
      </c>
      <c r="W952" s="36" t="e" cm="1">
        <f t="array" aca="1" ref="W952" ca="1">IF(AND(G952=INDIRECT("'["&amp;G952&amp;"]"&amp;E952&amp;"'!"&amp;$AH$2),OR(V952=INDIRECT("'["&amp;G952&amp;"]"&amp;E952&amp;"'!"&amp;$AI$2))),INDIRECT("'["&amp;G952&amp;"]"&amp;E952&amp;"'!"&amp;$AI$3),0)</f>
        <v>#VALUE!</v>
      </c>
      <c r="AJ952" s="25">
        <v>1</v>
      </c>
      <c r="AK952" s="38">
        <f t="shared" ca="1" si="258"/>
        <v>0</v>
      </c>
      <c r="AL952" s="38">
        <f t="shared" ca="1" si="259"/>
        <v>0</v>
      </c>
      <c r="AM952" s="54" t="str">
        <f t="shared" ca="1" si="260"/>
        <v/>
      </c>
      <c r="AN952" s="25" t="e">
        <f t="shared" ca="1" si="261"/>
        <v>#VALUE!</v>
      </c>
      <c r="AO952" s="25" t="e">
        <f t="shared" ca="1" si="262"/>
        <v>#VALUE!</v>
      </c>
      <c r="AQ952" s="46" t="str">
        <f ca="1">IF(AND(C952&lt;&gt;0, C953=0), SUM($C$2:C952)-SUM($AQ$1:AQ951), "")</f>
        <v/>
      </c>
      <c r="AR952" s="46" t="str">
        <f ca="1">IF(AND(AK952&lt;&gt;0, AK953=0), SUM($AK$2:AK952)-SUM($AR$1:AR951), "")</f>
        <v/>
      </c>
    </row>
    <row r="953" spans="2:44" ht="13.15" customHeight="1">
      <c r="B953" s="68" t="str">
        <f t="shared" si="248"/>
        <v/>
      </c>
      <c r="C953" s="55" cm="1">
        <f t="array" aca="1" ref="C953" ca="1">SUM(IF(ISNUMBER(M953:U953),M953:U953,""))</f>
        <v>0</v>
      </c>
      <c r="D953" s="25" t="str">
        <f t="shared" si="249"/>
        <v/>
      </c>
      <c r="E953" s="25" t="e">
        <f t="shared" si="250"/>
        <v>#VALUE!</v>
      </c>
      <c r="F953" s="25" t="str">
        <f t="shared" si="251"/>
        <v/>
      </c>
      <c r="G953" s="25" t="str">
        <f t="shared" si="252"/>
        <v>.xlsx</v>
      </c>
      <c r="H953" s="29" t="e" cm="1">
        <f t="array" aca="1" ref="H953" ca="1">IF(AND(VALUE(E953)=INDIRECT("'["&amp;G953&amp;"]"&amp;E953&amp;"'!"&amp;$X$2),G953=INDIRECT("'["&amp;G953&amp;"]"&amp;E953&amp;"'!"&amp;$X$3)),INDIRECT("'["&amp;G953&amp;"]"&amp;E953&amp;"'!"&amp;$X$1),0)</f>
        <v>#VALUE!</v>
      </c>
      <c r="I953" s="25" t="str">
        <f t="shared" si="253"/>
        <v/>
      </c>
      <c r="J953" s="32" t="str">
        <f t="shared" si="254"/>
        <v/>
      </c>
      <c r="K953" s="25" t="str">
        <f t="shared" si="255"/>
        <v/>
      </c>
      <c r="L953" s="25" t="str">
        <f t="shared" si="256"/>
        <v/>
      </c>
      <c r="M953" s="33" t="e" cm="1">
        <f t="array" aca="1" ref="M953" ca="1">IF(AND(J953=INDIRECT("'["&amp;G953&amp;"]"&amp;E953&amp;"'!"&amp;$Y$2),G953=INDIRECT("'["&amp;G953&amp;"]"&amp;E953&amp;"'!"&amp;$AH$2)),INDIRECT("'["&amp;G953&amp;"]"&amp;E953&amp;"'!"&amp;$Y$3),0)</f>
        <v>#VALUE!</v>
      </c>
      <c r="N953" s="34" t="e" cm="1">
        <f t="array" aca="1" ref="N953" ca="1">IF(AND(G953=INDIRECT("'["&amp;G953&amp;"]"&amp;E953&amp;"'!"&amp;$AH$2),OR(K953=INDIRECT("'["&amp;G953&amp;"]"&amp;E953&amp;"'!"&amp;$Z$2))),INDIRECT("'["&amp;G953&amp;"]"&amp;E953&amp;"'!"&amp;$Z$3),0)</f>
        <v>#VALUE!</v>
      </c>
      <c r="O953" s="34" t="e" cm="1">
        <f t="array" aca="1" ref="O953" ca="1">IF(AND(G953=INDIRECT("'["&amp;G953&amp;"]"&amp;E953&amp;"'!"&amp;$AH$2),OR(L953=INDIRECT("'["&amp;G953&amp;"]"&amp;E953&amp;"'!"&amp;$AA$2))),INDIRECT("'["&amp;G953&amp;"]"&amp;E953&amp;"'!"&amp;$AA$3),0)</f>
        <v>#VALUE!</v>
      </c>
      <c r="P953" s="34" t="e" cm="1">
        <f t="array" aca="1" ref="P953" ca="1">IF(AND(G953=INDIRECT("'["&amp;G953&amp;"]"&amp;E953&amp;"'!"&amp;$AH$2),OR(VALUE(I953)=INDIRECT("'["&amp;G953&amp;"]"&amp;E953&amp;"'!"&amp;$AB$2))),INDIRECT("'["&amp;G953&amp;"]"&amp;E953&amp;"'!"&amp;$AB$3),0)</f>
        <v>#VALUE!</v>
      </c>
      <c r="Q953" s="34" t="e" cm="1">
        <f t="array" aca="1" ref="Q953" ca="1">IF(AND(G953=INDIRECT("'["&amp;G953&amp;"]"&amp;E953&amp;"'!"&amp;$AH$2),OR(VALUE(I953)=INDIRECT("'["&amp;G953&amp;"]"&amp;E953&amp;"'!"&amp;$AC$2))),INDIRECT("'["&amp;G953&amp;"]"&amp;E953&amp;"'!"&amp;$AC$3),0)</f>
        <v>#VALUE!</v>
      </c>
      <c r="R953" s="34" t="e" cm="1">
        <f t="array" aca="1" ref="R953" ca="1">IF(AND(G953=INDIRECT("'["&amp;G953&amp;"]"&amp;E953&amp;"'!"&amp;$AH$2),OR(I953=INDIRECT("'["&amp;G953&amp;"]"&amp;E953&amp;"'!"&amp;$AD$2))),INDIRECT("'["&amp;G953&amp;"]"&amp;E953&amp;"'!"&amp;$AD$3),0)</f>
        <v>#VALUE!</v>
      </c>
      <c r="S953" s="34" t="e" cm="1">
        <f t="array" aca="1" ref="S953" ca="1">IF(AND(G953=INDIRECT("'["&amp;G953&amp;"]"&amp;E953&amp;"'!"&amp;$AH$2),OR(I953=INDIRECT("'["&amp;G953&amp;"]"&amp;E953&amp;"'!"&amp;$AE$2))),INDIRECT("'["&amp;G953&amp;"]"&amp;E953&amp;"'!"&amp;$AE$3),0)</f>
        <v>#VALUE!</v>
      </c>
      <c r="T953" s="35" t="e" cm="1">
        <f t="array" aca="1" ref="T953" ca="1">IF(AND(G953=INDIRECT("'["&amp;G953&amp;"]"&amp;E953&amp;"'!"&amp;$AH$2),OR(I953=INDIRECT("'["&amp;G953&amp;"]"&amp;E953&amp;"'!"&amp;$AF$2))),INDIRECT("'["&amp;G953&amp;"]"&amp;E953&amp;"'!"&amp;$AF$3),0)</f>
        <v>#VALUE!</v>
      </c>
      <c r="U953" s="34" t="e" cm="1">
        <f t="array" aca="1" ref="U953" ca="1">IF(AND(G953=INDIRECT("'["&amp;G953&amp;"]"&amp;E953&amp;"'!"&amp;$AH$2),OR(I953=INDIRECT("'["&amp;G953&amp;"]"&amp;E953&amp;"'!"&amp;$AG$2))),INDIRECT("'["&amp;G953&amp;"]"&amp;E953&amp;"'!"&amp;$AG$3),0)</f>
        <v>#VALUE!</v>
      </c>
      <c r="V953" s="25" t="str">
        <f t="shared" si="257"/>
        <v/>
      </c>
      <c r="W953" s="36" t="e" cm="1">
        <f t="array" aca="1" ref="W953" ca="1">IF(AND(G953=INDIRECT("'["&amp;G953&amp;"]"&amp;E953&amp;"'!"&amp;$AH$2),OR(V953=INDIRECT("'["&amp;G953&amp;"]"&amp;E953&amp;"'!"&amp;$AI$2))),INDIRECT("'["&amp;G953&amp;"]"&amp;E953&amp;"'!"&amp;$AI$3),0)</f>
        <v>#VALUE!</v>
      </c>
      <c r="AJ953" s="25">
        <v>1</v>
      </c>
      <c r="AK953" s="38">
        <f t="shared" ca="1" si="258"/>
        <v>0</v>
      </c>
      <c r="AL953" s="38">
        <f t="shared" ca="1" si="259"/>
        <v>0</v>
      </c>
      <c r="AM953" s="54" t="str">
        <f t="shared" ca="1" si="260"/>
        <v/>
      </c>
      <c r="AN953" s="25" t="e">
        <f t="shared" ca="1" si="261"/>
        <v>#VALUE!</v>
      </c>
      <c r="AO953" s="25" t="e">
        <f t="shared" ca="1" si="262"/>
        <v>#VALUE!</v>
      </c>
      <c r="AQ953" s="46" t="str">
        <f ca="1">IF(AND(C953&lt;&gt;0, C954=0), SUM($C$2:C953)-SUM($AQ$1:AQ952), "")</f>
        <v/>
      </c>
      <c r="AR953" s="46" t="str">
        <f ca="1">IF(AND(AK953&lt;&gt;0, AK954=0), SUM($AK$2:AK953)-SUM($AR$1:AR952), "")</f>
        <v/>
      </c>
    </row>
    <row r="954" spans="2:44" ht="13.15" customHeight="1">
      <c r="B954" s="68" t="str">
        <f t="shared" si="248"/>
        <v/>
      </c>
      <c r="C954" s="55" cm="1">
        <f t="array" aca="1" ref="C954" ca="1">SUM(IF(ISNUMBER(M954:U954),M954:U954,""))</f>
        <v>0</v>
      </c>
      <c r="D954" s="25" t="str">
        <f t="shared" si="249"/>
        <v/>
      </c>
      <c r="E954" s="25" t="e">
        <f t="shared" si="250"/>
        <v>#VALUE!</v>
      </c>
      <c r="F954" s="25" t="str">
        <f t="shared" si="251"/>
        <v/>
      </c>
      <c r="G954" s="25" t="str">
        <f t="shared" si="252"/>
        <v>.xlsx</v>
      </c>
      <c r="H954" s="29" t="e" cm="1">
        <f t="array" aca="1" ref="H954" ca="1">IF(AND(VALUE(E954)=INDIRECT("'["&amp;G954&amp;"]"&amp;E954&amp;"'!"&amp;$X$2),G954=INDIRECT("'["&amp;G954&amp;"]"&amp;E954&amp;"'!"&amp;$X$3)),INDIRECT("'["&amp;G954&amp;"]"&amp;E954&amp;"'!"&amp;$X$1),0)</f>
        <v>#VALUE!</v>
      </c>
      <c r="I954" s="25" t="str">
        <f t="shared" si="253"/>
        <v/>
      </c>
      <c r="J954" s="32" t="str">
        <f t="shared" si="254"/>
        <v/>
      </c>
      <c r="K954" s="25" t="str">
        <f t="shared" si="255"/>
        <v/>
      </c>
      <c r="L954" s="25" t="str">
        <f t="shared" si="256"/>
        <v/>
      </c>
      <c r="M954" s="33" t="e" cm="1">
        <f t="array" aca="1" ref="M954" ca="1">IF(AND(J954=INDIRECT("'["&amp;G954&amp;"]"&amp;E954&amp;"'!"&amp;$Y$2),G954=INDIRECT("'["&amp;G954&amp;"]"&amp;E954&amp;"'!"&amp;$AH$2)),INDIRECT("'["&amp;G954&amp;"]"&amp;E954&amp;"'!"&amp;$Y$3),0)</f>
        <v>#VALUE!</v>
      </c>
      <c r="N954" s="34" t="e" cm="1">
        <f t="array" aca="1" ref="N954" ca="1">IF(AND(G954=INDIRECT("'["&amp;G954&amp;"]"&amp;E954&amp;"'!"&amp;$AH$2),OR(K954=INDIRECT("'["&amp;G954&amp;"]"&amp;E954&amp;"'!"&amp;$Z$2))),INDIRECT("'["&amp;G954&amp;"]"&amp;E954&amp;"'!"&amp;$Z$3),0)</f>
        <v>#VALUE!</v>
      </c>
      <c r="O954" s="34" t="e" cm="1">
        <f t="array" aca="1" ref="O954" ca="1">IF(AND(G954=INDIRECT("'["&amp;G954&amp;"]"&amp;E954&amp;"'!"&amp;$AH$2),OR(L954=INDIRECT("'["&amp;G954&amp;"]"&amp;E954&amp;"'!"&amp;$AA$2))),INDIRECT("'["&amp;G954&amp;"]"&amp;E954&amp;"'!"&amp;$AA$3),0)</f>
        <v>#VALUE!</v>
      </c>
      <c r="P954" s="34" t="e" cm="1">
        <f t="array" aca="1" ref="P954" ca="1">IF(AND(G954=INDIRECT("'["&amp;G954&amp;"]"&amp;E954&amp;"'!"&amp;$AH$2),OR(VALUE(I954)=INDIRECT("'["&amp;G954&amp;"]"&amp;E954&amp;"'!"&amp;$AB$2))),INDIRECT("'["&amp;G954&amp;"]"&amp;E954&amp;"'!"&amp;$AB$3),0)</f>
        <v>#VALUE!</v>
      </c>
      <c r="Q954" s="34" t="e" cm="1">
        <f t="array" aca="1" ref="Q954" ca="1">IF(AND(G954=INDIRECT("'["&amp;G954&amp;"]"&amp;E954&amp;"'!"&amp;$AH$2),OR(VALUE(I954)=INDIRECT("'["&amp;G954&amp;"]"&amp;E954&amp;"'!"&amp;$AC$2))),INDIRECT("'["&amp;G954&amp;"]"&amp;E954&amp;"'!"&amp;$AC$3),0)</f>
        <v>#VALUE!</v>
      </c>
      <c r="R954" s="34" t="e" cm="1">
        <f t="array" aca="1" ref="R954" ca="1">IF(AND(G954=INDIRECT("'["&amp;G954&amp;"]"&amp;E954&amp;"'!"&amp;$AH$2),OR(I954=INDIRECT("'["&amp;G954&amp;"]"&amp;E954&amp;"'!"&amp;$AD$2))),INDIRECT("'["&amp;G954&amp;"]"&amp;E954&amp;"'!"&amp;$AD$3),0)</f>
        <v>#VALUE!</v>
      </c>
      <c r="S954" s="34" t="e" cm="1">
        <f t="array" aca="1" ref="S954" ca="1">IF(AND(G954=INDIRECT("'["&amp;G954&amp;"]"&amp;E954&amp;"'!"&amp;$AH$2),OR(I954=INDIRECT("'["&amp;G954&amp;"]"&amp;E954&amp;"'!"&amp;$AE$2))),INDIRECT("'["&amp;G954&amp;"]"&amp;E954&amp;"'!"&amp;$AE$3),0)</f>
        <v>#VALUE!</v>
      </c>
      <c r="T954" s="35" t="e" cm="1">
        <f t="array" aca="1" ref="T954" ca="1">IF(AND(G954=INDIRECT("'["&amp;G954&amp;"]"&amp;E954&amp;"'!"&amp;$AH$2),OR(I954=INDIRECT("'["&amp;G954&amp;"]"&amp;E954&amp;"'!"&amp;$AF$2))),INDIRECT("'["&amp;G954&amp;"]"&amp;E954&amp;"'!"&amp;$AF$3),0)</f>
        <v>#VALUE!</v>
      </c>
      <c r="U954" s="34" t="e" cm="1">
        <f t="array" aca="1" ref="U954" ca="1">IF(AND(G954=INDIRECT("'["&amp;G954&amp;"]"&amp;E954&amp;"'!"&amp;$AH$2),OR(I954=INDIRECT("'["&amp;G954&amp;"]"&amp;E954&amp;"'!"&amp;$AG$2))),INDIRECT("'["&amp;G954&amp;"]"&amp;E954&amp;"'!"&amp;$AG$3),0)</f>
        <v>#VALUE!</v>
      </c>
      <c r="V954" s="25" t="str">
        <f t="shared" si="257"/>
        <v/>
      </c>
      <c r="W954" s="36" t="e" cm="1">
        <f t="array" aca="1" ref="W954" ca="1">IF(AND(G954=INDIRECT("'["&amp;G954&amp;"]"&amp;E954&amp;"'!"&amp;$AH$2),OR(V954=INDIRECT("'["&amp;G954&amp;"]"&amp;E954&amp;"'!"&amp;$AI$2))),INDIRECT("'["&amp;G954&amp;"]"&amp;E954&amp;"'!"&amp;$AI$3),0)</f>
        <v>#VALUE!</v>
      </c>
      <c r="AJ954" s="25">
        <v>1</v>
      </c>
      <c r="AK954" s="38">
        <f t="shared" ca="1" si="258"/>
        <v>0</v>
      </c>
      <c r="AL954" s="38">
        <f t="shared" ca="1" si="259"/>
        <v>0</v>
      </c>
      <c r="AM954" s="54" t="str">
        <f t="shared" ca="1" si="260"/>
        <v/>
      </c>
      <c r="AN954" s="25" t="e">
        <f t="shared" ca="1" si="261"/>
        <v>#VALUE!</v>
      </c>
      <c r="AO954" s="25" t="e">
        <f t="shared" ca="1" si="262"/>
        <v>#VALUE!</v>
      </c>
      <c r="AQ954" s="46" t="str">
        <f ca="1">IF(AND(C954&lt;&gt;0, C955=0), SUM($C$2:C954)-SUM($AQ$1:AQ953), "")</f>
        <v/>
      </c>
      <c r="AR954" s="46" t="str">
        <f ca="1">IF(AND(AK954&lt;&gt;0, AK955=0), SUM($AK$2:AK954)-SUM($AR$1:AR953), "")</f>
        <v/>
      </c>
    </row>
    <row r="955" spans="2:44" ht="13.15" customHeight="1">
      <c r="B955" s="68" t="str">
        <f t="shared" si="248"/>
        <v/>
      </c>
      <c r="C955" s="55" cm="1">
        <f t="array" aca="1" ref="C955" ca="1">SUM(IF(ISNUMBER(M955:U955),M955:U955,""))</f>
        <v>0</v>
      </c>
      <c r="D955" s="25" t="str">
        <f t="shared" si="249"/>
        <v/>
      </c>
      <c r="E955" s="25" t="e">
        <f t="shared" si="250"/>
        <v>#VALUE!</v>
      </c>
      <c r="F955" s="25" t="str">
        <f t="shared" si="251"/>
        <v/>
      </c>
      <c r="G955" s="25" t="str">
        <f t="shared" si="252"/>
        <v>.xlsx</v>
      </c>
      <c r="H955" s="29" t="e" cm="1">
        <f t="array" aca="1" ref="H955" ca="1">IF(AND(VALUE(E955)=INDIRECT("'["&amp;G955&amp;"]"&amp;E955&amp;"'!"&amp;$X$2),G955=INDIRECT("'["&amp;G955&amp;"]"&amp;E955&amp;"'!"&amp;$X$3)),INDIRECT("'["&amp;G955&amp;"]"&amp;E955&amp;"'!"&amp;$X$1),0)</f>
        <v>#VALUE!</v>
      </c>
      <c r="I955" s="25" t="str">
        <f t="shared" si="253"/>
        <v/>
      </c>
      <c r="J955" s="32" t="str">
        <f t="shared" si="254"/>
        <v/>
      </c>
      <c r="K955" s="25" t="str">
        <f t="shared" si="255"/>
        <v/>
      </c>
      <c r="L955" s="25" t="str">
        <f t="shared" si="256"/>
        <v/>
      </c>
      <c r="M955" s="33" t="e" cm="1">
        <f t="array" aca="1" ref="M955" ca="1">IF(AND(J955=INDIRECT("'["&amp;G955&amp;"]"&amp;E955&amp;"'!"&amp;$Y$2),G955=INDIRECT("'["&amp;G955&amp;"]"&amp;E955&amp;"'!"&amp;$AH$2)),INDIRECT("'["&amp;G955&amp;"]"&amp;E955&amp;"'!"&amp;$Y$3),0)</f>
        <v>#VALUE!</v>
      </c>
      <c r="N955" s="34" t="e" cm="1">
        <f t="array" aca="1" ref="N955" ca="1">IF(AND(G955=INDIRECT("'["&amp;G955&amp;"]"&amp;E955&amp;"'!"&amp;$AH$2),OR(K955=INDIRECT("'["&amp;G955&amp;"]"&amp;E955&amp;"'!"&amp;$Z$2))),INDIRECT("'["&amp;G955&amp;"]"&amp;E955&amp;"'!"&amp;$Z$3),0)</f>
        <v>#VALUE!</v>
      </c>
      <c r="O955" s="34" t="e" cm="1">
        <f t="array" aca="1" ref="O955" ca="1">IF(AND(G955=INDIRECT("'["&amp;G955&amp;"]"&amp;E955&amp;"'!"&amp;$AH$2),OR(L955=INDIRECT("'["&amp;G955&amp;"]"&amp;E955&amp;"'!"&amp;$AA$2))),INDIRECT("'["&amp;G955&amp;"]"&amp;E955&amp;"'!"&amp;$AA$3),0)</f>
        <v>#VALUE!</v>
      </c>
      <c r="P955" s="34" t="e" cm="1">
        <f t="array" aca="1" ref="P955" ca="1">IF(AND(G955=INDIRECT("'["&amp;G955&amp;"]"&amp;E955&amp;"'!"&amp;$AH$2),OR(VALUE(I955)=INDIRECT("'["&amp;G955&amp;"]"&amp;E955&amp;"'!"&amp;$AB$2))),INDIRECT("'["&amp;G955&amp;"]"&amp;E955&amp;"'!"&amp;$AB$3),0)</f>
        <v>#VALUE!</v>
      </c>
      <c r="Q955" s="34" t="e" cm="1">
        <f t="array" aca="1" ref="Q955" ca="1">IF(AND(G955=INDIRECT("'["&amp;G955&amp;"]"&amp;E955&amp;"'!"&amp;$AH$2),OR(VALUE(I955)=INDIRECT("'["&amp;G955&amp;"]"&amp;E955&amp;"'!"&amp;$AC$2))),INDIRECT("'["&amp;G955&amp;"]"&amp;E955&amp;"'!"&amp;$AC$3),0)</f>
        <v>#VALUE!</v>
      </c>
      <c r="R955" s="34" t="e" cm="1">
        <f t="array" aca="1" ref="R955" ca="1">IF(AND(G955=INDIRECT("'["&amp;G955&amp;"]"&amp;E955&amp;"'!"&amp;$AH$2),OR(I955=INDIRECT("'["&amp;G955&amp;"]"&amp;E955&amp;"'!"&amp;$AD$2))),INDIRECT("'["&amp;G955&amp;"]"&amp;E955&amp;"'!"&amp;$AD$3),0)</f>
        <v>#VALUE!</v>
      </c>
      <c r="S955" s="34" t="e" cm="1">
        <f t="array" aca="1" ref="S955" ca="1">IF(AND(G955=INDIRECT("'["&amp;G955&amp;"]"&amp;E955&amp;"'!"&amp;$AH$2),OR(I955=INDIRECT("'["&amp;G955&amp;"]"&amp;E955&amp;"'!"&amp;$AE$2))),INDIRECT("'["&amp;G955&amp;"]"&amp;E955&amp;"'!"&amp;$AE$3),0)</f>
        <v>#VALUE!</v>
      </c>
      <c r="T955" s="35" t="e" cm="1">
        <f t="array" aca="1" ref="T955" ca="1">IF(AND(G955=INDIRECT("'["&amp;G955&amp;"]"&amp;E955&amp;"'!"&amp;$AH$2),OR(I955=INDIRECT("'["&amp;G955&amp;"]"&amp;E955&amp;"'!"&amp;$AF$2))),INDIRECT("'["&amp;G955&amp;"]"&amp;E955&amp;"'!"&amp;$AF$3),0)</f>
        <v>#VALUE!</v>
      </c>
      <c r="U955" s="34" t="e" cm="1">
        <f t="array" aca="1" ref="U955" ca="1">IF(AND(G955=INDIRECT("'["&amp;G955&amp;"]"&amp;E955&amp;"'!"&amp;$AH$2),OR(I955=INDIRECT("'["&amp;G955&amp;"]"&amp;E955&amp;"'!"&amp;$AG$2))),INDIRECT("'["&amp;G955&amp;"]"&amp;E955&amp;"'!"&amp;$AG$3),0)</f>
        <v>#VALUE!</v>
      </c>
      <c r="V955" s="25" t="str">
        <f t="shared" si="257"/>
        <v/>
      </c>
      <c r="W955" s="36" t="e" cm="1">
        <f t="array" aca="1" ref="W955" ca="1">IF(AND(G955=INDIRECT("'["&amp;G955&amp;"]"&amp;E955&amp;"'!"&amp;$AH$2),OR(V955=INDIRECT("'["&amp;G955&amp;"]"&amp;E955&amp;"'!"&amp;$AI$2))),INDIRECT("'["&amp;G955&amp;"]"&amp;E955&amp;"'!"&amp;$AI$3),0)</f>
        <v>#VALUE!</v>
      </c>
      <c r="AJ955" s="25">
        <v>1</v>
      </c>
      <c r="AK955" s="38">
        <f t="shared" ca="1" si="258"/>
        <v>0</v>
      </c>
      <c r="AL955" s="38">
        <f t="shared" ca="1" si="259"/>
        <v>0</v>
      </c>
      <c r="AM955" s="54" t="str">
        <f t="shared" ca="1" si="260"/>
        <v/>
      </c>
      <c r="AN955" s="25" t="e">
        <f t="shared" ca="1" si="261"/>
        <v>#VALUE!</v>
      </c>
      <c r="AO955" s="25" t="e">
        <f t="shared" ca="1" si="262"/>
        <v>#VALUE!</v>
      </c>
      <c r="AQ955" s="46" t="str">
        <f ca="1">IF(AND(C955&lt;&gt;0, C956=0), SUM($C$2:C955)-SUM($AQ$1:AQ954), "")</f>
        <v/>
      </c>
      <c r="AR955" s="46" t="str">
        <f ca="1">IF(AND(AK955&lt;&gt;0, AK956=0), SUM($AK$2:AK955)-SUM($AR$1:AR954), "")</f>
        <v/>
      </c>
    </row>
    <row r="956" spans="2:44" ht="13.15" customHeight="1">
      <c r="B956" s="68" t="str">
        <f t="shared" si="248"/>
        <v/>
      </c>
      <c r="C956" s="55" cm="1">
        <f t="array" aca="1" ref="C956" ca="1">SUM(IF(ISNUMBER(M956:U956),M956:U956,""))</f>
        <v>0</v>
      </c>
      <c r="D956" s="25" t="str">
        <f t="shared" si="249"/>
        <v/>
      </c>
      <c r="E956" s="25" t="e">
        <f t="shared" si="250"/>
        <v>#VALUE!</v>
      </c>
      <c r="F956" s="25" t="str">
        <f t="shared" si="251"/>
        <v/>
      </c>
      <c r="G956" s="25" t="str">
        <f t="shared" si="252"/>
        <v>.xlsx</v>
      </c>
      <c r="H956" s="29" t="e" cm="1">
        <f t="array" aca="1" ref="H956" ca="1">IF(AND(VALUE(E956)=INDIRECT("'["&amp;G956&amp;"]"&amp;E956&amp;"'!"&amp;$X$2),G956=INDIRECT("'["&amp;G956&amp;"]"&amp;E956&amp;"'!"&amp;$X$3)),INDIRECT("'["&amp;G956&amp;"]"&amp;E956&amp;"'!"&amp;$X$1),0)</f>
        <v>#VALUE!</v>
      </c>
      <c r="I956" s="25" t="str">
        <f t="shared" si="253"/>
        <v/>
      </c>
      <c r="J956" s="32" t="str">
        <f t="shared" si="254"/>
        <v/>
      </c>
      <c r="K956" s="25" t="str">
        <f t="shared" si="255"/>
        <v/>
      </c>
      <c r="L956" s="25" t="str">
        <f t="shared" si="256"/>
        <v/>
      </c>
      <c r="M956" s="33" t="e" cm="1">
        <f t="array" aca="1" ref="M956" ca="1">IF(AND(J956=INDIRECT("'["&amp;G956&amp;"]"&amp;E956&amp;"'!"&amp;$Y$2),G956=INDIRECT("'["&amp;G956&amp;"]"&amp;E956&amp;"'!"&amp;$AH$2)),INDIRECT("'["&amp;G956&amp;"]"&amp;E956&amp;"'!"&amp;$Y$3),0)</f>
        <v>#VALUE!</v>
      </c>
      <c r="N956" s="34" t="e" cm="1">
        <f t="array" aca="1" ref="N956" ca="1">IF(AND(G956=INDIRECT("'["&amp;G956&amp;"]"&amp;E956&amp;"'!"&amp;$AH$2),OR(K956=INDIRECT("'["&amp;G956&amp;"]"&amp;E956&amp;"'!"&amp;$Z$2))),INDIRECT("'["&amp;G956&amp;"]"&amp;E956&amp;"'!"&amp;$Z$3),0)</f>
        <v>#VALUE!</v>
      </c>
      <c r="O956" s="34" t="e" cm="1">
        <f t="array" aca="1" ref="O956" ca="1">IF(AND(G956=INDIRECT("'["&amp;G956&amp;"]"&amp;E956&amp;"'!"&amp;$AH$2),OR(L956=INDIRECT("'["&amp;G956&amp;"]"&amp;E956&amp;"'!"&amp;$AA$2))),INDIRECT("'["&amp;G956&amp;"]"&amp;E956&amp;"'!"&amp;$AA$3),0)</f>
        <v>#VALUE!</v>
      </c>
      <c r="P956" s="34" t="e" cm="1">
        <f t="array" aca="1" ref="P956" ca="1">IF(AND(G956=INDIRECT("'["&amp;G956&amp;"]"&amp;E956&amp;"'!"&amp;$AH$2),OR(VALUE(I956)=INDIRECT("'["&amp;G956&amp;"]"&amp;E956&amp;"'!"&amp;$AB$2))),INDIRECT("'["&amp;G956&amp;"]"&amp;E956&amp;"'!"&amp;$AB$3),0)</f>
        <v>#VALUE!</v>
      </c>
      <c r="Q956" s="34" t="e" cm="1">
        <f t="array" aca="1" ref="Q956" ca="1">IF(AND(G956=INDIRECT("'["&amp;G956&amp;"]"&amp;E956&amp;"'!"&amp;$AH$2),OR(VALUE(I956)=INDIRECT("'["&amp;G956&amp;"]"&amp;E956&amp;"'!"&amp;$AC$2))),INDIRECT("'["&amp;G956&amp;"]"&amp;E956&amp;"'!"&amp;$AC$3),0)</f>
        <v>#VALUE!</v>
      </c>
      <c r="R956" s="34" t="e" cm="1">
        <f t="array" aca="1" ref="R956" ca="1">IF(AND(G956=INDIRECT("'["&amp;G956&amp;"]"&amp;E956&amp;"'!"&amp;$AH$2),OR(I956=INDIRECT("'["&amp;G956&amp;"]"&amp;E956&amp;"'!"&amp;$AD$2))),INDIRECT("'["&amp;G956&amp;"]"&amp;E956&amp;"'!"&amp;$AD$3),0)</f>
        <v>#VALUE!</v>
      </c>
      <c r="S956" s="34" t="e" cm="1">
        <f t="array" aca="1" ref="S956" ca="1">IF(AND(G956=INDIRECT("'["&amp;G956&amp;"]"&amp;E956&amp;"'!"&amp;$AH$2),OR(I956=INDIRECT("'["&amp;G956&amp;"]"&amp;E956&amp;"'!"&amp;$AE$2))),INDIRECT("'["&amp;G956&amp;"]"&amp;E956&amp;"'!"&amp;$AE$3),0)</f>
        <v>#VALUE!</v>
      </c>
      <c r="T956" s="35" t="e" cm="1">
        <f t="array" aca="1" ref="T956" ca="1">IF(AND(G956=INDIRECT("'["&amp;G956&amp;"]"&amp;E956&amp;"'!"&amp;$AH$2),OR(I956=INDIRECT("'["&amp;G956&amp;"]"&amp;E956&amp;"'!"&amp;$AF$2))),INDIRECT("'["&amp;G956&amp;"]"&amp;E956&amp;"'!"&amp;$AF$3),0)</f>
        <v>#VALUE!</v>
      </c>
      <c r="U956" s="34" t="e" cm="1">
        <f t="array" aca="1" ref="U956" ca="1">IF(AND(G956=INDIRECT("'["&amp;G956&amp;"]"&amp;E956&amp;"'!"&amp;$AH$2),OR(I956=INDIRECT("'["&amp;G956&amp;"]"&amp;E956&amp;"'!"&amp;$AG$2))),INDIRECT("'["&amp;G956&amp;"]"&amp;E956&amp;"'!"&amp;$AG$3),0)</f>
        <v>#VALUE!</v>
      </c>
      <c r="V956" s="25" t="str">
        <f t="shared" si="257"/>
        <v/>
      </c>
      <c r="W956" s="36" t="e" cm="1">
        <f t="array" aca="1" ref="W956" ca="1">IF(AND(G956=INDIRECT("'["&amp;G956&amp;"]"&amp;E956&amp;"'!"&amp;$AH$2),OR(V956=INDIRECT("'["&amp;G956&amp;"]"&amp;E956&amp;"'!"&amp;$AI$2))),INDIRECT("'["&amp;G956&amp;"]"&amp;E956&amp;"'!"&amp;$AI$3),0)</f>
        <v>#VALUE!</v>
      </c>
      <c r="AJ956" s="25">
        <v>1</v>
      </c>
      <c r="AK956" s="38">
        <f t="shared" ca="1" si="258"/>
        <v>0</v>
      </c>
      <c r="AL956" s="38">
        <f t="shared" ca="1" si="259"/>
        <v>0</v>
      </c>
      <c r="AM956" s="54" t="str">
        <f t="shared" ca="1" si="260"/>
        <v/>
      </c>
      <c r="AN956" s="25" t="e">
        <f t="shared" ca="1" si="261"/>
        <v>#VALUE!</v>
      </c>
      <c r="AO956" s="25" t="e">
        <f t="shared" ca="1" si="262"/>
        <v>#VALUE!</v>
      </c>
      <c r="AQ956" s="46" t="str">
        <f ca="1">IF(AND(C956&lt;&gt;0, C957=0), SUM($C$2:C956)-SUM($AQ$1:AQ955), "")</f>
        <v/>
      </c>
      <c r="AR956" s="46" t="str">
        <f ca="1">IF(AND(AK956&lt;&gt;0, AK957=0), SUM($AK$2:AK956)-SUM($AR$1:AR955), "")</f>
        <v/>
      </c>
    </row>
    <row r="957" spans="2:44" ht="13.15" customHeight="1">
      <c r="B957" s="68" t="str">
        <f t="shared" si="248"/>
        <v/>
      </c>
      <c r="C957" s="55" cm="1">
        <f t="array" aca="1" ref="C957" ca="1">SUM(IF(ISNUMBER(M957:U957),M957:U957,""))</f>
        <v>0</v>
      </c>
      <c r="D957" s="25" t="str">
        <f t="shared" si="249"/>
        <v/>
      </c>
      <c r="E957" s="25" t="e">
        <f t="shared" si="250"/>
        <v>#VALUE!</v>
      </c>
      <c r="F957" s="25" t="str">
        <f t="shared" si="251"/>
        <v/>
      </c>
      <c r="G957" s="25" t="str">
        <f t="shared" si="252"/>
        <v>.xlsx</v>
      </c>
      <c r="H957" s="29" t="e" cm="1">
        <f t="array" aca="1" ref="H957" ca="1">IF(AND(VALUE(E957)=INDIRECT("'["&amp;G957&amp;"]"&amp;E957&amp;"'!"&amp;$X$2),G957=INDIRECT("'["&amp;G957&amp;"]"&amp;E957&amp;"'!"&amp;$X$3)),INDIRECT("'["&amp;G957&amp;"]"&amp;E957&amp;"'!"&amp;$X$1),0)</f>
        <v>#VALUE!</v>
      </c>
      <c r="I957" s="25" t="str">
        <f t="shared" si="253"/>
        <v/>
      </c>
      <c r="J957" s="32" t="str">
        <f t="shared" si="254"/>
        <v/>
      </c>
      <c r="K957" s="25" t="str">
        <f t="shared" si="255"/>
        <v/>
      </c>
      <c r="L957" s="25" t="str">
        <f t="shared" si="256"/>
        <v/>
      </c>
      <c r="M957" s="33" t="e" cm="1">
        <f t="array" aca="1" ref="M957" ca="1">IF(AND(J957=INDIRECT("'["&amp;G957&amp;"]"&amp;E957&amp;"'!"&amp;$Y$2),G957=INDIRECT("'["&amp;G957&amp;"]"&amp;E957&amp;"'!"&amp;$AH$2)),INDIRECT("'["&amp;G957&amp;"]"&amp;E957&amp;"'!"&amp;$Y$3),0)</f>
        <v>#VALUE!</v>
      </c>
      <c r="N957" s="34" t="e" cm="1">
        <f t="array" aca="1" ref="N957" ca="1">IF(AND(G957=INDIRECT("'["&amp;G957&amp;"]"&amp;E957&amp;"'!"&amp;$AH$2),OR(K957=INDIRECT("'["&amp;G957&amp;"]"&amp;E957&amp;"'!"&amp;$Z$2))),INDIRECT("'["&amp;G957&amp;"]"&amp;E957&amp;"'!"&amp;$Z$3),0)</f>
        <v>#VALUE!</v>
      </c>
      <c r="O957" s="34" t="e" cm="1">
        <f t="array" aca="1" ref="O957" ca="1">IF(AND(G957=INDIRECT("'["&amp;G957&amp;"]"&amp;E957&amp;"'!"&amp;$AH$2),OR(L957=INDIRECT("'["&amp;G957&amp;"]"&amp;E957&amp;"'!"&amp;$AA$2))),INDIRECT("'["&amp;G957&amp;"]"&amp;E957&amp;"'!"&amp;$AA$3),0)</f>
        <v>#VALUE!</v>
      </c>
      <c r="P957" s="34" t="e" cm="1">
        <f t="array" aca="1" ref="P957" ca="1">IF(AND(G957=INDIRECT("'["&amp;G957&amp;"]"&amp;E957&amp;"'!"&amp;$AH$2),OR(VALUE(I957)=INDIRECT("'["&amp;G957&amp;"]"&amp;E957&amp;"'!"&amp;$AB$2))),INDIRECT("'["&amp;G957&amp;"]"&amp;E957&amp;"'!"&amp;$AB$3),0)</f>
        <v>#VALUE!</v>
      </c>
      <c r="Q957" s="34" t="e" cm="1">
        <f t="array" aca="1" ref="Q957" ca="1">IF(AND(G957=INDIRECT("'["&amp;G957&amp;"]"&amp;E957&amp;"'!"&amp;$AH$2),OR(VALUE(I957)=INDIRECT("'["&amp;G957&amp;"]"&amp;E957&amp;"'!"&amp;$AC$2))),INDIRECT("'["&amp;G957&amp;"]"&amp;E957&amp;"'!"&amp;$AC$3),0)</f>
        <v>#VALUE!</v>
      </c>
      <c r="R957" s="34" t="e" cm="1">
        <f t="array" aca="1" ref="R957" ca="1">IF(AND(G957=INDIRECT("'["&amp;G957&amp;"]"&amp;E957&amp;"'!"&amp;$AH$2),OR(I957=INDIRECT("'["&amp;G957&amp;"]"&amp;E957&amp;"'!"&amp;$AD$2))),INDIRECT("'["&amp;G957&amp;"]"&amp;E957&amp;"'!"&amp;$AD$3),0)</f>
        <v>#VALUE!</v>
      </c>
      <c r="S957" s="34" t="e" cm="1">
        <f t="array" aca="1" ref="S957" ca="1">IF(AND(G957=INDIRECT("'["&amp;G957&amp;"]"&amp;E957&amp;"'!"&amp;$AH$2),OR(I957=INDIRECT("'["&amp;G957&amp;"]"&amp;E957&amp;"'!"&amp;$AE$2))),INDIRECT("'["&amp;G957&amp;"]"&amp;E957&amp;"'!"&amp;$AE$3),0)</f>
        <v>#VALUE!</v>
      </c>
      <c r="T957" s="35" t="e" cm="1">
        <f t="array" aca="1" ref="T957" ca="1">IF(AND(G957=INDIRECT("'["&amp;G957&amp;"]"&amp;E957&amp;"'!"&amp;$AH$2),OR(I957=INDIRECT("'["&amp;G957&amp;"]"&amp;E957&amp;"'!"&amp;$AF$2))),INDIRECT("'["&amp;G957&amp;"]"&amp;E957&amp;"'!"&amp;$AF$3),0)</f>
        <v>#VALUE!</v>
      </c>
      <c r="U957" s="34" t="e" cm="1">
        <f t="array" aca="1" ref="U957" ca="1">IF(AND(G957=INDIRECT("'["&amp;G957&amp;"]"&amp;E957&amp;"'!"&amp;$AH$2),OR(I957=INDIRECT("'["&amp;G957&amp;"]"&amp;E957&amp;"'!"&amp;$AG$2))),INDIRECT("'["&amp;G957&amp;"]"&amp;E957&amp;"'!"&amp;$AG$3),0)</f>
        <v>#VALUE!</v>
      </c>
      <c r="V957" s="25" t="str">
        <f t="shared" si="257"/>
        <v/>
      </c>
      <c r="W957" s="36" t="e" cm="1">
        <f t="array" aca="1" ref="W957" ca="1">IF(AND(G957=INDIRECT("'["&amp;G957&amp;"]"&amp;E957&amp;"'!"&amp;$AH$2),OR(V957=INDIRECT("'["&amp;G957&amp;"]"&amp;E957&amp;"'!"&amp;$AI$2))),INDIRECT("'["&amp;G957&amp;"]"&amp;E957&amp;"'!"&amp;$AI$3),0)</f>
        <v>#VALUE!</v>
      </c>
      <c r="AJ957" s="25">
        <v>1</v>
      </c>
      <c r="AK957" s="38">
        <f t="shared" ca="1" si="258"/>
        <v>0</v>
      </c>
      <c r="AL957" s="38">
        <f t="shared" ca="1" si="259"/>
        <v>0</v>
      </c>
      <c r="AM957" s="54" t="str">
        <f t="shared" ca="1" si="260"/>
        <v/>
      </c>
      <c r="AN957" s="25" t="e">
        <f t="shared" ca="1" si="261"/>
        <v>#VALUE!</v>
      </c>
      <c r="AO957" s="25" t="e">
        <f t="shared" ca="1" si="262"/>
        <v>#VALUE!</v>
      </c>
      <c r="AQ957" s="46" t="str">
        <f ca="1">IF(AND(C957&lt;&gt;0, C958=0), SUM($C$2:C957)-SUM($AQ$1:AQ956), "")</f>
        <v/>
      </c>
      <c r="AR957" s="46" t="str">
        <f ca="1">IF(AND(AK957&lt;&gt;0, AK958=0), SUM($AK$2:AK957)-SUM($AR$1:AR956), "")</f>
        <v/>
      </c>
    </row>
    <row r="958" spans="2:44" ht="13.15" customHeight="1">
      <c r="B958" s="68" t="str">
        <f t="shared" si="248"/>
        <v/>
      </c>
      <c r="C958" s="55" cm="1">
        <f t="array" aca="1" ref="C958" ca="1">SUM(IF(ISNUMBER(M958:U958),M958:U958,""))</f>
        <v>0</v>
      </c>
      <c r="D958" s="25" t="str">
        <f t="shared" si="249"/>
        <v/>
      </c>
      <c r="E958" s="25" t="e">
        <f t="shared" si="250"/>
        <v>#VALUE!</v>
      </c>
      <c r="F958" s="25" t="str">
        <f t="shared" si="251"/>
        <v/>
      </c>
      <c r="G958" s="25" t="str">
        <f t="shared" si="252"/>
        <v>.xlsx</v>
      </c>
      <c r="H958" s="29" t="e" cm="1">
        <f t="array" aca="1" ref="H958" ca="1">IF(AND(VALUE(E958)=INDIRECT("'["&amp;G958&amp;"]"&amp;E958&amp;"'!"&amp;$X$2),G958=INDIRECT("'["&amp;G958&amp;"]"&amp;E958&amp;"'!"&amp;$X$3)),INDIRECT("'["&amp;G958&amp;"]"&amp;E958&amp;"'!"&amp;$X$1),0)</f>
        <v>#VALUE!</v>
      </c>
      <c r="I958" s="25" t="str">
        <f t="shared" si="253"/>
        <v/>
      </c>
      <c r="J958" s="32" t="str">
        <f t="shared" si="254"/>
        <v/>
      </c>
      <c r="K958" s="25" t="str">
        <f t="shared" si="255"/>
        <v/>
      </c>
      <c r="L958" s="25" t="str">
        <f t="shared" si="256"/>
        <v/>
      </c>
      <c r="M958" s="33" t="e" cm="1">
        <f t="array" aca="1" ref="M958" ca="1">IF(AND(J958=INDIRECT("'["&amp;G958&amp;"]"&amp;E958&amp;"'!"&amp;$Y$2),G958=INDIRECT("'["&amp;G958&amp;"]"&amp;E958&amp;"'!"&amp;$AH$2)),INDIRECT("'["&amp;G958&amp;"]"&amp;E958&amp;"'!"&amp;$Y$3),0)</f>
        <v>#VALUE!</v>
      </c>
      <c r="N958" s="34" t="e" cm="1">
        <f t="array" aca="1" ref="N958" ca="1">IF(AND(G958=INDIRECT("'["&amp;G958&amp;"]"&amp;E958&amp;"'!"&amp;$AH$2),OR(K958=INDIRECT("'["&amp;G958&amp;"]"&amp;E958&amp;"'!"&amp;$Z$2))),INDIRECT("'["&amp;G958&amp;"]"&amp;E958&amp;"'!"&amp;$Z$3),0)</f>
        <v>#VALUE!</v>
      </c>
      <c r="O958" s="34" t="e" cm="1">
        <f t="array" aca="1" ref="O958" ca="1">IF(AND(G958=INDIRECT("'["&amp;G958&amp;"]"&amp;E958&amp;"'!"&amp;$AH$2),OR(L958=INDIRECT("'["&amp;G958&amp;"]"&amp;E958&amp;"'!"&amp;$AA$2))),INDIRECT("'["&amp;G958&amp;"]"&amp;E958&amp;"'!"&amp;$AA$3),0)</f>
        <v>#VALUE!</v>
      </c>
      <c r="P958" s="34" t="e" cm="1">
        <f t="array" aca="1" ref="P958" ca="1">IF(AND(G958=INDIRECT("'["&amp;G958&amp;"]"&amp;E958&amp;"'!"&amp;$AH$2),OR(VALUE(I958)=INDIRECT("'["&amp;G958&amp;"]"&amp;E958&amp;"'!"&amp;$AB$2))),INDIRECT("'["&amp;G958&amp;"]"&amp;E958&amp;"'!"&amp;$AB$3),0)</f>
        <v>#VALUE!</v>
      </c>
      <c r="Q958" s="34" t="e" cm="1">
        <f t="array" aca="1" ref="Q958" ca="1">IF(AND(G958=INDIRECT("'["&amp;G958&amp;"]"&amp;E958&amp;"'!"&amp;$AH$2),OR(VALUE(I958)=INDIRECT("'["&amp;G958&amp;"]"&amp;E958&amp;"'!"&amp;$AC$2))),INDIRECT("'["&amp;G958&amp;"]"&amp;E958&amp;"'!"&amp;$AC$3),0)</f>
        <v>#VALUE!</v>
      </c>
      <c r="R958" s="34" t="e" cm="1">
        <f t="array" aca="1" ref="R958" ca="1">IF(AND(G958=INDIRECT("'["&amp;G958&amp;"]"&amp;E958&amp;"'!"&amp;$AH$2),OR(I958=INDIRECT("'["&amp;G958&amp;"]"&amp;E958&amp;"'!"&amp;$AD$2))),INDIRECT("'["&amp;G958&amp;"]"&amp;E958&amp;"'!"&amp;$AD$3),0)</f>
        <v>#VALUE!</v>
      </c>
      <c r="S958" s="34" t="e" cm="1">
        <f t="array" aca="1" ref="S958" ca="1">IF(AND(G958=INDIRECT("'["&amp;G958&amp;"]"&amp;E958&amp;"'!"&amp;$AH$2),OR(I958=INDIRECT("'["&amp;G958&amp;"]"&amp;E958&amp;"'!"&amp;$AE$2))),INDIRECT("'["&amp;G958&amp;"]"&amp;E958&amp;"'!"&amp;$AE$3),0)</f>
        <v>#VALUE!</v>
      </c>
      <c r="T958" s="35" t="e" cm="1">
        <f t="array" aca="1" ref="T958" ca="1">IF(AND(G958=INDIRECT("'["&amp;G958&amp;"]"&amp;E958&amp;"'!"&amp;$AH$2),OR(I958=INDIRECT("'["&amp;G958&amp;"]"&amp;E958&amp;"'!"&amp;$AF$2))),INDIRECT("'["&amp;G958&amp;"]"&amp;E958&amp;"'!"&amp;$AF$3),0)</f>
        <v>#VALUE!</v>
      </c>
      <c r="U958" s="34" t="e" cm="1">
        <f t="array" aca="1" ref="U958" ca="1">IF(AND(G958=INDIRECT("'["&amp;G958&amp;"]"&amp;E958&amp;"'!"&amp;$AH$2),OR(I958=INDIRECT("'["&amp;G958&amp;"]"&amp;E958&amp;"'!"&amp;$AG$2))),INDIRECT("'["&amp;G958&amp;"]"&amp;E958&amp;"'!"&amp;$AG$3),0)</f>
        <v>#VALUE!</v>
      </c>
      <c r="V958" s="25" t="str">
        <f t="shared" si="257"/>
        <v/>
      </c>
      <c r="W958" s="36" t="e" cm="1">
        <f t="array" aca="1" ref="W958" ca="1">IF(AND(G958=INDIRECT("'["&amp;G958&amp;"]"&amp;E958&amp;"'!"&amp;$AH$2),OR(V958=INDIRECT("'["&amp;G958&amp;"]"&amp;E958&amp;"'!"&amp;$AI$2))),INDIRECT("'["&amp;G958&amp;"]"&amp;E958&amp;"'!"&amp;$AI$3),0)</f>
        <v>#VALUE!</v>
      </c>
      <c r="AJ958" s="25">
        <v>1</v>
      </c>
      <c r="AK958" s="38">
        <f t="shared" ca="1" si="258"/>
        <v>0</v>
      </c>
      <c r="AL958" s="38">
        <f t="shared" ca="1" si="259"/>
        <v>0</v>
      </c>
      <c r="AM958" s="54" t="str">
        <f t="shared" ca="1" si="260"/>
        <v/>
      </c>
      <c r="AN958" s="25" t="e">
        <f t="shared" ca="1" si="261"/>
        <v>#VALUE!</v>
      </c>
      <c r="AO958" s="25" t="e">
        <f t="shared" ca="1" si="262"/>
        <v>#VALUE!</v>
      </c>
      <c r="AQ958" s="46" t="str">
        <f ca="1">IF(AND(C958&lt;&gt;0, C959=0), SUM($C$2:C958)-SUM($AQ$1:AQ957), "")</f>
        <v/>
      </c>
      <c r="AR958" s="46" t="str">
        <f ca="1">IF(AND(AK958&lt;&gt;0, AK959=0), SUM($AK$2:AK958)-SUM($AR$1:AR957), "")</f>
        <v/>
      </c>
    </row>
    <row r="959" spans="2:44" ht="13.15" customHeight="1">
      <c r="B959" s="68" t="str">
        <f t="shared" si="248"/>
        <v/>
      </c>
      <c r="C959" s="55" cm="1">
        <f t="array" aca="1" ref="C959" ca="1">SUM(IF(ISNUMBER(M959:U959),M959:U959,""))</f>
        <v>0</v>
      </c>
      <c r="D959" s="25" t="str">
        <f t="shared" si="249"/>
        <v/>
      </c>
      <c r="E959" s="25" t="e">
        <f t="shared" si="250"/>
        <v>#VALUE!</v>
      </c>
      <c r="F959" s="25" t="str">
        <f t="shared" si="251"/>
        <v/>
      </c>
      <c r="G959" s="25" t="str">
        <f t="shared" si="252"/>
        <v>.xlsx</v>
      </c>
      <c r="H959" s="29" t="e" cm="1">
        <f t="array" aca="1" ref="H959" ca="1">IF(AND(VALUE(E959)=INDIRECT("'["&amp;G959&amp;"]"&amp;E959&amp;"'!"&amp;$X$2),G959=INDIRECT("'["&amp;G959&amp;"]"&amp;E959&amp;"'!"&amp;$X$3)),INDIRECT("'["&amp;G959&amp;"]"&amp;E959&amp;"'!"&amp;$X$1),0)</f>
        <v>#VALUE!</v>
      </c>
      <c r="I959" s="25" t="str">
        <f t="shared" si="253"/>
        <v/>
      </c>
      <c r="J959" s="32" t="str">
        <f t="shared" si="254"/>
        <v/>
      </c>
      <c r="K959" s="25" t="str">
        <f t="shared" si="255"/>
        <v/>
      </c>
      <c r="L959" s="25" t="str">
        <f t="shared" si="256"/>
        <v/>
      </c>
      <c r="M959" s="33" t="e" cm="1">
        <f t="array" aca="1" ref="M959" ca="1">IF(AND(J959=INDIRECT("'["&amp;G959&amp;"]"&amp;E959&amp;"'!"&amp;$Y$2),G959=INDIRECT("'["&amp;G959&amp;"]"&amp;E959&amp;"'!"&amp;$AH$2)),INDIRECT("'["&amp;G959&amp;"]"&amp;E959&amp;"'!"&amp;$Y$3),0)</f>
        <v>#VALUE!</v>
      </c>
      <c r="N959" s="34" t="e" cm="1">
        <f t="array" aca="1" ref="N959" ca="1">IF(AND(G959=INDIRECT("'["&amp;G959&amp;"]"&amp;E959&amp;"'!"&amp;$AH$2),OR(K959=INDIRECT("'["&amp;G959&amp;"]"&amp;E959&amp;"'!"&amp;$Z$2))),INDIRECT("'["&amp;G959&amp;"]"&amp;E959&amp;"'!"&amp;$Z$3),0)</f>
        <v>#VALUE!</v>
      </c>
      <c r="O959" s="34" t="e" cm="1">
        <f t="array" aca="1" ref="O959" ca="1">IF(AND(G959=INDIRECT("'["&amp;G959&amp;"]"&amp;E959&amp;"'!"&amp;$AH$2),OR(L959=INDIRECT("'["&amp;G959&amp;"]"&amp;E959&amp;"'!"&amp;$AA$2))),INDIRECT("'["&amp;G959&amp;"]"&amp;E959&amp;"'!"&amp;$AA$3),0)</f>
        <v>#VALUE!</v>
      </c>
      <c r="P959" s="34" t="e" cm="1">
        <f t="array" aca="1" ref="P959" ca="1">IF(AND(G959=INDIRECT("'["&amp;G959&amp;"]"&amp;E959&amp;"'!"&amp;$AH$2),OR(VALUE(I959)=INDIRECT("'["&amp;G959&amp;"]"&amp;E959&amp;"'!"&amp;$AB$2))),INDIRECT("'["&amp;G959&amp;"]"&amp;E959&amp;"'!"&amp;$AB$3),0)</f>
        <v>#VALUE!</v>
      </c>
      <c r="Q959" s="34" t="e" cm="1">
        <f t="array" aca="1" ref="Q959" ca="1">IF(AND(G959=INDIRECT("'["&amp;G959&amp;"]"&amp;E959&amp;"'!"&amp;$AH$2),OR(VALUE(I959)=INDIRECT("'["&amp;G959&amp;"]"&amp;E959&amp;"'!"&amp;$AC$2))),INDIRECT("'["&amp;G959&amp;"]"&amp;E959&amp;"'!"&amp;$AC$3),0)</f>
        <v>#VALUE!</v>
      </c>
      <c r="R959" s="34" t="e" cm="1">
        <f t="array" aca="1" ref="R959" ca="1">IF(AND(G959=INDIRECT("'["&amp;G959&amp;"]"&amp;E959&amp;"'!"&amp;$AH$2),OR(I959=INDIRECT("'["&amp;G959&amp;"]"&amp;E959&amp;"'!"&amp;$AD$2))),INDIRECT("'["&amp;G959&amp;"]"&amp;E959&amp;"'!"&amp;$AD$3),0)</f>
        <v>#VALUE!</v>
      </c>
      <c r="S959" s="34" t="e" cm="1">
        <f t="array" aca="1" ref="S959" ca="1">IF(AND(G959=INDIRECT("'["&amp;G959&amp;"]"&amp;E959&amp;"'!"&amp;$AH$2),OR(I959=INDIRECT("'["&amp;G959&amp;"]"&amp;E959&amp;"'!"&amp;$AE$2))),INDIRECT("'["&amp;G959&amp;"]"&amp;E959&amp;"'!"&amp;$AE$3),0)</f>
        <v>#VALUE!</v>
      </c>
      <c r="T959" s="35" t="e" cm="1">
        <f t="array" aca="1" ref="T959" ca="1">IF(AND(G959=INDIRECT("'["&amp;G959&amp;"]"&amp;E959&amp;"'!"&amp;$AH$2),OR(I959=INDIRECT("'["&amp;G959&amp;"]"&amp;E959&amp;"'!"&amp;$AF$2))),INDIRECT("'["&amp;G959&amp;"]"&amp;E959&amp;"'!"&amp;$AF$3),0)</f>
        <v>#VALUE!</v>
      </c>
      <c r="U959" s="34" t="e" cm="1">
        <f t="array" aca="1" ref="U959" ca="1">IF(AND(G959=INDIRECT("'["&amp;G959&amp;"]"&amp;E959&amp;"'!"&amp;$AH$2),OR(I959=INDIRECT("'["&amp;G959&amp;"]"&amp;E959&amp;"'!"&amp;$AG$2))),INDIRECT("'["&amp;G959&amp;"]"&amp;E959&amp;"'!"&amp;$AG$3),0)</f>
        <v>#VALUE!</v>
      </c>
      <c r="V959" s="25" t="str">
        <f t="shared" si="257"/>
        <v/>
      </c>
      <c r="W959" s="36" t="e" cm="1">
        <f t="array" aca="1" ref="W959" ca="1">IF(AND(G959=INDIRECT("'["&amp;G959&amp;"]"&amp;E959&amp;"'!"&amp;$AH$2),OR(V959=INDIRECT("'["&amp;G959&amp;"]"&amp;E959&amp;"'!"&amp;$AI$2))),INDIRECT("'["&amp;G959&amp;"]"&amp;E959&amp;"'!"&amp;$AI$3),0)</f>
        <v>#VALUE!</v>
      </c>
      <c r="AJ959" s="25">
        <v>1</v>
      </c>
      <c r="AK959" s="38">
        <f t="shared" ca="1" si="258"/>
        <v>0</v>
      </c>
      <c r="AL959" s="38">
        <f t="shared" ca="1" si="259"/>
        <v>0</v>
      </c>
      <c r="AM959" s="54" t="str">
        <f t="shared" ca="1" si="260"/>
        <v/>
      </c>
      <c r="AN959" s="25" t="e">
        <f t="shared" ca="1" si="261"/>
        <v>#VALUE!</v>
      </c>
      <c r="AO959" s="25" t="e">
        <f t="shared" ca="1" si="262"/>
        <v>#VALUE!</v>
      </c>
      <c r="AQ959" s="46" t="str">
        <f ca="1">IF(AND(C959&lt;&gt;0, C960=0), SUM($C$2:C959)-SUM($AQ$1:AQ958), "")</f>
        <v/>
      </c>
      <c r="AR959" s="46" t="str">
        <f ca="1">IF(AND(AK959&lt;&gt;0, AK960=0), SUM($AK$2:AK959)-SUM($AR$1:AR958), "")</f>
        <v/>
      </c>
    </row>
    <row r="960" spans="2:44" ht="13.15" customHeight="1">
      <c r="B960" s="68" t="str">
        <f t="shared" si="248"/>
        <v/>
      </c>
      <c r="C960" s="55" cm="1">
        <f t="array" aca="1" ref="C960" ca="1">SUM(IF(ISNUMBER(M960:U960),M960:U960,""))</f>
        <v>0</v>
      </c>
      <c r="D960" s="25" t="str">
        <f t="shared" si="249"/>
        <v/>
      </c>
      <c r="E960" s="25" t="e">
        <f t="shared" si="250"/>
        <v>#VALUE!</v>
      </c>
      <c r="F960" s="25" t="str">
        <f t="shared" si="251"/>
        <v/>
      </c>
      <c r="G960" s="25" t="str">
        <f t="shared" si="252"/>
        <v>.xlsx</v>
      </c>
      <c r="H960" s="29" t="e" cm="1">
        <f t="array" aca="1" ref="H960" ca="1">IF(AND(VALUE(E960)=INDIRECT("'["&amp;G960&amp;"]"&amp;E960&amp;"'!"&amp;$X$2),G960=INDIRECT("'["&amp;G960&amp;"]"&amp;E960&amp;"'!"&amp;$X$3)),INDIRECT("'["&amp;G960&amp;"]"&amp;E960&amp;"'!"&amp;$X$1),0)</f>
        <v>#VALUE!</v>
      </c>
      <c r="I960" s="25" t="str">
        <f t="shared" si="253"/>
        <v/>
      </c>
      <c r="J960" s="32" t="str">
        <f t="shared" si="254"/>
        <v/>
      </c>
      <c r="K960" s="25" t="str">
        <f t="shared" si="255"/>
        <v/>
      </c>
      <c r="L960" s="25" t="str">
        <f t="shared" si="256"/>
        <v/>
      </c>
      <c r="M960" s="33" t="e" cm="1">
        <f t="array" aca="1" ref="M960" ca="1">IF(AND(J960=INDIRECT("'["&amp;G960&amp;"]"&amp;E960&amp;"'!"&amp;$Y$2),G960=INDIRECT("'["&amp;G960&amp;"]"&amp;E960&amp;"'!"&amp;$AH$2)),INDIRECT("'["&amp;G960&amp;"]"&amp;E960&amp;"'!"&amp;$Y$3),0)</f>
        <v>#VALUE!</v>
      </c>
      <c r="N960" s="34" t="e" cm="1">
        <f t="array" aca="1" ref="N960" ca="1">IF(AND(G960=INDIRECT("'["&amp;G960&amp;"]"&amp;E960&amp;"'!"&amp;$AH$2),OR(K960=INDIRECT("'["&amp;G960&amp;"]"&amp;E960&amp;"'!"&amp;$Z$2))),INDIRECT("'["&amp;G960&amp;"]"&amp;E960&amp;"'!"&amp;$Z$3),0)</f>
        <v>#VALUE!</v>
      </c>
      <c r="O960" s="34" t="e" cm="1">
        <f t="array" aca="1" ref="O960" ca="1">IF(AND(G960=INDIRECT("'["&amp;G960&amp;"]"&amp;E960&amp;"'!"&amp;$AH$2),OR(L960=INDIRECT("'["&amp;G960&amp;"]"&amp;E960&amp;"'!"&amp;$AA$2))),INDIRECT("'["&amp;G960&amp;"]"&amp;E960&amp;"'!"&amp;$AA$3),0)</f>
        <v>#VALUE!</v>
      </c>
      <c r="P960" s="34" t="e" cm="1">
        <f t="array" aca="1" ref="P960" ca="1">IF(AND(G960=INDIRECT("'["&amp;G960&amp;"]"&amp;E960&amp;"'!"&amp;$AH$2),OR(VALUE(I960)=INDIRECT("'["&amp;G960&amp;"]"&amp;E960&amp;"'!"&amp;$AB$2))),INDIRECT("'["&amp;G960&amp;"]"&amp;E960&amp;"'!"&amp;$AB$3),0)</f>
        <v>#VALUE!</v>
      </c>
      <c r="Q960" s="34" t="e" cm="1">
        <f t="array" aca="1" ref="Q960" ca="1">IF(AND(G960=INDIRECT("'["&amp;G960&amp;"]"&amp;E960&amp;"'!"&amp;$AH$2),OR(VALUE(I960)=INDIRECT("'["&amp;G960&amp;"]"&amp;E960&amp;"'!"&amp;$AC$2))),INDIRECT("'["&amp;G960&amp;"]"&amp;E960&amp;"'!"&amp;$AC$3),0)</f>
        <v>#VALUE!</v>
      </c>
      <c r="R960" s="34" t="e" cm="1">
        <f t="array" aca="1" ref="R960" ca="1">IF(AND(G960=INDIRECT("'["&amp;G960&amp;"]"&amp;E960&amp;"'!"&amp;$AH$2),OR(I960=INDIRECT("'["&amp;G960&amp;"]"&amp;E960&amp;"'!"&amp;$AD$2))),INDIRECT("'["&amp;G960&amp;"]"&amp;E960&amp;"'!"&amp;$AD$3),0)</f>
        <v>#VALUE!</v>
      </c>
      <c r="S960" s="34" t="e" cm="1">
        <f t="array" aca="1" ref="S960" ca="1">IF(AND(G960=INDIRECT("'["&amp;G960&amp;"]"&amp;E960&amp;"'!"&amp;$AH$2),OR(I960=INDIRECT("'["&amp;G960&amp;"]"&amp;E960&amp;"'!"&amp;$AE$2))),INDIRECT("'["&amp;G960&amp;"]"&amp;E960&amp;"'!"&amp;$AE$3),0)</f>
        <v>#VALUE!</v>
      </c>
      <c r="T960" s="35" t="e" cm="1">
        <f t="array" aca="1" ref="T960" ca="1">IF(AND(G960=INDIRECT("'["&amp;G960&amp;"]"&amp;E960&amp;"'!"&amp;$AH$2),OR(I960=INDIRECT("'["&amp;G960&amp;"]"&amp;E960&amp;"'!"&amp;$AF$2))),INDIRECT("'["&amp;G960&amp;"]"&amp;E960&amp;"'!"&amp;$AF$3),0)</f>
        <v>#VALUE!</v>
      </c>
      <c r="U960" s="34" t="e" cm="1">
        <f t="array" aca="1" ref="U960" ca="1">IF(AND(G960=INDIRECT("'["&amp;G960&amp;"]"&amp;E960&amp;"'!"&amp;$AH$2),OR(I960=INDIRECT("'["&amp;G960&amp;"]"&amp;E960&amp;"'!"&amp;$AG$2))),INDIRECT("'["&amp;G960&amp;"]"&amp;E960&amp;"'!"&amp;$AG$3),0)</f>
        <v>#VALUE!</v>
      </c>
      <c r="V960" s="25" t="str">
        <f t="shared" si="257"/>
        <v/>
      </c>
      <c r="W960" s="36" t="e" cm="1">
        <f t="array" aca="1" ref="W960" ca="1">IF(AND(G960=INDIRECT("'["&amp;G960&amp;"]"&amp;E960&amp;"'!"&amp;$AH$2),OR(V960=INDIRECT("'["&amp;G960&amp;"]"&amp;E960&amp;"'!"&amp;$AI$2))),INDIRECT("'["&amp;G960&amp;"]"&amp;E960&amp;"'!"&amp;$AI$3),0)</f>
        <v>#VALUE!</v>
      </c>
      <c r="AJ960" s="25">
        <v>1</v>
      </c>
      <c r="AK960" s="38">
        <f t="shared" ca="1" si="258"/>
        <v>0</v>
      </c>
      <c r="AL960" s="38">
        <f t="shared" ca="1" si="259"/>
        <v>0</v>
      </c>
      <c r="AM960" s="54" t="str">
        <f t="shared" ca="1" si="260"/>
        <v/>
      </c>
      <c r="AN960" s="25" t="e">
        <f t="shared" ca="1" si="261"/>
        <v>#VALUE!</v>
      </c>
      <c r="AO960" s="25" t="e">
        <f t="shared" ca="1" si="262"/>
        <v>#VALUE!</v>
      </c>
      <c r="AQ960" s="46" t="str">
        <f ca="1">IF(AND(C960&lt;&gt;0, C961=0), SUM($C$2:C960)-SUM($AQ$1:AQ959), "")</f>
        <v/>
      </c>
      <c r="AR960" s="46" t="str">
        <f ca="1">IF(AND(AK960&lt;&gt;0, AK961=0), SUM($AK$2:AK960)-SUM($AR$1:AR959), "")</f>
        <v/>
      </c>
    </row>
    <row r="961" spans="2:44" ht="13.15" customHeight="1">
      <c r="B961" s="68" t="str">
        <f t="shared" si="248"/>
        <v/>
      </c>
      <c r="C961" s="55" cm="1">
        <f t="array" aca="1" ref="C961" ca="1">SUM(IF(ISNUMBER(M961:U961),M961:U961,""))</f>
        <v>0</v>
      </c>
      <c r="D961" s="25" t="str">
        <f t="shared" si="249"/>
        <v/>
      </c>
      <c r="E961" s="25" t="e">
        <f t="shared" si="250"/>
        <v>#VALUE!</v>
      </c>
      <c r="F961" s="25" t="str">
        <f t="shared" si="251"/>
        <v/>
      </c>
      <c r="G961" s="25" t="str">
        <f t="shared" si="252"/>
        <v>.xlsx</v>
      </c>
      <c r="H961" s="29" t="e" cm="1">
        <f t="array" aca="1" ref="H961" ca="1">IF(AND(VALUE(E961)=INDIRECT("'["&amp;G961&amp;"]"&amp;E961&amp;"'!"&amp;$X$2),G961=INDIRECT("'["&amp;G961&amp;"]"&amp;E961&amp;"'!"&amp;$X$3)),INDIRECT("'["&amp;G961&amp;"]"&amp;E961&amp;"'!"&amp;$X$1),0)</f>
        <v>#VALUE!</v>
      </c>
      <c r="I961" s="25" t="str">
        <f t="shared" si="253"/>
        <v/>
      </c>
      <c r="J961" s="32" t="str">
        <f t="shared" si="254"/>
        <v/>
      </c>
      <c r="K961" s="25" t="str">
        <f t="shared" si="255"/>
        <v/>
      </c>
      <c r="L961" s="25" t="str">
        <f t="shared" si="256"/>
        <v/>
      </c>
      <c r="M961" s="33" t="e" cm="1">
        <f t="array" aca="1" ref="M961" ca="1">IF(AND(J961=INDIRECT("'["&amp;G961&amp;"]"&amp;E961&amp;"'!"&amp;$Y$2),G961=INDIRECT("'["&amp;G961&amp;"]"&amp;E961&amp;"'!"&amp;$AH$2)),INDIRECT("'["&amp;G961&amp;"]"&amp;E961&amp;"'!"&amp;$Y$3),0)</f>
        <v>#VALUE!</v>
      </c>
      <c r="N961" s="34" t="e" cm="1">
        <f t="array" aca="1" ref="N961" ca="1">IF(AND(G961=INDIRECT("'["&amp;G961&amp;"]"&amp;E961&amp;"'!"&amp;$AH$2),OR(K961=INDIRECT("'["&amp;G961&amp;"]"&amp;E961&amp;"'!"&amp;$Z$2))),INDIRECT("'["&amp;G961&amp;"]"&amp;E961&amp;"'!"&amp;$Z$3),0)</f>
        <v>#VALUE!</v>
      </c>
      <c r="O961" s="34" t="e" cm="1">
        <f t="array" aca="1" ref="O961" ca="1">IF(AND(G961=INDIRECT("'["&amp;G961&amp;"]"&amp;E961&amp;"'!"&amp;$AH$2),OR(L961=INDIRECT("'["&amp;G961&amp;"]"&amp;E961&amp;"'!"&amp;$AA$2))),INDIRECT("'["&amp;G961&amp;"]"&amp;E961&amp;"'!"&amp;$AA$3),0)</f>
        <v>#VALUE!</v>
      </c>
      <c r="P961" s="34" t="e" cm="1">
        <f t="array" aca="1" ref="P961" ca="1">IF(AND(G961=INDIRECT("'["&amp;G961&amp;"]"&amp;E961&amp;"'!"&amp;$AH$2),OR(VALUE(I961)=INDIRECT("'["&amp;G961&amp;"]"&amp;E961&amp;"'!"&amp;$AB$2))),INDIRECT("'["&amp;G961&amp;"]"&amp;E961&amp;"'!"&amp;$AB$3),0)</f>
        <v>#VALUE!</v>
      </c>
      <c r="Q961" s="34" t="e" cm="1">
        <f t="array" aca="1" ref="Q961" ca="1">IF(AND(G961=INDIRECT("'["&amp;G961&amp;"]"&amp;E961&amp;"'!"&amp;$AH$2),OR(VALUE(I961)=INDIRECT("'["&amp;G961&amp;"]"&amp;E961&amp;"'!"&amp;$AC$2))),INDIRECT("'["&amp;G961&amp;"]"&amp;E961&amp;"'!"&amp;$AC$3),0)</f>
        <v>#VALUE!</v>
      </c>
      <c r="R961" s="34" t="e" cm="1">
        <f t="array" aca="1" ref="R961" ca="1">IF(AND(G961=INDIRECT("'["&amp;G961&amp;"]"&amp;E961&amp;"'!"&amp;$AH$2),OR(I961=INDIRECT("'["&amp;G961&amp;"]"&amp;E961&amp;"'!"&amp;$AD$2))),INDIRECT("'["&amp;G961&amp;"]"&amp;E961&amp;"'!"&amp;$AD$3),0)</f>
        <v>#VALUE!</v>
      </c>
      <c r="S961" s="34" t="e" cm="1">
        <f t="array" aca="1" ref="S961" ca="1">IF(AND(G961=INDIRECT("'["&amp;G961&amp;"]"&amp;E961&amp;"'!"&amp;$AH$2),OR(I961=INDIRECT("'["&amp;G961&amp;"]"&amp;E961&amp;"'!"&amp;$AE$2))),INDIRECT("'["&amp;G961&amp;"]"&amp;E961&amp;"'!"&amp;$AE$3),0)</f>
        <v>#VALUE!</v>
      </c>
      <c r="T961" s="35" t="e" cm="1">
        <f t="array" aca="1" ref="T961" ca="1">IF(AND(G961=INDIRECT("'["&amp;G961&amp;"]"&amp;E961&amp;"'!"&amp;$AH$2),OR(I961=INDIRECT("'["&amp;G961&amp;"]"&amp;E961&amp;"'!"&amp;$AF$2))),INDIRECT("'["&amp;G961&amp;"]"&amp;E961&amp;"'!"&amp;$AF$3),0)</f>
        <v>#VALUE!</v>
      </c>
      <c r="U961" s="34" t="e" cm="1">
        <f t="array" aca="1" ref="U961" ca="1">IF(AND(G961=INDIRECT("'["&amp;G961&amp;"]"&amp;E961&amp;"'!"&amp;$AH$2),OR(I961=INDIRECT("'["&amp;G961&amp;"]"&amp;E961&amp;"'!"&amp;$AG$2))),INDIRECT("'["&amp;G961&amp;"]"&amp;E961&amp;"'!"&amp;$AG$3),0)</f>
        <v>#VALUE!</v>
      </c>
      <c r="V961" s="25" t="str">
        <f t="shared" si="257"/>
        <v/>
      </c>
      <c r="W961" s="36" t="e" cm="1">
        <f t="array" aca="1" ref="W961" ca="1">IF(AND(G961=INDIRECT("'["&amp;G961&amp;"]"&amp;E961&amp;"'!"&amp;$AH$2),OR(V961=INDIRECT("'["&amp;G961&amp;"]"&amp;E961&amp;"'!"&amp;$AI$2))),INDIRECT("'["&amp;G961&amp;"]"&amp;E961&amp;"'!"&amp;$AI$3),0)</f>
        <v>#VALUE!</v>
      </c>
      <c r="AJ961" s="25">
        <v>1</v>
      </c>
      <c r="AK961" s="38">
        <f t="shared" ca="1" si="258"/>
        <v>0</v>
      </c>
      <c r="AL961" s="38">
        <f t="shared" ca="1" si="259"/>
        <v>0</v>
      </c>
      <c r="AM961" s="54" t="str">
        <f t="shared" ca="1" si="260"/>
        <v/>
      </c>
      <c r="AN961" s="25" t="e">
        <f t="shared" ca="1" si="261"/>
        <v>#VALUE!</v>
      </c>
      <c r="AO961" s="25" t="e">
        <f t="shared" ca="1" si="262"/>
        <v>#VALUE!</v>
      </c>
      <c r="AQ961" s="46" t="str">
        <f ca="1">IF(AND(C961&lt;&gt;0, C962=0), SUM($C$2:C961)-SUM($AQ$1:AQ960), "")</f>
        <v/>
      </c>
      <c r="AR961" s="46" t="str">
        <f ca="1">IF(AND(AK961&lt;&gt;0, AK962=0), SUM($AK$2:AK961)-SUM($AR$1:AR960), "")</f>
        <v/>
      </c>
    </row>
    <row r="962" spans="2:44" ht="13.15" customHeight="1">
      <c r="B962" s="68" t="str">
        <f t="shared" si="248"/>
        <v/>
      </c>
      <c r="C962" s="55" cm="1">
        <f t="array" aca="1" ref="C962" ca="1">SUM(IF(ISNUMBER(M962:U962),M962:U962,""))</f>
        <v>0</v>
      </c>
      <c r="D962" s="25" t="str">
        <f t="shared" si="249"/>
        <v/>
      </c>
      <c r="E962" s="25" t="e">
        <f t="shared" si="250"/>
        <v>#VALUE!</v>
      </c>
      <c r="F962" s="25" t="str">
        <f t="shared" si="251"/>
        <v/>
      </c>
      <c r="G962" s="25" t="str">
        <f t="shared" si="252"/>
        <v>.xlsx</v>
      </c>
      <c r="H962" s="29" t="e" cm="1">
        <f t="array" aca="1" ref="H962" ca="1">IF(AND(VALUE(E962)=INDIRECT("'["&amp;G962&amp;"]"&amp;E962&amp;"'!"&amp;$X$2),G962=INDIRECT("'["&amp;G962&amp;"]"&amp;E962&amp;"'!"&amp;$X$3)),INDIRECT("'["&amp;G962&amp;"]"&amp;E962&amp;"'!"&amp;$X$1),0)</f>
        <v>#VALUE!</v>
      </c>
      <c r="I962" s="25" t="str">
        <f t="shared" si="253"/>
        <v/>
      </c>
      <c r="J962" s="32" t="str">
        <f t="shared" si="254"/>
        <v/>
      </c>
      <c r="K962" s="25" t="str">
        <f t="shared" si="255"/>
        <v/>
      </c>
      <c r="L962" s="25" t="str">
        <f t="shared" si="256"/>
        <v/>
      </c>
      <c r="M962" s="33" t="e" cm="1">
        <f t="array" aca="1" ref="M962" ca="1">IF(AND(J962=INDIRECT("'["&amp;G962&amp;"]"&amp;E962&amp;"'!"&amp;$Y$2),G962=INDIRECT("'["&amp;G962&amp;"]"&amp;E962&amp;"'!"&amp;$AH$2)),INDIRECT("'["&amp;G962&amp;"]"&amp;E962&amp;"'!"&amp;$Y$3),0)</f>
        <v>#VALUE!</v>
      </c>
      <c r="N962" s="34" t="e" cm="1">
        <f t="array" aca="1" ref="N962" ca="1">IF(AND(G962=INDIRECT("'["&amp;G962&amp;"]"&amp;E962&amp;"'!"&amp;$AH$2),OR(K962=INDIRECT("'["&amp;G962&amp;"]"&amp;E962&amp;"'!"&amp;$Z$2))),INDIRECT("'["&amp;G962&amp;"]"&amp;E962&amp;"'!"&amp;$Z$3),0)</f>
        <v>#VALUE!</v>
      </c>
      <c r="O962" s="34" t="e" cm="1">
        <f t="array" aca="1" ref="O962" ca="1">IF(AND(G962=INDIRECT("'["&amp;G962&amp;"]"&amp;E962&amp;"'!"&amp;$AH$2),OR(L962=INDIRECT("'["&amp;G962&amp;"]"&amp;E962&amp;"'!"&amp;$AA$2))),INDIRECT("'["&amp;G962&amp;"]"&amp;E962&amp;"'!"&amp;$AA$3),0)</f>
        <v>#VALUE!</v>
      </c>
      <c r="P962" s="34" t="e" cm="1">
        <f t="array" aca="1" ref="P962" ca="1">IF(AND(G962=INDIRECT("'["&amp;G962&amp;"]"&amp;E962&amp;"'!"&amp;$AH$2),OR(VALUE(I962)=INDIRECT("'["&amp;G962&amp;"]"&amp;E962&amp;"'!"&amp;$AB$2))),INDIRECT("'["&amp;G962&amp;"]"&amp;E962&amp;"'!"&amp;$AB$3),0)</f>
        <v>#VALUE!</v>
      </c>
      <c r="Q962" s="34" t="e" cm="1">
        <f t="array" aca="1" ref="Q962" ca="1">IF(AND(G962=INDIRECT("'["&amp;G962&amp;"]"&amp;E962&amp;"'!"&amp;$AH$2),OR(VALUE(I962)=INDIRECT("'["&amp;G962&amp;"]"&amp;E962&amp;"'!"&amp;$AC$2))),INDIRECT("'["&amp;G962&amp;"]"&amp;E962&amp;"'!"&amp;$AC$3),0)</f>
        <v>#VALUE!</v>
      </c>
      <c r="R962" s="34" t="e" cm="1">
        <f t="array" aca="1" ref="R962" ca="1">IF(AND(G962=INDIRECT("'["&amp;G962&amp;"]"&amp;E962&amp;"'!"&amp;$AH$2),OR(I962=INDIRECT("'["&amp;G962&amp;"]"&amp;E962&amp;"'!"&amp;$AD$2))),INDIRECT("'["&amp;G962&amp;"]"&amp;E962&amp;"'!"&amp;$AD$3),0)</f>
        <v>#VALUE!</v>
      </c>
      <c r="S962" s="34" t="e" cm="1">
        <f t="array" aca="1" ref="S962" ca="1">IF(AND(G962=INDIRECT("'["&amp;G962&amp;"]"&amp;E962&amp;"'!"&amp;$AH$2),OR(I962=INDIRECT("'["&amp;G962&amp;"]"&amp;E962&amp;"'!"&amp;$AE$2))),INDIRECT("'["&amp;G962&amp;"]"&amp;E962&amp;"'!"&amp;$AE$3),0)</f>
        <v>#VALUE!</v>
      </c>
      <c r="T962" s="35" t="e" cm="1">
        <f t="array" aca="1" ref="T962" ca="1">IF(AND(G962=INDIRECT("'["&amp;G962&amp;"]"&amp;E962&amp;"'!"&amp;$AH$2),OR(I962=INDIRECT("'["&amp;G962&amp;"]"&amp;E962&amp;"'!"&amp;$AF$2))),INDIRECT("'["&amp;G962&amp;"]"&amp;E962&amp;"'!"&amp;$AF$3),0)</f>
        <v>#VALUE!</v>
      </c>
      <c r="U962" s="34" t="e" cm="1">
        <f t="array" aca="1" ref="U962" ca="1">IF(AND(G962=INDIRECT("'["&amp;G962&amp;"]"&amp;E962&amp;"'!"&amp;$AH$2),OR(I962=INDIRECT("'["&amp;G962&amp;"]"&amp;E962&amp;"'!"&amp;$AG$2))),INDIRECT("'["&amp;G962&amp;"]"&amp;E962&amp;"'!"&amp;$AG$3),0)</f>
        <v>#VALUE!</v>
      </c>
      <c r="V962" s="25" t="str">
        <f t="shared" si="257"/>
        <v/>
      </c>
      <c r="W962" s="36" t="e" cm="1">
        <f t="array" aca="1" ref="W962" ca="1">IF(AND(G962=INDIRECT("'["&amp;G962&amp;"]"&amp;E962&amp;"'!"&amp;$AH$2),OR(V962=INDIRECT("'["&amp;G962&amp;"]"&amp;E962&amp;"'!"&amp;$AI$2))),INDIRECT("'["&amp;G962&amp;"]"&amp;E962&amp;"'!"&amp;$AI$3),0)</f>
        <v>#VALUE!</v>
      </c>
      <c r="AJ962" s="25">
        <v>1</v>
      </c>
      <c r="AK962" s="38">
        <f t="shared" ca="1" si="258"/>
        <v>0</v>
      </c>
      <c r="AL962" s="38">
        <f t="shared" ca="1" si="259"/>
        <v>0</v>
      </c>
      <c r="AM962" s="54" t="str">
        <f t="shared" ca="1" si="260"/>
        <v/>
      </c>
      <c r="AN962" s="25" t="e">
        <f t="shared" ca="1" si="261"/>
        <v>#VALUE!</v>
      </c>
      <c r="AO962" s="25" t="e">
        <f t="shared" ca="1" si="262"/>
        <v>#VALUE!</v>
      </c>
      <c r="AQ962" s="46" t="str">
        <f ca="1">IF(AND(C962&lt;&gt;0, C963=0), SUM($C$2:C962)-SUM($AQ$1:AQ961), "")</f>
        <v/>
      </c>
      <c r="AR962" s="46" t="str">
        <f ca="1">IF(AND(AK962&lt;&gt;0, AK963=0), SUM($AK$2:AK962)-SUM($AR$1:AR961), "")</f>
        <v/>
      </c>
    </row>
    <row r="963" spans="2:44" ht="13.15" customHeight="1">
      <c r="B963" s="68" t="str">
        <f t="shared" si="248"/>
        <v/>
      </c>
      <c r="C963" s="55" cm="1">
        <f t="array" aca="1" ref="C963" ca="1">SUM(IF(ISNUMBER(M963:U963),M963:U963,""))</f>
        <v>0</v>
      </c>
      <c r="D963" s="25" t="str">
        <f t="shared" si="249"/>
        <v/>
      </c>
      <c r="E963" s="25" t="e">
        <f t="shared" si="250"/>
        <v>#VALUE!</v>
      </c>
      <c r="F963" s="25" t="str">
        <f t="shared" si="251"/>
        <v/>
      </c>
      <c r="G963" s="25" t="str">
        <f t="shared" si="252"/>
        <v>.xlsx</v>
      </c>
      <c r="H963" s="29" t="e" cm="1">
        <f t="array" aca="1" ref="H963" ca="1">IF(AND(VALUE(E963)=INDIRECT("'["&amp;G963&amp;"]"&amp;E963&amp;"'!"&amp;$X$2),G963=INDIRECT("'["&amp;G963&amp;"]"&amp;E963&amp;"'!"&amp;$X$3)),INDIRECT("'["&amp;G963&amp;"]"&amp;E963&amp;"'!"&amp;$X$1),0)</f>
        <v>#VALUE!</v>
      </c>
      <c r="I963" s="25" t="str">
        <f t="shared" si="253"/>
        <v/>
      </c>
      <c r="J963" s="32" t="str">
        <f t="shared" si="254"/>
        <v/>
      </c>
      <c r="K963" s="25" t="str">
        <f t="shared" si="255"/>
        <v/>
      </c>
      <c r="L963" s="25" t="str">
        <f t="shared" si="256"/>
        <v/>
      </c>
      <c r="M963" s="33" t="e" cm="1">
        <f t="array" aca="1" ref="M963" ca="1">IF(AND(J963=INDIRECT("'["&amp;G963&amp;"]"&amp;E963&amp;"'!"&amp;$Y$2),G963=INDIRECT("'["&amp;G963&amp;"]"&amp;E963&amp;"'!"&amp;$AH$2)),INDIRECT("'["&amp;G963&amp;"]"&amp;E963&amp;"'!"&amp;$Y$3),0)</f>
        <v>#VALUE!</v>
      </c>
      <c r="N963" s="34" t="e" cm="1">
        <f t="array" aca="1" ref="N963" ca="1">IF(AND(G963=INDIRECT("'["&amp;G963&amp;"]"&amp;E963&amp;"'!"&amp;$AH$2),OR(K963=INDIRECT("'["&amp;G963&amp;"]"&amp;E963&amp;"'!"&amp;$Z$2))),INDIRECT("'["&amp;G963&amp;"]"&amp;E963&amp;"'!"&amp;$Z$3),0)</f>
        <v>#VALUE!</v>
      </c>
      <c r="O963" s="34" t="e" cm="1">
        <f t="array" aca="1" ref="O963" ca="1">IF(AND(G963=INDIRECT("'["&amp;G963&amp;"]"&amp;E963&amp;"'!"&amp;$AH$2),OR(L963=INDIRECT("'["&amp;G963&amp;"]"&amp;E963&amp;"'!"&amp;$AA$2))),INDIRECT("'["&amp;G963&amp;"]"&amp;E963&amp;"'!"&amp;$AA$3),0)</f>
        <v>#VALUE!</v>
      </c>
      <c r="P963" s="34" t="e" cm="1">
        <f t="array" aca="1" ref="P963" ca="1">IF(AND(G963=INDIRECT("'["&amp;G963&amp;"]"&amp;E963&amp;"'!"&amp;$AH$2),OR(VALUE(I963)=INDIRECT("'["&amp;G963&amp;"]"&amp;E963&amp;"'!"&amp;$AB$2))),INDIRECT("'["&amp;G963&amp;"]"&amp;E963&amp;"'!"&amp;$AB$3),0)</f>
        <v>#VALUE!</v>
      </c>
      <c r="Q963" s="34" t="e" cm="1">
        <f t="array" aca="1" ref="Q963" ca="1">IF(AND(G963=INDIRECT("'["&amp;G963&amp;"]"&amp;E963&amp;"'!"&amp;$AH$2),OR(VALUE(I963)=INDIRECT("'["&amp;G963&amp;"]"&amp;E963&amp;"'!"&amp;$AC$2))),INDIRECT("'["&amp;G963&amp;"]"&amp;E963&amp;"'!"&amp;$AC$3),0)</f>
        <v>#VALUE!</v>
      </c>
      <c r="R963" s="34" t="e" cm="1">
        <f t="array" aca="1" ref="R963" ca="1">IF(AND(G963=INDIRECT("'["&amp;G963&amp;"]"&amp;E963&amp;"'!"&amp;$AH$2),OR(I963=INDIRECT("'["&amp;G963&amp;"]"&amp;E963&amp;"'!"&amp;$AD$2))),INDIRECT("'["&amp;G963&amp;"]"&amp;E963&amp;"'!"&amp;$AD$3),0)</f>
        <v>#VALUE!</v>
      </c>
      <c r="S963" s="34" t="e" cm="1">
        <f t="array" aca="1" ref="S963" ca="1">IF(AND(G963=INDIRECT("'["&amp;G963&amp;"]"&amp;E963&amp;"'!"&amp;$AH$2),OR(I963=INDIRECT("'["&amp;G963&amp;"]"&amp;E963&amp;"'!"&amp;$AE$2))),INDIRECT("'["&amp;G963&amp;"]"&amp;E963&amp;"'!"&amp;$AE$3),0)</f>
        <v>#VALUE!</v>
      </c>
      <c r="T963" s="35" t="e" cm="1">
        <f t="array" aca="1" ref="T963" ca="1">IF(AND(G963=INDIRECT("'["&amp;G963&amp;"]"&amp;E963&amp;"'!"&amp;$AH$2),OR(I963=INDIRECT("'["&amp;G963&amp;"]"&amp;E963&amp;"'!"&amp;$AF$2))),INDIRECT("'["&amp;G963&amp;"]"&amp;E963&amp;"'!"&amp;$AF$3),0)</f>
        <v>#VALUE!</v>
      </c>
      <c r="U963" s="34" t="e" cm="1">
        <f t="array" aca="1" ref="U963" ca="1">IF(AND(G963=INDIRECT("'["&amp;G963&amp;"]"&amp;E963&amp;"'!"&amp;$AH$2),OR(I963=INDIRECT("'["&amp;G963&amp;"]"&amp;E963&amp;"'!"&amp;$AG$2))),INDIRECT("'["&amp;G963&amp;"]"&amp;E963&amp;"'!"&amp;$AG$3),0)</f>
        <v>#VALUE!</v>
      </c>
      <c r="V963" s="25" t="str">
        <f t="shared" si="257"/>
        <v/>
      </c>
      <c r="W963" s="36" t="e" cm="1">
        <f t="array" aca="1" ref="W963" ca="1">IF(AND(G963=INDIRECT("'["&amp;G963&amp;"]"&amp;E963&amp;"'!"&amp;$AH$2),OR(V963=INDIRECT("'["&amp;G963&amp;"]"&amp;E963&amp;"'!"&amp;$AI$2))),INDIRECT("'["&amp;G963&amp;"]"&amp;E963&amp;"'!"&amp;$AI$3),0)</f>
        <v>#VALUE!</v>
      </c>
      <c r="AJ963" s="25">
        <v>1</v>
      </c>
      <c r="AK963" s="38">
        <f t="shared" ca="1" si="258"/>
        <v>0</v>
      </c>
      <c r="AL963" s="38">
        <f t="shared" ca="1" si="259"/>
        <v>0</v>
      </c>
      <c r="AM963" s="54" t="str">
        <f t="shared" ca="1" si="260"/>
        <v/>
      </c>
      <c r="AN963" s="25" t="e">
        <f t="shared" ca="1" si="261"/>
        <v>#VALUE!</v>
      </c>
      <c r="AO963" s="25" t="e">
        <f t="shared" ca="1" si="262"/>
        <v>#VALUE!</v>
      </c>
      <c r="AQ963" s="46" t="str">
        <f ca="1">IF(AND(C963&lt;&gt;0, C964=0), SUM($C$2:C963)-SUM($AQ$1:AQ962), "")</f>
        <v/>
      </c>
      <c r="AR963" s="46" t="str">
        <f ca="1">IF(AND(AK963&lt;&gt;0, AK964=0), SUM($AK$2:AK963)-SUM($AR$1:AR962), "")</f>
        <v/>
      </c>
    </row>
    <row r="964" spans="2:44" ht="13.15" customHeight="1">
      <c r="B964" s="68" t="str">
        <f t="shared" si="248"/>
        <v/>
      </c>
      <c r="C964" s="55" cm="1">
        <f t="array" aca="1" ref="C964" ca="1">SUM(IF(ISNUMBER(M964:U964),M964:U964,""))</f>
        <v>0</v>
      </c>
      <c r="D964" s="25" t="str">
        <f t="shared" si="249"/>
        <v/>
      </c>
      <c r="E964" s="25" t="e">
        <f t="shared" si="250"/>
        <v>#VALUE!</v>
      </c>
      <c r="F964" s="25" t="str">
        <f t="shared" si="251"/>
        <v/>
      </c>
      <c r="G964" s="25" t="str">
        <f t="shared" si="252"/>
        <v>.xlsx</v>
      </c>
      <c r="H964" s="29" t="e" cm="1">
        <f t="array" aca="1" ref="H964" ca="1">IF(AND(VALUE(E964)=INDIRECT("'["&amp;G964&amp;"]"&amp;E964&amp;"'!"&amp;$X$2),G964=INDIRECT("'["&amp;G964&amp;"]"&amp;E964&amp;"'!"&amp;$X$3)),INDIRECT("'["&amp;G964&amp;"]"&amp;E964&amp;"'!"&amp;$X$1),0)</f>
        <v>#VALUE!</v>
      </c>
      <c r="I964" s="25" t="str">
        <f t="shared" si="253"/>
        <v/>
      </c>
      <c r="J964" s="32" t="str">
        <f t="shared" si="254"/>
        <v/>
      </c>
      <c r="K964" s="25" t="str">
        <f t="shared" si="255"/>
        <v/>
      </c>
      <c r="L964" s="25" t="str">
        <f t="shared" si="256"/>
        <v/>
      </c>
      <c r="M964" s="33" t="e" cm="1">
        <f t="array" aca="1" ref="M964" ca="1">IF(AND(J964=INDIRECT("'["&amp;G964&amp;"]"&amp;E964&amp;"'!"&amp;$Y$2),G964=INDIRECT("'["&amp;G964&amp;"]"&amp;E964&amp;"'!"&amp;$AH$2)),INDIRECT("'["&amp;G964&amp;"]"&amp;E964&amp;"'!"&amp;$Y$3),0)</f>
        <v>#VALUE!</v>
      </c>
      <c r="N964" s="34" t="e" cm="1">
        <f t="array" aca="1" ref="N964" ca="1">IF(AND(G964=INDIRECT("'["&amp;G964&amp;"]"&amp;E964&amp;"'!"&amp;$AH$2),OR(K964=INDIRECT("'["&amp;G964&amp;"]"&amp;E964&amp;"'!"&amp;$Z$2))),INDIRECT("'["&amp;G964&amp;"]"&amp;E964&amp;"'!"&amp;$Z$3),0)</f>
        <v>#VALUE!</v>
      </c>
      <c r="O964" s="34" t="e" cm="1">
        <f t="array" aca="1" ref="O964" ca="1">IF(AND(G964=INDIRECT("'["&amp;G964&amp;"]"&amp;E964&amp;"'!"&amp;$AH$2),OR(L964=INDIRECT("'["&amp;G964&amp;"]"&amp;E964&amp;"'!"&amp;$AA$2))),INDIRECT("'["&amp;G964&amp;"]"&amp;E964&amp;"'!"&amp;$AA$3),0)</f>
        <v>#VALUE!</v>
      </c>
      <c r="P964" s="34" t="e" cm="1">
        <f t="array" aca="1" ref="P964" ca="1">IF(AND(G964=INDIRECT("'["&amp;G964&amp;"]"&amp;E964&amp;"'!"&amp;$AH$2),OR(VALUE(I964)=INDIRECT("'["&amp;G964&amp;"]"&amp;E964&amp;"'!"&amp;$AB$2))),INDIRECT("'["&amp;G964&amp;"]"&amp;E964&amp;"'!"&amp;$AB$3),0)</f>
        <v>#VALUE!</v>
      </c>
      <c r="Q964" s="34" t="e" cm="1">
        <f t="array" aca="1" ref="Q964" ca="1">IF(AND(G964=INDIRECT("'["&amp;G964&amp;"]"&amp;E964&amp;"'!"&amp;$AH$2),OR(VALUE(I964)=INDIRECT("'["&amp;G964&amp;"]"&amp;E964&amp;"'!"&amp;$AC$2))),INDIRECT("'["&amp;G964&amp;"]"&amp;E964&amp;"'!"&amp;$AC$3),0)</f>
        <v>#VALUE!</v>
      </c>
      <c r="R964" s="34" t="e" cm="1">
        <f t="array" aca="1" ref="R964" ca="1">IF(AND(G964=INDIRECT("'["&amp;G964&amp;"]"&amp;E964&amp;"'!"&amp;$AH$2),OR(I964=INDIRECT("'["&amp;G964&amp;"]"&amp;E964&amp;"'!"&amp;$AD$2))),INDIRECT("'["&amp;G964&amp;"]"&amp;E964&amp;"'!"&amp;$AD$3),0)</f>
        <v>#VALUE!</v>
      </c>
      <c r="S964" s="34" t="e" cm="1">
        <f t="array" aca="1" ref="S964" ca="1">IF(AND(G964=INDIRECT("'["&amp;G964&amp;"]"&amp;E964&amp;"'!"&amp;$AH$2),OR(I964=INDIRECT("'["&amp;G964&amp;"]"&amp;E964&amp;"'!"&amp;$AE$2))),INDIRECT("'["&amp;G964&amp;"]"&amp;E964&amp;"'!"&amp;$AE$3),0)</f>
        <v>#VALUE!</v>
      </c>
      <c r="T964" s="35" t="e" cm="1">
        <f t="array" aca="1" ref="T964" ca="1">IF(AND(G964=INDIRECT("'["&amp;G964&amp;"]"&amp;E964&amp;"'!"&amp;$AH$2),OR(I964=INDIRECT("'["&amp;G964&amp;"]"&amp;E964&amp;"'!"&amp;$AF$2))),INDIRECT("'["&amp;G964&amp;"]"&amp;E964&amp;"'!"&amp;$AF$3),0)</f>
        <v>#VALUE!</v>
      </c>
      <c r="U964" s="34" t="e" cm="1">
        <f t="array" aca="1" ref="U964" ca="1">IF(AND(G964=INDIRECT("'["&amp;G964&amp;"]"&amp;E964&amp;"'!"&amp;$AH$2),OR(I964=INDIRECT("'["&amp;G964&amp;"]"&amp;E964&amp;"'!"&amp;$AG$2))),INDIRECT("'["&amp;G964&amp;"]"&amp;E964&amp;"'!"&amp;$AG$3),0)</f>
        <v>#VALUE!</v>
      </c>
      <c r="V964" s="25" t="str">
        <f t="shared" si="257"/>
        <v/>
      </c>
      <c r="W964" s="36" t="e" cm="1">
        <f t="array" aca="1" ref="W964" ca="1">IF(AND(G964=INDIRECT("'["&amp;G964&amp;"]"&amp;E964&amp;"'!"&amp;$AH$2),OR(V964=INDIRECT("'["&amp;G964&amp;"]"&amp;E964&amp;"'!"&amp;$AI$2))),INDIRECT("'["&amp;G964&amp;"]"&amp;E964&amp;"'!"&amp;$AI$3),0)</f>
        <v>#VALUE!</v>
      </c>
      <c r="AJ964" s="25">
        <v>1</v>
      </c>
      <c r="AK964" s="38">
        <f t="shared" ca="1" si="258"/>
        <v>0</v>
      </c>
      <c r="AL964" s="38">
        <f t="shared" ca="1" si="259"/>
        <v>0</v>
      </c>
      <c r="AM964" s="54" t="str">
        <f t="shared" ca="1" si="260"/>
        <v/>
      </c>
      <c r="AN964" s="25" t="e">
        <f t="shared" ca="1" si="261"/>
        <v>#VALUE!</v>
      </c>
      <c r="AO964" s="25" t="e">
        <f t="shared" ca="1" si="262"/>
        <v>#VALUE!</v>
      </c>
      <c r="AQ964" s="46" t="str">
        <f ca="1">IF(AND(C964&lt;&gt;0, C965=0), SUM($C$2:C964)-SUM($AQ$1:AQ963), "")</f>
        <v/>
      </c>
      <c r="AR964" s="46" t="str">
        <f ca="1">IF(AND(AK964&lt;&gt;0, AK965=0), SUM($AK$2:AK964)-SUM($AR$1:AR963), "")</f>
        <v/>
      </c>
    </row>
    <row r="965" spans="2:44" ht="13.15" customHeight="1">
      <c r="B965" s="68" t="str">
        <f t="shared" si="248"/>
        <v/>
      </c>
      <c r="C965" s="55" cm="1">
        <f t="array" aca="1" ref="C965" ca="1">SUM(IF(ISNUMBER(M965:U965),M965:U965,""))</f>
        <v>0</v>
      </c>
      <c r="D965" s="25" t="str">
        <f t="shared" si="249"/>
        <v/>
      </c>
      <c r="E965" s="25" t="e">
        <f t="shared" si="250"/>
        <v>#VALUE!</v>
      </c>
      <c r="F965" s="25" t="str">
        <f t="shared" si="251"/>
        <v/>
      </c>
      <c r="G965" s="25" t="str">
        <f t="shared" si="252"/>
        <v>.xlsx</v>
      </c>
      <c r="H965" s="29" t="e" cm="1">
        <f t="array" aca="1" ref="H965" ca="1">IF(AND(VALUE(E965)=INDIRECT("'["&amp;G965&amp;"]"&amp;E965&amp;"'!"&amp;$X$2),G965=INDIRECT("'["&amp;G965&amp;"]"&amp;E965&amp;"'!"&amp;$X$3)),INDIRECT("'["&amp;G965&amp;"]"&amp;E965&amp;"'!"&amp;$X$1),0)</f>
        <v>#VALUE!</v>
      </c>
      <c r="I965" s="25" t="str">
        <f t="shared" si="253"/>
        <v/>
      </c>
      <c r="J965" s="32" t="str">
        <f t="shared" si="254"/>
        <v/>
      </c>
      <c r="K965" s="25" t="str">
        <f t="shared" si="255"/>
        <v/>
      </c>
      <c r="L965" s="25" t="str">
        <f t="shared" si="256"/>
        <v/>
      </c>
      <c r="M965" s="33" t="e" cm="1">
        <f t="array" aca="1" ref="M965" ca="1">IF(AND(J965=INDIRECT("'["&amp;G965&amp;"]"&amp;E965&amp;"'!"&amp;$Y$2),G965=INDIRECT("'["&amp;G965&amp;"]"&amp;E965&amp;"'!"&amp;$AH$2)),INDIRECT("'["&amp;G965&amp;"]"&amp;E965&amp;"'!"&amp;$Y$3),0)</f>
        <v>#VALUE!</v>
      </c>
      <c r="N965" s="34" t="e" cm="1">
        <f t="array" aca="1" ref="N965" ca="1">IF(AND(G965=INDIRECT("'["&amp;G965&amp;"]"&amp;E965&amp;"'!"&amp;$AH$2),OR(K965=INDIRECT("'["&amp;G965&amp;"]"&amp;E965&amp;"'!"&amp;$Z$2))),INDIRECT("'["&amp;G965&amp;"]"&amp;E965&amp;"'!"&amp;$Z$3),0)</f>
        <v>#VALUE!</v>
      </c>
      <c r="O965" s="34" t="e" cm="1">
        <f t="array" aca="1" ref="O965" ca="1">IF(AND(G965=INDIRECT("'["&amp;G965&amp;"]"&amp;E965&amp;"'!"&amp;$AH$2),OR(L965=INDIRECT("'["&amp;G965&amp;"]"&amp;E965&amp;"'!"&amp;$AA$2))),INDIRECT("'["&amp;G965&amp;"]"&amp;E965&amp;"'!"&amp;$AA$3),0)</f>
        <v>#VALUE!</v>
      </c>
      <c r="P965" s="34" t="e" cm="1">
        <f t="array" aca="1" ref="P965" ca="1">IF(AND(G965=INDIRECT("'["&amp;G965&amp;"]"&amp;E965&amp;"'!"&amp;$AH$2),OR(VALUE(I965)=INDIRECT("'["&amp;G965&amp;"]"&amp;E965&amp;"'!"&amp;$AB$2))),INDIRECT("'["&amp;G965&amp;"]"&amp;E965&amp;"'!"&amp;$AB$3),0)</f>
        <v>#VALUE!</v>
      </c>
      <c r="Q965" s="34" t="e" cm="1">
        <f t="array" aca="1" ref="Q965" ca="1">IF(AND(G965=INDIRECT("'["&amp;G965&amp;"]"&amp;E965&amp;"'!"&amp;$AH$2),OR(VALUE(I965)=INDIRECT("'["&amp;G965&amp;"]"&amp;E965&amp;"'!"&amp;$AC$2))),INDIRECT("'["&amp;G965&amp;"]"&amp;E965&amp;"'!"&amp;$AC$3),0)</f>
        <v>#VALUE!</v>
      </c>
      <c r="R965" s="34" t="e" cm="1">
        <f t="array" aca="1" ref="R965" ca="1">IF(AND(G965=INDIRECT("'["&amp;G965&amp;"]"&amp;E965&amp;"'!"&amp;$AH$2),OR(I965=INDIRECT("'["&amp;G965&amp;"]"&amp;E965&amp;"'!"&amp;$AD$2))),INDIRECT("'["&amp;G965&amp;"]"&amp;E965&amp;"'!"&amp;$AD$3),0)</f>
        <v>#VALUE!</v>
      </c>
      <c r="S965" s="34" t="e" cm="1">
        <f t="array" aca="1" ref="S965" ca="1">IF(AND(G965=INDIRECT("'["&amp;G965&amp;"]"&amp;E965&amp;"'!"&amp;$AH$2),OR(I965=INDIRECT("'["&amp;G965&amp;"]"&amp;E965&amp;"'!"&amp;$AE$2))),INDIRECT("'["&amp;G965&amp;"]"&amp;E965&amp;"'!"&amp;$AE$3),0)</f>
        <v>#VALUE!</v>
      </c>
      <c r="T965" s="35" t="e" cm="1">
        <f t="array" aca="1" ref="T965" ca="1">IF(AND(G965=INDIRECT("'["&amp;G965&amp;"]"&amp;E965&amp;"'!"&amp;$AH$2),OR(I965=INDIRECT("'["&amp;G965&amp;"]"&amp;E965&amp;"'!"&amp;$AF$2))),INDIRECT("'["&amp;G965&amp;"]"&amp;E965&amp;"'!"&amp;$AF$3),0)</f>
        <v>#VALUE!</v>
      </c>
      <c r="U965" s="34" t="e" cm="1">
        <f t="array" aca="1" ref="U965" ca="1">IF(AND(G965=INDIRECT("'["&amp;G965&amp;"]"&amp;E965&amp;"'!"&amp;$AH$2),OR(I965=INDIRECT("'["&amp;G965&amp;"]"&amp;E965&amp;"'!"&amp;$AG$2))),INDIRECT("'["&amp;G965&amp;"]"&amp;E965&amp;"'!"&amp;$AG$3),0)</f>
        <v>#VALUE!</v>
      </c>
      <c r="V965" s="25" t="str">
        <f t="shared" si="257"/>
        <v/>
      </c>
      <c r="W965" s="36" t="e" cm="1">
        <f t="array" aca="1" ref="W965" ca="1">IF(AND(G965=INDIRECT("'["&amp;G965&amp;"]"&amp;E965&amp;"'!"&amp;$AH$2),OR(V965=INDIRECT("'["&amp;G965&amp;"]"&amp;E965&amp;"'!"&amp;$AI$2))),INDIRECT("'["&amp;G965&amp;"]"&amp;E965&amp;"'!"&amp;$AI$3),0)</f>
        <v>#VALUE!</v>
      </c>
      <c r="AJ965" s="25">
        <v>1</v>
      </c>
      <c r="AK965" s="38">
        <f t="shared" ca="1" si="258"/>
        <v>0</v>
      </c>
      <c r="AL965" s="38">
        <f t="shared" ca="1" si="259"/>
        <v>0</v>
      </c>
      <c r="AM965" s="54" t="str">
        <f t="shared" ca="1" si="260"/>
        <v/>
      </c>
      <c r="AN965" s="25" t="e">
        <f t="shared" ca="1" si="261"/>
        <v>#VALUE!</v>
      </c>
      <c r="AO965" s="25" t="e">
        <f t="shared" ca="1" si="262"/>
        <v>#VALUE!</v>
      </c>
      <c r="AQ965" s="46" t="str">
        <f ca="1">IF(AND(C965&lt;&gt;0, C966=0), SUM($C$2:C965)-SUM($AQ$1:AQ964), "")</f>
        <v/>
      </c>
      <c r="AR965" s="46" t="str">
        <f ca="1">IF(AND(AK965&lt;&gt;0, AK966=0), SUM($AK$2:AK965)-SUM($AR$1:AR964), "")</f>
        <v/>
      </c>
    </row>
    <row r="966" spans="2:44" ht="13.15" customHeight="1">
      <c r="B966" s="68" t="str">
        <f t="shared" si="248"/>
        <v/>
      </c>
      <c r="C966" s="55" cm="1">
        <f t="array" aca="1" ref="C966" ca="1">SUM(IF(ISNUMBER(M966:U966),M966:U966,""))</f>
        <v>0</v>
      </c>
      <c r="D966" s="25" t="str">
        <f t="shared" si="249"/>
        <v/>
      </c>
      <c r="E966" s="25" t="e">
        <f t="shared" si="250"/>
        <v>#VALUE!</v>
      </c>
      <c r="F966" s="25" t="str">
        <f t="shared" si="251"/>
        <v/>
      </c>
      <c r="G966" s="25" t="str">
        <f t="shared" si="252"/>
        <v>.xlsx</v>
      </c>
      <c r="H966" s="29" t="e" cm="1">
        <f t="array" aca="1" ref="H966" ca="1">IF(AND(VALUE(E966)=INDIRECT("'["&amp;G966&amp;"]"&amp;E966&amp;"'!"&amp;$X$2),G966=INDIRECT("'["&amp;G966&amp;"]"&amp;E966&amp;"'!"&amp;$X$3)),INDIRECT("'["&amp;G966&amp;"]"&amp;E966&amp;"'!"&amp;$X$1),0)</f>
        <v>#VALUE!</v>
      </c>
      <c r="I966" s="25" t="str">
        <f t="shared" si="253"/>
        <v/>
      </c>
      <c r="J966" s="32" t="str">
        <f t="shared" si="254"/>
        <v/>
      </c>
      <c r="K966" s="25" t="str">
        <f t="shared" si="255"/>
        <v/>
      </c>
      <c r="L966" s="25" t="str">
        <f t="shared" si="256"/>
        <v/>
      </c>
      <c r="M966" s="33" t="e" cm="1">
        <f t="array" aca="1" ref="M966" ca="1">IF(AND(J966=INDIRECT("'["&amp;G966&amp;"]"&amp;E966&amp;"'!"&amp;$Y$2),G966=INDIRECT("'["&amp;G966&amp;"]"&amp;E966&amp;"'!"&amp;$AH$2)),INDIRECT("'["&amp;G966&amp;"]"&amp;E966&amp;"'!"&amp;$Y$3),0)</f>
        <v>#VALUE!</v>
      </c>
      <c r="N966" s="34" t="e" cm="1">
        <f t="array" aca="1" ref="N966" ca="1">IF(AND(G966=INDIRECT("'["&amp;G966&amp;"]"&amp;E966&amp;"'!"&amp;$AH$2),OR(K966=INDIRECT("'["&amp;G966&amp;"]"&amp;E966&amp;"'!"&amp;$Z$2))),INDIRECT("'["&amp;G966&amp;"]"&amp;E966&amp;"'!"&amp;$Z$3),0)</f>
        <v>#VALUE!</v>
      </c>
      <c r="O966" s="34" t="e" cm="1">
        <f t="array" aca="1" ref="O966" ca="1">IF(AND(G966=INDIRECT("'["&amp;G966&amp;"]"&amp;E966&amp;"'!"&amp;$AH$2),OR(L966=INDIRECT("'["&amp;G966&amp;"]"&amp;E966&amp;"'!"&amp;$AA$2))),INDIRECT("'["&amp;G966&amp;"]"&amp;E966&amp;"'!"&amp;$AA$3),0)</f>
        <v>#VALUE!</v>
      </c>
      <c r="P966" s="34" t="e" cm="1">
        <f t="array" aca="1" ref="P966" ca="1">IF(AND(G966=INDIRECT("'["&amp;G966&amp;"]"&amp;E966&amp;"'!"&amp;$AH$2),OR(VALUE(I966)=INDIRECT("'["&amp;G966&amp;"]"&amp;E966&amp;"'!"&amp;$AB$2))),INDIRECT("'["&amp;G966&amp;"]"&amp;E966&amp;"'!"&amp;$AB$3),0)</f>
        <v>#VALUE!</v>
      </c>
      <c r="Q966" s="34" t="e" cm="1">
        <f t="array" aca="1" ref="Q966" ca="1">IF(AND(G966=INDIRECT("'["&amp;G966&amp;"]"&amp;E966&amp;"'!"&amp;$AH$2),OR(VALUE(I966)=INDIRECT("'["&amp;G966&amp;"]"&amp;E966&amp;"'!"&amp;$AC$2))),INDIRECT("'["&amp;G966&amp;"]"&amp;E966&amp;"'!"&amp;$AC$3),0)</f>
        <v>#VALUE!</v>
      </c>
      <c r="R966" s="34" t="e" cm="1">
        <f t="array" aca="1" ref="R966" ca="1">IF(AND(G966=INDIRECT("'["&amp;G966&amp;"]"&amp;E966&amp;"'!"&amp;$AH$2),OR(I966=INDIRECT("'["&amp;G966&amp;"]"&amp;E966&amp;"'!"&amp;$AD$2))),INDIRECT("'["&amp;G966&amp;"]"&amp;E966&amp;"'!"&amp;$AD$3),0)</f>
        <v>#VALUE!</v>
      </c>
      <c r="S966" s="34" t="e" cm="1">
        <f t="array" aca="1" ref="S966" ca="1">IF(AND(G966=INDIRECT("'["&amp;G966&amp;"]"&amp;E966&amp;"'!"&amp;$AH$2),OR(I966=INDIRECT("'["&amp;G966&amp;"]"&amp;E966&amp;"'!"&amp;$AE$2))),INDIRECT("'["&amp;G966&amp;"]"&amp;E966&amp;"'!"&amp;$AE$3),0)</f>
        <v>#VALUE!</v>
      </c>
      <c r="T966" s="35" t="e" cm="1">
        <f t="array" aca="1" ref="T966" ca="1">IF(AND(G966=INDIRECT("'["&amp;G966&amp;"]"&amp;E966&amp;"'!"&amp;$AH$2),OR(I966=INDIRECT("'["&amp;G966&amp;"]"&amp;E966&amp;"'!"&amp;$AF$2))),INDIRECT("'["&amp;G966&amp;"]"&amp;E966&amp;"'!"&amp;$AF$3),0)</f>
        <v>#VALUE!</v>
      </c>
      <c r="U966" s="34" t="e" cm="1">
        <f t="array" aca="1" ref="U966" ca="1">IF(AND(G966=INDIRECT("'["&amp;G966&amp;"]"&amp;E966&amp;"'!"&amp;$AH$2),OR(I966=INDIRECT("'["&amp;G966&amp;"]"&amp;E966&amp;"'!"&amp;$AG$2))),INDIRECT("'["&amp;G966&amp;"]"&amp;E966&amp;"'!"&amp;$AG$3),0)</f>
        <v>#VALUE!</v>
      </c>
      <c r="V966" s="25" t="str">
        <f t="shared" si="257"/>
        <v/>
      </c>
      <c r="W966" s="36" t="e" cm="1">
        <f t="array" aca="1" ref="W966" ca="1">IF(AND(G966=INDIRECT("'["&amp;G966&amp;"]"&amp;E966&amp;"'!"&amp;$AH$2),OR(V966=INDIRECT("'["&amp;G966&amp;"]"&amp;E966&amp;"'!"&amp;$AI$2))),INDIRECT("'["&amp;G966&amp;"]"&amp;E966&amp;"'!"&amp;$AI$3),0)</f>
        <v>#VALUE!</v>
      </c>
      <c r="AJ966" s="25">
        <v>1</v>
      </c>
      <c r="AK966" s="38">
        <f t="shared" ca="1" si="258"/>
        <v>0</v>
      </c>
      <c r="AL966" s="38">
        <f t="shared" ca="1" si="259"/>
        <v>0</v>
      </c>
      <c r="AM966" s="54" t="str">
        <f t="shared" ca="1" si="260"/>
        <v/>
      </c>
      <c r="AN966" s="25" t="e">
        <f t="shared" ca="1" si="261"/>
        <v>#VALUE!</v>
      </c>
      <c r="AO966" s="25" t="e">
        <f t="shared" ca="1" si="262"/>
        <v>#VALUE!</v>
      </c>
      <c r="AQ966" s="46" t="str">
        <f ca="1">IF(AND(C966&lt;&gt;0, C967=0), SUM($C$2:C966)-SUM($AQ$1:AQ965), "")</f>
        <v/>
      </c>
      <c r="AR966" s="46" t="str">
        <f ca="1">IF(AND(AK966&lt;&gt;0, AK967=0), SUM($AK$2:AK966)-SUM($AR$1:AR965), "")</f>
        <v/>
      </c>
    </row>
    <row r="967" spans="2:44" ht="13.15" customHeight="1">
      <c r="B967" s="68" t="str">
        <f t="shared" si="248"/>
        <v/>
      </c>
      <c r="C967" s="55" cm="1">
        <f t="array" aca="1" ref="C967" ca="1">SUM(IF(ISNUMBER(M967:U967),M967:U967,""))</f>
        <v>0</v>
      </c>
      <c r="D967" s="25" t="str">
        <f t="shared" si="249"/>
        <v/>
      </c>
      <c r="E967" s="25" t="e">
        <f t="shared" si="250"/>
        <v>#VALUE!</v>
      </c>
      <c r="F967" s="25" t="str">
        <f t="shared" si="251"/>
        <v/>
      </c>
      <c r="G967" s="25" t="str">
        <f t="shared" si="252"/>
        <v>.xlsx</v>
      </c>
      <c r="H967" s="29" t="e" cm="1">
        <f t="array" aca="1" ref="H967" ca="1">IF(AND(VALUE(E967)=INDIRECT("'["&amp;G967&amp;"]"&amp;E967&amp;"'!"&amp;$X$2),G967=INDIRECT("'["&amp;G967&amp;"]"&amp;E967&amp;"'!"&amp;$X$3)),INDIRECT("'["&amp;G967&amp;"]"&amp;E967&amp;"'!"&amp;$X$1),0)</f>
        <v>#VALUE!</v>
      </c>
      <c r="I967" s="25" t="str">
        <f t="shared" si="253"/>
        <v/>
      </c>
      <c r="J967" s="32" t="str">
        <f t="shared" si="254"/>
        <v/>
      </c>
      <c r="K967" s="25" t="str">
        <f t="shared" si="255"/>
        <v/>
      </c>
      <c r="L967" s="25" t="str">
        <f t="shared" si="256"/>
        <v/>
      </c>
      <c r="M967" s="33" t="e" cm="1">
        <f t="array" aca="1" ref="M967" ca="1">IF(AND(J967=INDIRECT("'["&amp;G967&amp;"]"&amp;E967&amp;"'!"&amp;$Y$2),G967=INDIRECT("'["&amp;G967&amp;"]"&amp;E967&amp;"'!"&amp;$AH$2)),INDIRECT("'["&amp;G967&amp;"]"&amp;E967&amp;"'!"&amp;$Y$3),0)</f>
        <v>#VALUE!</v>
      </c>
      <c r="N967" s="34" t="e" cm="1">
        <f t="array" aca="1" ref="N967" ca="1">IF(AND(G967=INDIRECT("'["&amp;G967&amp;"]"&amp;E967&amp;"'!"&amp;$AH$2),OR(K967=INDIRECT("'["&amp;G967&amp;"]"&amp;E967&amp;"'!"&amp;$Z$2))),INDIRECT("'["&amp;G967&amp;"]"&amp;E967&amp;"'!"&amp;$Z$3),0)</f>
        <v>#VALUE!</v>
      </c>
      <c r="O967" s="34" t="e" cm="1">
        <f t="array" aca="1" ref="O967" ca="1">IF(AND(G967=INDIRECT("'["&amp;G967&amp;"]"&amp;E967&amp;"'!"&amp;$AH$2),OR(L967=INDIRECT("'["&amp;G967&amp;"]"&amp;E967&amp;"'!"&amp;$AA$2))),INDIRECT("'["&amp;G967&amp;"]"&amp;E967&amp;"'!"&amp;$AA$3),0)</f>
        <v>#VALUE!</v>
      </c>
      <c r="P967" s="34" t="e" cm="1">
        <f t="array" aca="1" ref="P967" ca="1">IF(AND(G967=INDIRECT("'["&amp;G967&amp;"]"&amp;E967&amp;"'!"&amp;$AH$2),OR(VALUE(I967)=INDIRECT("'["&amp;G967&amp;"]"&amp;E967&amp;"'!"&amp;$AB$2))),INDIRECT("'["&amp;G967&amp;"]"&amp;E967&amp;"'!"&amp;$AB$3),0)</f>
        <v>#VALUE!</v>
      </c>
      <c r="Q967" s="34" t="e" cm="1">
        <f t="array" aca="1" ref="Q967" ca="1">IF(AND(G967=INDIRECT("'["&amp;G967&amp;"]"&amp;E967&amp;"'!"&amp;$AH$2),OR(VALUE(I967)=INDIRECT("'["&amp;G967&amp;"]"&amp;E967&amp;"'!"&amp;$AC$2))),INDIRECT("'["&amp;G967&amp;"]"&amp;E967&amp;"'!"&amp;$AC$3),0)</f>
        <v>#VALUE!</v>
      </c>
      <c r="R967" s="34" t="e" cm="1">
        <f t="array" aca="1" ref="R967" ca="1">IF(AND(G967=INDIRECT("'["&amp;G967&amp;"]"&amp;E967&amp;"'!"&amp;$AH$2),OR(I967=INDIRECT("'["&amp;G967&amp;"]"&amp;E967&amp;"'!"&amp;$AD$2))),INDIRECT("'["&amp;G967&amp;"]"&amp;E967&amp;"'!"&amp;$AD$3),0)</f>
        <v>#VALUE!</v>
      </c>
      <c r="S967" s="34" t="e" cm="1">
        <f t="array" aca="1" ref="S967" ca="1">IF(AND(G967=INDIRECT("'["&amp;G967&amp;"]"&amp;E967&amp;"'!"&amp;$AH$2),OR(I967=INDIRECT("'["&amp;G967&amp;"]"&amp;E967&amp;"'!"&amp;$AE$2))),INDIRECT("'["&amp;G967&amp;"]"&amp;E967&amp;"'!"&amp;$AE$3),0)</f>
        <v>#VALUE!</v>
      </c>
      <c r="T967" s="35" t="e" cm="1">
        <f t="array" aca="1" ref="T967" ca="1">IF(AND(G967=INDIRECT("'["&amp;G967&amp;"]"&amp;E967&amp;"'!"&amp;$AH$2),OR(I967=INDIRECT("'["&amp;G967&amp;"]"&amp;E967&amp;"'!"&amp;$AF$2))),INDIRECT("'["&amp;G967&amp;"]"&amp;E967&amp;"'!"&amp;$AF$3),0)</f>
        <v>#VALUE!</v>
      </c>
      <c r="U967" s="34" t="e" cm="1">
        <f t="array" aca="1" ref="U967" ca="1">IF(AND(G967=INDIRECT("'["&amp;G967&amp;"]"&amp;E967&amp;"'!"&amp;$AH$2),OR(I967=INDIRECT("'["&amp;G967&amp;"]"&amp;E967&amp;"'!"&amp;$AG$2))),INDIRECT("'["&amp;G967&amp;"]"&amp;E967&amp;"'!"&amp;$AG$3),0)</f>
        <v>#VALUE!</v>
      </c>
      <c r="V967" s="25" t="str">
        <f t="shared" si="257"/>
        <v/>
      </c>
      <c r="W967" s="36" t="e" cm="1">
        <f t="array" aca="1" ref="W967" ca="1">IF(AND(G967=INDIRECT("'["&amp;G967&amp;"]"&amp;E967&amp;"'!"&amp;$AH$2),OR(V967=INDIRECT("'["&amp;G967&amp;"]"&amp;E967&amp;"'!"&amp;$AI$2))),INDIRECT("'["&amp;G967&amp;"]"&amp;E967&amp;"'!"&amp;$AI$3),0)</f>
        <v>#VALUE!</v>
      </c>
      <c r="AJ967" s="25">
        <v>1</v>
      </c>
      <c r="AK967" s="38">
        <f t="shared" ca="1" si="258"/>
        <v>0</v>
      </c>
      <c r="AL967" s="38">
        <f t="shared" ca="1" si="259"/>
        <v>0</v>
      </c>
      <c r="AM967" s="54" t="str">
        <f t="shared" ca="1" si="260"/>
        <v/>
      </c>
      <c r="AN967" s="25" t="e">
        <f t="shared" ca="1" si="261"/>
        <v>#VALUE!</v>
      </c>
      <c r="AO967" s="25" t="e">
        <f t="shared" ca="1" si="262"/>
        <v>#VALUE!</v>
      </c>
      <c r="AQ967" s="46" t="str">
        <f ca="1">IF(AND(C967&lt;&gt;0, C968=0), SUM($C$2:C967)-SUM($AQ$1:AQ966), "")</f>
        <v/>
      </c>
      <c r="AR967" s="46" t="str">
        <f ca="1">IF(AND(AK967&lt;&gt;0, AK968=0), SUM($AK$2:AK967)-SUM($AR$1:AR966), "")</f>
        <v/>
      </c>
    </row>
    <row r="968" spans="2:44" ht="13.15" customHeight="1">
      <c r="B968" s="68" t="str">
        <f t="shared" si="248"/>
        <v/>
      </c>
      <c r="C968" s="55" cm="1">
        <f t="array" aca="1" ref="C968" ca="1">SUM(IF(ISNUMBER(M968:U968),M968:U968,""))</f>
        <v>0</v>
      </c>
      <c r="D968" s="25" t="str">
        <f t="shared" si="249"/>
        <v/>
      </c>
      <c r="E968" s="25" t="e">
        <f t="shared" si="250"/>
        <v>#VALUE!</v>
      </c>
      <c r="F968" s="25" t="str">
        <f t="shared" si="251"/>
        <v/>
      </c>
      <c r="G968" s="25" t="str">
        <f t="shared" si="252"/>
        <v>.xlsx</v>
      </c>
      <c r="H968" s="29" t="e" cm="1">
        <f t="array" aca="1" ref="H968" ca="1">IF(AND(VALUE(E968)=INDIRECT("'["&amp;G968&amp;"]"&amp;E968&amp;"'!"&amp;$X$2),G968=INDIRECT("'["&amp;G968&amp;"]"&amp;E968&amp;"'!"&amp;$X$3)),INDIRECT("'["&amp;G968&amp;"]"&amp;E968&amp;"'!"&amp;$X$1),0)</f>
        <v>#VALUE!</v>
      </c>
      <c r="I968" s="25" t="str">
        <f t="shared" si="253"/>
        <v/>
      </c>
      <c r="J968" s="32" t="str">
        <f t="shared" si="254"/>
        <v/>
      </c>
      <c r="K968" s="25" t="str">
        <f t="shared" si="255"/>
        <v/>
      </c>
      <c r="L968" s="25" t="str">
        <f t="shared" si="256"/>
        <v/>
      </c>
      <c r="M968" s="33" t="e" cm="1">
        <f t="array" aca="1" ref="M968" ca="1">IF(AND(J968=INDIRECT("'["&amp;G968&amp;"]"&amp;E968&amp;"'!"&amp;$Y$2),G968=INDIRECT("'["&amp;G968&amp;"]"&amp;E968&amp;"'!"&amp;$AH$2)),INDIRECT("'["&amp;G968&amp;"]"&amp;E968&amp;"'!"&amp;$Y$3),0)</f>
        <v>#VALUE!</v>
      </c>
      <c r="N968" s="34" t="e" cm="1">
        <f t="array" aca="1" ref="N968" ca="1">IF(AND(G968=INDIRECT("'["&amp;G968&amp;"]"&amp;E968&amp;"'!"&amp;$AH$2),OR(K968=INDIRECT("'["&amp;G968&amp;"]"&amp;E968&amp;"'!"&amp;$Z$2))),INDIRECT("'["&amp;G968&amp;"]"&amp;E968&amp;"'!"&amp;$Z$3),0)</f>
        <v>#VALUE!</v>
      </c>
      <c r="O968" s="34" t="e" cm="1">
        <f t="array" aca="1" ref="O968" ca="1">IF(AND(G968=INDIRECT("'["&amp;G968&amp;"]"&amp;E968&amp;"'!"&amp;$AH$2),OR(L968=INDIRECT("'["&amp;G968&amp;"]"&amp;E968&amp;"'!"&amp;$AA$2))),INDIRECT("'["&amp;G968&amp;"]"&amp;E968&amp;"'!"&amp;$AA$3),0)</f>
        <v>#VALUE!</v>
      </c>
      <c r="P968" s="34" t="e" cm="1">
        <f t="array" aca="1" ref="P968" ca="1">IF(AND(G968=INDIRECT("'["&amp;G968&amp;"]"&amp;E968&amp;"'!"&amp;$AH$2),OR(VALUE(I968)=INDIRECT("'["&amp;G968&amp;"]"&amp;E968&amp;"'!"&amp;$AB$2))),INDIRECT("'["&amp;G968&amp;"]"&amp;E968&amp;"'!"&amp;$AB$3),0)</f>
        <v>#VALUE!</v>
      </c>
      <c r="Q968" s="34" t="e" cm="1">
        <f t="array" aca="1" ref="Q968" ca="1">IF(AND(G968=INDIRECT("'["&amp;G968&amp;"]"&amp;E968&amp;"'!"&amp;$AH$2),OR(VALUE(I968)=INDIRECT("'["&amp;G968&amp;"]"&amp;E968&amp;"'!"&amp;$AC$2))),INDIRECT("'["&amp;G968&amp;"]"&amp;E968&amp;"'!"&amp;$AC$3),0)</f>
        <v>#VALUE!</v>
      </c>
      <c r="R968" s="34" t="e" cm="1">
        <f t="array" aca="1" ref="R968" ca="1">IF(AND(G968=INDIRECT("'["&amp;G968&amp;"]"&amp;E968&amp;"'!"&amp;$AH$2),OR(I968=INDIRECT("'["&amp;G968&amp;"]"&amp;E968&amp;"'!"&amp;$AD$2))),INDIRECT("'["&amp;G968&amp;"]"&amp;E968&amp;"'!"&amp;$AD$3),0)</f>
        <v>#VALUE!</v>
      </c>
      <c r="S968" s="34" t="e" cm="1">
        <f t="array" aca="1" ref="S968" ca="1">IF(AND(G968=INDIRECT("'["&amp;G968&amp;"]"&amp;E968&amp;"'!"&amp;$AH$2),OR(I968=INDIRECT("'["&amp;G968&amp;"]"&amp;E968&amp;"'!"&amp;$AE$2))),INDIRECT("'["&amp;G968&amp;"]"&amp;E968&amp;"'!"&amp;$AE$3),0)</f>
        <v>#VALUE!</v>
      </c>
      <c r="T968" s="35" t="e" cm="1">
        <f t="array" aca="1" ref="T968" ca="1">IF(AND(G968=INDIRECT("'["&amp;G968&amp;"]"&amp;E968&amp;"'!"&amp;$AH$2),OR(I968=INDIRECT("'["&amp;G968&amp;"]"&amp;E968&amp;"'!"&amp;$AF$2))),INDIRECT("'["&amp;G968&amp;"]"&amp;E968&amp;"'!"&amp;$AF$3),0)</f>
        <v>#VALUE!</v>
      </c>
      <c r="U968" s="34" t="e" cm="1">
        <f t="array" aca="1" ref="U968" ca="1">IF(AND(G968=INDIRECT("'["&amp;G968&amp;"]"&amp;E968&amp;"'!"&amp;$AH$2),OR(I968=INDIRECT("'["&amp;G968&amp;"]"&amp;E968&amp;"'!"&amp;$AG$2))),INDIRECT("'["&amp;G968&amp;"]"&amp;E968&amp;"'!"&amp;$AG$3),0)</f>
        <v>#VALUE!</v>
      </c>
      <c r="V968" s="25" t="str">
        <f t="shared" si="257"/>
        <v/>
      </c>
      <c r="W968" s="36" t="e" cm="1">
        <f t="array" aca="1" ref="W968" ca="1">IF(AND(G968=INDIRECT("'["&amp;G968&amp;"]"&amp;E968&amp;"'!"&amp;$AH$2),OR(V968=INDIRECT("'["&amp;G968&amp;"]"&amp;E968&amp;"'!"&amp;$AI$2))),INDIRECT("'["&amp;G968&amp;"]"&amp;E968&amp;"'!"&amp;$AI$3),0)</f>
        <v>#VALUE!</v>
      </c>
      <c r="AJ968" s="25">
        <v>1</v>
      </c>
      <c r="AK968" s="38">
        <f t="shared" ca="1" si="258"/>
        <v>0</v>
      </c>
      <c r="AL968" s="38">
        <f t="shared" ca="1" si="259"/>
        <v>0</v>
      </c>
      <c r="AM968" s="54" t="str">
        <f t="shared" ca="1" si="260"/>
        <v/>
      </c>
      <c r="AN968" s="25" t="e">
        <f t="shared" ca="1" si="261"/>
        <v>#VALUE!</v>
      </c>
      <c r="AO968" s="25" t="e">
        <f t="shared" ca="1" si="262"/>
        <v>#VALUE!</v>
      </c>
      <c r="AQ968" s="46" t="str">
        <f ca="1">IF(AND(C968&lt;&gt;0, C969=0), SUM($C$2:C968)-SUM($AQ$1:AQ967), "")</f>
        <v/>
      </c>
      <c r="AR968" s="46" t="str">
        <f ca="1">IF(AND(AK968&lt;&gt;0, AK969=0), SUM($AK$2:AK968)-SUM($AR$1:AR967), "")</f>
        <v/>
      </c>
    </row>
    <row r="969" spans="2:44" ht="13.15" customHeight="1">
      <c r="B969" s="68" t="str">
        <f t="shared" si="248"/>
        <v/>
      </c>
      <c r="C969" s="55" cm="1">
        <f t="array" aca="1" ref="C969" ca="1">SUM(IF(ISNUMBER(M969:U969),M969:U969,""))</f>
        <v>0</v>
      </c>
      <c r="D969" s="25" t="str">
        <f t="shared" si="249"/>
        <v/>
      </c>
      <c r="E969" s="25" t="e">
        <f t="shared" si="250"/>
        <v>#VALUE!</v>
      </c>
      <c r="F969" s="25" t="str">
        <f t="shared" si="251"/>
        <v/>
      </c>
      <c r="G969" s="25" t="str">
        <f t="shared" si="252"/>
        <v>.xlsx</v>
      </c>
      <c r="H969" s="29" t="e" cm="1">
        <f t="array" aca="1" ref="H969" ca="1">IF(AND(VALUE(E969)=INDIRECT("'["&amp;G969&amp;"]"&amp;E969&amp;"'!"&amp;$X$2),G969=INDIRECT("'["&amp;G969&amp;"]"&amp;E969&amp;"'!"&amp;$X$3)),INDIRECT("'["&amp;G969&amp;"]"&amp;E969&amp;"'!"&amp;$X$1),0)</f>
        <v>#VALUE!</v>
      </c>
      <c r="I969" s="25" t="str">
        <f t="shared" si="253"/>
        <v/>
      </c>
      <c r="J969" s="32" t="str">
        <f t="shared" si="254"/>
        <v/>
      </c>
      <c r="K969" s="25" t="str">
        <f t="shared" si="255"/>
        <v/>
      </c>
      <c r="L969" s="25" t="str">
        <f t="shared" si="256"/>
        <v/>
      </c>
      <c r="M969" s="33" t="e" cm="1">
        <f t="array" aca="1" ref="M969" ca="1">IF(AND(J969=INDIRECT("'["&amp;G969&amp;"]"&amp;E969&amp;"'!"&amp;$Y$2),G969=INDIRECT("'["&amp;G969&amp;"]"&amp;E969&amp;"'!"&amp;$AH$2)),INDIRECT("'["&amp;G969&amp;"]"&amp;E969&amp;"'!"&amp;$Y$3),0)</f>
        <v>#VALUE!</v>
      </c>
      <c r="N969" s="34" t="e" cm="1">
        <f t="array" aca="1" ref="N969" ca="1">IF(AND(G969=INDIRECT("'["&amp;G969&amp;"]"&amp;E969&amp;"'!"&amp;$AH$2),OR(K969=INDIRECT("'["&amp;G969&amp;"]"&amp;E969&amp;"'!"&amp;$Z$2))),INDIRECT("'["&amp;G969&amp;"]"&amp;E969&amp;"'!"&amp;$Z$3),0)</f>
        <v>#VALUE!</v>
      </c>
      <c r="O969" s="34" t="e" cm="1">
        <f t="array" aca="1" ref="O969" ca="1">IF(AND(G969=INDIRECT("'["&amp;G969&amp;"]"&amp;E969&amp;"'!"&amp;$AH$2),OR(L969=INDIRECT("'["&amp;G969&amp;"]"&amp;E969&amp;"'!"&amp;$AA$2))),INDIRECT("'["&amp;G969&amp;"]"&amp;E969&amp;"'!"&amp;$AA$3),0)</f>
        <v>#VALUE!</v>
      </c>
      <c r="P969" s="34" t="e" cm="1">
        <f t="array" aca="1" ref="P969" ca="1">IF(AND(G969=INDIRECT("'["&amp;G969&amp;"]"&amp;E969&amp;"'!"&amp;$AH$2),OR(VALUE(I969)=INDIRECT("'["&amp;G969&amp;"]"&amp;E969&amp;"'!"&amp;$AB$2))),INDIRECT("'["&amp;G969&amp;"]"&amp;E969&amp;"'!"&amp;$AB$3),0)</f>
        <v>#VALUE!</v>
      </c>
      <c r="Q969" s="34" t="e" cm="1">
        <f t="array" aca="1" ref="Q969" ca="1">IF(AND(G969=INDIRECT("'["&amp;G969&amp;"]"&amp;E969&amp;"'!"&amp;$AH$2),OR(VALUE(I969)=INDIRECT("'["&amp;G969&amp;"]"&amp;E969&amp;"'!"&amp;$AC$2))),INDIRECT("'["&amp;G969&amp;"]"&amp;E969&amp;"'!"&amp;$AC$3),0)</f>
        <v>#VALUE!</v>
      </c>
      <c r="R969" s="34" t="e" cm="1">
        <f t="array" aca="1" ref="R969" ca="1">IF(AND(G969=INDIRECT("'["&amp;G969&amp;"]"&amp;E969&amp;"'!"&amp;$AH$2),OR(I969=INDIRECT("'["&amp;G969&amp;"]"&amp;E969&amp;"'!"&amp;$AD$2))),INDIRECT("'["&amp;G969&amp;"]"&amp;E969&amp;"'!"&amp;$AD$3),0)</f>
        <v>#VALUE!</v>
      </c>
      <c r="S969" s="34" t="e" cm="1">
        <f t="array" aca="1" ref="S969" ca="1">IF(AND(G969=INDIRECT("'["&amp;G969&amp;"]"&amp;E969&amp;"'!"&amp;$AH$2),OR(I969=INDIRECT("'["&amp;G969&amp;"]"&amp;E969&amp;"'!"&amp;$AE$2))),INDIRECT("'["&amp;G969&amp;"]"&amp;E969&amp;"'!"&amp;$AE$3),0)</f>
        <v>#VALUE!</v>
      </c>
      <c r="T969" s="35" t="e" cm="1">
        <f t="array" aca="1" ref="T969" ca="1">IF(AND(G969=INDIRECT("'["&amp;G969&amp;"]"&amp;E969&amp;"'!"&amp;$AH$2),OR(I969=INDIRECT("'["&amp;G969&amp;"]"&amp;E969&amp;"'!"&amp;$AF$2))),INDIRECT("'["&amp;G969&amp;"]"&amp;E969&amp;"'!"&amp;$AF$3),0)</f>
        <v>#VALUE!</v>
      </c>
      <c r="U969" s="34" t="e" cm="1">
        <f t="array" aca="1" ref="U969" ca="1">IF(AND(G969=INDIRECT("'["&amp;G969&amp;"]"&amp;E969&amp;"'!"&amp;$AH$2),OR(I969=INDIRECT("'["&amp;G969&amp;"]"&amp;E969&amp;"'!"&amp;$AG$2))),INDIRECT("'["&amp;G969&amp;"]"&amp;E969&amp;"'!"&amp;$AG$3),0)</f>
        <v>#VALUE!</v>
      </c>
      <c r="V969" s="25" t="str">
        <f t="shared" si="257"/>
        <v/>
      </c>
      <c r="W969" s="36" t="e" cm="1">
        <f t="array" aca="1" ref="W969" ca="1">IF(AND(G969=INDIRECT("'["&amp;G969&amp;"]"&amp;E969&amp;"'!"&amp;$AH$2),OR(V969=INDIRECT("'["&amp;G969&amp;"]"&amp;E969&amp;"'!"&amp;$AI$2))),INDIRECT("'["&amp;G969&amp;"]"&amp;E969&amp;"'!"&amp;$AI$3),0)</f>
        <v>#VALUE!</v>
      </c>
      <c r="AJ969" s="25">
        <v>1</v>
      </c>
      <c r="AK969" s="38">
        <f t="shared" ca="1" si="258"/>
        <v>0</v>
      </c>
      <c r="AL969" s="38">
        <f t="shared" ca="1" si="259"/>
        <v>0</v>
      </c>
      <c r="AM969" s="54" t="str">
        <f t="shared" ca="1" si="260"/>
        <v/>
      </c>
      <c r="AN969" s="25" t="e">
        <f t="shared" ca="1" si="261"/>
        <v>#VALUE!</v>
      </c>
      <c r="AO969" s="25" t="e">
        <f t="shared" ca="1" si="262"/>
        <v>#VALUE!</v>
      </c>
      <c r="AQ969" s="46" t="str">
        <f ca="1">IF(AND(C969&lt;&gt;0, C970=0), SUM($C$2:C969)-SUM($AQ$1:AQ968), "")</f>
        <v/>
      </c>
      <c r="AR969" s="46" t="str">
        <f ca="1">IF(AND(AK969&lt;&gt;0, AK970=0), SUM($AK$2:AK969)-SUM($AR$1:AR968), "")</f>
        <v/>
      </c>
    </row>
    <row r="970" spans="2:44" ht="13.15" customHeight="1">
      <c r="B970" s="68" t="str">
        <f t="shared" si="248"/>
        <v/>
      </c>
      <c r="C970" s="55" cm="1">
        <f t="array" aca="1" ref="C970" ca="1">SUM(IF(ISNUMBER(M970:U970),M970:U970,""))</f>
        <v>0</v>
      </c>
      <c r="D970" s="25" t="str">
        <f t="shared" si="249"/>
        <v/>
      </c>
      <c r="E970" s="25" t="e">
        <f t="shared" si="250"/>
        <v>#VALUE!</v>
      </c>
      <c r="F970" s="25" t="str">
        <f t="shared" si="251"/>
        <v/>
      </c>
      <c r="G970" s="25" t="str">
        <f t="shared" si="252"/>
        <v>.xlsx</v>
      </c>
      <c r="H970" s="29" t="e" cm="1">
        <f t="array" aca="1" ref="H970" ca="1">IF(AND(VALUE(E970)=INDIRECT("'["&amp;G970&amp;"]"&amp;E970&amp;"'!"&amp;$X$2),G970=INDIRECT("'["&amp;G970&amp;"]"&amp;E970&amp;"'!"&amp;$X$3)),INDIRECT("'["&amp;G970&amp;"]"&amp;E970&amp;"'!"&amp;$X$1),0)</f>
        <v>#VALUE!</v>
      </c>
      <c r="I970" s="25" t="str">
        <f t="shared" si="253"/>
        <v/>
      </c>
      <c r="J970" s="32" t="str">
        <f t="shared" si="254"/>
        <v/>
      </c>
      <c r="K970" s="25" t="str">
        <f t="shared" si="255"/>
        <v/>
      </c>
      <c r="L970" s="25" t="str">
        <f t="shared" si="256"/>
        <v/>
      </c>
      <c r="M970" s="33" t="e" cm="1">
        <f t="array" aca="1" ref="M970" ca="1">IF(AND(J970=INDIRECT("'["&amp;G970&amp;"]"&amp;E970&amp;"'!"&amp;$Y$2),G970=INDIRECT("'["&amp;G970&amp;"]"&amp;E970&amp;"'!"&amp;$AH$2)),INDIRECT("'["&amp;G970&amp;"]"&amp;E970&amp;"'!"&amp;$Y$3),0)</f>
        <v>#VALUE!</v>
      </c>
      <c r="N970" s="34" t="e" cm="1">
        <f t="array" aca="1" ref="N970" ca="1">IF(AND(G970=INDIRECT("'["&amp;G970&amp;"]"&amp;E970&amp;"'!"&amp;$AH$2),OR(K970=INDIRECT("'["&amp;G970&amp;"]"&amp;E970&amp;"'!"&amp;$Z$2))),INDIRECT("'["&amp;G970&amp;"]"&amp;E970&amp;"'!"&amp;$Z$3),0)</f>
        <v>#VALUE!</v>
      </c>
      <c r="O970" s="34" t="e" cm="1">
        <f t="array" aca="1" ref="O970" ca="1">IF(AND(G970=INDIRECT("'["&amp;G970&amp;"]"&amp;E970&amp;"'!"&amp;$AH$2),OR(L970=INDIRECT("'["&amp;G970&amp;"]"&amp;E970&amp;"'!"&amp;$AA$2))),INDIRECT("'["&amp;G970&amp;"]"&amp;E970&amp;"'!"&amp;$AA$3),0)</f>
        <v>#VALUE!</v>
      </c>
      <c r="P970" s="34" t="e" cm="1">
        <f t="array" aca="1" ref="P970" ca="1">IF(AND(G970=INDIRECT("'["&amp;G970&amp;"]"&amp;E970&amp;"'!"&amp;$AH$2),OR(VALUE(I970)=INDIRECT("'["&amp;G970&amp;"]"&amp;E970&amp;"'!"&amp;$AB$2))),INDIRECT("'["&amp;G970&amp;"]"&amp;E970&amp;"'!"&amp;$AB$3),0)</f>
        <v>#VALUE!</v>
      </c>
      <c r="Q970" s="34" t="e" cm="1">
        <f t="array" aca="1" ref="Q970" ca="1">IF(AND(G970=INDIRECT("'["&amp;G970&amp;"]"&amp;E970&amp;"'!"&amp;$AH$2),OR(VALUE(I970)=INDIRECT("'["&amp;G970&amp;"]"&amp;E970&amp;"'!"&amp;$AC$2))),INDIRECT("'["&amp;G970&amp;"]"&amp;E970&amp;"'!"&amp;$AC$3),0)</f>
        <v>#VALUE!</v>
      </c>
      <c r="R970" s="34" t="e" cm="1">
        <f t="array" aca="1" ref="R970" ca="1">IF(AND(G970=INDIRECT("'["&amp;G970&amp;"]"&amp;E970&amp;"'!"&amp;$AH$2),OR(I970=INDIRECT("'["&amp;G970&amp;"]"&amp;E970&amp;"'!"&amp;$AD$2))),INDIRECT("'["&amp;G970&amp;"]"&amp;E970&amp;"'!"&amp;$AD$3),0)</f>
        <v>#VALUE!</v>
      </c>
      <c r="S970" s="34" t="e" cm="1">
        <f t="array" aca="1" ref="S970" ca="1">IF(AND(G970=INDIRECT("'["&amp;G970&amp;"]"&amp;E970&amp;"'!"&amp;$AH$2),OR(I970=INDIRECT("'["&amp;G970&amp;"]"&amp;E970&amp;"'!"&amp;$AE$2))),INDIRECT("'["&amp;G970&amp;"]"&amp;E970&amp;"'!"&amp;$AE$3),0)</f>
        <v>#VALUE!</v>
      </c>
      <c r="T970" s="35" t="e" cm="1">
        <f t="array" aca="1" ref="T970" ca="1">IF(AND(G970=INDIRECT("'["&amp;G970&amp;"]"&amp;E970&amp;"'!"&amp;$AH$2),OR(I970=INDIRECT("'["&amp;G970&amp;"]"&amp;E970&amp;"'!"&amp;$AF$2))),INDIRECT("'["&amp;G970&amp;"]"&amp;E970&amp;"'!"&amp;$AF$3),0)</f>
        <v>#VALUE!</v>
      </c>
      <c r="U970" s="34" t="e" cm="1">
        <f t="array" aca="1" ref="U970" ca="1">IF(AND(G970=INDIRECT("'["&amp;G970&amp;"]"&amp;E970&amp;"'!"&amp;$AH$2),OR(I970=INDIRECT("'["&amp;G970&amp;"]"&amp;E970&amp;"'!"&amp;$AG$2))),INDIRECT("'["&amp;G970&amp;"]"&amp;E970&amp;"'!"&amp;$AG$3),0)</f>
        <v>#VALUE!</v>
      </c>
      <c r="V970" s="25" t="str">
        <f t="shared" si="257"/>
        <v/>
      </c>
      <c r="W970" s="36" t="e" cm="1">
        <f t="array" aca="1" ref="W970" ca="1">IF(AND(G970=INDIRECT("'["&amp;G970&amp;"]"&amp;E970&amp;"'!"&amp;$AH$2),OR(V970=INDIRECT("'["&amp;G970&amp;"]"&amp;E970&amp;"'!"&amp;$AI$2))),INDIRECT("'["&amp;G970&amp;"]"&amp;E970&amp;"'!"&amp;$AI$3),0)</f>
        <v>#VALUE!</v>
      </c>
      <c r="AJ970" s="25">
        <v>1</v>
      </c>
      <c r="AK970" s="38">
        <f t="shared" ca="1" si="258"/>
        <v>0</v>
      </c>
      <c r="AL970" s="38">
        <f t="shared" ca="1" si="259"/>
        <v>0</v>
      </c>
      <c r="AM970" s="54" t="str">
        <f t="shared" ca="1" si="260"/>
        <v/>
      </c>
      <c r="AN970" s="25" t="e">
        <f t="shared" ca="1" si="261"/>
        <v>#VALUE!</v>
      </c>
      <c r="AO970" s="25" t="e">
        <f t="shared" ca="1" si="262"/>
        <v>#VALUE!</v>
      </c>
      <c r="AQ970" s="46" t="str">
        <f ca="1">IF(AND(C970&lt;&gt;0, C971=0), SUM($C$2:C970)-SUM($AQ$1:AQ969), "")</f>
        <v/>
      </c>
      <c r="AR970" s="46" t="str">
        <f ca="1">IF(AND(AK970&lt;&gt;0, AK971=0), SUM($AK$2:AK970)-SUM($AR$1:AR969), "")</f>
        <v/>
      </c>
    </row>
    <row r="971" spans="2:44" ht="13.15" customHeight="1">
      <c r="B971" s="68" t="str">
        <f t="shared" si="248"/>
        <v/>
      </c>
      <c r="C971" s="55" cm="1">
        <f t="array" aca="1" ref="C971" ca="1">SUM(IF(ISNUMBER(M971:U971),M971:U971,""))</f>
        <v>0</v>
      </c>
      <c r="D971" s="25" t="str">
        <f t="shared" si="249"/>
        <v/>
      </c>
      <c r="E971" s="25" t="e">
        <f t="shared" si="250"/>
        <v>#VALUE!</v>
      </c>
      <c r="F971" s="25" t="str">
        <f t="shared" si="251"/>
        <v/>
      </c>
      <c r="G971" s="25" t="str">
        <f t="shared" si="252"/>
        <v>.xlsx</v>
      </c>
      <c r="H971" s="29" t="e" cm="1">
        <f t="array" aca="1" ref="H971" ca="1">IF(AND(VALUE(E971)=INDIRECT("'["&amp;G971&amp;"]"&amp;E971&amp;"'!"&amp;$X$2),G971=INDIRECT("'["&amp;G971&amp;"]"&amp;E971&amp;"'!"&amp;$X$3)),INDIRECT("'["&amp;G971&amp;"]"&amp;E971&amp;"'!"&amp;$X$1),0)</f>
        <v>#VALUE!</v>
      </c>
      <c r="I971" s="25" t="str">
        <f t="shared" si="253"/>
        <v/>
      </c>
      <c r="J971" s="32" t="str">
        <f t="shared" si="254"/>
        <v/>
      </c>
      <c r="K971" s="25" t="str">
        <f t="shared" si="255"/>
        <v/>
      </c>
      <c r="L971" s="25" t="str">
        <f t="shared" si="256"/>
        <v/>
      </c>
      <c r="M971" s="33" t="e" cm="1">
        <f t="array" aca="1" ref="M971" ca="1">IF(AND(J971=INDIRECT("'["&amp;G971&amp;"]"&amp;E971&amp;"'!"&amp;$Y$2),G971=INDIRECT("'["&amp;G971&amp;"]"&amp;E971&amp;"'!"&amp;$AH$2)),INDIRECT("'["&amp;G971&amp;"]"&amp;E971&amp;"'!"&amp;$Y$3),0)</f>
        <v>#VALUE!</v>
      </c>
      <c r="N971" s="34" t="e" cm="1">
        <f t="array" aca="1" ref="N971" ca="1">IF(AND(G971=INDIRECT("'["&amp;G971&amp;"]"&amp;E971&amp;"'!"&amp;$AH$2),OR(K971=INDIRECT("'["&amp;G971&amp;"]"&amp;E971&amp;"'!"&amp;$Z$2))),INDIRECT("'["&amp;G971&amp;"]"&amp;E971&amp;"'!"&amp;$Z$3),0)</f>
        <v>#VALUE!</v>
      </c>
      <c r="O971" s="34" t="e" cm="1">
        <f t="array" aca="1" ref="O971" ca="1">IF(AND(G971=INDIRECT("'["&amp;G971&amp;"]"&amp;E971&amp;"'!"&amp;$AH$2),OR(L971=INDIRECT("'["&amp;G971&amp;"]"&amp;E971&amp;"'!"&amp;$AA$2))),INDIRECT("'["&amp;G971&amp;"]"&amp;E971&amp;"'!"&amp;$AA$3),0)</f>
        <v>#VALUE!</v>
      </c>
      <c r="P971" s="34" t="e" cm="1">
        <f t="array" aca="1" ref="P971" ca="1">IF(AND(G971=INDIRECT("'["&amp;G971&amp;"]"&amp;E971&amp;"'!"&amp;$AH$2),OR(VALUE(I971)=INDIRECT("'["&amp;G971&amp;"]"&amp;E971&amp;"'!"&amp;$AB$2))),INDIRECT("'["&amp;G971&amp;"]"&amp;E971&amp;"'!"&amp;$AB$3),0)</f>
        <v>#VALUE!</v>
      </c>
      <c r="Q971" s="34" t="e" cm="1">
        <f t="array" aca="1" ref="Q971" ca="1">IF(AND(G971=INDIRECT("'["&amp;G971&amp;"]"&amp;E971&amp;"'!"&amp;$AH$2),OR(VALUE(I971)=INDIRECT("'["&amp;G971&amp;"]"&amp;E971&amp;"'!"&amp;$AC$2))),INDIRECT("'["&amp;G971&amp;"]"&amp;E971&amp;"'!"&amp;$AC$3),0)</f>
        <v>#VALUE!</v>
      </c>
      <c r="R971" s="34" t="e" cm="1">
        <f t="array" aca="1" ref="R971" ca="1">IF(AND(G971=INDIRECT("'["&amp;G971&amp;"]"&amp;E971&amp;"'!"&amp;$AH$2),OR(I971=INDIRECT("'["&amp;G971&amp;"]"&amp;E971&amp;"'!"&amp;$AD$2))),INDIRECT("'["&amp;G971&amp;"]"&amp;E971&amp;"'!"&amp;$AD$3),0)</f>
        <v>#VALUE!</v>
      </c>
      <c r="S971" s="34" t="e" cm="1">
        <f t="array" aca="1" ref="S971" ca="1">IF(AND(G971=INDIRECT("'["&amp;G971&amp;"]"&amp;E971&amp;"'!"&amp;$AH$2),OR(I971=INDIRECT("'["&amp;G971&amp;"]"&amp;E971&amp;"'!"&amp;$AE$2))),INDIRECT("'["&amp;G971&amp;"]"&amp;E971&amp;"'!"&amp;$AE$3),0)</f>
        <v>#VALUE!</v>
      </c>
      <c r="T971" s="35" t="e" cm="1">
        <f t="array" aca="1" ref="T971" ca="1">IF(AND(G971=INDIRECT("'["&amp;G971&amp;"]"&amp;E971&amp;"'!"&amp;$AH$2),OR(I971=INDIRECT("'["&amp;G971&amp;"]"&amp;E971&amp;"'!"&amp;$AF$2))),INDIRECT("'["&amp;G971&amp;"]"&amp;E971&amp;"'!"&amp;$AF$3),0)</f>
        <v>#VALUE!</v>
      </c>
      <c r="U971" s="34" t="e" cm="1">
        <f t="array" aca="1" ref="U971" ca="1">IF(AND(G971=INDIRECT("'["&amp;G971&amp;"]"&amp;E971&amp;"'!"&amp;$AH$2),OR(I971=INDIRECT("'["&amp;G971&amp;"]"&amp;E971&amp;"'!"&amp;$AG$2))),INDIRECT("'["&amp;G971&amp;"]"&amp;E971&amp;"'!"&amp;$AG$3),0)</f>
        <v>#VALUE!</v>
      </c>
      <c r="V971" s="25" t="str">
        <f t="shared" si="257"/>
        <v/>
      </c>
      <c r="W971" s="36" t="e" cm="1">
        <f t="array" aca="1" ref="W971" ca="1">IF(AND(G971=INDIRECT("'["&amp;G971&amp;"]"&amp;E971&amp;"'!"&amp;$AH$2),OR(V971=INDIRECT("'["&amp;G971&amp;"]"&amp;E971&amp;"'!"&amp;$AI$2))),INDIRECT("'["&amp;G971&amp;"]"&amp;E971&amp;"'!"&amp;$AI$3),0)</f>
        <v>#VALUE!</v>
      </c>
      <c r="AJ971" s="25">
        <v>1</v>
      </c>
      <c r="AK971" s="38">
        <f t="shared" ca="1" si="258"/>
        <v>0</v>
      </c>
      <c r="AL971" s="38">
        <f t="shared" ca="1" si="259"/>
        <v>0</v>
      </c>
      <c r="AM971" s="54" t="str">
        <f t="shared" ca="1" si="260"/>
        <v/>
      </c>
      <c r="AN971" s="25" t="e">
        <f t="shared" ca="1" si="261"/>
        <v>#VALUE!</v>
      </c>
      <c r="AO971" s="25" t="e">
        <f t="shared" ca="1" si="262"/>
        <v>#VALUE!</v>
      </c>
      <c r="AQ971" s="46" t="str">
        <f ca="1">IF(AND(C971&lt;&gt;0, C972=0), SUM($C$2:C971)-SUM($AQ$1:AQ970), "")</f>
        <v/>
      </c>
      <c r="AR971" s="46" t="str">
        <f ca="1">IF(AND(AK971&lt;&gt;0, AK972=0), SUM($AK$2:AK971)-SUM($AR$1:AR970), "")</f>
        <v/>
      </c>
    </row>
    <row r="972" spans="2:44" ht="13.15" customHeight="1">
      <c r="B972" s="68" t="str">
        <f t="shared" si="248"/>
        <v/>
      </c>
      <c r="C972" s="55" cm="1">
        <f t="array" aca="1" ref="C972" ca="1">SUM(IF(ISNUMBER(M972:U972),M972:U972,""))</f>
        <v>0</v>
      </c>
      <c r="D972" s="25" t="str">
        <f t="shared" si="249"/>
        <v/>
      </c>
      <c r="E972" s="25" t="e">
        <f t="shared" si="250"/>
        <v>#VALUE!</v>
      </c>
      <c r="F972" s="25" t="str">
        <f t="shared" si="251"/>
        <v/>
      </c>
      <c r="G972" s="25" t="str">
        <f t="shared" si="252"/>
        <v>.xlsx</v>
      </c>
      <c r="H972" s="29" t="e" cm="1">
        <f t="array" aca="1" ref="H972" ca="1">IF(AND(VALUE(E972)=INDIRECT("'["&amp;G972&amp;"]"&amp;E972&amp;"'!"&amp;$X$2),G972=INDIRECT("'["&amp;G972&amp;"]"&amp;E972&amp;"'!"&amp;$X$3)),INDIRECT("'["&amp;G972&amp;"]"&amp;E972&amp;"'!"&amp;$X$1),0)</f>
        <v>#VALUE!</v>
      </c>
      <c r="I972" s="25" t="str">
        <f t="shared" si="253"/>
        <v/>
      </c>
      <c r="J972" s="32" t="str">
        <f t="shared" si="254"/>
        <v/>
      </c>
      <c r="K972" s="25" t="str">
        <f t="shared" si="255"/>
        <v/>
      </c>
      <c r="L972" s="25" t="str">
        <f t="shared" si="256"/>
        <v/>
      </c>
      <c r="M972" s="33" t="e" cm="1">
        <f t="array" aca="1" ref="M972" ca="1">IF(AND(J972=INDIRECT("'["&amp;G972&amp;"]"&amp;E972&amp;"'!"&amp;$Y$2),G972=INDIRECT("'["&amp;G972&amp;"]"&amp;E972&amp;"'!"&amp;$AH$2)),INDIRECT("'["&amp;G972&amp;"]"&amp;E972&amp;"'!"&amp;$Y$3),0)</f>
        <v>#VALUE!</v>
      </c>
      <c r="N972" s="34" t="e" cm="1">
        <f t="array" aca="1" ref="N972" ca="1">IF(AND(G972=INDIRECT("'["&amp;G972&amp;"]"&amp;E972&amp;"'!"&amp;$AH$2),OR(K972=INDIRECT("'["&amp;G972&amp;"]"&amp;E972&amp;"'!"&amp;$Z$2))),INDIRECT("'["&amp;G972&amp;"]"&amp;E972&amp;"'!"&amp;$Z$3),0)</f>
        <v>#VALUE!</v>
      </c>
      <c r="O972" s="34" t="e" cm="1">
        <f t="array" aca="1" ref="O972" ca="1">IF(AND(G972=INDIRECT("'["&amp;G972&amp;"]"&amp;E972&amp;"'!"&amp;$AH$2),OR(L972=INDIRECT("'["&amp;G972&amp;"]"&amp;E972&amp;"'!"&amp;$AA$2))),INDIRECT("'["&amp;G972&amp;"]"&amp;E972&amp;"'!"&amp;$AA$3),0)</f>
        <v>#VALUE!</v>
      </c>
      <c r="P972" s="34" t="e" cm="1">
        <f t="array" aca="1" ref="P972" ca="1">IF(AND(G972=INDIRECT("'["&amp;G972&amp;"]"&amp;E972&amp;"'!"&amp;$AH$2),OR(VALUE(I972)=INDIRECT("'["&amp;G972&amp;"]"&amp;E972&amp;"'!"&amp;$AB$2))),INDIRECT("'["&amp;G972&amp;"]"&amp;E972&amp;"'!"&amp;$AB$3),0)</f>
        <v>#VALUE!</v>
      </c>
      <c r="Q972" s="34" t="e" cm="1">
        <f t="array" aca="1" ref="Q972" ca="1">IF(AND(G972=INDIRECT("'["&amp;G972&amp;"]"&amp;E972&amp;"'!"&amp;$AH$2),OR(VALUE(I972)=INDIRECT("'["&amp;G972&amp;"]"&amp;E972&amp;"'!"&amp;$AC$2))),INDIRECT("'["&amp;G972&amp;"]"&amp;E972&amp;"'!"&amp;$AC$3),0)</f>
        <v>#VALUE!</v>
      </c>
      <c r="R972" s="34" t="e" cm="1">
        <f t="array" aca="1" ref="R972" ca="1">IF(AND(G972=INDIRECT("'["&amp;G972&amp;"]"&amp;E972&amp;"'!"&amp;$AH$2),OR(I972=INDIRECT("'["&amp;G972&amp;"]"&amp;E972&amp;"'!"&amp;$AD$2))),INDIRECT("'["&amp;G972&amp;"]"&amp;E972&amp;"'!"&amp;$AD$3),0)</f>
        <v>#VALUE!</v>
      </c>
      <c r="S972" s="34" t="e" cm="1">
        <f t="array" aca="1" ref="S972" ca="1">IF(AND(G972=INDIRECT("'["&amp;G972&amp;"]"&amp;E972&amp;"'!"&amp;$AH$2),OR(I972=INDIRECT("'["&amp;G972&amp;"]"&amp;E972&amp;"'!"&amp;$AE$2))),INDIRECT("'["&amp;G972&amp;"]"&amp;E972&amp;"'!"&amp;$AE$3),0)</f>
        <v>#VALUE!</v>
      </c>
      <c r="T972" s="35" t="e" cm="1">
        <f t="array" aca="1" ref="T972" ca="1">IF(AND(G972=INDIRECT("'["&amp;G972&amp;"]"&amp;E972&amp;"'!"&amp;$AH$2),OR(I972=INDIRECT("'["&amp;G972&amp;"]"&amp;E972&amp;"'!"&amp;$AF$2))),INDIRECT("'["&amp;G972&amp;"]"&amp;E972&amp;"'!"&amp;$AF$3),0)</f>
        <v>#VALUE!</v>
      </c>
      <c r="U972" s="34" t="e" cm="1">
        <f t="array" aca="1" ref="U972" ca="1">IF(AND(G972=INDIRECT("'["&amp;G972&amp;"]"&amp;E972&amp;"'!"&amp;$AH$2),OR(I972=INDIRECT("'["&amp;G972&amp;"]"&amp;E972&amp;"'!"&amp;$AG$2))),INDIRECT("'["&amp;G972&amp;"]"&amp;E972&amp;"'!"&amp;$AG$3),0)</f>
        <v>#VALUE!</v>
      </c>
      <c r="V972" s="25" t="str">
        <f t="shared" si="257"/>
        <v/>
      </c>
      <c r="W972" s="36" t="e" cm="1">
        <f t="array" aca="1" ref="W972" ca="1">IF(AND(G972=INDIRECT("'["&amp;G972&amp;"]"&amp;E972&amp;"'!"&amp;$AH$2),OR(V972=INDIRECT("'["&amp;G972&amp;"]"&amp;E972&amp;"'!"&amp;$AI$2))),INDIRECT("'["&amp;G972&amp;"]"&amp;E972&amp;"'!"&amp;$AI$3),0)</f>
        <v>#VALUE!</v>
      </c>
      <c r="AJ972" s="25">
        <v>1</v>
      </c>
      <c r="AK972" s="38">
        <f t="shared" ca="1" si="258"/>
        <v>0</v>
      </c>
      <c r="AL972" s="38">
        <f t="shared" ca="1" si="259"/>
        <v>0</v>
      </c>
      <c r="AM972" s="54" t="str">
        <f t="shared" ca="1" si="260"/>
        <v/>
      </c>
      <c r="AN972" s="25" t="e">
        <f t="shared" ca="1" si="261"/>
        <v>#VALUE!</v>
      </c>
      <c r="AO972" s="25" t="e">
        <f t="shared" ca="1" si="262"/>
        <v>#VALUE!</v>
      </c>
      <c r="AQ972" s="46" t="str">
        <f ca="1">IF(AND(C972&lt;&gt;0, C973=0), SUM($C$2:C972)-SUM($AQ$1:AQ971), "")</f>
        <v/>
      </c>
      <c r="AR972" s="46" t="str">
        <f ca="1">IF(AND(AK972&lt;&gt;0, AK973=0), SUM($AK$2:AK972)-SUM($AR$1:AR971), "")</f>
        <v/>
      </c>
    </row>
    <row r="973" spans="2:44" ht="13.15" customHeight="1">
      <c r="B973" s="68" t="str">
        <f t="shared" si="248"/>
        <v/>
      </c>
      <c r="C973" s="55" cm="1">
        <f t="array" aca="1" ref="C973" ca="1">SUM(IF(ISNUMBER(M973:U973),M973:U973,""))</f>
        <v>0</v>
      </c>
      <c r="D973" s="25" t="str">
        <f t="shared" si="249"/>
        <v/>
      </c>
      <c r="E973" s="25" t="e">
        <f t="shared" si="250"/>
        <v>#VALUE!</v>
      </c>
      <c r="F973" s="25" t="str">
        <f t="shared" si="251"/>
        <v/>
      </c>
      <c r="G973" s="25" t="str">
        <f t="shared" si="252"/>
        <v>.xlsx</v>
      </c>
      <c r="H973" s="29" t="e" cm="1">
        <f t="array" aca="1" ref="H973" ca="1">IF(AND(VALUE(E973)=INDIRECT("'["&amp;G973&amp;"]"&amp;E973&amp;"'!"&amp;$X$2),G973=INDIRECT("'["&amp;G973&amp;"]"&amp;E973&amp;"'!"&amp;$X$3)),INDIRECT("'["&amp;G973&amp;"]"&amp;E973&amp;"'!"&amp;$X$1),0)</f>
        <v>#VALUE!</v>
      </c>
      <c r="I973" s="25" t="str">
        <f t="shared" si="253"/>
        <v/>
      </c>
      <c r="J973" s="32" t="str">
        <f t="shared" si="254"/>
        <v/>
      </c>
      <c r="K973" s="25" t="str">
        <f t="shared" si="255"/>
        <v/>
      </c>
      <c r="L973" s="25" t="str">
        <f t="shared" si="256"/>
        <v/>
      </c>
      <c r="M973" s="33" t="e" cm="1">
        <f t="array" aca="1" ref="M973" ca="1">IF(AND(J973=INDIRECT("'["&amp;G973&amp;"]"&amp;E973&amp;"'!"&amp;$Y$2),G973=INDIRECT("'["&amp;G973&amp;"]"&amp;E973&amp;"'!"&amp;$AH$2)),INDIRECT("'["&amp;G973&amp;"]"&amp;E973&amp;"'!"&amp;$Y$3),0)</f>
        <v>#VALUE!</v>
      </c>
      <c r="N973" s="34" t="e" cm="1">
        <f t="array" aca="1" ref="N973" ca="1">IF(AND(G973=INDIRECT("'["&amp;G973&amp;"]"&amp;E973&amp;"'!"&amp;$AH$2),OR(K973=INDIRECT("'["&amp;G973&amp;"]"&amp;E973&amp;"'!"&amp;$Z$2))),INDIRECT("'["&amp;G973&amp;"]"&amp;E973&amp;"'!"&amp;$Z$3),0)</f>
        <v>#VALUE!</v>
      </c>
      <c r="O973" s="34" t="e" cm="1">
        <f t="array" aca="1" ref="O973" ca="1">IF(AND(G973=INDIRECT("'["&amp;G973&amp;"]"&amp;E973&amp;"'!"&amp;$AH$2),OR(L973=INDIRECT("'["&amp;G973&amp;"]"&amp;E973&amp;"'!"&amp;$AA$2))),INDIRECT("'["&amp;G973&amp;"]"&amp;E973&amp;"'!"&amp;$AA$3),0)</f>
        <v>#VALUE!</v>
      </c>
      <c r="P973" s="34" t="e" cm="1">
        <f t="array" aca="1" ref="P973" ca="1">IF(AND(G973=INDIRECT("'["&amp;G973&amp;"]"&amp;E973&amp;"'!"&amp;$AH$2),OR(VALUE(I973)=INDIRECT("'["&amp;G973&amp;"]"&amp;E973&amp;"'!"&amp;$AB$2))),INDIRECT("'["&amp;G973&amp;"]"&amp;E973&amp;"'!"&amp;$AB$3),0)</f>
        <v>#VALUE!</v>
      </c>
      <c r="Q973" s="34" t="e" cm="1">
        <f t="array" aca="1" ref="Q973" ca="1">IF(AND(G973=INDIRECT("'["&amp;G973&amp;"]"&amp;E973&amp;"'!"&amp;$AH$2),OR(VALUE(I973)=INDIRECT("'["&amp;G973&amp;"]"&amp;E973&amp;"'!"&amp;$AC$2))),INDIRECT("'["&amp;G973&amp;"]"&amp;E973&amp;"'!"&amp;$AC$3),0)</f>
        <v>#VALUE!</v>
      </c>
      <c r="R973" s="34" t="e" cm="1">
        <f t="array" aca="1" ref="R973" ca="1">IF(AND(G973=INDIRECT("'["&amp;G973&amp;"]"&amp;E973&amp;"'!"&amp;$AH$2),OR(I973=INDIRECT("'["&amp;G973&amp;"]"&amp;E973&amp;"'!"&amp;$AD$2))),INDIRECT("'["&amp;G973&amp;"]"&amp;E973&amp;"'!"&amp;$AD$3),0)</f>
        <v>#VALUE!</v>
      </c>
      <c r="S973" s="34" t="e" cm="1">
        <f t="array" aca="1" ref="S973" ca="1">IF(AND(G973=INDIRECT("'["&amp;G973&amp;"]"&amp;E973&amp;"'!"&amp;$AH$2),OR(I973=INDIRECT("'["&amp;G973&amp;"]"&amp;E973&amp;"'!"&amp;$AE$2))),INDIRECT("'["&amp;G973&amp;"]"&amp;E973&amp;"'!"&amp;$AE$3),0)</f>
        <v>#VALUE!</v>
      </c>
      <c r="T973" s="35" t="e" cm="1">
        <f t="array" aca="1" ref="T973" ca="1">IF(AND(G973=INDIRECT("'["&amp;G973&amp;"]"&amp;E973&amp;"'!"&amp;$AH$2),OR(I973=INDIRECT("'["&amp;G973&amp;"]"&amp;E973&amp;"'!"&amp;$AF$2))),INDIRECT("'["&amp;G973&amp;"]"&amp;E973&amp;"'!"&amp;$AF$3),0)</f>
        <v>#VALUE!</v>
      </c>
      <c r="U973" s="34" t="e" cm="1">
        <f t="array" aca="1" ref="U973" ca="1">IF(AND(G973=INDIRECT("'["&amp;G973&amp;"]"&amp;E973&amp;"'!"&amp;$AH$2),OR(I973=INDIRECT("'["&amp;G973&amp;"]"&amp;E973&amp;"'!"&amp;$AG$2))),INDIRECT("'["&amp;G973&amp;"]"&amp;E973&amp;"'!"&amp;$AG$3),0)</f>
        <v>#VALUE!</v>
      </c>
      <c r="V973" s="25" t="str">
        <f t="shared" si="257"/>
        <v/>
      </c>
      <c r="W973" s="36" t="e" cm="1">
        <f t="array" aca="1" ref="W973" ca="1">IF(AND(G973=INDIRECT("'["&amp;G973&amp;"]"&amp;E973&amp;"'!"&amp;$AH$2),OR(V973=INDIRECT("'["&amp;G973&amp;"]"&amp;E973&amp;"'!"&amp;$AI$2))),INDIRECT("'["&amp;G973&amp;"]"&amp;E973&amp;"'!"&amp;$AI$3),0)</f>
        <v>#VALUE!</v>
      </c>
      <c r="AJ973" s="25">
        <v>1</v>
      </c>
      <c r="AK973" s="38">
        <f t="shared" ca="1" si="258"/>
        <v>0</v>
      </c>
      <c r="AL973" s="38">
        <f t="shared" ca="1" si="259"/>
        <v>0</v>
      </c>
      <c r="AM973" s="54" t="str">
        <f t="shared" ca="1" si="260"/>
        <v/>
      </c>
      <c r="AN973" s="25" t="e">
        <f t="shared" ca="1" si="261"/>
        <v>#VALUE!</v>
      </c>
      <c r="AO973" s="25" t="e">
        <f t="shared" ca="1" si="262"/>
        <v>#VALUE!</v>
      </c>
      <c r="AQ973" s="46" t="str">
        <f ca="1">IF(AND(C973&lt;&gt;0, C974=0), SUM($C$2:C973)-SUM($AQ$1:AQ972), "")</f>
        <v/>
      </c>
      <c r="AR973" s="46" t="str">
        <f ca="1">IF(AND(AK973&lt;&gt;0, AK974=0), SUM($AK$2:AK973)-SUM($AR$1:AR972), "")</f>
        <v/>
      </c>
    </row>
    <row r="974" spans="2:44" ht="13.15" customHeight="1">
      <c r="B974" s="68" t="str">
        <f t="shared" si="248"/>
        <v/>
      </c>
      <c r="C974" s="55" cm="1">
        <f t="array" aca="1" ref="C974" ca="1">SUM(IF(ISNUMBER(M974:U974),M974:U974,""))</f>
        <v>0</v>
      </c>
      <c r="D974" s="25" t="str">
        <f t="shared" si="249"/>
        <v/>
      </c>
      <c r="E974" s="25" t="e">
        <f t="shared" si="250"/>
        <v>#VALUE!</v>
      </c>
      <c r="F974" s="25" t="str">
        <f t="shared" si="251"/>
        <v/>
      </c>
      <c r="G974" s="25" t="str">
        <f t="shared" si="252"/>
        <v>.xlsx</v>
      </c>
      <c r="H974" s="29" t="e" cm="1">
        <f t="array" aca="1" ref="H974" ca="1">IF(AND(VALUE(E974)=INDIRECT("'["&amp;G974&amp;"]"&amp;E974&amp;"'!"&amp;$X$2),G974=INDIRECT("'["&amp;G974&amp;"]"&amp;E974&amp;"'!"&amp;$X$3)),INDIRECT("'["&amp;G974&amp;"]"&amp;E974&amp;"'!"&amp;$X$1),0)</f>
        <v>#VALUE!</v>
      </c>
      <c r="I974" s="25" t="str">
        <f t="shared" si="253"/>
        <v/>
      </c>
      <c r="J974" s="32" t="str">
        <f t="shared" si="254"/>
        <v/>
      </c>
      <c r="K974" s="25" t="str">
        <f t="shared" si="255"/>
        <v/>
      </c>
      <c r="L974" s="25" t="str">
        <f t="shared" si="256"/>
        <v/>
      </c>
      <c r="M974" s="33" t="e" cm="1">
        <f t="array" aca="1" ref="M974" ca="1">IF(AND(J974=INDIRECT("'["&amp;G974&amp;"]"&amp;E974&amp;"'!"&amp;$Y$2),G974=INDIRECT("'["&amp;G974&amp;"]"&amp;E974&amp;"'!"&amp;$AH$2)),INDIRECT("'["&amp;G974&amp;"]"&amp;E974&amp;"'!"&amp;$Y$3),0)</f>
        <v>#VALUE!</v>
      </c>
      <c r="N974" s="34" t="e" cm="1">
        <f t="array" aca="1" ref="N974" ca="1">IF(AND(G974=INDIRECT("'["&amp;G974&amp;"]"&amp;E974&amp;"'!"&amp;$AH$2),OR(K974=INDIRECT("'["&amp;G974&amp;"]"&amp;E974&amp;"'!"&amp;$Z$2))),INDIRECT("'["&amp;G974&amp;"]"&amp;E974&amp;"'!"&amp;$Z$3),0)</f>
        <v>#VALUE!</v>
      </c>
      <c r="O974" s="34" t="e" cm="1">
        <f t="array" aca="1" ref="O974" ca="1">IF(AND(G974=INDIRECT("'["&amp;G974&amp;"]"&amp;E974&amp;"'!"&amp;$AH$2),OR(L974=INDIRECT("'["&amp;G974&amp;"]"&amp;E974&amp;"'!"&amp;$AA$2))),INDIRECT("'["&amp;G974&amp;"]"&amp;E974&amp;"'!"&amp;$AA$3),0)</f>
        <v>#VALUE!</v>
      </c>
      <c r="P974" s="34" t="e" cm="1">
        <f t="array" aca="1" ref="P974" ca="1">IF(AND(G974=INDIRECT("'["&amp;G974&amp;"]"&amp;E974&amp;"'!"&amp;$AH$2),OR(VALUE(I974)=INDIRECT("'["&amp;G974&amp;"]"&amp;E974&amp;"'!"&amp;$AB$2))),INDIRECT("'["&amp;G974&amp;"]"&amp;E974&amp;"'!"&amp;$AB$3),0)</f>
        <v>#VALUE!</v>
      </c>
      <c r="Q974" s="34" t="e" cm="1">
        <f t="array" aca="1" ref="Q974" ca="1">IF(AND(G974=INDIRECT("'["&amp;G974&amp;"]"&amp;E974&amp;"'!"&amp;$AH$2),OR(VALUE(I974)=INDIRECT("'["&amp;G974&amp;"]"&amp;E974&amp;"'!"&amp;$AC$2))),INDIRECT("'["&amp;G974&amp;"]"&amp;E974&amp;"'!"&amp;$AC$3),0)</f>
        <v>#VALUE!</v>
      </c>
      <c r="R974" s="34" t="e" cm="1">
        <f t="array" aca="1" ref="R974" ca="1">IF(AND(G974=INDIRECT("'["&amp;G974&amp;"]"&amp;E974&amp;"'!"&amp;$AH$2),OR(I974=INDIRECT("'["&amp;G974&amp;"]"&amp;E974&amp;"'!"&amp;$AD$2))),INDIRECT("'["&amp;G974&amp;"]"&amp;E974&amp;"'!"&amp;$AD$3),0)</f>
        <v>#VALUE!</v>
      </c>
      <c r="S974" s="34" t="e" cm="1">
        <f t="array" aca="1" ref="S974" ca="1">IF(AND(G974=INDIRECT("'["&amp;G974&amp;"]"&amp;E974&amp;"'!"&amp;$AH$2),OR(I974=INDIRECT("'["&amp;G974&amp;"]"&amp;E974&amp;"'!"&amp;$AE$2))),INDIRECT("'["&amp;G974&amp;"]"&amp;E974&amp;"'!"&amp;$AE$3),0)</f>
        <v>#VALUE!</v>
      </c>
      <c r="T974" s="35" t="e" cm="1">
        <f t="array" aca="1" ref="T974" ca="1">IF(AND(G974=INDIRECT("'["&amp;G974&amp;"]"&amp;E974&amp;"'!"&amp;$AH$2),OR(I974=INDIRECT("'["&amp;G974&amp;"]"&amp;E974&amp;"'!"&amp;$AF$2))),INDIRECT("'["&amp;G974&amp;"]"&amp;E974&amp;"'!"&amp;$AF$3),0)</f>
        <v>#VALUE!</v>
      </c>
      <c r="U974" s="34" t="e" cm="1">
        <f t="array" aca="1" ref="U974" ca="1">IF(AND(G974=INDIRECT("'["&amp;G974&amp;"]"&amp;E974&amp;"'!"&amp;$AH$2),OR(I974=INDIRECT("'["&amp;G974&amp;"]"&amp;E974&amp;"'!"&amp;$AG$2))),INDIRECT("'["&amp;G974&amp;"]"&amp;E974&amp;"'!"&amp;$AG$3),0)</f>
        <v>#VALUE!</v>
      </c>
      <c r="V974" s="25" t="str">
        <f t="shared" si="257"/>
        <v/>
      </c>
      <c r="W974" s="36" t="e" cm="1">
        <f t="array" aca="1" ref="W974" ca="1">IF(AND(G974=INDIRECT("'["&amp;G974&amp;"]"&amp;E974&amp;"'!"&amp;$AH$2),OR(V974=INDIRECT("'["&amp;G974&amp;"]"&amp;E974&amp;"'!"&amp;$AI$2))),INDIRECT("'["&amp;G974&amp;"]"&amp;E974&amp;"'!"&amp;$AI$3),0)</f>
        <v>#VALUE!</v>
      </c>
      <c r="AJ974" s="25">
        <v>1</v>
      </c>
      <c r="AK974" s="38">
        <f t="shared" ca="1" si="258"/>
        <v>0</v>
      </c>
      <c r="AL974" s="38">
        <f t="shared" ca="1" si="259"/>
        <v>0</v>
      </c>
      <c r="AM974" s="54" t="str">
        <f t="shared" ca="1" si="260"/>
        <v/>
      </c>
      <c r="AN974" s="25" t="e">
        <f t="shared" ca="1" si="261"/>
        <v>#VALUE!</v>
      </c>
      <c r="AO974" s="25" t="e">
        <f t="shared" ca="1" si="262"/>
        <v>#VALUE!</v>
      </c>
      <c r="AQ974" s="46" t="str">
        <f ca="1">IF(AND(C974&lt;&gt;0, C975=0), SUM($C$2:C974)-SUM($AQ$1:AQ973), "")</f>
        <v/>
      </c>
      <c r="AR974" s="46" t="str">
        <f ca="1">IF(AND(AK974&lt;&gt;0, AK975=0), SUM($AK$2:AK974)-SUM($AR$1:AR973), "")</f>
        <v/>
      </c>
    </row>
    <row r="975" spans="2:44" ht="13.15" customHeight="1">
      <c r="B975" s="68" t="str">
        <f t="shared" si="248"/>
        <v/>
      </c>
      <c r="C975" s="55" cm="1">
        <f t="array" aca="1" ref="C975" ca="1">SUM(IF(ISNUMBER(M975:U975),M975:U975,""))</f>
        <v>0</v>
      </c>
      <c r="D975" s="25" t="str">
        <f t="shared" si="249"/>
        <v/>
      </c>
      <c r="E975" s="25" t="e">
        <f t="shared" si="250"/>
        <v>#VALUE!</v>
      </c>
      <c r="F975" s="25" t="str">
        <f t="shared" si="251"/>
        <v/>
      </c>
      <c r="G975" s="25" t="str">
        <f t="shared" si="252"/>
        <v>.xlsx</v>
      </c>
      <c r="H975" s="29" t="e" cm="1">
        <f t="array" aca="1" ref="H975" ca="1">IF(AND(VALUE(E975)=INDIRECT("'["&amp;G975&amp;"]"&amp;E975&amp;"'!"&amp;$X$2),G975=INDIRECT("'["&amp;G975&amp;"]"&amp;E975&amp;"'!"&amp;$X$3)),INDIRECT("'["&amp;G975&amp;"]"&amp;E975&amp;"'!"&amp;$X$1),0)</f>
        <v>#VALUE!</v>
      </c>
      <c r="I975" s="25" t="str">
        <f t="shared" si="253"/>
        <v/>
      </c>
      <c r="J975" s="32" t="str">
        <f t="shared" si="254"/>
        <v/>
      </c>
      <c r="K975" s="25" t="str">
        <f t="shared" si="255"/>
        <v/>
      </c>
      <c r="L975" s="25" t="str">
        <f t="shared" si="256"/>
        <v/>
      </c>
      <c r="M975" s="33" t="e" cm="1">
        <f t="array" aca="1" ref="M975" ca="1">IF(AND(J975=INDIRECT("'["&amp;G975&amp;"]"&amp;E975&amp;"'!"&amp;$Y$2),G975=INDIRECT("'["&amp;G975&amp;"]"&amp;E975&amp;"'!"&amp;$AH$2)),INDIRECT("'["&amp;G975&amp;"]"&amp;E975&amp;"'!"&amp;$Y$3),0)</f>
        <v>#VALUE!</v>
      </c>
      <c r="N975" s="34" t="e" cm="1">
        <f t="array" aca="1" ref="N975" ca="1">IF(AND(G975=INDIRECT("'["&amp;G975&amp;"]"&amp;E975&amp;"'!"&amp;$AH$2),OR(K975=INDIRECT("'["&amp;G975&amp;"]"&amp;E975&amp;"'!"&amp;$Z$2))),INDIRECT("'["&amp;G975&amp;"]"&amp;E975&amp;"'!"&amp;$Z$3),0)</f>
        <v>#VALUE!</v>
      </c>
      <c r="O975" s="34" t="e" cm="1">
        <f t="array" aca="1" ref="O975" ca="1">IF(AND(G975=INDIRECT("'["&amp;G975&amp;"]"&amp;E975&amp;"'!"&amp;$AH$2),OR(L975=INDIRECT("'["&amp;G975&amp;"]"&amp;E975&amp;"'!"&amp;$AA$2))),INDIRECT("'["&amp;G975&amp;"]"&amp;E975&amp;"'!"&amp;$AA$3),0)</f>
        <v>#VALUE!</v>
      </c>
      <c r="P975" s="34" t="e" cm="1">
        <f t="array" aca="1" ref="P975" ca="1">IF(AND(G975=INDIRECT("'["&amp;G975&amp;"]"&amp;E975&amp;"'!"&amp;$AH$2),OR(VALUE(I975)=INDIRECT("'["&amp;G975&amp;"]"&amp;E975&amp;"'!"&amp;$AB$2))),INDIRECT("'["&amp;G975&amp;"]"&amp;E975&amp;"'!"&amp;$AB$3),0)</f>
        <v>#VALUE!</v>
      </c>
      <c r="Q975" s="34" t="e" cm="1">
        <f t="array" aca="1" ref="Q975" ca="1">IF(AND(G975=INDIRECT("'["&amp;G975&amp;"]"&amp;E975&amp;"'!"&amp;$AH$2),OR(VALUE(I975)=INDIRECT("'["&amp;G975&amp;"]"&amp;E975&amp;"'!"&amp;$AC$2))),INDIRECT("'["&amp;G975&amp;"]"&amp;E975&amp;"'!"&amp;$AC$3),0)</f>
        <v>#VALUE!</v>
      </c>
      <c r="R975" s="34" t="e" cm="1">
        <f t="array" aca="1" ref="R975" ca="1">IF(AND(G975=INDIRECT("'["&amp;G975&amp;"]"&amp;E975&amp;"'!"&amp;$AH$2),OR(I975=INDIRECT("'["&amp;G975&amp;"]"&amp;E975&amp;"'!"&amp;$AD$2))),INDIRECT("'["&amp;G975&amp;"]"&amp;E975&amp;"'!"&amp;$AD$3),0)</f>
        <v>#VALUE!</v>
      </c>
      <c r="S975" s="34" t="e" cm="1">
        <f t="array" aca="1" ref="S975" ca="1">IF(AND(G975=INDIRECT("'["&amp;G975&amp;"]"&amp;E975&amp;"'!"&amp;$AH$2),OR(I975=INDIRECT("'["&amp;G975&amp;"]"&amp;E975&amp;"'!"&amp;$AE$2))),INDIRECT("'["&amp;G975&amp;"]"&amp;E975&amp;"'!"&amp;$AE$3),0)</f>
        <v>#VALUE!</v>
      </c>
      <c r="T975" s="35" t="e" cm="1">
        <f t="array" aca="1" ref="T975" ca="1">IF(AND(G975=INDIRECT("'["&amp;G975&amp;"]"&amp;E975&amp;"'!"&amp;$AH$2),OR(I975=INDIRECT("'["&amp;G975&amp;"]"&amp;E975&amp;"'!"&amp;$AF$2))),INDIRECT("'["&amp;G975&amp;"]"&amp;E975&amp;"'!"&amp;$AF$3),0)</f>
        <v>#VALUE!</v>
      </c>
      <c r="U975" s="34" t="e" cm="1">
        <f t="array" aca="1" ref="U975" ca="1">IF(AND(G975=INDIRECT("'["&amp;G975&amp;"]"&amp;E975&amp;"'!"&amp;$AH$2),OR(I975=INDIRECT("'["&amp;G975&amp;"]"&amp;E975&amp;"'!"&amp;$AG$2))),INDIRECT("'["&amp;G975&amp;"]"&amp;E975&amp;"'!"&amp;$AG$3),0)</f>
        <v>#VALUE!</v>
      </c>
      <c r="V975" s="25" t="str">
        <f t="shared" si="257"/>
        <v/>
      </c>
      <c r="W975" s="36" t="e" cm="1">
        <f t="array" aca="1" ref="W975" ca="1">IF(AND(G975=INDIRECT("'["&amp;G975&amp;"]"&amp;E975&amp;"'!"&amp;$AH$2),OR(V975=INDIRECT("'["&amp;G975&amp;"]"&amp;E975&amp;"'!"&amp;$AI$2))),INDIRECT("'["&amp;G975&amp;"]"&amp;E975&amp;"'!"&amp;$AI$3),0)</f>
        <v>#VALUE!</v>
      </c>
      <c r="AJ975" s="25">
        <v>1</v>
      </c>
      <c r="AK975" s="38">
        <f t="shared" ca="1" si="258"/>
        <v>0</v>
      </c>
      <c r="AL975" s="38">
        <f t="shared" ca="1" si="259"/>
        <v>0</v>
      </c>
      <c r="AM975" s="54" t="str">
        <f t="shared" ca="1" si="260"/>
        <v/>
      </c>
      <c r="AN975" s="25" t="e">
        <f t="shared" ca="1" si="261"/>
        <v>#VALUE!</v>
      </c>
      <c r="AO975" s="25" t="e">
        <f t="shared" ca="1" si="262"/>
        <v>#VALUE!</v>
      </c>
      <c r="AQ975" s="46" t="str">
        <f ca="1">IF(AND(C975&lt;&gt;0, C976=0), SUM($C$2:C975)-SUM($AQ$1:AQ974), "")</f>
        <v/>
      </c>
      <c r="AR975" s="46" t="str">
        <f ca="1">IF(AND(AK975&lt;&gt;0, AK976=0), SUM($AK$2:AK975)-SUM($AR$1:AR974), "")</f>
        <v/>
      </c>
    </row>
    <row r="976" spans="2:44" ht="13.15" customHeight="1">
      <c r="B976" s="68" t="str">
        <f t="shared" si="248"/>
        <v/>
      </c>
      <c r="C976" s="55" cm="1">
        <f t="array" aca="1" ref="C976" ca="1">SUM(IF(ISNUMBER(M976:U976),M976:U976,""))</f>
        <v>0</v>
      </c>
      <c r="D976" s="25" t="str">
        <f t="shared" si="249"/>
        <v/>
      </c>
      <c r="E976" s="25" t="e">
        <f t="shared" si="250"/>
        <v>#VALUE!</v>
      </c>
      <c r="F976" s="25" t="str">
        <f t="shared" si="251"/>
        <v/>
      </c>
      <c r="G976" s="25" t="str">
        <f t="shared" si="252"/>
        <v>.xlsx</v>
      </c>
      <c r="H976" s="29" t="e" cm="1">
        <f t="array" aca="1" ref="H976" ca="1">IF(AND(VALUE(E976)=INDIRECT("'["&amp;G976&amp;"]"&amp;E976&amp;"'!"&amp;$X$2),G976=INDIRECT("'["&amp;G976&amp;"]"&amp;E976&amp;"'!"&amp;$X$3)),INDIRECT("'["&amp;G976&amp;"]"&amp;E976&amp;"'!"&amp;$X$1),0)</f>
        <v>#VALUE!</v>
      </c>
      <c r="I976" s="25" t="str">
        <f t="shared" si="253"/>
        <v/>
      </c>
      <c r="J976" s="32" t="str">
        <f t="shared" si="254"/>
        <v/>
      </c>
      <c r="K976" s="25" t="str">
        <f t="shared" si="255"/>
        <v/>
      </c>
      <c r="L976" s="25" t="str">
        <f t="shared" si="256"/>
        <v/>
      </c>
      <c r="M976" s="33" t="e" cm="1">
        <f t="array" aca="1" ref="M976" ca="1">IF(AND(J976=INDIRECT("'["&amp;G976&amp;"]"&amp;E976&amp;"'!"&amp;$Y$2),G976=INDIRECT("'["&amp;G976&amp;"]"&amp;E976&amp;"'!"&amp;$AH$2)),INDIRECT("'["&amp;G976&amp;"]"&amp;E976&amp;"'!"&amp;$Y$3),0)</f>
        <v>#VALUE!</v>
      </c>
      <c r="N976" s="34" t="e" cm="1">
        <f t="array" aca="1" ref="N976" ca="1">IF(AND(G976=INDIRECT("'["&amp;G976&amp;"]"&amp;E976&amp;"'!"&amp;$AH$2),OR(K976=INDIRECT("'["&amp;G976&amp;"]"&amp;E976&amp;"'!"&amp;$Z$2))),INDIRECT("'["&amp;G976&amp;"]"&amp;E976&amp;"'!"&amp;$Z$3),0)</f>
        <v>#VALUE!</v>
      </c>
      <c r="O976" s="34" t="e" cm="1">
        <f t="array" aca="1" ref="O976" ca="1">IF(AND(G976=INDIRECT("'["&amp;G976&amp;"]"&amp;E976&amp;"'!"&amp;$AH$2),OR(L976=INDIRECT("'["&amp;G976&amp;"]"&amp;E976&amp;"'!"&amp;$AA$2))),INDIRECT("'["&amp;G976&amp;"]"&amp;E976&amp;"'!"&amp;$AA$3),0)</f>
        <v>#VALUE!</v>
      </c>
      <c r="P976" s="34" t="e" cm="1">
        <f t="array" aca="1" ref="P976" ca="1">IF(AND(G976=INDIRECT("'["&amp;G976&amp;"]"&amp;E976&amp;"'!"&amp;$AH$2),OR(VALUE(I976)=INDIRECT("'["&amp;G976&amp;"]"&amp;E976&amp;"'!"&amp;$AB$2))),INDIRECT("'["&amp;G976&amp;"]"&amp;E976&amp;"'!"&amp;$AB$3),0)</f>
        <v>#VALUE!</v>
      </c>
      <c r="Q976" s="34" t="e" cm="1">
        <f t="array" aca="1" ref="Q976" ca="1">IF(AND(G976=INDIRECT("'["&amp;G976&amp;"]"&amp;E976&amp;"'!"&amp;$AH$2),OR(VALUE(I976)=INDIRECT("'["&amp;G976&amp;"]"&amp;E976&amp;"'!"&amp;$AC$2))),INDIRECT("'["&amp;G976&amp;"]"&amp;E976&amp;"'!"&amp;$AC$3),0)</f>
        <v>#VALUE!</v>
      </c>
      <c r="R976" s="34" t="e" cm="1">
        <f t="array" aca="1" ref="R976" ca="1">IF(AND(G976=INDIRECT("'["&amp;G976&amp;"]"&amp;E976&amp;"'!"&amp;$AH$2),OR(I976=INDIRECT("'["&amp;G976&amp;"]"&amp;E976&amp;"'!"&amp;$AD$2))),INDIRECT("'["&amp;G976&amp;"]"&amp;E976&amp;"'!"&amp;$AD$3),0)</f>
        <v>#VALUE!</v>
      </c>
      <c r="S976" s="34" t="e" cm="1">
        <f t="array" aca="1" ref="S976" ca="1">IF(AND(G976=INDIRECT("'["&amp;G976&amp;"]"&amp;E976&amp;"'!"&amp;$AH$2),OR(I976=INDIRECT("'["&amp;G976&amp;"]"&amp;E976&amp;"'!"&amp;$AE$2))),INDIRECT("'["&amp;G976&amp;"]"&amp;E976&amp;"'!"&amp;$AE$3),0)</f>
        <v>#VALUE!</v>
      </c>
      <c r="T976" s="35" t="e" cm="1">
        <f t="array" aca="1" ref="T976" ca="1">IF(AND(G976=INDIRECT("'["&amp;G976&amp;"]"&amp;E976&amp;"'!"&amp;$AH$2),OR(I976=INDIRECT("'["&amp;G976&amp;"]"&amp;E976&amp;"'!"&amp;$AF$2))),INDIRECT("'["&amp;G976&amp;"]"&amp;E976&amp;"'!"&amp;$AF$3),0)</f>
        <v>#VALUE!</v>
      </c>
      <c r="U976" s="34" t="e" cm="1">
        <f t="array" aca="1" ref="U976" ca="1">IF(AND(G976=INDIRECT("'["&amp;G976&amp;"]"&amp;E976&amp;"'!"&amp;$AH$2),OR(I976=INDIRECT("'["&amp;G976&amp;"]"&amp;E976&amp;"'!"&amp;$AG$2))),INDIRECT("'["&amp;G976&amp;"]"&amp;E976&amp;"'!"&amp;$AG$3),0)</f>
        <v>#VALUE!</v>
      </c>
      <c r="V976" s="25" t="str">
        <f t="shared" si="257"/>
        <v/>
      </c>
      <c r="W976" s="36" t="e" cm="1">
        <f t="array" aca="1" ref="W976" ca="1">IF(AND(G976=INDIRECT("'["&amp;G976&amp;"]"&amp;E976&amp;"'!"&amp;$AH$2),OR(V976=INDIRECT("'["&amp;G976&amp;"]"&amp;E976&amp;"'!"&amp;$AI$2))),INDIRECT("'["&amp;G976&amp;"]"&amp;E976&amp;"'!"&amp;$AI$3),0)</f>
        <v>#VALUE!</v>
      </c>
      <c r="AJ976" s="25">
        <v>1</v>
      </c>
      <c r="AK976" s="38">
        <f t="shared" ca="1" si="258"/>
        <v>0</v>
      </c>
      <c r="AL976" s="38">
        <f t="shared" ca="1" si="259"/>
        <v>0</v>
      </c>
      <c r="AM976" s="54" t="str">
        <f t="shared" ca="1" si="260"/>
        <v/>
      </c>
      <c r="AN976" s="25" t="e">
        <f t="shared" ca="1" si="261"/>
        <v>#VALUE!</v>
      </c>
      <c r="AO976" s="25" t="e">
        <f t="shared" ca="1" si="262"/>
        <v>#VALUE!</v>
      </c>
      <c r="AQ976" s="46" t="str">
        <f ca="1">IF(AND(C976&lt;&gt;0, C977=0), SUM($C$2:C976)-SUM($AQ$1:AQ975), "")</f>
        <v/>
      </c>
      <c r="AR976" s="46" t="str">
        <f ca="1">IF(AND(AK976&lt;&gt;0, AK977=0), SUM($AK$2:AK976)-SUM($AR$1:AR975), "")</f>
        <v/>
      </c>
    </row>
    <row r="977" spans="2:44" ht="13.15" customHeight="1">
      <c r="B977" s="68" t="str">
        <f t="shared" si="248"/>
        <v/>
      </c>
      <c r="C977" s="55" cm="1">
        <f t="array" aca="1" ref="C977" ca="1">SUM(IF(ISNUMBER(M977:U977),M977:U977,""))</f>
        <v>0</v>
      </c>
      <c r="D977" s="25" t="str">
        <f t="shared" si="249"/>
        <v/>
      </c>
      <c r="E977" s="25" t="e">
        <f t="shared" si="250"/>
        <v>#VALUE!</v>
      </c>
      <c r="F977" s="25" t="str">
        <f t="shared" si="251"/>
        <v/>
      </c>
      <c r="G977" s="25" t="str">
        <f t="shared" si="252"/>
        <v>.xlsx</v>
      </c>
      <c r="H977" s="29" t="e" cm="1">
        <f t="array" aca="1" ref="H977" ca="1">IF(AND(VALUE(E977)=INDIRECT("'["&amp;G977&amp;"]"&amp;E977&amp;"'!"&amp;$X$2),G977=INDIRECT("'["&amp;G977&amp;"]"&amp;E977&amp;"'!"&amp;$X$3)),INDIRECT("'["&amp;G977&amp;"]"&amp;E977&amp;"'!"&amp;$X$1),0)</f>
        <v>#VALUE!</v>
      </c>
      <c r="I977" s="25" t="str">
        <f t="shared" si="253"/>
        <v/>
      </c>
      <c r="J977" s="32" t="str">
        <f t="shared" si="254"/>
        <v/>
      </c>
      <c r="K977" s="25" t="str">
        <f t="shared" si="255"/>
        <v/>
      </c>
      <c r="L977" s="25" t="str">
        <f t="shared" si="256"/>
        <v/>
      </c>
      <c r="M977" s="33" t="e" cm="1">
        <f t="array" aca="1" ref="M977" ca="1">IF(AND(J977=INDIRECT("'["&amp;G977&amp;"]"&amp;E977&amp;"'!"&amp;$Y$2),G977=INDIRECT("'["&amp;G977&amp;"]"&amp;E977&amp;"'!"&amp;$AH$2)),INDIRECT("'["&amp;G977&amp;"]"&amp;E977&amp;"'!"&amp;$Y$3),0)</f>
        <v>#VALUE!</v>
      </c>
      <c r="N977" s="34" t="e" cm="1">
        <f t="array" aca="1" ref="N977" ca="1">IF(AND(G977=INDIRECT("'["&amp;G977&amp;"]"&amp;E977&amp;"'!"&amp;$AH$2),OR(K977=INDIRECT("'["&amp;G977&amp;"]"&amp;E977&amp;"'!"&amp;$Z$2))),INDIRECT("'["&amp;G977&amp;"]"&amp;E977&amp;"'!"&amp;$Z$3),0)</f>
        <v>#VALUE!</v>
      </c>
      <c r="O977" s="34" t="e" cm="1">
        <f t="array" aca="1" ref="O977" ca="1">IF(AND(G977=INDIRECT("'["&amp;G977&amp;"]"&amp;E977&amp;"'!"&amp;$AH$2),OR(L977=INDIRECT("'["&amp;G977&amp;"]"&amp;E977&amp;"'!"&amp;$AA$2))),INDIRECT("'["&amp;G977&amp;"]"&amp;E977&amp;"'!"&amp;$AA$3),0)</f>
        <v>#VALUE!</v>
      </c>
      <c r="P977" s="34" t="e" cm="1">
        <f t="array" aca="1" ref="P977" ca="1">IF(AND(G977=INDIRECT("'["&amp;G977&amp;"]"&amp;E977&amp;"'!"&amp;$AH$2),OR(VALUE(I977)=INDIRECT("'["&amp;G977&amp;"]"&amp;E977&amp;"'!"&amp;$AB$2))),INDIRECT("'["&amp;G977&amp;"]"&amp;E977&amp;"'!"&amp;$AB$3),0)</f>
        <v>#VALUE!</v>
      </c>
      <c r="Q977" s="34" t="e" cm="1">
        <f t="array" aca="1" ref="Q977" ca="1">IF(AND(G977=INDIRECT("'["&amp;G977&amp;"]"&amp;E977&amp;"'!"&amp;$AH$2),OR(VALUE(I977)=INDIRECT("'["&amp;G977&amp;"]"&amp;E977&amp;"'!"&amp;$AC$2))),INDIRECT("'["&amp;G977&amp;"]"&amp;E977&amp;"'!"&amp;$AC$3),0)</f>
        <v>#VALUE!</v>
      </c>
      <c r="R977" s="34" t="e" cm="1">
        <f t="array" aca="1" ref="R977" ca="1">IF(AND(G977=INDIRECT("'["&amp;G977&amp;"]"&amp;E977&amp;"'!"&amp;$AH$2),OR(I977=INDIRECT("'["&amp;G977&amp;"]"&amp;E977&amp;"'!"&amp;$AD$2))),INDIRECT("'["&amp;G977&amp;"]"&amp;E977&amp;"'!"&amp;$AD$3),0)</f>
        <v>#VALUE!</v>
      </c>
      <c r="S977" s="34" t="e" cm="1">
        <f t="array" aca="1" ref="S977" ca="1">IF(AND(G977=INDIRECT("'["&amp;G977&amp;"]"&amp;E977&amp;"'!"&amp;$AH$2),OR(I977=INDIRECT("'["&amp;G977&amp;"]"&amp;E977&amp;"'!"&amp;$AE$2))),INDIRECT("'["&amp;G977&amp;"]"&amp;E977&amp;"'!"&amp;$AE$3),0)</f>
        <v>#VALUE!</v>
      </c>
      <c r="T977" s="35" t="e" cm="1">
        <f t="array" aca="1" ref="T977" ca="1">IF(AND(G977=INDIRECT("'["&amp;G977&amp;"]"&amp;E977&amp;"'!"&amp;$AH$2),OR(I977=INDIRECT("'["&amp;G977&amp;"]"&amp;E977&amp;"'!"&amp;$AF$2))),INDIRECT("'["&amp;G977&amp;"]"&amp;E977&amp;"'!"&amp;$AF$3),0)</f>
        <v>#VALUE!</v>
      </c>
      <c r="U977" s="34" t="e" cm="1">
        <f t="array" aca="1" ref="U977" ca="1">IF(AND(G977=INDIRECT("'["&amp;G977&amp;"]"&amp;E977&amp;"'!"&amp;$AH$2),OR(I977=INDIRECT("'["&amp;G977&amp;"]"&amp;E977&amp;"'!"&amp;$AG$2))),INDIRECT("'["&amp;G977&amp;"]"&amp;E977&amp;"'!"&amp;$AG$3),0)</f>
        <v>#VALUE!</v>
      </c>
      <c r="V977" s="25" t="str">
        <f t="shared" si="257"/>
        <v/>
      </c>
      <c r="W977" s="36" t="e" cm="1">
        <f t="array" aca="1" ref="W977" ca="1">IF(AND(G977=INDIRECT("'["&amp;G977&amp;"]"&amp;E977&amp;"'!"&amp;$AH$2),OR(V977=INDIRECT("'["&amp;G977&amp;"]"&amp;E977&amp;"'!"&amp;$AI$2))),INDIRECT("'["&amp;G977&amp;"]"&amp;E977&amp;"'!"&amp;$AI$3),0)</f>
        <v>#VALUE!</v>
      </c>
      <c r="AJ977" s="25">
        <v>1</v>
      </c>
      <c r="AK977" s="38">
        <f t="shared" ca="1" si="258"/>
        <v>0</v>
      </c>
      <c r="AL977" s="38">
        <f t="shared" ca="1" si="259"/>
        <v>0</v>
      </c>
      <c r="AM977" s="54" t="str">
        <f t="shared" ca="1" si="260"/>
        <v/>
      </c>
      <c r="AN977" s="25" t="e">
        <f t="shared" ca="1" si="261"/>
        <v>#VALUE!</v>
      </c>
      <c r="AO977" s="25" t="e">
        <f t="shared" ca="1" si="262"/>
        <v>#VALUE!</v>
      </c>
      <c r="AQ977" s="46" t="str">
        <f ca="1">IF(AND(C977&lt;&gt;0, C978=0), SUM($C$2:C977)-SUM($AQ$1:AQ976), "")</f>
        <v/>
      </c>
      <c r="AR977" s="46" t="str">
        <f ca="1">IF(AND(AK977&lt;&gt;0, AK978=0), SUM($AK$2:AK977)-SUM($AR$1:AR976), "")</f>
        <v/>
      </c>
    </row>
    <row r="978" spans="2:44" ht="13.15" customHeight="1">
      <c r="B978" s="68" t="str">
        <f t="shared" si="248"/>
        <v/>
      </c>
      <c r="C978" s="55" cm="1">
        <f t="array" aca="1" ref="C978" ca="1">SUM(IF(ISNUMBER(M978:U978),M978:U978,""))</f>
        <v>0</v>
      </c>
      <c r="D978" s="25" t="str">
        <f t="shared" si="249"/>
        <v/>
      </c>
      <c r="E978" s="25" t="e">
        <f t="shared" si="250"/>
        <v>#VALUE!</v>
      </c>
      <c r="F978" s="25" t="str">
        <f t="shared" si="251"/>
        <v/>
      </c>
      <c r="G978" s="25" t="str">
        <f t="shared" si="252"/>
        <v>.xlsx</v>
      </c>
      <c r="H978" s="29" t="e" cm="1">
        <f t="array" aca="1" ref="H978" ca="1">IF(AND(VALUE(E978)=INDIRECT("'["&amp;G978&amp;"]"&amp;E978&amp;"'!"&amp;$X$2),G978=INDIRECT("'["&amp;G978&amp;"]"&amp;E978&amp;"'!"&amp;$X$3)),INDIRECT("'["&amp;G978&amp;"]"&amp;E978&amp;"'!"&amp;$X$1),0)</f>
        <v>#VALUE!</v>
      </c>
      <c r="I978" s="25" t="str">
        <f t="shared" si="253"/>
        <v/>
      </c>
      <c r="J978" s="32" t="str">
        <f t="shared" si="254"/>
        <v/>
      </c>
      <c r="K978" s="25" t="str">
        <f t="shared" si="255"/>
        <v/>
      </c>
      <c r="L978" s="25" t="str">
        <f t="shared" si="256"/>
        <v/>
      </c>
      <c r="M978" s="33" t="e" cm="1">
        <f t="array" aca="1" ref="M978" ca="1">IF(AND(J978=INDIRECT("'["&amp;G978&amp;"]"&amp;E978&amp;"'!"&amp;$Y$2),G978=INDIRECT("'["&amp;G978&amp;"]"&amp;E978&amp;"'!"&amp;$AH$2)),INDIRECT("'["&amp;G978&amp;"]"&amp;E978&amp;"'!"&amp;$Y$3),0)</f>
        <v>#VALUE!</v>
      </c>
      <c r="N978" s="34" t="e" cm="1">
        <f t="array" aca="1" ref="N978" ca="1">IF(AND(G978=INDIRECT("'["&amp;G978&amp;"]"&amp;E978&amp;"'!"&amp;$AH$2),OR(K978=INDIRECT("'["&amp;G978&amp;"]"&amp;E978&amp;"'!"&amp;$Z$2))),INDIRECT("'["&amp;G978&amp;"]"&amp;E978&amp;"'!"&amp;$Z$3),0)</f>
        <v>#VALUE!</v>
      </c>
      <c r="O978" s="34" t="e" cm="1">
        <f t="array" aca="1" ref="O978" ca="1">IF(AND(G978=INDIRECT("'["&amp;G978&amp;"]"&amp;E978&amp;"'!"&amp;$AH$2),OR(L978=INDIRECT("'["&amp;G978&amp;"]"&amp;E978&amp;"'!"&amp;$AA$2))),INDIRECT("'["&amp;G978&amp;"]"&amp;E978&amp;"'!"&amp;$AA$3),0)</f>
        <v>#VALUE!</v>
      </c>
      <c r="P978" s="34" t="e" cm="1">
        <f t="array" aca="1" ref="P978" ca="1">IF(AND(G978=INDIRECT("'["&amp;G978&amp;"]"&amp;E978&amp;"'!"&amp;$AH$2),OR(VALUE(I978)=INDIRECT("'["&amp;G978&amp;"]"&amp;E978&amp;"'!"&amp;$AB$2))),INDIRECT("'["&amp;G978&amp;"]"&amp;E978&amp;"'!"&amp;$AB$3),0)</f>
        <v>#VALUE!</v>
      </c>
      <c r="Q978" s="34" t="e" cm="1">
        <f t="array" aca="1" ref="Q978" ca="1">IF(AND(G978=INDIRECT("'["&amp;G978&amp;"]"&amp;E978&amp;"'!"&amp;$AH$2),OR(VALUE(I978)=INDIRECT("'["&amp;G978&amp;"]"&amp;E978&amp;"'!"&amp;$AC$2))),INDIRECT("'["&amp;G978&amp;"]"&amp;E978&amp;"'!"&amp;$AC$3),0)</f>
        <v>#VALUE!</v>
      </c>
      <c r="R978" s="34" t="e" cm="1">
        <f t="array" aca="1" ref="R978" ca="1">IF(AND(G978=INDIRECT("'["&amp;G978&amp;"]"&amp;E978&amp;"'!"&amp;$AH$2),OR(I978=INDIRECT("'["&amp;G978&amp;"]"&amp;E978&amp;"'!"&amp;$AD$2))),INDIRECT("'["&amp;G978&amp;"]"&amp;E978&amp;"'!"&amp;$AD$3),0)</f>
        <v>#VALUE!</v>
      </c>
      <c r="S978" s="34" t="e" cm="1">
        <f t="array" aca="1" ref="S978" ca="1">IF(AND(G978=INDIRECT("'["&amp;G978&amp;"]"&amp;E978&amp;"'!"&amp;$AH$2),OR(I978=INDIRECT("'["&amp;G978&amp;"]"&amp;E978&amp;"'!"&amp;$AE$2))),INDIRECT("'["&amp;G978&amp;"]"&amp;E978&amp;"'!"&amp;$AE$3),0)</f>
        <v>#VALUE!</v>
      </c>
      <c r="T978" s="35" t="e" cm="1">
        <f t="array" aca="1" ref="T978" ca="1">IF(AND(G978=INDIRECT("'["&amp;G978&amp;"]"&amp;E978&amp;"'!"&amp;$AH$2),OR(I978=INDIRECT("'["&amp;G978&amp;"]"&amp;E978&amp;"'!"&amp;$AF$2))),INDIRECT("'["&amp;G978&amp;"]"&amp;E978&amp;"'!"&amp;$AF$3),0)</f>
        <v>#VALUE!</v>
      </c>
      <c r="U978" s="34" t="e" cm="1">
        <f t="array" aca="1" ref="U978" ca="1">IF(AND(G978=INDIRECT("'["&amp;G978&amp;"]"&amp;E978&amp;"'!"&amp;$AH$2),OR(I978=INDIRECT("'["&amp;G978&amp;"]"&amp;E978&amp;"'!"&amp;$AG$2))),INDIRECT("'["&amp;G978&amp;"]"&amp;E978&amp;"'!"&amp;$AG$3),0)</f>
        <v>#VALUE!</v>
      </c>
      <c r="V978" s="25" t="str">
        <f t="shared" si="257"/>
        <v/>
      </c>
      <c r="W978" s="36" t="e" cm="1">
        <f t="array" aca="1" ref="W978" ca="1">IF(AND(G978=INDIRECT("'["&amp;G978&amp;"]"&amp;E978&amp;"'!"&amp;$AH$2),OR(V978=INDIRECT("'["&amp;G978&amp;"]"&amp;E978&amp;"'!"&amp;$AI$2))),INDIRECT("'["&amp;G978&amp;"]"&amp;E978&amp;"'!"&amp;$AI$3),0)</f>
        <v>#VALUE!</v>
      </c>
      <c r="AJ978" s="25">
        <v>1</v>
      </c>
      <c r="AK978" s="38">
        <f t="shared" ca="1" si="258"/>
        <v>0</v>
      </c>
      <c r="AL978" s="38">
        <f t="shared" ca="1" si="259"/>
        <v>0</v>
      </c>
      <c r="AM978" s="54" t="str">
        <f t="shared" ca="1" si="260"/>
        <v/>
      </c>
      <c r="AN978" s="25" t="e">
        <f t="shared" ca="1" si="261"/>
        <v>#VALUE!</v>
      </c>
      <c r="AO978" s="25" t="e">
        <f t="shared" ca="1" si="262"/>
        <v>#VALUE!</v>
      </c>
      <c r="AQ978" s="46" t="str">
        <f ca="1">IF(AND(C978&lt;&gt;0, C979=0), SUM($C$2:C978)-SUM($AQ$1:AQ977), "")</f>
        <v/>
      </c>
      <c r="AR978" s="46" t="str">
        <f ca="1">IF(AND(AK978&lt;&gt;0, AK979=0), SUM($AK$2:AK978)-SUM($AR$1:AR977), "")</f>
        <v/>
      </c>
    </row>
    <row r="979" spans="2:44" ht="13.15" customHeight="1">
      <c r="B979" s="68" t="str">
        <f t="shared" si="248"/>
        <v/>
      </c>
      <c r="C979" s="55" cm="1">
        <f t="array" aca="1" ref="C979" ca="1">SUM(IF(ISNUMBER(M979:U979),M979:U979,""))</f>
        <v>0</v>
      </c>
      <c r="D979" s="25" t="str">
        <f t="shared" si="249"/>
        <v/>
      </c>
      <c r="E979" s="25" t="e">
        <f t="shared" si="250"/>
        <v>#VALUE!</v>
      </c>
      <c r="F979" s="25" t="str">
        <f t="shared" si="251"/>
        <v/>
      </c>
      <c r="G979" s="25" t="str">
        <f t="shared" si="252"/>
        <v>.xlsx</v>
      </c>
      <c r="H979" s="29" t="e" cm="1">
        <f t="array" aca="1" ref="H979" ca="1">IF(AND(VALUE(E979)=INDIRECT("'["&amp;G979&amp;"]"&amp;E979&amp;"'!"&amp;$X$2),G979=INDIRECT("'["&amp;G979&amp;"]"&amp;E979&amp;"'!"&amp;$X$3)),INDIRECT("'["&amp;G979&amp;"]"&amp;E979&amp;"'!"&amp;$X$1),0)</f>
        <v>#VALUE!</v>
      </c>
      <c r="I979" s="25" t="str">
        <f t="shared" si="253"/>
        <v/>
      </c>
      <c r="J979" s="32" t="str">
        <f t="shared" si="254"/>
        <v/>
      </c>
      <c r="K979" s="25" t="str">
        <f t="shared" si="255"/>
        <v/>
      </c>
      <c r="L979" s="25" t="str">
        <f t="shared" si="256"/>
        <v/>
      </c>
      <c r="M979" s="33" t="e" cm="1">
        <f t="array" aca="1" ref="M979" ca="1">IF(AND(J979=INDIRECT("'["&amp;G979&amp;"]"&amp;E979&amp;"'!"&amp;$Y$2),G979=INDIRECT("'["&amp;G979&amp;"]"&amp;E979&amp;"'!"&amp;$AH$2)),INDIRECT("'["&amp;G979&amp;"]"&amp;E979&amp;"'!"&amp;$Y$3),0)</f>
        <v>#VALUE!</v>
      </c>
      <c r="N979" s="34" t="e" cm="1">
        <f t="array" aca="1" ref="N979" ca="1">IF(AND(G979=INDIRECT("'["&amp;G979&amp;"]"&amp;E979&amp;"'!"&amp;$AH$2),OR(K979=INDIRECT("'["&amp;G979&amp;"]"&amp;E979&amp;"'!"&amp;$Z$2))),INDIRECT("'["&amp;G979&amp;"]"&amp;E979&amp;"'!"&amp;$Z$3),0)</f>
        <v>#VALUE!</v>
      </c>
      <c r="O979" s="34" t="e" cm="1">
        <f t="array" aca="1" ref="O979" ca="1">IF(AND(G979=INDIRECT("'["&amp;G979&amp;"]"&amp;E979&amp;"'!"&amp;$AH$2),OR(L979=INDIRECT("'["&amp;G979&amp;"]"&amp;E979&amp;"'!"&amp;$AA$2))),INDIRECT("'["&amp;G979&amp;"]"&amp;E979&amp;"'!"&amp;$AA$3),0)</f>
        <v>#VALUE!</v>
      </c>
      <c r="P979" s="34" t="e" cm="1">
        <f t="array" aca="1" ref="P979" ca="1">IF(AND(G979=INDIRECT("'["&amp;G979&amp;"]"&amp;E979&amp;"'!"&amp;$AH$2),OR(VALUE(I979)=INDIRECT("'["&amp;G979&amp;"]"&amp;E979&amp;"'!"&amp;$AB$2))),INDIRECT("'["&amp;G979&amp;"]"&amp;E979&amp;"'!"&amp;$AB$3),0)</f>
        <v>#VALUE!</v>
      </c>
      <c r="Q979" s="34" t="e" cm="1">
        <f t="array" aca="1" ref="Q979" ca="1">IF(AND(G979=INDIRECT("'["&amp;G979&amp;"]"&amp;E979&amp;"'!"&amp;$AH$2),OR(VALUE(I979)=INDIRECT("'["&amp;G979&amp;"]"&amp;E979&amp;"'!"&amp;$AC$2))),INDIRECT("'["&amp;G979&amp;"]"&amp;E979&amp;"'!"&amp;$AC$3),0)</f>
        <v>#VALUE!</v>
      </c>
      <c r="R979" s="34" t="e" cm="1">
        <f t="array" aca="1" ref="R979" ca="1">IF(AND(G979=INDIRECT("'["&amp;G979&amp;"]"&amp;E979&amp;"'!"&amp;$AH$2),OR(I979=INDIRECT("'["&amp;G979&amp;"]"&amp;E979&amp;"'!"&amp;$AD$2))),INDIRECT("'["&amp;G979&amp;"]"&amp;E979&amp;"'!"&amp;$AD$3),0)</f>
        <v>#VALUE!</v>
      </c>
      <c r="S979" s="34" t="e" cm="1">
        <f t="array" aca="1" ref="S979" ca="1">IF(AND(G979=INDIRECT("'["&amp;G979&amp;"]"&amp;E979&amp;"'!"&amp;$AH$2),OR(I979=INDIRECT("'["&amp;G979&amp;"]"&amp;E979&amp;"'!"&amp;$AE$2))),INDIRECT("'["&amp;G979&amp;"]"&amp;E979&amp;"'!"&amp;$AE$3),0)</f>
        <v>#VALUE!</v>
      </c>
      <c r="T979" s="35" t="e" cm="1">
        <f t="array" aca="1" ref="T979" ca="1">IF(AND(G979=INDIRECT("'["&amp;G979&amp;"]"&amp;E979&amp;"'!"&amp;$AH$2),OR(I979=INDIRECT("'["&amp;G979&amp;"]"&amp;E979&amp;"'!"&amp;$AF$2))),INDIRECT("'["&amp;G979&amp;"]"&amp;E979&amp;"'!"&amp;$AF$3),0)</f>
        <v>#VALUE!</v>
      </c>
      <c r="U979" s="34" t="e" cm="1">
        <f t="array" aca="1" ref="U979" ca="1">IF(AND(G979=INDIRECT("'["&amp;G979&amp;"]"&amp;E979&amp;"'!"&amp;$AH$2),OR(I979=INDIRECT("'["&amp;G979&amp;"]"&amp;E979&amp;"'!"&amp;$AG$2))),INDIRECT("'["&amp;G979&amp;"]"&amp;E979&amp;"'!"&amp;$AG$3),0)</f>
        <v>#VALUE!</v>
      </c>
      <c r="V979" s="25" t="str">
        <f t="shared" si="257"/>
        <v/>
      </c>
      <c r="W979" s="36" t="e" cm="1">
        <f t="array" aca="1" ref="W979" ca="1">IF(AND(G979=INDIRECT("'["&amp;G979&amp;"]"&amp;E979&amp;"'!"&amp;$AH$2),OR(V979=INDIRECT("'["&amp;G979&amp;"]"&amp;E979&amp;"'!"&amp;$AI$2))),INDIRECT("'["&amp;G979&amp;"]"&amp;E979&amp;"'!"&amp;$AI$3),0)</f>
        <v>#VALUE!</v>
      </c>
      <c r="AJ979" s="25">
        <v>1</v>
      </c>
      <c r="AK979" s="38">
        <f t="shared" ca="1" si="258"/>
        <v>0</v>
      </c>
      <c r="AL979" s="38">
        <f t="shared" ca="1" si="259"/>
        <v>0</v>
      </c>
      <c r="AM979" s="54" t="str">
        <f t="shared" ca="1" si="260"/>
        <v/>
      </c>
      <c r="AN979" s="25" t="e">
        <f t="shared" ca="1" si="261"/>
        <v>#VALUE!</v>
      </c>
      <c r="AO979" s="25" t="e">
        <f t="shared" ca="1" si="262"/>
        <v>#VALUE!</v>
      </c>
      <c r="AQ979" s="46" t="str">
        <f ca="1">IF(AND(C979&lt;&gt;0, C980=0), SUM($C$2:C979)-SUM($AQ$1:AQ978), "")</f>
        <v/>
      </c>
      <c r="AR979" s="46" t="str">
        <f ca="1">IF(AND(AK979&lt;&gt;0, AK980=0), SUM($AK$2:AK979)-SUM($AR$1:AR978), "")</f>
        <v/>
      </c>
    </row>
    <row r="980" spans="2:44" ht="13.15" customHeight="1">
      <c r="B980" s="68" t="str">
        <f t="shared" si="248"/>
        <v/>
      </c>
      <c r="C980" s="55" cm="1">
        <f t="array" aca="1" ref="C980" ca="1">SUM(IF(ISNUMBER(M980:U980),M980:U980,""))</f>
        <v>0</v>
      </c>
      <c r="D980" s="25" t="str">
        <f t="shared" si="249"/>
        <v/>
      </c>
      <c r="E980" s="25" t="e">
        <f t="shared" si="250"/>
        <v>#VALUE!</v>
      </c>
      <c r="F980" s="25" t="str">
        <f t="shared" si="251"/>
        <v/>
      </c>
      <c r="G980" s="25" t="str">
        <f t="shared" si="252"/>
        <v>.xlsx</v>
      </c>
      <c r="H980" s="29" t="e" cm="1">
        <f t="array" aca="1" ref="H980" ca="1">IF(AND(VALUE(E980)=INDIRECT("'["&amp;G980&amp;"]"&amp;E980&amp;"'!"&amp;$X$2),G980=INDIRECT("'["&amp;G980&amp;"]"&amp;E980&amp;"'!"&amp;$X$3)),INDIRECT("'["&amp;G980&amp;"]"&amp;E980&amp;"'!"&amp;$X$1),0)</f>
        <v>#VALUE!</v>
      </c>
      <c r="I980" s="25" t="str">
        <f t="shared" si="253"/>
        <v/>
      </c>
      <c r="J980" s="32" t="str">
        <f t="shared" si="254"/>
        <v/>
      </c>
      <c r="K980" s="25" t="str">
        <f t="shared" si="255"/>
        <v/>
      </c>
      <c r="L980" s="25" t="str">
        <f t="shared" si="256"/>
        <v/>
      </c>
      <c r="M980" s="33" t="e" cm="1">
        <f t="array" aca="1" ref="M980" ca="1">IF(AND(J980=INDIRECT("'["&amp;G980&amp;"]"&amp;E980&amp;"'!"&amp;$Y$2),G980=INDIRECT("'["&amp;G980&amp;"]"&amp;E980&amp;"'!"&amp;$AH$2)),INDIRECT("'["&amp;G980&amp;"]"&amp;E980&amp;"'!"&amp;$Y$3),0)</f>
        <v>#VALUE!</v>
      </c>
      <c r="N980" s="34" t="e" cm="1">
        <f t="array" aca="1" ref="N980" ca="1">IF(AND(G980=INDIRECT("'["&amp;G980&amp;"]"&amp;E980&amp;"'!"&amp;$AH$2),OR(K980=INDIRECT("'["&amp;G980&amp;"]"&amp;E980&amp;"'!"&amp;$Z$2))),INDIRECT("'["&amp;G980&amp;"]"&amp;E980&amp;"'!"&amp;$Z$3),0)</f>
        <v>#VALUE!</v>
      </c>
      <c r="O980" s="34" t="e" cm="1">
        <f t="array" aca="1" ref="O980" ca="1">IF(AND(G980=INDIRECT("'["&amp;G980&amp;"]"&amp;E980&amp;"'!"&amp;$AH$2),OR(L980=INDIRECT("'["&amp;G980&amp;"]"&amp;E980&amp;"'!"&amp;$AA$2))),INDIRECT("'["&amp;G980&amp;"]"&amp;E980&amp;"'!"&amp;$AA$3),0)</f>
        <v>#VALUE!</v>
      </c>
      <c r="P980" s="34" t="e" cm="1">
        <f t="array" aca="1" ref="P980" ca="1">IF(AND(G980=INDIRECT("'["&amp;G980&amp;"]"&amp;E980&amp;"'!"&amp;$AH$2),OR(VALUE(I980)=INDIRECT("'["&amp;G980&amp;"]"&amp;E980&amp;"'!"&amp;$AB$2))),INDIRECT("'["&amp;G980&amp;"]"&amp;E980&amp;"'!"&amp;$AB$3),0)</f>
        <v>#VALUE!</v>
      </c>
      <c r="Q980" s="34" t="e" cm="1">
        <f t="array" aca="1" ref="Q980" ca="1">IF(AND(G980=INDIRECT("'["&amp;G980&amp;"]"&amp;E980&amp;"'!"&amp;$AH$2),OR(VALUE(I980)=INDIRECT("'["&amp;G980&amp;"]"&amp;E980&amp;"'!"&amp;$AC$2))),INDIRECT("'["&amp;G980&amp;"]"&amp;E980&amp;"'!"&amp;$AC$3),0)</f>
        <v>#VALUE!</v>
      </c>
      <c r="R980" s="34" t="e" cm="1">
        <f t="array" aca="1" ref="R980" ca="1">IF(AND(G980=INDIRECT("'["&amp;G980&amp;"]"&amp;E980&amp;"'!"&amp;$AH$2),OR(I980=INDIRECT("'["&amp;G980&amp;"]"&amp;E980&amp;"'!"&amp;$AD$2))),INDIRECT("'["&amp;G980&amp;"]"&amp;E980&amp;"'!"&amp;$AD$3),0)</f>
        <v>#VALUE!</v>
      </c>
      <c r="S980" s="34" t="e" cm="1">
        <f t="array" aca="1" ref="S980" ca="1">IF(AND(G980=INDIRECT("'["&amp;G980&amp;"]"&amp;E980&amp;"'!"&amp;$AH$2),OR(I980=INDIRECT("'["&amp;G980&amp;"]"&amp;E980&amp;"'!"&amp;$AE$2))),INDIRECT("'["&amp;G980&amp;"]"&amp;E980&amp;"'!"&amp;$AE$3),0)</f>
        <v>#VALUE!</v>
      </c>
      <c r="T980" s="35" t="e" cm="1">
        <f t="array" aca="1" ref="T980" ca="1">IF(AND(G980=INDIRECT("'["&amp;G980&amp;"]"&amp;E980&amp;"'!"&amp;$AH$2),OR(I980=INDIRECT("'["&amp;G980&amp;"]"&amp;E980&amp;"'!"&amp;$AF$2))),INDIRECT("'["&amp;G980&amp;"]"&amp;E980&amp;"'!"&amp;$AF$3),0)</f>
        <v>#VALUE!</v>
      </c>
      <c r="U980" s="34" t="e" cm="1">
        <f t="array" aca="1" ref="U980" ca="1">IF(AND(G980=INDIRECT("'["&amp;G980&amp;"]"&amp;E980&amp;"'!"&amp;$AH$2),OR(I980=INDIRECT("'["&amp;G980&amp;"]"&amp;E980&amp;"'!"&amp;$AG$2))),INDIRECT("'["&amp;G980&amp;"]"&amp;E980&amp;"'!"&amp;$AG$3),0)</f>
        <v>#VALUE!</v>
      </c>
      <c r="V980" s="25" t="str">
        <f t="shared" si="257"/>
        <v/>
      </c>
      <c r="W980" s="36" t="e" cm="1">
        <f t="array" aca="1" ref="W980" ca="1">IF(AND(G980=INDIRECT("'["&amp;G980&amp;"]"&amp;E980&amp;"'!"&amp;$AH$2),OR(V980=INDIRECT("'["&amp;G980&amp;"]"&amp;E980&amp;"'!"&amp;$AI$2))),INDIRECT("'["&amp;G980&amp;"]"&amp;E980&amp;"'!"&amp;$AI$3),0)</f>
        <v>#VALUE!</v>
      </c>
      <c r="AJ980" s="25">
        <v>1</v>
      </c>
      <c r="AK980" s="38">
        <f t="shared" ca="1" si="258"/>
        <v>0</v>
      </c>
      <c r="AL980" s="38">
        <f t="shared" ca="1" si="259"/>
        <v>0</v>
      </c>
      <c r="AM980" s="54" t="str">
        <f t="shared" ca="1" si="260"/>
        <v/>
      </c>
      <c r="AN980" s="25" t="e">
        <f t="shared" ca="1" si="261"/>
        <v>#VALUE!</v>
      </c>
      <c r="AO980" s="25" t="e">
        <f t="shared" ca="1" si="262"/>
        <v>#VALUE!</v>
      </c>
      <c r="AQ980" s="46" t="str">
        <f ca="1">IF(AND(C980&lt;&gt;0, C981=0), SUM($C$2:C980)-SUM($AQ$1:AQ979), "")</f>
        <v/>
      </c>
      <c r="AR980" s="46" t="str">
        <f ca="1">IF(AND(AK980&lt;&gt;0, AK981=0), SUM($AK$2:AK980)-SUM($AR$1:AR979), "")</f>
        <v/>
      </c>
    </row>
    <row r="981" spans="2:44" ht="13.15" customHeight="1">
      <c r="B981" s="68" t="str">
        <f t="shared" si="248"/>
        <v/>
      </c>
      <c r="C981" s="55" cm="1">
        <f t="array" aca="1" ref="C981" ca="1">SUM(IF(ISNUMBER(M981:U981),M981:U981,""))</f>
        <v>0</v>
      </c>
      <c r="D981" s="25" t="str">
        <f t="shared" si="249"/>
        <v/>
      </c>
      <c r="E981" s="25" t="e">
        <f t="shared" si="250"/>
        <v>#VALUE!</v>
      </c>
      <c r="F981" s="25" t="str">
        <f t="shared" si="251"/>
        <v/>
      </c>
      <c r="G981" s="25" t="str">
        <f t="shared" si="252"/>
        <v>.xlsx</v>
      </c>
      <c r="H981" s="29" t="e" cm="1">
        <f t="array" aca="1" ref="H981" ca="1">IF(AND(VALUE(E981)=INDIRECT("'["&amp;G981&amp;"]"&amp;E981&amp;"'!"&amp;$X$2),G981=INDIRECT("'["&amp;G981&amp;"]"&amp;E981&amp;"'!"&amp;$X$3)),INDIRECT("'["&amp;G981&amp;"]"&amp;E981&amp;"'!"&amp;$X$1),0)</f>
        <v>#VALUE!</v>
      </c>
      <c r="I981" s="25" t="str">
        <f t="shared" si="253"/>
        <v/>
      </c>
      <c r="J981" s="32" t="str">
        <f t="shared" si="254"/>
        <v/>
      </c>
      <c r="K981" s="25" t="str">
        <f t="shared" si="255"/>
        <v/>
      </c>
      <c r="L981" s="25" t="str">
        <f t="shared" si="256"/>
        <v/>
      </c>
      <c r="M981" s="33" t="e" cm="1">
        <f t="array" aca="1" ref="M981" ca="1">IF(AND(J981=INDIRECT("'["&amp;G981&amp;"]"&amp;E981&amp;"'!"&amp;$Y$2),G981=INDIRECT("'["&amp;G981&amp;"]"&amp;E981&amp;"'!"&amp;$AH$2)),INDIRECT("'["&amp;G981&amp;"]"&amp;E981&amp;"'!"&amp;$Y$3),0)</f>
        <v>#VALUE!</v>
      </c>
      <c r="N981" s="34" t="e" cm="1">
        <f t="array" aca="1" ref="N981" ca="1">IF(AND(G981=INDIRECT("'["&amp;G981&amp;"]"&amp;E981&amp;"'!"&amp;$AH$2),OR(K981=INDIRECT("'["&amp;G981&amp;"]"&amp;E981&amp;"'!"&amp;$Z$2))),INDIRECT("'["&amp;G981&amp;"]"&amp;E981&amp;"'!"&amp;$Z$3),0)</f>
        <v>#VALUE!</v>
      </c>
      <c r="O981" s="34" t="e" cm="1">
        <f t="array" aca="1" ref="O981" ca="1">IF(AND(G981=INDIRECT("'["&amp;G981&amp;"]"&amp;E981&amp;"'!"&amp;$AH$2),OR(L981=INDIRECT("'["&amp;G981&amp;"]"&amp;E981&amp;"'!"&amp;$AA$2))),INDIRECT("'["&amp;G981&amp;"]"&amp;E981&amp;"'!"&amp;$AA$3),0)</f>
        <v>#VALUE!</v>
      </c>
      <c r="P981" s="34" t="e" cm="1">
        <f t="array" aca="1" ref="P981" ca="1">IF(AND(G981=INDIRECT("'["&amp;G981&amp;"]"&amp;E981&amp;"'!"&amp;$AH$2),OR(VALUE(I981)=INDIRECT("'["&amp;G981&amp;"]"&amp;E981&amp;"'!"&amp;$AB$2))),INDIRECT("'["&amp;G981&amp;"]"&amp;E981&amp;"'!"&amp;$AB$3),0)</f>
        <v>#VALUE!</v>
      </c>
      <c r="Q981" s="34" t="e" cm="1">
        <f t="array" aca="1" ref="Q981" ca="1">IF(AND(G981=INDIRECT("'["&amp;G981&amp;"]"&amp;E981&amp;"'!"&amp;$AH$2),OR(VALUE(I981)=INDIRECT("'["&amp;G981&amp;"]"&amp;E981&amp;"'!"&amp;$AC$2))),INDIRECT("'["&amp;G981&amp;"]"&amp;E981&amp;"'!"&amp;$AC$3),0)</f>
        <v>#VALUE!</v>
      </c>
      <c r="R981" s="34" t="e" cm="1">
        <f t="array" aca="1" ref="R981" ca="1">IF(AND(G981=INDIRECT("'["&amp;G981&amp;"]"&amp;E981&amp;"'!"&amp;$AH$2),OR(I981=INDIRECT("'["&amp;G981&amp;"]"&amp;E981&amp;"'!"&amp;$AD$2))),INDIRECT("'["&amp;G981&amp;"]"&amp;E981&amp;"'!"&amp;$AD$3),0)</f>
        <v>#VALUE!</v>
      </c>
      <c r="S981" s="34" t="e" cm="1">
        <f t="array" aca="1" ref="S981" ca="1">IF(AND(G981=INDIRECT("'["&amp;G981&amp;"]"&amp;E981&amp;"'!"&amp;$AH$2),OR(I981=INDIRECT("'["&amp;G981&amp;"]"&amp;E981&amp;"'!"&amp;$AE$2))),INDIRECT("'["&amp;G981&amp;"]"&amp;E981&amp;"'!"&amp;$AE$3),0)</f>
        <v>#VALUE!</v>
      </c>
      <c r="T981" s="35" t="e" cm="1">
        <f t="array" aca="1" ref="T981" ca="1">IF(AND(G981=INDIRECT("'["&amp;G981&amp;"]"&amp;E981&amp;"'!"&amp;$AH$2),OR(I981=INDIRECT("'["&amp;G981&amp;"]"&amp;E981&amp;"'!"&amp;$AF$2))),INDIRECT("'["&amp;G981&amp;"]"&amp;E981&amp;"'!"&amp;$AF$3),0)</f>
        <v>#VALUE!</v>
      </c>
      <c r="U981" s="34" t="e" cm="1">
        <f t="array" aca="1" ref="U981" ca="1">IF(AND(G981=INDIRECT("'["&amp;G981&amp;"]"&amp;E981&amp;"'!"&amp;$AH$2),OR(I981=INDIRECT("'["&amp;G981&amp;"]"&amp;E981&amp;"'!"&amp;$AG$2))),INDIRECT("'["&amp;G981&amp;"]"&amp;E981&amp;"'!"&amp;$AG$3),0)</f>
        <v>#VALUE!</v>
      </c>
      <c r="V981" s="25" t="str">
        <f t="shared" si="257"/>
        <v/>
      </c>
      <c r="W981" s="36" t="e" cm="1">
        <f t="array" aca="1" ref="W981" ca="1">IF(AND(G981=INDIRECT("'["&amp;G981&amp;"]"&amp;E981&amp;"'!"&amp;$AH$2),OR(V981=INDIRECT("'["&amp;G981&amp;"]"&amp;E981&amp;"'!"&amp;$AI$2))),INDIRECT("'["&amp;G981&amp;"]"&amp;E981&amp;"'!"&amp;$AI$3),0)</f>
        <v>#VALUE!</v>
      </c>
      <c r="AJ981" s="25">
        <v>1</v>
      </c>
      <c r="AK981" s="38">
        <f t="shared" ca="1" si="258"/>
        <v>0</v>
      </c>
      <c r="AL981" s="38">
        <f t="shared" ca="1" si="259"/>
        <v>0</v>
      </c>
      <c r="AM981" s="54" t="str">
        <f t="shared" ca="1" si="260"/>
        <v/>
      </c>
      <c r="AN981" s="25" t="e">
        <f t="shared" ca="1" si="261"/>
        <v>#VALUE!</v>
      </c>
      <c r="AO981" s="25" t="e">
        <f t="shared" ca="1" si="262"/>
        <v>#VALUE!</v>
      </c>
      <c r="AQ981" s="46" t="str">
        <f ca="1">IF(AND(C981&lt;&gt;0, C982=0), SUM($C$2:C981)-SUM($AQ$1:AQ980), "")</f>
        <v/>
      </c>
      <c r="AR981" s="46" t="str">
        <f ca="1">IF(AND(AK981&lt;&gt;0, AK982=0), SUM($AK$2:AK981)-SUM($AR$1:AR980), "")</f>
        <v/>
      </c>
    </row>
    <row r="982" spans="2:44" ht="13.15" customHeight="1">
      <c r="B982" s="68" t="str">
        <f t="shared" si="248"/>
        <v/>
      </c>
      <c r="C982" s="55" cm="1">
        <f t="array" aca="1" ref="C982" ca="1">SUM(IF(ISNUMBER(M982:U982),M982:U982,""))</f>
        <v>0</v>
      </c>
      <c r="D982" s="25" t="str">
        <f t="shared" si="249"/>
        <v/>
      </c>
      <c r="E982" s="25" t="e">
        <f t="shared" si="250"/>
        <v>#VALUE!</v>
      </c>
      <c r="F982" s="25" t="str">
        <f t="shared" si="251"/>
        <v/>
      </c>
      <c r="G982" s="25" t="str">
        <f t="shared" si="252"/>
        <v>.xlsx</v>
      </c>
      <c r="H982" s="29" t="e" cm="1">
        <f t="array" aca="1" ref="H982" ca="1">IF(AND(VALUE(E982)=INDIRECT("'["&amp;G982&amp;"]"&amp;E982&amp;"'!"&amp;$X$2),G982=INDIRECT("'["&amp;G982&amp;"]"&amp;E982&amp;"'!"&amp;$X$3)),INDIRECT("'["&amp;G982&amp;"]"&amp;E982&amp;"'!"&amp;$X$1),0)</f>
        <v>#VALUE!</v>
      </c>
      <c r="I982" s="25" t="str">
        <f t="shared" si="253"/>
        <v/>
      </c>
      <c r="J982" s="32" t="str">
        <f t="shared" si="254"/>
        <v/>
      </c>
      <c r="K982" s="25" t="str">
        <f t="shared" si="255"/>
        <v/>
      </c>
      <c r="L982" s="25" t="str">
        <f t="shared" si="256"/>
        <v/>
      </c>
      <c r="M982" s="33" t="e" cm="1">
        <f t="array" aca="1" ref="M982" ca="1">IF(AND(J982=INDIRECT("'["&amp;G982&amp;"]"&amp;E982&amp;"'!"&amp;$Y$2),G982=INDIRECT("'["&amp;G982&amp;"]"&amp;E982&amp;"'!"&amp;$AH$2)),INDIRECT("'["&amp;G982&amp;"]"&amp;E982&amp;"'!"&amp;$Y$3),0)</f>
        <v>#VALUE!</v>
      </c>
      <c r="N982" s="34" t="e" cm="1">
        <f t="array" aca="1" ref="N982" ca="1">IF(AND(G982=INDIRECT("'["&amp;G982&amp;"]"&amp;E982&amp;"'!"&amp;$AH$2),OR(K982=INDIRECT("'["&amp;G982&amp;"]"&amp;E982&amp;"'!"&amp;$Z$2))),INDIRECT("'["&amp;G982&amp;"]"&amp;E982&amp;"'!"&amp;$Z$3),0)</f>
        <v>#VALUE!</v>
      </c>
      <c r="O982" s="34" t="e" cm="1">
        <f t="array" aca="1" ref="O982" ca="1">IF(AND(G982=INDIRECT("'["&amp;G982&amp;"]"&amp;E982&amp;"'!"&amp;$AH$2),OR(L982=INDIRECT("'["&amp;G982&amp;"]"&amp;E982&amp;"'!"&amp;$AA$2))),INDIRECT("'["&amp;G982&amp;"]"&amp;E982&amp;"'!"&amp;$AA$3),0)</f>
        <v>#VALUE!</v>
      </c>
      <c r="P982" s="34" t="e" cm="1">
        <f t="array" aca="1" ref="P982" ca="1">IF(AND(G982=INDIRECT("'["&amp;G982&amp;"]"&amp;E982&amp;"'!"&amp;$AH$2),OR(VALUE(I982)=INDIRECT("'["&amp;G982&amp;"]"&amp;E982&amp;"'!"&amp;$AB$2))),INDIRECT("'["&amp;G982&amp;"]"&amp;E982&amp;"'!"&amp;$AB$3),0)</f>
        <v>#VALUE!</v>
      </c>
      <c r="Q982" s="34" t="e" cm="1">
        <f t="array" aca="1" ref="Q982" ca="1">IF(AND(G982=INDIRECT("'["&amp;G982&amp;"]"&amp;E982&amp;"'!"&amp;$AH$2),OR(VALUE(I982)=INDIRECT("'["&amp;G982&amp;"]"&amp;E982&amp;"'!"&amp;$AC$2))),INDIRECT("'["&amp;G982&amp;"]"&amp;E982&amp;"'!"&amp;$AC$3),0)</f>
        <v>#VALUE!</v>
      </c>
      <c r="R982" s="34" t="e" cm="1">
        <f t="array" aca="1" ref="R982" ca="1">IF(AND(G982=INDIRECT("'["&amp;G982&amp;"]"&amp;E982&amp;"'!"&amp;$AH$2),OR(I982=INDIRECT("'["&amp;G982&amp;"]"&amp;E982&amp;"'!"&amp;$AD$2))),INDIRECT("'["&amp;G982&amp;"]"&amp;E982&amp;"'!"&amp;$AD$3),0)</f>
        <v>#VALUE!</v>
      </c>
      <c r="S982" s="34" t="e" cm="1">
        <f t="array" aca="1" ref="S982" ca="1">IF(AND(G982=INDIRECT("'["&amp;G982&amp;"]"&amp;E982&amp;"'!"&amp;$AH$2),OR(I982=INDIRECT("'["&amp;G982&amp;"]"&amp;E982&amp;"'!"&amp;$AE$2))),INDIRECT("'["&amp;G982&amp;"]"&amp;E982&amp;"'!"&amp;$AE$3),0)</f>
        <v>#VALUE!</v>
      </c>
      <c r="T982" s="35" t="e" cm="1">
        <f t="array" aca="1" ref="T982" ca="1">IF(AND(G982=INDIRECT("'["&amp;G982&amp;"]"&amp;E982&amp;"'!"&amp;$AH$2),OR(I982=INDIRECT("'["&amp;G982&amp;"]"&amp;E982&amp;"'!"&amp;$AF$2))),INDIRECT("'["&amp;G982&amp;"]"&amp;E982&amp;"'!"&amp;$AF$3),0)</f>
        <v>#VALUE!</v>
      </c>
      <c r="U982" s="34" t="e" cm="1">
        <f t="array" aca="1" ref="U982" ca="1">IF(AND(G982=INDIRECT("'["&amp;G982&amp;"]"&amp;E982&amp;"'!"&amp;$AH$2),OR(I982=INDIRECT("'["&amp;G982&amp;"]"&amp;E982&amp;"'!"&amp;$AG$2))),INDIRECT("'["&amp;G982&amp;"]"&amp;E982&amp;"'!"&amp;$AG$3),0)</f>
        <v>#VALUE!</v>
      </c>
      <c r="V982" s="25" t="str">
        <f t="shared" si="257"/>
        <v/>
      </c>
      <c r="W982" s="36" t="e" cm="1">
        <f t="array" aca="1" ref="W982" ca="1">IF(AND(G982=INDIRECT("'["&amp;G982&amp;"]"&amp;E982&amp;"'!"&amp;$AH$2),OR(V982=INDIRECT("'["&amp;G982&amp;"]"&amp;E982&amp;"'!"&amp;$AI$2))),INDIRECT("'["&amp;G982&amp;"]"&amp;E982&amp;"'!"&amp;$AI$3),0)</f>
        <v>#VALUE!</v>
      </c>
      <c r="AJ982" s="25">
        <v>1</v>
      </c>
      <c r="AK982" s="38">
        <f t="shared" ca="1" si="258"/>
        <v>0</v>
      </c>
      <c r="AL982" s="38">
        <f t="shared" ca="1" si="259"/>
        <v>0</v>
      </c>
      <c r="AM982" s="54" t="str">
        <f t="shared" ca="1" si="260"/>
        <v/>
      </c>
      <c r="AN982" s="25" t="e">
        <f t="shared" ca="1" si="261"/>
        <v>#VALUE!</v>
      </c>
      <c r="AO982" s="25" t="e">
        <f t="shared" ca="1" si="262"/>
        <v>#VALUE!</v>
      </c>
      <c r="AQ982" s="46" t="str">
        <f ca="1">IF(AND(C982&lt;&gt;0, C983=0), SUM($C$2:C982)-SUM($AQ$1:AQ981), "")</f>
        <v/>
      </c>
      <c r="AR982" s="46" t="str">
        <f ca="1">IF(AND(AK982&lt;&gt;0, AK983=0), SUM($AK$2:AK982)-SUM($AR$1:AR981), "")</f>
        <v/>
      </c>
    </row>
    <row r="983" spans="2:44" ht="13.15" customHeight="1">
      <c r="B983" s="68" t="str">
        <f t="shared" si="248"/>
        <v/>
      </c>
      <c r="C983" s="55" cm="1">
        <f t="array" aca="1" ref="C983" ca="1">SUM(IF(ISNUMBER(M983:U983),M983:U983,""))</f>
        <v>0</v>
      </c>
      <c r="D983" s="25" t="str">
        <f t="shared" si="249"/>
        <v/>
      </c>
      <c r="E983" s="25" t="e">
        <f t="shared" si="250"/>
        <v>#VALUE!</v>
      </c>
      <c r="F983" s="25" t="str">
        <f t="shared" si="251"/>
        <v/>
      </c>
      <c r="G983" s="25" t="str">
        <f t="shared" si="252"/>
        <v>.xlsx</v>
      </c>
      <c r="H983" s="29" t="e" cm="1">
        <f t="array" aca="1" ref="H983" ca="1">IF(AND(VALUE(E983)=INDIRECT("'["&amp;G983&amp;"]"&amp;E983&amp;"'!"&amp;$X$2),G983=INDIRECT("'["&amp;G983&amp;"]"&amp;E983&amp;"'!"&amp;$X$3)),INDIRECT("'["&amp;G983&amp;"]"&amp;E983&amp;"'!"&amp;$X$1),0)</f>
        <v>#VALUE!</v>
      </c>
      <c r="I983" s="25" t="str">
        <f t="shared" si="253"/>
        <v/>
      </c>
      <c r="J983" s="32" t="str">
        <f t="shared" si="254"/>
        <v/>
      </c>
      <c r="K983" s="25" t="str">
        <f t="shared" si="255"/>
        <v/>
      </c>
      <c r="L983" s="25" t="str">
        <f t="shared" si="256"/>
        <v/>
      </c>
      <c r="M983" s="33" t="e" cm="1">
        <f t="array" aca="1" ref="M983" ca="1">IF(AND(J983=INDIRECT("'["&amp;G983&amp;"]"&amp;E983&amp;"'!"&amp;$Y$2),G983=INDIRECT("'["&amp;G983&amp;"]"&amp;E983&amp;"'!"&amp;$AH$2)),INDIRECT("'["&amp;G983&amp;"]"&amp;E983&amp;"'!"&amp;$Y$3),0)</f>
        <v>#VALUE!</v>
      </c>
      <c r="N983" s="34" t="e" cm="1">
        <f t="array" aca="1" ref="N983" ca="1">IF(AND(G983=INDIRECT("'["&amp;G983&amp;"]"&amp;E983&amp;"'!"&amp;$AH$2),OR(K983=INDIRECT("'["&amp;G983&amp;"]"&amp;E983&amp;"'!"&amp;$Z$2))),INDIRECT("'["&amp;G983&amp;"]"&amp;E983&amp;"'!"&amp;$Z$3),0)</f>
        <v>#VALUE!</v>
      </c>
      <c r="O983" s="34" t="e" cm="1">
        <f t="array" aca="1" ref="O983" ca="1">IF(AND(G983=INDIRECT("'["&amp;G983&amp;"]"&amp;E983&amp;"'!"&amp;$AH$2),OR(L983=INDIRECT("'["&amp;G983&amp;"]"&amp;E983&amp;"'!"&amp;$AA$2))),INDIRECT("'["&amp;G983&amp;"]"&amp;E983&amp;"'!"&amp;$AA$3),0)</f>
        <v>#VALUE!</v>
      </c>
      <c r="P983" s="34" t="e" cm="1">
        <f t="array" aca="1" ref="P983" ca="1">IF(AND(G983=INDIRECT("'["&amp;G983&amp;"]"&amp;E983&amp;"'!"&amp;$AH$2),OR(VALUE(I983)=INDIRECT("'["&amp;G983&amp;"]"&amp;E983&amp;"'!"&amp;$AB$2))),INDIRECT("'["&amp;G983&amp;"]"&amp;E983&amp;"'!"&amp;$AB$3),0)</f>
        <v>#VALUE!</v>
      </c>
      <c r="Q983" s="34" t="e" cm="1">
        <f t="array" aca="1" ref="Q983" ca="1">IF(AND(G983=INDIRECT("'["&amp;G983&amp;"]"&amp;E983&amp;"'!"&amp;$AH$2),OR(VALUE(I983)=INDIRECT("'["&amp;G983&amp;"]"&amp;E983&amp;"'!"&amp;$AC$2))),INDIRECT("'["&amp;G983&amp;"]"&amp;E983&amp;"'!"&amp;$AC$3),0)</f>
        <v>#VALUE!</v>
      </c>
      <c r="R983" s="34" t="e" cm="1">
        <f t="array" aca="1" ref="R983" ca="1">IF(AND(G983=INDIRECT("'["&amp;G983&amp;"]"&amp;E983&amp;"'!"&amp;$AH$2),OR(I983=INDIRECT("'["&amp;G983&amp;"]"&amp;E983&amp;"'!"&amp;$AD$2))),INDIRECT("'["&amp;G983&amp;"]"&amp;E983&amp;"'!"&amp;$AD$3),0)</f>
        <v>#VALUE!</v>
      </c>
      <c r="S983" s="34" t="e" cm="1">
        <f t="array" aca="1" ref="S983" ca="1">IF(AND(G983=INDIRECT("'["&amp;G983&amp;"]"&amp;E983&amp;"'!"&amp;$AH$2),OR(I983=INDIRECT("'["&amp;G983&amp;"]"&amp;E983&amp;"'!"&amp;$AE$2))),INDIRECT("'["&amp;G983&amp;"]"&amp;E983&amp;"'!"&amp;$AE$3),0)</f>
        <v>#VALUE!</v>
      </c>
      <c r="T983" s="35" t="e" cm="1">
        <f t="array" aca="1" ref="T983" ca="1">IF(AND(G983=INDIRECT("'["&amp;G983&amp;"]"&amp;E983&amp;"'!"&amp;$AH$2),OR(I983=INDIRECT("'["&amp;G983&amp;"]"&amp;E983&amp;"'!"&amp;$AF$2))),INDIRECT("'["&amp;G983&amp;"]"&amp;E983&amp;"'!"&amp;$AF$3),0)</f>
        <v>#VALUE!</v>
      </c>
      <c r="U983" s="34" t="e" cm="1">
        <f t="array" aca="1" ref="U983" ca="1">IF(AND(G983=INDIRECT("'["&amp;G983&amp;"]"&amp;E983&amp;"'!"&amp;$AH$2),OR(I983=INDIRECT("'["&amp;G983&amp;"]"&amp;E983&amp;"'!"&amp;$AG$2))),INDIRECT("'["&amp;G983&amp;"]"&amp;E983&amp;"'!"&amp;$AG$3),0)</f>
        <v>#VALUE!</v>
      </c>
      <c r="V983" s="25" t="str">
        <f t="shared" si="257"/>
        <v/>
      </c>
      <c r="W983" s="36" t="e" cm="1">
        <f t="array" aca="1" ref="W983" ca="1">IF(AND(G983=INDIRECT("'["&amp;G983&amp;"]"&amp;E983&amp;"'!"&amp;$AH$2),OR(V983=INDIRECT("'["&amp;G983&amp;"]"&amp;E983&amp;"'!"&amp;$AI$2))),INDIRECT("'["&amp;G983&amp;"]"&amp;E983&amp;"'!"&amp;$AI$3),0)</f>
        <v>#VALUE!</v>
      </c>
      <c r="AJ983" s="25">
        <v>1</v>
      </c>
      <c r="AK983" s="38">
        <f t="shared" ca="1" si="258"/>
        <v>0</v>
      </c>
      <c r="AL983" s="38">
        <f t="shared" ca="1" si="259"/>
        <v>0</v>
      </c>
      <c r="AM983" s="54" t="str">
        <f t="shared" ca="1" si="260"/>
        <v/>
      </c>
      <c r="AN983" s="25" t="e">
        <f t="shared" ca="1" si="261"/>
        <v>#VALUE!</v>
      </c>
      <c r="AO983" s="25" t="e">
        <f t="shared" ca="1" si="262"/>
        <v>#VALUE!</v>
      </c>
      <c r="AQ983" s="46" t="str">
        <f ca="1">IF(AND(C983&lt;&gt;0, C984=0), SUM($C$2:C983)-SUM($AQ$1:AQ982), "")</f>
        <v/>
      </c>
      <c r="AR983" s="46" t="str">
        <f ca="1">IF(AND(AK983&lt;&gt;0, AK984=0), SUM($AK$2:AK983)-SUM($AR$1:AR982), "")</f>
        <v/>
      </c>
    </row>
    <row r="984" spans="2:44" ht="13.15" customHeight="1">
      <c r="B984" s="68" t="str">
        <f t="shared" si="248"/>
        <v/>
      </c>
      <c r="C984" s="55" cm="1">
        <f t="array" aca="1" ref="C984" ca="1">SUM(IF(ISNUMBER(M984:U984),M984:U984,""))</f>
        <v>0</v>
      </c>
      <c r="D984" s="25" t="str">
        <f t="shared" si="249"/>
        <v/>
      </c>
      <c r="E984" s="25" t="e">
        <f t="shared" si="250"/>
        <v>#VALUE!</v>
      </c>
      <c r="F984" s="25" t="str">
        <f t="shared" si="251"/>
        <v/>
      </c>
      <c r="G984" s="25" t="str">
        <f t="shared" si="252"/>
        <v>.xlsx</v>
      </c>
      <c r="H984" s="29" t="e" cm="1">
        <f t="array" aca="1" ref="H984" ca="1">IF(AND(VALUE(E984)=INDIRECT("'["&amp;G984&amp;"]"&amp;E984&amp;"'!"&amp;$X$2),G984=INDIRECT("'["&amp;G984&amp;"]"&amp;E984&amp;"'!"&amp;$X$3)),INDIRECT("'["&amp;G984&amp;"]"&amp;E984&amp;"'!"&amp;$X$1),0)</f>
        <v>#VALUE!</v>
      </c>
      <c r="I984" s="25" t="str">
        <f t="shared" si="253"/>
        <v/>
      </c>
      <c r="J984" s="32" t="str">
        <f t="shared" si="254"/>
        <v/>
      </c>
      <c r="K984" s="25" t="str">
        <f t="shared" si="255"/>
        <v/>
      </c>
      <c r="L984" s="25" t="str">
        <f t="shared" si="256"/>
        <v/>
      </c>
      <c r="M984" s="33" t="e" cm="1">
        <f t="array" aca="1" ref="M984" ca="1">IF(AND(J984=INDIRECT("'["&amp;G984&amp;"]"&amp;E984&amp;"'!"&amp;$Y$2),G984=INDIRECT("'["&amp;G984&amp;"]"&amp;E984&amp;"'!"&amp;$AH$2)),INDIRECT("'["&amp;G984&amp;"]"&amp;E984&amp;"'!"&amp;$Y$3),0)</f>
        <v>#VALUE!</v>
      </c>
      <c r="N984" s="34" t="e" cm="1">
        <f t="array" aca="1" ref="N984" ca="1">IF(AND(G984=INDIRECT("'["&amp;G984&amp;"]"&amp;E984&amp;"'!"&amp;$AH$2),OR(K984=INDIRECT("'["&amp;G984&amp;"]"&amp;E984&amp;"'!"&amp;$Z$2))),INDIRECT("'["&amp;G984&amp;"]"&amp;E984&amp;"'!"&amp;$Z$3),0)</f>
        <v>#VALUE!</v>
      </c>
      <c r="O984" s="34" t="e" cm="1">
        <f t="array" aca="1" ref="O984" ca="1">IF(AND(G984=INDIRECT("'["&amp;G984&amp;"]"&amp;E984&amp;"'!"&amp;$AH$2),OR(L984=INDIRECT("'["&amp;G984&amp;"]"&amp;E984&amp;"'!"&amp;$AA$2))),INDIRECT("'["&amp;G984&amp;"]"&amp;E984&amp;"'!"&amp;$AA$3),0)</f>
        <v>#VALUE!</v>
      </c>
      <c r="P984" s="34" t="e" cm="1">
        <f t="array" aca="1" ref="P984" ca="1">IF(AND(G984=INDIRECT("'["&amp;G984&amp;"]"&amp;E984&amp;"'!"&amp;$AH$2),OR(VALUE(I984)=INDIRECT("'["&amp;G984&amp;"]"&amp;E984&amp;"'!"&amp;$AB$2))),INDIRECT("'["&amp;G984&amp;"]"&amp;E984&amp;"'!"&amp;$AB$3),0)</f>
        <v>#VALUE!</v>
      </c>
      <c r="Q984" s="34" t="e" cm="1">
        <f t="array" aca="1" ref="Q984" ca="1">IF(AND(G984=INDIRECT("'["&amp;G984&amp;"]"&amp;E984&amp;"'!"&amp;$AH$2),OR(VALUE(I984)=INDIRECT("'["&amp;G984&amp;"]"&amp;E984&amp;"'!"&amp;$AC$2))),INDIRECT("'["&amp;G984&amp;"]"&amp;E984&amp;"'!"&amp;$AC$3),0)</f>
        <v>#VALUE!</v>
      </c>
      <c r="R984" s="34" t="e" cm="1">
        <f t="array" aca="1" ref="R984" ca="1">IF(AND(G984=INDIRECT("'["&amp;G984&amp;"]"&amp;E984&amp;"'!"&amp;$AH$2),OR(I984=INDIRECT("'["&amp;G984&amp;"]"&amp;E984&amp;"'!"&amp;$AD$2))),INDIRECT("'["&amp;G984&amp;"]"&amp;E984&amp;"'!"&amp;$AD$3),0)</f>
        <v>#VALUE!</v>
      </c>
      <c r="S984" s="34" t="e" cm="1">
        <f t="array" aca="1" ref="S984" ca="1">IF(AND(G984=INDIRECT("'["&amp;G984&amp;"]"&amp;E984&amp;"'!"&amp;$AH$2),OR(I984=INDIRECT("'["&amp;G984&amp;"]"&amp;E984&amp;"'!"&amp;$AE$2))),INDIRECT("'["&amp;G984&amp;"]"&amp;E984&amp;"'!"&amp;$AE$3),0)</f>
        <v>#VALUE!</v>
      </c>
      <c r="T984" s="35" t="e" cm="1">
        <f t="array" aca="1" ref="T984" ca="1">IF(AND(G984=INDIRECT("'["&amp;G984&amp;"]"&amp;E984&amp;"'!"&amp;$AH$2),OR(I984=INDIRECT("'["&amp;G984&amp;"]"&amp;E984&amp;"'!"&amp;$AF$2))),INDIRECT("'["&amp;G984&amp;"]"&amp;E984&amp;"'!"&amp;$AF$3),0)</f>
        <v>#VALUE!</v>
      </c>
      <c r="U984" s="34" t="e" cm="1">
        <f t="array" aca="1" ref="U984" ca="1">IF(AND(G984=INDIRECT("'["&amp;G984&amp;"]"&amp;E984&amp;"'!"&amp;$AH$2),OR(I984=INDIRECT("'["&amp;G984&amp;"]"&amp;E984&amp;"'!"&amp;$AG$2))),INDIRECT("'["&amp;G984&amp;"]"&amp;E984&amp;"'!"&amp;$AG$3),0)</f>
        <v>#VALUE!</v>
      </c>
      <c r="V984" s="25" t="str">
        <f t="shared" si="257"/>
        <v/>
      </c>
      <c r="W984" s="36" t="e" cm="1">
        <f t="array" aca="1" ref="W984" ca="1">IF(AND(G984=INDIRECT("'["&amp;G984&amp;"]"&amp;E984&amp;"'!"&amp;$AH$2),OR(V984=INDIRECT("'["&amp;G984&amp;"]"&amp;E984&amp;"'!"&amp;$AI$2))),INDIRECT("'["&amp;G984&amp;"]"&amp;E984&amp;"'!"&amp;$AI$3),0)</f>
        <v>#VALUE!</v>
      </c>
      <c r="AJ984" s="25">
        <v>1</v>
      </c>
      <c r="AK984" s="38">
        <f t="shared" ca="1" si="258"/>
        <v>0</v>
      </c>
      <c r="AL984" s="38">
        <f t="shared" ca="1" si="259"/>
        <v>0</v>
      </c>
      <c r="AM984" s="54" t="str">
        <f t="shared" ca="1" si="260"/>
        <v/>
      </c>
      <c r="AN984" s="25" t="e">
        <f t="shared" ca="1" si="261"/>
        <v>#VALUE!</v>
      </c>
      <c r="AO984" s="25" t="e">
        <f t="shared" ca="1" si="262"/>
        <v>#VALUE!</v>
      </c>
      <c r="AQ984" s="46" t="str">
        <f ca="1">IF(AND(C984&lt;&gt;0, C985=0), SUM($C$2:C984)-SUM($AQ$1:AQ983), "")</f>
        <v/>
      </c>
      <c r="AR984" s="46" t="str">
        <f ca="1">IF(AND(AK984&lt;&gt;0, AK985=0), SUM($AK$2:AK984)-SUM($AR$1:AR983), "")</f>
        <v/>
      </c>
    </row>
    <row r="985" spans="2:44" ht="13.15" customHeight="1">
      <c r="B985" s="68" t="str">
        <f t="shared" si="248"/>
        <v/>
      </c>
      <c r="C985" s="55" cm="1">
        <f t="array" aca="1" ref="C985" ca="1">SUM(IF(ISNUMBER(M985:U985),M985:U985,""))</f>
        <v>0</v>
      </c>
      <c r="D985" s="25" t="str">
        <f t="shared" si="249"/>
        <v/>
      </c>
      <c r="E985" s="25" t="e">
        <f t="shared" si="250"/>
        <v>#VALUE!</v>
      </c>
      <c r="F985" s="25" t="str">
        <f t="shared" si="251"/>
        <v/>
      </c>
      <c r="G985" s="25" t="str">
        <f t="shared" si="252"/>
        <v>.xlsx</v>
      </c>
      <c r="H985" s="29" t="e" cm="1">
        <f t="array" aca="1" ref="H985" ca="1">IF(AND(VALUE(E985)=INDIRECT("'["&amp;G985&amp;"]"&amp;E985&amp;"'!"&amp;$X$2),G985=INDIRECT("'["&amp;G985&amp;"]"&amp;E985&amp;"'!"&amp;$X$3)),INDIRECT("'["&amp;G985&amp;"]"&amp;E985&amp;"'!"&amp;$X$1),0)</f>
        <v>#VALUE!</v>
      </c>
      <c r="I985" s="25" t="str">
        <f t="shared" si="253"/>
        <v/>
      </c>
      <c r="J985" s="32" t="str">
        <f t="shared" si="254"/>
        <v/>
      </c>
      <c r="K985" s="25" t="str">
        <f t="shared" si="255"/>
        <v/>
      </c>
      <c r="L985" s="25" t="str">
        <f t="shared" si="256"/>
        <v/>
      </c>
      <c r="M985" s="33" t="e" cm="1">
        <f t="array" aca="1" ref="M985" ca="1">IF(AND(J985=INDIRECT("'["&amp;G985&amp;"]"&amp;E985&amp;"'!"&amp;$Y$2),G985=INDIRECT("'["&amp;G985&amp;"]"&amp;E985&amp;"'!"&amp;$AH$2)),INDIRECT("'["&amp;G985&amp;"]"&amp;E985&amp;"'!"&amp;$Y$3),0)</f>
        <v>#VALUE!</v>
      </c>
      <c r="N985" s="34" t="e" cm="1">
        <f t="array" aca="1" ref="N985" ca="1">IF(AND(G985=INDIRECT("'["&amp;G985&amp;"]"&amp;E985&amp;"'!"&amp;$AH$2),OR(K985=INDIRECT("'["&amp;G985&amp;"]"&amp;E985&amp;"'!"&amp;$Z$2))),INDIRECT("'["&amp;G985&amp;"]"&amp;E985&amp;"'!"&amp;$Z$3),0)</f>
        <v>#VALUE!</v>
      </c>
      <c r="O985" s="34" t="e" cm="1">
        <f t="array" aca="1" ref="O985" ca="1">IF(AND(G985=INDIRECT("'["&amp;G985&amp;"]"&amp;E985&amp;"'!"&amp;$AH$2),OR(L985=INDIRECT("'["&amp;G985&amp;"]"&amp;E985&amp;"'!"&amp;$AA$2))),INDIRECT("'["&amp;G985&amp;"]"&amp;E985&amp;"'!"&amp;$AA$3),0)</f>
        <v>#VALUE!</v>
      </c>
      <c r="P985" s="34" t="e" cm="1">
        <f t="array" aca="1" ref="P985" ca="1">IF(AND(G985=INDIRECT("'["&amp;G985&amp;"]"&amp;E985&amp;"'!"&amp;$AH$2),OR(VALUE(I985)=INDIRECT("'["&amp;G985&amp;"]"&amp;E985&amp;"'!"&amp;$AB$2))),INDIRECT("'["&amp;G985&amp;"]"&amp;E985&amp;"'!"&amp;$AB$3),0)</f>
        <v>#VALUE!</v>
      </c>
      <c r="Q985" s="34" t="e" cm="1">
        <f t="array" aca="1" ref="Q985" ca="1">IF(AND(G985=INDIRECT("'["&amp;G985&amp;"]"&amp;E985&amp;"'!"&amp;$AH$2),OR(VALUE(I985)=INDIRECT("'["&amp;G985&amp;"]"&amp;E985&amp;"'!"&amp;$AC$2))),INDIRECT("'["&amp;G985&amp;"]"&amp;E985&amp;"'!"&amp;$AC$3),0)</f>
        <v>#VALUE!</v>
      </c>
      <c r="R985" s="34" t="e" cm="1">
        <f t="array" aca="1" ref="R985" ca="1">IF(AND(G985=INDIRECT("'["&amp;G985&amp;"]"&amp;E985&amp;"'!"&amp;$AH$2),OR(I985=INDIRECT("'["&amp;G985&amp;"]"&amp;E985&amp;"'!"&amp;$AD$2))),INDIRECT("'["&amp;G985&amp;"]"&amp;E985&amp;"'!"&amp;$AD$3),0)</f>
        <v>#VALUE!</v>
      </c>
      <c r="S985" s="34" t="e" cm="1">
        <f t="array" aca="1" ref="S985" ca="1">IF(AND(G985=INDIRECT("'["&amp;G985&amp;"]"&amp;E985&amp;"'!"&amp;$AH$2),OR(I985=INDIRECT("'["&amp;G985&amp;"]"&amp;E985&amp;"'!"&amp;$AE$2))),INDIRECT("'["&amp;G985&amp;"]"&amp;E985&amp;"'!"&amp;$AE$3),0)</f>
        <v>#VALUE!</v>
      </c>
      <c r="T985" s="35" t="e" cm="1">
        <f t="array" aca="1" ref="T985" ca="1">IF(AND(G985=INDIRECT("'["&amp;G985&amp;"]"&amp;E985&amp;"'!"&amp;$AH$2),OR(I985=INDIRECT("'["&amp;G985&amp;"]"&amp;E985&amp;"'!"&amp;$AF$2))),INDIRECT("'["&amp;G985&amp;"]"&amp;E985&amp;"'!"&amp;$AF$3),0)</f>
        <v>#VALUE!</v>
      </c>
      <c r="U985" s="34" t="e" cm="1">
        <f t="array" aca="1" ref="U985" ca="1">IF(AND(G985=INDIRECT("'["&amp;G985&amp;"]"&amp;E985&amp;"'!"&amp;$AH$2),OR(I985=INDIRECT("'["&amp;G985&amp;"]"&amp;E985&amp;"'!"&amp;$AG$2))),INDIRECT("'["&amp;G985&amp;"]"&amp;E985&amp;"'!"&amp;$AG$3),0)</f>
        <v>#VALUE!</v>
      </c>
      <c r="V985" s="25" t="str">
        <f t="shared" si="257"/>
        <v/>
      </c>
      <c r="W985" s="36" t="e" cm="1">
        <f t="array" aca="1" ref="W985" ca="1">IF(AND(G985=INDIRECT("'["&amp;G985&amp;"]"&amp;E985&amp;"'!"&amp;$AH$2),OR(V985=INDIRECT("'["&amp;G985&amp;"]"&amp;E985&amp;"'!"&amp;$AI$2))),INDIRECT("'["&amp;G985&amp;"]"&amp;E985&amp;"'!"&amp;$AI$3),0)</f>
        <v>#VALUE!</v>
      </c>
      <c r="AJ985" s="25">
        <v>1</v>
      </c>
      <c r="AK985" s="38">
        <f t="shared" ca="1" si="258"/>
        <v>0</v>
      </c>
      <c r="AL985" s="38">
        <f t="shared" ca="1" si="259"/>
        <v>0</v>
      </c>
      <c r="AM985" s="54" t="str">
        <f t="shared" ca="1" si="260"/>
        <v/>
      </c>
      <c r="AN985" s="25" t="e">
        <f t="shared" ca="1" si="261"/>
        <v>#VALUE!</v>
      </c>
      <c r="AO985" s="25" t="e">
        <f t="shared" ca="1" si="262"/>
        <v>#VALUE!</v>
      </c>
      <c r="AQ985" s="46" t="str">
        <f ca="1">IF(AND(C985&lt;&gt;0, C986=0), SUM($C$2:C985)-SUM($AQ$1:AQ984), "")</f>
        <v/>
      </c>
      <c r="AR985" s="46" t="str">
        <f ca="1">IF(AND(AK985&lt;&gt;0, AK986=0), SUM($AK$2:AK985)-SUM($AR$1:AR984), "")</f>
        <v/>
      </c>
    </row>
    <row r="986" spans="2:44" ht="13.15" customHeight="1">
      <c r="B986" s="68" t="str">
        <f t="shared" si="248"/>
        <v/>
      </c>
      <c r="C986" s="55" cm="1">
        <f t="array" aca="1" ref="C986" ca="1">SUM(IF(ISNUMBER(M986:U986),M986:U986,""))</f>
        <v>0</v>
      </c>
      <c r="D986" s="25" t="str">
        <f t="shared" si="249"/>
        <v/>
      </c>
      <c r="E986" s="25" t="e">
        <f t="shared" si="250"/>
        <v>#VALUE!</v>
      </c>
      <c r="F986" s="25" t="str">
        <f t="shared" si="251"/>
        <v/>
      </c>
      <c r="G986" s="25" t="str">
        <f t="shared" si="252"/>
        <v>.xlsx</v>
      </c>
      <c r="H986" s="29" t="e" cm="1">
        <f t="array" aca="1" ref="H986" ca="1">IF(AND(VALUE(E986)=INDIRECT("'["&amp;G986&amp;"]"&amp;E986&amp;"'!"&amp;$X$2),G986=INDIRECT("'["&amp;G986&amp;"]"&amp;E986&amp;"'!"&amp;$X$3)),INDIRECT("'["&amp;G986&amp;"]"&amp;E986&amp;"'!"&amp;$X$1),0)</f>
        <v>#VALUE!</v>
      </c>
      <c r="I986" s="25" t="str">
        <f t="shared" si="253"/>
        <v/>
      </c>
      <c r="J986" s="32" t="str">
        <f t="shared" si="254"/>
        <v/>
      </c>
      <c r="K986" s="25" t="str">
        <f t="shared" si="255"/>
        <v/>
      </c>
      <c r="L986" s="25" t="str">
        <f t="shared" si="256"/>
        <v/>
      </c>
      <c r="M986" s="33" t="e" cm="1">
        <f t="array" aca="1" ref="M986" ca="1">IF(AND(J986=INDIRECT("'["&amp;G986&amp;"]"&amp;E986&amp;"'!"&amp;$Y$2),G986=INDIRECT("'["&amp;G986&amp;"]"&amp;E986&amp;"'!"&amp;$AH$2)),INDIRECT("'["&amp;G986&amp;"]"&amp;E986&amp;"'!"&amp;$Y$3),0)</f>
        <v>#VALUE!</v>
      </c>
      <c r="N986" s="34" t="e" cm="1">
        <f t="array" aca="1" ref="N986" ca="1">IF(AND(G986=INDIRECT("'["&amp;G986&amp;"]"&amp;E986&amp;"'!"&amp;$AH$2),OR(K986=INDIRECT("'["&amp;G986&amp;"]"&amp;E986&amp;"'!"&amp;$Z$2))),INDIRECT("'["&amp;G986&amp;"]"&amp;E986&amp;"'!"&amp;$Z$3),0)</f>
        <v>#VALUE!</v>
      </c>
      <c r="O986" s="34" t="e" cm="1">
        <f t="array" aca="1" ref="O986" ca="1">IF(AND(G986=INDIRECT("'["&amp;G986&amp;"]"&amp;E986&amp;"'!"&amp;$AH$2),OR(L986=INDIRECT("'["&amp;G986&amp;"]"&amp;E986&amp;"'!"&amp;$AA$2))),INDIRECT("'["&amp;G986&amp;"]"&amp;E986&amp;"'!"&amp;$AA$3),0)</f>
        <v>#VALUE!</v>
      </c>
      <c r="P986" s="34" t="e" cm="1">
        <f t="array" aca="1" ref="P986" ca="1">IF(AND(G986=INDIRECT("'["&amp;G986&amp;"]"&amp;E986&amp;"'!"&amp;$AH$2),OR(VALUE(I986)=INDIRECT("'["&amp;G986&amp;"]"&amp;E986&amp;"'!"&amp;$AB$2))),INDIRECT("'["&amp;G986&amp;"]"&amp;E986&amp;"'!"&amp;$AB$3),0)</f>
        <v>#VALUE!</v>
      </c>
      <c r="Q986" s="34" t="e" cm="1">
        <f t="array" aca="1" ref="Q986" ca="1">IF(AND(G986=INDIRECT("'["&amp;G986&amp;"]"&amp;E986&amp;"'!"&amp;$AH$2),OR(VALUE(I986)=INDIRECT("'["&amp;G986&amp;"]"&amp;E986&amp;"'!"&amp;$AC$2))),INDIRECT("'["&amp;G986&amp;"]"&amp;E986&amp;"'!"&amp;$AC$3),0)</f>
        <v>#VALUE!</v>
      </c>
      <c r="R986" s="34" t="e" cm="1">
        <f t="array" aca="1" ref="R986" ca="1">IF(AND(G986=INDIRECT("'["&amp;G986&amp;"]"&amp;E986&amp;"'!"&amp;$AH$2),OR(I986=INDIRECT("'["&amp;G986&amp;"]"&amp;E986&amp;"'!"&amp;$AD$2))),INDIRECT("'["&amp;G986&amp;"]"&amp;E986&amp;"'!"&amp;$AD$3),0)</f>
        <v>#VALUE!</v>
      </c>
      <c r="S986" s="34" t="e" cm="1">
        <f t="array" aca="1" ref="S986" ca="1">IF(AND(G986=INDIRECT("'["&amp;G986&amp;"]"&amp;E986&amp;"'!"&amp;$AH$2),OR(I986=INDIRECT("'["&amp;G986&amp;"]"&amp;E986&amp;"'!"&amp;$AE$2))),INDIRECT("'["&amp;G986&amp;"]"&amp;E986&amp;"'!"&amp;$AE$3),0)</f>
        <v>#VALUE!</v>
      </c>
      <c r="T986" s="35" t="e" cm="1">
        <f t="array" aca="1" ref="T986" ca="1">IF(AND(G986=INDIRECT("'["&amp;G986&amp;"]"&amp;E986&amp;"'!"&amp;$AH$2),OR(I986=INDIRECT("'["&amp;G986&amp;"]"&amp;E986&amp;"'!"&amp;$AF$2))),INDIRECT("'["&amp;G986&amp;"]"&amp;E986&amp;"'!"&amp;$AF$3),0)</f>
        <v>#VALUE!</v>
      </c>
      <c r="U986" s="34" t="e" cm="1">
        <f t="array" aca="1" ref="U986" ca="1">IF(AND(G986=INDIRECT("'["&amp;G986&amp;"]"&amp;E986&amp;"'!"&amp;$AH$2),OR(I986=INDIRECT("'["&amp;G986&amp;"]"&amp;E986&amp;"'!"&amp;$AG$2))),INDIRECT("'["&amp;G986&amp;"]"&amp;E986&amp;"'!"&amp;$AG$3),0)</f>
        <v>#VALUE!</v>
      </c>
      <c r="V986" s="25" t="str">
        <f t="shared" si="257"/>
        <v/>
      </c>
      <c r="W986" s="36" t="e" cm="1">
        <f t="array" aca="1" ref="W986" ca="1">IF(AND(G986=INDIRECT("'["&amp;G986&amp;"]"&amp;E986&amp;"'!"&amp;$AH$2),OR(V986=INDIRECT("'["&amp;G986&amp;"]"&amp;E986&amp;"'!"&amp;$AI$2))),INDIRECT("'["&amp;G986&amp;"]"&amp;E986&amp;"'!"&amp;$AI$3),0)</f>
        <v>#VALUE!</v>
      </c>
      <c r="AJ986" s="25">
        <v>1</v>
      </c>
      <c r="AK986" s="38">
        <f t="shared" ca="1" si="258"/>
        <v>0</v>
      </c>
      <c r="AL986" s="38">
        <f t="shared" ca="1" si="259"/>
        <v>0</v>
      </c>
      <c r="AM986" s="54" t="str">
        <f t="shared" ca="1" si="260"/>
        <v/>
      </c>
      <c r="AN986" s="25" t="e">
        <f t="shared" ca="1" si="261"/>
        <v>#VALUE!</v>
      </c>
      <c r="AO986" s="25" t="e">
        <f t="shared" ca="1" si="262"/>
        <v>#VALUE!</v>
      </c>
      <c r="AQ986" s="46" t="str">
        <f ca="1">IF(AND(C986&lt;&gt;0, C987=0), SUM($C$2:C986)-SUM($AQ$1:AQ985), "")</f>
        <v/>
      </c>
      <c r="AR986" s="46" t="str">
        <f ca="1">IF(AND(AK986&lt;&gt;0, AK987=0), SUM($AK$2:AK986)-SUM($AR$1:AR985), "")</f>
        <v/>
      </c>
    </row>
    <row r="987" spans="2:44" ht="13.15" customHeight="1">
      <c r="B987" s="68" t="str">
        <f t="shared" si="248"/>
        <v/>
      </c>
      <c r="C987" s="55" cm="1">
        <f t="array" aca="1" ref="C987" ca="1">SUM(IF(ISNUMBER(M987:U987),M987:U987,""))</f>
        <v>0</v>
      </c>
      <c r="D987" s="25" t="str">
        <f t="shared" si="249"/>
        <v/>
      </c>
      <c r="E987" s="25" t="e">
        <f t="shared" si="250"/>
        <v>#VALUE!</v>
      </c>
      <c r="F987" s="25" t="str">
        <f t="shared" si="251"/>
        <v/>
      </c>
      <c r="G987" s="25" t="str">
        <f t="shared" si="252"/>
        <v>.xlsx</v>
      </c>
      <c r="H987" s="29" t="e" cm="1">
        <f t="array" aca="1" ref="H987" ca="1">IF(AND(VALUE(E987)=INDIRECT("'["&amp;G987&amp;"]"&amp;E987&amp;"'!"&amp;$X$2),G987=INDIRECT("'["&amp;G987&amp;"]"&amp;E987&amp;"'!"&amp;$X$3)),INDIRECT("'["&amp;G987&amp;"]"&amp;E987&amp;"'!"&amp;$X$1),0)</f>
        <v>#VALUE!</v>
      </c>
      <c r="I987" s="25" t="str">
        <f t="shared" si="253"/>
        <v/>
      </c>
      <c r="J987" s="32" t="str">
        <f t="shared" si="254"/>
        <v/>
      </c>
      <c r="K987" s="25" t="str">
        <f t="shared" si="255"/>
        <v/>
      </c>
      <c r="L987" s="25" t="str">
        <f t="shared" si="256"/>
        <v/>
      </c>
      <c r="M987" s="33" t="e" cm="1">
        <f t="array" aca="1" ref="M987" ca="1">IF(AND(J987=INDIRECT("'["&amp;G987&amp;"]"&amp;E987&amp;"'!"&amp;$Y$2),G987=INDIRECT("'["&amp;G987&amp;"]"&amp;E987&amp;"'!"&amp;$AH$2)),INDIRECT("'["&amp;G987&amp;"]"&amp;E987&amp;"'!"&amp;$Y$3),0)</f>
        <v>#VALUE!</v>
      </c>
      <c r="N987" s="34" t="e" cm="1">
        <f t="array" aca="1" ref="N987" ca="1">IF(AND(G987=INDIRECT("'["&amp;G987&amp;"]"&amp;E987&amp;"'!"&amp;$AH$2),OR(K987=INDIRECT("'["&amp;G987&amp;"]"&amp;E987&amp;"'!"&amp;$Z$2))),INDIRECT("'["&amp;G987&amp;"]"&amp;E987&amp;"'!"&amp;$Z$3),0)</f>
        <v>#VALUE!</v>
      </c>
      <c r="O987" s="34" t="e" cm="1">
        <f t="array" aca="1" ref="O987" ca="1">IF(AND(G987=INDIRECT("'["&amp;G987&amp;"]"&amp;E987&amp;"'!"&amp;$AH$2),OR(L987=INDIRECT("'["&amp;G987&amp;"]"&amp;E987&amp;"'!"&amp;$AA$2))),INDIRECT("'["&amp;G987&amp;"]"&amp;E987&amp;"'!"&amp;$AA$3),0)</f>
        <v>#VALUE!</v>
      </c>
      <c r="P987" s="34" t="e" cm="1">
        <f t="array" aca="1" ref="P987" ca="1">IF(AND(G987=INDIRECT("'["&amp;G987&amp;"]"&amp;E987&amp;"'!"&amp;$AH$2),OR(VALUE(I987)=INDIRECT("'["&amp;G987&amp;"]"&amp;E987&amp;"'!"&amp;$AB$2))),INDIRECT("'["&amp;G987&amp;"]"&amp;E987&amp;"'!"&amp;$AB$3),0)</f>
        <v>#VALUE!</v>
      </c>
      <c r="Q987" s="34" t="e" cm="1">
        <f t="array" aca="1" ref="Q987" ca="1">IF(AND(G987=INDIRECT("'["&amp;G987&amp;"]"&amp;E987&amp;"'!"&amp;$AH$2),OR(VALUE(I987)=INDIRECT("'["&amp;G987&amp;"]"&amp;E987&amp;"'!"&amp;$AC$2))),INDIRECT("'["&amp;G987&amp;"]"&amp;E987&amp;"'!"&amp;$AC$3),0)</f>
        <v>#VALUE!</v>
      </c>
      <c r="R987" s="34" t="e" cm="1">
        <f t="array" aca="1" ref="R987" ca="1">IF(AND(G987=INDIRECT("'["&amp;G987&amp;"]"&amp;E987&amp;"'!"&amp;$AH$2),OR(I987=INDIRECT("'["&amp;G987&amp;"]"&amp;E987&amp;"'!"&amp;$AD$2))),INDIRECT("'["&amp;G987&amp;"]"&amp;E987&amp;"'!"&amp;$AD$3),0)</f>
        <v>#VALUE!</v>
      </c>
      <c r="S987" s="34" t="e" cm="1">
        <f t="array" aca="1" ref="S987" ca="1">IF(AND(G987=INDIRECT("'["&amp;G987&amp;"]"&amp;E987&amp;"'!"&amp;$AH$2),OR(I987=INDIRECT("'["&amp;G987&amp;"]"&amp;E987&amp;"'!"&amp;$AE$2))),INDIRECT("'["&amp;G987&amp;"]"&amp;E987&amp;"'!"&amp;$AE$3),0)</f>
        <v>#VALUE!</v>
      </c>
      <c r="T987" s="35" t="e" cm="1">
        <f t="array" aca="1" ref="T987" ca="1">IF(AND(G987=INDIRECT("'["&amp;G987&amp;"]"&amp;E987&amp;"'!"&amp;$AH$2),OR(I987=INDIRECT("'["&amp;G987&amp;"]"&amp;E987&amp;"'!"&amp;$AF$2))),INDIRECT("'["&amp;G987&amp;"]"&amp;E987&amp;"'!"&amp;$AF$3),0)</f>
        <v>#VALUE!</v>
      </c>
      <c r="U987" s="34" t="e" cm="1">
        <f t="array" aca="1" ref="U987" ca="1">IF(AND(G987=INDIRECT("'["&amp;G987&amp;"]"&amp;E987&amp;"'!"&amp;$AH$2),OR(I987=INDIRECT("'["&amp;G987&amp;"]"&amp;E987&amp;"'!"&amp;$AG$2))),INDIRECT("'["&amp;G987&amp;"]"&amp;E987&amp;"'!"&amp;$AG$3),0)</f>
        <v>#VALUE!</v>
      </c>
      <c r="V987" s="25" t="str">
        <f t="shared" si="257"/>
        <v/>
      </c>
      <c r="W987" s="36" t="e" cm="1">
        <f t="array" aca="1" ref="W987" ca="1">IF(AND(G987=INDIRECT("'["&amp;G987&amp;"]"&amp;E987&amp;"'!"&amp;$AH$2),OR(V987=INDIRECT("'["&amp;G987&amp;"]"&amp;E987&amp;"'!"&amp;$AI$2))),INDIRECT("'["&amp;G987&amp;"]"&amp;E987&amp;"'!"&amp;$AI$3),0)</f>
        <v>#VALUE!</v>
      </c>
      <c r="AJ987" s="25">
        <v>1</v>
      </c>
      <c r="AK987" s="38">
        <f t="shared" ca="1" si="258"/>
        <v>0</v>
      </c>
      <c r="AL987" s="38">
        <f t="shared" ca="1" si="259"/>
        <v>0</v>
      </c>
      <c r="AM987" s="54" t="str">
        <f t="shared" ca="1" si="260"/>
        <v/>
      </c>
      <c r="AN987" s="25" t="e">
        <f t="shared" ca="1" si="261"/>
        <v>#VALUE!</v>
      </c>
      <c r="AO987" s="25" t="e">
        <f t="shared" ca="1" si="262"/>
        <v>#VALUE!</v>
      </c>
      <c r="AQ987" s="46" t="str">
        <f ca="1">IF(AND(C987&lt;&gt;0, C988=0), SUM($C$2:C987)-SUM($AQ$1:AQ986), "")</f>
        <v/>
      </c>
      <c r="AR987" s="46" t="str">
        <f ca="1">IF(AND(AK987&lt;&gt;0, AK988=0), SUM($AK$2:AK987)-SUM($AR$1:AR986), "")</f>
        <v/>
      </c>
    </row>
    <row r="988" spans="2:44" ht="13.15" customHeight="1">
      <c r="B988" s="68" t="str">
        <f t="shared" si="248"/>
        <v/>
      </c>
      <c r="C988" s="55" cm="1">
        <f t="array" aca="1" ref="C988" ca="1">SUM(IF(ISNUMBER(M988:U988),M988:U988,""))</f>
        <v>0</v>
      </c>
      <c r="D988" s="25" t="str">
        <f t="shared" si="249"/>
        <v/>
      </c>
      <c r="E988" s="25" t="e">
        <f t="shared" si="250"/>
        <v>#VALUE!</v>
      </c>
      <c r="F988" s="25" t="str">
        <f t="shared" si="251"/>
        <v/>
      </c>
      <c r="G988" s="25" t="str">
        <f t="shared" si="252"/>
        <v>.xlsx</v>
      </c>
      <c r="H988" s="29" t="e" cm="1">
        <f t="array" aca="1" ref="H988" ca="1">IF(AND(VALUE(E988)=INDIRECT("'["&amp;G988&amp;"]"&amp;E988&amp;"'!"&amp;$X$2),G988=INDIRECT("'["&amp;G988&amp;"]"&amp;E988&amp;"'!"&amp;$X$3)),INDIRECT("'["&amp;G988&amp;"]"&amp;E988&amp;"'!"&amp;$X$1),0)</f>
        <v>#VALUE!</v>
      </c>
      <c r="I988" s="25" t="str">
        <f t="shared" si="253"/>
        <v/>
      </c>
      <c r="J988" s="32" t="str">
        <f t="shared" si="254"/>
        <v/>
      </c>
      <c r="K988" s="25" t="str">
        <f t="shared" si="255"/>
        <v/>
      </c>
      <c r="L988" s="25" t="str">
        <f t="shared" si="256"/>
        <v/>
      </c>
      <c r="M988" s="33" t="e" cm="1">
        <f t="array" aca="1" ref="M988" ca="1">IF(AND(J988=INDIRECT("'["&amp;G988&amp;"]"&amp;E988&amp;"'!"&amp;$Y$2),G988=INDIRECT("'["&amp;G988&amp;"]"&amp;E988&amp;"'!"&amp;$AH$2)),INDIRECT("'["&amp;G988&amp;"]"&amp;E988&amp;"'!"&amp;$Y$3),0)</f>
        <v>#VALUE!</v>
      </c>
      <c r="N988" s="34" t="e" cm="1">
        <f t="array" aca="1" ref="N988" ca="1">IF(AND(G988=INDIRECT("'["&amp;G988&amp;"]"&amp;E988&amp;"'!"&amp;$AH$2),OR(K988=INDIRECT("'["&amp;G988&amp;"]"&amp;E988&amp;"'!"&amp;$Z$2))),INDIRECT("'["&amp;G988&amp;"]"&amp;E988&amp;"'!"&amp;$Z$3),0)</f>
        <v>#VALUE!</v>
      </c>
      <c r="O988" s="34" t="e" cm="1">
        <f t="array" aca="1" ref="O988" ca="1">IF(AND(G988=INDIRECT("'["&amp;G988&amp;"]"&amp;E988&amp;"'!"&amp;$AH$2),OR(L988=INDIRECT("'["&amp;G988&amp;"]"&amp;E988&amp;"'!"&amp;$AA$2))),INDIRECT("'["&amp;G988&amp;"]"&amp;E988&amp;"'!"&amp;$AA$3),0)</f>
        <v>#VALUE!</v>
      </c>
      <c r="P988" s="34" t="e" cm="1">
        <f t="array" aca="1" ref="P988" ca="1">IF(AND(G988=INDIRECT("'["&amp;G988&amp;"]"&amp;E988&amp;"'!"&amp;$AH$2),OR(VALUE(I988)=INDIRECT("'["&amp;G988&amp;"]"&amp;E988&amp;"'!"&amp;$AB$2))),INDIRECT("'["&amp;G988&amp;"]"&amp;E988&amp;"'!"&amp;$AB$3),0)</f>
        <v>#VALUE!</v>
      </c>
      <c r="Q988" s="34" t="e" cm="1">
        <f t="array" aca="1" ref="Q988" ca="1">IF(AND(G988=INDIRECT("'["&amp;G988&amp;"]"&amp;E988&amp;"'!"&amp;$AH$2),OR(VALUE(I988)=INDIRECT("'["&amp;G988&amp;"]"&amp;E988&amp;"'!"&amp;$AC$2))),INDIRECT("'["&amp;G988&amp;"]"&amp;E988&amp;"'!"&amp;$AC$3),0)</f>
        <v>#VALUE!</v>
      </c>
      <c r="R988" s="34" t="e" cm="1">
        <f t="array" aca="1" ref="R988" ca="1">IF(AND(G988=INDIRECT("'["&amp;G988&amp;"]"&amp;E988&amp;"'!"&amp;$AH$2),OR(I988=INDIRECT("'["&amp;G988&amp;"]"&amp;E988&amp;"'!"&amp;$AD$2))),INDIRECT("'["&amp;G988&amp;"]"&amp;E988&amp;"'!"&amp;$AD$3),0)</f>
        <v>#VALUE!</v>
      </c>
      <c r="S988" s="34" t="e" cm="1">
        <f t="array" aca="1" ref="S988" ca="1">IF(AND(G988=INDIRECT("'["&amp;G988&amp;"]"&amp;E988&amp;"'!"&amp;$AH$2),OR(I988=INDIRECT("'["&amp;G988&amp;"]"&amp;E988&amp;"'!"&amp;$AE$2))),INDIRECT("'["&amp;G988&amp;"]"&amp;E988&amp;"'!"&amp;$AE$3),0)</f>
        <v>#VALUE!</v>
      </c>
      <c r="T988" s="35" t="e" cm="1">
        <f t="array" aca="1" ref="T988" ca="1">IF(AND(G988=INDIRECT("'["&amp;G988&amp;"]"&amp;E988&amp;"'!"&amp;$AH$2),OR(I988=INDIRECT("'["&amp;G988&amp;"]"&amp;E988&amp;"'!"&amp;$AF$2))),INDIRECT("'["&amp;G988&amp;"]"&amp;E988&amp;"'!"&amp;$AF$3),0)</f>
        <v>#VALUE!</v>
      </c>
      <c r="U988" s="34" t="e" cm="1">
        <f t="array" aca="1" ref="U988" ca="1">IF(AND(G988=INDIRECT("'["&amp;G988&amp;"]"&amp;E988&amp;"'!"&amp;$AH$2),OR(I988=INDIRECT("'["&amp;G988&amp;"]"&amp;E988&amp;"'!"&amp;$AG$2))),INDIRECT("'["&amp;G988&amp;"]"&amp;E988&amp;"'!"&amp;$AG$3),0)</f>
        <v>#VALUE!</v>
      </c>
      <c r="V988" s="25" t="str">
        <f t="shared" si="257"/>
        <v/>
      </c>
      <c r="W988" s="36" t="e" cm="1">
        <f t="array" aca="1" ref="W988" ca="1">IF(AND(G988=INDIRECT("'["&amp;G988&amp;"]"&amp;E988&amp;"'!"&amp;$AH$2),OR(V988=INDIRECT("'["&amp;G988&amp;"]"&amp;E988&amp;"'!"&amp;$AI$2))),INDIRECT("'["&amp;G988&amp;"]"&amp;E988&amp;"'!"&amp;$AI$3),0)</f>
        <v>#VALUE!</v>
      </c>
      <c r="AJ988" s="25">
        <v>1</v>
      </c>
      <c r="AK988" s="38">
        <f t="shared" ca="1" si="258"/>
        <v>0</v>
      </c>
      <c r="AL988" s="38">
        <f t="shared" ca="1" si="259"/>
        <v>0</v>
      </c>
      <c r="AM988" s="54" t="str">
        <f t="shared" ca="1" si="260"/>
        <v/>
      </c>
      <c r="AN988" s="25" t="e">
        <f t="shared" ca="1" si="261"/>
        <v>#VALUE!</v>
      </c>
      <c r="AO988" s="25" t="e">
        <f t="shared" ca="1" si="262"/>
        <v>#VALUE!</v>
      </c>
      <c r="AQ988" s="46" t="str">
        <f ca="1">IF(AND(C988&lt;&gt;0, C989=0), SUM($C$2:C988)-SUM($AQ$1:AQ987), "")</f>
        <v/>
      </c>
      <c r="AR988" s="46" t="str">
        <f ca="1">IF(AND(AK988&lt;&gt;0, AK989=0), SUM($AK$2:AK988)-SUM($AR$1:AR987), "")</f>
        <v/>
      </c>
    </row>
    <row r="989" spans="2:44" ht="13.15" customHeight="1">
      <c r="B989" s="68" t="str">
        <f t="shared" si="248"/>
        <v/>
      </c>
      <c r="C989" s="55" cm="1">
        <f t="array" aca="1" ref="C989" ca="1">SUM(IF(ISNUMBER(M989:U989),M989:U989,""))</f>
        <v>0</v>
      </c>
      <c r="D989" s="25" t="str">
        <f t="shared" si="249"/>
        <v/>
      </c>
      <c r="E989" s="25" t="e">
        <f t="shared" si="250"/>
        <v>#VALUE!</v>
      </c>
      <c r="F989" s="25" t="str">
        <f t="shared" si="251"/>
        <v/>
      </c>
      <c r="G989" s="25" t="str">
        <f t="shared" si="252"/>
        <v>.xlsx</v>
      </c>
      <c r="H989" s="29" t="e" cm="1">
        <f t="array" aca="1" ref="H989" ca="1">IF(AND(VALUE(E989)=INDIRECT("'["&amp;G989&amp;"]"&amp;E989&amp;"'!"&amp;$X$2),G989=INDIRECT("'["&amp;G989&amp;"]"&amp;E989&amp;"'!"&amp;$X$3)),INDIRECT("'["&amp;G989&amp;"]"&amp;E989&amp;"'!"&amp;$X$1),0)</f>
        <v>#VALUE!</v>
      </c>
      <c r="I989" s="25" t="str">
        <f t="shared" si="253"/>
        <v/>
      </c>
      <c r="J989" s="32" t="str">
        <f t="shared" si="254"/>
        <v/>
      </c>
      <c r="K989" s="25" t="str">
        <f t="shared" si="255"/>
        <v/>
      </c>
      <c r="L989" s="25" t="str">
        <f t="shared" si="256"/>
        <v/>
      </c>
      <c r="M989" s="33" t="e" cm="1">
        <f t="array" aca="1" ref="M989" ca="1">IF(AND(J989=INDIRECT("'["&amp;G989&amp;"]"&amp;E989&amp;"'!"&amp;$Y$2),G989=INDIRECT("'["&amp;G989&amp;"]"&amp;E989&amp;"'!"&amp;$AH$2)),INDIRECT("'["&amp;G989&amp;"]"&amp;E989&amp;"'!"&amp;$Y$3),0)</f>
        <v>#VALUE!</v>
      </c>
      <c r="N989" s="34" t="e" cm="1">
        <f t="array" aca="1" ref="N989" ca="1">IF(AND(G989=INDIRECT("'["&amp;G989&amp;"]"&amp;E989&amp;"'!"&amp;$AH$2),OR(K989=INDIRECT("'["&amp;G989&amp;"]"&amp;E989&amp;"'!"&amp;$Z$2))),INDIRECT("'["&amp;G989&amp;"]"&amp;E989&amp;"'!"&amp;$Z$3),0)</f>
        <v>#VALUE!</v>
      </c>
      <c r="O989" s="34" t="e" cm="1">
        <f t="array" aca="1" ref="O989" ca="1">IF(AND(G989=INDIRECT("'["&amp;G989&amp;"]"&amp;E989&amp;"'!"&amp;$AH$2),OR(L989=INDIRECT("'["&amp;G989&amp;"]"&amp;E989&amp;"'!"&amp;$AA$2))),INDIRECT("'["&amp;G989&amp;"]"&amp;E989&amp;"'!"&amp;$AA$3),0)</f>
        <v>#VALUE!</v>
      </c>
      <c r="P989" s="34" t="e" cm="1">
        <f t="array" aca="1" ref="P989" ca="1">IF(AND(G989=INDIRECT("'["&amp;G989&amp;"]"&amp;E989&amp;"'!"&amp;$AH$2),OR(VALUE(I989)=INDIRECT("'["&amp;G989&amp;"]"&amp;E989&amp;"'!"&amp;$AB$2))),INDIRECT("'["&amp;G989&amp;"]"&amp;E989&amp;"'!"&amp;$AB$3),0)</f>
        <v>#VALUE!</v>
      </c>
      <c r="Q989" s="34" t="e" cm="1">
        <f t="array" aca="1" ref="Q989" ca="1">IF(AND(G989=INDIRECT("'["&amp;G989&amp;"]"&amp;E989&amp;"'!"&amp;$AH$2),OR(VALUE(I989)=INDIRECT("'["&amp;G989&amp;"]"&amp;E989&amp;"'!"&amp;$AC$2))),INDIRECT("'["&amp;G989&amp;"]"&amp;E989&amp;"'!"&amp;$AC$3),0)</f>
        <v>#VALUE!</v>
      </c>
      <c r="R989" s="34" t="e" cm="1">
        <f t="array" aca="1" ref="R989" ca="1">IF(AND(G989=INDIRECT("'["&amp;G989&amp;"]"&amp;E989&amp;"'!"&amp;$AH$2),OR(I989=INDIRECT("'["&amp;G989&amp;"]"&amp;E989&amp;"'!"&amp;$AD$2))),INDIRECT("'["&amp;G989&amp;"]"&amp;E989&amp;"'!"&amp;$AD$3),0)</f>
        <v>#VALUE!</v>
      </c>
      <c r="S989" s="34" t="e" cm="1">
        <f t="array" aca="1" ref="S989" ca="1">IF(AND(G989=INDIRECT("'["&amp;G989&amp;"]"&amp;E989&amp;"'!"&amp;$AH$2),OR(I989=INDIRECT("'["&amp;G989&amp;"]"&amp;E989&amp;"'!"&amp;$AE$2))),INDIRECT("'["&amp;G989&amp;"]"&amp;E989&amp;"'!"&amp;$AE$3),0)</f>
        <v>#VALUE!</v>
      </c>
      <c r="T989" s="35" t="e" cm="1">
        <f t="array" aca="1" ref="T989" ca="1">IF(AND(G989=INDIRECT("'["&amp;G989&amp;"]"&amp;E989&amp;"'!"&amp;$AH$2),OR(I989=INDIRECT("'["&amp;G989&amp;"]"&amp;E989&amp;"'!"&amp;$AF$2))),INDIRECT("'["&amp;G989&amp;"]"&amp;E989&amp;"'!"&amp;$AF$3),0)</f>
        <v>#VALUE!</v>
      </c>
      <c r="U989" s="34" t="e" cm="1">
        <f t="array" aca="1" ref="U989" ca="1">IF(AND(G989=INDIRECT("'["&amp;G989&amp;"]"&amp;E989&amp;"'!"&amp;$AH$2),OR(I989=INDIRECT("'["&amp;G989&amp;"]"&amp;E989&amp;"'!"&amp;$AG$2))),INDIRECT("'["&amp;G989&amp;"]"&amp;E989&amp;"'!"&amp;$AG$3),0)</f>
        <v>#VALUE!</v>
      </c>
      <c r="V989" s="25" t="str">
        <f t="shared" si="257"/>
        <v/>
      </c>
      <c r="W989" s="36" t="e" cm="1">
        <f t="array" aca="1" ref="W989" ca="1">IF(AND(G989=INDIRECT("'["&amp;G989&amp;"]"&amp;E989&amp;"'!"&amp;$AH$2),OR(V989=INDIRECT("'["&amp;G989&amp;"]"&amp;E989&amp;"'!"&amp;$AI$2))),INDIRECT("'["&amp;G989&amp;"]"&amp;E989&amp;"'!"&amp;$AI$3),0)</f>
        <v>#VALUE!</v>
      </c>
      <c r="AJ989" s="25">
        <v>1</v>
      </c>
      <c r="AK989" s="38">
        <f t="shared" ca="1" si="258"/>
        <v>0</v>
      </c>
      <c r="AL989" s="38">
        <f t="shared" ca="1" si="259"/>
        <v>0</v>
      </c>
      <c r="AM989" s="54" t="str">
        <f t="shared" ca="1" si="260"/>
        <v/>
      </c>
      <c r="AN989" s="25" t="e">
        <f t="shared" ca="1" si="261"/>
        <v>#VALUE!</v>
      </c>
      <c r="AO989" s="25" t="e">
        <f t="shared" ca="1" si="262"/>
        <v>#VALUE!</v>
      </c>
      <c r="AQ989" s="46" t="str">
        <f ca="1">IF(AND(C989&lt;&gt;0, C990=0), SUM($C$2:C989)-SUM($AQ$1:AQ988), "")</f>
        <v/>
      </c>
      <c r="AR989" s="46" t="str">
        <f ca="1">IF(AND(AK989&lt;&gt;0, AK990=0), SUM($AK$2:AK989)-SUM($AR$1:AR988), "")</f>
        <v/>
      </c>
    </row>
    <row r="990" spans="2:44" ht="13.15" customHeight="1">
      <c r="B990" s="68" t="str">
        <f t="shared" si="248"/>
        <v/>
      </c>
      <c r="C990" s="55" cm="1">
        <f t="array" aca="1" ref="C990" ca="1">SUM(IF(ISNUMBER(M990:U990),M990:U990,""))</f>
        <v>0</v>
      </c>
      <c r="D990" s="25" t="str">
        <f t="shared" si="249"/>
        <v/>
      </c>
      <c r="E990" s="25" t="e">
        <f t="shared" si="250"/>
        <v>#VALUE!</v>
      </c>
      <c r="F990" s="25" t="str">
        <f t="shared" si="251"/>
        <v/>
      </c>
      <c r="G990" s="25" t="str">
        <f t="shared" si="252"/>
        <v>.xlsx</v>
      </c>
      <c r="H990" s="29" t="e" cm="1">
        <f t="array" aca="1" ref="H990" ca="1">IF(AND(VALUE(E990)=INDIRECT("'["&amp;G990&amp;"]"&amp;E990&amp;"'!"&amp;$X$2),G990=INDIRECT("'["&amp;G990&amp;"]"&amp;E990&amp;"'!"&amp;$X$3)),INDIRECT("'["&amp;G990&amp;"]"&amp;E990&amp;"'!"&amp;$X$1),0)</f>
        <v>#VALUE!</v>
      </c>
      <c r="I990" s="25" t="str">
        <f t="shared" si="253"/>
        <v/>
      </c>
      <c r="J990" s="32" t="str">
        <f t="shared" si="254"/>
        <v/>
      </c>
      <c r="K990" s="25" t="str">
        <f t="shared" si="255"/>
        <v/>
      </c>
      <c r="L990" s="25" t="str">
        <f t="shared" si="256"/>
        <v/>
      </c>
      <c r="M990" s="33" t="e" cm="1">
        <f t="array" aca="1" ref="M990" ca="1">IF(AND(J990=INDIRECT("'["&amp;G990&amp;"]"&amp;E990&amp;"'!"&amp;$Y$2),G990=INDIRECT("'["&amp;G990&amp;"]"&amp;E990&amp;"'!"&amp;$AH$2)),INDIRECT("'["&amp;G990&amp;"]"&amp;E990&amp;"'!"&amp;$Y$3),0)</f>
        <v>#VALUE!</v>
      </c>
      <c r="N990" s="34" t="e" cm="1">
        <f t="array" aca="1" ref="N990" ca="1">IF(AND(G990=INDIRECT("'["&amp;G990&amp;"]"&amp;E990&amp;"'!"&amp;$AH$2),OR(K990=INDIRECT("'["&amp;G990&amp;"]"&amp;E990&amp;"'!"&amp;$Z$2))),INDIRECT("'["&amp;G990&amp;"]"&amp;E990&amp;"'!"&amp;$Z$3),0)</f>
        <v>#VALUE!</v>
      </c>
      <c r="O990" s="34" t="e" cm="1">
        <f t="array" aca="1" ref="O990" ca="1">IF(AND(G990=INDIRECT("'["&amp;G990&amp;"]"&amp;E990&amp;"'!"&amp;$AH$2),OR(L990=INDIRECT("'["&amp;G990&amp;"]"&amp;E990&amp;"'!"&amp;$AA$2))),INDIRECT("'["&amp;G990&amp;"]"&amp;E990&amp;"'!"&amp;$AA$3),0)</f>
        <v>#VALUE!</v>
      </c>
      <c r="P990" s="34" t="e" cm="1">
        <f t="array" aca="1" ref="P990" ca="1">IF(AND(G990=INDIRECT("'["&amp;G990&amp;"]"&amp;E990&amp;"'!"&amp;$AH$2),OR(VALUE(I990)=INDIRECT("'["&amp;G990&amp;"]"&amp;E990&amp;"'!"&amp;$AB$2))),INDIRECT("'["&amp;G990&amp;"]"&amp;E990&amp;"'!"&amp;$AB$3),0)</f>
        <v>#VALUE!</v>
      </c>
      <c r="Q990" s="34" t="e" cm="1">
        <f t="array" aca="1" ref="Q990" ca="1">IF(AND(G990=INDIRECT("'["&amp;G990&amp;"]"&amp;E990&amp;"'!"&amp;$AH$2),OR(VALUE(I990)=INDIRECT("'["&amp;G990&amp;"]"&amp;E990&amp;"'!"&amp;$AC$2))),INDIRECT("'["&amp;G990&amp;"]"&amp;E990&amp;"'!"&amp;$AC$3),0)</f>
        <v>#VALUE!</v>
      </c>
      <c r="R990" s="34" t="e" cm="1">
        <f t="array" aca="1" ref="R990" ca="1">IF(AND(G990=INDIRECT("'["&amp;G990&amp;"]"&amp;E990&amp;"'!"&amp;$AH$2),OR(I990=INDIRECT("'["&amp;G990&amp;"]"&amp;E990&amp;"'!"&amp;$AD$2))),INDIRECT("'["&amp;G990&amp;"]"&amp;E990&amp;"'!"&amp;$AD$3),0)</f>
        <v>#VALUE!</v>
      </c>
      <c r="S990" s="34" t="e" cm="1">
        <f t="array" aca="1" ref="S990" ca="1">IF(AND(G990=INDIRECT("'["&amp;G990&amp;"]"&amp;E990&amp;"'!"&amp;$AH$2),OR(I990=INDIRECT("'["&amp;G990&amp;"]"&amp;E990&amp;"'!"&amp;$AE$2))),INDIRECT("'["&amp;G990&amp;"]"&amp;E990&amp;"'!"&amp;$AE$3),0)</f>
        <v>#VALUE!</v>
      </c>
      <c r="T990" s="35" t="e" cm="1">
        <f t="array" aca="1" ref="T990" ca="1">IF(AND(G990=INDIRECT("'["&amp;G990&amp;"]"&amp;E990&amp;"'!"&amp;$AH$2),OR(I990=INDIRECT("'["&amp;G990&amp;"]"&amp;E990&amp;"'!"&amp;$AF$2))),INDIRECT("'["&amp;G990&amp;"]"&amp;E990&amp;"'!"&amp;$AF$3),0)</f>
        <v>#VALUE!</v>
      </c>
      <c r="U990" s="34" t="e" cm="1">
        <f t="array" aca="1" ref="U990" ca="1">IF(AND(G990=INDIRECT("'["&amp;G990&amp;"]"&amp;E990&amp;"'!"&amp;$AH$2),OR(I990=INDIRECT("'["&amp;G990&amp;"]"&amp;E990&amp;"'!"&amp;$AG$2))),INDIRECT("'["&amp;G990&amp;"]"&amp;E990&amp;"'!"&amp;$AG$3),0)</f>
        <v>#VALUE!</v>
      </c>
      <c r="V990" s="25" t="str">
        <f t="shared" si="257"/>
        <v/>
      </c>
      <c r="W990" s="36" t="e" cm="1">
        <f t="array" aca="1" ref="W990" ca="1">IF(AND(G990=INDIRECT("'["&amp;G990&amp;"]"&amp;E990&amp;"'!"&amp;$AH$2),OR(V990=INDIRECT("'["&amp;G990&amp;"]"&amp;E990&amp;"'!"&amp;$AI$2))),INDIRECT("'["&amp;G990&amp;"]"&amp;E990&amp;"'!"&amp;$AI$3),0)</f>
        <v>#VALUE!</v>
      </c>
      <c r="AJ990" s="25">
        <v>1</v>
      </c>
      <c r="AK990" s="38">
        <f t="shared" ca="1" si="258"/>
        <v>0</v>
      </c>
      <c r="AL990" s="38">
        <f t="shared" ca="1" si="259"/>
        <v>0</v>
      </c>
      <c r="AM990" s="54" t="str">
        <f t="shared" ca="1" si="260"/>
        <v/>
      </c>
      <c r="AN990" s="25" t="e">
        <f t="shared" ca="1" si="261"/>
        <v>#VALUE!</v>
      </c>
      <c r="AO990" s="25" t="e">
        <f t="shared" ca="1" si="262"/>
        <v>#VALUE!</v>
      </c>
      <c r="AQ990" s="46" t="str">
        <f ca="1">IF(AND(C990&lt;&gt;0, C991=0), SUM($C$2:C990)-SUM($AQ$1:AQ989), "")</f>
        <v/>
      </c>
      <c r="AR990" s="46" t="str">
        <f ca="1">IF(AND(AK990&lt;&gt;0, AK991=0), SUM($AK$2:AK990)-SUM($AR$1:AR989), "")</f>
        <v/>
      </c>
    </row>
    <row r="991" spans="2:44" ht="13.15" customHeight="1">
      <c r="B991" s="68" t="str">
        <f t="shared" si="248"/>
        <v/>
      </c>
      <c r="C991" s="55" cm="1">
        <f t="array" aca="1" ref="C991" ca="1">SUM(IF(ISNUMBER(M991:U991),M991:U991,""))</f>
        <v>0</v>
      </c>
      <c r="D991" s="25" t="str">
        <f t="shared" si="249"/>
        <v/>
      </c>
      <c r="E991" s="25" t="e">
        <f t="shared" si="250"/>
        <v>#VALUE!</v>
      </c>
      <c r="F991" s="25" t="str">
        <f t="shared" si="251"/>
        <v/>
      </c>
      <c r="G991" s="25" t="str">
        <f t="shared" si="252"/>
        <v>.xlsx</v>
      </c>
      <c r="H991" s="29" t="e" cm="1">
        <f t="array" aca="1" ref="H991" ca="1">IF(AND(VALUE(E991)=INDIRECT("'["&amp;G991&amp;"]"&amp;E991&amp;"'!"&amp;$X$2),G991=INDIRECT("'["&amp;G991&amp;"]"&amp;E991&amp;"'!"&amp;$X$3)),INDIRECT("'["&amp;G991&amp;"]"&amp;E991&amp;"'!"&amp;$X$1),0)</f>
        <v>#VALUE!</v>
      </c>
      <c r="I991" s="25" t="str">
        <f t="shared" si="253"/>
        <v/>
      </c>
      <c r="J991" s="32" t="str">
        <f t="shared" si="254"/>
        <v/>
      </c>
      <c r="K991" s="25" t="str">
        <f t="shared" si="255"/>
        <v/>
      </c>
      <c r="L991" s="25" t="str">
        <f t="shared" si="256"/>
        <v/>
      </c>
      <c r="M991" s="33" t="e" cm="1">
        <f t="array" aca="1" ref="M991" ca="1">IF(AND(J991=INDIRECT("'["&amp;G991&amp;"]"&amp;E991&amp;"'!"&amp;$Y$2),G991=INDIRECT("'["&amp;G991&amp;"]"&amp;E991&amp;"'!"&amp;$AH$2)),INDIRECT("'["&amp;G991&amp;"]"&amp;E991&amp;"'!"&amp;$Y$3),0)</f>
        <v>#VALUE!</v>
      </c>
      <c r="N991" s="34" t="e" cm="1">
        <f t="array" aca="1" ref="N991" ca="1">IF(AND(G991=INDIRECT("'["&amp;G991&amp;"]"&amp;E991&amp;"'!"&amp;$AH$2),OR(K991=INDIRECT("'["&amp;G991&amp;"]"&amp;E991&amp;"'!"&amp;$Z$2))),INDIRECT("'["&amp;G991&amp;"]"&amp;E991&amp;"'!"&amp;$Z$3),0)</f>
        <v>#VALUE!</v>
      </c>
      <c r="O991" s="34" t="e" cm="1">
        <f t="array" aca="1" ref="O991" ca="1">IF(AND(G991=INDIRECT("'["&amp;G991&amp;"]"&amp;E991&amp;"'!"&amp;$AH$2),OR(L991=INDIRECT("'["&amp;G991&amp;"]"&amp;E991&amp;"'!"&amp;$AA$2))),INDIRECT("'["&amp;G991&amp;"]"&amp;E991&amp;"'!"&amp;$AA$3),0)</f>
        <v>#VALUE!</v>
      </c>
      <c r="P991" s="34" t="e" cm="1">
        <f t="array" aca="1" ref="P991" ca="1">IF(AND(G991=INDIRECT("'["&amp;G991&amp;"]"&amp;E991&amp;"'!"&amp;$AH$2),OR(VALUE(I991)=INDIRECT("'["&amp;G991&amp;"]"&amp;E991&amp;"'!"&amp;$AB$2))),INDIRECT("'["&amp;G991&amp;"]"&amp;E991&amp;"'!"&amp;$AB$3),0)</f>
        <v>#VALUE!</v>
      </c>
      <c r="Q991" s="34" t="e" cm="1">
        <f t="array" aca="1" ref="Q991" ca="1">IF(AND(G991=INDIRECT("'["&amp;G991&amp;"]"&amp;E991&amp;"'!"&amp;$AH$2),OR(VALUE(I991)=INDIRECT("'["&amp;G991&amp;"]"&amp;E991&amp;"'!"&amp;$AC$2))),INDIRECT("'["&amp;G991&amp;"]"&amp;E991&amp;"'!"&amp;$AC$3),0)</f>
        <v>#VALUE!</v>
      </c>
      <c r="R991" s="34" t="e" cm="1">
        <f t="array" aca="1" ref="R991" ca="1">IF(AND(G991=INDIRECT("'["&amp;G991&amp;"]"&amp;E991&amp;"'!"&amp;$AH$2),OR(I991=INDIRECT("'["&amp;G991&amp;"]"&amp;E991&amp;"'!"&amp;$AD$2))),INDIRECT("'["&amp;G991&amp;"]"&amp;E991&amp;"'!"&amp;$AD$3),0)</f>
        <v>#VALUE!</v>
      </c>
      <c r="S991" s="34" t="e" cm="1">
        <f t="array" aca="1" ref="S991" ca="1">IF(AND(G991=INDIRECT("'["&amp;G991&amp;"]"&amp;E991&amp;"'!"&amp;$AH$2),OR(I991=INDIRECT("'["&amp;G991&amp;"]"&amp;E991&amp;"'!"&amp;$AE$2))),INDIRECT("'["&amp;G991&amp;"]"&amp;E991&amp;"'!"&amp;$AE$3),0)</f>
        <v>#VALUE!</v>
      </c>
      <c r="T991" s="35" t="e" cm="1">
        <f t="array" aca="1" ref="T991" ca="1">IF(AND(G991=INDIRECT("'["&amp;G991&amp;"]"&amp;E991&amp;"'!"&amp;$AH$2),OR(I991=INDIRECT("'["&amp;G991&amp;"]"&amp;E991&amp;"'!"&amp;$AF$2))),INDIRECT("'["&amp;G991&amp;"]"&amp;E991&amp;"'!"&amp;$AF$3),0)</f>
        <v>#VALUE!</v>
      </c>
      <c r="U991" s="34" t="e" cm="1">
        <f t="array" aca="1" ref="U991" ca="1">IF(AND(G991=INDIRECT("'["&amp;G991&amp;"]"&amp;E991&amp;"'!"&amp;$AH$2),OR(I991=INDIRECT("'["&amp;G991&amp;"]"&amp;E991&amp;"'!"&amp;$AG$2))),INDIRECT("'["&amp;G991&amp;"]"&amp;E991&amp;"'!"&amp;$AG$3),0)</f>
        <v>#VALUE!</v>
      </c>
      <c r="V991" s="25" t="str">
        <f t="shared" si="257"/>
        <v/>
      </c>
      <c r="W991" s="36" t="e" cm="1">
        <f t="array" aca="1" ref="W991" ca="1">IF(AND(G991=INDIRECT("'["&amp;G991&amp;"]"&amp;E991&amp;"'!"&amp;$AH$2),OR(V991=INDIRECT("'["&amp;G991&amp;"]"&amp;E991&amp;"'!"&amp;$AI$2))),INDIRECT("'["&amp;G991&amp;"]"&amp;E991&amp;"'!"&amp;$AI$3),0)</f>
        <v>#VALUE!</v>
      </c>
      <c r="AJ991" s="25">
        <v>1</v>
      </c>
      <c r="AK991" s="38">
        <f t="shared" ca="1" si="258"/>
        <v>0</v>
      </c>
      <c r="AL991" s="38">
        <f t="shared" ca="1" si="259"/>
        <v>0</v>
      </c>
      <c r="AM991" s="54" t="str">
        <f t="shared" ca="1" si="260"/>
        <v/>
      </c>
      <c r="AN991" s="25" t="e">
        <f t="shared" ca="1" si="261"/>
        <v>#VALUE!</v>
      </c>
      <c r="AO991" s="25" t="e">
        <f t="shared" ca="1" si="262"/>
        <v>#VALUE!</v>
      </c>
      <c r="AQ991" s="46" t="str">
        <f ca="1">IF(AND(C991&lt;&gt;0, C992=0), SUM($C$2:C991)-SUM($AQ$1:AQ990), "")</f>
        <v/>
      </c>
      <c r="AR991" s="46" t="str">
        <f ca="1">IF(AND(AK991&lt;&gt;0, AK992=0), SUM($AK$2:AK991)-SUM($AR$1:AR990), "")</f>
        <v/>
      </c>
    </row>
    <row r="992" spans="2:44" ht="13.15" customHeight="1">
      <c r="B992" s="68" t="str">
        <f t="shared" si="248"/>
        <v/>
      </c>
      <c r="C992" s="55" cm="1">
        <f t="array" aca="1" ref="C992" ca="1">SUM(IF(ISNUMBER(M992:U992),M992:U992,""))</f>
        <v>0</v>
      </c>
      <c r="D992" s="25" t="str">
        <f t="shared" si="249"/>
        <v/>
      </c>
      <c r="E992" s="25" t="e">
        <f t="shared" si="250"/>
        <v>#VALUE!</v>
      </c>
      <c r="F992" s="25" t="str">
        <f t="shared" si="251"/>
        <v/>
      </c>
      <c r="G992" s="25" t="str">
        <f t="shared" si="252"/>
        <v>.xlsx</v>
      </c>
      <c r="H992" s="29" t="e" cm="1">
        <f t="array" aca="1" ref="H992" ca="1">IF(AND(VALUE(E992)=INDIRECT("'["&amp;G992&amp;"]"&amp;E992&amp;"'!"&amp;$X$2),G992=INDIRECT("'["&amp;G992&amp;"]"&amp;E992&amp;"'!"&amp;$X$3)),INDIRECT("'["&amp;G992&amp;"]"&amp;E992&amp;"'!"&amp;$X$1),0)</f>
        <v>#VALUE!</v>
      </c>
      <c r="I992" s="25" t="str">
        <f t="shared" si="253"/>
        <v/>
      </c>
      <c r="J992" s="32" t="str">
        <f t="shared" si="254"/>
        <v/>
      </c>
      <c r="K992" s="25" t="str">
        <f t="shared" si="255"/>
        <v/>
      </c>
      <c r="L992" s="25" t="str">
        <f t="shared" si="256"/>
        <v/>
      </c>
      <c r="M992" s="33" t="e" cm="1">
        <f t="array" aca="1" ref="M992" ca="1">IF(AND(J992=INDIRECT("'["&amp;G992&amp;"]"&amp;E992&amp;"'!"&amp;$Y$2),G992=INDIRECT("'["&amp;G992&amp;"]"&amp;E992&amp;"'!"&amp;$AH$2)),INDIRECT("'["&amp;G992&amp;"]"&amp;E992&amp;"'!"&amp;$Y$3),0)</f>
        <v>#VALUE!</v>
      </c>
      <c r="N992" s="34" t="e" cm="1">
        <f t="array" aca="1" ref="N992" ca="1">IF(AND(G992=INDIRECT("'["&amp;G992&amp;"]"&amp;E992&amp;"'!"&amp;$AH$2),OR(K992=INDIRECT("'["&amp;G992&amp;"]"&amp;E992&amp;"'!"&amp;$Z$2))),INDIRECT("'["&amp;G992&amp;"]"&amp;E992&amp;"'!"&amp;$Z$3),0)</f>
        <v>#VALUE!</v>
      </c>
      <c r="O992" s="34" t="e" cm="1">
        <f t="array" aca="1" ref="O992" ca="1">IF(AND(G992=INDIRECT("'["&amp;G992&amp;"]"&amp;E992&amp;"'!"&amp;$AH$2),OR(L992=INDIRECT("'["&amp;G992&amp;"]"&amp;E992&amp;"'!"&amp;$AA$2))),INDIRECT("'["&amp;G992&amp;"]"&amp;E992&amp;"'!"&amp;$AA$3),0)</f>
        <v>#VALUE!</v>
      </c>
      <c r="P992" s="34" t="e" cm="1">
        <f t="array" aca="1" ref="P992" ca="1">IF(AND(G992=INDIRECT("'["&amp;G992&amp;"]"&amp;E992&amp;"'!"&amp;$AH$2),OR(VALUE(I992)=INDIRECT("'["&amp;G992&amp;"]"&amp;E992&amp;"'!"&amp;$AB$2))),INDIRECT("'["&amp;G992&amp;"]"&amp;E992&amp;"'!"&amp;$AB$3),0)</f>
        <v>#VALUE!</v>
      </c>
      <c r="Q992" s="34" t="e" cm="1">
        <f t="array" aca="1" ref="Q992" ca="1">IF(AND(G992=INDIRECT("'["&amp;G992&amp;"]"&amp;E992&amp;"'!"&amp;$AH$2),OR(VALUE(I992)=INDIRECT("'["&amp;G992&amp;"]"&amp;E992&amp;"'!"&amp;$AC$2))),INDIRECT("'["&amp;G992&amp;"]"&amp;E992&amp;"'!"&amp;$AC$3),0)</f>
        <v>#VALUE!</v>
      </c>
      <c r="R992" s="34" t="e" cm="1">
        <f t="array" aca="1" ref="R992" ca="1">IF(AND(G992=INDIRECT("'["&amp;G992&amp;"]"&amp;E992&amp;"'!"&amp;$AH$2),OR(I992=INDIRECT("'["&amp;G992&amp;"]"&amp;E992&amp;"'!"&amp;$AD$2))),INDIRECT("'["&amp;G992&amp;"]"&amp;E992&amp;"'!"&amp;$AD$3),0)</f>
        <v>#VALUE!</v>
      </c>
      <c r="S992" s="34" t="e" cm="1">
        <f t="array" aca="1" ref="S992" ca="1">IF(AND(G992=INDIRECT("'["&amp;G992&amp;"]"&amp;E992&amp;"'!"&amp;$AH$2),OR(I992=INDIRECT("'["&amp;G992&amp;"]"&amp;E992&amp;"'!"&amp;$AE$2))),INDIRECT("'["&amp;G992&amp;"]"&amp;E992&amp;"'!"&amp;$AE$3),0)</f>
        <v>#VALUE!</v>
      </c>
      <c r="T992" s="35" t="e" cm="1">
        <f t="array" aca="1" ref="T992" ca="1">IF(AND(G992=INDIRECT("'["&amp;G992&amp;"]"&amp;E992&amp;"'!"&amp;$AH$2),OR(I992=INDIRECT("'["&amp;G992&amp;"]"&amp;E992&amp;"'!"&amp;$AF$2))),INDIRECT("'["&amp;G992&amp;"]"&amp;E992&amp;"'!"&amp;$AF$3),0)</f>
        <v>#VALUE!</v>
      </c>
      <c r="U992" s="34" t="e" cm="1">
        <f t="array" aca="1" ref="U992" ca="1">IF(AND(G992=INDIRECT("'["&amp;G992&amp;"]"&amp;E992&amp;"'!"&amp;$AH$2),OR(I992=INDIRECT("'["&amp;G992&amp;"]"&amp;E992&amp;"'!"&amp;$AG$2))),INDIRECT("'["&amp;G992&amp;"]"&amp;E992&amp;"'!"&amp;$AG$3),0)</f>
        <v>#VALUE!</v>
      </c>
      <c r="V992" s="25" t="str">
        <f t="shared" si="257"/>
        <v/>
      </c>
      <c r="W992" s="36" t="e" cm="1">
        <f t="array" aca="1" ref="W992" ca="1">IF(AND(G992=INDIRECT("'["&amp;G992&amp;"]"&amp;E992&amp;"'!"&amp;$AH$2),OR(V992=INDIRECT("'["&amp;G992&amp;"]"&amp;E992&amp;"'!"&amp;$AI$2))),INDIRECT("'["&amp;G992&amp;"]"&amp;E992&amp;"'!"&amp;$AI$3),0)</f>
        <v>#VALUE!</v>
      </c>
      <c r="AJ992" s="25">
        <v>1</v>
      </c>
      <c r="AK992" s="38">
        <f t="shared" ca="1" si="258"/>
        <v>0</v>
      </c>
      <c r="AL992" s="38">
        <f t="shared" ca="1" si="259"/>
        <v>0</v>
      </c>
      <c r="AM992" s="54" t="str">
        <f t="shared" ca="1" si="260"/>
        <v/>
      </c>
      <c r="AN992" s="25" t="e">
        <f t="shared" ca="1" si="261"/>
        <v>#VALUE!</v>
      </c>
      <c r="AO992" s="25" t="e">
        <f t="shared" ca="1" si="262"/>
        <v>#VALUE!</v>
      </c>
      <c r="AQ992" s="46" t="str">
        <f ca="1">IF(AND(C992&lt;&gt;0, C993=0), SUM($C$2:C992)-SUM($AQ$1:AQ991), "")</f>
        <v/>
      </c>
      <c r="AR992" s="46" t="str">
        <f ca="1">IF(AND(AK992&lt;&gt;0, AK993=0), SUM($AK$2:AK992)-SUM($AR$1:AR991), "")</f>
        <v/>
      </c>
    </row>
    <row r="993" spans="2:44" ht="13.15" customHeight="1">
      <c r="B993" s="68" t="str">
        <f t="shared" si="248"/>
        <v/>
      </c>
      <c r="C993" s="55" cm="1">
        <f t="array" aca="1" ref="C993" ca="1">SUM(IF(ISNUMBER(M993:U993),M993:U993,""))</f>
        <v>0</v>
      </c>
      <c r="D993" s="25" t="str">
        <f t="shared" si="249"/>
        <v/>
      </c>
      <c r="E993" s="25" t="e">
        <f t="shared" si="250"/>
        <v>#VALUE!</v>
      </c>
      <c r="F993" s="25" t="str">
        <f t="shared" si="251"/>
        <v/>
      </c>
      <c r="G993" s="25" t="str">
        <f t="shared" si="252"/>
        <v>.xlsx</v>
      </c>
      <c r="H993" s="29" t="e" cm="1">
        <f t="array" aca="1" ref="H993" ca="1">IF(AND(VALUE(E993)=INDIRECT("'["&amp;G993&amp;"]"&amp;E993&amp;"'!"&amp;$X$2),G993=INDIRECT("'["&amp;G993&amp;"]"&amp;E993&amp;"'!"&amp;$X$3)),INDIRECT("'["&amp;G993&amp;"]"&amp;E993&amp;"'!"&amp;$X$1),0)</f>
        <v>#VALUE!</v>
      </c>
      <c r="I993" s="25" t="str">
        <f t="shared" si="253"/>
        <v/>
      </c>
      <c r="J993" s="32" t="str">
        <f t="shared" si="254"/>
        <v/>
      </c>
      <c r="K993" s="25" t="str">
        <f t="shared" si="255"/>
        <v/>
      </c>
      <c r="L993" s="25" t="str">
        <f t="shared" si="256"/>
        <v/>
      </c>
      <c r="M993" s="33" t="e" cm="1">
        <f t="array" aca="1" ref="M993" ca="1">IF(AND(J993=INDIRECT("'["&amp;G993&amp;"]"&amp;E993&amp;"'!"&amp;$Y$2),G993=INDIRECT("'["&amp;G993&amp;"]"&amp;E993&amp;"'!"&amp;$AH$2)),INDIRECT("'["&amp;G993&amp;"]"&amp;E993&amp;"'!"&amp;$Y$3),0)</f>
        <v>#VALUE!</v>
      </c>
      <c r="N993" s="34" t="e" cm="1">
        <f t="array" aca="1" ref="N993" ca="1">IF(AND(G993=INDIRECT("'["&amp;G993&amp;"]"&amp;E993&amp;"'!"&amp;$AH$2),OR(K993=INDIRECT("'["&amp;G993&amp;"]"&amp;E993&amp;"'!"&amp;$Z$2))),INDIRECT("'["&amp;G993&amp;"]"&amp;E993&amp;"'!"&amp;$Z$3),0)</f>
        <v>#VALUE!</v>
      </c>
      <c r="O993" s="34" t="e" cm="1">
        <f t="array" aca="1" ref="O993" ca="1">IF(AND(G993=INDIRECT("'["&amp;G993&amp;"]"&amp;E993&amp;"'!"&amp;$AH$2),OR(L993=INDIRECT("'["&amp;G993&amp;"]"&amp;E993&amp;"'!"&amp;$AA$2))),INDIRECT("'["&amp;G993&amp;"]"&amp;E993&amp;"'!"&amp;$AA$3),0)</f>
        <v>#VALUE!</v>
      </c>
      <c r="P993" s="34" t="e" cm="1">
        <f t="array" aca="1" ref="P993" ca="1">IF(AND(G993=INDIRECT("'["&amp;G993&amp;"]"&amp;E993&amp;"'!"&amp;$AH$2),OR(VALUE(I993)=INDIRECT("'["&amp;G993&amp;"]"&amp;E993&amp;"'!"&amp;$AB$2))),INDIRECT("'["&amp;G993&amp;"]"&amp;E993&amp;"'!"&amp;$AB$3),0)</f>
        <v>#VALUE!</v>
      </c>
      <c r="Q993" s="34" t="e" cm="1">
        <f t="array" aca="1" ref="Q993" ca="1">IF(AND(G993=INDIRECT("'["&amp;G993&amp;"]"&amp;E993&amp;"'!"&amp;$AH$2),OR(VALUE(I993)=INDIRECT("'["&amp;G993&amp;"]"&amp;E993&amp;"'!"&amp;$AC$2))),INDIRECT("'["&amp;G993&amp;"]"&amp;E993&amp;"'!"&amp;$AC$3),0)</f>
        <v>#VALUE!</v>
      </c>
      <c r="R993" s="34" t="e" cm="1">
        <f t="array" aca="1" ref="R993" ca="1">IF(AND(G993=INDIRECT("'["&amp;G993&amp;"]"&amp;E993&amp;"'!"&amp;$AH$2),OR(I993=INDIRECT("'["&amp;G993&amp;"]"&amp;E993&amp;"'!"&amp;$AD$2))),INDIRECT("'["&amp;G993&amp;"]"&amp;E993&amp;"'!"&amp;$AD$3),0)</f>
        <v>#VALUE!</v>
      </c>
      <c r="S993" s="34" t="e" cm="1">
        <f t="array" aca="1" ref="S993" ca="1">IF(AND(G993=INDIRECT("'["&amp;G993&amp;"]"&amp;E993&amp;"'!"&amp;$AH$2),OR(I993=INDIRECT("'["&amp;G993&amp;"]"&amp;E993&amp;"'!"&amp;$AE$2))),INDIRECT("'["&amp;G993&amp;"]"&amp;E993&amp;"'!"&amp;$AE$3),0)</f>
        <v>#VALUE!</v>
      </c>
      <c r="T993" s="35" t="e" cm="1">
        <f t="array" aca="1" ref="T993" ca="1">IF(AND(G993=INDIRECT("'["&amp;G993&amp;"]"&amp;E993&amp;"'!"&amp;$AH$2),OR(I993=INDIRECT("'["&amp;G993&amp;"]"&amp;E993&amp;"'!"&amp;$AF$2))),INDIRECT("'["&amp;G993&amp;"]"&amp;E993&amp;"'!"&amp;$AF$3),0)</f>
        <v>#VALUE!</v>
      </c>
      <c r="U993" s="34" t="e" cm="1">
        <f t="array" aca="1" ref="U993" ca="1">IF(AND(G993=INDIRECT("'["&amp;G993&amp;"]"&amp;E993&amp;"'!"&amp;$AH$2),OR(I993=INDIRECT("'["&amp;G993&amp;"]"&amp;E993&amp;"'!"&amp;$AG$2))),INDIRECT("'["&amp;G993&amp;"]"&amp;E993&amp;"'!"&amp;$AG$3),0)</f>
        <v>#VALUE!</v>
      </c>
      <c r="V993" s="25" t="str">
        <f t="shared" si="257"/>
        <v/>
      </c>
      <c r="W993" s="36" t="e" cm="1">
        <f t="array" aca="1" ref="W993" ca="1">IF(AND(G993=INDIRECT("'["&amp;G993&amp;"]"&amp;E993&amp;"'!"&amp;$AH$2),OR(V993=INDIRECT("'["&amp;G993&amp;"]"&amp;E993&amp;"'!"&amp;$AI$2))),INDIRECT("'["&amp;G993&amp;"]"&amp;E993&amp;"'!"&amp;$AI$3),0)</f>
        <v>#VALUE!</v>
      </c>
      <c r="AJ993" s="25">
        <v>1</v>
      </c>
      <c r="AK993" s="38">
        <f t="shared" ca="1" si="258"/>
        <v>0</v>
      </c>
      <c r="AL993" s="38">
        <f t="shared" ca="1" si="259"/>
        <v>0</v>
      </c>
      <c r="AM993" s="54" t="str">
        <f t="shared" ca="1" si="260"/>
        <v/>
      </c>
      <c r="AN993" s="25" t="e">
        <f t="shared" ca="1" si="261"/>
        <v>#VALUE!</v>
      </c>
      <c r="AO993" s="25" t="e">
        <f t="shared" ca="1" si="262"/>
        <v>#VALUE!</v>
      </c>
      <c r="AQ993" s="46" t="str">
        <f ca="1">IF(AND(C993&lt;&gt;0, C994=0), SUM($C$2:C993)-SUM($AQ$1:AQ992), "")</f>
        <v/>
      </c>
      <c r="AR993" s="46" t="str">
        <f ca="1">IF(AND(AK993&lt;&gt;0, AK994=0), SUM($AK$2:AK993)-SUM($AR$1:AR992), "")</f>
        <v/>
      </c>
    </row>
    <row r="994" spans="2:44" ht="13.15" customHeight="1">
      <c r="B994" s="68" t="str">
        <f t="shared" si="248"/>
        <v/>
      </c>
      <c r="C994" s="55" cm="1">
        <f t="array" aca="1" ref="C994" ca="1">SUM(IF(ISNUMBER(M994:U994),M994:U994,""))</f>
        <v>0</v>
      </c>
      <c r="D994" s="25" t="str">
        <f t="shared" si="249"/>
        <v/>
      </c>
      <c r="E994" s="25" t="e">
        <f t="shared" si="250"/>
        <v>#VALUE!</v>
      </c>
      <c r="F994" s="25" t="str">
        <f t="shared" si="251"/>
        <v/>
      </c>
      <c r="G994" s="25" t="str">
        <f t="shared" si="252"/>
        <v>.xlsx</v>
      </c>
      <c r="H994" s="29" t="e" cm="1">
        <f t="array" aca="1" ref="H994" ca="1">IF(AND(VALUE(E994)=INDIRECT("'["&amp;G994&amp;"]"&amp;E994&amp;"'!"&amp;$X$2),G994=INDIRECT("'["&amp;G994&amp;"]"&amp;E994&amp;"'!"&amp;$X$3)),INDIRECT("'["&amp;G994&amp;"]"&amp;E994&amp;"'!"&amp;$X$1),0)</f>
        <v>#VALUE!</v>
      </c>
      <c r="I994" s="25" t="str">
        <f t="shared" si="253"/>
        <v/>
      </c>
      <c r="J994" s="32" t="str">
        <f t="shared" si="254"/>
        <v/>
      </c>
      <c r="K994" s="25" t="str">
        <f t="shared" si="255"/>
        <v/>
      </c>
      <c r="L994" s="25" t="str">
        <f t="shared" si="256"/>
        <v/>
      </c>
      <c r="M994" s="33" t="e" cm="1">
        <f t="array" aca="1" ref="M994" ca="1">IF(AND(J994=INDIRECT("'["&amp;G994&amp;"]"&amp;E994&amp;"'!"&amp;$Y$2),G994=INDIRECT("'["&amp;G994&amp;"]"&amp;E994&amp;"'!"&amp;$AH$2)),INDIRECT("'["&amp;G994&amp;"]"&amp;E994&amp;"'!"&amp;$Y$3),0)</f>
        <v>#VALUE!</v>
      </c>
      <c r="N994" s="34" t="e" cm="1">
        <f t="array" aca="1" ref="N994" ca="1">IF(AND(G994=INDIRECT("'["&amp;G994&amp;"]"&amp;E994&amp;"'!"&amp;$AH$2),OR(K994=INDIRECT("'["&amp;G994&amp;"]"&amp;E994&amp;"'!"&amp;$Z$2))),INDIRECT("'["&amp;G994&amp;"]"&amp;E994&amp;"'!"&amp;$Z$3),0)</f>
        <v>#VALUE!</v>
      </c>
      <c r="O994" s="34" t="e" cm="1">
        <f t="array" aca="1" ref="O994" ca="1">IF(AND(G994=INDIRECT("'["&amp;G994&amp;"]"&amp;E994&amp;"'!"&amp;$AH$2),OR(L994=INDIRECT("'["&amp;G994&amp;"]"&amp;E994&amp;"'!"&amp;$AA$2))),INDIRECT("'["&amp;G994&amp;"]"&amp;E994&amp;"'!"&amp;$AA$3),0)</f>
        <v>#VALUE!</v>
      </c>
      <c r="P994" s="34" t="e" cm="1">
        <f t="array" aca="1" ref="P994" ca="1">IF(AND(G994=INDIRECT("'["&amp;G994&amp;"]"&amp;E994&amp;"'!"&amp;$AH$2),OR(VALUE(I994)=INDIRECT("'["&amp;G994&amp;"]"&amp;E994&amp;"'!"&amp;$AB$2))),INDIRECT("'["&amp;G994&amp;"]"&amp;E994&amp;"'!"&amp;$AB$3),0)</f>
        <v>#VALUE!</v>
      </c>
      <c r="Q994" s="34" t="e" cm="1">
        <f t="array" aca="1" ref="Q994" ca="1">IF(AND(G994=INDIRECT("'["&amp;G994&amp;"]"&amp;E994&amp;"'!"&amp;$AH$2),OR(VALUE(I994)=INDIRECT("'["&amp;G994&amp;"]"&amp;E994&amp;"'!"&amp;$AC$2))),INDIRECT("'["&amp;G994&amp;"]"&amp;E994&amp;"'!"&amp;$AC$3),0)</f>
        <v>#VALUE!</v>
      </c>
      <c r="R994" s="34" t="e" cm="1">
        <f t="array" aca="1" ref="R994" ca="1">IF(AND(G994=INDIRECT("'["&amp;G994&amp;"]"&amp;E994&amp;"'!"&amp;$AH$2),OR(I994=INDIRECT("'["&amp;G994&amp;"]"&amp;E994&amp;"'!"&amp;$AD$2))),INDIRECT("'["&amp;G994&amp;"]"&amp;E994&amp;"'!"&amp;$AD$3),0)</f>
        <v>#VALUE!</v>
      </c>
      <c r="S994" s="34" t="e" cm="1">
        <f t="array" aca="1" ref="S994" ca="1">IF(AND(G994=INDIRECT("'["&amp;G994&amp;"]"&amp;E994&amp;"'!"&amp;$AH$2),OR(I994=INDIRECT("'["&amp;G994&amp;"]"&amp;E994&amp;"'!"&amp;$AE$2))),INDIRECT("'["&amp;G994&amp;"]"&amp;E994&amp;"'!"&amp;$AE$3),0)</f>
        <v>#VALUE!</v>
      </c>
      <c r="T994" s="35" t="e" cm="1">
        <f t="array" aca="1" ref="T994" ca="1">IF(AND(G994=INDIRECT("'["&amp;G994&amp;"]"&amp;E994&amp;"'!"&amp;$AH$2),OR(I994=INDIRECT("'["&amp;G994&amp;"]"&amp;E994&amp;"'!"&amp;$AF$2))),INDIRECT("'["&amp;G994&amp;"]"&amp;E994&amp;"'!"&amp;$AF$3),0)</f>
        <v>#VALUE!</v>
      </c>
      <c r="U994" s="34" t="e" cm="1">
        <f t="array" aca="1" ref="U994" ca="1">IF(AND(G994=INDIRECT("'["&amp;G994&amp;"]"&amp;E994&amp;"'!"&amp;$AH$2),OR(I994=INDIRECT("'["&amp;G994&amp;"]"&amp;E994&amp;"'!"&amp;$AG$2))),INDIRECT("'["&amp;G994&amp;"]"&amp;E994&amp;"'!"&amp;$AG$3),0)</f>
        <v>#VALUE!</v>
      </c>
      <c r="V994" s="25" t="str">
        <f t="shared" si="257"/>
        <v/>
      </c>
      <c r="W994" s="36" t="e" cm="1">
        <f t="array" aca="1" ref="W994" ca="1">IF(AND(G994=INDIRECT("'["&amp;G994&amp;"]"&amp;E994&amp;"'!"&amp;$AH$2),OR(V994=INDIRECT("'["&amp;G994&amp;"]"&amp;E994&amp;"'!"&amp;$AI$2))),INDIRECT("'["&amp;G994&amp;"]"&amp;E994&amp;"'!"&amp;$AI$3),0)</f>
        <v>#VALUE!</v>
      </c>
      <c r="AJ994" s="25">
        <v>1</v>
      </c>
      <c r="AK994" s="38">
        <f t="shared" ca="1" si="258"/>
        <v>0</v>
      </c>
      <c r="AL994" s="38">
        <f t="shared" ca="1" si="259"/>
        <v>0</v>
      </c>
      <c r="AM994" s="54" t="str">
        <f t="shared" ca="1" si="260"/>
        <v/>
      </c>
      <c r="AN994" s="25" t="e">
        <f t="shared" ca="1" si="261"/>
        <v>#VALUE!</v>
      </c>
      <c r="AO994" s="25" t="e">
        <f t="shared" ca="1" si="262"/>
        <v>#VALUE!</v>
      </c>
      <c r="AQ994" s="46" t="str">
        <f ca="1">IF(AND(C994&lt;&gt;0, C995=0), SUM($C$2:C994)-SUM($AQ$1:AQ993), "")</f>
        <v/>
      </c>
      <c r="AR994" s="46" t="str">
        <f ca="1">IF(AND(AK994&lt;&gt;0, AK995=0), SUM($AK$2:AK994)-SUM($AR$1:AR993), "")</f>
        <v/>
      </c>
    </row>
    <row r="995" spans="2:44" ht="13.15" customHeight="1">
      <c r="B995" s="68" t="str">
        <f t="shared" si="248"/>
        <v/>
      </c>
      <c r="C995" s="55" cm="1">
        <f t="array" aca="1" ref="C995" ca="1">SUM(IF(ISNUMBER(M995:U995),M995:U995,""))</f>
        <v>0</v>
      </c>
      <c r="D995" s="25" t="str">
        <f t="shared" si="249"/>
        <v/>
      </c>
      <c r="E995" s="25" t="e">
        <f t="shared" si="250"/>
        <v>#VALUE!</v>
      </c>
      <c r="F995" s="25" t="str">
        <f t="shared" si="251"/>
        <v/>
      </c>
      <c r="G995" s="25" t="str">
        <f t="shared" si="252"/>
        <v>.xlsx</v>
      </c>
      <c r="H995" s="29" t="e" cm="1">
        <f t="array" aca="1" ref="H995" ca="1">IF(AND(VALUE(E995)=INDIRECT("'["&amp;G995&amp;"]"&amp;E995&amp;"'!"&amp;$X$2),G995=INDIRECT("'["&amp;G995&amp;"]"&amp;E995&amp;"'!"&amp;$X$3)),INDIRECT("'["&amp;G995&amp;"]"&amp;E995&amp;"'!"&amp;$X$1),0)</f>
        <v>#VALUE!</v>
      </c>
      <c r="I995" s="25" t="str">
        <f t="shared" si="253"/>
        <v/>
      </c>
      <c r="J995" s="32" t="str">
        <f t="shared" si="254"/>
        <v/>
      </c>
      <c r="K995" s="25" t="str">
        <f t="shared" si="255"/>
        <v/>
      </c>
      <c r="L995" s="25" t="str">
        <f t="shared" si="256"/>
        <v/>
      </c>
      <c r="M995" s="33" t="e" cm="1">
        <f t="array" aca="1" ref="M995" ca="1">IF(AND(J995=INDIRECT("'["&amp;G995&amp;"]"&amp;E995&amp;"'!"&amp;$Y$2),G995=INDIRECT("'["&amp;G995&amp;"]"&amp;E995&amp;"'!"&amp;$AH$2)),INDIRECT("'["&amp;G995&amp;"]"&amp;E995&amp;"'!"&amp;$Y$3),0)</f>
        <v>#VALUE!</v>
      </c>
      <c r="N995" s="34" t="e" cm="1">
        <f t="array" aca="1" ref="N995" ca="1">IF(AND(G995=INDIRECT("'["&amp;G995&amp;"]"&amp;E995&amp;"'!"&amp;$AH$2),OR(K995=INDIRECT("'["&amp;G995&amp;"]"&amp;E995&amp;"'!"&amp;$Z$2))),INDIRECT("'["&amp;G995&amp;"]"&amp;E995&amp;"'!"&amp;$Z$3),0)</f>
        <v>#VALUE!</v>
      </c>
      <c r="O995" s="34" t="e" cm="1">
        <f t="array" aca="1" ref="O995" ca="1">IF(AND(G995=INDIRECT("'["&amp;G995&amp;"]"&amp;E995&amp;"'!"&amp;$AH$2),OR(L995=INDIRECT("'["&amp;G995&amp;"]"&amp;E995&amp;"'!"&amp;$AA$2))),INDIRECT("'["&amp;G995&amp;"]"&amp;E995&amp;"'!"&amp;$AA$3),0)</f>
        <v>#VALUE!</v>
      </c>
      <c r="P995" s="34" t="e" cm="1">
        <f t="array" aca="1" ref="P995" ca="1">IF(AND(G995=INDIRECT("'["&amp;G995&amp;"]"&amp;E995&amp;"'!"&amp;$AH$2),OR(VALUE(I995)=INDIRECT("'["&amp;G995&amp;"]"&amp;E995&amp;"'!"&amp;$AB$2))),INDIRECT("'["&amp;G995&amp;"]"&amp;E995&amp;"'!"&amp;$AB$3),0)</f>
        <v>#VALUE!</v>
      </c>
      <c r="Q995" s="34" t="e" cm="1">
        <f t="array" aca="1" ref="Q995" ca="1">IF(AND(G995=INDIRECT("'["&amp;G995&amp;"]"&amp;E995&amp;"'!"&amp;$AH$2),OR(VALUE(I995)=INDIRECT("'["&amp;G995&amp;"]"&amp;E995&amp;"'!"&amp;$AC$2))),INDIRECT("'["&amp;G995&amp;"]"&amp;E995&amp;"'!"&amp;$AC$3),0)</f>
        <v>#VALUE!</v>
      </c>
      <c r="R995" s="34" t="e" cm="1">
        <f t="array" aca="1" ref="R995" ca="1">IF(AND(G995=INDIRECT("'["&amp;G995&amp;"]"&amp;E995&amp;"'!"&amp;$AH$2),OR(I995=INDIRECT("'["&amp;G995&amp;"]"&amp;E995&amp;"'!"&amp;$AD$2))),INDIRECT("'["&amp;G995&amp;"]"&amp;E995&amp;"'!"&amp;$AD$3),0)</f>
        <v>#VALUE!</v>
      </c>
      <c r="S995" s="34" t="e" cm="1">
        <f t="array" aca="1" ref="S995" ca="1">IF(AND(G995=INDIRECT("'["&amp;G995&amp;"]"&amp;E995&amp;"'!"&amp;$AH$2),OR(I995=INDIRECT("'["&amp;G995&amp;"]"&amp;E995&amp;"'!"&amp;$AE$2))),INDIRECT("'["&amp;G995&amp;"]"&amp;E995&amp;"'!"&amp;$AE$3),0)</f>
        <v>#VALUE!</v>
      </c>
      <c r="T995" s="35" t="e" cm="1">
        <f t="array" aca="1" ref="T995" ca="1">IF(AND(G995=INDIRECT("'["&amp;G995&amp;"]"&amp;E995&amp;"'!"&amp;$AH$2),OR(I995=INDIRECT("'["&amp;G995&amp;"]"&amp;E995&amp;"'!"&amp;$AF$2))),INDIRECT("'["&amp;G995&amp;"]"&amp;E995&amp;"'!"&amp;$AF$3),0)</f>
        <v>#VALUE!</v>
      </c>
      <c r="U995" s="34" t="e" cm="1">
        <f t="array" aca="1" ref="U995" ca="1">IF(AND(G995=INDIRECT("'["&amp;G995&amp;"]"&amp;E995&amp;"'!"&amp;$AH$2),OR(I995=INDIRECT("'["&amp;G995&amp;"]"&amp;E995&amp;"'!"&amp;$AG$2))),INDIRECT("'["&amp;G995&amp;"]"&amp;E995&amp;"'!"&amp;$AG$3),0)</f>
        <v>#VALUE!</v>
      </c>
      <c r="V995" s="25" t="str">
        <f t="shared" si="257"/>
        <v/>
      </c>
      <c r="W995" s="36" t="e" cm="1">
        <f t="array" aca="1" ref="W995" ca="1">IF(AND(G995=INDIRECT("'["&amp;G995&amp;"]"&amp;E995&amp;"'!"&amp;$AH$2),OR(V995=INDIRECT("'["&amp;G995&amp;"]"&amp;E995&amp;"'!"&amp;$AI$2))),INDIRECT("'["&amp;G995&amp;"]"&amp;E995&amp;"'!"&amp;$AI$3),0)</f>
        <v>#VALUE!</v>
      </c>
      <c r="AJ995" s="25">
        <v>1</v>
      </c>
      <c r="AK995" s="38">
        <f t="shared" ca="1" si="258"/>
        <v>0</v>
      </c>
      <c r="AL995" s="38">
        <f t="shared" ca="1" si="259"/>
        <v>0</v>
      </c>
      <c r="AM995" s="54" t="str">
        <f t="shared" ca="1" si="260"/>
        <v/>
      </c>
      <c r="AN995" s="25" t="e">
        <f t="shared" ca="1" si="261"/>
        <v>#VALUE!</v>
      </c>
      <c r="AO995" s="25" t="e">
        <f t="shared" ca="1" si="262"/>
        <v>#VALUE!</v>
      </c>
      <c r="AQ995" s="46" t="str">
        <f ca="1">IF(AND(C995&lt;&gt;0, C996=0), SUM($C$2:C995)-SUM($AQ$1:AQ994), "")</f>
        <v/>
      </c>
      <c r="AR995" s="46" t="str">
        <f ca="1">IF(AND(AK995&lt;&gt;0, AK996=0), SUM($AK$2:AK995)-SUM($AR$1:AR994), "")</f>
        <v/>
      </c>
    </row>
    <row r="996" spans="2:44" ht="13.15" customHeight="1">
      <c r="B996" s="68" t="str">
        <f t="shared" si="248"/>
        <v/>
      </c>
      <c r="C996" s="55" cm="1">
        <f t="array" aca="1" ref="C996" ca="1">SUM(IF(ISNUMBER(M996:U996),M996:U996,""))</f>
        <v>0</v>
      </c>
      <c r="D996" s="25" t="str">
        <f t="shared" si="249"/>
        <v/>
      </c>
      <c r="E996" s="25" t="e">
        <f t="shared" si="250"/>
        <v>#VALUE!</v>
      </c>
      <c r="F996" s="25" t="str">
        <f t="shared" si="251"/>
        <v/>
      </c>
      <c r="G996" s="25" t="str">
        <f t="shared" si="252"/>
        <v>.xlsx</v>
      </c>
      <c r="H996" s="29" t="e" cm="1">
        <f t="array" aca="1" ref="H996" ca="1">IF(AND(VALUE(E996)=INDIRECT("'["&amp;G996&amp;"]"&amp;E996&amp;"'!"&amp;$X$2),G996=INDIRECT("'["&amp;G996&amp;"]"&amp;E996&amp;"'!"&amp;$X$3)),INDIRECT("'["&amp;G996&amp;"]"&amp;E996&amp;"'!"&amp;$X$1),0)</f>
        <v>#VALUE!</v>
      </c>
      <c r="I996" s="25" t="str">
        <f t="shared" si="253"/>
        <v/>
      </c>
      <c r="J996" s="32" t="str">
        <f t="shared" si="254"/>
        <v/>
      </c>
      <c r="K996" s="25" t="str">
        <f t="shared" si="255"/>
        <v/>
      </c>
      <c r="L996" s="25" t="str">
        <f t="shared" si="256"/>
        <v/>
      </c>
      <c r="M996" s="33" t="e" cm="1">
        <f t="array" aca="1" ref="M996" ca="1">IF(AND(J996=INDIRECT("'["&amp;G996&amp;"]"&amp;E996&amp;"'!"&amp;$Y$2),G996=INDIRECT("'["&amp;G996&amp;"]"&amp;E996&amp;"'!"&amp;$AH$2)),INDIRECT("'["&amp;G996&amp;"]"&amp;E996&amp;"'!"&amp;$Y$3),0)</f>
        <v>#VALUE!</v>
      </c>
      <c r="N996" s="34" t="e" cm="1">
        <f t="array" aca="1" ref="N996" ca="1">IF(AND(G996=INDIRECT("'["&amp;G996&amp;"]"&amp;E996&amp;"'!"&amp;$AH$2),OR(K996=INDIRECT("'["&amp;G996&amp;"]"&amp;E996&amp;"'!"&amp;$Z$2))),INDIRECT("'["&amp;G996&amp;"]"&amp;E996&amp;"'!"&amp;$Z$3),0)</f>
        <v>#VALUE!</v>
      </c>
      <c r="O996" s="34" t="e" cm="1">
        <f t="array" aca="1" ref="O996" ca="1">IF(AND(G996=INDIRECT("'["&amp;G996&amp;"]"&amp;E996&amp;"'!"&amp;$AH$2),OR(L996=INDIRECT("'["&amp;G996&amp;"]"&amp;E996&amp;"'!"&amp;$AA$2))),INDIRECT("'["&amp;G996&amp;"]"&amp;E996&amp;"'!"&amp;$AA$3),0)</f>
        <v>#VALUE!</v>
      </c>
      <c r="P996" s="34" t="e" cm="1">
        <f t="array" aca="1" ref="P996" ca="1">IF(AND(G996=INDIRECT("'["&amp;G996&amp;"]"&amp;E996&amp;"'!"&amp;$AH$2),OR(VALUE(I996)=INDIRECT("'["&amp;G996&amp;"]"&amp;E996&amp;"'!"&amp;$AB$2))),INDIRECT("'["&amp;G996&amp;"]"&amp;E996&amp;"'!"&amp;$AB$3),0)</f>
        <v>#VALUE!</v>
      </c>
      <c r="Q996" s="34" t="e" cm="1">
        <f t="array" aca="1" ref="Q996" ca="1">IF(AND(G996=INDIRECT("'["&amp;G996&amp;"]"&amp;E996&amp;"'!"&amp;$AH$2),OR(VALUE(I996)=INDIRECT("'["&amp;G996&amp;"]"&amp;E996&amp;"'!"&amp;$AC$2))),INDIRECT("'["&amp;G996&amp;"]"&amp;E996&amp;"'!"&amp;$AC$3),0)</f>
        <v>#VALUE!</v>
      </c>
      <c r="R996" s="34" t="e" cm="1">
        <f t="array" aca="1" ref="R996" ca="1">IF(AND(G996=INDIRECT("'["&amp;G996&amp;"]"&amp;E996&amp;"'!"&amp;$AH$2),OR(I996=INDIRECT("'["&amp;G996&amp;"]"&amp;E996&amp;"'!"&amp;$AD$2))),INDIRECT("'["&amp;G996&amp;"]"&amp;E996&amp;"'!"&amp;$AD$3),0)</f>
        <v>#VALUE!</v>
      </c>
      <c r="S996" s="34" t="e" cm="1">
        <f t="array" aca="1" ref="S996" ca="1">IF(AND(G996=INDIRECT("'["&amp;G996&amp;"]"&amp;E996&amp;"'!"&amp;$AH$2),OR(I996=INDIRECT("'["&amp;G996&amp;"]"&amp;E996&amp;"'!"&amp;$AE$2))),INDIRECT("'["&amp;G996&amp;"]"&amp;E996&amp;"'!"&amp;$AE$3),0)</f>
        <v>#VALUE!</v>
      </c>
      <c r="T996" s="35" t="e" cm="1">
        <f t="array" aca="1" ref="T996" ca="1">IF(AND(G996=INDIRECT("'["&amp;G996&amp;"]"&amp;E996&amp;"'!"&amp;$AH$2),OR(I996=INDIRECT("'["&amp;G996&amp;"]"&amp;E996&amp;"'!"&amp;$AF$2))),INDIRECT("'["&amp;G996&amp;"]"&amp;E996&amp;"'!"&amp;$AF$3),0)</f>
        <v>#VALUE!</v>
      </c>
      <c r="U996" s="34" t="e" cm="1">
        <f t="array" aca="1" ref="U996" ca="1">IF(AND(G996=INDIRECT("'["&amp;G996&amp;"]"&amp;E996&amp;"'!"&amp;$AH$2),OR(I996=INDIRECT("'["&amp;G996&amp;"]"&amp;E996&amp;"'!"&amp;$AG$2))),INDIRECT("'["&amp;G996&amp;"]"&amp;E996&amp;"'!"&amp;$AG$3),0)</f>
        <v>#VALUE!</v>
      </c>
      <c r="V996" s="25" t="str">
        <f t="shared" si="257"/>
        <v/>
      </c>
      <c r="W996" s="36" t="e" cm="1">
        <f t="array" aca="1" ref="W996" ca="1">IF(AND(G996=INDIRECT("'["&amp;G996&amp;"]"&amp;E996&amp;"'!"&amp;$AH$2),OR(V996=INDIRECT("'["&amp;G996&amp;"]"&amp;E996&amp;"'!"&amp;$AI$2))),INDIRECT("'["&amp;G996&amp;"]"&amp;E996&amp;"'!"&amp;$AI$3),0)</f>
        <v>#VALUE!</v>
      </c>
      <c r="AJ996" s="25">
        <v>1</v>
      </c>
      <c r="AK996" s="38">
        <f t="shared" ca="1" si="258"/>
        <v>0</v>
      </c>
      <c r="AL996" s="38">
        <f t="shared" ca="1" si="259"/>
        <v>0</v>
      </c>
      <c r="AM996" s="54" t="str">
        <f t="shared" ca="1" si="260"/>
        <v/>
      </c>
      <c r="AN996" s="25" t="e">
        <f t="shared" ca="1" si="261"/>
        <v>#VALUE!</v>
      </c>
      <c r="AO996" s="25" t="e">
        <f t="shared" ca="1" si="262"/>
        <v>#VALUE!</v>
      </c>
      <c r="AQ996" s="46" t="str">
        <f ca="1">IF(AND(C996&lt;&gt;0, C997=0), SUM($C$2:C996)-SUM($AQ$1:AQ995), "")</f>
        <v/>
      </c>
      <c r="AR996" s="46" t="str">
        <f ca="1">IF(AND(AK996&lt;&gt;0, AK997=0), SUM($AK$2:AK996)-SUM($AR$1:AR995), "")</f>
        <v/>
      </c>
    </row>
    <row r="997" spans="2:44" ht="13.15" customHeight="1">
      <c r="B997" s="68" t="str">
        <f t="shared" si="248"/>
        <v/>
      </c>
      <c r="C997" s="55" cm="1">
        <f t="array" aca="1" ref="C997" ca="1">SUM(IF(ISNUMBER(M997:U997),M997:U997,""))</f>
        <v>0</v>
      </c>
      <c r="D997" s="25" t="str">
        <f t="shared" si="249"/>
        <v/>
      </c>
      <c r="E997" s="25" t="e">
        <f t="shared" si="250"/>
        <v>#VALUE!</v>
      </c>
      <c r="F997" s="25" t="str">
        <f t="shared" si="251"/>
        <v/>
      </c>
      <c r="G997" s="25" t="str">
        <f t="shared" si="252"/>
        <v>.xlsx</v>
      </c>
      <c r="H997" s="29" t="e" cm="1">
        <f t="array" aca="1" ref="H997" ca="1">IF(AND(VALUE(E997)=INDIRECT("'["&amp;G997&amp;"]"&amp;E997&amp;"'!"&amp;$X$2),G997=INDIRECT("'["&amp;G997&amp;"]"&amp;E997&amp;"'!"&amp;$X$3)),INDIRECT("'["&amp;G997&amp;"]"&amp;E997&amp;"'!"&amp;$X$1),0)</f>
        <v>#VALUE!</v>
      </c>
      <c r="I997" s="25" t="str">
        <f t="shared" si="253"/>
        <v/>
      </c>
      <c r="J997" s="32" t="str">
        <f t="shared" si="254"/>
        <v/>
      </c>
      <c r="K997" s="25" t="str">
        <f t="shared" si="255"/>
        <v/>
      </c>
      <c r="L997" s="25" t="str">
        <f t="shared" si="256"/>
        <v/>
      </c>
      <c r="M997" s="33" t="e" cm="1">
        <f t="array" aca="1" ref="M997" ca="1">IF(AND(J997=INDIRECT("'["&amp;G997&amp;"]"&amp;E997&amp;"'!"&amp;$Y$2),G997=INDIRECT("'["&amp;G997&amp;"]"&amp;E997&amp;"'!"&amp;$AH$2)),INDIRECT("'["&amp;G997&amp;"]"&amp;E997&amp;"'!"&amp;$Y$3),0)</f>
        <v>#VALUE!</v>
      </c>
      <c r="N997" s="34" t="e" cm="1">
        <f t="array" aca="1" ref="N997" ca="1">IF(AND(G997=INDIRECT("'["&amp;G997&amp;"]"&amp;E997&amp;"'!"&amp;$AH$2),OR(K997=INDIRECT("'["&amp;G997&amp;"]"&amp;E997&amp;"'!"&amp;$Z$2))),INDIRECT("'["&amp;G997&amp;"]"&amp;E997&amp;"'!"&amp;$Z$3),0)</f>
        <v>#VALUE!</v>
      </c>
      <c r="O997" s="34" t="e" cm="1">
        <f t="array" aca="1" ref="O997" ca="1">IF(AND(G997=INDIRECT("'["&amp;G997&amp;"]"&amp;E997&amp;"'!"&amp;$AH$2),OR(L997=INDIRECT("'["&amp;G997&amp;"]"&amp;E997&amp;"'!"&amp;$AA$2))),INDIRECT("'["&amp;G997&amp;"]"&amp;E997&amp;"'!"&amp;$AA$3),0)</f>
        <v>#VALUE!</v>
      </c>
      <c r="P997" s="34" t="e" cm="1">
        <f t="array" aca="1" ref="P997" ca="1">IF(AND(G997=INDIRECT("'["&amp;G997&amp;"]"&amp;E997&amp;"'!"&amp;$AH$2),OR(VALUE(I997)=INDIRECT("'["&amp;G997&amp;"]"&amp;E997&amp;"'!"&amp;$AB$2))),INDIRECT("'["&amp;G997&amp;"]"&amp;E997&amp;"'!"&amp;$AB$3),0)</f>
        <v>#VALUE!</v>
      </c>
      <c r="Q997" s="34" t="e" cm="1">
        <f t="array" aca="1" ref="Q997" ca="1">IF(AND(G997=INDIRECT("'["&amp;G997&amp;"]"&amp;E997&amp;"'!"&amp;$AH$2),OR(VALUE(I997)=INDIRECT("'["&amp;G997&amp;"]"&amp;E997&amp;"'!"&amp;$AC$2))),INDIRECT("'["&amp;G997&amp;"]"&amp;E997&amp;"'!"&amp;$AC$3),0)</f>
        <v>#VALUE!</v>
      </c>
      <c r="R997" s="34" t="e" cm="1">
        <f t="array" aca="1" ref="R997" ca="1">IF(AND(G997=INDIRECT("'["&amp;G997&amp;"]"&amp;E997&amp;"'!"&amp;$AH$2),OR(I997=INDIRECT("'["&amp;G997&amp;"]"&amp;E997&amp;"'!"&amp;$AD$2))),INDIRECT("'["&amp;G997&amp;"]"&amp;E997&amp;"'!"&amp;$AD$3),0)</f>
        <v>#VALUE!</v>
      </c>
      <c r="S997" s="34" t="e" cm="1">
        <f t="array" aca="1" ref="S997" ca="1">IF(AND(G997=INDIRECT("'["&amp;G997&amp;"]"&amp;E997&amp;"'!"&amp;$AH$2),OR(I997=INDIRECT("'["&amp;G997&amp;"]"&amp;E997&amp;"'!"&amp;$AE$2))),INDIRECT("'["&amp;G997&amp;"]"&amp;E997&amp;"'!"&amp;$AE$3),0)</f>
        <v>#VALUE!</v>
      </c>
      <c r="T997" s="35" t="e" cm="1">
        <f t="array" aca="1" ref="T997" ca="1">IF(AND(G997=INDIRECT("'["&amp;G997&amp;"]"&amp;E997&amp;"'!"&amp;$AH$2),OR(I997=INDIRECT("'["&amp;G997&amp;"]"&amp;E997&amp;"'!"&amp;$AF$2))),INDIRECT("'["&amp;G997&amp;"]"&amp;E997&amp;"'!"&amp;$AF$3),0)</f>
        <v>#VALUE!</v>
      </c>
      <c r="U997" s="34" t="e" cm="1">
        <f t="array" aca="1" ref="U997" ca="1">IF(AND(G997=INDIRECT("'["&amp;G997&amp;"]"&amp;E997&amp;"'!"&amp;$AH$2),OR(I997=INDIRECT("'["&amp;G997&amp;"]"&amp;E997&amp;"'!"&amp;$AG$2))),INDIRECT("'["&amp;G997&amp;"]"&amp;E997&amp;"'!"&amp;$AG$3),0)</f>
        <v>#VALUE!</v>
      </c>
      <c r="V997" s="25" t="str">
        <f t="shared" si="257"/>
        <v/>
      </c>
      <c r="W997" s="36" t="e" cm="1">
        <f t="array" aca="1" ref="W997" ca="1">IF(AND(G997=INDIRECT("'["&amp;G997&amp;"]"&amp;E997&amp;"'!"&amp;$AH$2),OR(V997=INDIRECT("'["&amp;G997&amp;"]"&amp;E997&amp;"'!"&amp;$AI$2))),INDIRECT("'["&amp;G997&amp;"]"&amp;E997&amp;"'!"&amp;$AI$3),0)</f>
        <v>#VALUE!</v>
      </c>
      <c r="AJ997" s="25">
        <v>1</v>
      </c>
      <c r="AK997" s="38">
        <f t="shared" ca="1" si="258"/>
        <v>0</v>
      </c>
      <c r="AL997" s="38">
        <f t="shared" ca="1" si="259"/>
        <v>0</v>
      </c>
      <c r="AM997" s="54" t="str">
        <f t="shared" ca="1" si="260"/>
        <v/>
      </c>
      <c r="AN997" s="25" t="e">
        <f t="shared" ca="1" si="261"/>
        <v>#VALUE!</v>
      </c>
      <c r="AO997" s="25" t="e">
        <f t="shared" ca="1" si="262"/>
        <v>#VALUE!</v>
      </c>
      <c r="AQ997" s="46" t="str">
        <f ca="1">IF(AND(C997&lt;&gt;0, C998=0), SUM($C$2:C997)-SUM($AQ$1:AQ996), "")</f>
        <v/>
      </c>
      <c r="AR997" s="46" t="str">
        <f ca="1">IF(AND(AK997&lt;&gt;0, AK998=0), SUM($AK$2:AK997)-SUM($AR$1:AR996), "")</f>
        <v/>
      </c>
    </row>
    <row r="998" spans="2:44" ht="13.15" customHeight="1">
      <c r="B998" s="68" t="str">
        <f t="shared" si="248"/>
        <v/>
      </c>
      <c r="C998" s="55" cm="1">
        <f t="array" aca="1" ref="C998" ca="1">SUM(IF(ISNUMBER(M998:U998),M998:U998,""))</f>
        <v>0</v>
      </c>
      <c r="D998" s="25" t="str">
        <f t="shared" si="249"/>
        <v/>
      </c>
      <c r="E998" s="25" t="e">
        <f t="shared" si="250"/>
        <v>#VALUE!</v>
      </c>
      <c r="F998" s="25" t="str">
        <f t="shared" si="251"/>
        <v/>
      </c>
      <c r="G998" s="25" t="str">
        <f t="shared" si="252"/>
        <v>.xlsx</v>
      </c>
      <c r="H998" s="29" t="e" cm="1">
        <f t="array" aca="1" ref="H998" ca="1">IF(AND(VALUE(E998)=INDIRECT("'["&amp;G998&amp;"]"&amp;E998&amp;"'!"&amp;$X$2),G998=INDIRECT("'["&amp;G998&amp;"]"&amp;E998&amp;"'!"&amp;$X$3)),INDIRECT("'["&amp;G998&amp;"]"&amp;E998&amp;"'!"&amp;$X$1),0)</f>
        <v>#VALUE!</v>
      </c>
      <c r="I998" s="25" t="str">
        <f t="shared" si="253"/>
        <v/>
      </c>
      <c r="J998" s="32" t="str">
        <f t="shared" si="254"/>
        <v/>
      </c>
      <c r="K998" s="25" t="str">
        <f t="shared" si="255"/>
        <v/>
      </c>
      <c r="L998" s="25" t="str">
        <f t="shared" si="256"/>
        <v/>
      </c>
      <c r="M998" s="33" t="e" cm="1">
        <f t="array" aca="1" ref="M998" ca="1">IF(AND(J998=INDIRECT("'["&amp;G998&amp;"]"&amp;E998&amp;"'!"&amp;$Y$2),G998=INDIRECT("'["&amp;G998&amp;"]"&amp;E998&amp;"'!"&amp;$AH$2)),INDIRECT("'["&amp;G998&amp;"]"&amp;E998&amp;"'!"&amp;$Y$3),0)</f>
        <v>#VALUE!</v>
      </c>
      <c r="N998" s="34" t="e" cm="1">
        <f t="array" aca="1" ref="N998" ca="1">IF(AND(G998=INDIRECT("'["&amp;G998&amp;"]"&amp;E998&amp;"'!"&amp;$AH$2),OR(K998=INDIRECT("'["&amp;G998&amp;"]"&amp;E998&amp;"'!"&amp;$Z$2))),INDIRECT("'["&amp;G998&amp;"]"&amp;E998&amp;"'!"&amp;$Z$3),0)</f>
        <v>#VALUE!</v>
      </c>
      <c r="O998" s="34" t="e" cm="1">
        <f t="array" aca="1" ref="O998" ca="1">IF(AND(G998=INDIRECT("'["&amp;G998&amp;"]"&amp;E998&amp;"'!"&amp;$AH$2),OR(L998=INDIRECT("'["&amp;G998&amp;"]"&amp;E998&amp;"'!"&amp;$AA$2))),INDIRECT("'["&amp;G998&amp;"]"&amp;E998&amp;"'!"&amp;$AA$3),0)</f>
        <v>#VALUE!</v>
      </c>
      <c r="P998" s="34" t="e" cm="1">
        <f t="array" aca="1" ref="P998" ca="1">IF(AND(G998=INDIRECT("'["&amp;G998&amp;"]"&amp;E998&amp;"'!"&amp;$AH$2),OR(VALUE(I998)=INDIRECT("'["&amp;G998&amp;"]"&amp;E998&amp;"'!"&amp;$AB$2))),INDIRECT("'["&amp;G998&amp;"]"&amp;E998&amp;"'!"&amp;$AB$3),0)</f>
        <v>#VALUE!</v>
      </c>
      <c r="Q998" s="34" t="e" cm="1">
        <f t="array" aca="1" ref="Q998" ca="1">IF(AND(G998=INDIRECT("'["&amp;G998&amp;"]"&amp;E998&amp;"'!"&amp;$AH$2),OR(VALUE(I998)=INDIRECT("'["&amp;G998&amp;"]"&amp;E998&amp;"'!"&amp;$AC$2))),INDIRECT("'["&amp;G998&amp;"]"&amp;E998&amp;"'!"&amp;$AC$3),0)</f>
        <v>#VALUE!</v>
      </c>
      <c r="R998" s="34" t="e" cm="1">
        <f t="array" aca="1" ref="R998" ca="1">IF(AND(G998=INDIRECT("'["&amp;G998&amp;"]"&amp;E998&amp;"'!"&amp;$AH$2),OR(I998=INDIRECT("'["&amp;G998&amp;"]"&amp;E998&amp;"'!"&amp;$AD$2))),INDIRECT("'["&amp;G998&amp;"]"&amp;E998&amp;"'!"&amp;$AD$3),0)</f>
        <v>#VALUE!</v>
      </c>
      <c r="S998" s="34" t="e" cm="1">
        <f t="array" aca="1" ref="S998" ca="1">IF(AND(G998=INDIRECT("'["&amp;G998&amp;"]"&amp;E998&amp;"'!"&amp;$AH$2),OR(I998=INDIRECT("'["&amp;G998&amp;"]"&amp;E998&amp;"'!"&amp;$AE$2))),INDIRECT("'["&amp;G998&amp;"]"&amp;E998&amp;"'!"&amp;$AE$3),0)</f>
        <v>#VALUE!</v>
      </c>
      <c r="T998" s="35" t="e" cm="1">
        <f t="array" aca="1" ref="T998" ca="1">IF(AND(G998=INDIRECT("'["&amp;G998&amp;"]"&amp;E998&amp;"'!"&amp;$AH$2),OR(I998=INDIRECT("'["&amp;G998&amp;"]"&amp;E998&amp;"'!"&amp;$AF$2))),INDIRECT("'["&amp;G998&amp;"]"&amp;E998&amp;"'!"&amp;$AF$3),0)</f>
        <v>#VALUE!</v>
      </c>
      <c r="U998" s="34" t="e" cm="1">
        <f t="array" aca="1" ref="U998" ca="1">IF(AND(G998=INDIRECT("'["&amp;G998&amp;"]"&amp;E998&amp;"'!"&amp;$AH$2),OR(I998=INDIRECT("'["&amp;G998&amp;"]"&amp;E998&amp;"'!"&amp;$AG$2))),INDIRECT("'["&amp;G998&amp;"]"&amp;E998&amp;"'!"&amp;$AG$3),0)</f>
        <v>#VALUE!</v>
      </c>
      <c r="V998" s="25" t="str">
        <f t="shared" si="257"/>
        <v/>
      </c>
      <c r="W998" s="36" t="e" cm="1">
        <f t="array" aca="1" ref="W998" ca="1">IF(AND(G998=INDIRECT("'["&amp;G998&amp;"]"&amp;E998&amp;"'!"&amp;$AH$2),OR(V998=INDIRECT("'["&amp;G998&amp;"]"&amp;E998&amp;"'!"&amp;$AI$2))),INDIRECT("'["&amp;G998&amp;"]"&amp;E998&amp;"'!"&amp;$AI$3),0)</f>
        <v>#VALUE!</v>
      </c>
      <c r="AJ998" s="25">
        <v>1</v>
      </c>
      <c r="AK998" s="38">
        <f t="shared" ca="1" si="258"/>
        <v>0</v>
      </c>
      <c r="AL998" s="38">
        <f t="shared" ca="1" si="259"/>
        <v>0</v>
      </c>
      <c r="AM998" s="54" t="str">
        <f t="shared" ca="1" si="260"/>
        <v/>
      </c>
      <c r="AN998" s="25" t="e">
        <f t="shared" ca="1" si="261"/>
        <v>#VALUE!</v>
      </c>
      <c r="AO998" s="25" t="e">
        <f t="shared" ca="1" si="262"/>
        <v>#VALUE!</v>
      </c>
      <c r="AQ998" s="46" t="str">
        <f ca="1">IF(AND(C998&lt;&gt;0, C999=0), SUM($C$2:C998)-SUM($AQ$1:AQ997), "")</f>
        <v/>
      </c>
      <c r="AR998" s="46" t="str">
        <f ca="1">IF(AND(AK998&lt;&gt;0, AK999=0), SUM($AK$2:AK998)-SUM($AR$1:AR997), "")</f>
        <v/>
      </c>
    </row>
    <row r="999" spans="2:44" ht="13.15" customHeight="1">
      <c r="B999" s="68" t="str">
        <f t="shared" si="248"/>
        <v/>
      </c>
      <c r="C999" s="55" cm="1">
        <f t="array" aca="1" ref="C999" ca="1">SUM(IF(ISNUMBER(M999:U999),M999:U999,""))</f>
        <v>0</v>
      </c>
      <c r="D999" s="25" t="str">
        <f t="shared" si="249"/>
        <v/>
      </c>
      <c r="E999" s="25" t="e">
        <f t="shared" si="250"/>
        <v>#VALUE!</v>
      </c>
      <c r="F999" s="25" t="str">
        <f t="shared" si="251"/>
        <v/>
      </c>
      <c r="G999" s="25" t="str">
        <f t="shared" si="252"/>
        <v>.xlsx</v>
      </c>
      <c r="H999" s="29" t="e" cm="1">
        <f t="array" aca="1" ref="H999" ca="1">IF(AND(VALUE(E999)=INDIRECT("'["&amp;G999&amp;"]"&amp;E999&amp;"'!"&amp;$X$2),G999=INDIRECT("'["&amp;G999&amp;"]"&amp;E999&amp;"'!"&amp;$X$3)),INDIRECT("'["&amp;G999&amp;"]"&amp;E999&amp;"'!"&amp;$X$1),0)</f>
        <v>#VALUE!</v>
      </c>
      <c r="I999" s="25" t="str">
        <f t="shared" si="253"/>
        <v/>
      </c>
      <c r="J999" s="32" t="str">
        <f t="shared" si="254"/>
        <v/>
      </c>
      <c r="K999" s="25" t="str">
        <f t="shared" si="255"/>
        <v/>
      </c>
      <c r="L999" s="25" t="str">
        <f t="shared" si="256"/>
        <v/>
      </c>
      <c r="M999" s="33" t="e" cm="1">
        <f t="array" aca="1" ref="M999" ca="1">IF(AND(J999=INDIRECT("'["&amp;G999&amp;"]"&amp;E999&amp;"'!"&amp;$Y$2),G999=INDIRECT("'["&amp;G999&amp;"]"&amp;E999&amp;"'!"&amp;$AH$2)),INDIRECT("'["&amp;G999&amp;"]"&amp;E999&amp;"'!"&amp;$Y$3),0)</f>
        <v>#VALUE!</v>
      </c>
      <c r="N999" s="34" t="e" cm="1">
        <f t="array" aca="1" ref="N999" ca="1">IF(AND(G999=INDIRECT("'["&amp;G999&amp;"]"&amp;E999&amp;"'!"&amp;$AH$2),OR(K999=INDIRECT("'["&amp;G999&amp;"]"&amp;E999&amp;"'!"&amp;$Z$2))),INDIRECT("'["&amp;G999&amp;"]"&amp;E999&amp;"'!"&amp;$Z$3),0)</f>
        <v>#VALUE!</v>
      </c>
      <c r="O999" s="34" t="e" cm="1">
        <f t="array" aca="1" ref="O999" ca="1">IF(AND(G999=INDIRECT("'["&amp;G999&amp;"]"&amp;E999&amp;"'!"&amp;$AH$2),OR(L999=INDIRECT("'["&amp;G999&amp;"]"&amp;E999&amp;"'!"&amp;$AA$2))),INDIRECT("'["&amp;G999&amp;"]"&amp;E999&amp;"'!"&amp;$AA$3),0)</f>
        <v>#VALUE!</v>
      </c>
      <c r="P999" s="34" t="e" cm="1">
        <f t="array" aca="1" ref="P999" ca="1">IF(AND(G999=INDIRECT("'["&amp;G999&amp;"]"&amp;E999&amp;"'!"&amp;$AH$2),OR(VALUE(I999)=INDIRECT("'["&amp;G999&amp;"]"&amp;E999&amp;"'!"&amp;$AB$2))),INDIRECT("'["&amp;G999&amp;"]"&amp;E999&amp;"'!"&amp;$AB$3),0)</f>
        <v>#VALUE!</v>
      </c>
      <c r="Q999" s="34" t="e" cm="1">
        <f t="array" aca="1" ref="Q999" ca="1">IF(AND(G999=INDIRECT("'["&amp;G999&amp;"]"&amp;E999&amp;"'!"&amp;$AH$2),OR(VALUE(I999)=INDIRECT("'["&amp;G999&amp;"]"&amp;E999&amp;"'!"&amp;$AC$2))),INDIRECT("'["&amp;G999&amp;"]"&amp;E999&amp;"'!"&amp;$AC$3),0)</f>
        <v>#VALUE!</v>
      </c>
      <c r="R999" s="34" t="e" cm="1">
        <f t="array" aca="1" ref="R999" ca="1">IF(AND(G999=INDIRECT("'["&amp;G999&amp;"]"&amp;E999&amp;"'!"&amp;$AH$2),OR(I999=INDIRECT("'["&amp;G999&amp;"]"&amp;E999&amp;"'!"&amp;$AD$2))),INDIRECT("'["&amp;G999&amp;"]"&amp;E999&amp;"'!"&amp;$AD$3),0)</f>
        <v>#VALUE!</v>
      </c>
      <c r="S999" s="34" t="e" cm="1">
        <f t="array" aca="1" ref="S999" ca="1">IF(AND(G999=INDIRECT("'["&amp;G999&amp;"]"&amp;E999&amp;"'!"&amp;$AH$2),OR(I999=INDIRECT("'["&amp;G999&amp;"]"&amp;E999&amp;"'!"&amp;$AE$2))),INDIRECT("'["&amp;G999&amp;"]"&amp;E999&amp;"'!"&amp;$AE$3),0)</f>
        <v>#VALUE!</v>
      </c>
      <c r="T999" s="35" t="e" cm="1">
        <f t="array" aca="1" ref="T999" ca="1">IF(AND(G999=INDIRECT("'["&amp;G999&amp;"]"&amp;E999&amp;"'!"&amp;$AH$2),OR(I999=INDIRECT("'["&amp;G999&amp;"]"&amp;E999&amp;"'!"&amp;$AF$2))),INDIRECT("'["&amp;G999&amp;"]"&amp;E999&amp;"'!"&amp;$AF$3),0)</f>
        <v>#VALUE!</v>
      </c>
      <c r="U999" s="34" t="e" cm="1">
        <f t="array" aca="1" ref="U999" ca="1">IF(AND(G999=INDIRECT("'["&amp;G999&amp;"]"&amp;E999&amp;"'!"&amp;$AH$2),OR(I999=INDIRECT("'["&amp;G999&amp;"]"&amp;E999&amp;"'!"&amp;$AG$2))),INDIRECT("'["&amp;G999&amp;"]"&amp;E999&amp;"'!"&amp;$AG$3),0)</f>
        <v>#VALUE!</v>
      </c>
      <c r="V999" s="25" t="str">
        <f t="shared" si="257"/>
        <v/>
      </c>
      <c r="W999" s="36" t="e" cm="1">
        <f t="array" aca="1" ref="W999" ca="1">IF(AND(G999=INDIRECT("'["&amp;G999&amp;"]"&amp;E999&amp;"'!"&amp;$AH$2),OR(V999=INDIRECT("'["&amp;G999&amp;"]"&amp;E999&amp;"'!"&amp;$AI$2))),INDIRECT("'["&amp;G999&amp;"]"&amp;E999&amp;"'!"&amp;$AI$3),0)</f>
        <v>#VALUE!</v>
      </c>
      <c r="AJ999" s="25">
        <v>1</v>
      </c>
      <c r="AK999" s="38">
        <f t="shared" ca="1" si="258"/>
        <v>0</v>
      </c>
      <c r="AL999" s="38">
        <f t="shared" ca="1" si="259"/>
        <v>0</v>
      </c>
      <c r="AM999" s="54" t="str">
        <f t="shared" ca="1" si="260"/>
        <v/>
      </c>
      <c r="AN999" s="25" t="e">
        <f t="shared" ca="1" si="261"/>
        <v>#VALUE!</v>
      </c>
      <c r="AO999" s="25" t="e">
        <f t="shared" ca="1" si="262"/>
        <v>#VALUE!</v>
      </c>
      <c r="AQ999" s="46" t="str">
        <f ca="1">IF(AND(C999&lt;&gt;0, C1000=0), SUM($C$2:C999)-SUM($AQ$1:AQ998), "")</f>
        <v/>
      </c>
      <c r="AR999" s="46" t="str">
        <f ca="1">IF(AND(AK999&lt;&gt;0, AK1000=0), SUM($AK$2:AK999)-SUM($AR$1:AR998), "")</f>
        <v/>
      </c>
    </row>
    <row r="1000" spans="2:44" ht="13.15" customHeight="1">
      <c r="B1000" s="68" t="str">
        <f t="shared" si="248"/>
        <v/>
      </c>
      <c r="C1000" s="55" cm="1">
        <f t="array" aca="1" ref="C1000" ca="1">SUM(IF(ISNUMBER(M1000:U1000),M1000:U1000,""))</f>
        <v>0</v>
      </c>
      <c r="D1000" s="25" t="str">
        <f t="shared" si="249"/>
        <v/>
      </c>
      <c r="E1000" s="25" t="e">
        <f t="shared" si="250"/>
        <v>#VALUE!</v>
      </c>
      <c r="F1000" s="25" t="str">
        <f t="shared" si="251"/>
        <v/>
      </c>
      <c r="G1000" s="25" t="str">
        <f t="shared" si="252"/>
        <v>.xlsx</v>
      </c>
      <c r="H1000" s="29" t="e" cm="1">
        <f t="array" aca="1" ref="H1000" ca="1">IF(AND(VALUE(E1000)=INDIRECT("'["&amp;G1000&amp;"]"&amp;E1000&amp;"'!"&amp;$X$2),G1000=INDIRECT("'["&amp;G1000&amp;"]"&amp;E1000&amp;"'!"&amp;$X$3)),INDIRECT("'["&amp;G1000&amp;"]"&amp;E1000&amp;"'!"&amp;$X$1),0)</f>
        <v>#VALUE!</v>
      </c>
      <c r="I1000" s="25" t="str">
        <f t="shared" si="253"/>
        <v/>
      </c>
      <c r="J1000" s="32" t="str">
        <f t="shared" si="254"/>
        <v/>
      </c>
      <c r="K1000" s="25" t="str">
        <f t="shared" si="255"/>
        <v/>
      </c>
      <c r="L1000" s="25" t="str">
        <f t="shared" si="256"/>
        <v/>
      </c>
      <c r="M1000" s="33" t="e" cm="1">
        <f t="array" aca="1" ref="M1000" ca="1">IF(AND(J1000=INDIRECT("'["&amp;G1000&amp;"]"&amp;E1000&amp;"'!"&amp;$Y$2),G1000=INDIRECT("'["&amp;G1000&amp;"]"&amp;E1000&amp;"'!"&amp;$AH$2)),INDIRECT("'["&amp;G1000&amp;"]"&amp;E1000&amp;"'!"&amp;$Y$3),0)</f>
        <v>#VALUE!</v>
      </c>
      <c r="N1000" s="34" t="e" cm="1">
        <f t="array" aca="1" ref="N1000" ca="1">IF(AND(G1000=INDIRECT("'["&amp;G1000&amp;"]"&amp;E1000&amp;"'!"&amp;$AH$2),OR(K1000=INDIRECT("'["&amp;G1000&amp;"]"&amp;E1000&amp;"'!"&amp;$Z$2))),INDIRECT("'["&amp;G1000&amp;"]"&amp;E1000&amp;"'!"&amp;$Z$3),0)</f>
        <v>#VALUE!</v>
      </c>
      <c r="O1000" s="34" t="e" cm="1">
        <f t="array" aca="1" ref="O1000" ca="1">IF(AND(G1000=INDIRECT("'["&amp;G1000&amp;"]"&amp;E1000&amp;"'!"&amp;$AH$2),OR(L1000=INDIRECT("'["&amp;G1000&amp;"]"&amp;E1000&amp;"'!"&amp;$AA$2))),INDIRECT("'["&amp;G1000&amp;"]"&amp;E1000&amp;"'!"&amp;$AA$3),0)</f>
        <v>#VALUE!</v>
      </c>
      <c r="P1000" s="34" t="e" cm="1">
        <f t="array" aca="1" ref="P1000" ca="1">IF(AND(G1000=INDIRECT("'["&amp;G1000&amp;"]"&amp;E1000&amp;"'!"&amp;$AH$2),OR(VALUE(I1000)=INDIRECT("'["&amp;G1000&amp;"]"&amp;E1000&amp;"'!"&amp;$AB$2))),INDIRECT("'["&amp;G1000&amp;"]"&amp;E1000&amp;"'!"&amp;$AB$3),0)</f>
        <v>#VALUE!</v>
      </c>
      <c r="Q1000" s="34" t="e" cm="1">
        <f t="array" aca="1" ref="Q1000" ca="1">IF(AND(G1000=INDIRECT("'["&amp;G1000&amp;"]"&amp;E1000&amp;"'!"&amp;$AH$2),OR(VALUE(I1000)=INDIRECT("'["&amp;G1000&amp;"]"&amp;E1000&amp;"'!"&amp;$AC$2))),INDIRECT("'["&amp;G1000&amp;"]"&amp;E1000&amp;"'!"&amp;$AC$3),0)</f>
        <v>#VALUE!</v>
      </c>
      <c r="R1000" s="34" t="e" cm="1">
        <f t="array" aca="1" ref="R1000" ca="1">IF(AND(G1000=INDIRECT("'["&amp;G1000&amp;"]"&amp;E1000&amp;"'!"&amp;$AH$2),OR(I1000=INDIRECT("'["&amp;G1000&amp;"]"&amp;E1000&amp;"'!"&amp;$AD$2))),INDIRECT("'["&amp;G1000&amp;"]"&amp;E1000&amp;"'!"&amp;$AD$3),0)</f>
        <v>#VALUE!</v>
      </c>
      <c r="S1000" s="34" t="e" cm="1">
        <f t="array" aca="1" ref="S1000" ca="1">IF(AND(G1000=INDIRECT("'["&amp;G1000&amp;"]"&amp;E1000&amp;"'!"&amp;$AH$2),OR(I1000=INDIRECT("'["&amp;G1000&amp;"]"&amp;E1000&amp;"'!"&amp;$AE$2))),INDIRECT("'["&amp;G1000&amp;"]"&amp;E1000&amp;"'!"&amp;$AE$3),0)</f>
        <v>#VALUE!</v>
      </c>
      <c r="T1000" s="35" t="e" cm="1">
        <f t="array" aca="1" ref="T1000" ca="1">IF(AND(G1000=INDIRECT("'["&amp;G1000&amp;"]"&amp;E1000&amp;"'!"&amp;$AH$2),OR(I1000=INDIRECT("'["&amp;G1000&amp;"]"&amp;E1000&amp;"'!"&amp;$AF$2))),INDIRECT("'["&amp;G1000&amp;"]"&amp;E1000&amp;"'!"&amp;$AF$3),0)</f>
        <v>#VALUE!</v>
      </c>
      <c r="U1000" s="34" t="e" cm="1">
        <f t="array" aca="1" ref="U1000" ca="1">IF(AND(G1000=INDIRECT("'["&amp;G1000&amp;"]"&amp;E1000&amp;"'!"&amp;$AH$2),OR(I1000=INDIRECT("'["&amp;G1000&amp;"]"&amp;E1000&amp;"'!"&amp;$AG$2))),INDIRECT("'["&amp;G1000&amp;"]"&amp;E1000&amp;"'!"&amp;$AG$3),0)</f>
        <v>#VALUE!</v>
      </c>
      <c r="V1000" s="25" t="str">
        <f t="shared" si="257"/>
        <v/>
      </c>
      <c r="W1000" s="36" t="e" cm="1">
        <f t="array" aca="1" ref="W1000" ca="1">IF(AND(G1000=INDIRECT("'["&amp;G1000&amp;"]"&amp;E1000&amp;"'!"&amp;$AH$2),OR(V1000=INDIRECT("'["&amp;G1000&amp;"]"&amp;E1000&amp;"'!"&amp;$AI$2))),INDIRECT("'["&amp;G1000&amp;"]"&amp;E1000&amp;"'!"&amp;$AI$3),0)</f>
        <v>#VALUE!</v>
      </c>
      <c r="AJ1000" s="25">
        <v>1</v>
      </c>
      <c r="AK1000" s="38">
        <f t="shared" ca="1" si="258"/>
        <v>0</v>
      </c>
      <c r="AL1000" s="38">
        <f t="shared" ca="1" si="259"/>
        <v>0</v>
      </c>
      <c r="AM1000" s="54" t="str">
        <f t="shared" ca="1" si="260"/>
        <v/>
      </c>
      <c r="AN1000" s="25" t="e">
        <f t="shared" ca="1" si="261"/>
        <v>#VALUE!</v>
      </c>
      <c r="AO1000" s="25" t="e">
        <f t="shared" ca="1" si="262"/>
        <v>#VALUE!</v>
      </c>
      <c r="AQ1000" s="46" t="str">
        <f ca="1">IF(AND(C1000&lt;&gt;0, C1001=0), SUM($C$2:C1000)-SUM($AQ$1:AQ999), "")</f>
        <v/>
      </c>
      <c r="AR1000" s="46" t="str">
        <f ca="1">IF(AND(AK1000&lt;&gt;0, AK1001=0), SUM($AK$2:AK1000)-SUM($AR$1:AR999), "")</f>
        <v/>
      </c>
    </row>
  </sheetData>
  <mergeCells count="1">
    <mergeCell ref="D1:E1"/>
  </mergeCells>
  <phoneticPr fontId="10" type="noConversion"/>
  <conditionalFormatting sqref="A2:A12">
    <cfRule type="duplicateValues" dxfId="6" priority="3"/>
  </conditionalFormatting>
  <conditionalFormatting sqref="A2:A1001">
    <cfRule type="duplicateValues" dxfId="5" priority="2"/>
  </conditionalFormatting>
  <conditionalFormatting sqref="A609:A615">
    <cfRule type="duplicateValues" dxfId="4" priority="4"/>
  </conditionalFormatting>
  <conditionalFormatting sqref="A616:A1000 A13:A168 A170:A608">
    <cfRule type="duplicateValues" dxfId="3" priority="5"/>
  </conditionalFormatting>
  <conditionalFormatting sqref="B1001:B1048576 B1">
    <cfRule type="duplicateValues" dxfId="2" priority="62"/>
  </conditionalFormatting>
  <conditionalFormatting sqref="AJ1:AJ1048576">
    <cfRule type="cellIs" dxfId="1" priority="1" operator="equal">
      <formula>1.5</formula>
    </cfRule>
  </conditionalFormatting>
  <conditionalFormatting sqref="AN1:AO1048576">
    <cfRule type="cellIs" dxfId="0" priority="10" operator="equal">
      <formula>0</formula>
    </cfRule>
  </conditionalFormatting>
  <dataValidations count="2">
    <dataValidation type="custom" allowBlank="1" showInputMessage="1" sqref="A169:B169 O2:O1000 V2:V1000 C2:L1000 B170:B1000 B2:B168" xr:uid="{AABD873A-AA2C-4F06-9905-925FD69EA985}">
      <formula1>COUNTIFS($Q$3:$Q$9,$Q3,$R$3:$R$9,$R3)&gt;1</formula1>
    </dataValidation>
    <dataValidation type="list" allowBlank="1" showInputMessage="1" showErrorMessage="1" sqref="AJ2:AJ1000" xr:uid="{3AA284D6-7BDE-5E4E-9740-44E5FD0474E6}">
      <formula1>"1,1.5"</formula1>
    </dataValidation>
  </dataValidations>
  <pageMargins left="0.7" right="0.7" top="0.75" bottom="0.75" header="0.3" footer="0.3"/>
  <pageSetup orientation="portrait" horizontalDpi="4294967293" r:id="rId1"/>
  <ignoredErrors>
    <ignoredError sqref="E111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กู้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Nkm Nkm</cp:lastModifiedBy>
  <cp:lastPrinted>2026-03-16T12:53:38Z</cp:lastPrinted>
  <dcterms:created xsi:type="dcterms:W3CDTF">2020-09-16T13:56:07Z</dcterms:created>
  <dcterms:modified xsi:type="dcterms:W3CDTF">2026-03-31T10:16:33Z</dcterms:modified>
</cp:coreProperties>
</file>